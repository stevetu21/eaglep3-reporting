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Enforcements!$A$6:$AC$68</definedName>
    <definedName name="_xlnm._FilterDatabase" localSheetId="2" hidden="1">'Missing Trips'!$B$2:$I$2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4" i="1" l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13" i="1"/>
  <c r="K29" i="1"/>
  <c r="L29" i="1"/>
  <c r="M29" i="1"/>
  <c r="V29" i="1"/>
  <c r="Y29" i="1"/>
  <c r="Z29" i="1"/>
  <c r="AB29" i="1"/>
  <c r="AC29" i="1"/>
  <c r="AD29" i="1"/>
  <c r="AG29" i="1" s="1"/>
  <c r="AF29" i="1"/>
  <c r="AH29" i="1"/>
  <c r="K14" i="1"/>
  <c r="L14" i="1"/>
  <c r="M14" i="1"/>
  <c r="N14" i="1" s="1"/>
  <c r="V14" i="1"/>
  <c r="Y14" i="1"/>
  <c r="Z14" i="1"/>
  <c r="AB14" i="1"/>
  <c r="AC14" i="1"/>
  <c r="AD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F17" i="1"/>
  <c r="K18" i="1"/>
  <c r="L18" i="1"/>
  <c r="M18" i="1"/>
  <c r="N18" i="1" s="1"/>
  <c r="V18" i="1"/>
  <c r="Y18" i="1"/>
  <c r="Z18" i="1"/>
  <c r="AB18" i="1"/>
  <c r="AC18" i="1"/>
  <c r="AD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F19" i="1"/>
  <c r="K20" i="1"/>
  <c r="L20" i="1"/>
  <c r="M20" i="1"/>
  <c r="N20" i="1" s="1"/>
  <c r="V20" i="1"/>
  <c r="Y20" i="1"/>
  <c r="Z20" i="1"/>
  <c r="AB20" i="1"/>
  <c r="AC20" i="1"/>
  <c r="AD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F21" i="1"/>
  <c r="K22" i="1"/>
  <c r="L22" i="1"/>
  <c r="M22" i="1"/>
  <c r="N22" i="1" s="1"/>
  <c r="V22" i="1"/>
  <c r="Y22" i="1"/>
  <c r="Z22" i="1"/>
  <c r="AB22" i="1"/>
  <c r="AC22" i="1"/>
  <c r="AD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F23" i="1"/>
  <c r="K24" i="1"/>
  <c r="L24" i="1"/>
  <c r="M24" i="1"/>
  <c r="N24" i="1" s="1"/>
  <c r="V24" i="1"/>
  <c r="Y24" i="1"/>
  <c r="Z24" i="1"/>
  <c r="AB24" i="1"/>
  <c r="AC24" i="1"/>
  <c r="AD24" i="1"/>
  <c r="AF24" i="1"/>
  <c r="K25" i="1"/>
  <c r="L25" i="1"/>
  <c r="M25" i="1"/>
  <c r="N25" i="1" s="1"/>
  <c r="V25" i="1"/>
  <c r="Y25" i="1"/>
  <c r="Z25" i="1"/>
  <c r="AB25" i="1"/>
  <c r="AC25" i="1"/>
  <c r="AD25" i="1"/>
  <c r="AF25" i="1"/>
  <c r="K26" i="1"/>
  <c r="L26" i="1"/>
  <c r="M26" i="1"/>
  <c r="N26" i="1" s="1"/>
  <c r="V26" i="1"/>
  <c r="Y26" i="1"/>
  <c r="Z26" i="1"/>
  <c r="AB26" i="1"/>
  <c r="AC26" i="1"/>
  <c r="AD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F28" i="1"/>
  <c r="K30" i="1"/>
  <c r="L30" i="1"/>
  <c r="M30" i="1"/>
  <c r="N30" i="1" s="1"/>
  <c r="V30" i="1"/>
  <c r="Y30" i="1"/>
  <c r="Z30" i="1"/>
  <c r="AB30" i="1"/>
  <c r="AC30" i="1"/>
  <c r="AD30" i="1"/>
  <c r="T30" i="1" s="1"/>
  <c r="AF30" i="1"/>
  <c r="K31" i="1"/>
  <c r="L31" i="1"/>
  <c r="M31" i="1"/>
  <c r="N31" i="1" s="1"/>
  <c r="V31" i="1"/>
  <c r="Y31" i="1"/>
  <c r="Z31" i="1"/>
  <c r="AB31" i="1"/>
  <c r="AC31" i="1"/>
  <c r="AD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F34" i="1"/>
  <c r="K35" i="1"/>
  <c r="L35" i="1"/>
  <c r="M35" i="1"/>
  <c r="N35" i="1" s="1"/>
  <c r="V35" i="1"/>
  <c r="Y35" i="1"/>
  <c r="Z35" i="1"/>
  <c r="AB35" i="1"/>
  <c r="AC35" i="1"/>
  <c r="AD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F37" i="1"/>
  <c r="K38" i="1"/>
  <c r="L38" i="1"/>
  <c r="M38" i="1"/>
  <c r="N38" i="1" s="1"/>
  <c r="V38" i="1"/>
  <c r="Y38" i="1"/>
  <c r="Z38" i="1"/>
  <c r="AB38" i="1"/>
  <c r="AC38" i="1"/>
  <c r="AD38" i="1"/>
  <c r="AF38" i="1"/>
  <c r="K39" i="1"/>
  <c r="L39" i="1"/>
  <c r="M39" i="1"/>
  <c r="N39" i="1" s="1"/>
  <c r="V39" i="1"/>
  <c r="Y39" i="1"/>
  <c r="Z39" i="1"/>
  <c r="AB39" i="1"/>
  <c r="AC39" i="1"/>
  <c r="AD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F40" i="1"/>
  <c r="K41" i="1"/>
  <c r="L41" i="1"/>
  <c r="M41" i="1"/>
  <c r="N41" i="1" s="1"/>
  <c r="V41" i="1"/>
  <c r="Y41" i="1"/>
  <c r="Z41" i="1"/>
  <c r="AB41" i="1"/>
  <c r="AC41" i="1"/>
  <c r="AD41" i="1"/>
  <c r="AF41" i="1"/>
  <c r="K42" i="1"/>
  <c r="L42" i="1"/>
  <c r="M42" i="1"/>
  <c r="N42" i="1" s="1"/>
  <c r="V42" i="1"/>
  <c r="Y42" i="1"/>
  <c r="Z42" i="1"/>
  <c r="AB42" i="1"/>
  <c r="AC42" i="1"/>
  <c r="AD42" i="1"/>
  <c r="AF42" i="1"/>
  <c r="K43" i="1"/>
  <c r="L43" i="1"/>
  <c r="M43" i="1"/>
  <c r="N43" i="1" s="1"/>
  <c r="V43" i="1"/>
  <c r="Y43" i="1"/>
  <c r="Z43" i="1"/>
  <c r="AB43" i="1"/>
  <c r="AC43" i="1"/>
  <c r="AD43" i="1"/>
  <c r="AF43" i="1"/>
  <c r="K44" i="1"/>
  <c r="L44" i="1"/>
  <c r="M44" i="1"/>
  <c r="N44" i="1" s="1"/>
  <c r="V44" i="1"/>
  <c r="Y44" i="1"/>
  <c r="Z44" i="1"/>
  <c r="AB44" i="1"/>
  <c r="AC44" i="1"/>
  <c r="AD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F48" i="1"/>
  <c r="K49" i="1"/>
  <c r="L49" i="1"/>
  <c r="M49" i="1"/>
  <c r="N49" i="1" s="1"/>
  <c r="V49" i="1"/>
  <c r="Y49" i="1"/>
  <c r="Z49" i="1"/>
  <c r="AB49" i="1"/>
  <c r="AC49" i="1"/>
  <c r="AD49" i="1"/>
  <c r="AF49" i="1"/>
  <c r="K50" i="1"/>
  <c r="L50" i="1"/>
  <c r="M50" i="1"/>
  <c r="N50" i="1" s="1"/>
  <c r="V50" i="1"/>
  <c r="Y50" i="1"/>
  <c r="Z50" i="1"/>
  <c r="AB50" i="1"/>
  <c r="AC50" i="1"/>
  <c r="AD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F51" i="1"/>
  <c r="K52" i="1"/>
  <c r="L52" i="1"/>
  <c r="M52" i="1"/>
  <c r="N52" i="1" s="1"/>
  <c r="V52" i="1"/>
  <c r="Y52" i="1"/>
  <c r="Z52" i="1"/>
  <c r="AB52" i="1"/>
  <c r="AC52" i="1"/>
  <c r="AD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F54" i="1"/>
  <c r="K55" i="1"/>
  <c r="L55" i="1"/>
  <c r="M55" i="1"/>
  <c r="N55" i="1" s="1"/>
  <c r="V55" i="1"/>
  <c r="Y55" i="1"/>
  <c r="Z55" i="1"/>
  <c r="AB55" i="1"/>
  <c r="AC55" i="1"/>
  <c r="AD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F58" i="1"/>
  <c r="K59" i="1"/>
  <c r="L59" i="1"/>
  <c r="M59" i="1"/>
  <c r="N59" i="1" s="1"/>
  <c r="V59" i="1"/>
  <c r="Y59" i="1"/>
  <c r="Z59" i="1"/>
  <c r="AB59" i="1"/>
  <c r="AC59" i="1"/>
  <c r="AD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F61" i="1"/>
  <c r="K62" i="1"/>
  <c r="L62" i="1"/>
  <c r="M62" i="1"/>
  <c r="N62" i="1" s="1"/>
  <c r="V62" i="1"/>
  <c r="Y62" i="1"/>
  <c r="Z62" i="1"/>
  <c r="AB62" i="1"/>
  <c r="AC62" i="1"/>
  <c r="AD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F63" i="1"/>
  <c r="K64" i="1"/>
  <c r="L64" i="1"/>
  <c r="M64" i="1"/>
  <c r="N64" i="1" s="1"/>
  <c r="V64" i="1"/>
  <c r="Y64" i="1"/>
  <c r="Z64" i="1"/>
  <c r="AB64" i="1"/>
  <c r="AC64" i="1"/>
  <c r="AD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F67" i="1"/>
  <c r="K68" i="1"/>
  <c r="L68" i="1"/>
  <c r="M68" i="1"/>
  <c r="N68" i="1" s="1"/>
  <c r="V68" i="1"/>
  <c r="Y68" i="1"/>
  <c r="Z68" i="1"/>
  <c r="AB68" i="1"/>
  <c r="AC68" i="1"/>
  <c r="AD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F70" i="1"/>
  <c r="K71" i="1"/>
  <c r="L71" i="1"/>
  <c r="M71" i="1"/>
  <c r="N71" i="1" s="1"/>
  <c r="V71" i="1"/>
  <c r="Y71" i="1"/>
  <c r="Z71" i="1"/>
  <c r="AB71" i="1"/>
  <c r="AC71" i="1"/>
  <c r="AD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F74" i="1"/>
  <c r="K75" i="1"/>
  <c r="L75" i="1"/>
  <c r="M75" i="1"/>
  <c r="N75" i="1" s="1"/>
  <c r="V75" i="1"/>
  <c r="Y75" i="1"/>
  <c r="Z75" i="1"/>
  <c r="AB75" i="1"/>
  <c r="AC75" i="1"/>
  <c r="AD75" i="1"/>
  <c r="AF75" i="1"/>
  <c r="K76" i="1"/>
  <c r="L76" i="1"/>
  <c r="M76" i="1"/>
  <c r="N76" i="1" s="1"/>
  <c r="V76" i="1"/>
  <c r="Y76" i="1"/>
  <c r="Z76" i="1"/>
  <c r="AB76" i="1"/>
  <c r="AC76" i="1"/>
  <c r="AD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F77" i="1"/>
  <c r="K78" i="1"/>
  <c r="L78" i="1"/>
  <c r="M78" i="1"/>
  <c r="N78" i="1" s="1"/>
  <c r="V78" i="1"/>
  <c r="Y78" i="1"/>
  <c r="Z78" i="1"/>
  <c r="AB78" i="1"/>
  <c r="AC78" i="1"/>
  <c r="AD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F82" i="1"/>
  <c r="K83" i="1"/>
  <c r="L83" i="1"/>
  <c r="M83" i="1"/>
  <c r="N83" i="1" s="1"/>
  <c r="V83" i="1"/>
  <c r="Y83" i="1"/>
  <c r="Z83" i="1"/>
  <c r="AB83" i="1"/>
  <c r="AC83" i="1"/>
  <c r="AD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F84" i="1"/>
  <c r="K85" i="1"/>
  <c r="L85" i="1"/>
  <c r="M85" i="1"/>
  <c r="N85" i="1" s="1"/>
  <c r="V85" i="1"/>
  <c r="Y85" i="1"/>
  <c r="Z85" i="1"/>
  <c r="AB85" i="1"/>
  <c r="AC85" i="1"/>
  <c r="AD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F86" i="1"/>
  <c r="K87" i="1"/>
  <c r="L87" i="1"/>
  <c r="M87" i="1"/>
  <c r="N87" i="1" s="1"/>
  <c r="V87" i="1"/>
  <c r="Y87" i="1"/>
  <c r="Z87" i="1"/>
  <c r="AB87" i="1"/>
  <c r="AC87" i="1"/>
  <c r="AD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F90" i="1"/>
  <c r="K91" i="1"/>
  <c r="L91" i="1"/>
  <c r="M91" i="1"/>
  <c r="N91" i="1" s="1"/>
  <c r="V91" i="1"/>
  <c r="Y91" i="1"/>
  <c r="Z91" i="1"/>
  <c r="AB91" i="1"/>
  <c r="AC91" i="1"/>
  <c r="AD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F94" i="1"/>
  <c r="K95" i="1"/>
  <c r="L95" i="1"/>
  <c r="M95" i="1"/>
  <c r="N95" i="1" s="1"/>
  <c r="V95" i="1"/>
  <c r="Y95" i="1"/>
  <c r="Z95" i="1"/>
  <c r="AB95" i="1"/>
  <c r="AC95" i="1"/>
  <c r="AD95" i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F98" i="1"/>
  <c r="K99" i="1"/>
  <c r="L99" i="1"/>
  <c r="M99" i="1"/>
  <c r="N99" i="1" s="1"/>
  <c r="V99" i="1"/>
  <c r="Y99" i="1"/>
  <c r="Z99" i="1"/>
  <c r="AB99" i="1"/>
  <c r="AC99" i="1"/>
  <c r="AD99" i="1"/>
  <c r="AF99" i="1"/>
  <c r="K100" i="1"/>
  <c r="L100" i="1"/>
  <c r="M100" i="1"/>
  <c r="N100" i="1" s="1"/>
  <c r="V100" i="1"/>
  <c r="Y100" i="1"/>
  <c r="Z100" i="1"/>
  <c r="AB100" i="1"/>
  <c r="AC100" i="1"/>
  <c r="AD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F102" i="1"/>
  <c r="K103" i="1"/>
  <c r="L103" i="1"/>
  <c r="M103" i="1"/>
  <c r="N103" i="1" s="1"/>
  <c r="V103" i="1"/>
  <c r="Y103" i="1"/>
  <c r="Z103" i="1"/>
  <c r="AB103" i="1"/>
  <c r="AC103" i="1"/>
  <c r="AD103" i="1"/>
  <c r="AF103" i="1"/>
  <c r="K104" i="1"/>
  <c r="L104" i="1"/>
  <c r="M104" i="1"/>
  <c r="N104" i="1" s="1"/>
  <c r="V104" i="1"/>
  <c r="Y104" i="1"/>
  <c r="Z104" i="1"/>
  <c r="AB104" i="1"/>
  <c r="AC104" i="1"/>
  <c r="AD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F106" i="1"/>
  <c r="K107" i="1"/>
  <c r="L107" i="1"/>
  <c r="M107" i="1"/>
  <c r="N107" i="1" s="1"/>
  <c r="V107" i="1"/>
  <c r="Y107" i="1"/>
  <c r="Z107" i="1"/>
  <c r="AB107" i="1"/>
  <c r="AC107" i="1"/>
  <c r="AD107" i="1"/>
  <c r="AF107" i="1"/>
  <c r="K108" i="1"/>
  <c r="L108" i="1"/>
  <c r="M108" i="1"/>
  <c r="N108" i="1" s="1"/>
  <c r="V108" i="1"/>
  <c r="Y108" i="1"/>
  <c r="Z108" i="1"/>
  <c r="AB108" i="1"/>
  <c r="AC108" i="1"/>
  <c r="AD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F110" i="1"/>
  <c r="K111" i="1"/>
  <c r="L111" i="1"/>
  <c r="M111" i="1"/>
  <c r="N111" i="1" s="1"/>
  <c r="V111" i="1"/>
  <c r="Y111" i="1"/>
  <c r="Z111" i="1"/>
  <c r="AB111" i="1"/>
  <c r="AC111" i="1"/>
  <c r="AD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F113" i="1"/>
  <c r="K114" i="1"/>
  <c r="L114" i="1"/>
  <c r="M114" i="1"/>
  <c r="N114" i="1" s="1"/>
  <c r="V114" i="1"/>
  <c r="Y114" i="1"/>
  <c r="Z114" i="1"/>
  <c r="AB114" i="1"/>
  <c r="AC114" i="1"/>
  <c r="AD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F115" i="1"/>
  <c r="K116" i="1"/>
  <c r="L116" i="1"/>
  <c r="M116" i="1"/>
  <c r="N116" i="1" s="1"/>
  <c r="V116" i="1"/>
  <c r="Y116" i="1"/>
  <c r="Z116" i="1"/>
  <c r="AB116" i="1"/>
  <c r="AC116" i="1"/>
  <c r="AD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F117" i="1"/>
  <c r="K118" i="1"/>
  <c r="L118" i="1"/>
  <c r="M118" i="1"/>
  <c r="N118" i="1" s="1"/>
  <c r="V118" i="1"/>
  <c r="Y118" i="1"/>
  <c r="Z118" i="1"/>
  <c r="AB118" i="1"/>
  <c r="AC118" i="1"/>
  <c r="AD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F119" i="1"/>
  <c r="K120" i="1"/>
  <c r="L120" i="1"/>
  <c r="M120" i="1"/>
  <c r="N120" i="1" s="1"/>
  <c r="V120" i="1"/>
  <c r="Y120" i="1"/>
  <c r="Z120" i="1"/>
  <c r="AB120" i="1"/>
  <c r="AC120" i="1"/>
  <c r="AD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F122" i="1"/>
  <c r="K123" i="1"/>
  <c r="L123" i="1"/>
  <c r="M123" i="1"/>
  <c r="N123" i="1" s="1"/>
  <c r="V123" i="1"/>
  <c r="Y123" i="1"/>
  <c r="Z123" i="1"/>
  <c r="AB123" i="1"/>
  <c r="AC123" i="1"/>
  <c r="AD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F126" i="1"/>
  <c r="K127" i="1"/>
  <c r="L127" i="1"/>
  <c r="M127" i="1"/>
  <c r="N127" i="1" s="1"/>
  <c r="V127" i="1"/>
  <c r="Y127" i="1"/>
  <c r="Z127" i="1"/>
  <c r="AB127" i="1"/>
  <c r="AC127" i="1"/>
  <c r="AD127" i="1"/>
  <c r="AF127" i="1"/>
  <c r="K128" i="1"/>
  <c r="L128" i="1"/>
  <c r="M128" i="1"/>
  <c r="N128" i="1" s="1"/>
  <c r="V128" i="1"/>
  <c r="Y128" i="1"/>
  <c r="Z128" i="1"/>
  <c r="AB128" i="1"/>
  <c r="AC128" i="1"/>
  <c r="AD128" i="1"/>
  <c r="AF128" i="1"/>
  <c r="K129" i="1"/>
  <c r="L129" i="1"/>
  <c r="M129" i="1"/>
  <c r="N129" i="1" s="1"/>
  <c r="V129" i="1"/>
  <c r="Y129" i="1"/>
  <c r="Z129" i="1"/>
  <c r="AB129" i="1"/>
  <c r="AC129" i="1"/>
  <c r="AD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F132" i="1"/>
  <c r="K133" i="1"/>
  <c r="L133" i="1"/>
  <c r="M133" i="1"/>
  <c r="N133" i="1" s="1"/>
  <c r="V133" i="1"/>
  <c r="Y133" i="1"/>
  <c r="Z133" i="1"/>
  <c r="AB133" i="1"/>
  <c r="AC133" i="1"/>
  <c r="AD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F134" i="1"/>
  <c r="K135" i="1"/>
  <c r="L135" i="1"/>
  <c r="M135" i="1"/>
  <c r="N135" i="1" s="1"/>
  <c r="V135" i="1"/>
  <c r="Y135" i="1"/>
  <c r="Z135" i="1"/>
  <c r="AB135" i="1"/>
  <c r="AC135" i="1"/>
  <c r="AD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F139" i="1"/>
  <c r="K140" i="1"/>
  <c r="L140" i="1"/>
  <c r="M140" i="1"/>
  <c r="N140" i="1" s="1"/>
  <c r="V140" i="1"/>
  <c r="Y140" i="1"/>
  <c r="Z140" i="1"/>
  <c r="AB140" i="1"/>
  <c r="AC140" i="1"/>
  <c r="AD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F143" i="1"/>
  <c r="K144" i="1"/>
  <c r="L144" i="1"/>
  <c r="M144" i="1"/>
  <c r="N144" i="1" s="1"/>
  <c r="V144" i="1"/>
  <c r="Y144" i="1"/>
  <c r="Z144" i="1"/>
  <c r="AB144" i="1"/>
  <c r="AC144" i="1"/>
  <c r="AD144" i="1"/>
  <c r="AF144" i="1"/>
  <c r="K145" i="1"/>
  <c r="L145" i="1"/>
  <c r="M145" i="1"/>
  <c r="N145" i="1" s="1"/>
  <c r="V145" i="1"/>
  <c r="Y145" i="1"/>
  <c r="Z145" i="1"/>
  <c r="AB145" i="1"/>
  <c r="AC145" i="1"/>
  <c r="AD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F147" i="1"/>
  <c r="K148" i="1"/>
  <c r="L148" i="1"/>
  <c r="M148" i="1"/>
  <c r="N148" i="1" s="1"/>
  <c r="V148" i="1"/>
  <c r="Y148" i="1"/>
  <c r="Z148" i="1"/>
  <c r="AB148" i="1"/>
  <c r="AC148" i="1"/>
  <c r="AD148" i="1"/>
  <c r="AF148" i="1"/>
  <c r="K149" i="1"/>
  <c r="L149" i="1"/>
  <c r="M149" i="1"/>
  <c r="N149" i="1" s="1"/>
  <c r="V149" i="1"/>
  <c r="Y149" i="1"/>
  <c r="Z149" i="1"/>
  <c r="AB149" i="1"/>
  <c r="AC149" i="1"/>
  <c r="AD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F150" i="1"/>
  <c r="K151" i="1"/>
  <c r="L151" i="1"/>
  <c r="M151" i="1"/>
  <c r="N151" i="1" s="1"/>
  <c r="V151" i="1"/>
  <c r="Y151" i="1"/>
  <c r="Z151" i="1"/>
  <c r="AB151" i="1"/>
  <c r="AC151" i="1"/>
  <c r="AD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F152" i="1"/>
  <c r="K153" i="1"/>
  <c r="L153" i="1"/>
  <c r="M153" i="1"/>
  <c r="N153" i="1" s="1"/>
  <c r="V153" i="1"/>
  <c r="Y153" i="1"/>
  <c r="Z153" i="1"/>
  <c r="AB153" i="1"/>
  <c r="AC153" i="1"/>
  <c r="AD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F156" i="1"/>
  <c r="K204" i="1"/>
  <c r="L204" i="1"/>
  <c r="M204" i="1"/>
  <c r="N204" i="1" s="1"/>
  <c r="V204" i="1"/>
  <c r="Y204" i="1"/>
  <c r="Z204" i="1"/>
  <c r="AB204" i="1"/>
  <c r="AC204" i="1"/>
  <c r="AD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F206" i="1"/>
  <c r="K207" i="1"/>
  <c r="L207" i="1"/>
  <c r="M207" i="1"/>
  <c r="N207" i="1" s="1"/>
  <c r="V207" i="1"/>
  <c r="Y207" i="1"/>
  <c r="Z207" i="1"/>
  <c r="AB207" i="1"/>
  <c r="AC207" i="1"/>
  <c r="AD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F209" i="1"/>
  <c r="K214" i="1"/>
  <c r="L214" i="1"/>
  <c r="M214" i="1"/>
  <c r="N214" i="1" s="1"/>
  <c r="V214" i="1"/>
  <c r="Y214" i="1"/>
  <c r="Z214" i="1"/>
  <c r="AB214" i="1"/>
  <c r="AC214" i="1"/>
  <c r="AD214" i="1"/>
  <c r="AG214" i="1" s="1"/>
  <c r="AF214" i="1"/>
  <c r="K215" i="1"/>
  <c r="L215" i="1"/>
  <c r="M215" i="1"/>
  <c r="N215" i="1" s="1"/>
  <c r="V215" i="1"/>
  <c r="Y215" i="1"/>
  <c r="Z215" i="1"/>
  <c r="AB215" i="1"/>
  <c r="AC215" i="1"/>
  <c r="AD215" i="1"/>
  <c r="AF215" i="1"/>
  <c r="K216" i="1"/>
  <c r="L216" i="1"/>
  <c r="M216" i="1"/>
  <c r="N216" i="1" s="1"/>
  <c r="V216" i="1"/>
  <c r="Y216" i="1"/>
  <c r="Z216" i="1"/>
  <c r="AB216" i="1"/>
  <c r="AC216" i="1"/>
  <c r="AD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F217" i="1"/>
  <c r="K218" i="1"/>
  <c r="L218" i="1"/>
  <c r="M218" i="1"/>
  <c r="N218" i="1" s="1"/>
  <c r="V218" i="1"/>
  <c r="Y218" i="1"/>
  <c r="Z218" i="1"/>
  <c r="AB218" i="1"/>
  <c r="AC218" i="1"/>
  <c r="AD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F222" i="1"/>
  <c r="K157" i="1"/>
  <c r="L157" i="1"/>
  <c r="M157" i="1"/>
  <c r="N157" i="1" s="1"/>
  <c r="V157" i="1"/>
  <c r="Y157" i="1"/>
  <c r="Z157" i="1"/>
  <c r="AB157" i="1"/>
  <c r="AC157" i="1"/>
  <c r="AD157" i="1"/>
  <c r="AG157" i="1" s="1"/>
  <c r="AF157" i="1"/>
  <c r="K158" i="1"/>
  <c r="L158" i="1"/>
  <c r="M158" i="1"/>
  <c r="N158" i="1" s="1"/>
  <c r="V158" i="1"/>
  <c r="Y158" i="1"/>
  <c r="Z158" i="1"/>
  <c r="AB158" i="1"/>
  <c r="AC158" i="1"/>
  <c r="AD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F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F163" i="1"/>
  <c r="K164" i="1"/>
  <c r="L164" i="1"/>
  <c r="M164" i="1"/>
  <c r="N164" i="1" s="1"/>
  <c r="V164" i="1"/>
  <c r="Y164" i="1"/>
  <c r="Z164" i="1"/>
  <c r="AB164" i="1"/>
  <c r="AC164" i="1"/>
  <c r="AD164" i="1"/>
  <c r="AF164" i="1"/>
  <c r="K165" i="1"/>
  <c r="L165" i="1"/>
  <c r="M165" i="1"/>
  <c r="N165" i="1" s="1"/>
  <c r="V165" i="1"/>
  <c r="Y165" i="1"/>
  <c r="Z165" i="1"/>
  <c r="AB165" i="1"/>
  <c r="AC165" i="1"/>
  <c r="AD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F168" i="1"/>
  <c r="K169" i="1"/>
  <c r="L169" i="1"/>
  <c r="M169" i="1"/>
  <c r="N169" i="1" s="1"/>
  <c r="V169" i="1"/>
  <c r="Y169" i="1"/>
  <c r="Z169" i="1"/>
  <c r="AB169" i="1"/>
  <c r="AC169" i="1"/>
  <c r="AD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F170" i="1"/>
  <c r="K171" i="1"/>
  <c r="L171" i="1"/>
  <c r="M171" i="1"/>
  <c r="N171" i="1" s="1"/>
  <c r="V171" i="1"/>
  <c r="Y171" i="1"/>
  <c r="Z171" i="1"/>
  <c r="AB171" i="1"/>
  <c r="AC171" i="1"/>
  <c r="AD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F172" i="1"/>
  <c r="K173" i="1"/>
  <c r="L173" i="1"/>
  <c r="M173" i="1"/>
  <c r="N173" i="1" s="1"/>
  <c r="V173" i="1"/>
  <c r="Y173" i="1"/>
  <c r="Z173" i="1"/>
  <c r="AB173" i="1"/>
  <c r="AC173" i="1"/>
  <c r="AD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F174" i="1"/>
  <c r="K175" i="1"/>
  <c r="L175" i="1"/>
  <c r="M175" i="1"/>
  <c r="P175" i="1" s="1"/>
  <c r="V175" i="1"/>
  <c r="Y175" i="1"/>
  <c r="Z175" i="1"/>
  <c r="AB175" i="1"/>
  <c r="AC175" i="1"/>
  <c r="AD175" i="1"/>
  <c r="AG175" i="1" s="1"/>
  <c r="AF175" i="1"/>
  <c r="K176" i="1"/>
  <c r="L176" i="1"/>
  <c r="M176" i="1"/>
  <c r="N176" i="1" s="1"/>
  <c r="V176" i="1"/>
  <c r="Y176" i="1"/>
  <c r="Z176" i="1"/>
  <c r="AB176" i="1"/>
  <c r="AC176" i="1"/>
  <c r="AD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F179" i="1"/>
  <c r="K180" i="1"/>
  <c r="L180" i="1"/>
  <c r="M180" i="1"/>
  <c r="N180" i="1" s="1"/>
  <c r="V180" i="1"/>
  <c r="Y180" i="1"/>
  <c r="Z180" i="1"/>
  <c r="AB180" i="1"/>
  <c r="AC180" i="1"/>
  <c r="AD180" i="1"/>
  <c r="AF180" i="1"/>
  <c r="K181" i="1"/>
  <c r="L181" i="1"/>
  <c r="M181" i="1"/>
  <c r="N181" i="1" s="1"/>
  <c r="V181" i="1"/>
  <c r="Y181" i="1"/>
  <c r="Z181" i="1"/>
  <c r="AB181" i="1"/>
  <c r="AC181" i="1"/>
  <c r="AD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F184" i="1"/>
  <c r="K185" i="1"/>
  <c r="L185" i="1"/>
  <c r="M185" i="1"/>
  <c r="N185" i="1" s="1"/>
  <c r="V185" i="1"/>
  <c r="Y185" i="1"/>
  <c r="Z185" i="1"/>
  <c r="AB185" i="1"/>
  <c r="AC185" i="1"/>
  <c r="AD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F191" i="1"/>
  <c r="K192" i="1"/>
  <c r="L192" i="1"/>
  <c r="M192" i="1"/>
  <c r="N192" i="1" s="1"/>
  <c r="V192" i="1"/>
  <c r="Y192" i="1"/>
  <c r="Z192" i="1"/>
  <c r="AB192" i="1"/>
  <c r="AC192" i="1"/>
  <c r="AD192" i="1"/>
  <c r="AF192" i="1"/>
  <c r="K193" i="1"/>
  <c r="L193" i="1"/>
  <c r="M193" i="1"/>
  <c r="N193" i="1" s="1"/>
  <c r="V193" i="1"/>
  <c r="Y193" i="1"/>
  <c r="Z193" i="1"/>
  <c r="AB193" i="1"/>
  <c r="AC193" i="1"/>
  <c r="AD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F196" i="1"/>
  <c r="K197" i="1"/>
  <c r="L197" i="1"/>
  <c r="M197" i="1"/>
  <c r="N197" i="1" s="1"/>
  <c r="V197" i="1"/>
  <c r="Y197" i="1"/>
  <c r="Z197" i="1"/>
  <c r="AB197" i="1"/>
  <c r="AC197" i="1"/>
  <c r="AD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F200" i="1"/>
  <c r="K201" i="1"/>
  <c r="L201" i="1"/>
  <c r="M201" i="1"/>
  <c r="N201" i="1" s="1"/>
  <c r="V201" i="1"/>
  <c r="Y201" i="1"/>
  <c r="Z201" i="1"/>
  <c r="AB201" i="1"/>
  <c r="AC201" i="1"/>
  <c r="AD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F203" i="1"/>
  <c r="K210" i="1"/>
  <c r="L210" i="1"/>
  <c r="M210" i="1"/>
  <c r="N210" i="1" s="1"/>
  <c r="V210" i="1"/>
  <c r="Y210" i="1"/>
  <c r="Z210" i="1"/>
  <c r="AB210" i="1"/>
  <c r="AC210" i="1"/>
  <c r="AD210" i="1"/>
  <c r="AG210" i="1" s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F213" i="1"/>
  <c r="K223" i="1"/>
  <c r="L223" i="1"/>
  <c r="M223" i="1"/>
  <c r="N223" i="1" s="1"/>
  <c r="V223" i="1"/>
  <c r="Y223" i="1"/>
  <c r="Z223" i="1"/>
  <c r="AB223" i="1"/>
  <c r="AC223" i="1"/>
  <c r="AD223" i="1"/>
  <c r="AF223" i="1"/>
  <c r="K224" i="1"/>
  <c r="L224" i="1"/>
  <c r="M224" i="1"/>
  <c r="N224" i="1" s="1"/>
  <c r="V224" i="1"/>
  <c r="Y224" i="1"/>
  <c r="Z224" i="1"/>
  <c r="AB224" i="1"/>
  <c r="AC224" i="1"/>
  <c r="AD224" i="1"/>
  <c r="AF224" i="1"/>
  <c r="K225" i="1"/>
  <c r="L225" i="1"/>
  <c r="M225" i="1"/>
  <c r="N225" i="1" s="1"/>
  <c r="V225" i="1"/>
  <c r="Y225" i="1"/>
  <c r="Z225" i="1"/>
  <c r="AB225" i="1"/>
  <c r="AC225" i="1"/>
  <c r="AD225" i="1"/>
  <c r="T225" i="1" s="1"/>
  <c r="AF225" i="1"/>
  <c r="K226" i="1"/>
  <c r="L226" i="1"/>
  <c r="M226" i="1"/>
  <c r="N226" i="1" s="1"/>
  <c r="V226" i="1"/>
  <c r="Y226" i="1"/>
  <c r="Z226" i="1"/>
  <c r="AB226" i="1"/>
  <c r="AC226" i="1"/>
  <c r="AD226" i="1"/>
  <c r="AF226" i="1"/>
  <c r="K227" i="1"/>
  <c r="L227" i="1"/>
  <c r="M227" i="1"/>
  <c r="N227" i="1" s="1"/>
  <c r="V227" i="1"/>
  <c r="Y227" i="1"/>
  <c r="Z227" i="1"/>
  <c r="AB227" i="1"/>
  <c r="AC227" i="1"/>
  <c r="AD227" i="1"/>
  <c r="AF227" i="1"/>
  <c r="M38" i="3"/>
  <c r="N38" i="3"/>
  <c r="U38" i="3"/>
  <c r="T38" i="3" s="1"/>
  <c r="V38" i="3"/>
  <c r="W38" i="3"/>
  <c r="X38" i="3"/>
  <c r="M50" i="3"/>
  <c r="N50" i="3"/>
  <c r="U50" i="3"/>
  <c r="T50" i="3" s="1"/>
  <c r="V50" i="3"/>
  <c r="W50" i="3"/>
  <c r="X50" i="3"/>
  <c r="M11" i="3"/>
  <c r="N11" i="3"/>
  <c r="U11" i="3"/>
  <c r="T11" i="3" s="1"/>
  <c r="V11" i="3"/>
  <c r="W11" i="3"/>
  <c r="X11" i="3"/>
  <c r="M23" i="3"/>
  <c r="N23" i="3"/>
  <c r="U23" i="3"/>
  <c r="T23" i="3" s="1"/>
  <c r="V23" i="3"/>
  <c r="W23" i="3"/>
  <c r="X23" i="3"/>
  <c r="M52" i="3"/>
  <c r="N52" i="3"/>
  <c r="U52" i="3"/>
  <c r="T52" i="3" s="1"/>
  <c r="V52" i="3"/>
  <c r="W52" i="3"/>
  <c r="X52" i="3"/>
  <c r="M55" i="3"/>
  <c r="N55" i="3"/>
  <c r="U55" i="3"/>
  <c r="T55" i="3" s="1"/>
  <c r="V55" i="3"/>
  <c r="W55" i="3"/>
  <c r="X55" i="3"/>
  <c r="M59" i="3"/>
  <c r="N59" i="3"/>
  <c r="U59" i="3"/>
  <c r="T59" i="3" s="1"/>
  <c r="V59" i="3"/>
  <c r="W59" i="3"/>
  <c r="X59" i="3"/>
  <c r="M16" i="3"/>
  <c r="N16" i="3"/>
  <c r="U16" i="3"/>
  <c r="T16" i="3" s="1"/>
  <c r="V16" i="3"/>
  <c r="W16" i="3"/>
  <c r="X16" i="3"/>
  <c r="M24" i="3"/>
  <c r="N24" i="3"/>
  <c r="U24" i="3"/>
  <c r="AC24" i="3" s="1"/>
  <c r="V24" i="3"/>
  <c r="W24" i="3"/>
  <c r="X24" i="3"/>
  <c r="M51" i="3"/>
  <c r="N51" i="3"/>
  <c r="U51" i="3"/>
  <c r="T51" i="3" s="1"/>
  <c r="V51" i="3"/>
  <c r="W51" i="3"/>
  <c r="X51" i="3"/>
  <c r="M17" i="3"/>
  <c r="N17" i="3"/>
  <c r="U17" i="3"/>
  <c r="T17" i="3" s="1"/>
  <c r="V17" i="3"/>
  <c r="W17" i="3"/>
  <c r="X17" i="3"/>
  <c r="M25" i="3"/>
  <c r="N25" i="3"/>
  <c r="U25" i="3"/>
  <c r="T25" i="3" s="1"/>
  <c r="V25" i="3"/>
  <c r="W25" i="3"/>
  <c r="X25" i="3"/>
  <c r="M47" i="3"/>
  <c r="N47" i="3"/>
  <c r="U47" i="3"/>
  <c r="T47" i="3" s="1"/>
  <c r="V47" i="3"/>
  <c r="W47" i="3"/>
  <c r="X47" i="3"/>
  <c r="M9" i="3"/>
  <c r="N9" i="3"/>
  <c r="U9" i="3"/>
  <c r="T9" i="3" s="1"/>
  <c r="V9" i="3"/>
  <c r="W9" i="3"/>
  <c r="X9" i="3"/>
  <c r="M20" i="3"/>
  <c r="N20" i="3"/>
  <c r="U20" i="3"/>
  <c r="T20" i="3" s="1"/>
  <c r="V20" i="3"/>
  <c r="W20" i="3"/>
  <c r="X20" i="3"/>
  <c r="M26" i="3"/>
  <c r="N26" i="3"/>
  <c r="U26" i="3"/>
  <c r="T26" i="3" s="1"/>
  <c r="V26" i="3"/>
  <c r="W26" i="3"/>
  <c r="X26" i="3"/>
  <c r="M39" i="3"/>
  <c r="N39" i="3"/>
  <c r="U39" i="3"/>
  <c r="T39" i="3" s="1"/>
  <c r="V39" i="3"/>
  <c r="W39" i="3"/>
  <c r="X39" i="3"/>
  <c r="M53" i="3"/>
  <c r="N53" i="3"/>
  <c r="U53" i="3"/>
  <c r="T53" i="3" s="1"/>
  <c r="V53" i="3"/>
  <c r="W53" i="3"/>
  <c r="X53" i="3"/>
  <c r="M54" i="3"/>
  <c r="N54" i="3"/>
  <c r="U54" i="3"/>
  <c r="T54" i="3" s="1"/>
  <c r="V54" i="3"/>
  <c r="W54" i="3"/>
  <c r="X54" i="3"/>
  <c r="M40" i="3"/>
  <c r="N40" i="3"/>
  <c r="U40" i="3"/>
  <c r="T40" i="3" s="1"/>
  <c r="V40" i="3"/>
  <c r="W40" i="3"/>
  <c r="X40" i="3"/>
  <c r="M27" i="3"/>
  <c r="N27" i="3"/>
  <c r="U27" i="3"/>
  <c r="T27" i="3" s="1"/>
  <c r="V27" i="3"/>
  <c r="W27" i="3"/>
  <c r="X27" i="3"/>
  <c r="M7" i="3"/>
  <c r="N7" i="3"/>
  <c r="U7" i="3"/>
  <c r="T7" i="3" s="1"/>
  <c r="V7" i="3"/>
  <c r="W7" i="3"/>
  <c r="X7" i="3"/>
  <c r="M19" i="3"/>
  <c r="N19" i="3"/>
  <c r="U19" i="3"/>
  <c r="T19" i="3" s="1"/>
  <c r="V19" i="3"/>
  <c r="W19" i="3"/>
  <c r="X19" i="3"/>
  <c r="M18" i="3"/>
  <c r="N18" i="3"/>
  <c r="U18" i="3"/>
  <c r="T18" i="3" s="1"/>
  <c r="V18" i="3"/>
  <c r="W18" i="3"/>
  <c r="X18" i="3"/>
  <c r="M8" i="3"/>
  <c r="N8" i="3"/>
  <c r="U8" i="3"/>
  <c r="T8" i="3" s="1"/>
  <c r="V8" i="3"/>
  <c r="W8" i="3"/>
  <c r="X8" i="3"/>
  <c r="M44" i="3"/>
  <c r="N44" i="3"/>
  <c r="U44" i="3"/>
  <c r="T44" i="3" s="1"/>
  <c r="V44" i="3"/>
  <c r="W44" i="3"/>
  <c r="X44" i="3"/>
  <c r="M28" i="3"/>
  <c r="N28" i="3"/>
  <c r="U28" i="3"/>
  <c r="T28" i="3" s="1"/>
  <c r="V28" i="3"/>
  <c r="W28" i="3"/>
  <c r="X28" i="3"/>
  <c r="M29" i="3"/>
  <c r="N29" i="3"/>
  <c r="U29" i="3"/>
  <c r="T29" i="3" s="1"/>
  <c r="V29" i="3"/>
  <c r="W29" i="3"/>
  <c r="X29" i="3"/>
  <c r="M46" i="3"/>
  <c r="N46" i="3"/>
  <c r="U46" i="3"/>
  <c r="T46" i="3" s="1"/>
  <c r="V46" i="3"/>
  <c r="W46" i="3"/>
  <c r="X46" i="3"/>
  <c r="M64" i="3"/>
  <c r="N64" i="3"/>
  <c r="U64" i="3"/>
  <c r="T64" i="3" s="1"/>
  <c r="V64" i="3"/>
  <c r="W64" i="3"/>
  <c r="X64" i="3"/>
  <c r="M45" i="3"/>
  <c r="N45" i="3"/>
  <c r="U45" i="3"/>
  <c r="T45" i="3" s="1"/>
  <c r="V45" i="3"/>
  <c r="W45" i="3"/>
  <c r="X45" i="3"/>
  <c r="M30" i="3"/>
  <c r="N30" i="3"/>
  <c r="U30" i="3"/>
  <c r="T30" i="3" s="1"/>
  <c r="V30" i="3"/>
  <c r="W30" i="3"/>
  <c r="X30" i="3"/>
  <c r="M31" i="3"/>
  <c r="N31" i="3"/>
  <c r="U31" i="3"/>
  <c r="AC31" i="3" s="1"/>
  <c r="V31" i="3"/>
  <c r="W31" i="3"/>
  <c r="X31" i="3"/>
  <c r="M56" i="3"/>
  <c r="N56" i="3"/>
  <c r="U56" i="3"/>
  <c r="T56" i="3" s="1"/>
  <c r="V56" i="3"/>
  <c r="W56" i="3"/>
  <c r="X56" i="3"/>
  <c r="M57" i="3"/>
  <c r="N57" i="3"/>
  <c r="U57" i="3"/>
  <c r="T57" i="3" s="1"/>
  <c r="V57" i="3"/>
  <c r="W57" i="3"/>
  <c r="X57" i="3"/>
  <c r="M13" i="3"/>
  <c r="N13" i="3"/>
  <c r="U13" i="3"/>
  <c r="T13" i="3" s="1"/>
  <c r="V13" i="3"/>
  <c r="W13" i="3"/>
  <c r="X13" i="3"/>
  <c r="M41" i="3"/>
  <c r="N41" i="3"/>
  <c r="U41" i="3"/>
  <c r="T41" i="3" s="1"/>
  <c r="V41" i="3"/>
  <c r="W41" i="3"/>
  <c r="X41" i="3"/>
  <c r="M48" i="3"/>
  <c r="N48" i="3"/>
  <c r="U48" i="3"/>
  <c r="T48" i="3" s="1"/>
  <c r="V48" i="3"/>
  <c r="W48" i="3"/>
  <c r="X48" i="3"/>
  <c r="M21" i="3"/>
  <c r="N21" i="3"/>
  <c r="U21" i="3"/>
  <c r="T21" i="3" s="1"/>
  <c r="V21" i="3"/>
  <c r="W21" i="3"/>
  <c r="X21" i="3"/>
  <c r="M65" i="3"/>
  <c r="N65" i="3"/>
  <c r="U65" i="3"/>
  <c r="T65" i="3" s="1"/>
  <c r="V65" i="3"/>
  <c r="W65" i="3"/>
  <c r="X65" i="3"/>
  <c r="M32" i="3"/>
  <c r="N32" i="3"/>
  <c r="U32" i="3"/>
  <c r="T32" i="3" s="1"/>
  <c r="V32" i="3"/>
  <c r="W32" i="3"/>
  <c r="X32" i="3"/>
  <c r="M49" i="3"/>
  <c r="N49" i="3"/>
  <c r="U49" i="3"/>
  <c r="T49" i="3" s="1"/>
  <c r="V49" i="3"/>
  <c r="W49" i="3"/>
  <c r="X49" i="3"/>
  <c r="M60" i="3"/>
  <c r="N60" i="3"/>
  <c r="U60" i="3"/>
  <c r="T60" i="3" s="1"/>
  <c r="V60" i="3"/>
  <c r="W60" i="3"/>
  <c r="X60" i="3"/>
  <c r="M42" i="3"/>
  <c r="N42" i="3"/>
  <c r="U42" i="3"/>
  <c r="T42" i="3" s="1"/>
  <c r="V42" i="3"/>
  <c r="W42" i="3"/>
  <c r="X42" i="3"/>
  <c r="M22" i="3"/>
  <c r="N22" i="3"/>
  <c r="U22" i="3"/>
  <c r="T22" i="3" s="1"/>
  <c r="V22" i="3"/>
  <c r="W22" i="3"/>
  <c r="X22" i="3"/>
  <c r="M12" i="3"/>
  <c r="N12" i="3"/>
  <c r="U12" i="3"/>
  <c r="T12" i="3" s="1"/>
  <c r="V12" i="3"/>
  <c r="W12" i="3"/>
  <c r="X12" i="3"/>
  <c r="M33" i="3"/>
  <c r="N33" i="3"/>
  <c r="U33" i="3"/>
  <c r="T33" i="3" s="1"/>
  <c r="V33" i="3"/>
  <c r="W33" i="3"/>
  <c r="X33" i="3"/>
  <c r="M58" i="3"/>
  <c r="N58" i="3"/>
  <c r="U58" i="3"/>
  <c r="T58" i="3" s="1"/>
  <c r="V58" i="3"/>
  <c r="W58" i="3"/>
  <c r="X58" i="3"/>
  <c r="M14" i="3"/>
  <c r="N14" i="3"/>
  <c r="U14" i="3"/>
  <c r="T14" i="3" s="1"/>
  <c r="V14" i="3"/>
  <c r="W14" i="3"/>
  <c r="X14" i="3"/>
  <c r="M61" i="3"/>
  <c r="N61" i="3"/>
  <c r="U61" i="3"/>
  <c r="T61" i="3" s="1"/>
  <c r="V61" i="3"/>
  <c r="W61" i="3"/>
  <c r="X61" i="3"/>
  <c r="M62" i="3"/>
  <c r="N62" i="3"/>
  <c r="U62" i="3"/>
  <c r="T62" i="3" s="1"/>
  <c r="V62" i="3"/>
  <c r="W62" i="3"/>
  <c r="X62" i="3"/>
  <c r="M10" i="3"/>
  <c r="N10" i="3"/>
  <c r="U10" i="3"/>
  <c r="T10" i="3" s="1"/>
  <c r="V10" i="3"/>
  <c r="W10" i="3"/>
  <c r="X10" i="3"/>
  <c r="M34" i="3"/>
  <c r="N34" i="3"/>
  <c r="U34" i="3"/>
  <c r="T34" i="3" s="1"/>
  <c r="V34" i="3"/>
  <c r="W34" i="3"/>
  <c r="X34" i="3"/>
  <c r="M35" i="3"/>
  <c r="N35" i="3"/>
  <c r="U35" i="3"/>
  <c r="T35" i="3" s="1"/>
  <c r="V35" i="3"/>
  <c r="W35" i="3"/>
  <c r="X35" i="3"/>
  <c r="M43" i="3"/>
  <c r="N43" i="3"/>
  <c r="U43" i="3"/>
  <c r="T43" i="3" s="1"/>
  <c r="V43" i="3"/>
  <c r="W43" i="3"/>
  <c r="X43" i="3"/>
  <c r="M63" i="3"/>
  <c r="N63" i="3"/>
  <c r="U63" i="3"/>
  <c r="T63" i="3" s="1"/>
  <c r="V63" i="3"/>
  <c r="W63" i="3"/>
  <c r="X63" i="3"/>
  <c r="M15" i="3"/>
  <c r="N15" i="3"/>
  <c r="U15" i="3"/>
  <c r="T15" i="3" s="1"/>
  <c r="V15" i="3"/>
  <c r="W15" i="3"/>
  <c r="X15" i="3"/>
  <c r="M36" i="3"/>
  <c r="N36" i="3"/>
  <c r="U36" i="3"/>
  <c r="T36" i="3" s="1"/>
  <c r="V36" i="3"/>
  <c r="W36" i="3"/>
  <c r="X36" i="3"/>
  <c r="T31" i="3" l="1"/>
  <c r="X129" i="1"/>
  <c r="X165" i="1"/>
  <c r="X128" i="1"/>
  <c r="AA29" i="1"/>
  <c r="W29" i="1" s="1"/>
  <c r="X158" i="1"/>
  <c r="X161" i="1"/>
  <c r="X160" i="1"/>
  <c r="AG93" i="1"/>
  <c r="U93" i="1" s="1"/>
  <c r="S93" i="1" s="1"/>
  <c r="AI74" i="1"/>
  <c r="X159" i="1"/>
  <c r="X164" i="1"/>
  <c r="X127" i="1"/>
  <c r="X163" i="1"/>
  <c r="AG132" i="1"/>
  <c r="AI132" i="1" s="1"/>
  <c r="AA225" i="1"/>
  <c r="AA198" i="1"/>
  <c r="W198" i="1" s="1"/>
  <c r="AA217" i="1"/>
  <c r="AA94" i="1"/>
  <c r="W94" i="1" s="1"/>
  <c r="AA14" i="1"/>
  <c r="X162" i="1"/>
  <c r="AA214" i="1"/>
  <c r="W214" i="1" s="1"/>
  <c r="AG72" i="1"/>
  <c r="AI72" i="1" s="1"/>
  <c r="X130" i="1"/>
  <c r="X30" i="1"/>
  <c r="Y36" i="3"/>
  <c r="Y63" i="3"/>
  <c r="Y35" i="3"/>
  <c r="Y10" i="3"/>
  <c r="AI94" i="1"/>
  <c r="T29" i="1"/>
  <c r="U29" i="1" s="1"/>
  <c r="S29" i="1" s="1"/>
  <c r="X32" i="1"/>
  <c r="X31" i="1"/>
  <c r="AI126" i="1"/>
  <c r="AI102" i="1"/>
  <c r="X29" i="1"/>
  <c r="AI29" i="1"/>
  <c r="Y62" i="3"/>
  <c r="Y14" i="3"/>
  <c r="Y33" i="3"/>
  <c r="Y22" i="3"/>
  <c r="Y60" i="3"/>
  <c r="Y32" i="3"/>
  <c r="Y21" i="3"/>
  <c r="Y41" i="3"/>
  <c r="Y57" i="3"/>
  <c r="Y31" i="3"/>
  <c r="Y59" i="3"/>
  <c r="Y52" i="3"/>
  <c r="Y11" i="3"/>
  <c r="Y38" i="3"/>
  <c r="AC35" i="3"/>
  <c r="AC10" i="3"/>
  <c r="AC63" i="3"/>
  <c r="AC26" i="3"/>
  <c r="AC9" i="3"/>
  <c r="Y30" i="3"/>
  <c r="Y44" i="3"/>
  <c r="Y18" i="3"/>
  <c r="Y40" i="3"/>
  <c r="Y53" i="3"/>
  <c r="Y26" i="3"/>
  <c r="Y9" i="3"/>
  <c r="Y25" i="3"/>
  <c r="Y51" i="3"/>
  <c r="AC57" i="3"/>
  <c r="AC22" i="3"/>
  <c r="Y64" i="3"/>
  <c r="Y29" i="3"/>
  <c r="AC40" i="3"/>
  <c r="AC17" i="3"/>
  <c r="AC27" i="3"/>
  <c r="AC56" i="3"/>
  <c r="AC48" i="3"/>
  <c r="AC34" i="3"/>
  <c r="AC20" i="3"/>
  <c r="AC15" i="3"/>
  <c r="Y58" i="3"/>
  <c r="Y42" i="3"/>
  <c r="Y49" i="3"/>
  <c r="Y45" i="3"/>
  <c r="Y46" i="3"/>
  <c r="Y28" i="3"/>
  <c r="Y8" i="3"/>
  <c r="Y19" i="3"/>
  <c r="Y27" i="3"/>
  <c r="T24" i="3"/>
  <c r="Y16" i="3"/>
  <c r="Y55" i="3"/>
  <c r="Y23" i="3"/>
  <c r="AC60" i="3"/>
  <c r="AC54" i="3"/>
  <c r="AC47" i="3"/>
  <c r="AC38" i="3"/>
  <c r="AC32" i="3"/>
  <c r="AC25" i="3"/>
  <c r="AC19" i="3"/>
  <c r="AC12" i="3"/>
  <c r="AC50" i="3"/>
  <c r="AC42" i="3"/>
  <c r="Y61" i="3"/>
  <c r="Y12" i="3"/>
  <c r="Y15" i="3"/>
  <c r="Y43" i="3"/>
  <c r="Y34" i="3"/>
  <c r="Y65" i="3"/>
  <c r="Y48" i="3"/>
  <c r="Y13" i="3"/>
  <c r="Y56" i="3"/>
  <c r="Y54" i="3"/>
  <c r="Y39" i="3"/>
  <c r="Y20" i="3"/>
  <c r="Y47" i="3"/>
  <c r="Y17" i="3"/>
  <c r="Y24" i="3"/>
  <c r="AC58" i="3"/>
  <c r="AC51" i="3"/>
  <c r="AC43" i="3"/>
  <c r="AC36" i="3"/>
  <c r="AC18" i="3"/>
  <c r="AC11" i="3"/>
  <c r="X38" i="1"/>
  <c r="AG36" i="1"/>
  <c r="AI36" i="1" s="1"/>
  <c r="AA34" i="1"/>
  <c r="W34" i="1" s="1"/>
  <c r="X24" i="1"/>
  <c r="AA223" i="1"/>
  <c r="AA183" i="1"/>
  <c r="W183" i="1" s="1"/>
  <c r="AA98" i="1"/>
  <c r="W98" i="1" s="1"/>
  <c r="AG97" i="1"/>
  <c r="U97" i="1" s="1"/>
  <c r="S97" i="1" s="1"/>
  <c r="X224" i="1"/>
  <c r="X201" i="1"/>
  <c r="X179" i="1"/>
  <c r="X120" i="1"/>
  <c r="AA117" i="1"/>
  <c r="W117" i="1" s="1"/>
  <c r="AA53" i="1"/>
  <c r="AA194" i="1"/>
  <c r="W194" i="1" s="1"/>
  <c r="AG159" i="1"/>
  <c r="AI159" i="1" s="1"/>
  <c r="AG208" i="1"/>
  <c r="U208" i="1" s="1"/>
  <c r="S208" i="1" s="1"/>
  <c r="AA206" i="1"/>
  <c r="W206" i="1" s="1"/>
  <c r="AA150" i="1"/>
  <c r="W150" i="1" s="1"/>
  <c r="AA147" i="1"/>
  <c r="W147" i="1" s="1"/>
  <c r="AA146" i="1"/>
  <c r="W146" i="1" s="1"/>
  <c r="AA122" i="1"/>
  <c r="W122" i="1" s="1"/>
  <c r="AA119" i="1"/>
  <c r="W119" i="1" s="1"/>
  <c r="AI86" i="1"/>
  <c r="X68" i="1"/>
  <c r="AG60" i="1"/>
  <c r="AI60" i="1" s="1"/>
  <c r="AA54" i="1"/>
  <c r="W54" i="1" s="1"/>
  <c r="AA50" i="1"/>
  <c r="AA160" i="1"/>
  <c r="W160" i="1" s="1"/>
  <c r="AA208" i="1"/>
  <c r="AG121" i="1"/>
  <c r="U121" i="1" s="1"/>
  <c r="S121" i="1" s="1"/>
  <c r="X121" i="1"/>
  <c r="AA80" i="1"/>
  <c r="AI51" i="1"/>
  <c r="AA51" i="1"/>
  <c r="W51" i="1" s="1"/>
  <c r="AA226" i="1"/>
  <c r="AA203" i="1"/>
  <c r="W203" i="1" s="1"/>
  <c r="AA200" i="1"/>
  <c r="W200" i="1" s="1"/>
  <c r="T194" i="1"/>
  <c r="U194" i="1" s="1"/>
  <c r="S194" i="1" s="1"/>
  <c r="AA175" i="1"/>
  <c r="W175" i="1" s="1"/>
  <c r="AG221" i="1"/>
  <c r="U221" i="1" s="1"/>
  <c r="S221" i="1" s="1"/>
  <c r="AA154" i="1"/>
  <c r="X135" i="1"/>
  <c r="AA130" i="1"/>
  <c r="W130" i="1" s="1"/>
  <c r="X112" i="1"/>
  <c r="AG89" i="1"/>
  <c r="U89" i="1" s="1"/>
  <c r="S89" i="1" s="1"/>
  <c r="X89" i="1"/>
  <c r="X85" i="1"/>
  <c r="AA81" i="1"/>
  <c r="AA75" i="1"/>
  <c r="AI70" i="1"/>
  <c r="AI58" i="1"/>
  <c r="AG56" i="1"/>
  <c r="U56" i="1" s="1"/>
  <c r="S56" i="1" s="1"/>
  <c r="AG46" i="1"/>
  <c r="U46" i="1" s="1"/>
  <c r="S46" i="1" s="1"/>
  <c r="X25" i="1"/>
  <c r="AG23" i="1"/>
  <c r="U23" i="1" s="1"/>
  <c r="S23" i="1" s="1"/>
  <c r="AI82" i="1"/>
  <c r="AG80" i="1"/>
  <c r="U80" i="1" s="1"/>
  <c r="S80" i="1" s="1"/>
  <c r="T69" i="1"/>
  <c r="U69" i="1" s="1"/>
  <c r="S69" i="1" s="1"/>
  <c r="AI66" i="1"/>
  <c r="AI54" i="1"/>
  <c r="AA21" i="1"/>
  <c r="AI199" i="1"/>
  <c r="AI122" i="1"/>
  <c r="AI117" i="1"/>
  <c r="X227" i="1"/>
  <c r="AI210" i="1"/>
  <c r="AG202" i="1"/>
  <c r="AI202" i="1" s="1"/>
  <c r="X202" i="1"/>
  <c r="AA196" i="1"/>
  <c r="W196" i="1" s="1"/>
  <c r="X186" i="1"/>
  <c r="AA182" i="1"/>
  <c r="W182" i="1" s="1"/>
  <c r="AA222" i="1"/>
  <c r="W222" i="1" s="1"/>
  <c r="AA221" i="1"/>
  <c r="X216" i="1"/>
  <c r="T214" i="1"/>
  <c r="U214" i="1" s="1"/>
  <c r="S214" i="1" s="1"/>
  <c r="AA139" i="1"/>
  <c r="W139" i="1" s="1"/>
  <c r="AG136" i="1"/>
  <c r="AI136" i="1" s="1"/>
  <c r="AA132" i="1"/>
  <c r="AA106" i="1"/>
  <c r="W106" i="1" s="1"/>
  <c r="AI90" i="1"/>
  <c r="AA57" i="1"/>
  <c r="AA56" i="1"/>
  <c r="AG53" i="1"/>
  <c r="AI53" i="1" s="1"/>
  <c r="AI47" i="1"/>
  <c r="X41" i="1"/>
  <c r="AA23" i="1"/>
  <c r="AG177" i="1"/>
  <c r="U177" i="1" s="1"/>
  <c r="S177" i="1" s="1"/>
  <c r="AG170" i="1"/>
  <c r="AI170" i="1" s="1"/>
  <c r="X166" i="1"/>
  <c r="AG162" i="1"/>
  <c r="U162" i="1" s="1"/>
  <c r="S162" i="1" s="1"/>
  <c r="AI222" i="1"/>
  <c r="AA218" i="1"/>
  <c r="AA215" i="1"/>
  <c r="AA207" i="1"/>
  <c r="X205" i="1"/>
  <c r="AA155" i="1"/>
  <c r="W155" i="1" s="1"/>
  <c r="AA143" i="1"/>
  <c r="W143" i="1" s="1"/>
  <c r="AA134" i="1"/>
  <c r="W134" i="1" s="1"/>
  <c r="AG125" i="1"/>
  <c r="AI125" i="1" s="1"/>
  <c r="T110" i="1"/>
  <c r="U110" i="1" s="1"/>
  <c r="S110" i="1" s="1"/>
  <c r="AA97" i="1"/>
  <c r="AA83" i="1"/>
  <c r="AA77" i="1"/>
  <c r="W77" i="1" s="1"/>
  <c r="AG61" i="1"/>
  <c r="U61" i="1" s="1"/>
  <c r="S61" i="1" s="1"/>
  <c r="X61" i="1"/>
  <c r="AA47" i="1"/>
  <c r="W47" i="1" s="1"/>
  <c r="X42" i="1"/>
  <c r="AG21" i="1"/>
  <c r="AI21" i="1" s="1"/>
  <c r="X17" i="1"/>
  <c r="AG15" i="1"/>
  <c r="U15" i="1" s="1"/>
  <c r="S15" i="1" s="1"/>
  <c r="AI147" i="1"/>
  <c r="T146" i="1"/>
  <c r="U146" i="1" s="1"/>
  <c r="S146" i="1" s="1"/>
  <c r="AI106" i="1"/>
  <c r="AI98" i="1"/>
  <c r="T41" i="1"/>
  <c r="T33" i="1"/>
  <c r="U33" i="1" s="1"/>
  <c r="S33" i="1" s="1"/>
  <c r="AG178" i="1"/>
  <c r="AI178" i="1" s="1"/>
  <c r="X194" i="1"/>
  <c r="AI206" i="1"/>
  <c r="AG190" i="1"/>
  <c r="AI190" i="1" s="1"/>
  <c r="AA187" i="1"/>
  <c r="W187" i="1" s="1"/>
  <c r="AA174" i="1"/>
  <c r="AG166" i="1"/>
  <c r="U166" i="1" s="1"/>
  <c r="S166" i="1" s="1"/>
  <c r="AA227" i="1"/>
  <c r="AG224" i="1"/>
  <c r="AI224" i="1" s="1"/>
  <c r="T213" i="1"/>
  <c r="U213" i="1" s="1"/>
  <c r="S213" i="1" s="1"/>
  <c r="AG212" i="1"/>
  <c r="U212" i="1" s="1"/>
  <c r="S212" i="1" s="1"/>
  <c r="AA202" i="1"/>
  <c r="AG186" i="1"/>
  <c r="U186" i="1" s="1"/>
  <c r="S186" i="1" s="1"/>
  <c r="AG174" i="1"/>
  <c r="AI174" i="1" s="1"/>
  <c r="AA159" i="1"/>
  <c r="AG217" i="1"/>
  <c r="U217" i="1" s="1"/>
  <c r="S217" i="1" s="1"/>
  <c r="AG216" i="1"/>
  <c r="AG209" i="1"/>
  <c r="AI209" i="1" s="1"/>
  <c r="X209" i="1"/>
  <c r="AA205" i="1"/>
  <c r="W205" i="1" s="1"/>
  <c r="AA138" i="1"/>
  <c r="X137" i="1"/>
  <c r="AA127" i="1"/>
  <c r="AA121" i="1"/>
  <c r="X102" i="1"/>
  <c r="AG88" i="1"/>
  <c r="AI88" i="1" s="1"/>
  <c r="AG81" i="1"/>
  <c r="AI81" i="1" s="1"/>
  <c r="X81" i="1"/>
  <c r="AA73" i="1"/>
  <c r="AA58" i="1"/>
  <c r="W58" i="1" s="1"/>
  <c r="AA52" i="1"/>
  <c r="X50" i="1"/>
  <c r="AG37" i="1"/>
  <c r="U37" i="1" s="1"/>
  <c r="S37" i="1" s="1"/>
  <c r="X37" i="1"/>
  <c r="AA17" i="1"/>
  <c r="AI213" i="1"/>
  <c r="AA199" i="1"/>
  <c r="W199" i="1" s="1"/>
  <c r="AI183" i="1"/>
  <c r="X181" i="1"/>
  <c r="AA180" i="1"/>
  <c r="AA179" i="1"/>
  <c r="W179" i="1" s="1"/>
  <c r="T179" i="1"/>
  <c r="U179" i="1" s="1"/>
  <c r="S179" i="1" s="1"/>
  <c r="X175" i="1"/>
  <c r="AA163" i="1"/>
  <c r="W163" i="1" s="1"/>
  <c r="T163" i="1"/>
  <c r="U163" i="1" s="1"/>
  <c r="S163" i="1" s="1"/>
  <c r="AI155" i="1"/>
  <c r="AA152" i="1"/>
  <c r="W152" i="1" s="1"/>
  <c r="AI143" i="1"/>
  <c r="AI139" i="1"/>
  <c r="AA133" i="1"/>
  <c r="AA118" i="1"/>
  <c r="AG113" i="1"/>
  <c r="AI113" i="1" s="1"/>
  <c r="AA111" i="1"/>
  <c r="AA110" i="1"/>
  <c r="W110" i="1" s="1"/>
  <c r="AG105" i="1"/>
  <c r="U105" i="1" s="1"/>
  <c r="S105" i="1" s="1"/>
  <c r="AA103" i="1"/>
  <c r="X98" i="1"/>
  <c r="AG96" i="1"/>
  <c r="U96" i="1" s="1"/>
  <c r="S96" i="1" s="1"/>
  <c r="X94" i="1"/>
  <c r="AA90" i="1"/>
  <c r="W90" i="1" s="1"/>
  <c r="AA87" i="1"/>
  <c r="AA82" i="1"/>
  <c r="W82" i="1" s="1"/>
  <c r="AG73" i="1"/>
  <c r="U73" i="1" s="1"/>
  <c r="S73" i="1" s="1"/>
  <c r="X73" i="1"/>
  <c r="AA61" i="1"/>
  <c r="AG57" i="1"/>
  <c r="AI57" i="1" s="1"/>
  <c r="AA46" i="1"/>
  <c r="AA43" i="1"/>
  <c r="AA42" i="1"/>
  <c r="AA41" i="1"/>
  <c r="AG38" i="1"/>
  <c r="AI38" i="1" s="1"/>
  <c r="AI34" i="1"/>
  <c r="AG27" i="1"/>
  <c r="U27" i="1" s="1"/>
  <c r="S27" i="1" s="1"/>
  <c r="AG19" i="1"/>
  <c r="AI19" i="1" s="1"/>
  <c r="X203" i="1"/>
  <c r="AI214" i="1"/>
  <c r="T198" i="1"/>
  <c r="U198" i="1" s="1"/>
  <c r="S198" i="1" s="1"/>
  <c r="AA192" i="1"/>
  <c r="T191" i="1"/>
  <c r="U191" i="1" s="1"/>
  <c r="S191" i="1" s="1"/>
  <c r="X178" i="1"/>
  <c r="AA177" i="1"/>
  <c r="AA170" i="1"/>
  <c r="AA168" i="1"/>
  <c r="W168" i="1" s="1"/>
  <c r="AA157" i="1"/>
  <c r="W157" i="1" s="1"/>
  <c r="AI152" i="1"/>
  <c r="AA148" i="1"/>
  <c r="AA144" i="1"/>
  <c r="X142" i="1"/>
  <c r="X139" i="1"/>
  <c r="AA137" i="1"/>
  <c r="W137" i="1" s="1"/>
  <c r="T137" i="1"/>
  <c r="U137" i="1" s="1"/>
  <c r="S137" i="1" s="1"/>
  <c r="T126" i="1"/>
  <c r="U126" i="1" s="1"/>
  <c r="S126" i="1" s="1"/>
  <c r="AA124" i="1"/>
  <c r="AA123" i="1"/>
  <c r="X122" i="1"/>
  <c r="AA86" i="1"/>
  <c r="W86" i="1" s="1"/>
  <c r="T85" i="1"/>
  <c r="AA78" i="1"/>
  <c r="X77" i="1"/>
  <c r="AA70" i="1"/>
  <c r="W70" i="1" s="1"/>
  <c r="AI69" i="1"/>
  <c r="AA67" i="1"/>
  <c r="W67" i="1" s="1"/>
  <c r="X57" i="1"/>
  <c r="AA31" i="1"/>
  <c r="AA30" i="1"/>
  <c r="X190" i="1"/>
  <c r="AA185" i="1"/>
  <c r="X170" i="1"/>
  <c r="AA219" i="1"/>
  <c r="W219" i="1" s="1"/>
  <c r="X136" i="1"/>
  <c r="AA135" i="1"/>
  <c r="AA129" i="1"/>
  <c r="AA128" i="1"/>
  <c r="AA120" i="1"/>
  <c r="X97" i="1"/>
  <c r="AA96" i="1"/>
  <c r="X93" i="1"/>
  <c r="AA92" i="1"/>
  <c r="AA91" i="1"/>
  <c r="T77" i="1"/>
  <c r="U77" i="1" s="1"/>
  <c r="S77" i="1" s="1"/>
  <c r="AA66" i="1"/>
  <c r="W66" i="1" s="1"/>
  <c r="AA65" i="1"/>
  <c r="W65" i="1" s="1"/>
  <c r="X51" i="1"/>
  <c r="AA38" i="1"/>
  <c r="AA27" i="1"/>
  <c r="AA26" i="1"/>
  <c r="AA25" i="1"/>
  <c r="X20" i="1"/>
  <c r="AA19" i="1"/>
  <c r="AA18" i="1"/>
  <c r="AI198" i="1"/>
  <c r="AI150" i="1"/>
  <c r="X206" i="1"/>
  <c r="T205" i="1"/>
  <c r="U205" i="1" s="1"/>
  <c r="S205" i="1" s="1"/>
  <c r="AG154" i="1"/>
  <c r="AA142" i="1"/>
  <c r="AG141" i="1"/>
  <c r="U141" i="1" s="1"/>
  <c r="S141" i="1" s="1"/>
  <c r="AG138" i="1"/>
  <c r="X138" i="1"/>
  <c r="T108" i="1"/>
  <c r="AG108" i="1"/>
  <c r="AI108" i="1" s="1"/>
  <c r="AI77" i="1"/>
  <c r="AI65" i="1"/>
  <c r="AG227" i="1"/>
  <c r="AI227" i="1" s="1"/>
  <c r="AA213" i="1"/>
  <c r="W213" i="1" s="1"/>
  <c r="AA212" i="1"/>
  <c r="AG211" i="1"/>
  <c r="U211" i="1" s="1"/>
  <c r="S211" i="1" s="1"/>
  <c r="T203" i="1"/>
  <c r="U203" i="1" s="1"/>
  <c r="S203" i="1" s="1"/>
  <c r="X199" i="1"/>
  <c r="AA195" i="1"/>
  <c r="W195" i="1" s="1"/>
  <c r="AG193" i="1"/>
  <c r="AI193" i="1" s="1"/>
  <c r="X193" i="1"/>
  <c r="AA189" i="1"/>
  <c r="AA188" i="1"/>
  <c r="W188" i="1" s="1"/>
  <c r="X187" i="1"/>
  <c r="AA186" i="1"/>
  <c r="T182" i="1"/>
  <c r="U182" i="1" s="1"/>
  <c r="S182" i="1" s="1"/>
  <c r="T175" i="1"/>
  <c r="U175" i="1" s="1"/>
  <c r="S175" i="1" s="1"/>
  <c r="X174" i="1"/>
  <c r="AA167" i="1"/>
  <c r="AA166" i="1"/>
  <c r="AG165" i="1"/>
  <c r="AI165" i="1" s="1"/>
  <c r="AA162" i="1"/>
  <c r="AG161" i="1"/>
  <c r="U161" i="1" s="1"/>
  <c r="S161" i="1" s="1"/>
  <c r="T160" i="1"/>
  <c r="U160" i="1" s="1"/>
  <c r="S160" i="1" s="1"/>
  <c r="AA158" i="1"/>
  <c r="X217" i="1"/>
  <c r="AA209" i="1"/>
  <c r="T150" i="1"/>
  <c r="U150" i="1" s="1"/>
  <c r="S150" i="1" s="1"/>
  <c r="X147" i="1"/>
  <c r="X143" i="1"/>
  <c r="AG142" i="1"/>
  <c r="U142" i="1" s="1"/>
  <c r="S142" i="1" s="1"/>
  <c r="T139" i="1"/>
  <c r="U139" i="1" s="1"/>
  <c r="S139" i="1" s="1"/>
  <c r="AG118" i="1"/>
  <c r="AI118" i="1" s="1"/>
  <c r="X118" i="1"/>
  <c r="AA102" i="1"/>
  <c r="W102" i="1" s="1"/>
  <c r="X101" i="1"/>
  <c r="X226" i="1"/>
  <c r="AG225" i="1"/>
  <c r="X225" i="1"/>
  <c r="X212" i="1"/>
  <c r="X197" i="1"/>
  <c r="AA171" i="1"/>
  <c r="T169" i="1"/>
  <c r="X214" i="1"/>
  <c r="T206" i="1"/>
  <c r="U206" i="1" s="1"/>
  <c r="S206" i="1" s="1"/>
  <c r="AA204" i="1"/>
  <c r="AA141" i="1"/>
  <c r="AA140" i="1"/>
  <c r="AI137" i="1"/>
  <c r="AA136" i="1"/>
  <c r="AG128" i="1"/>
  <c r="T128" i="1"/>
  <c r="AA113" i="1"/>
  <c r="T100" i="1"/>
  <c r="AG100" i="1"/>
  <c r="AI100" i="1" s="1"/>
  <c r="AA211" i="1"/>
  <c r="AA210" i="1"/>
  <c r="W210" i="1" s="1"/>
  <c r="AA201" i="1"/>
  <c r="AA191" i="1"/>
  <c r="W191" i="1" s="1"/>
  <c r="AA190" i="1"/>
  <c r="AG189" i="1"/>
  <c r="AI189" i="1" s="1"/>
  <c r="T187" i="1"/>
  <c r="U187" i="1" s="1"/>
  <c r="S187" i="1" s="1"/>
  <c r="X185" i="1"/>
  <c r="AA184" i="1"/>
  <c r="W184" i="1" s="1"/>
  <c r="AI194" i="1"/>
  <c r="AA178" i="1"/>
  <c r="AA164" i="1"/>
  <c r="AA161" i="1"/>
  <c r="X204" i="1"/>
  <c r="AA151" i="1"/>
  <c r="AA149" i="1"/>
  <c r="T147" i="1"/>
  <c r="U147" i="1" s="1"/>
  <c r="S147" i="1" s="1"/>
  <c r="T143" i="1"/>
  <c r="U143" i="1" s="1"/>
  <c r="S143" i="1" s="1"/>
  <c r="AG133" i="1"/>
  <c r="AI133" i="1" s="1"/>
  <c r="X133" i="1"/>
  <c r="X109" i="1"/>
  <c r="X125" i="1"/>
  <c r="AA114" i="1"/>
  <c r="AA108" i="1"/>
  <c r="AA107" i="1"/>
  <c r="X106" i="1"/>
  <c r="AA104" i="1"/>
  <c r="T102" i="1"/>
  <c r="U102" i="1" s="1"/>
  <c r="S102" i="1" s="1"/>
  <c r="AA99" i="1"/>
  <c r="T86" i="1"/>
  <c r="U86" i="1" s="1"/>
  <c r="S86" i="1" s="1"/>
  <c r="AA74" i="1"/>
  <c r="W74" i="1" s="1"/>
  <c r="X69" i="1"/>
  <c r="AA68" i="1"/>
  <c r="X49" i="1"/>
  <c r="AA48" i="1"/>
  <c r="W48" i="1" s="1"/>
  <c r="AA39" i="1"/>
  <c r="T38" i="1"/>
  <c r="AA32" i="1"/>
  <c r="AG28" i="1"/>
  <c r="AI28" i="1" s="1"/>
  <c r="X28" i="1"/>
  <c r="AA24" i="1"/>
  <c r="T24" i="1"/>
  <c r="AA22" i="1"/>
  <c r="AA20" i="1"/>
  <c r="T20" i="1"/>
  <c r="AG17" i="1"/>
  <c r="AG16" i="1"/>
  <c r="U16" i="1" s="1"/>
  <c r="S16" i="1" s="1"/>
  <c r="X16" i="1"/>
  <c r="T90" i="1"/>
  <c r="U90" i="1" s="1"/>
  <c r="S90" i="1" s="1"/>
  <c r="T70" i="1"/>
  <c r="U70" i="1" s="1"/>
  <c r="S70" i="1" s="1"/>
  <c r="T65" i="1"/>
  <c r="U65" i="1" s="1"/>
  <c r="S65" i="1" s="1"/>
  <c r="T50" i="1"/>
  <c r="T42" i="1"/>
  <c r="T34" i="1"/>
  <c r="U34" i="1" s="1"/>
  <c r="S34" i="1" s="1"/>
  <c r="T25" i="1"/>
  <c r="T117" i="1"/>
  <c r="U117" i="1" s="1"/>
  <c r="S117" i="1" s="1"/>
  <c r="AA109" i="1"/>
  <c r="T106" i="1"/>
  <c r="U106" i="1" s="1"/>
  <c r="S106" i="1" s="1"/>
  <c r="AA101" i="1"/>
  <c r="T94" i="1"/>
  <c r="U94" i="1" s="1"/>
  <c r="S94" i="1" s="1"/>
  <c r="X86" i="1"/>
  <c r="AA85" i="1"/>
  <c r="AG84" i="1"/>
  <c r="AI84" i="1" s="1"/>
  <c r="AA79" i="1"/>
  <c r="W79" i="1" s="1"/>
  <c r="AG76" i="1"/>
  <c r="AI76" i="1" s="1"/>
  <c r="X76" i="1"/>
  <c r="X66" i="1"/>
  <c r="AA63" i="1"/>
  <c r="W63" i="1" s="1"/>
  <c r="AG50" i="1"/>
  <c r="AI50" i="1" s="1"/>
  <c r="AG42" i="1"/>
  <c r="AG40" i="1"/>
  <c r="U40" i="1" s="1"/>
  <c r="S40" i="1" s="1"/>
  <c r="AA35" i="1"/>
  <c r="AA33" i="1"/>
  <c r="W33" i="1" s="1"/>
  <c r="AG32" i="1"/>
  <c r="U32" i="1" s="1"/>
  <c r="S32" i="1" s="1"/>
  <c r="AA28" i="1"/>
  <c r="AG25" i="1"/>
  <c r="AG24" i="1"/>
  <c r="AI24" i="1" s="1"/>
  <c r="X21" i="1"/>
  <c r="AG20" i="1"/>
  <c r="AI20" i="1" s="1"/>
  <c r="AA16" i="1"/>
  <c r="AA126" i="1"/>
  <c r="W126" i="1" s="1"/>
  <c r="AA125" i="1"/>
  <c r="AG124" i="1"/>
  <c r="AI124" i="1" s="1"/>
  <c r="T122" i="1"/>
  <c r="U122" i="1" s="1"/>
  <c r="S122" i="1" s="1"/>
  <c r="AA115" i="1"/>
  <c r="W115" i="1" s="1"/>
  <c r="X113" i="1"/>
  <c r="AI110" i="1"/>
  <c r="AG109" i="1"/>
  <c r="U109" i="1" s="1"/>
  <c r="S109" i="1" s="1"/>
  <c r="AA105" i="1"/>
  <c r="AG101" i="1"/>
  <c r="U101" i="1" s="1"/>
  <c r="S101" i="1" s="1"/>
  <c r="T98" i="1"/>
  <c r="U98" i="1" s="1"/>
  <c r="S98" i="1" s="1"/>
  <c r="AA95" i="1"/>
  <c r="AA93" i="1"/>
  <c r="AG92" i="1"/>
  <c r="U92" i="1" s="1"/>
  <c r="S92" i="1" s="1"/>
  <c r="X90" i="1"/>
  <c r="AA89" i="1"/>
  <c r="AG85" i="1"/>
  <c r="AI85" i="1" s="1"/>
  <c r="X80" i="1"/>
  <c r="T74" i="1"/>
  <c r="U74" i="1" s="1"/>
  <c r="S74" i="1" s="1"/>
  <c r="AA72" i="1"/>
  <c r="AA71" i="1"/>
  <c r="X70" i="1"/>
  <c r="AA69" i="1"/>
  <c r="W69" i="1" s="1"/>
  <c r="AA62" i="1"/>
  <c r="AA55" i="1"/>
  <c r="T51" i="1"/>
  <c r="U51" i="1" s="1"/>
  <c r="S51" i="1" s="1"/>
  <c r="AA49" i="1"/>
  <c r="AG41" i="1"/>
  <c r="AA37" i="1"/>
  <c r="X34" i="1"/>
  <c r="X33" i="1"/>
  <c r="AI203" i="1"/>
  <c r="AI219" i="1"/>
  <c r="T224" i="1"/>
  <c r="X211" i="1"/>
  <c r="T200" i="1"/>
  <c r="U200" i="1" s="1"/>
  <c r="S200" i="1" s="1"/>
  <c r="X200" i="1"/>
  <c r="X198" i="1"/>
  <c r="AA197" i="1"/>
  <c r="T193" i="1"/>
  <c r="X189" i="1"/>
  <c r="T184" i="1"/>
  <c r="U184" i="1" s="1"/>
  <c r="S184" i="1" s="1"/>
  <c r="X184" i="1"/>
  <c r="X183" i="1"/>
  <c r="X182" i="1"/>
  <c r="T181" i="1"/>
  <c r="AA176" i="1"/>
  <c r="AA173" i="1"/>
  <c r="T173" i="1"/>
  <c r="AG171" i="1"/>
  <c r="T171" i="1"/>
  <c r="X171" i="1"/>
  <c r="T164" i="1"/>
  <c r="AG164" i="1"/>
  <c r="AI164" i="1" s="1"/>
  <c r="AA156" i="1"/>
  <c r="W156" i="1" s="1"/>
  <c r="T140" i="1"/>
  <c r="X140" i="1"/>
  <c r="AG140" i="1"/>
  <c r="T176" i="1"/>
  <c r="X176" i="1"/>
  <c r="X177" i="1"/>
  <c r="AI187" i="1"/>
  <c r="X153" i="1"/>
  <c r="AG153" i="1"/>
  <c r="X154" i="1"/>
  <c r="AG151" i="1"/>
  <c r="X151" i="1"/>
  <c r="T151" i="1"/>
  <c r="T227" i="1"/>
  <c r="X213" i="1"/>
  <c r="T201" i="1"/>
  <c r="T195" i="1"/>
  <c r="U195" i="1" s="1"/>
  <c r="S195" i="1" s="1"/>
  <c r="X191" i="1"/>
  <c r="T185" i="1"/>
  <c r="AG181" i="1"/>
  <c r="AI181" i="1" s="1"/>
  <c r="AG176" i="1"/>
  <c r="AI176" i="1" s="1"/>
  <c r="X220" i="1"/>
  <c r="AG220" i="1"/>
  <c r="AI220" i="1" s="1"/>
  <c r="X221" i="1"/>
  <c r="AG218" i="1"/>
  <c r="AI218" i="1" s="1"/>
  <c r="X218" i="1"/>
  <c r="T218" i="1"/>
  <c r="AI156" i="1"/>
  <c r="AI119" i="1"/>
  <c r="T210" i="1"/>
  <c r="U210" i="1" s="1"/>
  <c r="S210" i="1" s="1"/>
  <c r="X210" i="1"/>
  <c r="T197" i="1"/>
  <c r="T188" i="1"/>
  <c r="U188" i="1" s="1"/>
  <c r="S188" i="1" s="1"/>
  <c r="X188" i="1"/>
  <c r="T180" i="1"/>
  <c r="X180" i="1"/>
  <c r="AG180" i="1"/>
  <c r="X173" i="1"/>
  <c r="AG173" i="1"/>
  <c r="AI173" i="1" s="1"/>
  <c r="T145" i="1"/>
  <c r="X145" i="1"/>
  <c r="AG145" i="1"/>
  <c r="X146" i="1"/>
  <c r="T103" i="1"/>
  <c r="X103" i="1"/>
  <c r="AG103" i="1"/>
  <c r="AG226" i="1"/>
  <c r="T226" i="1"/>
  <c r="T223" i="1"/>
  <c r="X223" i="1"/>
  <c r="AG197" i="1"/>
  <c r="AI197" i="1" s="1"/>
  <c r="T192" i="1"/>
  <c r="X192" i="1"/>
  <c r="AA224" i="1"/>
  <c r="AG223" i="1"/>
  <c r="AG201" i="1"/>
  <c r="AI201" i="1" s="1"/>
  <c r="T199" i="1"/>
  <c r="U199" i="1" s="1"/>
  <c r="S199" i="1" s="1"/>
  <c r="T196" i="1"/>
  <c r="U196" i="1" s="1"/>
  <c r="S196" i="1" s="1"/>
  <c r="X196" i="1"/>
  <c r="X195" i="1"/>
  <c r="AA193" i="1"/>
  <c r="AG192" i="1"/>
  <c r="AI192" i="1" s="1"/>
  <c r="AI205" i="1"/>
  <c r="AG185" i="1"/>
  <c r="T183" i="1"/>
  <c r="U183" i="1" s="1"/>
  <c r="S183" i="1" s="1"/>
  <c r="AA172" i="1"/>
  <c r="W172" i="1" s="1"/>
  <c r="AG169" i="1"/>
  <c r="AI169" i="1" s="1"/>
  <c r="X169" i="1"/>
  <c r="AG167" i="1"/>
  <c r="AI167" i="1" s="1"/>
  <c r="X167" i="1"/>
  <c r="T207" i="1"/>
  <c r="X207" i="1"/>
  <c r="AG207" i="1"/>
  <c r="X208" i="1"/>
  <c r="T153" i="1"/>
  <c r="T148" i="1"/>
  <c r="X148" i="1"/>
  <c r="AG148" i="1"/>
  <c r="X116" i="1"/>
  <c r="AG116" i="1"/>
  <c r="X117" i="1"/>
  <c r="T116" i="1"/>
  <c r="T107" i="1"/>
  <c r="X107" i="1"/>
  <c r="AG107" i="1"/>
  <c r="X108" i="1"/>
  <c r="T172" i="1"/>
  <c r="U172" i="1" s="1"/>
  <c r="S172" i="1" s="1"/>
  <c r="X172" i="1"/>
  <c r="AA169" i="1"/>
  <c r="T165" i="1"/>
  <c r="T157" i="1"/>
  <c r="U157" i="1" s="1"/>
  <c r="S157" i="1" s="1"/>
  <c r="X157" i="1"/>
  <c r="X222" i="1"/>
  <c r="AA220" i="1"/>
  <c r="T216" i="1"/>
  <c r="T156" i="1"/>
  <c r="U156" i="1" s="1"/>
  <c r="S156" i="1" s="1"/>
  <c r="X156" i="1"/>
  <c r="X155" i="1"/>
  <c r="AA153" i="1"/>
  <c r="AA145" i="1"/>
  <c r="T144" i="1"/>
  <c r="X144" i="1"/>
  <c r="AG144" i="1"/>
  <c r="AI134" i="1"/>
  <c r="X131" i="1"/>
  <c r="AG131" i="1"/>
  <c r="X132" i="1"/>
  <c r="T123" i="1"/>
  <c r="X123" i="1"/>
  <c r="AG123" i="1"/>
  <c r="X124" i="1"/>
  <c r="T87" i="1"/>
  <c r="X87" i="1"/>
  <c r="AG87" i="1"/>
  <c r="T158" i="1"/>
  <c r="T215" i="1"/>
  <c r="X215" i="1"/>
  <c r="T204" i="1"/>
  <c r="T149" i="1"/>
  <c r="X149" i="1"/>
  <c r="AI146" i="1"/>
  <c r="AG129" i="1"/>
  <c r="T129" i="1"/>
  <c r="AI112" i="1"/>
  <c r="AA181" i="1"/>
  <c r="T168" i="1"/>
  <c r="U168" i="1" s="1"/>
  <c r="S168" i="1" s="1"/>
  <c r="X168" i="1"/>
  <c r="AA165" i="1"/>
  <c r="AG158" i="1"/>
  <c r="T222" i="1"/>
  <c r="U222" i="1" s="1"/>
  <c r="S222" i="1" s="1"/>
  <c r="T219" i="1"/>
  <c r="U219" i="1" s="1"/>
  <c r="S219" i="1" s="1"/>
  <c r="X219" i="1"/>
  <c r="AA216" i="1"/>
  <c r="AG215" i="1"/>
  <c r="AI215" i="1" s="1"/>
  <c r="AG204" i="1"/>
  <c r="T155" i="1"/>
  <c r="U155" i="1" s="1"/>
  <c r="S155" i="1" s="1"/>
  <c r="T152" i="1"/>
  <c r="U152" i="1" s="1"/>
  <c r="S152" i="1" s="1"/>
  <c r="X152" i="1"/>
  <c r="X150" i="1"/>
  <c r="AG149" i="1"/>
  <c r="AG114" i="1"/>
  <c r="X114" i="1"/>
  <c r="T114" i="1"/>
  <c r="T134" i="1"/>
  <c r="U134" i="1" s="1"/>
  <c r="S134" i="1" s="1"/>
  <c r="X134" i="1"/>
  <c r="AA131" i="1"/>
  <c r="T119" i="1"/>
  <c r="U119" i="1" s="1"/>
  <c r="S119" i="1" s="1"/>
  <c r="X119" i="1"/>
  <c r="AA116" i="1"/>
  <c r="T112" i="1"/>
  <c r="U112" i="1" s="1"/>
  <c r="S112" i="1" s="1"/>
  <c r="AA100" i="1"/>
  <c r="T91" i="1"/>
  <c r="X91" i="1"/>
  <c r="AG91" i="1"/>
  <c r="AA84" i="1"/>
  <c r="AG78" i="1"/>
  <c r="X78" i="1"/>
  <c r="T78" i="1"/>
  <c r="AI67" i="1"/>
  <c r="X64" i="1"/>
  <c r="AG64" i="1"/>
  <c r="X65" i="1"/>
  <c r="T59" i="1"/>
  <c r="X59" i="1"/>
  <c r="AG59" i="1"/>
  <c r="X60" i="1"/>
  <c r="X141" i="1"/>
  <c r="T135" i="1"/>
  <c r="AI130" i="1"/>
  <c r="T127" i="1"/>
  <c r="X126" i="1"/>
  <c r="T120" i="1"/>
  <c r="AI115" i="1"/>
  <c r="T111" i="1"/>
  <c r="X111" i="1"/>
  <c r="X110" i="1"/>
  <c r="T104" i="1"/>
  <c r="X104" i="1"/>
  <c r="T99" i="1"/>
  <c r="X99" i="1"/>
  <c r="AG99" i="1"/>
  <c r="T71" i="1"/>
  <c r="X71" i="1"/>
  <c r="AG71" i="1"/>
  <c r="X72" i="1"/>
  <c r="T64" i="1"/>
  <c r="AG62" i="1"/>
  <c r="T62" i="1"/>
  <c r="X62" i="1"/>
  <c r="AG135" i="1"/>
  <c r="T133" i="1"/>
  <c r="T130" i="1"/>
  <c r="U130" i="1" s="1"/>
  <c r="S130" i="1" s="1"/>
  <c r="AG127" i="1"/>
  <c r="AG120" i="1"/>
  <c r="T118" i="1"/>
  <c r="T115" i="1"/>
  <c r="U115" i="1" s="1"/>
  <c r="S115" i="1" s="1"/>
  <c r="X115" i="1"/>
  <c r="AA112" i="1"/>
  <c r="W112" i="1" s="1"/>
  <c r="AG111" i="1"/>
  <c r="X105" i="1"/>
  <c r="AG104" i="1"/>
  <c r="T95" i="1"/>
  <c r="X95" i="1"/>
  <c r="AG95" i="1"/>
  <c r="AA88" i="1"/>
  <c r="T83" i="1"/>
  <c r="X83" i="1"/>
  <c r="AG83" i="1"/>
  <c r="X84" i="1"/>
  <c r="X82" i="1"/>
  <c r="T82" i="1"/>
  <c r="U82" i="1" s="1"/>
  <c r="S82" i="1" s="1"/>
  <c r="T76" i="1"/>
  <c r="T67" i="1"/>
  <c r="U67" i="1" s="1"/>
  <c r="S67" i="1" s="1"/>
  <c r="X67" i="1"/>
  <c r="AA64" i="1"/>
  <c r="AA60" i="1"/>
  <c r="AA59" i="1"/>
  <c r="T55" i="1"/>
  <c r="X55" i="1"/>
  <c r="AG55" i="1"/>
  <c r="X56" i="1"/>
  <c r="T52" i="1"/>
  <c r="X52" i="1"/>
  <c r="AG52" i="1"/>
  <c r="X53" i="1"/>
  <c r="T18" i="1"/>
  <c r="X18" i="1"/>
  <c r="AG18" i="1"/>
  <c r="X100" i="1"/>
  <c r="X96" i="1"/>
  <c r="X92" i="1"/>
  <c r="X88" i="1"/>
  <c r="AI79" i="1"/>
  <c r="T75" i="1"/>
  <c r="X75" i="1"/>
  <c r="X74" i="1"/>
  <c r="T68" i="1"/>
  <c r="AI63" i="1"/>
  <c r="X45" i="1"/>
  <c r="AG45" i="1"/>
  <c r="X46" i="1"/>
  <c r="T39" i="1"/>
  <c r="X39" i="1"/>
  <c r="AG39" i="1"/>
  <c r="T79" i="1"/>
  <c r="U79" i="1" s="1"/>
  <c r="S79" i="1" s="1"/>
  <c r="X79" i="1"/>
  <c r="AA76" i="1"/>
  <c r="AG75" i="1"/>
  <c r="AG68" i="1"/>
  <c r="T66" i="1"/>
  <c r="U66" i="1" s="1"/>
  <c r="S66" i="1" s="1"/>
  <c r="T63" i="1"/>
  <c r="U63" i="1" s="1"/>
  <c r="S63" i="1" s="1"/>
  <c r="X63" i="1"/>
  <c r="AI48" i="1"/>
  <c r="T44" i="1"/>
  <c r="X44" i="1"/>
  <c r="AG44" i="1"/>
  <c r="X58" i="1"/>
  <c r="T58" i="1"/>
  <c r="U58" i="1" s="1"/>
  <c r="S58" i="1" s="1"/>
  <c r="X54" i="1"/>
  <c r="T54" i="1"/>
  <c r="U54" i="1" s="1"/>
  <c r="S54" i="1" s="1"/>
  <c r="T48" i="1"/>
  <c r="U48" i="1" s="1"/>
  <c r="S48" i="1" s="1"/>
  <c r="X48" i="1"/>
  <c r="X47" i="1"/>
  <c r="AA45" i="1"/>
  <c r="AA44" i="1"/>
  <c r="T43" i="1"/>
  <c r="X43" i="1"/>
  <c r="AG43" i="1"/>
  <c r="AA36" i="1"/>
  <c r="T22" i="1"/>
  <c r="X22" i="1"/>
  <c r="AG22" i="1"/>
  <c r="AA15" i="1"/>
  <c r="T49" i="1"/>
  <c r="T35" i="1"/>
  <c r="X35" i="1"/>
  <c r="AG35" i="1"/>
  <c r="T14" i="1"/>
  <c r="AG14" i="1"/>
  <c r="AG49" i="1"/>
  <c r="T47" i="1"/>
  <c r="U47" i="1" s="1"/>
  <c r="S47" i="1" s="1"/>
  <c r="AA40" i="1"/>
  <c r="T31" i="1"/>
  <c r="AG31" i="1"/>
  <c r="T26" i="1"/>
  <c r="X26" i="1"/>
  <c r="AG26" i="1"/>
  <c r="X40" i="1"/>
  <c r="X36" i="1"/>
  <c r="AI33" i="1"/>
  <c r="X27" i="1"/>
  <c r="X23" i="1"/>
  <c r="X19" i="1"/>
  <c r="X15" i="1"/>
  <c r="AG30" i="1"/>
  <c r="AC52" i="3"/>
  <c r="AC30" i="3"/>
  <c r="AC65" i="3"/>
  <c r="AC61" i="3"/>
  <c r="AC59" i="3"/>
  <c r="AC55" i="3"/>
  <c r="AC53" i="3"/>
  <c r="AC49" i="3"/>
  <c r="AC45" i="3"/>
  <c r="AC41" i="3"/>
  <c r="AC39" i="3"/>
  <c r="AC33" i="3"/>
  <c r="AC29" i="3"/>
  <c r="AC23" i="3"/>
  <c r="AC21" i="3"/>
  <c r="AC13" i="3"/>
  <c r="AC64" i="3"/>
  <c r="AC62" i="3"/>
  <c r="AC46" i="3"/>
  <c r="AC44" i="3"/>
  <c r="AC28" i="3"/>
  <c r="AC16" i="3"/>
  <c r="AC14" i="3"/>
  <c r="AC8" i="3"/>
  <c r="Y50" i="3"/>
  <c r="S38" i="3"/>
  <c r="R38" i="3"/>
  <c r="S24" i="3"/>
  <c r="R24" i="3"/>
  <c r="S25" i="3"/>
  <c r="R25" i="3"/>
  <c r="S26" i="3"/>
  <c r="R26" i="3"/>
  <c r="S16" i="3"/>
  <c r="R16" i="3"/>
  <c r="S27" i="3"/>
  <c r="R27" i="3"/>
  <c r="S17" i="3"/>
  <c r="R17" i="3"/>
  <c r="S29" i="3"/>
  <c r="R29" i="3"/>
  <c r="S13" i="3"/>
  <c r="R13" i="3"/>
  <c r="S41" i="3"/>
  <c r="R41" i="3"/>
  <c r="S32" i="3"/>
  <c r="R32" i="3"/>
  <c r="S21" i="3"/>
  <c r="R21" i="3"/>
  <c r="S42" i="3"/>
  <c r="R42" i="3"/>
  <c r="S14" i="3"/>
  <c r="R14" i="3"/>
  <c r="S34" i="3"/>
  <c r="R34" i="3"/>
  <c r="S35" i="3"/>
  <c r="R35" i="3"/>
  <c r="S10" i="3"/>
  <c r="R10" i="3"/>
  <c r="S43" i="3"/>
  <c r="R43" i="3"/>
  <c r="S15" i="3"/>
  <c r="R15" i="3"/>
  <c r="S36" i="3"/>
  <c r="R36" i="3"/>
  <c r="S64" i="3"/>
  <c r="R64" i="3"/>
  <c r="S65" i="3"/>
  <c r="R65" i="3"/>
  <c r="S50" i="3"/>
  <c r="R50" i="3"/>
  <c r="S52" i="3"/>
  <c r="R52" i="3"/>
  <c r="S55" i="3"/>
  <c r="R55" i="3"/>
  <c r="S59" i="3"/>
  <c r="R59" i="3"/>
  <c r="S51" i="3"/>
  <c r="R51" i="3"/>
  <c r="S47" i="3"/>
  <c r="R47" i="3"/>
  <c r="S44" i="3"/>
  <c r="R44" i="3"/>
  <c r="S46" i="3"/>
  <c r="R46" i="3"/>
  <c r="S48" i="3"/>
  <c r="R48" i="3"/>
  <c r="S58" i="3"/>
  <c r="R58" i="3"/>
  <c r="S61" i="3"/>
  <c r="R61" i="3"/>
  <c r="S62" i="3"/>
  <c r="R62" i="3"/>
  <c r="S63" i="3"/>
  <c r="R63" i="3"/>
  <c r="M37" i="3"/>
  <c r="N37" i="3"/>
  <c r="U37" i="3"/>
  <c r="V37" i="3"/>
  <c r="W37" i="3"/>
  <c r="X37" i="3"/>
  <c r="W223" i="1" l="1"/>
  <c r="U72" i="1"/>
  <c r="S72" i="1" s="1"/>
  <c r="U136" i="1"/>
  <c r="S136" i="1" s="1"/>
  <c r="W136" i="1"/>
  <c r="U36" i="1"/>
  <c r="S36" i="1" s="1"/>
  <c r="AI141" i="1"/>
  <c r="W212" i="1"/>
  <c r="W132" i="1"/>
  <c r="W36" i="1"/>
  <c r="W123" i="1"/>
  <c r="W171" i="1"/>
  <c r="AI142" i="1"/>
  <c r="W72" i="1"/>
  <c r="AI61" i="1"/>
  <c r="U132" i="1"/>
  <c r="S132" i="1" s="1"/>
  <c r="W113" i="1"/>
  <c r="AI93" i="1"/>
  <c r="W121" i="1"/>
  <c r="U174" i="1"/>
  <c r="S174" i="1" s="1"/>
  <c r="W93" i="1"/>
  <c r="AI89" i="1"/>
  <c r="W138" i="1"/>
  <c r="W144" i="1"/>
  <c r="W42" i="1"/>
  <c r="W78" i="1"/>
  <c r="W141" i="1"/>
  <c r="W43" i="1"/>
  <c r="AI121" i="1"/>
  <c r="Y37" i="3"/>
  <c r="AI37" i="1"/>
  <c r="W226" i="1"/>
  <c r="W97" i="1"/>
  <c r="W23" i="1"/>
  <c r="W103" i="1"/>
  <c r="W180" i="1"/>
  <c r="AI211" i="1"/>
  <c r="AI97" i="1"/>
  <c r="U193" i="1"/>
  <c r="S193" i="1" s="1"/>
  <c r="W211" i="1"/>
  <c r="U159" i="1"/>
  <c r="S159" i="1" s="1"/>
  <c r="W204" i="1"/>
  <c r="W21" i="1"/>
  <c r="W208" i="1"/>
  <c r="U133" i="1"/>
  <c r="S133" i="1" s="1"/>
  <c r="W178" i="1"/>
  <c r="AI92" i="1"/>
  <c r="U138" i="1"/>
  <c r="S138" i="1" s="1"/>
  <c r="W209" i="1"/>
  <c r="W52" i="1"/>
  <c r="W159" i="1"/>
  <c r="AI80" i="1"/>
  <c r="W35" i="1"/>
  <c r="W186" i="1"/>
  <c r="U60" i="1"/>
  <c r="S60" i="1" s="1"/>
  <c r="W15" i="1"/>
  <c r="AI23" i="1"/>
  <c r="W95" i="1"/>
  <c r="W62" i="1"/>
  <c r="AI138" i="1"/>
  <c r="W149" i="1"/>
  <c r="W202" i="1"/>
  <c r="W92" i="1"/>
  <c r="W224" i="1"/>
  <c r="W217" i="1"/>
  <c r="W99" i="1"/>
  <c r="AI101" i="1"/>
  <c r="U190" i="1"/>
  <c r="S190" i="1" s="1"/>
  <c r="U224" i="1"/>
  <c r="S224" i="1" s="1"/>
  <c r="W46" i="1"/>
  <c r="W177" i="1"/>
  <c r="W87" i="1"/>
  <c r="W80" i="1"/>
  <c r="AI15" i="1"/>
  <c r="AI40" i="1"/>
  <c r="W55" i="1"/>
  <c r="W60" i="1"/>
  <c r="W83" i="1"/>
  <c r="W127" i="1"/>
  <c r="W100" i="1"/>
  <c r="W107" i="1"/>
  <c r="W193" i="1"/>
  <c r="AI217" i="1"/>
  <c r="AI177" i="1"/>
  <c r="W41" i="1"/>
  <c r="W89" i="1"/>
  <c r="AI46" i="1"/>
  <c r="W154" i="1"/>
  <c r="AI162" i="1"/>
  <c r="AI27" i="1"/>
  <c r="U189" i="1"/>
  <c r="S189" i="1" s="1"/>
  <c r="W151" i="1"/>
  <c r="AI161" i="1"/>
  <c r="U53" i="1"/>
  <c r="S53" i="1" s="1"/>
  <c r="U113" i="1"/>
  <c r="S113" i="1" s="1"/>
  <c r="W133" i="1"/>
  <c r="U76" i="1"/>
  <c r="S76" i="1" s="1"/>
  <c r="W135" i="1"/>
  <c r="AI208" i="1"/>
  <c r="W161" i="1"/>
  <c r="W190" i="1"/>
  <c r="W162" i="1"/>
  <c r="W27" i="1"/>
  <c r="U178" i="1"/>
  <c r="S178" i="1" s="1"/>
  <c r="W56" i="1"/>
  <c r="W81" i="1"/>
  <c r="W59" i="1"/>
  <c r="U81" i="1"/>
  <c r="S81" i="1" s="1"/>
  <c r="W111" i="1"/>
  <c r="U50" i="1"/>
  <c r="S50" i="1" s="1"/>
  <c r="U209" i="1"/>
  <c r="S209" i="1" s="1"/>
  <c r="W49" i="1"/>
  <c r="AI16" i="1"/>
  <c r="U88" i="1"/>
  <c r="S88" i="1" s="1"/>
  <c r="W37" i="1"/>
  <c r="W19" i="1"/>
  <c r="W61" i="1"/>
  <c r="W22" i="1"/>
  <c r="U28" i="1"/>
  <c r="S28" i="1" s="1"/>
  <c r="AI56" i="1"/>
  <c r="W76" i="1"/>
  <c r="W68" i="1"/>
  <c r="AI32" i="1"/>
  <c r="W88" i="1"/>
  <c r="U118" i="1"/>
  <c r="S118" i="1" s="1"/>
  <c r="U124" i="1"/>
  <c r="S124" i="1" s="1"/>
  <c r="U165" i="1"/>
  <c r="S165" i="1" s="1"/>
  <c r="AI221" i="1"/>
  <c r="W218" i="1"/>
  <c r="U202" i="1"/>
  <c r="S202" i="1" s="1"/>
  <c r="U21" i="1"/>
  <c r="S21" i="1" s="1"/>
  <c r="U100" i="1"/>
  <c r="S100" i="1" s="1"/>
  <c r="W128" i="1"/>
  <c r="W53" i="1"/>
  <c r="W165" i="1"/>
  <c r="W220" i="1"/>
  <c r="W166" i="1"/>
  <c r="W73" i="1"/>
  <c r="W174" i="1"/>
  <c r="W125" i="1"/>
  <c r="W221" i="1"/>
  <c r="AI41" i="1"/>
  <c r="AI96" i="1"/>
  <c r="W216" i="1"/>
  <c r="W192" i="1"/>
  <c r="U125" i="1"/>
  <c r="S125" i="1" s="1"/>
  <c r="W108" i="1"/>
  <c r="W18" i="1"/>
  <c r="W96" i="1"/>
  <c r="U85" i="1"/>
  <c r="S85" i="1" s="1"/>
  <c r="W124" i="1"/>
  <c r="W170" i="1"/>
  <c r="U216" i="1"/>
  <c r="S216" i="1" s="1"/>
  <c r="U19" i="1"/>
  <c r="S19" i="1" s="1"/>
  <c r="W189" i="1"/>
  <c r="U24" i="1"/>
  <c r="S24" i="1" s="1"/>
  <c r="W85" i="1"/>
  <c r="U57" i="1"/>
  <c r="S57" i="1" s="1"/>
  <c r="U41" i="1"/>
  <c r="S41" i="1" s="1"/>
  <c r="W84" i="1"/>
  <c r="U170" i="1"/>
  <c r="S170" i="1" s="1"/>
  <c r="U84" i="1"/>
  <c r="S84" i="1" s="1"/>
  <c r="W116" i="1"/>
  <c r="U227" i="1"/>
  <c r="S227" i="1" s="1"/>
  <c r="W105" i="1"/>
  <c r="U20" i="1"/>
  <c r="S20" i="1" s="1"/>
  <c r="W38" i="1"/>
  <c r="AI73" i="1"/>
  <c r="U108" i="1"/>
  <c r="S108" i="1" s="1"/>
  <c r="W181" i="1"/>
  <c r="U38" i="1"/>
  <c r="S38" i="1" s="1"/>
  <c r="AI105" i="1"/>
  <c r="W40" i="1"/>
  <c r="AI109" i="1"/>
  <c r="AI171" i="1"/>
  <c r="W201" i="1"/>
  <c r="AI180" i="1"/>
  <c r="W173" i="1"/>
  <c r="W227" i="1"/>
  <c r="W57" i="1"/>
  <c r="W158" i="1"/>
  <c r="AI158" i="1"/>
  <c r="W145" i="1"/>
  <c r="W176" i="1"/>
  <c r="W16" i="1"/>
  <c r="U25" i="1"/>
  <c r="S25" i="1" s="1"/>
  <c r="AI25" i="1"/>
  <c r="W101" i="1"/>
  <c r="U17" i="1"/>
  <c r="S17" i="1" s="1"/>
  <c r="AI17" i="1"/>
  <c r="W32" i="1"/>
  <c r="W25" i="1"/>
  <c r="W50" i="1"/>
  <c r="W17" i="1"/>
  <c r="W24" i="1"/>
  <c r="U225" i="1"/>
  <c r="S225" i="1" s="1"/>
  <c r="AI225" i="1"/>
  <c r="W118" i="1"/>
  <c r="W142" i="1"/>
  <c r="W185" i="1"/>
  <c r="AI185" i="1"/>
  <c r="AI204" i="1"/>
  <c r="W197" i="1"/>
  <c r="W28" i="1"/>
  <c r="W109" i="1"/>
  <c r="W20" i="1"/>
  <c r="U128" i="1"/>
  <c r="S128" i="1" s="1"/>
  <c r="AI128" i="1"/>
  <c r="W225" i="1"/>
  <c r="U42" i="1"/>
  <c r="S42" i="1" s="1"/>
  <c r="AI42" i="1"/>
  <c r="U154" i="1"/>
  <c r="S154" i="1" s="1"/>
  <c r="AI154" i="1"/>
  <c r="U30" i="1"/>
  <c r="S30" i="1" s="1"/>
  <c r="AI30" i="1"/>
  <c r="AI26" i="1"/>
  <c r="U26" i="1"/>
  <c r="S26" i="1" s="1"/>
  <c r="AI44" i="1"/>
  <c r="U44" i="1"/>
  <c r="S44" i="1" s="1"/>
  <c r="U75" i="1"/>
  <c r="S75" i="1" s="1"/>
  <c r="AI75" i="1"/>
  <c r="AI39" i="1"/>
  <c r="U39" i="1"/>
  <c r="S39" i="1" s="1"/>
  <c r="AI45" i="1"/>
  <c r="U45" i="1"/>
  <c r="S45" i="1" s="1"/>
  <c r="U95" i="1"/>
  <c r="S95" i="1" s="1"/>
  <c r="AI95" i="1"/>
  <c r="AI120" i="1"/>
  <c r="U120" i="1"/>
  <c r="S120" i="1" s="1"/>
  <c r="U62" i="1"/>
  <c r="S62" i="1" s="1"/>
  <c r="AI62" i="1"/>
  <c r="AI71" i="1"/>
  <c r="U71" i="1"/>
  <c r="S71" i="1" s="1"/>
  <c r="AI59" i="1"/>
  <c r="U59" i="1"/>
  <c r="S59" i="1" s="1"/>
  <c r="U114" i="1"/>
  <c r="S114" i="1" s="1"/>
  <c r="AI114" i="1"/>
  <c r="W114" i="1"/>
  <c r="U129" i="1"/>
  <c r="S129" i="1" s="1"/>
  <c r="AI129" i="1"/>
  <c r="AI116" i="1"/>
  <c r="U116" i="1"/>
  <c r="S116" i="1" s="1"/>
  <c r="U148" i="1"/>
  <c r="S148" i="1" s="1"/>
  <c r="AI148" i="1"/>
  <c r="AI184" i="1"/>
  <c r="U169" i="1"/>
  <c r="S169" i="1" s="1"/>
  <c r="U192" i="1"/>
  <c r="S192" i="1" s="1"/>
  <c r="AI207" i="1"/>
  <c r="AI216" i="1"/>
  <c r="U201" i="1"/>
  <c r="S201" i="1" s="1"/>
  <c r="AI168" i="1"/>
  <c r="U220" i="1"/>
  <c r="S220" i="1" s="1"/>
  <c r="U181" i="1"/>
  <c r="S181" i="1" s="1"/>
  <c r="AI196" i="1"/>
  <c r="AI153" i="1"/>
  <c r="U153" i="1"/>
  <c r="S153" i="1" s="1"/>
  <c r="U164" i="1"/>
  <c r="S164" i="1" s="1"/>
  <c r="AI179" i="1"/>
  <c r="AI14" i="1"/>
  <c r="U14" i="1"/>
  <c r="S14" i="1" s="1"/>
  <c r="U215" i="1"/>
  <c r="S215" i="1" s="1"/>
  <c r="AI163" i="1"/>
  <c r="AI200" i="1"/>
  <c r="U185" i="1"/>
  <c r="S185" i="1" s="1"/>
  <c r="AI104" i="1"/>
  <c r="U104" i="1"/>
  <c r="S104" i="1" s="1"/>
  <c r="U127" i="1"/>
  <c r="S127" i="1" s="1"/>
  <c r="AI127" i="1"/>
  <c r="U78" i="1"/>
  <c r="S78" i="1" s="1"/>
  <c r="AI78" i="1"/>
  <c r="U91" i="1"/>
  <c r="S91" i="1" s="1"/>
  <c r="AI91" i="1"/>
  <c r="W71" i="1"/>
  <c r="AI149" i="1"/>
  <c r="U149" i="1"/>
  <c r="S149" i="1" s="1"/>
  <c r="AI172" i="1"/>
  <c r="U158" i="1"/>
  <c r="S158" i="1" s="1"/>
  <c r="W104" i="1"/>
  <c r="W120" i="1"/>
  <c r="AI160" i="1"/>
  <c r="U207" i="1"/>
  <c r="S207" i="1" s="1"/>
  <c r="U167" i="1"/>
  <c r="S167" i="1" s="1"/>
  <c r="AI182" i="1"/>
  <c r="AI212" i="1"/>
  <c r="U197" i="1"/>
  <c r="S197" i="1" s="1"/>
  <c r="U226" i="1"/>
  <c r="S226" i="1" s="1"/>
  <c r="AI226" i="1"/>
  <c r="AI145" i="1"/>
  <c r="U145" i="1"/>
  <c r="S145" i="1" s="1"/>
  <c r="AI188" i="1"/>
  <c r="U173" i="1"/>
  <c r="S173" i="1" s="1"/>
  <c r="W148" i="1"/>
  <c r="U218" i="1"/>
  <c r="S218" i="1" s="1"/>
  <c r="AI166" i="1"/>
  <c r="W167" i="1"/>
  <c r="U151" i="1"/>
  <c r="S151" i="1" s="1"/>
  <c r="AI151" i="1"/>
  <c r="W215" i="1"/>
  <c r="U171" i="1"/>
  <c r="S171" i="1" s="1"/>
  <c r="AI186" i="1"/>
  <c r="AI31" i="1"/>
  <c r="U31" i="1"/>
  <c r="S31" i="1" s="1"/>
  <c r="AI35" i="1"/>
  <c r="U35" i="1"/>
  <c r="S35" i="1" s="1"/>
  <c r="W30" i="1"/>
  <c r="U83" i="1"/>
  <c r="S83" i="1" s="1"/>
  <c r="AI83" i="1"/>
  <c r="AI64" i="1"/>
  <c r="U64" i="1"/>
  <c r="S64" i="1" s="1"/>
  <c r="U87" i="1"/>
  <c r="S87" i="1" s="1"/>
  <c r="AI87" i="1"/>
  <c r="AI131" i="1"/>
  <c r="U131" i="1"/>
  <c r="S131" i="1" s="1"/>
  <c r="U144" i="1"/>
  <c r="S144" i="1" s="1"/>
  <c r="AI144" i="1"/>
  <c r="AI175" i="1"/>
  <c r="U180" i="1"/>
  <c r="S180" i="1" s="1"/>
  <c r="AI195" i="1"/>
  <c r="U140" i="1"/>
  <c r="S140" i="1" s="1"/>
  <c r="AI140" i="1"/>
  <c r="W26" i="1"/>
  <c r="W39" i="1"/>
  <c r="W44" i="1"/>
  <c r="AI68" i="1"/>
  <c r="U68" i="1"/>
  <c r="S68" i="1" s="1"/>
  <c r="AI18" i="1"/>
  <c r="U18" i="1"/>
  <c r="S18" i="1" s="1"/>
  <c r="AI49" i="1"/>
  <c r="U49" i="1"/>
  <c r="S49" i="1" s="1"/>
  <c r="W31" i="1"/>
  <c r="AI22" i="1"/>
  <c r="U22" i="1"/>
  <c r="S22" i="1" s="1"/>
  <c r="U43" i="1"/>
  <c r="S43" i="1" s="1"/>
  <c r="AI43" i="1"/>
  <c r="W45" i="1"/>
  <c r="AI52" i="1"/>
  <c r="U52" i="1"/>
  <c r="S52" i="1" s="1"/>
  <c r="U55" i="1"/>
  <c r="S55" i="1" s="1"/>
  <c r="AI55" i="1"/>
  <c r="W64" i="1"/>
  <c r="W91" i="1"/>
  <c r="U111" i="1"/>
  <c r="S111" i="1" s="1"/>
  <c r="AI111" i="1"/>
  <c r="AI135" i="1"/>
  <c r="U135" i="1"/>
  <c r="S135" i="1" s="1"/>
  <c r="U99" i="1"/>
  <c r="S99" i="1" s="1"/>
  <c r="AI99" i="1"/>
  <c r="W75" i="1"/>
  <c r="W131" i="1"/>
  <c r="AI157" i="1"/>
  <c r="U204" i="1"/>
  <c r="S204" i="1" s="1"/>
  <c r="AI123" i="1"/>
  <c r="U123" i="1"/>
  <c r="S123" i="1" s="1"/>
  <c r="W140" i="1"/>
  <c r="W153" i="1"/>
  <c r="W169" i="1"/>
  <c r="AI107" i="1"/>
  <c r="U107" i="1"/>
  <c r="S107" i="1" s="1"/>
  <c r="W129" i="1"/>
  <c r="U223" i="1"/>
  <c r="S223" i="1" s="1"/>
  <c r="AI223" i="1"/>
  <c r="W14" i="1"/>
  <c r="U103" i="1"/>
  <c r="S103" i="1" s="1"/>
  <c r="AI103" i="1"/>
  <c r="W207" i="1"/>
  <c r="AI191" i="1"/>
  <c r="U176" i="1"/>
  <c r="S176" i="1" s="1"/>
  <c r="W164" i="1"/>
  <c r="S45" i="3"/>
  <c r="S56" i="3"/>
  <c r="S57" i="3"/>
  <c r="S49" i="3"/>
  <c r="S60" i="3"/>
  <c r="S30" i="3"/>
  <c r="S31" i="3"/>
  <c r="S8" i="3"/>
  <c r="S28" i="3"/>
  <c r="R7" i="3"/>
  <c r="R19" i="3"/>
  <c r="R18" i="3"/>
  <c r="S9" i="3"/>
  <c r="S39" i="3"/>
  <c r="R8" i="3"/>
  <c r="R28" i="3"/>
  <c r="S7" i="3"/>
  <c r="S19" i="3"/>
  <c r="S18" i="3"/>
  <c r="S53" i="3"/>
  <c r="S54" i="3"/>
  <c r="R22" i="3"/>
  <c r="R12" i="3"/>
  <c r="R33" i="3"/>
  <c r="R20" i="3"/>
  <c r="R40" i="3"/>
  <c r="S11" i="3"/>
  <c r="S23" i="3"/>
  <c r="R49" i="3"/>
  <c r="R60" i="3"/>
  <c r="R30" i="3"/>
  <c r="R31" i="3"/>
  <c r="R56" i="3"/>
  <c r="R57" i="3"/>
  <c r="R45" i="3"/>
  <c r="R53" i="3"/>
  <c r="R54" i="3"/>
  <c r="S22" i="3"/>
  <c r="S12" i="3"/>
  <c r="S33" i="3"/>
  <c r="S20" i="3"/>
  <c r="S40" i="3"/>
  <c r="R9" i="3"/>
  <c r="R39" i="3"/>
  <c r="R11" i="3"/>
  <c r="R23" i="3"/>
  <c r="T37" i="3"/>
  <c r="AC37" i="3"/>
  <c r="Y7" i="3"/>
  <c r="AC7" i="3"/>
  <c r="S37" i="3"/>
  <c r="R37" i="3"/>
  <c r="B8" i="6" l="1"/>
  <c r="H8" i="6" s="1"/>
  <c r="B9" i="6"/>
  <c r="H9" i="6" s="1"/>
  <c r="B10" i="6"/>
  <c r="G10" i="6" s="1"/>
  <c r="B11" i="6"/>
  <c r="F11" i="6" s="1"/>
  <c r="G11" i="6"/>
  <c r="H11" i="6"/>
  <c r="I11" i="6"/>
  <c r="B12" i="6"/>
  <c r="H12" i="6" s="1"/>
  <c r="F12" i="6"/>
  <c r="G12" i="6"/>
  <c r="B13" i="6"/>
  <c r="H13" i="6" s="1"/>
  <c r="B14" i="6"/>
  <c r="G14" i="6" s="1"/>
  <c r="F13" i="6" l="1"/>
  <c r="I13" i="6"/>
  <c r="I12" i="6"/>
  <c r="I14" i="6"/>
  <c r="I9" i="6"/>
  <c r="F9" i="6"/>
  <c r="I8" i="6"/>
  <c r="G8" i="6"/>
  <c r="F8" i="6"/>
  <c r="F14" i="6"/>
  <c r="G13" i="6"/>
  <c r="F10" i="6"/>
  <c r="G9" i="6"/>
  <c r="I10" i="6"/>
  <c r="H14" i="6"/>
  <c r="H10" i="6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T13" i="1" l="1"/>
  <c r="X13" i="1"/>
  <c r="AA13" i="1"/>
  <c r="AG13" i="1"/>
  <c r="M26" i="5"/>
  <c r="AH15" i="1" l="1"/>
  <c r="AH16" i="1"/>
  <c r="AH33" i="1"/>
  <c r="AH34" i="1"/>
  <c r="AH35" i="1"/>
  <c r="AH41" i="1"/>
  <c r="AH42" i="1"/>
  <c r="AH43" i="1"/>
  <c r="AH44" i="1"/>
  <c r="AH45" i="1"/>
  <c r="AH53" i="1"/>
  <c r="AH55" i="1"/>
  <c r="AH71" i="1"/>
  <c r="AH83" i="1"/>
  <c r="AH84" i="1"/>
  <c r="AH85" i="1"/>
  <c r="AH86" i="1"/>
  <c r="AH89" i="1"/>
  <c r="AH90" i="1"/>
  <c r="AH97" i="1"/>
  <c r="AH98" i="1"/>
  <c r="AH103" i="1"/>
  <c r="AH104" i="1"/>
  <c r="AH105" i="1"/>
  <c r="AH106" i="1"/>
  <c r="AH119" i="1"/>
  <c r="AH120" i="1"/>
  <c r="AH128" i="1"/>
  <c r="AH129" i="1"/>
  <c r="AH130" i="1"/>
  <c r="AH131" i="1"/>
  <c r="AH133" i="1"/>
  <c r="AH139" i="1"/>
  <c r="AH140" i="1"/>
  <c r="AH141" i="1"/>
  <c r="AH149" i="1"/>
  <c r="AH150" i="1"/>
  <c r="AH151" i="1"/>
  <c r="AH164" i="1"/>
  <c r="AH173" i="1"/>
  <c r="AH178" i="1"/>
  <c r="AH179" i="1"/>
  <c r="AH180" i="1"/>
  <c r="AH187" i="1"/>
  <c r="AH188" i="1"/>
  <c r="AH194" i="1"/>
  <c r="AH195" i="1"/>
  <c r="AH196" i="1"/>
  <c r="AH197" i="1"/>
  <c r="AH198" i="1"/>
  <c r="AH199" i="1"/>
  <c r="AH200" i="1"/>
  <c r="AH210" i="1"/>
  <c r="AH211" i="1"/>
  <c r="AH212" i="1"/>
  <c r="AH213" i="1"/>
  <c r="AH217" i="1"/>
  <c r="AH218" i="1"/>
  <c r="AH17" i="1"/>
  <c r="AH18" i="1"/>
  <c r="AH19" i="1"/>
  <c r="AH20" i="1"/>
  <c r="AH36" i="1"/>
  <c r="AH46" i="1"/>
  <c r="AH47" i="1"/>
  <c r="AH56" i="1"/>
  <c r="AH57" i="1"/>
  <c r="AH58" i="1"/>
  <c r="AH61" i="1"/>
  <c r="AH62" i="1"/>
  <c r="AH67" i="1"/>
  <c r="AH68" i="1"/>
  <c r="AH72" i="1"/>
  <c r="AH73" i="1"/>
  <c r="AH74" i="1"/>
  <c r="AH80" i="1"/>
  <c r="AH87" i="1"/>
  <c r="AH91" i="1"/>
  <c r="AH92" i="1"/>
  <c r="AH99" i="1"/>
  <c r="AH100" i="1"/>
  <c r="AH107" i="1"/>
  <c r="AH108" i="1"/>
  <c r="AH109" i="1"/>
  <c r="AH115" i="1"/>
  <c r="AH116" i="1"/>
  <c r="AH117" i="1"/>
  <c r="AH125" i="1"/>
  <c r="AH126" i="1"/>
  <c r="AH134" i="1"/>
  <c r="AH135" i="1"/>
  <c r="AH142" i="1"/>
  <c r="AH143" i="1"/>
  <c r="AH144" i="1"/>
  <c r="AH145" i="1"/>
  <c r="AH152" i="1"/>
  <c r="AH153" i="1"/>
  <c r="AH154" i="1"/>
  <c r="AH155" i="1"/>
  <c r="AH156" i="1"/>
  <c r="AH157" i="1"/>
  <c r="AH161" i="1"/>
  <c r="AH165" i="1"/>
  <c r="AH166" i="1"/>
  <c r="AH167" i="1"/>
  <c r="AH168" i="1"/>
  <c r="AH174" i="1"/>
  <c r="AH175" i="1"/>
  <c r="AH176" i="1"/>
  <c r="AH189" i="1"/>
  <c r="AH190" i="1"/>
  <c r="AH191" i="1"/>
  <c r="AH201" i="1"/>
  <c r="AH202" i="1"/>
  <c r="AH203" i="1"/>
  <c r="AH204" i="1"/>
  <c r="AH214" i="1"/>
  <c r="AH221" i="1"/>
  <c r="AH171" i="1"/>
  <c r="AH177" i="1"/>
  <c r="AH193" i="1"/>
  <c r="AH21" i="1"/>
  <c r="AH22" i="1"/>
  <c r="AH48" i="1"/>
  <c r="AH49" i="1"/>
  <c r="AH50" i="1"/>
  <c r="AH51" i="1"/>
  <c r="AH59" i="1"/>
  <c r="AH63" i="1"/>
  <c r="AH75" i="1"/>
  <c r="AH76" i="1"/>
  <c r="AH77" i="1"/>
  <c r="AH78" i="1"/>
  <c r="AH79" i="1"/>
  <c r="AH88" i="1"/>
  <c r="AH93" i="1"/>
  <c r="AH94" i="1"/>
  <c r="AH101" i="1"/>
  <c r="AH110" i="1"/>
  <c r="AH111" i="1"/>
  <c r="AH121" i="1"/>
  <c r="AH122" i="1"/>
  <c r="AH127" i="1"/>
  <c r="AH132" i="1"/>
  <c r="AH136" i="1"/>
  <c r="AH146" i="1"/>
  <c r="AH147" i="1"/>
  <c r="AH158" i="1"/>
  <c r="AH159" i="1"/>
  <c r="AH160" i="1"/>
  <c r="AH162" i="1"/>
  <c r="AH163" i="1"/>
  <c r="AH169" i="1"/>
  <c r="AH170" i="1"/>
  <c r="AH181" i="1"/>
  <c r="AH182" i="1"/>
  <c r="AH183" i="1"/>
  <c r="AH184" i="1"/>
  <c r="AH192" i="1"/>
  <c r="AH205" i="1"/>
  <c r="AH206" i="1"/>
  <c r="AH209" i="1"/>
  <c r="AH215" i="1"/>
  <c r="AH216" i="1"/>
  <c r="AH222" i="1"/>
  <c r="AH223" i="1"/>
  <c r="AH14" i="1"/>
  <c r="AH23" i="1"/>
  <c r="AH24" i="1"/>
  <c r="AH25" i="1"/>
  <c r="AH26" i="1"/>
  <c r="AH27" i="1"/>
  <c r="AH28" i="1"/>
  <c r="AH30" i="1"/>
  <c r="AH31" i="1"/>
  <c r="AH32" i="1"/>
  <c r="AH37" i="1"/>
  <c r="AH38" i="1"/>
  <c r="AH39" i="1"/>
  <c r="AH40" i="1"/>
  <c r="AH52" i="1"/>
  <c r="AH54" i="1"/>
  <c r="AH60" i="1"/>
  <c r="AH64" i="1"/>
  <c r="AH65" i="1"/>
  <c r="AH66" i="1"/>
  <c r="AH69" i="1"/>
  <c r="AH70" i="1"/>
  <c r="AH81" i="1"/>
  <c r="AH82" i="1"/>
  <c r="AH95" i="1"/>
  <c r="AH96" i="1"/>
  <c r="AH102" i="1"/>
  <c r="AH112" i="1"/>
  <c r="AH113" i="1"/>
  <c r="AH114" i="1"/>
  <c r="AH118" i="1"/>
  <c r="AH123" i="1"/>
  <c r="AH124" i="1"/>
  <c r="AH137" i="1"/>
  <c r="AH138" i="1"/>
  <c r="AH148" i="1"/>
  <c r="AH172" i="1"/>
  <c r="AH185" i="1"/>
  <c r="AH186" i="1"/>
  <c r="AH219" i="1"/>
  <c r="AH208" i="1"/>
  <c r="AH225" i="1"/>
  <c r="AH227" i="1"/>
  <c r="AH207" i="1"/>
  <c r="AH224" i="1"/>
  <c r="AH220" i="1"/>
  <c r="AH226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<sst xmlns="http://schemas.openxmlformats.org/spreadsheetml/2006/main" count="2330" uniqueCount="774">
  <si>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</si>
  <si>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</si>
  <si>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</si>
  <si>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</si>
  <si>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</si>
  <si>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</si>
  <si>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</si>
  <si>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</si>
  <si>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</si>
  <si>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</si>
  <si>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</si>
  <si>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</si>
  <si>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</si>
  <si>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</si>
  <si>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</si>
  <si>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</si>
  <si>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</si>
  <si>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</si>
  <si>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</si>
  <si>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</si>
  <si>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</si>
  <si>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</si>
  <si>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</si>
  <si>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</si>
  <si>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</si>
  <si>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</si>
  <si>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</si>
  <si>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</si>
  <si>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</si>
  <si>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</si>
  <si>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</si>
  <si>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</si>
  <si>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</si>
  <si>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</si>
  <si>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</si>
  <si>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</si>
  <si>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</si>
  <si>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</si>
  <si>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</si>
  <si>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</si>
  <si>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</si>
  <si>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</si>
  <si>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</si>
  <si>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</si>
  <si>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</si>
  <si>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</si>
  <si>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</si>
  <si>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</si>
  <si>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</si>
  <si>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</si>
  <si>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</si>
  <si>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</si>
  <si>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</si>
  <si>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</si>
  <si>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</si>
  <si>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</si>
  <si>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</si>
  <si>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</si>
  <si>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</si>
  <si>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</si>
  <si>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</si>
  <si>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</si>
  <si>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</si>
  <si>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</si>
  <si>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</si>
  <si>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</si>
  <si>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</si>
  <si>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</si>
  <si>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</si>
  <si>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</si>
  <si>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</si>
  <si>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</si>
  <si>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</si>
  <si>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</si>
  <si>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</si>
  <si>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</si>
  <si>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</si>
  <si>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</si>
  <si>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</si>
  <si>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</si>
  <si>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</si>
  <si>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</si>
  <si>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</si>
  <si>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</si>
  <si>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</si>
  <si>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</si>
  <si>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</si>
  <si>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</si>
  <si>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</si>
  <si>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</si>
  <si>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</si>
  <si>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</si>
  <si>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</si>
  <si>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</si>
  <si>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</si>
  <si>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</si>
  <si>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</si>
  <si>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</si>
  <si>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</si>
  <si>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</si>
  <si>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</si>
  <si>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</si>
  <si>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</si>
  <si>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</si>
  <si>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</si>
  <si>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</si>
  <si>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</si>
  <si>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</si>
  <si>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</si>
  <si>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</si>
  <si>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</si>
  <si>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</si>
  <si>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</si>
  <si>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</si>
  <si>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</si>
  <si>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</si>
  <si>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</si>
  <si>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</si>
  <si>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</si>
  <si>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</si>
  <si>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</si>
  <si>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</si>
  <si>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</si>
  <si>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</si>
  <si>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</si>
  <si>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</si>
  <si>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</si>
  <si>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</si>
  <si>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</si>
  <si>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</si>
  <si>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</si>
  <si>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</si>
  <si>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</si>
  <si>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</si>
  <si>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</si>
  <si>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</si>
  <si>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</si>
  <si>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</si>
  <si>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</si>
  <si>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</si>
  <si>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</si>
  <si>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</si>
  <si>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</si>
  <si>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</si>
  <si>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</si>
  <si>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</si>
  <si>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</si>
  <si>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</si>
  <si>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</si>
  <si>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</si>
  <si>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</si>
  <si>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</si>
  <si>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</si>
  <si>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</si>
  <si>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</si>
  <si>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</si>
  <si>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</si>
  <si>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</si>
  <si>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</si>
  <si>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</si>
  <si>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</si>
  <si>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</si>
  <si>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</si>
  <si>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</si>
  <si>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</si>
  <si>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</si>
  <si>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</si>
  <si>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</si>
  <si>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</si>
  <si>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</si>
  <si>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</si>
  <si>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</si>
  <si>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</si>
  <si>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</si>
  <si>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</si>
  <si>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</si>
  <si>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</si>
  <si>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</si>
  <si>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</si>
  <si>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</si>
  <si>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</si>
  <si>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</si>
  <si>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</si>
  <si>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</si>
  <si>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</si>
  <si>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</si>
  <si>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</si>
  <si>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</si>
  <si>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</si>
  <si>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</si>
  <si>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</si>
  <si>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</si>
  <si>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</si>
  <si>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</si>
  <si>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</si>
  <si>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</si>
  <si>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</si>
  <si>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</si>
  <si>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</si>
  <si>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</si>
  <si>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</si>
  <si>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</si>
  <si>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</si>
  <si>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</si>
  <si>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</si>
  <si>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</si>
  <si>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</si>
  <si>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</si>
  <si>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</si>
  <si>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</si>
  <si>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</si>
  <si>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</si>
  <si>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</si>
  <si>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</si>
  <si>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</si>
  <si>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</si>
  <si>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</si>
  <si>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</si>
  <si>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</si>
  <si>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</si>
  <si>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</si>
  <si>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</si>
  <si>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</si>
  <si>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</si>
  <si>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</si>
  <si>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</si>
  <si>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</si>
  <si>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204:458</t>
  </si>
  <si>
    <t>204:467</t>
  </si>
  <si>
    <t>204:460</t>
  </si>
  <si>
    <t>human_readable_time</t>
  </si>
  <si>
    <t>204:138</t>
  </si>
  <si>
    <t>204:469</t>
  </si>
  <si>
    <t>204:462</t>
  </si>
  <si>
    <t>rtdc.l.rtdc.4044:itc</t>
  </si>
  <si>
    <t>rtdc.l.rtdc.4043:itc</t>
  </si>
  <si>
    <t>Loco - PTC</t>
  </si>
  <si>
    <t>Power</t>
  </si>
  <si>
    <t>204:233297</t>
  </si>
  <si>
    <t>YANAI</t>
  </si>
  <si>
    <t>CHANDLER</t>
  </si>
  <si>
    <t>204:156</t>
  </si>
  <si>
    <t>rtdc.l.rtdc.4012:itc</t>
  </si>
  <si>
    <t>204:233314</t>
  </si>
  <si>
    <t>CLI Grep</t>
  </si>
  <si>
    <t>204:233295</t>
  </si>
  <si>
    <t>204:145</t>
  </si>
  <si>
    <t>204:233000</t>
  </si>
  <si>
    <t>204:141</t>
  </si>
  <si>
    <t>204:233312</t>
  </si>
  <si>
    <t>Early arrival</t>
  </si>
  <si>
    <t>rtdc.l.rtdc.4014:itc</t>
  </si>
  <si>
    <t>HELVIE</t>
  </si>
  <si>
    <t>204:232998</t>
  </si>
  <si>
    <t>204:446</t>
  </si>
  <si>
    <t>204:233300</t>
  </si>
  <si>
    <t>Time (US/Mountain)</t>
  </si>
  <si>
    <t>Source</t>
  </si>
  <si>
    <t>Employee Identifier</t>
  </si>
  <si>
    <t>Employee Last Name</t>
  </si>
  <si>
    <t>rtdc.l.rtdc.4016:itc</t>
  </si>
  <si>
    <t>204:464</t>
  </si>
  <si>
    <t>204:232973</t>
  </si>
  <si>
    <t>rtdc.l.rtdc.4029:itc</t>
  </si>
  <si>
    <t>rtdc.l.rtdc.4030:itc</t>
  </si>
  <si>
    <t>204:143</t>
  </si>
  <si>
    <t>204:232977</t>
  </si>
  <si>
    <t>204:232975</t>
  </si>
  <si>
    <t>204:233306</t>
  </si>
  <si>
    <t>204:438</t>
  </si>
  <si>
    <t>clear-night</t>
  </si>
  <si>
    <t>Clear</t>
  </si>
  <si>
    <t>clear-day</t>
  </si>
  <si>
    <t>rtdc.l.rtdc.4017:itc</t>
  </si>
  <si>
    <t>rtdc.l.rtdc.4015:itc</t>
  </si>
  <si>
    <t>rtdc.l.rtdc.4018:itc</t>
  </si>
  <si>
    <t>BONDS</t>
  </si>
  <si>
    <t>204:233301</t>
  </si>
  <si>
    <t>204:232979</t>
  </si>
  <si>
    <t>ACKERMAN</t>
  </si>
  <si>
    <t>BARTLETT</t>
  </si>
  <si>
    <t>BRUDER</t>
  </si>
  <si>
    <t>204:473</t>
  </si>
  <si>
    <t>204:233336</t>
  </si>
  <si>
    <t>204:233305</t>
  </si>
  <si>
    <t>204:232971</t>
  </si>
  <si>
    <t>Reactive Warning (1)</t>
  </si>
  <si>
    <t>204:233289</t>
  </si>
  <si>
    <t>204:233286</t>
  </si>
  <si>
    <t>204:233315</t>
  </si>
  <si>
    <t>204:444</t>
  </si>
  <si>
    <t>300:23302</t>
  </si>
  <si>
    <t>300:23306</t>
  </si>
  <si>
    <t>KILLION</t>
  </si>
  <si>
    <t>YOUNG</t>
  </si>
  <si>
    <t>LEVERE</t>
  </si>
  <si>
    <t>204:233323</t>
  </si>
  <si>
    <t>204:232969</t>
  </si>
  <si>
    <t>204:233283</t>
  </si>
  <si>
    <t>204:232987</t>
  </si>
  <si>
    <t>204:233293</t>
  </si>
  <si>
    <t>204:233307</t>
  </si>
  <si>
    <t>204:232993</t>
  </si>
  <si>
    <t>204:232981</t>
  </si>
  <si>
    <t>204:482</t>
  </si>
  <si>
    <t>204:167</t>
  </si>
  <si>
    <t>204:232983</t>
  </si>
  <si>
    <t>204:172</t>
  </si>
  <si>
    <t>204:480</t>
  </si>
  <si>
    <t>204:232965</t>
  </si>
  <si>
    <t>300:58621</t>
  </si>
  <si>
    <t>204:988</t>
  </si>
  <si>
    <t>300:58609</t>
  </si>
  <si>
    <t>204:999</t>
  </si>
  <si>
    <t>300:58961</t>
  </si>
  <si>
    <t>204:974</t>
  </si>
  <si>
    <t>rtdc.l.rtdc.4045:itc</t>
  </si>
  <si>
    <t>rtdc.l.rtdc.4013:itc</t>
  </si>
  <si>
    <t>SPECTOR</t>
  </si>
  <si>
    <t>STARKS</t>
  </si>
  <si>
    <t>BEAM</t>
  </si>
  <si>
    <t>ROCHA</t>
  </si>
  <si>
    <t>GRASTON</t>
  </si>
  <si>
    <t>STORY</t>
  </si>
  <si>
    <t>rtdc.l.rtdc.4021:itc</t>
  </si>
  <si>
    <t>HILLS</t>
  </si>
  <si>
    <t>rtdc.l.rtdc.4005:itc</t>
  </si>
  <si>
    <t>rtdc.l.rtdc.4022:itc</t>
  </si>
  <si>
    <t>rtdc.l.rtdc.4006:itc</t>
  </si>
  <si>
    <t>242-27</t>
  </si>
  <si>
    <t>311-27</t>
  </si>
  <si>
    <t>244-27</t>
  </si>
  <si>
    <t>313-27</t>
  </si>
  <si>
    <t>204:429</t>
  </si>
  <si>
    <t>204:233288</t>
  </si>
  <si>
    <t>204:233320</t>
  </si>
  <si>
    <t>204:233310</t>
  </si>
  <si>
    <t>204:431</t>
  </si>
  <si>
    <t>204:232988</t>
  </si>
  <si>
    <t>204:233332</t>
  </si>
  <si>
    <t>204:233318</t>
  </si>
  <si>
    <t>204:233282</t>
  </si>
  <si>
    <t>204:169</t>
  </si>
  <si>
    <t>204:232991</t>
  </si>
  <si>
    <t>204:232974</t>
  </si>
  <si>
    <t>204:233309</t>
  </si>
  <si>
    <t>204:233011</t>
  </si>
  <si>
    <t>204:233317</t>
  </si>
  <si>
    <t>204:232963</t>
  </si>
  <si>
    <t>204:435</t>
  </si>
  <si>
    <t>204:129</t>
  </si>
  <si>
    <t>204:440</t>
  </si>
  <si>
    <t>204:424</t>
  </si>
  <si>
    <t>204:233001</t>
  </si>
  <si>
    <t>300:58623</t>
  </si>
  <si>
    <t>204:722</t>
  </si>
  <si>
    <t>300:58937</t>
  </si>
  <si>
    <t>204:1013</t>
  </si>
  <si>
    <t>204:1000</t>
  </si>
  <si>
    <t>300:58931</t>
  </si>
  <si>
    <t>300:58606</t>
  </si>
  <si>
    <t>300:58933</t>
  </si>
  <si>
    <t>204:960</t>
  </si>
  <si>
    <t>204:678</t>
  </si>
  <si>
    <t>204:680</t>
  </si>
  <si>
    <t>204:712</t>
  </si>
  <si>
    <t>204:1007</t>
  </si>
  <si>
    <t>Overspeed</t>
  </si>
  <si>
    <t>:.+((SYSTEM_STATE.+slice.+state.+changed )|(ment ac)|(system.+state.+changed )|(\[timeout)|(PRM\|1\|D)|(kpr)|(kdp)|(\|lc)|(penalty))</t>
  </si>
  <si>
    <t>Did not init</t>
  </si>
  <si>
    <t>Onboard in-route failure</t>
  </si>
  <si>
    <t>fog</t>
  </si>
  <si>
    <t>Foggy</t>
  </si>
  <si>
    <t>partly-cloudy-day</t>
  </si>
  <si>
    <t>Partly Cloudy</t>
  </si>
  <si>
    <t>Summary for DUS 2016-09-28: Foggy until afternoon.</t>
  </si>
  <si>
    <t>rtdc.l.rtdc.4040:itc</t>
  </si>
  <si>
    <t>101-28</t>
  </si>
  <si>
    <t>MAELZER</t>
  </si>
  <si>
    <t>103-28</t>
  </si>
  <si>
    <t>rtdc.l.rtdc.4001:itc</t>
  </si>
  <si>
    <t>102-28</t>
  </si>
  <si>
    <t>105-28</t>
  </si>
  <si>
    <t>STRICKLAND</t>
  </si>
  <si>
    <t>107-28</t>
  </si>
  <si>
    <t>109-28</t>
  </si>
  <si>
    <t>rtdc.l.rtdc.4008:itc</t>
  </si>
  <si>
    <t>104-28</t>
  </si>
  <si>
    <t>111-28</t>
  </si>
  <si>
    <t>106-28</t>
  </si>
  <si>
    <t>800-28</t>
  </si>
  <si>
    <t>rtdc.l.rtdc.4002:itc</t>
  </si>
  <si>
    <t>113-28</t>
  </si>
  <si>
    <t>108-28</t>
  </si>
  <si>
    <t>115-28</t>
  </si>
  <si>
    <t>SANTIZO</t>
  </si>
  <si>
    <t>110-28</t>
  </si>
  <si>
    <t>802-28</t>
  </si>
  <si>
    <t>805-28</t>
  </si>
  <si>
    <t>rtdc.l.rtdc.4039:itc</t>
  </si>
  <si>
    <t>112-28</t>
  </si>
  <si>
    <t>119-28</t>
  </si>
  <si>
    <t>114-28</t>
  </si>
  <si>
    <t>116-28</t>
  </si>
  <si>
    <t>803-28</t>
  </si>
  <si>
    <t>121-28</t>
  </si>
  <si>
    <t>123-28</t>
  </si>
  <si>
    <t>118-28</t>
  </si>
  <si>
    <t>804-28</t>
  </si>
  <si>
    <t>125-28</t>
  </si>
  <si>
    <t>120-28</t>
  </si>
  <si>
    <t>127-28</t>
  </si>
  <si>
    <t>122-28</t>
  </si>
  <si>
    <t>806-28</t>
  </si>
  <si>
    <t>129-28</t>
  </si>
  <si>
    <t>124-28</t>
  </si>
  <si>
    <t>807-28</t>
  </si>
  <si>
    <t>rtdc.l.rtdc.4007:itc</t>
  </si>
  <si>
    <t>131-28</t>
  </si>
  <si>
    <t>126-28</t>
  </si>
  <si>
    <t>808-28</t>
  </si>
  <si>
    <t>133-28</t>
  </si>
  <si>
    <t>809-28</t>
  </si>
  <si>
    <t>135-28</t>
  </si>
  <si>
    <t>128-28</t>
  </si>
  <si>
    <t>130-28</t>
  </si>
  <si>
    <t>810-28</t>
  </si>
  <si>
    <t>137-28</t>
  </si>
  <si>
    <t>811-28</t>
  </si>
  <si>
    <t>132-28</t>
  </si>
  <si>
    <t>139-28</t>
  </si>
  <si>
    <t>903-28</t>
  </si>
  <si>
    <t>134-28</t>
  </si>
  <si>
    <t>812-28</t>
  </si>
  <si>
    <t>141-28</t>
  </si>
  <si>
    <t>143-28</t>
  </si>
  <si>
    <t>136-28</t>
  </si>
  <si>
    <t>138-28</t>
  </si>
  <si>
    <t>145-28</t>
  </si>
  <si>
    <t>813-28</t>
  </si>
  <si>
    <t>140-28</t>
  </si>
  <si>
    <t>147-28</t>
  </si>
  <si>
    <t>142-28</t>
  </si>
  <si>
    <t>814-28</t>
  </si>
  <si>
    <t>144-28</t>
  </si>
  <si>
    <t>149-28</t>
  </si>
  <si>
    <t>151-28</t>
  </si>
  <si>
    <t>146-28</t>
  </si>
  <si>
    <t>153-28</t>
  </si>
  <si>
    <t>50-28</t>
  </si>
  <si>
    <t>815-28</t>
  </si>
  <si>
    <t>148-28</t>
  </si>
  <si>
    <t>155-28</t>
  </si>
  <si>
    <t>52-28</t>
  </si>
  <si>
    <t>51-28</t>
  </si>
  <si>
    <t>150-28</t>
  </si>
  <si>
    <t>816-28</t>
  </si>
  <si>
    <t>157-28</t>
  </si>
  <si>
    <t>152-28</t>
  </si>
  <si>
    <t>159-28</t>
  </si>
  <si>
    <t>54-28</t>
  </si>
  <si>
    <t>154-28</t>
  </si>
  <si>
    <t>161-28</t>
  </si>
  <si>
    <t>817-28</t>
  </si>
  <si>
    <t>55-28</t>
  </si>
  <si>
    <t>156-28</t>
  </si>
  <si>
    <t>163-28</t>
  </si>
  <si>
    <t>158-28</t>
  </si>
  <si>
    <t>818-28</t>
  </si>
  <si>
    <t>165-28</t>
  </si>
  <si>
    <t>160-28</t>
  </si>
  <si>
    <t>167-28</t>
  </si>
  <si>
    <t>162-28</t>
  </si>
  <si>
    <t>169-28</t>
  </si>
  <si>
    <t>819-28</t>
  </si>
  <si>
    <t>164-28</t>
  </si>
  <si>
    <t>171-28</t>
  </si>
  <si>
    <t>166-28</t>
  </si>
  <si>
    <t>173-28</t>
  </si>
  <si>
    <t>820-28</t>
  </si>
  <si>
    <t>168-28</t>
  </si>
  <si>
    <t>175-28</t>
  </si>
  <si>
    <t>56-28</t>
  </si>
  <si>
    <t>MOSES</t>
  </si>
  <si>
    <t>170-28</t>
  </si>
  <si>
    <t>177-28</t>
  </si>
  <si>
    <t>821-28</t>
  </si>
  <si>
    <t>172-28</t>
  </si>
  <si>
    <t>179-28</t>
  </si>
  <si>
    <t>174-28</t>
  </si>
  <si>
    <t>822-28</t>
  </si>
  <si>
    <t>181-28</t>
  </si>
  <si>
    <t>176-28</t>
  </si>
  <si>
    <t>183-28</t>
  </si>
  <si>
    <t>178-28</t>
  </si>
  <si>
    <t>185-28</t>
  </si>
  <si>
    <t>180-28</t>
  </si>
  <si>
    <t>823-28</t>
  </si>
  <si>
    <t>187-28</t>
  </si>
  <si>
    <t>182-28</t>
  </si>
  <si>
    <t>824-28</t>
  </si>
  <si>
    <t>189-28</t>
  </si>
  <si>
    <t>184-28</t>
  </si>
  <si>
    <t>191-28</t>
  </si>
  <si>
    <t>186-28</t>
  </si>
  <si>
    <t>193-28</t>
  </si>
  <si>
    <t>825-28</t>
  </si>
  <si>
    <t>188-28</t>
  </si>
  <si>
    <t>904-28</t>
  </si>
  <si>
    <t>195-28</t>
  </si>
  <si>
    <t>190-28</t>
  </si>
  <si>
    <t>827-28</t>
  </si>
  <si>
    <t>826-28</t>
  </si>
  <si>
    <t>197-28</t>
  </si>
  <si>
    <t>192-28</t>
  </si>
  <si>
    <t>199-28</t>
  </si>
  <si>
    <t>194-28</t>
  </si>
  <si>
    <t>828-28</t>
  </si>
  <si>
    <t>201-28</t>
  </si>
  <si>
    <t>829-28</t>
  </si>
  <si>
    <t>196-28</t>
  </si>
  <si>
    <t>203-28</t>
  </si>
  <si>
    <t>198-28</t>
  </si>
  <si>
    <t>830-28</t>
  </si>
  <si>
    <t>205-28</t>
  </si>
  <si>
    <t>831-28</t>
  </si>
  <si>
    <t>200-28</t>
  </si>
  <si>
    <t>62-28</t>
  </si>
  <si>
    <t>STURGEON</t>
  </si>
  <si>
    <t>207-28</t>
  </si>
  <si>
    <t>202-28</t>
  </si>
  <si>
    <t>832-28</t>
  </si>
  <si>
    <t>204-28</t>
  </si>
  <si>
    <t>209-28</t>
  </si>
  <si>
    <t>833-28</t>
  </si>
  <si>
    <t>63-28</t>
  </si>
  <si>
    <t>211-28</t>
  </si>
  <si>
    <t>BRUDER-28</t>
  </si>
  <si>
    <t>206-28</t>
  </si>
  <si>
    <t>834-28</t>
  </si>
  <si>
    <t>208-28</t>
  </si>
  <si>
    <t>213-28</t>
  </si>
  <si>
    <t>835-28</t>
  </si>
  <si>
    <t>215-28</t>
  </si>
  <si>
    <t>210-28</t>
  </si>
  <si>
    <t>836-28</t>
  </si>
  <si>
    <t>217-28</t>
  </si>
  <si>
    <t>212-28</t>
  </si>
  <si>
    <t>837-28</t>
  </si>
  <si>
    <t>219-28</t>
  </si>
  <si>
    <t>214-28</t>
  </si>
  <si>
    <t>303-28</t>
  </si>
  <si>
    <t>838-28</t>
  </si>
  <si>
    <t>839-28</t>
  </si>
  <si>
    <t>216-28</t>
  </si>
  <si>
    <t>221-28</t>
  </si>
  <si>
    <t>218-28</t>
  </si>
  <si>
    <t>906-28</t>
  </si>
  <si>
    <t>MAHAN-28</t>
  </si>
  <si>
    <t>MAHAN</t>
  </si>
  <si>
    <t>841-28</t>
  </si>
  <si>
    <t>220-28</t>
  </si>
  <si>
    <t>223-28</t>
  </si>
  <si>
    <t>307-28</t>
  </si>
  <si>
    <t>840-28</t>
  </si>
  <si>
    <t>222-28</t>
  </si>
  <si>
    <t>225-28</t>
  </si>
  <si>
    <t>843-28</t>
  </si>
  <si>
    <t>224-28</t>
  </si>
  <si>
    <t>227-28</t>
  </si>
  <si>
    <t>842-28</t>
  </si>
  <si>
    <t>226-28</t>
  </si>
  <si>
    <t>229-28</t>
  </si>
  <si>
    <t>845-28</t>
  </si>
  <si>
    <t>231-28</t>
  </si>
  <si>
    <t>228-28</t>
  </si>
  <si>
    <t>844-28</t>
  </si>
  <si>
    <t>230-28</t>
  </si>
  <si>
    <t>233-28</t>
  </si>
  <si>
    <t>847-28</t>
  </si>
  <si>
    <t>232-28</t>
  </si>
  <si>
    <t>235-28</t>
  </si>
  <si>
    <t>908-28</t>
  </si>
  <si>
    <t>237-28</t>
  </si>
  <si>
    <t>234-28</t>
  </si>
  <si>
    <t>239-28</t>
  </si>
  <si>
    <t>236-28</t>
  </si>
  <si>
    <t>238-28</t>
  </si>
  <si>
    <t>241-28</t>
  </si>
  <si>
    <t>240-28</t>
  </si>
  <si>
    <t>243-28</t>
  </si>
  <si>
    <t>309-28</t>
  </si>
  <si>
    <t>242-28</t>
  </si>
  <si>
    <t>311-28</t>
  </si>
  <si>
    <t>244-28</t>
  </si>
  <si>
    <t>313-28</t>
  </si>
  <si>
    <t>315-28</t>
  </si>
  <si>
    <t>TEMPORARY SPEED RESTRICTION</t>
  </si>
  <si>
    <t>204:715</t>
  </si>
  <si>
    <t>204:233341</t>
  </si>
  <si>
    <t>204:232694</t>
  </si>
  <si>
    <t>204:675</t>
  </si>
  <si>
    <t>204:233376</t>
  </si>
  <si>
    <t>204:232719</t>
  </si>
  <si>
    <t>204:781</t>
  </si>
  <si>
    <t>204:232658</t>
  </si>
  <si>
    <t>204:201</t>
  </si>
  <si>
    <t>204:411</t>
  </si>
  <si>
    <t>204:233002</t>
  </si>
  <si>
    <t>204:763</t>
  </si>
  <si>
    <t>204:233302</t>
  </si>
  <si>
    <t>204:427</t>
  </si>
  <si>
    <t>204:232984</t>
  </si>
  <si>
    <t>204:752</t>
  </si>
  <si>
    <t>204:232961</t>
  </si>
  <si>
    <t>204:816</t>
  </si>
  <si>
    <t>204:233304</t>
  </si>
  <si>
    <t>204:267</t>
  </si>
  <si>
    <t>204:227</t>
  </si>
  <si>
    <t>204:233303</t>
  </si>
  <si>
    <t>204:232992</t>
  </si>
  <si>
    <t>204:433</t>
  </si>
  <si>
    <t>204:232972</t>
  </si>
  <si>
    <t>204:132</t>
  </si>
  <si>
    <t>204:232982</t>
  </si>
  <si>
    <t>204:564</t>
  </si>
  <si>
    <t>204:522</t>
  </si>
  <si>
    <t>204:139</t>
  </si>
  <si>
    <t>204:233005</t>
  </si>
  <si>
    <t>204:233319</t>
  </si>
  <si>
    <t>204:333</t>
  </si>
  <si>
    <t>204:233299</t>
  </si>
  <si>
    <t>204:232959</t>
  </si>
  <si>
    <t>204:537</t>
  </si>
  <si>
    <t>204:233278</t>
  </si>
  <si>
    <t>204:340</t>
  </si>
  <si>
    <t>204:233276</t>
  </si>
  <si>
    <t>204:232978</t>
  </si>
  <si>
    <t>204:232968</t>
  </si>
  <si>
    <t>204:646</t>
  </si>
  <si>
    <t>204:233328</t>
  </si>
  <si>
    <t>204:233298</t>
  </si>
  <si>
    <t>204:637</t>
  </si>
  <si>
    <t>204:233357</t>
  </si>
  <si>
    <t>204:233351</t>
  </si>
  <si>
    <t>204:233040</t>
  </si>
  <si>
    <t>204:125</t>
  </si>
  <si>
    <t>204:232986</t>
  </si>
  <si>
    <t>204:161</t>
  </si>
  <si>
    <t>204:497</t>
  </si>
  <si>
    <t>204:233125</t>
  </si>
  <si>
    <t>204:232823</t>
  </si>
  <si>
    <t>204:233370</t>
  </si>
  <si>
    <t>204:233049</t>
  </si>
  <si>
    <t>204:232990</t>
  </si>
  <si>
    <t>204:486</t>
  </si>
  <si>
    <t>204:477</t>
  </si>
  <si>
    <t>204:491</t>
  </si>
  <si>
    <t>204:437</t>
  </si>
  <si>
    <t>204:119</t>
  </si>
  <si>
    <t>204:475</t>
  </si>
  <si>
    <t>204:280</t>
  </si>
  <si>
    <t>204:136</t>
  </si>
  <si>
    <t>204:233028</t>
  </si>
  <si>
    <t>204:232966</t>
  </si>
  <si>
    <t>204:233342</t>
  </si>
  <si>
    <t>204:233019</t>
  </si>
  <si>
    <t>204:442</t>
  </si>
  <si>
    <t>204:207</t>
  </si>
  <si>
    <t>204:520</t>
  </si>
  <si>
    <t>204:233337</t>
  </si>
  <si>
    <t>204:233009</t>
  </si>
  <si>
    <t>204:232950</t>
  </si>
  <si>
    <t>204:233007</t>
  </si>
  <si>
    <t>204:579</t>
  </si>
  <si>
    <t>300:23119</t>
  </si>
  <si>
    <t>300:23301</t>
  </si>
  <si>
    <t>300:22888</t>
  </si>
  <si>
    <t>204:1012</t>
  </si>
  <si>
    <t>204:1162</t>
  </si>
  <si>
    <t>300:23316</t>
  </si>
  <si>
    <t>300:23987</t>
  </si>
  <si>
    <t>300:19353</t>
  </si>
  <si>
    <t>300:24267</t>
  </si>
  <si>
    <t>204:902</t>
  </si>
  <si>
    <t>204:327</t>
  </si>
  <si>
    <t>300:24258</t>
  </si>
  <si>
    <t>300:23580</t>
  </si>
  <si>
    <t>204:97</t>
  </si>
  <si>
    <t>204:401</t>
  </si>
  <si>
    <t>300:24263</t>
  </si>
  <si>
    <t>300:23351</t>
  </si>
  <si>
    <t>204:151</t>
  </si>
  <si>
    <t>204:1483</t>
  </si>
  <si>
    <t>300:23346</t>
  </si>
  <si>
    <t>300:58604</t>
  </si>
  <si>
    <t>204:713</t>
  </si>
  <si>
    <t>204:943</t>
  </si>
  <si>
    <t>204:993</t>
  </si>
  <si>
    <t>204:706</t>
  </si>
  <si>
    <t>204:1240</t>
  </si>
  <si>
    <t>300:59003</t>
  </si>
  <si>
    <t>300:58687</t>
  </si>
  <si>
    <t>204:778</t>
  </si>
  <si>
    <t>204:992</t>
  </si>
  <si>
    <t>300:58946</t>
  </si>
  <si>
    <t>300:58630</t>
  </si>
  <si>
    <t>204:1062</t>
  </si>
  <si>
    <t>300:58988</t>
  </si>
  <si>
    <t>300:58677</t>
  </si>
  <si>
    <t>204:705</t>
  </si>
  <si>
    <t>300:58975</t>
  </si>
  <si>
    <t>300:58664</t>
  </si>
  <si>
    <t>300:58978</t>
  </si>
  <si>
    <t>300:58660</t>
  </si>
  <si>
    <t>204:1011</t>
  </si>
  <si>
    <t>300:58999</t>
  </si>
  <si>
    <t>300:58672</t>
  </si>
  <si>
    <t>204:740</t>
  </si>
  <si>
    <t>300:58986</t>
  </si>
  <si>
    <t>300:58683</t>
  </si>
  <si>
    <t>204:645</t>
  </si>
  <si>
    <t>204:941</t>
  </si>
  <si>
    <t>300:58670</t>
  </si>
  <si>
    <t>204:643</t>
  </si>
  <si>
    <t>204:934</t>
  </si>
  <si>
    <t>300:58688</t>
  </si>
  <si>
    <t>204:638</t>
  </si>
  <si>
    <t>204:671</t>
  </si>
  <si>
    <t>204:930</t>
  </si>
  <si>
    <t>300:58651</t>
  </si>
  <si>
    <t>204:965</t>
  </si>
  <si>
    <t>300:58963</t>
  </si>
  <si>
    <t>300:58641</t>
  </si>
  <si>
    <t>204:962</t>
  </si>
  <si>
    <t>300:58971</t>
  </si>
  <si>
    <t>300:58662</t>
  </si>
  <si>
    <t>204:985</t>
  </si>
  <si>
    <t>300:58958</t>
  </si>
  <si>
    <t>300:58653</t>
  </si>
  <si>
    <t>204:689</t>
  </si>
  <si>
    <t>204:948</t>
  </si>
  <si>
    <t>300:58997</t>
  </si>
  <si>
    <t>204:666</t>
  </si>
  <si>
    <t>300:58969</t>
  </si>
  <si>
    <t>300:58658</t>
  </si>
  <si>
    <t>300:58973</t>
  </si>
  <si>
    <t>204:950</t>
  </si>
  <si>
    <t>300:58920</t>
  </si>
  <si>
    <t>300:58647</t>
  </si>
  <si>
    <t>204:682</t>
  </si>
  <si>
    <t>204:964</t>
  </si>
  <si>
    <t>300:58967</t>
  </si>
  <si>
    <t>300:24233</t>
  </si>
  <si>
    <t>300:24284</t>
  </si>
  <si>
    <t>204:670</t>
  </si>
  <si>
    <t>300:21846</t>
  </si>
  <si>
    <t>300:58656</t>
  </si>
  <si>
    <t>300:21901</t>
  </si>
  <si>
    <t>204:448</t>
  </si>
  <si>
    <t>204:232917</t>
  </si>
  <si>
    <t>300:24366</t>
  </si>
  <si>
    <t>300:23917</t>
  </si>
  <si>
    <t>204:233245</t>
  </si>
  <si>
    <t>117-28</t>
  </si>
  <si>
    <t>Had to re-init due to triplex issue at init, but other than that a good run</t>
  </si>
  <si>
    <t>s3://rtdc.mdm.uploadarchive.raw</t>
  </si>
  <si>
    <t>Two different trips under the same trip number</t>
  </si>
  <si>
    <t>Should have been 801-28</t>
  </si>
  <si>
    <t xml:space="preserve">Triplex failure at 2016-09-28 11:52:36.000 </t>
  </si>
  <si>
    <t>40th 4S STOP, cleared afterward</t>
  </si>
  <si>
    <t>Early arrival - but at ped xing?</t>
  </si>
  <si>
    <t>Y</t>
  </si>
  <si>
    <t>MP 1.5777 is 40th &amp; Fox PED XING. According to Customer, this XING shouldn't be warning/enforcing?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</si>
</sst>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2"/>
  <sheetViews>
    <sheetView tabSelected="1" topLeftCell="A166" workbookViewId="0">
      <selection activeCell="V175" sqref="V175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4257812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42641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42641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COUNTIFS($N$13:$N$9385,"&gt;0",$AG$13:$AG$9385,I1)</f>
        <v>143</v>
      </c>
      <c r="K5" s="46"/>
      <c r="L5" s="46"/>
      <c r="M5" s="47">
        <f>AVERAGEIFS($N$13:$N$9385,$AG$13:$AG$9385,I1)</f>
        <v>38.321095570804665</v>
      </c>
      <c r="N5" s="45">
        <f t="array" ref="N5">MIN(IF($AG$13:$AG$9385=I1,IF(ISNUMBER($N$13:$N$9385),IF($N$13:$N$9385&gt;0,$N$13:$N$9385))))</f>
        <v>34.70000000204891</v>
      </c>
      <c r="O5" s="3">
        <f t="array" ref="O5">MAX(IF($AG$13:$AG$9385=I1,IF(ISNUMBER($N$13:$N$9385),IF($N$13:$N$9385&gt;0,$N$13:$N$9385))))</f>
        <v>43.949999995529652</v>
      </c>
      <c r="P5" s="2"/>
      <c r="R5" s="83" t="s">
        <v>17</v>
      </c>
      <c r="S5" s="57">
        <f>COUNTIFS($N$13:$N$9385,"&gt;0",$AG$13:$AG$9385,R1)</f>
        <v>46</v>
      </c>
      <c r="T5" s="46"/>
      <c r="U5" s="156"/>
      <c r="V5" s="47">
        <f>AVERAGEIFS($N$13:$N$9385,$AG$13:$AG$9385,R1)</f>
        <v>15.077536232622705</v>
      </c>
      <c r="W5" s="45">
        <f t="array" ref="W5">MIN(IF($AG$13:$AG$9385=R1,IF(ISNUMBER($N$13:$N$9385),IF($N$13:$N$9385&gt;0,$N$13:$N$9385))))</f>
        <v>12.983333340380341</v>
      </c>
      <c r="X5" s="161">
        <f t="array" ref="X5">MAX(IF($AG$13:$AG$9385=R1,IF(ISNUMBER($N$13:$N$9385),IF($N$13:$N$9385&gt;0,$N$13:$N$9385))))</f>
        <v>20.683333338238299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COUNT($O$13:$O$161)</f>
        <v>0</v>
      </c>
      <c r="K6" s="46"/>
      <c r="L6" s="46"/>
      <c r="M6" s="47">
        <f>IFERROR(AVERAGE($O$13:$O$161),0)</f>
        <v>0</v>
      </c>
      <c r="N6" s="45">
        <f>MIN($O$13:$O$161)</f>
        <v>0</v>
      </c>
      <c r="O6" s="3">
        <f>MAX($O$13:$O$161)</f>
        <v>0</v>
      </c>
      <c r="P6" s="2"/>
      <c r="R6" s="84" t="s">
        <v>43</v>
      </c>
      <c r="S6" s="57">
        <f>COUNT($O$13:$O$161)</f>
        <v>0</v>
      </c>
      <c r="T6" s="46"/>
      <c r="U6" s="156"/>
      <c r="V6" s="47">
        <f>IFERROR(AVERAGE($O$13:$O$161),0)</f>
        <v>0</v>
      </c>
      <c r="W6" s="45">
        <f>MIN($O$13:$O$161)</f>
        <v>0</v>
      </c>
      <c r="X6" s="161">
        <f>MAX($O$13:$O$161)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COUNTIFS($P$13:$P$9385,"&gt;0",$AG$13:$AG$9385,I1)</f>
        <v>1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COUNTIFS($P$13:$P$9385,"&gt;0",$AG$13:$AG$9385,R1)</f>
        <v>1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143</v>
      </c>
      <c r="K8" s="46"/>
      <c r="L8" s="46"/>
      <c r="M8" s="47">
        <f>M5</f>
        <v>38.321095570804665</v>
      </c>
      <c r="N8" s="45">
        <f>N5</f>
        <v>34.70000000204891</v>
      </c>
      <c r="O8" s="3">
        <f>O5</f>
        <v>43.949999995529652</v>
      </c>
      <c r="P8" s="2"/>
      <c r="R8" s="83" t="s">
        <v>16</v>
      </c>
      <c r="S8" s="57">
        <f>S5</f>
        <v>46</v>
      </c>
      <c r="T8" s="46"/>
      <c r="U8" s="156"/>
      <c r="V8" s="47">
        <f>V5</f>
        <v>15.077536232622705</v>
      </c>
      <c r="W8" s="45">
        <f>W5</f>
        <v>12.983333340380341</v>
      </c>
      <c r="X8" s="161">
        <f>X5</f>
        <v>20.683333338238299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0.99305555555555558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0.97872340425531912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- 2016-09-28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AVERAGE(S13:S106)</f>
        <v>0.98936170212765961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160</v>
      </c>
      <c r="AJ12" s="53" t="s">
        <v>161</v>
      </c>
      <c r="AK12" s="53" t="s">
        <v>134</v>
      </c>
      <c r="AL12" s="53" t="s">
        <v>162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377</v>
      </c>
      <c r="B13" s="7">
        <v>4040</v>
      </c>
      <c r="C13" s="24" t="s">
        <v>106</v>
      </c>
      <c r="D13" s="24" t="s">
        <v>598</v>
      </c>
      <c r="E13" s="15">
        <v>42641.127951388888</v>
      </c>
      <c r="F13" s="15">
        <v>42641.135659722226</v>
      </c>
      <c r="G13" s="7">
        <v>1</v>
      </c>
      <c r="H13" s="15" t="s">
        <v>599</v>
      </c>
      <c r="I13" s="15">
        <v>42641.161099537036</v>
      </c>
      <c r="J13" s="7">
        <v>0</v>
      </c>
      <c r="K13" s="117" t="str">
        <f t="shared" ref="K13:K76" si="0">IF(ISEVEN(B13),(B13-1)&amp;"/"&amp;B13,B13&amp;"/"&amp;(B13+1))</f>
        <v>4039/4040</v>
      </c>
      <c r="L13" s="24" t="str">
        <f>VLOOKUP(A13,'Trips&amp;Operators'!$C$1:$E$10000,3,FALSE)</f>
        <v>MAELZER</v>
      </c>
      <c r="M13" s="6">
        <f t="shared" ref="M13:M76" si="1">I13-F13</f>
        <v>2.5439814809942618E-2</v>
      </c>
      <c r="N13" s="7">
        <f t="shared" ref="N13:N28" si="2">24*60*SUM($M13:$M13)</f>
        <v>36.63333332631737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https://search-rtdc-monitor-bjffxe2xuh6vdkpspy63sjmuny.us-east-1.es.amazonaws.com/_plugin/kibana/#/discover/Steve-Slow-Train-Analysis-(2080s-and-2083s)?_g=(refreshInterval:(display:Off,section:0,value:0),time:(from:'2016-09-28 02:04:15-0600',mode:absolute,to:'2016-09-28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" s="54" t="str">
        <f t="shared" ref="W13:W76" si="6">IF(AA13&lt;IF(AG13="EC",23,5.65),"Y","N")</f>
        <v>N</v>
      </c>
      <c r="X13" s="164" t="e">
        <f t="shared" ref="X13:X28" si="7">VALUE(LEFT(AD13,4))-VALUE(LEFT(AD12,4))</f>
        <v>#VALUE!</v>
      </c>
      <c r="Y13" s="69">
        <f t="shared" ref="Y13:Y76" si="8">RIGHT(D13,LEN(D13)-4)/10000</f>
        <v>7.1499999999999994E-2</v>
      </c>
      <c r="Z13" s="69">
        <f t="shared" ref="Z13:Z76" si="9">RIGHT(H13,LEN(H13)-4)/10000</f>
        <v>23.334099999999999</v>
      </c>
      <c r="AA13" s="69">
        <f t="shared" ref="AA13:AA76" si="10">ABS(Z13-Y13)</f>
        <v>23.262599999999999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0101-28</v>
      </c>
      <c r="AE13" s="9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13" s="9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/stypes="app*4040*20160928*"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4040 --swversion DE.1.0.7.0 --startMP 204:715 --initTime 2016-09-28T03:04:15 --startdatetime 2016-09-28T03:15:21 --delay 1 --endMP 204:233341 --enddatetime 2016-09-28T03:51:59 --enforcementcount 0 &gt;&gt;C:\Users\stu\Documents\GitHub\eaglep3-reporting\EC\2016-09-28-refined-times.txt</v>
      </c>
      <c r="AI13" s="130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{"issue":{"subject":"","project_id":79,"tracker_id":40,"status_id":1,"priority_id":2,"assigned_to_id":23,"start_date":"2016-09-28","description":"","custom_fields":[{"id":1,"name":"Subdivision","value":"EC"},{"id":4,"name":"Milepost","value":"23.3341"},{"id":17,"name":"Train ID","value":"101-28"},{"id":16,"name":"Locomotive ID","value":"4040"},{"id":130,"name":"Impact","value":""},{"id":150,"name":"Time of Event (Mountain Time)","value":"03:51:59"},{"id":151,"name":"Denver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381</v>
      </c>
      <c r="B14" s="7">
        <v>4001</v>
      </c>
      <c r="C14" s="24" t="s">
        <v>106</v>
      </c>
      <c r="D14" s="24" t="s">
        <v>600</v>
      </c>
      <c r="E14" s="15">
        <v>42641.170381944445</v>
      </c>
      <c r="F14" s="15">
        <v>42641.174571759257</v>
      </c>
      <c r="G14" s="7">
        <v>1</v>
      </c>
      <c r="H14" s="15" t="s">
        <v>307</v>
      </c>
      <c r="I14" s="15">
        <v>42641.201261574075</v>
      </c>
      <c r="J14" s="7">
        <v>0</v>
      </c>
      <c r="K14" s="117" t="str">
        <f t="shared" si="0"/>
        <v>4001/4002</v>
      </c>
      <c r="L14" s="24" t="str">
        <f>VLOOKUP(A14,'Trips&amp;Operators'!$C$1:$E$10000,3,FALSE)</f>
        <v>MAELZER</v>
      </c>
      <c r="M14" s="6">
        <f t="shared" si="1"/>
        <v>2.6689814818382729E-2</v>
      </c>
      <c r="N14" s="7">
        <f t="shared" si="2"/>
        <v>38.43333333847113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03:05:21-0600',mode:absolute,to:'2016-09-28 05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" s="54" t="str">
        <f t="shared" si="6"/>
        <v>N</v>
      </c>
      <c r="X14" s="164">
        <f t="shared" si="7"/>
        <v>1</v>
      </c>
      <c r="Y14" s="69">
        <f t="shared" si="8"/>
        <v>23.269400000000001</v>
      </c>
      <c r="Z14" s="69">
        <f t="shared" si="9"/>
        <v>1.72E-2</v>
      </c>
      <c r="AA14" s="69">
        <f t="shared" si="10"/>
        <v>23.252200000000002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0102-28</v>
      </c>
      <c r="AE14" s="95" t="str">
        <f t="shared" si="12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14" s="92" t="str">
        <f t="shared" si="13"/>
        <v>"C:\Program Files (x86)\AstroGrep\AstroGrep.exe" /spath="%USERPROFILE%\AppData\Local\Temp\OnboardLogs" /stypes="app*4001*20160928*"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6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4001 --swversion DE.1.0.7.0 --startMP 204:232694 --initTime 2016-09-28T04:05:21 --startdatetime 2016-09-28T04:11:23 --delay 1 --endMP 204:172 --enddatetime 2016-09-28T04:49:49 --enforcementcount 0 &gt;&gt;C:\Users\stu\Documents\GitHub\eaglep3-reporting\EC\2016-09-28-refined-times.txt</v>
      </c>
      <c r="AI14" s="130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{"issue":{"subject":"","project_id":79,"tracker_id":40,"status_id":1,"priority_id":2,"assigned_to_id":23,"start_date":"2016-09-28","description":"","custom_fields":[{"id":1,"name":"Subdivision","value":"EC"},{"id":4,"name":"Milepost","value":"0.0172"},{"id":17,"name":"Train ID","value":"102-28"},{"id":16,"name":"Locomotive ID","value":"4001"},{"id":130,"name":"Impact","value":""},{"id":150,"name":"Time of Event (Mountain Time)","value":"04:49:49"},{"id":151,"name":"Denver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379</v>
      </c>
      <c r="B15" s="7">
        <v>4020</v>
      </c>
      <c r="C15" s="24" t="s">
        <v>106</v>
      </c>
      <c r="D15" s="24" t="s">
        <v>601</v>
      </c>
      <c r="E15" s="15">
        <v>42641.150879629633</v>
      </c>
      <c r="F15" s="15">
        <v>42641.156493055554</v>
      </c>
      <c r="G15" s="7">
        <v>1</v>
      </c>
      <c r="H15" s="15" t="s">
        <v>602</v>
      </c>
      <c r="I15" s="15">
        <v>42641.182013888887</v>
      </c>
      <c r="J15" s="7">
        <v>0</v>
      </c>
      <c r="K15" s="117" t="str">
        <f t="shared" si="0"/>
        <v>4019/4020</v>
      </c>
      <c r="L15" s="24" t="str">
        <f>VLOOKUP(A15,'Trips&amp;Operators'!$C$1:$E$10000,3,FALSE)</f>
        <v>ACKERMAN</v>
      </c>
      <c r="M15" s="6">
        <f t="shared" si="1"/>
        <v>2.5520833332848269E-2</v>
      </c>
      <c r="N15" s="7">
        <f t="shared" si="2"/>
        <v>36.749999999301508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02:37:16-0600',mode:absolute,to:'2016-09-28 05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" s="54" t="str">
        <f t="shared" si="6"/>
        <v>N</v>
      </c>
      <c r="X15" s="164">
        <f t="shared" si="7"/>
        <v>1</v>
      </c>
      <c r="Y15" s="69">
        <f t="shared" si="8"/>
        <v>6.7500000000000004E-2</v>
      </c>
      <c r="Z15" s="69">
        <f t="shared" si="9"/>
        <v>23.337599999999998</v>
      </c>
      <c r="AA15" s="69">
        <f t="shared" si="10"/>
        <v>23.270099999999999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0103-28</v>
      </c>
      <c r="AE15" s="95" t="str">
        <f t="shared" si="12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15" s="92" t="str">
        <f t="shared" si="13"/>
        <v>"C:\Program Files (x86)\AstroGrep\AstroGrep.exe" /spath="%USERPROFILE%\AppData\Local\Temp\OnboardLogs" /stypes="app*4020*20160928*"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6" t="str">
        <f t="shared" si="17"/>
        <v>"%USERPROFILE%\Documents\GitHub\eaglep3\Utilities\RefineRTDCRunTimes.py" --tripid 103-28 --locoid 4020 --swversion DE.1.0.7.0 --startMP 204:675 --initTime 2016-09-28T03:37:16 --startdatetime 2016-09-28T03:45:21 --delay 1 --endMP 204:233376 --enddatetime 2016-09-28T04:22:06 --enforcementcount 0 &gt;&gt;C:\Users\stu\Documents\GitHub\eaglep3-reporting\EC\2016-09-28-refined-times.txt</v>
      </c>
      <c r="AI15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{"issue":{"subject":"","project_id":79,"tracker_id":40,"status_id":1,"priority_id":2,"assigned_to_id":23,"start_date":"2016-09-28","description":"","custom_fields":[{"id":1,"name":"Subdivision","value":"EC"},{"id":4,"name":"Milepost","value":"23.3376"},{"id":17,"name":"Train ID","value":"103-28"},{"id":16,"name":"Locomotive ID","value":"4020"},{"id":130,"name":"Impact","value":""},{"id":150,"name":"Time of Event (Mountain Time)","value":"04:22:06"},{"id":151,"name":"Denver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387</v>
      </c>
      <c r="B16" s="7">
        <v>4008</v>
      </c>
      <c r="C16" s="24" t="s">
        <v>106</v>
      </c>
      <c r="D16" s="24" t="s">
        <v>603</v>
      </c>
      <c r="E16" s="15">
        <v>42641.189189814817</v>
      </c>
      <c r="F16" s="15">
        <v>42641.195347222223</v>
      </c>
      <c r="G16" s="7">
        <v>1</v>
      </c>
      <c r="H16" s="15" t="s">
        <v>248</v>
      </c>
      <c r="I16" s="15">
        <v>42641.224386574075</v>
      </c>
      <c r="J16" s="7">
        <v>0</v>
      </c>
      <c r="K16" s="117" t="str">
        <f t="shared" si="0"/>
        <v>4007/4008</v>
      </c>
      <c r="L16" s="24" t="str">
        <f>VLOOKUP(A16,'Trips&amp;Operators'!$C$1:$E$10000,3,FALSE)</f>
        <v>ACKERMAN</v>
      </c>
      <c r="M16" s="6">
        <f t="shared" si="1"/>
        <v>2.9039351851679385E-2</v>
      </c>
      <c r="N16" s="7">
        <f t="shared" si="2"/>
        <v>41.816666666418314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03:32:26-0600',mode:absolute,to:'2016-09-28 06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6" s="54" t="str">
        <f t="shared" si="6"/>
        <v>N</v>
      </c>
      <c r="X16" s="164">
        <f t="shared" si="7"/>
        <v>1</v>
      </c>
      <c r="Y16" s="69">
        <f t="shared" si="8"/>
        <v>23.271899999999999</v>
      </c>
      <c r="Z16" s="69">
        <f t="shared" si="9"/>
        <v>1.41E-2</v>
      </c>
      <c r="AA16" s="69">
        <f t="shared" si="10"/>
        <v>23.2578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0104-28</v>
      </c>
      <c r="AE16" s="95" t="str">
        <f t="shared" si="12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16" s="92" t="str">
        <f t="shared" si="13"/>
        <v>"C:\Program Files (x86)\AstroGrep\AstroGrep.exe" /spath="%USERPROFILE%\AppData\Local\Temp\OnboardLogs" /stypes="app*4008*20160928*"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6" t="str">
        <f t="shared" si="17"/>
        <v>"%USERPROFILE%\Documents\GitHub\eaglep3\Utilities\RefineRTDCRunTimes.py" --tripid 104-28 --locoid 4008 --swversion DE.1.0.7.0 --startMP 204:232719 --initTime 2016-09-28T04:32:26 --startdatetime 2016-09-28T04:41:18 --delay 1 --endMP 204:141 --enddatetime 2016-09-28T05:23:07 --enforcementcount 0 &gt;&gt;C:\Users\stu\Documents\GitHub\eaglep3-reporting\EC\2016-09-28-refined-times.txt</v>
      </c>
      <c r="AI16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{"issue":{"subject":"","project_id":79,"tracker_id":40,"status_id":1,"priority_id":2,"assigned_to_id":23,"start_date":"2016-09-28","description":"","custom_fields":[{"id":1,"name":"Subdivision","value":"EC"},{"id":4,"name":"Milepost","value":"0.0141"},{"id":17,"name":"Train ID","value":"104-28"},{"id":16,"name":"Locomotive ID","value":"4008"},{"id":130,"name":"Impact","value":""},{"id":150,"name":"Time of Event (Mountain Time)","value":"05:23:07"},{"id":151,"name":"Denver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382</v>
      </c>
      <c r="B17" s="7">
        <v>4018</v>
      </c>
      <c r="C17" s="24" t="s">
        <v>106</v>
      </c>
      <c r="D17" s="24" t="s">
        <v>604</v>
      </c>
      <c r="E17" s="15">
        <v>42641.173657407409</v>
      </c>
      <c r="F17" s="15">
        <v>42641.177534722221</v>
      </c>
      <c r="G17" s="7">
        <v>2</v>
      </c>
      <c r="H17" s="15" t="s">
        <v>287</v>
      </c>
      <c r="I17" s="15">
        <v>42641.204421296294</v>
      </c>
      <c r="J17" s="7">
        <v>0</v>
      </c>
      <c r="K17" s="117" t="str">
        <f t="shared" si="0"/>
        <v>4017/4018</v>
      </c>
      <c r="L17" s="24" t="str">
        <f>VLOOKUP(A17,'Trips&amp;Operators'!$C$1:$E$10000,3,FALSE)</f>
        <v>STRICKLAND</v>
      </c>
      <c r="M17" s="6">
        <f t="shared" si="1"/>
        <v>2.6886574072705116E-2</v>
      </c>
      <c r="N17" s="7">
        <f t="shared" si="2"/>
        <v>38.716666664695367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03:10:04-0600',mode:absolute,to:'2016-09-28 05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6"/>
        <v>N</v>
      </c>
      <c r="X17" s="164">
        <f t="shared" si="7"/>
        <v>1</v>
      </c>
      <c r="Y17" s="69">
        <f t="shared" si="8"/>
        <v>7.8100000000000003E-2</v>
      </c>
      <c r="Z17" s="69">
        <f t="shared" si="9"/>
        <v>23.328900000000001</v>
      </c>
      <c r="AA17" s="69">
        <f t="shared" si="10"/>
        <v>23.250800000000002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0105-28</v>
      </c>
      <c r="AE17" s="95" t="str">
        <f t="shared" si="12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17" s="92" t="str">
        <f t="shared" si="13"/>
        <v>"C:\Program Files (x86)\AstroGrep\AstroGrep.exe" /spath="%USERPROFILE%\AppData\Local\Temp\OnboardLogs" /stypes="app*4018*20160928*"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6" t="str">
        <f t="shared" si="17"/>
        <v>"%USERPROFILE%\Documents\GitHub\eaglep3\Utilities\RefineRTDCRunTimes.py" --tripid 105-28 --locoid 4018 --swversion DE.1.0.7.0 --startMP 204:781 --initTime 2016-09-28T04:10:04 --startdatetime 2016-09-28T04:15:39 --delay 2 --endMP 204:233289 --enddatetime 2016-09-28T04:54:22 --enforcementcount 0 &gt;&gt;C:\Users\stu\Documents\GitHub\eaglep3-reporting\EC\2016-09-28-refined-times.txt</v>
      </c>
      <c r="AI17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{"issue":{"subject":"","project_id":79,"tracker_id":40,"status_id":1,"priority_id":2,"assigned_to_id":23,"start_date":"2016-09-28","description":"","custom_fields":[{"id":1,"name":"Subdivision","value":"EC"},{"id":4,"name":"Milepost","value":"23.3289"},{"id":17,"name":"Train ID","value":"105-28"},{"id":16,"name":"Locomotive ID","value":"4018"},{"id":130,"name":"Impact","value":""},{"id":150,"name":"Time of Event (Mountain Time)","value":"04:54:22"},{"id":151,"name":"Denver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389</v>
      </c>
      <c r="B18" s="7">
        <v>4041</v>
      </c>
      <c r="C18" s="24" t="s">
        <v>106</v>
      </c>
      <c r="D18" s="24" t="s">
        <v>605</v>
      </c>
      <c r="E18" s="15">
        <v>42641.212777777779</v>
      </c>
      <c r="F18" s="15">
        <v>42641.216377314813</v>
      </c>
      <c r="G18" s="7">
        <v>2</v>
      </c>
      <c r="H18" s="15" t="s">
        <v>606</v>
      </c>
      <c r="I18" s="15">
        <v>42641.245381944442</v>
      </c>
      <c r="J18" s="7">
        <v>0</v>
      </c>
      <c r="K18" s="117" t="str">
        <f t="shared" si="0"/>
        <v>4041/4042</v>
      </c>
      <c r="L18" s="24" t="str">
        <f>VLOOKUP(A18,'Trips&amp;Operators'!$C$1:$E$10000,3,FALSE)</f>
        <v>STRICKLAND</v>
      </c>
      <c r="M18" s="6">
        <f t="shared" si="1"/>
        <v>2.9004629628616385E-2</v>
      </c>
      <c r="N18" s="7">
        <f t="shared" si="2"/>
        <v>41.766666665207595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04:06:24-0600',mode:absolute,to:'2016-09-28 06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64">
        <f t="shared" si="7"/>
        <v>1</v>
      </c>
      <c r="Y18" s="69">
        <f t="shared" si="8"/>
        <v>23.265799999999999</v>
      </c>
      <c r="Z18" s="69">
        <f t="shared" si="9"/>
        <v>2.01E-2</v>
      </c>
      <c r="AA18" s="69">
        <f t="shared" si="10"/>
        <v>23.245699999999999</v>
      </c>
      <c r="AB18" s="66" t="str">
        <f>VLOOKUP(A18,Enforcements!$C$7:$K$21,8,0)</f>
        <v>Bulletin (2)</v>
      </c>
      <c r="AC18" s="62" t="str">
        <f>VLOOKUP(A18,Enforcements!$C$7:$E$21,3,0)</f>
        <v>GRADE CROSSING</v>
      </c>
      <c r="AD18" s="63" t="str">
        <f t="shared" si="11"/>
        <v>0106-28</v>
      </c>
      <c r="AE18" s="95" t="str">
        <f t="shared" si="12"/>
        <v>aws s3 cp s3://rtdc.mdm.uploadarchive.raw/RTDC4041/ "%USERPROFILE%\AppData\Local\Temp\OnboardLogs"\RTDC4041\2016-09-28 --exclude "*" --recursive --include "*20160928*" &amp; "%USERPROFILE%\Documents\GitHub\mrs-test-scripts\Headless Mode &amp; Sideloading\WalkAndUnGZ.bat" "%USERPROFILE%\AppData\Local\Temp\OnboardLogs"\RTDC4041\2016-09-28 &amp; 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</v>
      </c>
      <c r="AF18" s="92" t="str">
        <f t="shared" si="13"/>
        <v>"C:\Program Files (x86)\AstroGrep\AstroGrep.exe" /spath="%USERPROFILE%\AppData\Local\Temp\OnboardLogs" /stypes="app*4041*20160928*"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6" t="str">
        <f t="shared" si="17"/>
        <v>"%USERPROFILE%\Documents\GitHub\eaglep3\Utilities\RefineRTDCRunTimes.py" --tripid 106-28 --locoid 4041 --swversion DE.1.0.7.0 --startMP 204:232658 --initTime 2016-09-28T05:06:24 --startdatetime 2016-09-28T05:11:35 --delay 2 --endMP 204:201 --enddatetime 2016-09-28T05:53:21 --enforcementcount 0 &gt;&gt;C:\Users\stu\Documents\GitHub\eaglep3-reporting\EC\2016-09-28-refined-times.txt</v>
      </c>
      <c r="AI18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{"issue":{"subject":"","project_id":79,"tracker_id":40,"status_id":1,"priority_id":2,"assigned_to_id":23,"start_date":"2016-09-28","description":"","custom_fields":[{"id":1,"name":"Subdivision","value":"EC"},{"id":4,"name":"Milepost","value":"0.0201"},{"id":17,"name":"Train ID","value":"106-28"},{"id":16,"name":"Locomotive ID","value":"4041"},{"id":130,"name":"Impact","value":""},{"id":150,"name":"Time of Event (Mountain Time)","value":"05:53:21"},{"id":151,"name":"Denver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384</v>
      </c>
      <c r="B19" s="7">
        <v>4014</v>
      </c>
      <c r="C19" s="24" t="s">
        <v>106</v>
      </c>
      <c r="D19" s="24" t="s">
        <v>607</v>
      </c>
      <c r="E19" s="15">
        <v>42641.184398148151</v>
      </c>
      <c r="F19" s="15">
        <v>42641.187685185185</v>
      </c>
      <c r="G19" s="7">
        <v>1</v>
      </c>
      <c r="H19" s="15" t="s">
        <v>289</v>
      </c>
      <c r="I19" s="15">
        <v>42641.213009259256</v>
      </c>
      <c r="J19" s="7">
        <v>0</v>
      </c>
      <c r="K19" s="117" t="str">
        <f t="shared" si="0"/>
        <v>4013/4014</v>
      </c>
      <c r="L19" s="24" t="str">
        <f>VLOOKUP(A19,'Trips&amp;Operators'!$C$1:$E$10000,3,FALSE)</f>
        <v>SPECTOR</v>
      </c>
      <c r="M19" s="6">
        <f t="shared" si="1"/>
        <v>2.5324074071249925E-2</v>
      </c>
      <c r="N19" s="7">
        <f t="shared" si="2"/>
        <v>36.466666662599891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03:25:32-0600',mode:absolute,to:'2016-09-28 06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64">
        <f t="shared" si="7"/>
        <v>1</v>
      </c>
      <c r="Y19" s="69">
        <f t="shared" si="8"/>
        <v>4.1099999999999998E-2</v>
      </c>
      <c r="Z19" s="69">
        <f t="shared" si="9"/>
        <v>23.331499999999998</v>
      </c>
      <c r="AA19" s="69">
        <f t="shared" si="10"/>
        <v>23.290399999999998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0107-28</v>
      </c>
      <c r="AE19" s="95" t="str">
        <f t="shared" si="12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19" s="92" t="str">
        <f t="shared" si="13"/>
        <v>"C:\Program Files (x86)\AstroGrep\AstroGrep.exe" /spath="%USERPROFILE%\AppData\Local\Temp\OnboardLogs" /stypes="app*4014*20160928*"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6" t="str">
        <f t="shared" si="17"/>
        <v>"%USERPROFILE%\Documents\GitHub\eaglep3\Utilities\RefineRTDCRunTimes.py" --tripid 107-28 --locoid 4014 --swversion DE.1.0.7.0 --startMP 204:411 --initTime 2016-09-28T04:25:32 --startdatetime 2016-09-28T04:30:16 --delay 1 --endMP 204:233315 --enddatetime 2016-09-28T05:06:44 --enforcementcount 0 &gt;&gt;C:\Users\stu\Documents\GitHub\eaglep3-reporting\EC\2016-09-28-refined-times.txt</v>
      </c>
      <c r="AI19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{"issue":{"subject":"","project_id":79,"tracker_id":40,"status_id":1,"priority_id":2,"assigned_to_id":23,"start_date":"2016-09-28","description":"","custom_fields":[{"id":1,"name":"Subdivision","value":"EC"},{"id":4,"name":"Milepost","value":"23.3315"},{"id":17,"name":"Train ID","value":"107-28"},{"id":16,"name":"Locomotive ID","value":"4014"},{"id":130,"name":"Impact","value":""},{"id":150,"name":"Time of Event (Mountain Time)","value":"05:06:44"},{"id":151,"name":"Denver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393</v>
      </c>
      <c r="B20" s="7">
        <v>4013</v>
      </c>
      <c r="C20" s="24" t="s">
        <v>106</v>
      </c>
      <c r="D20" s="24" t="s">
        <v>608</v>
      </c>
      <c r="E20" s="15">
        <v>42641.219629629632</v>
      </c>
      <c r="F20" s="15">
        <v>42641.226585648146</v>
      </c>
      <c r="G20" s="7">
        <v>1</v>
      </c>
      <c r="H20" s="15" t="s">
        <v>265</v>
      </c>
      <c r="I20" s="15">
        <v>42641.255046296297</v>
      </c>
      <c r="J20" s="7">
        <v>0</v>
      </c>
      <c r="K20" s="117" t="str">
        <f t="shared" si="0"/>
        <v>4013/4014</v>
      </c>
      <c r="L20" s="24" t="str">
        <f>VLOOKUP(A20,'Trips&amp;Operators'!$C$1:$E$10000,3,FALSE)</f>
        <v>SPECTOR</v>
      </c>
      <c r="M20" s="6">
        <f t="shared" si="1"/>
        <v>2.846064815093996E-2</v>
      </c>
      <c r="N20" s="7">
        <f t="shared" si="2"/>
        <v>40.983333337353542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04:16:16-0600',mode:absolute,to:'2016-09-28 07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64">
        <f t="shared" si="7"/>
        <v>1</v>
      </c>
      <c r="Y20" s="69">
        <f t="shared" si="8"/>
        <v>23.3002</v>
      </c>
      <c r="Z20" s="69">
        <f t="shared" si="9"/>
        <v>1.43E-2</v>
      </c>
      <c r="AA20" s="69">
        <f t="shared" si="10"/>
        <v>23.285900000000002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0108-28</v>
      </c>
      <c r="AE20" s="95" t="str">
        <f t="shared" si="12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20" s="92" t="str">
        <f t="shared" si="13"/>
        <v>"C:\Program Files (x86)\AstroGrep\AstroGrep.exe" /spath="%USERPROFILE%\AppData\Local\Temp\OnboardLogs" /stypes="app*4013*20160928*"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6" t="str">
        <f t="shared" si="17"/>
        <v>"%USERPROFILE%\Documents\GitHub\eaglep3\Utilities\RefineRTDCRunTimes.py" --tripid 108-28 --locoid 4013 --swversion DE.1.0.7.0 --startMP 204:233002 --initTime 2016-09-28T05:16:16 --startdatetime 2016-09-28T05:26:17 --delay 1 --endMP 204:143 --enddatetime 2016-09-28T06:07:16 --enforcementcount 0 &gt;&gt;C:\Users\stu\Documents\GitHub\eaglep3-reporting\EC\2016-09-28-refined-times.txt</v>
      </c>
      <c r="AI20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{"issue":{"subject":"","project_id":79,"tracker_id":40,"status_id":1,"priority_id":2,"assigned_to_id":23,"start_date":"2016-09-28","description":"","custom_fields":[{"id":1,"name":"Subdivision","value":"EC"},{"id":4,"name":"Milepost","value":"0.0143"},{"id":17,"name":"Train ID","value":"108-28"},{"id":16,"name":"Locomotive ID","value":"4013"},{"id":130,"name":"Impact","value":""},{"id":150,"name":"Time of Event (Mountain Time)","value":"06:07:16"},{"id":151,"name":"Denver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385</v>
      </c>
      <c r="B21" s="7">
        <v>4046</v>
      </c>
      <c r="C21" s="24" t="s">
        <v>106</v>
      </c>
      <c r="D21" s="24" t="s">
        <v>227</v>
      </c>
      <c r="E21" s="15">
        <v>42641.18608796296</v>
      </c>
      <c r="F21" s="15">
        <v>42641.198854166665</v>
      </c>
      <c r="G21" s="7">
        <v>2</v>
      </c>
      <c r="H21" s="15" t="s">
        <v>245</v>
      </c>
      <c r="I21" s="15">
        <v>42641.224328703705</v>
      </c>
      <c r="J21" s="7">
        <v>0</v>
      </c>
      <c r="K21" s="117" t="str">
        <f t="shared" si="0"/>
        <v>4045/4046</v>
      </c>
      <c r="L21" s="24" t="str">
        <f>VLOOKUP(A21,'Trips&amp;Operators'!$C$1:$E$10000,3,FALSE)</f>
        <v>KILLION</v>
      </c>
      <c r="M21" s="6">
        <f t="shared" si="1"/>
        <v>2.5474537040281575E-2</v>
      </c>
      <c r="N21" s="7">
        <f t="shared" si="2"/>
        <v>36.683333338005468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03:27:58-0600',mode:absolute,to:'2016-09-28 06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1" s="54" t="str">
        <f t="shared" si="6"/>
        <v>N</v>
      </c>
      <c r="X21" s="164">
        <f t="shared" si="7"/>
        <v>1</v>
      </c>
      <c r="Y21" s="69">
        <f t="shared" si="8"/>
        <v>4.58E-2</v>
      </c>
      <c r="Z21" s="69">
        <f t="shared" si="9"/>
        <v>23.329499999999999</v>
      </c>
      <c r="AA21" s="69">
        <f t="shared" si="10"/>
        <v>23.2837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0109-28</v>
      </c>
      <c r="AE21" s="95" t="str">
        <f t="shared" si="12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21" s="92" t="str">
        <f t="shared" si="13"/>
        <v>"C:\Program Files (x86)\AstroGrep\AstroGrep.exe" /spath="%USERPROFILE%\AppData\Local\Temp\OnboardLogs" /stypes="app*4046*20160928*"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6" t="str">
        <f t="shared" si="17"/>
        <v>"%USERPROFILE%\Documents\GitHub\eaglep3\Utilities\RefineRTDCRunTimes.py" --tripid 109-28 --locoid 4046 --swversion DE.1.0.7.0 --startMP 204:458 --initTime 2016-09-28T04:27:58 --startdatetime 2016-09-28T04:46:21 --delay 2 --endMP 204:233295 --enddatetime 2016-09-28T05:23:02 --enforcementcount 0 &gt;&gt;C:\Users\stu\Documents\GitHub\eaglep3-reporting\EC\2016-09-28-refined-times.txt</v>
      </c>
      <c r="AI21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{"issue":{"subject":"","project_id":79,"tracker_id":40,"status_id":1,"priority_id":2,"assigned_to_id":23,"start_date":"2016-09-28","description":"","custom_fields":[{"id":1,"name":"Subdivision","value":"EC"},{"id":4,"name":"Milepost","value":"23.3295"},{"id":17,"name":"Train ID","value":"109-28"},{"id":16,"name":"Locomotive ID","value":"4046"},{"id":130,"name":"Impact","value":""},{"id":150,"name":"Time of Event (Mountain Time)","value":"05:23:02"},{"id":151,"name":"Denver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396</v>
      </c>
      <c r="B22" s="7">
        <v>4045</v>
      </c>
      <c r="C22" s="24" t="s">
        <v>106</v>
      </c>
      <c r="D22" s="24" t="s">
        <v>267</v>
      </c>
      <c r="E22" s="15">
        <v>42641.231388888889</v>
      </c>
      <c r="F22" s="15">
        <v>42641.237002314818</v>
      </c>
      <c r="G22" s="7">
        <v>2</v>
      </c>
      <c r="H22" s="15" t="s">
        <v>221</v>
      </c>
      <c r="I22" s="15">
        <v>42641.264108796298</v>
      </c>
      <c r="J22" s="7">
        <v>0</v>
      </c>
      <c r="K22" s="117" t="str">
        <f t="shared" si="0"/>
        <v>4045/4046</v>
      </c>
      <c r="L22" s="24" t="str">
        <f>VLOOKUP(A22,'Trips&amp;Operators'!$C$1:$E$10000,3,FALSE)</f>
        <v>KILLION</v>
      </c>
      <c r="M22" s="6">
        <f t="shared" si="1"/>
        <v>2.7106481480586808E-2</v>
      </c>
      <c r="N22" s="7">
        <f t="shared" si="2"/>
        <v>39.033333332045004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04:33:12-0600',mode:absolute,to:'2016-09-28 07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2" s="54" t="str">
        <f t="shared" si="6"/>
        <v>N</v>
      </c>
      <c r="X22" s="164">
        <f t="shared" si="7"/>
        <v>1</v>
      </c>
      <c r="Y22" s="69">
        <f t="shared" si="8"/>
        <v>23.297499999999999</v>
      </c>
      <c r="Z22" s="69">
        <f t="shared" si="9"/>
        <v>1.52E-2</v>
      </c>
      <c r="AA22" s="69">
        <f t="shared" si="10"/>
        <v>23.282299999999999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0110-28</v>
      </c>
      <c r="AE22" s="95" t="str">
        <f t="shared" si="12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22" s="92" t="str">
        <f t="shared" si="13"/>
        <v>"C:\Program Files (x86)\AstroGrep\AstroGrep.exe" /spath="%USERPROFILE%\AppData\Local\Temp\OnboardLogs" /stypes="app*4045*20160928*"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6" t="str">
        <f t="shared" si="17"/>
        <v>"%USERPROFILE%\Documents\GitHub\eaglep3\Utilities\RefineRTDCRunTimes.py" --tripid 110-28 --locoid 4045 --swversion DE.1.0.7.0 --startMP 204:232975 --initTime 2016-09-28T05:33:12 --startdatetime 2016-09-28T05:41:17 --delay 2 --endMP 204:152 --enddatetime 2016-09-28T06:20:19 --enforcementcount 0 &gt;&gt;C:\Users\stu\Documents\GitHub\eaglep3-reporting\EC\2016-09-28-refined-times.txt</v>
      </c>
      <c r="AI22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{"issue":{"subject":"","project_id":79,"tracker_id":40,"status_id":1,"priority_id":2,"assigned_to_id":23,"start_date":"2016-09-28","description":"","custom_fields":[{"id":1,"name":"Subdivision","value":"EC"},{"id":4,"name":"Milepost","value":"0.0152"},{"id":17,"name":"Train ID","value":"110-28"},{"id":16,"name":"Locomotive ID","value":"4045"},{"id":130,"name":"Impact","value":""},{"id":150,"name":"Time of Event (Mountain Time)","value":"06:20:19"},{"id":151,"name":"Denver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388</v>
      </c>
      <c r="B23" s="7">
        <v>4040</v>
      </c>
      <c r="C23" s="24" t="s">
        <v>106</v>
      </c>
      <c r="D23" s="24" t="s">
        <v>609</v>
      </c>
      <c r="E23" s="15">
        <v>42641.205960648149</v>
      </c>
      <c r="F23" s="15">
        <v>42641.208611111113</v>
      </c>
      <c r="G23" s="7">
        <v>1</v>
      </c>
      <c r="H23" s="15" t="s">
        <v>610</v>
      </c>
      <c r="I23" s="15">
        <v>42641.235532407409</v>
      </c>
      <c r="J23" s="7">
        <v>0</v>
      </c>
      <c r="K23" s="117" t="str">
        <f t="shared" si="0"/>
        <v>4039/4040</v>
      </c>
      <c r="L23" s="24" t="str">
        <f>VLOOKUP(A23,'Trips&amp;Operators'!$C$1:$E$10000,3,FALSE)</f>
        <v>ROCHA</v>
      </c>
      <c r="M23" s="6">
        <f t="shared" si="1"/>
        <v>2.6921296295768116E-2</v>
      </c>
      <c r="N23" s="7">
        <f t="shared" si="2"/>
        <v>38.766666665906087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03:56:35-0600',mode:absolute,to:'2016-09-28 06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3" s="54" t="str">
        <f t="shared" si="6"/>
        <v>N</v>
      </c>
      <c r="X23" s="164">
        <f t="shared" si="7"/>
        <v>1</v>
      </c>
      <c r="Y23" s="69">
        <f t="shared" si="8"/>
        <v>7.6300000000000007E-2</v>
      </c>
      <c r="Z23" s="69">
        <f t="shared" si="9"/>
        <v>23.330200000000001</v>
      </c>
      <c r="AA23" s="69">
        <f t="shared" si="10"/>
        <v>23.253900000000002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0111-28</v>
      </c>
      <c r="AE23" s="95" t="str">
        <f t="shared" si="12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23" s="92" t="str">
        <f t="shared" si="13"/>
        <v>"C:\Program Files (x86)\AstroGrep\AstroGrep.exe" /spath="%USERPROFILE%\AppData\Local\Temp\OnboardLogs" /stypes="app*4040*20160928*"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6" t="str">
        <f t="shared" si="17"/>
        <v>"%USERPROFILE%\Documents\GitHub\eaglep3\Utilities\RefineRTDCRunTimes.py" --tripid 111-28 --locoid 4040 --swversion DE.1.0.7.0 --startMP 204:763 --initTime 2016-09-28T04:56:35 --startdatetime 2016-09-28T05:00:24 --delay 1 --endMP 204:233302 --enddatetime 2016-09-28T05:39:10 --enforcementcount 0 &gt;&gt;C:\Users\stu\Documents\GitHub\eaglep3-reporting\EC\2016-09-28-refined-times.txt</v>
      </c>
      <c r="AI23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{"issue":{"subject":"","project_id":79,"tracker_id":40,"status_id":1,"priority_id":2,"assigned_to_id":23,"start_date":"2016-09-28","description":"","custom_fields":[{"id":1,"name":"Subdivision","value":"EC"},{"id":4,"name":"Milepost","value":"23.3302"},{"id":17,"name":"Train ID","value":"111-28"},{"id":16,"name":"Locomotive ID","value":"4040"},{"id":130,"name":"Impact","value":""},{"id":150,"name":"Time of Event (Mountain Time)","value":"05:39:10"},{"id":151,"name":"Denver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400</v>
      </c>
      <c r="B24" s="7">
        <v>4039</v>
      </c>
      <c r="C24" s="24" t="s">
        <v>106</v>
      </c>
      <c r="D24" s="24" t="s">
        <v>266</v>
      </c>
      <c r="E24" s="15">
        <v>42641.246898148151</v>
      </c>
      <c r="F24" s="15">
        <v>42641.248368055552</v>
      </c>
      <c r="G24" s="7">
        <v>1</v>
      </c>
      <c r="H24" s="15" t="s">
        <v>231</v>
      </c>
      <c r="I24" s="15">
        <v>42641.275914351849</v>
      </c>
      <c r="J24" s="7">
        <v>0</v>
      </c>
      <c r="K24" s="117" t="str">
        <f t="shared" si="0"/>
        <v>4039/4040</v>
      </c>
      <c r="L24" s="24" t="str">
        <f>VLOOKUP(A24,'Trips&amp;Operators'!$C$1:$E$10000,3,FALSE)</f>
        <v>ROCHA</v>
      </c>
      <c r="M24" s="6">
        <f t="shared" si="1"/>
        <v>2.7546296296350192E-2</v>
      </c>
      <c r="N24" s="7">
        <f t="shared" si="2"/>
        <v>39.666666666744277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04:55:32-0600',mode:absolute,to:'2016-09-28 07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4" s="54" t="str">
        <f t="shared" si="6"/>
        <v>N</v>
      </c>
      <c r="X24" s="164">
        <f t="shared" si="7"/>
        <v>1</v>
      </c>
      <c r="Y24" s="69">
        <f t="shared" si="8"/>
        <v>23.297699999999999</v>
      </c>
      <c r="Z24" s="69">
        <f t="shared" si="9"/>
        <v>1.38E-2</v>
      </c>
      <c r="AA24" s="69">
        <f t="shared" si="10"/>
        <v>23.283899999999999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0112-28</v>
      </c>
      <c r="AE24" s="95" t="str">
        <f t="shared" si="12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24" s="92" t="str">
        <f t="shared" si="13"/>
        <v>"C:\Program Files (x86)\AstroGrep\AstroGrep.exe" /spath="%USERPROFILE%\AppData\Local\Temp\OnboardLogs" /stypes="app*4039*20160928*"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6" t="str">
        <f t="shared" si="17"/>
        <v>"%USERPROFILE%\Documents\GitHub\eaglep3\Utilities\RefineRTDCRunTimes.py" --tripid 112-28 --locoid 4039 --swversion DE.1.0.7.0 --startMP 204:232977 --initTime 2016-09-28T05:55:32 --startdatetime 2016-09-28T05:57:39 --delay 1 --endMP 204:138 --enddatetime 2016-09-28T06:37:19 --enforcementcount 0 &gt;&gt;C:\Users\stu\Documents\GitHub\eaglep3-reporting\EC\2016-09-28-refined-times.txt</v>
      </c>
      <c r="AI24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{"issue":{"subject":"","project_id":79,"tracker_id":40,"status_id":1,"priority_id":2,"assigned_to_id":23,"start_date":"2016-09-28","description":"","custom_fields":[{"id":1,"name":"Subdivision","value":"EC"},{"id":4,"name":"Milepost","value":"0.0138"},{"id":17,"name":"Train ID","value":"112-28"},{"id":16,"name":"Locomotive ID","value":"4039"},{"id":130,"name":"Impact","value":""},{"id":150,"name":"Time of Event (Mountain Time)","value":"06:37:19"},{"id":151,"name":"Denver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392</v>
      </c>
      <c r="B25" s="7">
        <v>4002</v>
      </c>
      <c r="C25" s="24" t="s">
        <v>106</v>
      </c>
      <c r="D25" s="24" t="s">
        <v>611</v>
      </c>
      <c r="E25" s="15">
        <v>42641.215648148151</v>
      </c>
      <c r="F25" s="15">
        <v>42641.218993055554</v>
      </c>
      <c r="G25" s="7">
        <v>1</v>
      </c>
      <c r="H25" s="15" t="s">
        <v>340</v>
      </c>
      <c r="I25" s="15">
        <v>42641.244340277779</v>
      </c>
      <c r="J25" s="7">
        <v>0</v>
      </c>
      <c r="K25" s="117" t="str">
        <f t="shared" si="0"/>
        <v>4001/4002</v>
      </c>
      <c r="L25" s="24" t="str">
        <f>VLOOKUP(A25,'Trips&amp;Operators'!$C$1:$E$10000,3,FALSE)</f>
        <v>MAELZER</v>
      </c>
      <c r="M25" s="6">
        <f t="shared" si="1"/>
        <v>2.5347222224809229E-2</v>
      </c>
      <c r="N25" s="7">
        <f t="shared" si="2"/>
        <v>36.50000000372529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04:10:32-0600',mode:absolute,to:'2016-09-28 06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5" s="54" t="str">
        <f t="shared" si="6"/>
        <v>N</v>
      </c>
      <c r="X25" s="164">
        <f t="shared" si="7"/>
        <v>1</v>
      </c>
      <c r="Y25" s="69">
        <f t="shared" si="8"/>
        <v>4.2700000000000002E-2</v>
      </c>
      <c r="Z25" s="69">
        <f t="shared" si="9"/>
        <v>23.331800000000001</v>
      </c>
      <c r="AA25" s="69">
        <f t="shared" si="10"/>
        <v>23.289100000000001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0113-28</v>
      </c>
      <c r="AE25" s="95" t="str">
        <f t="shared" si="12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25" s="92" t="str">
        <f t="shared" si="13"/>
        <v>"C:\Program Files (x86)\AstroGrep\AstroGrep.exe" /spath="%USERPROFILE%\AppData\Local\Temp\OnboardLogs" /stypes="app*4002*20160928*"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6" t="str">
        <f t="shared" si="17"/>
        <v>"%USERPROFILE%\Documents\GitHub\eaglep3\Utilities\RefineRTDCRunTimes.py" --tripid 113-28 --locoid 4002 --swversion DE.1.0.7.0 --startMP 204:427 --initTime 2016-09-28T05:10:32 --startdatetime 2016-09-28T05:15:21 --delay 1 --endMP 204:233318 --enddatetime 2016-09-28T05:51:51 --enforcementcount 0 &gt;&gt;C:\Users\stu\Documents\GitHub\eaglep3-reporting\EC\2016-09-28-refined-times.txt</v>
      </c>
      <c r="AI25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{"issue":{"subject":"","project_id":79,"tracker_id":40,"status_id":1,"priority_id":2,"assigned_to_id":23,"start_date":"2016-09-28","description":"","custom_fields":[{"id":1,"name":"Subdivision","value":"EC"},{"id":4,"name":"Milepost","value":"23.3318"},{"id":17,"name":"Train ID","value":"113-28"},{"id":16,"name":"Locomotive ID","value":"4002"},{"id":130,"name":"Impact","value":""},{"id":150,"name":"Time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402</v>
      </c>
      <c r="B26" s="7">
        <v>4001</v>
      </c>
      <c r="C26" s="24" t="s">
        <v>106</v>
      </c>
      <c r="D26" s="24" t="s">
        <v>612</v>
      </c>
      <c r="E26" s="15">
        <v>42641.249884259261</v>
      </c>
      <c r="F26" s="15">
        <v>42641.257847222223</v>
      </c>
      <c r="G26" s="7">
        <v>1</v>
      </c>
      <c r="H26" s="15" t="s">
        <v>248</v>
      </c>
      <c r="I26" s="15">
        <v>42641.28565972222</v>
      </c>
      <c r="J26" s="7">
        <v>0</v>
      </c>
      <c r="K26" s="117" t="str">
        <f t="shared" si="0"/>
        <v>4001/4002</v>
      </c>
      <c r="L26" s="24" t="str">
        <f>VLOOKUP(A26,'Trips&amp;Operators'!$C$1:$E$10000,3,FALSE)</f>
        <v>MAELZER</v>
      </c>
      <c r="M26" s="6">
        <f t="shared" si="1"/>
        <v>2.7812499996798579E-2</v>
      </c>
      <c r="N26" s="7">
        <f t="shared" si="2"/>
        <v>40.049999995389953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04:59:50-0600',mode:absolute,to:'2016-09-28 07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6" s="54" t="str">
        <f t="shared" si="6"/>
        <v>N</v>
      </c>
      <c r="X26" s="164">
        <f t="shared" si="7"/>
        <v>1</v>
      </c>
      <c r="Y26" s="69">
        <f t="shared" si="8"/>
        <v>23.298400000000001</v>
      </c>
      <c r="Z26" s="69">
        <f t="shared" si="9"/>
        <v>1.41E-2</v>
      </c>
      <c r="AA26" s="69">
        <f t="shared" si="10"/>
        <v>23.284300000000002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0114-28</v>
      </c>
      <c r="AE26" s="95" t="str">
        <f t="shared" si="12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26" s="92" t="str">
        <f t="shared" si="13"/>
        <v>"C:\Program Files (x86)\AstroGrep\AstroGrep.exe" /spath="%USERPROFILE%\AppData\Local\Temp\OnboardLogs" /stypes="app*4001*20160928*"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6" t="str">
        <f t="shared" si="17"/>
        <v>"%USERPROFILE%\Documents\GitHub\eaglep3\Utilities\RefineRTDCRunTimes.py" --tripid 114-28 --locoid 4001 --swversion DE.1.0.7.0 --startMP 204:232984 --initTime 2016-09-28T05:59:50 --startdatetime 2016-09-28T06:11:18 --delay 1 --endMP 204:141 --enddatetime 2016-09-28T06:51:21 --enforcementcount 0 &gt;&gt;C:\Users\stu\Documents\GitHub\eaglep3-reporting\EC\2016-09-28-refined-times.txt</v>
      </c>
      <c r="AI26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{"issue":{"subject":"","project_id":79,"tracker_id":40,"status_id":1,"priority_id":2,"assigned_to_id":23,"start_date":"2016-09-28","description":"","custom_fields":[{"id":1,"name":"Subdivision","value":"EC"},{"id":4,"name":"Milepost","value":"0.0141"},{"id":17,"name":"Train ID","value":"114-28"},{"id":16,"name":"Locomotive ID","value":"4001"},{"id":130,"name":"Impact","value":""},{"id":150,"name":"Time of Event (Mountain Time)","value":"06:51:21"},{"id":151,"name":"Denver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394</v>
      </c>
      <c r="B27" s="7">
        <v>4020</v>
      </c>
      <c r="C27" s="24" t="s">
        <v>106</v>
      </c>
      <c r="D27" s="24" t="s">
        <v>613</v>
      </c>
      <c r="E27" s="15">
        <v>42641.226655092592</v>
      </c>
      <c r="F27" s="15">
        <v>42641.229571759257</v>
      </c>
      <c r="G27" s="7">
        <v>1</v>
      </c>
      <c r="H27" s="15" t="s">
        <v>296</v>
      </c>
      <c r="I27" s="15">
        <v>42641.254432870373</v>
      </c>
      <c r="J27" s="7">
        <v>0</v>
      </c>
      <c r="K27" s="117" t="str">
        <f t="shared" si="0"/>
        <v>4019/4020</v>
      </c>
      <c r="L27" s="24" t="str">
        <f>VLOOKUP(A27,'Trips&amp;Operators'!$C$1:$E$10000,3,FALSE)</f>
        <v>SANTIZO</v>
      </c>
      <c r="M27" s="6">
        <f t="shared" si="1"/>
        <v>2.4861111116479151E-2</v>
      </c>
      <c r="N27" s="7">
        <f t="shared" si="2"/>
        <v>35.800000007729977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04:26:23-0600',mode:absolute,to:'2016-09-28 07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7" s="54" t="str">
        <f t="shared" si="6"/>
        <v>N</v>
      </c>
      <c r="X27" s="164">
        <f t="shared" si="7"/>
        <v>1</v>
      </c>
      <c r="Y27" s="69">
        <f t="shared" si="8"/>
        <v>7.5200000000000003E-2</v>
      </c>
      <c r="Z27" s="69">
        <f t="shared" si="9"/>
        <v>23.3323</v>
      </c>
      <c r="AA27" s="69">
        <f t="shared" si="10"/>
        <v>23.257100000000001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0115-28</v>
      </c>
      <c r="AE27" s="95" t="str">
        <f t="shared" si="12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27" s="92" t="str">
        <f t="shared" si="13"/>
        <v>"C:\Program Files (x86)\AstroGrep\AstroGrep.exe" /spath="%USERPROFILE%\AppData\Local\Temp\OnboardLogs" /stypes="app*4020*20160928*"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6" t="str">
        <f t="shared" si="17"/>
        <v>"%USERPROFILE%\Documents\GitHub\eaglep3\Utilities\RefineRTDCRunTimes.py" --tripid 115-28 --locoid 4020 --swversion DE.1.0.7.0 --startMP 204:752 --initTime 2016-09-28T05:26:23 --startdatetime 2016-09-28T05:30:35 --delay 1 --endMP 204:233323 --enddatetime 2016-09-28T06:06:23 --enforcementcount 0 &gt;&gt;C:\Users\stu\Documents\GitHub\eaglep3-reporting\EC\2016-09-28-refined-times.txt</v>
      </c>
      <c r="AI27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{"issue":{"subject":"","project_id":79,"tracker_id":40,"status_id":1,"priority_id":2,"assigned_to_id":23,"start_date":"2016-09-28","description":"","custom_fields":[{"id":1,"name":"Subdivision","value":"EC"},{"id":4,"name":"Milepost","value":"23.3323"},{"id":17,"name":"Train ID","value":"115-28"},{"id":16,"name":"Locomotive ID","value":"4020"},{"id":130,"name":"Impact","value":""},{"id":150,"name":"Time of Event (Mountain Time)","value":"06:06:23"},{"id":151,"name":"Denver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403</v>
      </c>
      <c r="B28" s="7">
        <v>4019</v>
      </c>
      <c r="C28" s="24" t="s">
        <v>106</v>
      </c>
      <c r="D28" s="24" t="s">
        <v>253</v>
      </c>
      <c r="E28" s="15">
        <v>42641.25571759259</v>
      </c>
      <c r="F28" s="15">
        <v>42641.268229166664</v>
      </c>
      <c r="G28" s="7">
        <v>1</v>
      </c>
      <c r="H28" s="15" t="s">
        <v>212</v>
      </c>
      <c r="I28" s="15">
        <v>42641.296678240738</v>
      </c>
      <c r="J28" s="7">
        <v>0</v>
      </c>
      <c r="K28" s="117" t="str">
        <f t="shared" si="0"/>
        <v>4019/4020</v>
      </c>
      <c r="L28" s="24" t="str">
        <f>VLOOKUP(A28,'Trips&amp;Operators'!$C$1:$E$10000,3,FALSE)</f>
        <v>SANTIZO</v>
      </c>
      <c r="M28" s="6">
        <f t="shared" si="1"/>
        <v>2.8449074074160308E-2</v>
      </c>
      <c r="N28" s="7">
        <f t="shared" si="2"/>
        <v>40.966666666790843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05:08:14-0600',mode:absolute,to:'2016-09-28 08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8" s="54" t="str">
        <f t="shared" si="6"/>
        <v>N</v>
      </c>
      <c r="X28" s="164">
        <f t="shared" si="7"/>
        <v>1</v>
      </c>
      <c r="Y28" s="69">
        <f t="shared" si="8"/>
        <v>23.299800000000001</v>
      </c>
      <c r="Z28" s="69">
        <f t="shared" si="9"/>
        <v>1.49E-2</v>
      </c>
      <c r="AA28" s="69">
        <f t="shared" si="10"/>
        <v>23.2849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0116-28</v>
      </c>
      <c r="AE28" s="95" t="str">
        <f t="shared" si="12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28" s="92" t="str">
        <f t="shared" si="13"/>
        <v>"C:\Program Files (x86)\AstroGrep\AstroGrep.exe" /spath="%USERPROFILE%\AppData\Local\Temp\OnboardLogs" /stypes="app*4019*20160928*"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6" t="str">
        <f t="shared" si="17"/>
        <v>"%USERPROFILE%\Documents\GitHub\eaglep3\Utilities\RefineRTDCRunTimes.py" --tripid 116-28 --locoid 4019 --swversion DE.1.0.7.0 --startMP 204:232998 --initTime 2016-09-28T06:08:14 --startdatetime 2016-09-28T06:26:15 --delay 1 --endMP 204:149 --enddatetime 2016-09-28T07:07:13 --enforcementcount 0 &gt;&gt;C:\Users\stu\Documents\GitHub\eaglep3-reporting\EC\2016-09-28-refined-times.txt</v>
      </c>
      <c r="AI28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{"issue":{"subject":"","project_id":79,"tracker_id":40,"status_id":1,"priority_id":2,"assigned_to_id":23,"start_date":"2016-09-28","description":"","custom_fields":[{"id":1,"name":"Subdivision","value":"EC"},{"id":4,"name":"Milepost","value":"0.0149"},{"id":17,"name":"Train ID","value":"116-28"},{"id":16,"name":"Locomotive ID","value":"4019"},{"id":130,"name":"Impact","value":""},{"id":150,"name":"Time of Event (Mountain Time)","value":"07:07:13"},{"id":151,"name":"Denver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764</v>
      </c>
      <c r="B29" s="7"/>
      <c r="C29" s="24" t="s">
        <v>106</v>
      </c>
      <c r="D29" s="24" t="s">
        <v>253</v>
      </c>
      <c r="E29" s="15">
        <v>42641.25571759259</v>
      </c>
      <c r="F29" s="15"/>
      <c r="G29" s="7">
        <v>1</v>
      </c>
      <c r="H29" s="15" t="s">
        <v>212</v>
      </c>
      <c r="I29" s="15"/>
      <c r="J29" s="7">
        <v>0</v>
      </c>
      <c r="K29" s="117" t="str">
        <f t="shared" si="0"/>
        <v>-1/</v>
      </c>
      <c r="L29" s="24" t="e">
        <f>VLOOKUP(A29,'Trips&amp;Operators'!$C$1:$E$10000,3,FALSE)</f>
        <v>#N/A</v>
      </c>
      <c r="M29" s="6">
        <f t="shared" si="1"/>
        <v>0</v>
      </c>
      <c r="N29" s="7"/>
      <c r="O29" s="7"/>
      <c r="P29" s="7">
        <v>1</v>
      </c>
      <c r="Q29" s="25"/>
      <c r="R29" s="25" t="s">
        <v>369</v>
      </c>
      <c r="S29" s="37">
        <f t="shared" si="3"/>
        <v>0</v>
      </c>
      <c r="T29" s="52" t="str">
        <f t="shared" si="4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05:08:14-0600',mode:absolute,to:'1900-01-00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29" s="54" t="str">
        <f t="shared" si="6"/>
        <v>N</v>
      </c>
      <c r="X29" s="164">
        <f t="shared" ref="X29:X32" si="19">VALUE(LEFT(AD29,4))-VALUE(LEFT(AD28,4))</f>
        <v>1</v>
      </c>
      <c r="Y29" s="69">
        <f t="shared" si="8"/>
        <v>23.299800000000001</v>
      </c>
      <c r="Z29" s="69">
        <f t="shared" si="9"/>
        <v>1.49E-2</v>
      </c>
      <c r="AA29" s="69">
        <f t="shared" si="10"/>
        <v>23.2849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0117-28</v>
      </c>
      <c r="AE29" s="95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9" s="92" t="str">
        <f t="shared" si="13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29" s="1" t="str">
        <f t="shared" si="14"/>
        <v>EC</v>
      </c>
      <c r="AH29" s="96" t="str">
        <f t="shared" ref="AH29" si="20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117-28 --locoid  --swversion DE.1.0.7.0 --startMP 204:232998 --initTime 2016-09-28T06:08:14 --startdatetime 1900-01-00T00:00:00 --delay 1 --endMP 204:149 --enddatetime 1900-01-00T00:00:00 --enforcementcount 0 &gt;&gt;C:\Users\stu\Documents\GitHub\eaglep3-reporting\EC\2016-09-28-refined-times.txt</v>
      </c>
      <c r="AI29" s="130" t="str">
        <f t="shared" ref="AI29" si="21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init","project_id":79,"tracker_id":40,"status_id":1,"priority_id":2,"assigned_to_id":23,"start_date":"1900-01-00","description":"","custom_fields":[{"id":1,"name":"Subdivision","value":"EC"},{"id":4,"name":"Milepost","value":"0.0149"},{"id":17,"name":"Train ID","value":"117-28"},{"id":16,"name":"Locomotive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407</v>
      </c>
      <c r="B30" s="7">
        <v>4008</v>
      </c>
      <c r="C30" s="24" t="s">
        <v>106</v>
      </c>
      <c r="D30" s="24" t="s">
        <v>614</v>
      </c>
      <c r="E30" s="15">
        <v>42641.273761574077</v>
      </c>
      <c r="F30" s="15">
        <v>42641.278680555559</v>
      </c>
      <c r="G30" s="7">
        <v>1</v>
      </c>
      <c r="H30" s="15" t="s">
        <v>217</v>
      </c>
      <c r="I30" s="15">
        <v>42641.306620370371</v>
      </c>
      <c r="J30" s="7">
        <v>0</v>
      </c>
      <c r="K30" s="117" t="str">
        <f t="shared" si="0"/>
        <v>4007/4008</v>
      </c>
      <c r="L30" s="24" t="str">
        <f>VLOOKUP(A30,'Trips&amp;Operators'!$C$1:$E$10000,3,FALSE)</f>
        <v>ACKERMAN</v>
      </c>
      <c r="M30" s="6">
        <f t="shared" si="1"/>
        <v>2.7939814812270924E-2</v>
      </c>
      <c r="N30" s="7">
        <f t="shared" ref="N30:N61" si="22">24*60*SUM($M30:$M30)</f>
        <v>40.233333329670131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05:34:13-0600',mode:absolute,to:'2016-09-28 08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30" s="54" t="str">
        <f t="shared" si="6"/>
        <v>N</v>
      </c>
      <c r="X30" s="164">
        <f t="shared" si="19"/>
        <v>1</v>
      </c>
      <c r="Y30" s="69">
        <f t="shared" si="8"/>
        <v>23.296099999999999</v>
      </c>
      <c r="Z30" s="69">
        <f t="shared" si="9"/>
        <v>1.47E-2</v>
      </c>
      <c r="AA30" s="69">
        <f t="shared" si="10"/>
        <v>23.281399999999998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0118-28</v>
      </c>
      <c r="AE30" s="95" t="str">
        <f t="shared" si="12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30" s="92" t="str">
        <f t="shared" si="13"/>
        <v>"C:\Program Files (x86)\AstroGrep\AstroGrep.exe" /spath="%USERPROFILE%\AppData\Local\Temp\OnboardLogs" /stypes="app*4008*20160928*"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6" t="str">
        <f t="shared" si="17"/>
        <v>"%USERPROFILE%\Documents\GitHub\eaglep3\Utilities\RefineRTDCRunTimes.py" --tripid 118-28 --locoid 4008 --swversion DE.1.0.7.0 --startMP 204:232961 --initTime 2016-09-28T06:34:13 --startdatetime 2016-09-28T06:41:18 --delay 1 --endMP 204:147 --enddatetime 2016-09-28T07:21:32 --enforcementcount 0 &gt;&gt;C:\Users\stu\Documents\GitHub\eaglep3-reporting\EC\2016-09-28-refined-times.txt</v>
      </c>
      <c r="AI30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{"issue":{"subject":"","project_id":79,"tracker_id":40,"status_id":1,"priority_id":2,"assigned_to_id":23,"start_date":"2016-09-28","description":"","custom_fields":[{"id":1,"name":"Subdivision","value":"EC"},{"id":4,"name":"Milepost","value":"0.0147"},{"id":17,"name":"Train ID","value":"118-28"},{"id":16,"name":"Locomotive ID","value":"4008"},{"id":130,"name":"Impact","value":""},{"id":150,"name":"Time of Event (Mountain Time)","value":"07:21:32"},{"id":151,"name":"Denver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401</v>
      </c>
      <c r="B31" s="7">
        <v>4018</v>
      </c>
      <c r="C31" s="24" t="s">
        <v>106</v>
      </c>
      <c r="D31" s="24" t="s">
        <v>615</v>
      </c>
      <c r="E31" s="15">
        <v>42641.249351851853</v>
      </c>
      <c r="F31" s="15">
        <v>42641.251134259262</v>
      </c>
      <c r="G31" s="7">
        <v>1</v>
      </c>
      <c r="H31" s="15" t="s">
        <v>616</v>
      </c>
      <c r="I31" s="15">
        <v>42641.27789351852</v>
      </c>
      <c r="J31" s="7">
        <v>0</v>
      </c>
      <c r="K31" s="117" t="str">
        <f t="shared" si="0"/>
        <v>4017/4018</v>
      </c>
      <c r="L31" s="24" t="str">
        <f>VLOOKUP(A31,'Trips&amp;Operators'!$C$1:$E$10000,3,FALSE)</f>
        <v>STRICKLAND</v>
      </c>
      <c r="M31" s="6">
        <f t="shared" si="1"/>
        <v>2.675925925723277E-2</v>
      </c>
      <c r="N31" s="7">
        <f t="shared" si="22"/>
        <v>38.533333330415189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04:59:04-0600',mode:absolute,to:'2016-09-28 07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6"/>
        <v>N</v>
      </c>
      <c r="X31" s="164">
        <f t="shared" si="19"/>
        <v>1</v>
      </c>
      <c r="Y31" s="69">
        <f t="shared" si="8"/>
        <v>8.1600000000000006E-2</v>
      </c>
      <c r="Z31" s="69">
        <f t="shared" si="9"/>
        <v>23.330400000000001</v>
      </c>
      <c r="AA31" s="69">
        <f t="shared" si="10"/>
        <v>23.248799999999999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0119-28</v>
      </c>
      <c r="AE31" s="95" t="str">
        <f t="shared" si="12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31" s="92" t="str">
        <f t="shared" si="13"/>
        <v>"C:\Program Files (x86)\AstroGrep\AstroGrep.exe" /spath="%USERPROFILE%\AppData\Local\Temp\OnboardLogs" /stypes="app*4018*20160928*"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6" t="str">
        <f t="shared" si="17"/>
        <v>"%USERPROFILE%\Documents\GitHub\eaglep3\Utilities\RefineRTDCRunTimes.py" --tripid 119-28 --locoid 4018 --swversion DE.1.0.7.0 --startMP 204:816 --initTime 2016-09-28T05:59:04 --startdatetime 2016-09-28T06:01:38 --delay 1 --endMP 204:233304 --enddatetime 2016-09-28T06:40:10 --enforcementcount 0 &gt;&gt;C:\Users\stu\Documents\GitHub\eaglep3-reporting\EC\2016-09-28-refined-times.txt</v>
      </c>
      <c r="AI31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{"issue":{"subject":"","project_id":79,"tracker_id":40,"status_id":1,"priority_id":2,"assigned_to_id":23,"start_date":"2016-09-28","description":"","custom_fields":[{"id":1,"name":"Subdivision","value":"EC"},{"id":4,"name":"Milepost","value":"23.3304"},{"id":17,"name":"Train ID","value":"119-28"},{"id":16,"name":"Locomotive ID","value":"4018"},{"id":130,"name":"Impact","value":""},{"id":150,"name":"Time of Event (Mountain Time)","value":"06:40:10"},{"id":151,"name":"Denver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410</v>
      </c>
      <c r="B32" s="7">
        <v>4017</v>
      </c>
      <c r="C32" s="24" t="s">
        <v>106</v>
      </c>
      <c r="D32" s="24" t="s">
        <v>278</v>
      </c>
      <c r="E32" s="15">
        <v>42641.286469907405</v>
      </c>
      <c r="F32" s="15">
        <v>42641.2890625</v>
      </c>
      <c r="G32" s="7">
        <v>1</v>
      </c>
      <c r="H32" s="15" t="s">
        <v>221</v>
      </c>
      <c r="I32" s="15">
        <v>42641.318240740744</v>
      </c>
      <c r="J32" s="7">
        <v>0</v>
      </c>
      <c r="K32" s="117" t="str">
        <f t="shared" si="0"/>
        <v>4017/4018</v>
      </c>
      <c r="L32" s="24" t="str">
        <f>VLOOKUP(A32,'Trips&amp;Operators'!$C$1:$E$10000,3,FALSE)</f>
        <v>STRICKLAND</v>
      </c>
      <c r="M32" s="6">
        <f t="shared" si="1"/>
        <v>2.9178240743931383E-2</v>
      </c>
      <c r="N32" s="7">
        <f t="shared" si="22"/>
        <v>42.016666671261191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05:52:31-0600',mode:absolute,to:'2016-09-28 08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6"/>
        <v>N</v>
      </c>
      <c r="X32" s="164">
        <f t="shared" si="19"/>
        <v>1</v>
      </c>
      <c r="Y32" s="69">
        <f t="shared" si="8"/>
        <v>23.297899999999998</v>
      </c>
      <c r="Z32" s="69">
        <f t="shared" si="9"/>
        <v>1.52E-2</v>
      </c>
      <c r="AA32" s="69">
        <f t="shared" si="10"/>
        <v>23.282699999999998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0120-28</v>
      </c>
      <c r="AE32" s="95" t="str">
        <f t="shared" si="12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32" s="92" t="str">
        <f t="shared" si="13"/>
        <v>"C:\Program Files (x86)\AstroGrep\AstroGrep.exe" /spath="%USERPROFILE%\AppData\Local\Temp\OnboardLogs" /stypes="app*4017*20160928*"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6" t="str">
        <f t="shared" si="17"/>
        <v>"%USERPROFILE%\Documents\GitHub\eaglep3\Utilities\RefineRTDCRunTimes.py" --tripid 120-28 --locoid 4017 --swversion DE.1.0.7.0 --startMP 204:232979 --initTime 2016-09-28T06:52:31 --startdatetime 2016-09-28T06:56:15 --delay 1 --endMP 204:152 --enddatetime 2016-09-28T07:38:16 --enforcementcount 0 &gt;&gt;C:\Users\stu\Documents\GitHub\eaglep3-reporting\EC\2016-09-28-refined-times.txt</v>
      </c>
      <c r="AI32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{"issue":{"subject":"","project_id":79,"tracker_id":40,"status_id":1,"priority_id":2,"assigned_to_id":23,"start_date":"2016-09-28","description":"","custom_fields":[{"id":1,"name":"Subdivision","value":"EC"},{"id":4,"name":"Milepost","value":"0.0152"},{"id":17,"name":"Train ID","value":"120-28"},{"id":16,"name":"Locomotive ID","value":"4017"},{"id":130,"name":"Impact","value":""},{"id":150,"name":"Time of Event (Mountain Time)","value":"07:38:16"},{"id":151,"name":"Denver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405</v>
      </c>
      <c r="B33" s="7">
        <v>4014</v>
      </c>
      <c r="C33" s="24" t="s">
        <v>106</v>
      </c>
      <c r="D33" s="24" t="s">
        <v>611</v>
      </c>
      <c r="E33" s="15">
        <v>42641.259062500001</v>
      </c>
      <c r="F33" s="15">
        <v>42641.260914351849</v>
      </c>
      <c r="G33" s="7">
        <v>1</v>
      </c>
      <c r="H33" s="15" t="s">
        <v>249</v>
      </c>
      <c r="I33" s="15">
        <v>42641.285925925928</v>
      </c>
      <c r="J33" s="7">
        <v>0</v>
      </c>
      <c r="K33" s="117" t="str">
        <f t="shared" si="0"/>
        <v>4013/4014</v>
      </c>
      <c r="L33" s="24" t="str">
        <f>VLOOKUP(A33,'Trips&amp;Operators'!$C$1:$E$10000,3,FALSE)</f>
        <v>SPECTOR</v>
      </c>
      <c r="M33" s="6">
        <f t="shared" si="1"/>
        <v>2.5011574078234844E-2</v>
      </c>
      <c r="N33" s="7">
        <f t="shared" si="22"/>
        <v>36.016666672658175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05:13:03-0600',mode:absolute,to:'2016-09-28 07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64">
        <f t="shared" ref="X33:X64" si="23">VALUE(LEFT(AD33,4))-VALUE(LEFT(AD32,4))</f>
        <v>1</v>
      </c>
      <c r="Y33" s="69">
        <f t="shared" si="8"/>
        <v>4.2700000000000002E-2</v>
      </c>
      <c r="Z33" s="69">
        <f t="shared" si="9"/>
        <v>23.331199999999999</v>
      </c>
      <c r="AA33" s="69">
        <f t="shared" si="10"/>
        <v>23.288499999999999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0121-28</v>
      </c>
      <c r="AE33" s="95" t="str">
        <f t="shared" si="12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33" s="92" t="str">
        <f t="shared" si="13"/>
        <v>"C:\Program Files (x86)\AstroGrep\AstroGrep.exe" /spath="%USERPROFILE%\AppData\Local\Temp\OnboardLogs" /stypes="app*4014*20160928*"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6" t="str">
        <f t="shared" si="17"/>
        <v>"%USERPROFILE%\Documents\GitHub\eaglep3\Utilities\RefineRTDCRunTimes.py" --tripid 121-28 --locoid 4014 --swversion DE.1.0.7.0 --startMP 204:427 --initTime 2016-09-28T06:13:03 --startdatetime 2016-09-28T06:15:43 --delay 1 --endMP 204:233312 --enddatetime 2016-09-28T06:51:44 --enforcementcount 0 &gt;&gt;C:\Users\stu\Documents\GitHub\eaglep3-reporting\EC\2016-09-28-refined-times.txt</v>
      </c>
      <c r="AI33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{"issue":{"subject":"","project_id":79,"tracker_id":40,"status_id":1,"priority_id":2,"assigned_to_id":23,"start_date":"2016-09-28","description":"","custom_fields":[{"id":1,"name":"Subdivision","value":"EC"},{"id":4,"name":"Milepost","value":"23.3312"},{"id":17,"name":"Train ID","value":"121-28"},{"id":16,"name":"Locomotive ID","value":"4014"},{"id":130,"name":"Impact","value":""},{"id":150,"name":"Time of Event (Mountain Time)","value":"06:51:44"},{"id":151,"name":"Denver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412</v>
      </c>
      <c r="B34" s="7">
        <v>4013</v>
      </c>
      <c r="C34" s="24" t="s">
        <v>106</v>
      </c>
      <c r="D34" s="24" t="s">
        <v>253</v>
      </c>
      <c r="E34" s="15">
        <v>42641.294224537036</v>
      </c>
      <c r="F34" s="15">
        <v>42641.299490740741</v>
      </c>
      <c r="G34" s="7">
        <v>1</v>
      </c>
      <c r="H34" s="15" t="s">
        <v>617</v>
      </c>
      <c r="I34" s="15">
        <v>42641.326435185183</v>
      </c>
      <c r="J34" s="7">
        <v>0</v>
      </c>
      <c r="K34" s="117" t="str">
        <f t="shared" si="0"/>
        <v>4013/4014</v>
      </c>
      <c r="L34" s="24" t="str">
        <f>VLOOKUP(A34,'Trips&amp;Operators'!$C$1:$E$10000,3,FALSE)</f>
        <v>SPECTOR</v>
      </c>
      <c r="M34" s="6">
        <f t="shared" si="1"/>
        <v>2.6944444442051463E-2</v>
      </c>
      <c r="N34" s="7">
        <f t="shared" si="22"/>
        <v>38.799999996554106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06:03:41-0600',mode:absolute,to:'2016-09-28 08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64">
        <f t="shared" si="23"/>
        <v>1</v>
      </c>
      <c r="Y34" s="69">
        <f t="shared" si="8"/>
        <v>23.299800000000001</v>
      </c>
      <c r="Z34" s="69">
        <f t="shared" si="9"/>
        <v>2.6700000000000002E-2</v>
      </c>
      <c r="AA34" s="69">
        <f t="shared" si="10"/>
        <v>23.273099999999999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0122-28</v>
      </c>
      <c r="AE34" s="95" t="str">
        <f t="shared" si="12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34" s="92" t="str">
        <f t="shared" si="13"/>
        <v>"C:\Program Files (x86)\AstroGrep\AstroGrep.exe" /spath="%USERPROFILE%\AppData\Local\Temp\OnboardLogs" /stypes="app*4013*20160928*"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6" t="str">
        <f t="shared" si="17"/>
        <v>"%USERPROFILE%\Documents\GitHub\eaglep3\Utilities\RefineRTDCRunTimes.py" --tripid 122-28 --locoid 4013 --swversion DE.1.0.7.0 --startMP 204:232998 --initTime 2016-09-28T07:03:41 --startdatetime 2016-09-28T07:11:16 --delay 1 --endMP 204:267 --enddatetime 2016-09-28T07:50:04 --enforcementcount 0 &gt;&gt;C:\Users\stu\Documents\GitHub\eaglep3-reporting\EC\2016-09-28-refined-times.txt</v>
      </c>
      <c r="AI34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{"issue":{"subject":"","project_id":79,"tracker_id":40,"status_id":1,"priority_id":2,"assigned_to_id":23,"start_date":"2016-09-28","description":"","custom_fields":[{"id":1,"name":"Subdivision","value":"EC"},{"id":4,"name":"Milepost","value":"0.0267"},{"id":17,"name":"Train ID","value":"122-28"},{"id":16,"name":"Locomotive ID","value":"4013"},{"id":130,"name":"Impact","value":""},{"id":150,"name":"Time of Event (Mountain Time)","value":"07:50:04"},{"id":151,"name":"Denver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406</v>
      </c>
      <c r="B35" s="7">
        <v>4046</v>
      </c>
      <c r="C35" s="24" t="s">
        <v>106</v>
      </c>
      <c r="D35" s="24" t="s">
        <v>227</v>
      </c>
      <c r="E35" s="15">
        <v>42641.265983796293</v>
      </c>
      <c r="F35" s="15">
        <v>42641.271041666667</v>
      </c>
      <c r="G35" s="7">
        <v>1</v>
      </c>
      <c r="H35" s="15" t="s">
        <v>300</v>
      </c>
      <c r="I35" s="15">
        <v>42641.297638888886</v>
      </c>
      <c r="J35" s="7">
        <v>0</v>
      </c>
      <c r="K35" s="117" t="str">
        <f t="shared" si="0"/>
        <v>4045/4046</v>
      </c>
      <c r="L35" s="24" t="str">
        <f>VLOOKUP(A35,'Trips&amp;Operators'!$C$1:$E$10000,3,FALSE)</f>
        <v>KILLION</v>
      </c>
      <c r="M35" s="6">
        <f t="shared" si="1"/>
        <v>2.6597222218697425E-2</v>
      </c>
      <c r="N35" s="7">
        <f t="shared" si="22"/>
        <v>38.299999994924292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05:23:01-0600',mode:absolute,to:'2016-09-28 08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5" s="54" t="str">
        <f t="shared" si="6"/>
        <v>N</v>
      </c>
      <c r="X35" s="164">
        <f t="shared" si="23"/>
        <v>1</v>
      </c>
      <c r="Y35" s="69">
        <f t="shared" si="8"/>
        <v>4.58E-2</v>
      </c>
      <c r="Z35" s="69">
        <f t="shared" si="9"/>
        <v>23.3293</v>
      </c>
      <c r="AA35" s="69">
        <f t="shared" si="10"/>
        <v>23.2835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0123-28</v>
      </c>
      <c r="AE35" s="95" t="str">
        <f t="shared" si="12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35" s="92" t="str">
        <f t="shared" si="13"/>
        <v>"C:\Program Files (x86)\AstroGrep\AstroGrep.exe" /spath="%USERPROFILE%\AppData\Local\Temp\OnboardLogs" /stypes="app*4046*20160928*"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6" t="str">
        <f t="shared" si="17"/>
        <v>"%USERPROFILE%\Documents\GitHub\eaglep3\Utilities\RefineRTDCRunTimes.py" --tripid 123-28 --locoid 4046 --swversion DE.1.0.7.0 --startMP 204:458 --initTime 2016-09-28T06:23:01 --startdatetime 2016-09-28T06:30:18 --delay 1 --endMP 204:233293 --enddatetime 2016-09-28T07:08:36 --enforcementcount 0 &gt;&gt;C:\Users\stu\Documents\GitHub\eaglep3-reporting\EC\2016-09-28-refined-times.txt</v>
      </c>
      <c r="AI35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{"issue":{"subject":"","project_id":79,"tracker_id":40,"status_id":1,"priority_id":2,"assigned_to_id":23,"start_date":"2016-09-28","description":"","custom_fields":[{"id":1,"name":"Subdivision","value":"EC"},{"id":4,"name":"Milepost","value":"23.3293"},{"id":17,"name":"Train ID","value":"123-28"},{"id":16,"name":"Locomotive ID","value":"4046"},{"id":130,"name":"Impact","value":""},{"id":150,"name":"Time of Event (Mountain Time)","value":"07:08:36"},{"id":151,"name":"Denver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415</v>
      </c>
      <c r="B36" s="7">
        <v>4045</v>
      </c>
      <c r="C36" s="24" t="s">
        <v>106</v>
      </c>
      <c r="D36" s="24" t="s">
        <v>266</v>
      </c>
      <c r="E36" s="15">
        <v>42641.303472222222</v>
      </c>
      <c r="F36" s="15">
        <v>42641.309953703705</v>
      </c>
      <c r="G36" s="7">
        <v>1</v>
      </c>
      <c r="H36" s="15" t="s">
        <v>246</v>
      </c>
      <c r="I36" s="15">
        <v>42641.336747685185</v>
      </c>
      <c r="J36" s="7">
        <v>0</v>
      </c>
      <c r="K36" s="117" t="str">
        <f t="shared" si="0"/>
        <v>4045/4046</v>
      </c>
      <c r="L36" s="24" t="str">
        <f>VLOOKUP(A36,'Trips&amp;Operators'!$C$1:$E$10000,3,FALSE)</f>
        <v>KILLION</v>
      </c>
      <c r="M36" s="6">
        <f t="shared" si="1"/>
        <v>2.679398148029577E-2</v>
      </c>
      <c r="N36" s="7">
        <f t="shared" si="22"/>
        <v>38.583333331625909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06:17:00-0600',mode:absolute,to:'2016-09-28 09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6" s="54" t="str">
        <f t="shared" si="6"/>
        <v>N</v>
      </c>
      <c r="X36" s="164">
        <f t="shared" si="23"/>
        <v>1</v>
      </c>
      <c r="Y36" s="69">
        <f t="shared" si="8"/>
        <v>23.297699999999999</v>
      </c>
      <c r="Z36" s="69">
        <f t="shared" si="9"/>
        <v>1.4500000000000001E-2</v>
      </c>
      <c r="AA36" s="69">
        <f t="shared" si="10"/>
        <v>23.283199999999997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0124-28</v>
      </c>
      <c r="AE36" s="95" t="str">
        <f t="shared" si="12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36" s="92" t="str">
        <f t="shared" si="13"/>
        <v>"C:\Program Files (x86)\AstroGrep\AstroGrep.exe" /spath="%USERPROFILE%\AppData\Local\Temp\OnboardLogs" /stypes="app*4045*20160928*"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6" t="str">
        <f t="shared" si="17"/>
        <v>"%USERPROFILE%\Documents\GitHub\eaglep3\Utilities\RefineRTDCRunTimes.py" --tripid 124-28 --locoid 4045 --swversion DE.1.0.7.0 --startMP 204:232977 --initTime 2016-09-28T07:17:00 --startdatetime 2016-09-28T07:26:20 --delay 1 --endMP 204:145 --enddatetime 2016-09-28T08:04:55 --enforcementcount 0 &gt;&gt;C:\Users\stu\Documents\GitHub\eaglep3-reporting\EC\2016-09-28-refined-times.txt</v>
      </c>
      <c r="AI36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{"issue":{"subject":"","project_id":79,"tracker_id":40,"status_id":1,"priority_id":2,"assigned_to_id":23,"start_date":"2016-09-28","description":"","custom_fields":[{"id":1,"name":"Subdivision","value":"EC"},{"id":4,"name":"Milepost","value":"0.0145"},{"id":17,"name":"Train ID","value":"124-28"},{"id":16,"name":"Locomotive ID","value":"4045"},{"id":130,"name":"Impact","value":""},{"id":150,"name":"Time of Event (Mountain Time)","value":"08:04:55"},{"id":151,"name":"Denver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409</v>
      </c>
      <c r="B37" s="7">
        <v>4040</v>
      </c>
      <c r="C37" s="24" t="s">
        <v>106</v>
      </c>
      <c r="D37" s="24" t="s">
        <v>223</v>
      </c>
      <c r="E37" s="15">
        <v>42641.277800925927</v>
      </c>
      <c r="F37" s="15">
        <v>42641.281504629631</v>
      </c>
      <c r="G37" s="7">
        <v>1</v>
      </c>
      <c r="H37" s="15" t="s">
        <v>245</v>
      </c>
      <c r="I37" s="15">
        <v>42641.307488425926</v>
      </c>
      <c r="J37" s="7">
        <v>0</v>
      </c>
      <c r="K37" s="117" t="str">
        <f t="shared" si="0"/>
        <v>4039/4040</v>
      </c>
      <c r="L37" s="24" t="str">
        <f>VLOOKUP(A37,'Trips&amp;Operators'!$C$1:$E$10000,3,FALSE)</f>
        <v>ROCHA</v>
      </c>
      <c r="M37" s="6">
        <f t="shared" si="1"/>
        <v>2.5983796294895001E-2</v>
      </c>
      <c r="N37" s="7">
        <f t="shared" si="22"/>
        <v>37.416666664648801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05:40:02-0600',mode:absolute,to:'2016-09-28 08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7" s="54" t="str">
        <f t="shared" si="6"/>
        <v>N</v>
      </c>
      <c r="X37" s="164">
        <f t="shared" si="23"/>
        <v>1</v>
      </c>
      <c r="Y37" s="69">
        <f t="shared" si="8"/>
        <v>4.4699999999999997E-2</v>
      </c>
      <c r="Z37" s="69">
        <f t="shared" si="9"/>
        <v>23.329499999999999</v>
      </c>
      <c r="AA37" s="69">
        <f t="shared" si="10"/>
        <v>23.284800000000001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0125-28</v>
      </c>
      <c r="AE37" s="95" t="str">
        <f t="shared" si="12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37" s="92" t="str">
        <f t="shared" si="13"/>
        <v>"C:\Program Files (x86)\AstroGrep\AstroGrep.exe" /spath="%USERPROFILE%\AppData\Local\Temp\OnboardLogs" /stypes="app*4040*20160928*"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6" t="str">
        <f t="shared" si="17"/>
        <v>"%USERPROFILE%\Documents\GitHub\eaglep3\Utilities\RefineRTDCRunTimes.py" --tripid 125-28 --locoid 4040 --swversion DE.1.0.7.0 --startMP 204:447 --initTime 2016-09-28T06:40:02 --startdatetime 2016-09-28T06:45:22 --delay 1 --endMP 204:233295 --enddatetime 2016-09-28T07:22:47 --enforcementcount 0 &gt;&gt;C:\Users\stu\Documents\GitHub\eaglep3-reporting\EC\2016-09-28-refined-times.txt</v>
      </c>
      <c r="AI37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{"issue":{"subject":"","project_id":79,"tracker_id":40,"status_id":1,"priority_id":2,"assigned_to_id":23,"start_date":"2016-09-28","description":"","custom_fields":[{"id":1,"name":"Subdivision","value":"EC"},{"id":4,"name":"Milepost","value":"23.3295"},{"id":17,"name":"Train ID","value":"125-28"},{"id":16,"name":"Locomotive ID","value":"4040"},{"id":130,"name":"Impact","value":""},{"id":150,"name":"Time of Event (Mountain Time)","value":"07:22:47"},{"id":151,"name":"Denver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419</v>
      </c>
      <c r="B38" s="7">
        <v>4039</v>
      </c>
      <c r="C38" s="24" t="s">
        <v>106</v>
      </c>
      <c r="D38" s="24" t="s">
        <v>309</v>
      </c>
      <c r="E38" s="15">
        <v>42641.31045138889</v>
      </c>
      <c r="F38" s="15">
        <v>42641.320405092592</v>
      </c>
      <c r="G38" s="7">
        <v>1</v>
      </c>
      <c r="H38" s="15" t="s">
        <v>618</v>
      </c>
      <c r="I38" s="15">
        <v>42641.348333333335</v>
      </c>
      <c r="J38" s="7">
        <v>0</v>
      </c>
      <c r="K38" s="117" t="str">
        <f t="shared" si="0"/>
        <v>4039/4040</v>
      </c>
      <c r="L38" s="24" t="str">
        <f>VLOOKUP(A38,'Trips&amp;Operators'!$C$1:$E$10000,3,FALSE)</f>
        <v>ROCHA</v>
      </c>
      <c r="M38" s="6">
        <f t="shared" si="1"/>
        <v>2.792824074276723E-2</v>
      </c>
      <c r="N38" s="7">
        <f t="shared" si="22"/>
        <v>40.216666669584811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06:27:03-0600',mode:absolute,to:'2016-09-28 09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8" s="54" t="str">
        <f t="shared" si="6"/>
        <v>N</v>
      </c>
      <c r="X38" s="164">
        <f t="shared" si="23"/>
        <v>1</v>
      </c>
      <c r="Y38" s="69">
        <f t="shared" si="8"/>
        <v>23.296500000000002</v>
      </c>
      <c r="Z38" s="69">
        <f t="shared" si="9"/>
        <v>2.2700000000000001E-2</v>
      </c>
      <c r="AA38" s="69">
        <f t="shared" si="10"/>
        <v>23.273800000000001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0126-28</v>
      </c>
      <c r="AE38" s="95" t="str">
        <f t="shared" si="12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38" s="92" t="str">
        <f t="shared" si="13"/>
        <v>"C:\Program Files (x86)\AstroGrep\AstroGrep.exe" /spath="%USERPROFILE%\AppData\Local\Temp\OnboardLogs" /stypes="app*4039*20160928*"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6" t="str">
        <f t="shared" si="17"/>
        <v>"%USERPROFILE%\Documents\GitHub\eaglep3\Utilities\RefineRTDCRunTimes.py" --tripid 126-28 --locoid 4039 --swversion DE.1.0.7.0 --startMP 204:232965 --initTime 2016-09-28T07:27:03 --startdatetime 2016-09-28T07:41:23 --delay 1 --endMP 204:227 --enddatetime 2016-09-28T08:21:36 --enforcementcount 0 &gt;&gt;C:\Users\stu\Documents\GitHub\eaglep3-reporting\EC\2016-09-28-refined-times.txt</v>
      </c>
      <c r="AI38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{"issue":{"subject":"","project_id":79,"tracker_id":40,"status_id":1,"priority_id":2,"assigned_to_id":23,"start_date":"2016-09-28","description":"","custom_fields":[{"id":1,"name":"Subdivision","value":"EC"},{"id":4,"name":"Milepost","value":"0.0227"},{"id":17,"name":"Train ID","value":"126-28"},{"id":16,"name":"Locomotive ID","value":"4039"},{"id":130,"name":"Impact","value":""},{"id":150,"name":"Time of Event (Mountain Time)","value":"08:21:36"},{"id":151,"name":"Denver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411</v>
      </c>
      <c r="B39" s="7">
        <v>4002</v>
      </c>
      <c r="C39" s="24" t="s">
        <v>106</v>
      </c>
      <c r="D39" s="24" t="s">
        <v>224</v>
      </c>
      <c r="E39" s="15">
        <v>42641.287615740737</v>
      </c>
      <c r="F39" s="15">
        <v>42641.291932870372</v>
      </c>
      <c r="G39" s="7">
        <v>1</v>
      </c>
      <c r="H39" s="15" t="s">
        <v>347</v>
      </c>
      <c r="I39" s="15">
        <v>42641.317025462966</v>
      </c>
      <c r="J39" s="7">
        <v>0</v>
      </c>
      <c r="K39" s="117" t="str">
        <f t="shared" si="0"/>
        <v>4001/4002</v>
      </c>
      <c r="L39" s="24" t="str">
        <f>VLOOKUP(A39,'Trips&amp;Operators'!$C$1:$E$10000,3,FALSE)</f>
        <v>MAELZER</v>
      </c>
      <c r="M39" s="6">
        <f t="shared" si="1"/>
        <v>2.5092592593864538E-2</v>
      </c>
      <c r="N39" s="7">
        <f t="shared" si="22"/>
        <v>36.133333335164934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05:54:10-0600',mode:absolute,to:'2016-09-28 08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9" s="54" t="str">
        <f t="shared" si="6"/>
        <v>N</v>
      </c>
      <c r="X39" s="164">
        <f t="shared" si="23"/>
        <v>1</v>
      </c>
      <c r="Y39" s="69">
        <f t="shared" si="8"/>
        <v>4.6600000000000003E-2</v>
      </c>
      <c r="Z39" s="69">
        <f t="shared" si="9"/>
        <v>23.331700000000001</v>
      </c>
      <c r="AA39" s="69">
        <f t="shared" si="10"/>
        <v>23.2851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0127-28</v>
      </c>
      <c r="AE39" s="95" t="str">
        <f t="shared" si="12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39" s="92" t="str">
        <f t="shared" si="13"/>
        <v>"C:\Program Files (x86)\AstroGrep\AstroGrep.exe" /spath="%USERPROFILE%\AppData\Local\Temp\OnboardLogs" /stypes="app*4002*20160928*"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6" t="str">
        <f t="shared" si="17"/>
        <v>"%USERPROFILE%\Documents\GitHub\eaglep3\Utilities\RefineRTDCRunTimes.py" --tripid 127-28 --locoid 4002 --swversion DE.1.0.7.0 --startMP 204:466 --initTime 2016-09-28T06:54:10 --startdatetime 2016-09-28T07:00:23 --delay 1 --endMP 204:233317 --enddatetime 2016-09-28T07:36:31 --enforcementcount 0 &gt;&gt;C:\Users\stu\Documents\GitHub\eaglep3-reporting\EC\2016-09-28-refined-times.txt</v>
      </c>
      <c r="AI39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{"issue":{"subject":"","project_id":79,"tracker_id":40,"status_id":1,"priority_id":2,"assigned_to_id":23,"start_date":"2016-09-28","description":"","custom_fields":[{"id":1,"name":"Subdivision","value":"EC"},{"id":4,"name":"Milepost","value":"23.3317"},{"id":17,"name":"Train ID","value":"127-28"},{"id":16,"name":"Locomotive ID","value":"4002"},{"id":130,"name":"Impact","value":""},{"id":150,"name":"Time of Event (Mountain Time)","value":"07:36:31"},{"id":151,"name":"Denver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424</v>
      </c>
      <c r="B40" s="7">
        <v>4001</v>
      </c>
      <c r="C40" s="24" t="s">
        <v>106</v>
      </c>
      <c r="D40" s="24" t="s">
        <v>253</v>
      </c>
      <c r="E40" s="15">
        <v>42641.329652777778</v>
      </c>
      <c r="F40" s="15">
        <v>42641.331342592595</v>
      </c>
      <c r="G40" s="7">
        <v>1</v>
      </c>
      <c r="H40" s="15" t="s">
        <v>217</v>
      </c>
      <c r="I40" s="15">
        <v>42641.358310185184</v>
      </c>
      <c r="J40" s="7">
        <v>0</v>
      </c>
      <c r="K40" s="117" t="str">
        <f t="shared" si="0"/>
        <v>4001/4002</v>
      </c>
      <c r="L40" s="24" t="str">
        <f>VLOOKUP(A40,'Trips&amp;Operators'!$C$1:$E$10000,3,FALSE)</f>
        <v>MAELZER</v>
      </c>
      <c r="M40" s="6">
        <f t="shared" si="1"/>
        <v>2.696759258833481E-2</v>
      </c>
      <c r="N40" s="7">
        <f t="shared" si="22"/>
        <v>38.833333327202126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06:54:42-0600',mode:absolute,to:'2016-09-28 09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0" s="54" t="str">
        <f t="shared" si="6"/>
        <v>N</v>
      </c>
      <c r="X40" s="164">
        <f t="shared" si="23"/>
        <v>1</v>
      </c>
      <c r="Y40" s="69">
        <f t="shared" si="8"/>
        <v>23.299800000000001</v>
      </c>
      <c r="Z40" s="69">
        <f t="shared" si="9"/>
        <v>1.47E-2</v>
      </c>
      <c r="AA40" s="69">
        <f t="shared" si="10"/>
        <v>23.2851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0128-28</v>
      </c>
      <c r="AE40" s="95" t="str">
        <f t="shared" si="12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40" s="92" t="str">
        <f t="shared" si="13"/>
        <v>"C:\Program Files (x86)\AstroGrep\AstroGrep.exe" /spath="%USERPROFILE%\AppData\Local\Temp\OnboardLogs" /stypes="app*4001*20160928*"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6" t="str">
        <f t="shared" si="17"/>
        <v>"%USERPROFILE%\Documents\GitHub\eaglep3\Utilities\RefineRTDCRunTimes.py" --tripid 128-28 --locoid 4001 --swversion DE.1.0.7.0 --startMP 204:232998 --initTime 2016-09-28T07:54:42 --startdatetime 2016-09-28T07:57:08 --delay 1 --endMP 204:147 --enddatetime 2016-09-28T08:35:58 --enforcementcount 0 &gt;&gt;C:\Users\stu\Documents\GitHub\eaglep3-reporting\EC\2016-09-28-refined-times.txt</v>
      </c>
      <c r="AI40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{"issue":{"subject":"","project_id":79,"tracker_id":40,"status_id":1,"priority_id":2,"assigned_to_id":23,"start_date":"2016-09-28","description":"","custom_fields":[{"id":1,"name":"Subdivision","value":"EC"},{"id":4,"name":"Milepost","value":"0.0147"},{"id":17,"name":"Train ID","value":"128-28"},{"id":16,"name":"Locomotive ID","value":"4001"},{"id":130,"name":"Impact","value":""},{"id":150,"name":"Time of Event (Mountain Time)","value":"08:35:58"},{"id":151,"name":"Denver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414</v>
      </c>
      <c r="B41" s="7">
        <v>4020</v>
      </c>
      <c r="C41" s="24" t="s">
        <v>106</v>
      </c>
      <c r="D41" s="24" t="s">
        <v>218</v>
      </c>
      <c r="E41" s="15">
        <v>42641.298078703701</v>
      </c>
      <c r="F41" s="15">
        <v>42641.302476851852</v>
      </c>
      <c r="G41" s="7">
        <v>1</v>
      </c>
      <c r="H41" s="15" t="s">
        <v>619</v>
      </c>
      <c r="I41" s="15">
        <v>42641.328402777777</v>
      </c>
      <c r="J41" s="7">
        <v>0</v>
      </c>
      <c r="K41" s="117" t="str">
        <f t="shared" si="0"/>
        <v>4019/4020</v>
      </c>
      <c r="L41" s="24" t="str">
        <f>VLOOKUP(A41,'Trips&amp;Operators'!$C$1:$E$10000,3,FALSE)</f>
        <v>SANTIZO</v>
      </c>
      <c r="M41" s="6">
        <f t="shared" si="1"/>
        <v>2.5925925925548654E-2</v>
      </c>
      <c r="N41" s="7">
        <f t="shared" si="22"/>
        <v>37.333333332790062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06:09:14-0600',mode:absolute,to:'2016-09-28 08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1" s="54" t="str">
        <f t="shared" si="6"/>
        <v>N</v>
      </c>
      <c r="X41" s="164">
        <f t="shared" si="23"/>
        <v>1</v>
      </c>
      <c r="Y41" s="69">
        <f t="shared" si="8"/>
        <v>4.53E-2</v>
      </c>
      <c r="Z41" s="69">
        <f t="shared" si="9"/>
        <v>23.330300000000001</v>
      </c>
      <c r="AA41" s="69">
        <f t="shared" si="10"/>
        <v>23.285</v>
      </c>
      <c r="AB41" s="66" t="str">
        <f>VLOOKUP(A41,Enforcements!$C$7:$K$21,8,0)</f>
        <v>Speed (6)</v>
      </c>
      <c r="AC41" s="62" t="str">
        <f>VLOOKUP(A41,Enforcements!$C$7:$E$21,3,0)</f>
        <v>PERMANENT SPEED RESTRICTION</v>
      </c>
      <c r="AD41" s="63" t="str">
        <f t="shared" si="11"/>
        <v>0129-28</v>
      </c>
      <c r="AE41" s="95" t="str">
        <f t="shared" si="12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41" s="92" t="str">
        <f t="shared" si="13"/>
        <v>"C:\Program Files (x86)\AstroGrep\AstroGrep.exe" /spath="%USERPROFILE%\AppData\Local\Temp\OnboardLogs" /stypes="app*4020*20160928*"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6" t="str">
        <f t="shared" si="17"/>
        <v>"%USERPROFILE%\Documents\GitHub\eaglep3\Utilities\RefineRTDCRunTimes.py" --tripid 129-28 --locoid 4020 --swversion DE.1.0.7.0 --startMP 204:453 --initTime 2016-09-28T07:09:14 --startdatetime 2016-09-28T07:15:34 --delay 1 --endMP 204:233303 --enddatetime 2016-09-28T07:52:54 --enforcementcount 0 &gt;&gt;C:\Users\stu\Documents\GitHub\eaglep3-reporting\EC\2016-09-28-refined-times.txt</v>
      </c>
      <c r="AI41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{"issue":{"subject":"","project_id":79,"tracker_id":40,"status_id":1,"priority_id":2,"assigned_to_id":23,"start_date":"2016-09-28","description":"","custom_fields":[{"id":1,"name":"Subdivision","value":"EC"},{"id":4,"name":"Milepost","value":"23.3303"},{"id":17,"name":"Train ID","value":"129-28"},{"id":16,"name":"Locomotive ID","value":"4020"},{"id":130,"name":"Impact","value":""},{"id":150,"name":"Time of Event (Mountain Time)","value":"07:52:54"},{"id":151,"name":"Denver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425</v>
      </c>
      <c r="B42" s="7">
        <v>4019</v>
      </c>
      <c r="C42" s="24" t="s">
        <v>106</v>
      </c>
      <c r="D42" s="24" t="s">
        <v>620</v>
      </c>
      <c r="E42" s="15">
        <v>42641.336712962962</v>
      </c>
      <c r="F42" s="15">
        <v>42641.341180555559</v>
      </c>
      <c r="G42" s="7">
        <v>1</v>
      </c>
      <c r="H42" s="15" t="s">
        <v>248</v>
      </c>
      <c r="I42" s="15">
        <v>42641.368379629632</v>
      </c>
      <c r="J42" s="7">
        <v>0</v>
      </c>
      <c r="K42" s="117" t="str">
        <f t="shared" si="0"/>
        <v>4019/4020</v>
      </c>
      <c r="L42" s="24" t="str">
        <f>VLOOKUP(A42,'Trips&amp;Operators'!$C$1:$E$10000,3,FALSE)</f>
        <v>SANTIZO</v>
      </c>
      <c r="M42" s="6">
        <f t="shared" si="1"/>
        <v>2.7199074072996154E-2</v>
      </c>
      <c r="N42" s="7">
        <f t="shared" si="22"/>
        <v>39.166666665114462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07:04:52-0600',mode:absolute,to:'2016-09-28 09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2" s="54" t="str">
        <f t="shared" si="6"/>
        <v>N</v>
      </c>
      <c r="X42" s="164">
        <f t="shared" si="23"/>
        <v>1</v>
      </c>
      <c r="Y42" s="69">
        <f t="shared" si="8"/>
        <v>23.299199999999999</v>
      </c>
      <c r="Z42" s="69">
        <f t="shared" si="9"/>
        <v>1.41E-2</v>
      </c>
      <c r="AA42" s="69">
        <f t="shared" si="10"/>
        <v>23.2851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0130-28</v>
      </c>
      <c r="AE42" s="95" t="str">
        <f t="shared" si="12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42" s="92" t="str">
        <f t="shared" si="13"/>
        <v>"C:\Program Files (x86)\AstroGrep\AstroGrep.exe" /spath="%USERPROFILE%\AppData\Local\Temp\OnboardLogs" /stypes="app*4019*20160928*"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6" t="str">
        <f t="shared" si="17"/>
        <v>"%USERPROFILE%\Documents\GitHub\eaglep3\Utilities\RefineRTDCRunTimes.py" --tripid 130-28 --locoid 4019 --swversion DE.1.0.7.0 --startMP 204:232992 --initTime 2016-09-28T08:04:52 --startdatetime 2016-09-28T08:11:18 --delay 1 --endMP 204:141 --enddatetime 2016-09-28T08:50:28 --enforcementcount 0 &gt;&gt;C:\Users\stu\Documents\GitHub\eaglep3-reporting\EC\2016-09-28-refined-times.txt</v>
      </c>
      <c r="AI42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{"issue":{"subject":"","project_id":79,"tracker_id":40,"status_id":1,"priority_id":2,"assigned_to_id":23,"start_date":"2016-09-28","description":"","custom_fields":[{"id":1,"name":"Subdivision","value":"EC"},{"id":4,"name":"Milepost","value":"0.0141"},{"id":17,"name":"Train ID","value":"130-28"},{"id":16,"name":"Locomotive ID","value":"4019"},{"id":130,"name":"Impact","value":""},{"id":150,"name":"Time of Event (Mountain Time)","value":"08:50:28"},{"id":151,"name":"Denver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418</v>
      </c>
      <c r="B43" s="7">
        <v>4007</v>
      </c>
      <c r="C43" s="24" t="s">
        <v>106</v>
      </c>
      <c r="D43" s="24" t="s">
        <v>621</v>
      </c>
      <c r="E43" s="15">
        <v>42641.30846064815</v>
      </c>
      <c r="F43" s="15">
        <v>42641.312719907408</v>
      </c>
      <c r="G43" s="7">
        <v>2</v>
      </c>
      <c r="H43" s="15" t="s">
        <v>245</v>
      </c>
      <c r="I43" s="15">
        <v>42641.337546296294</v>
      </c>
      <c r="J43" s="7">
        <v>0</v>
      </c>
      <c r="K43" s="117" t="str">
        <f t="shared" si="0"/>
        <v>4007/4008</v>
      </c>
      <c r="L43" s="24" t="str">
        <f>VLOOKUP(A43,'Trips&amp;Operators'!$C$1:$E$10000,3,FALSE)</f>
        <v>ACKERMAN</v>
      </c>
      <c r="M43" s="6">
        <f t="shared" si="1"/>
        <v>2.4826388886140194E-2</v>
      </c>
      <c r="N43" s="7">
        <f t="shared" si="22"/>
        <v>35.749999996041879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06:24:11-0600',mode:absolute,to:'2016-09-28 09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43" s="54" t="str">
        <f t="shared" si="6"/>
        <v>N</v>
      </c>
      <c r="X43" s="164">
        <f t="shared" si="23"/>
        <v>1</v>
      </c>
      <c r="Y43" s="69">
        <f t="shared" si="8"/>
        <v>4.3299999999999998E-2</v>
      </c>
      <c r="Z43" s="69">
        <f t="shared" si="9"/>
        <v>23.329499999999999</v>
      </c>
      <c r="AA43" s="69">
        <f t="shared" si="10"/>
        <v>23.286200000000001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0131-28</v>
      </c>
      <c r="AE43" s="95" t="str">
        <f t="shared" si="12"/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AF43" s="92" t="str">
        <f t="shared" si="13"/>
        <v>"C:\Program Files (x86)\AstroGrep\AstroGrep.exe" /spath="%USERPROFILE%\AppData\Local\Temp\OnboardLogs" /stypes="app*4007*20160928*"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6" t="str">
        <f t="shared" si="17"/>
        <v>"%USERPROFILE%\Documents\GitHub\eaglep3\Utilities\RefineRTDCRunTimes.py" --tripid 131-28 --locoid 4007 --swversion DE.1.0.7.0 --startMP 204:433 --initTime 2016-09-28T07:24:11 --startdatetime 2016-09-28T07:30:19 --delay 2 --endMP 204:233295 --enddatetime 2016-09-28T08:06:04 --enforcementcount 0 &gt;&gt;C:\Users\stu\Documents\GitHub\eaglep3-reporting\EC\2016-09-28-refined-times.txt</v>
      </c>
      <c r="AI43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{"issue":{"subject":"","project_id":79,"tracker_id":40,"status_id":1,"priority_id":2,"assigned_to_id":23,"start_date":"2016-09-28","description":"","custom_fields":[{"id":1,"name":"Subdivision","value":"EC"},{"id":4,"name":"Milepost","value":"23.3295"},{"id":17,"name":"Train ID","value":"131-28"},{"id":16,"name":"Locomotive ID","value":"4007"},{"id":130,"name":"Impact","value":""},{"id":150,"name":"Time of Event (Mountain Time)","value":"08:06:04"},{"id":151,"name":"Denver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429</v>
      </c>
      <c r="B44" s="7">
        <v>4008</v>
      </c>
      <c r="C44" s="24" t="s">
        <v>106</v>
      </c>
      <c r="D44" s="24" t="s">
        <v>622</v>
      </c>
      <c r="E44" s="15">
        <v>42641.34578703704</v>
      </c>
      <c r="F44" s="15">
        <v>42641.351620370369</v>
      </c>
      <c r="G44" s="7">
        <v>1</v>
      </c>
      <c r="H44" s="15" t="s">
        <v>623</v>
      </c>
      <c r="I44" s="15">
        <v>42641.38144675926</v>
      </c>
      <c r="J44" s="7">
        <v>0</v>
      </c>
      <c r="K44" s="117" t="str">
        <f t="shared" si="0"/>
        <v>4007/4008</v>
      </c>
      <c r="L44" s="24" t="str">
        <f>VLOOKUP(A44,'Trips&amp;Operators'!$C$1:$E$10000,3,FALSE)</f>
        <v>ACKERMAN</v>
      </c>
      <c r="M44" s="6">
        <f t="shared" si="1"/>
        <v>2.9826388890796807E-2</v>
      </c>
      <c r="N44" s="7">
        <f t="shared" si="22"/>
        <v>42.950000002747402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07:17:56-0600',mode:absolute,to:'2016-09-28 10:09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44" s="54" t="str">
        <f t="shared" si="6"/>
        <v>N</v>
      </c>
      <c r="X44" s="164">
        <f t="shared" si="23"/>
        <v>1</v>
      </c>
      <c r="Y44" s="69">
        <f t="shared" si="8"/>
        <v>23.2972</v>
      </c>
      <c r="Z44" s="69">
        <f t="shared" si="9"/>
        <v>1.32E-2</v>
      </c>
      <c r="AA44" s="69">
        <f t="shared" si="10"/>
        <v>23.283999999999999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0132-28</v>
      </c>
      <c r="AE44" s="95" t="str">
        <f t="shared" si="12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44" s="92" t="str">
        <f t="shared" si="13"/>
        <v>"C:\Program Files (x86)\AstroGrep\AstroGrep.exe" /spath="%USERPROFILE%\AppData\Local\Temp\OnboardLogs" /stypes="app*4008*20160928*"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6" t="str">
        <f t="shared" si="17"/>
        <v>"%USERPROFILE%\Documents\GitHub\eaglep3\Utilities\RefineRTDCRunTimes.py" --tripid 132-28 --locoid 4008 --swversion DE.1.0.7.0 --startMP 204:232972 --initTime 2016-09-28T08:17:56 --startdatetime 2016-09-28T08:26:20 --delay 1 --endMP 204:132 --enddatetime 2016-09-28T09:09:17 --enforcementcount 0 &gt;&gt;C:\Users\stu\Documents\GitHub\eaglep3-reporting\EC\2016-09-28-refined-times.txt</v>
      </c>
      <c r="AI44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{"issue":{"subject":"","project_id":79,"tracker_id":40,"status_id":1,"priority_id":2,"assigned_to_id":23,"start_date":"2016-09-28","description":"","custom_fields":[{"id":1,"name":"Subdivision","value":"EC"},{"id":4,"name":"Milepost","value":"0.0132"},{"id":17,"name":"Train ID","value":"132-28"},{"id":16,"name":"Locomotive ID","value":"4008"},{"id":130,"name":"Impact","value":""},{"id":150,"name":"Time of Event (Mountain Time)","value":"09:09:17"},{"id":151,"name":"Denver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421</v>
      </c>
      <c r="B45" s="7">
        <v>4018</v>
      </c>
      <c r="C45" s="24" t="s">
        <v>106</v>
      </c>
      <c r="D45" s="24" t="s">
        <v>228</v>
      </c>
      <c r="E45" s="15">
        <v>42641.320173611108</v>
      </c>
      <c r="F45" s="15">
        <v>42641.323263888888</v>
      </c>
      <c r="G45" s="7">
        <v>1</v>
      </c>
      <c r="H45" s="15" t="s">
        <v>301</v>
      </c>
      <c r="I45" s="15">
        <v>42641.350023148145</v>
      </c>
      <c r="J45" s="7">
        <v>0</v>
      </c>
      <c r="K45" s="117" t="str">
        <f t="shared" si="0"/>
        <v>4017/4018</v>
      </c>
      <c r="L45" s="24" t="str">
        <f>VLOOKUP(A45,'Trips&amp;Operators'!$C$1:$E$10000,3,FALSE)</f>
        <v>STRICKLAND</v>
      </c>
      <c r="M45" s="6">
        <f t="shared" si="1"/>
        <v>2.675925925723277E-2</v>
      </c>
      <c r="N45" s="7">
        <f t="shared" si="22"/>
        <v>38.533333330415189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06:41:03-0600',mode:absolute,to:'2016-09-28 09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si="6"/>
        <v>N</v>
      </c>
      <c r="X45" s="164">
        <f t="shared" si="23"/>
        <v>1</v>
      </c>
      <c r="Y45" s="69">
        <f t="shared" si="8"/>
        <v>4.6699999999999998E-2</v>
      </c>
      <c r="Z45" s="69">
        <f t="shared" si="9"/>
        <v>23.3307</v>
      </c>
      <c r="AA45" s="69">
        <f t="shared" si="10"/>
        <v>23.283999999999999</v>
      </c>
      <c r="AB45" s="66" t="str">
        <f>VLOOKUP(A45,Enforcements!$C$7:$K$21,8,0)</f>
        <v>Speed (6)</v>
      </c>
      <c r="AC45" s="62" t="str">
        <f>VLOOKUP(A45,Enforcements!$C$7:$E$21,3,0)</f>
        <v>PERMANENT SPEED RESTRICTION</v>
      </c>
      <c r="AD45" s="63" t="str">
        <f t="shared" si="11"/>
        <v>0133-28</v>
      </c>
      <c r="AE45" s="95" t="str">
        <f t="shared" si="12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45" s="92" t="str">
        <f t="shared" si="13"/>
        <v>"C:\Program Files (x86)\AstroGrep\AstroGrep.exe" /spath="%USERPROFILE%\AppData\Local\Temp\OnboardLogs" /stypes="app*4018*20160928*"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6" t="str">
        <f t="shared" si="17"/>
        <v>"%USERPROFILE%\Documents\GitHub\eaglep3\Utilities\RefineRTDCRunTimes.py" --tripid 133-28 --locoid 4018 --swversion DE.1.0.7.0 --startMP 204:467 --initTime 2016-09-28T07:41:03 --startdatetime 2016-09-28T07:45:30 --delay 1 --endMP 204:233307 --enddatetime 2016-09-28T08:24:02 --enforcementcount 0 &gt;&gt;C:\Users\stu\Documents\GitHub\eaglep3-reporting\EC\2016-09-28-refined-times.txt</v>
      </c>
      <c r="AI45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{"issue":{"subject":"","project_id":79,"tracker_id":40,"status_id":1,"priority_id":2,"assigned_to_id":23,"start_date":"2016-09-28","description":"","custom_fields":[{"id":1,"name":"Subdivision","value":"EC"},{"id":4,"name":"Milepost","value":"23.3307"},{"id":17,"name":"Train ID","value":"133-28"},{"id":16,"name":"Locomotive ID","value":"4018"},{"id":130,"name":"Impact","value":""},{"id":150,"name":"Time of Event (Mountain Time)","value":"08:24:02"},{"id":151,"name":"Denver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432</v>
      </c>
      <c r="B46" s="7">
        <v>4017</v>
      </c>
      <c r="C46" s="24" t="s">
        <v>106</v>
      </c>
      <c r="D46" s="24" t="s">
        <v>624</v>
      </c>
      <c r="E46" s="15">
        <v>42641.358518518522</v>
      </c>
      <c r="F46" s="15">
        <v>42641.362280092595</v>
      </c>
      <c r="G46" s="7">
        <v>1</v>
      </c>
      <c r="H46" s="15" t="s">
        <v>217</v>
      </c>
      <c r="I46" s="15">
        <v>42641.390428240738</v>
      </c>
      <c r="J46" s="7">
        <v>0</v>
      </c>
      <c r="K46" s="117" t="str">
        <f t="shared" si="0"/>
        <v>4017/4018</v>
      </c>
      <c r="L46" s="24" t="str">
        <f>VLOOKUP(A46,'Trips&amp;Operators'!$C$1:$E$10000,3,FALSE)</f>
        <v>STRICKLAND</v>
      </c>
      <c r="M46" s="6">
        <f t="shared" si="1"/>
        <v>2.8148148143372964E-2</v>
      </c>
      <c r="N46" s="7">
        <f t="shared" si="22"/>
        <v>40.533333326457068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07:36:16-0600',mode:absolute,to:'2016-09-28 10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6"/>
        <v>N</v>
      </c>
      <c r="X46" s="164">
        <f t="shared" si="23"/>
        <v>1</v>
      </c>
      <c r="Y46" s="69">
        <f t="shared" si="8"/>
        <v>23.298200000000001</v>
      </c>
      <c r="Z46" s="69">
        <f t="shared" si="9"/>
        <v>1.47E-2</v>
      </c>
      <c r="AA46" s="69">
        <f t="shared" si="10"/>
        <v>23.2835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0134-28</v>
      </c>
      <c r="AE46" s="95" t="str">
        <f t="shared" si="12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46" s="92" t="str">
        <f t="shared" si="13"/>
        <v>"C:\Program Files (x86)\AstroGrep\AstroGrep.exe" /spath="%USERPROFILE%\AppData\Local\Temp\OnboardLogs" /stypes="app*4017*20160928*"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6" t="str">
        <f t="shared" si="17"/>
        <v>"%USERPROFILE%\Documents\GitHub\eaglep3\Utilities\RefineRTDCRunTimes.py" --tripid 134-28 --locoid 4017 --swversion DE.1.0.7.0 --startMP 204:232982 --initTime 2016-09-28T08:36:16 --startdatetime 2016-09-28T08:41:41 --delay 1 --endMP 204:147 --enddatetime 2016-09-28T09:22:13 --enforcementcount 0 &gt;&gt;C:\Users\stu\Documents\GitHub\eaglep3-reporting\EC\2016-09-28-refined-times.txt</v>
      </c>
      <c r="AI46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{"issue":{"subject":"","project_id":79,"tracker_id":40,"status_id":1,"priority_id":2,"assigned_to_id":23,"start_date":"2016-09-28","description":"","custom_fields":[{"id":1,"name":"Subdivision","value":"EC"},{"id":4,"name":"Milepost","value":"0.0147"},{"id":17,"name":"Train ID","value":"134-28"},{"id":16,"name":"Locomotive ID","value":"4017"},{"id":130,"name":"Impact","value":""},{"id":150,"name":"Time of Event (Mountain Time)","value":"09:22:13"},{"id":151,"name":"Denver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423</v>
      </c>
      <c r="B47" s="7">
        <v>4014</v>
      </c>
      <c r="C47" s="24" t="s">
        <v>106</v>
      </c>
      <c r="D47" s="24" t="s">
        <v>625</v>
      </c>
      <c r="E47" s="15">
        <v>42641.328958333332</v>
      </c>
      <c r="F47" s="15">
        <v>42641.333506944444</v>
      </c>
      <c r="G47" s="7">
        <v>1</v>
      </c>
      <c r="H47" s="15" t="s">
        <v>336</v>
      </c>
      <c r="I47" s="15">
        <v>42641.358935185184</v>
      </c>
      <c r="J47" s="7">
        <v>0</v>
      </c>
      <c r="K47" s="117" t="str">
        <f t="shared" si="0"/>
        <v>4013/4014</v>
      </c>
      <c r="L47" s="24" t="str">
        <f>VLOOKUP(A47,'Trips&amp;Operators'!$C$1:$E$10000,3,FALSE)</f>
        <v>SPECTOR</v>
      </c>
      <c r="M47" s="6">
        <f t="shared" si="1"/>
        <v>2.5428240740438923E-2</v>
      </c>
      <c r="N47" s="7">
        <f t="shared" si="22"/>
        <v>36.616666666232049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06:53:42-0600',mode:absolute,to:'2016-09-28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6"/>
        <v>N</v>
      </c>
      <c r="X47" s="164">
        <f t="shared" si="23"/>
        <v>1</v>
      </c>
      <c r="Y47" s="69">
        <f t="shared" si="8"/>
        <v>5.6399999999999999E-2</v>
      </c>
      <c r="Z47" s="69">
        <f t="shared" si="9"/>
        <v>23.331</v>
      </c>
      <c r="AA47" s="69">
        <f t="shared" si="10"/>
        <v>23.2746</v>
      </c>
      <c r="AB47" s="66" t="str">
        <f>VLOOKUP(A47,Enforcements!$C$7:$K$21,8,0)</f>
        <v>Bulletin (2)</v>
      </c>
      <c r="AC47" s="62" t="str">
        <f>VLOOKUP(A47,Enforcements!$C$7:$E$21,3,0)</f>
        <v>GRADE CROSSING</v>
      </c>
      <c r="AD47" s="63" t="str">
        <f t="shared" si="11"/>
        <v>0135-28</v>
      </c>
      <c r="AE47" s="95" t="str">
        <f t="shared" si="12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47" s="92" t="str">
        <f t="shared" si="13"/>
        <v>"C:\Program Files (x86)\AstroGrep\AstroGrep.exe" /spath="%USERPROFILE%\AppData\Local\Temp\OnboardLogs" /stypes="app*4014*20160928*"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6" t="str">
        <f t="shared" si="17"/>
        <v>"%USERPROFILE%\Documents\GitHub\eaglep3\Utilities\RefineRTDCRunTimes.py" --tripid 135-28 --locoid 4014 --swversion DE.1.0.7.0 --startMP 204:564 --initTime 2016-09-28T07:53:42 --startdatetime 2016-09-28T08:00:15 --delay 1 --endMP 204:233310 --enddatetime 2016-09-28T08:36:52 --enforcementcount 0 &gt;&gt;C:\Users\stu\Documents\GitHub\eaglep3-reporting\EC\2016-09-28-refined-times.txt</v>
      </c>
      <c r="AI47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{"issue":{"subject":"","project_id":79,"tracker_id":40,"status_id":1,"priority_id":2,"assigned_to_id":23,"start_date":"2016-09-28","description":"","custom_fields":[{"id":1,"name":"Subdivision","value":"EC"},{"id":4,"name":"Milepost","value":"23.331"},{"id":17,"name":"Train ID","value":"135-28"},{"id":16,"name":"Locomotive ID","value":"4014"},{"id":130,"name":"Impact","value":""},{"id":150,"name":"Time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436</v>
      </c>
      <c r="B48" s="7">
        <v>4013</v>
      </c>
      <c r="C48" s="24" t="s">
        <v>106</v>
      </c>
      <c r="D48" s="24" t="s">
        <v>253</v>
      </c>
      <c r="E48" s="15">
        <v>42641.371516203704</v>
      </c>
      <c r="F48" s="15">
        <v>42641.373449074075</v>
      </c>
      <c r="G48" s="7">
        <v>1</v>
      </c>
      <c r="H48" s="15" t="s">
        <v>248</v>
      </c>
      <c r="I48" s="15">
        <v>42641.403969907406</v>
      </c>
      <c r="J48" s="7">
        <v>0</v>
      </c>
      <c r="K48" s="117" t="str">
        <f t="shared" si="0"/>
        <v>4013/4014</v>
      </c>
      <c r="L48" s="24" t="str">
        <f>VLOOKUP(A48,'Trips&amp;Operators'!$C$1:$E$10000,3,FALSE)</f>
        <v>SPECTOR</v>
      </c>
      <c r="M48" s="6">
        <f t="shared" si="1"/>
        <v>3.0520833330228925E-2</v>
      </c>
      <c r="N48" s="7">
        <f t="shared" si="22"/>
        <v>43.949999995529652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07:54:59-0600',mode:absolute,to:'2016-09-28 10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6"/>
        <v>N</v>
      </c>
      <c r="X48" s="164">
        <f t="shared" si="23"/>
        <v>1</v>
      </c>
      <c r="Y48" s="69">
        <f t="shared" si="8"/>
        <v>23.299800000000001</v>
      </c>
      <c r="Z48" s="69">
        <f t="shared" si="9"/>
        <v>1.41E-2</v>
      </c>
      <c r="AA48" s="69">
        <f t="shared" si="10"/>
        <v>23.285700000000002</v>
      </c>
      <c r="AB48" s="66" t="str">
        <f>VLOOKUP(A48,Enforcements!$C$7:$K$21,8,0)</f>
        <v>Bulletin (2)</v>
      </c>
      <c r="AC48" s="62" t="str">
        <f>VLOOKUP(A48,Enforcements!$C$7:$E$21,3,0)</f>
        <v>GRADE CROSSING</v>
      </c>
      <c r="AD48" s="63" t="str">
        <f t="shared" si="11"/>
        <v>0136-28</v>
      </c>
      <c r="AE48" s="95" t="str">
        <f t="shared" si="12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48" s="92" t="str">
        <f t="shared" si="13"/>
        <v>"C:\Program Files (x86)\AstroGrep\AstroGrep.exe" /spath="%USERPROFILE%\AppData\Local\Temp\OnboardLogs" /stypes="app*4013*20160928*"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6" t="str">
        <f t="shared" si="17"/>
        <v>"%USERPROFILE%\Documents\GitHub\eaglep3\Utilities\RefineRTDCRunTimes.py" --tripid 136-28 --locoid 4013 --swversion DE.1.0.7.0 --startMP 204:232998 --initTime 2016-09-28T08:54:59 --startdatetime 2016-09-28T08:57:46 --delay 1 --endMP 204:141 --enddatetime 2016-09-28T09:41:43 --enforcementcount 0 &gt;&gt;C:\Users\stu\Documents\GitHub\eaglep3-reporting\EC\2016-09-28-refined-times.txt</v>
      </c>
      <c r="AI48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{"issue":{"subject":"","project_id":79,"tracker_id":40,"status_id":1,"priority_id":2,"assigned_to_id":23,"start_date":"2016-09-28","description":"","custom_fields":[{"id":1,"name":"Subdivision","value":"EC"},{"id":4,"name":"Milepost","value":"0.0141"},{"id":17,"name":"Train ID","value":"136-28"},{"id":16,"name":"Locomotive ID","value":"4013"},{"id":130,"name":"Impact","value":""},{"id":150,"name":"Time of Event (Mountain Time)","value":"09:41:43"},{"id":151,"name":"Denver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427</v>
      </c>
      <c r="B49" s="7">
        <v>4046</v>
      </c>
      <c r="C49" s="24" t="s">
        <v>106</v>
      </c>
      <c r="D49" s="24" t="s">
        <v>226</v>
      </c>
      <c r="E49" s="15">
        <v>42641.339398148149</v>
      </c>
      <c r="F49" s="15">
        <v>42641.343981481485</v>
      </c>
      <c r="G49" s="7">
        <v>1</v>
      </c>
      <c r="H49" s="15" t="s">
        <v>288</v>
      </c>
      <c r="I49" s="15">
        <v>42641.370150462964</v>
      </c>
      <c r="J49" s="7">
        <v>0</v>
      </c>
      <c r="K49" s="117" t="str">
        <f t="shared" si="0"/>
        <v>4045/4046</v>
      </c>
      <c r="L49" s="24" t="str">
        <f>VLOOKUP(A49,'Trips&amp;Operators'!$C$1:$E$10000,3,FALSE)</f>
        <v>KILLION</v>
      </c>
      <c r="M49" s="6">
        <f t="shared" si="1"/>
        <v>2.6168981479713693E-2</v>
      </c>
      <c r="N49" s="7">
        <f t="shared" si="22"/>
        <v>37.683333330787718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07:08:44-0600',mode:absolute,to:'2016-09-28 09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9" s="54" t="str">
        <f t="shared" si="6"/>
        <v>N</v>
      </c>
      <c r="X49" s="164">
        <f t="shared" si="23"/>
        <v>1</v>
      </c>
      <c r="Y49" s="69">
        <f t="shared" si="8"/>
        <v>4.5499999999999999E-2</v>
      </c>
      <c r="Z49" s="69">
        <f t="shared" si="9"/>
        <v>23.328600000000002</v>
      </c>
      <c r="AA49" s="69">
        <f t="shared" si="10"/>
        <v>23.283100000000001</v>
      </c>
      <c r="AB49" s="66" t="str">
        <f>VLOOKUP(A49,Enforcements!$C$7:$K$21,8,0)</f>
        <v>Speed (6)</v>
      </c>
      <c r="AC49" s="62" t="str">
        <f>VLOOKUP(A49,Enforcements!$C$7:$E$21,3,0)</f>
        <v>PERMANENT SPEED RESTRICTION</v>
      </c>
      <c r="AD49" s="63" t="str">
        <f t="shared" si="11"/>
        <v>0137-28</v>
      </c>
      <c r="AE49" s="95" t="str">
        <f t="shared" si="12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49" s="92" t="str">
        <f t="shared" si="13"/>
        <v>"C:\Program Files (x86)\AstroGrep\AstroGrep.exe" /spath="%USERPROFILE%\AppData\Local\Temp\OnboardLogs" /stypes="app*4046*20160928*"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6" t="str">
        <f t="shared" si="17"/>
        <v>"%USERPROFILE%\Documents\GitHub\eaglep3\Utilities\RefineRTDCRunTimes.py" --tripid 137-28 --locoid 4046 --swversion DE.1.0.7.0 --startMP 204:455 --initTime 2016-09-28T08:08:44 --startdatetime 2016-09-28T08:15:20 --delay 1 --endMP 204:233286 --enddatetime 2016-09-28T08:53:01 --enforcementcount 0 &gt;&gt;C:\Users\stu\Documents\GitHub\eaglep3-reporting\EC\2016-09-28-refined-times.txt</v>
      </c>
      <c r="AI49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{"issue":{"subject":"","project_id":79,"tracker_id":40,"status_id":1,"priority_id":2,"assigned_to_id":23,"start_date":"2016-09-28","description":"","custom_fields":[{"id":1,"name":"Subdivision","value":"EC"},{"id":4,"name":"Milepost","value":"23.3286"},{"id":17,"name":"Train ID","value":"137-28"},{"id":16,"name":"Locomotive ID","value":"4046"},{"id":130,"name":"Impact","value":""},{"id":150,"name":"Time of Event (Mountain Time)","value":"08:53:01"},{"id":151,"name":"Denver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437</v>
      </c>
      <c r="B50" s="7">
        <v>4045</v>
      </c>
      <c r="C50" s="24" t="s">
        <v>106</v>
      </c>
      <c r="D50" s="24" t="s">
        <v>309</v>
      </c>
      <c r="E50" s="15">
        <v>42641.377511574072</v>
      </c>
      <c r="F50" s="15">
        <v>42641.383344907408</v>
      </c>
      <c r="G50" s="7">
        <v>1</v>
      </c>
      <c r="H50" s="15" t="s">
        <v>248</v>
      </c>
      <c r="I50" s="15">
        <v>42641.410810185182</v>
      </c>
      <c r="J50" s="7">
        <v>0</v>
      </c>
      <c r="K50" s="117" t="str">
        <f t="shared" si="0"/>
        <v>4045/4046</v>
      </c>
      <c r="L50" s="24" t="str">
        <f>VLOOKUP(A50,'Trips&amp;Operators'!$C$1:$E$10000,3,FALSE)</f>
        <v>KILLION</v>
      </c>
      <c r="M50" s="6">
        <f t="shared" si="1"/>
        <v>2.7465277773444541E-2</v>
      </c>
      <c r="N50" s="7">
        <f t="shared" si="22"/>
        <v>39.549999993760139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08:03:37-0600',mode:absolute,to:'2016-09-28 10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0" s="54" t="str">
        <f t="shared" si="6"/>
        <v>N</v>
      </c>
      <c r="X50" s="164">
        <f t="shared" si="23"/>
        <v>1</v>
      </c>
      <c r="Y50" s="69">
        <f t="shared" si="8"/>
        <v>23.296500000000002</v>
      </c>
      <c r="Z50" s="69">
        <f t="shared" si="9"/>
        <v>1.41E-2</v>
      </c>
      <c r="AA50" s="69">
        <f t="shared" si="10"/>
        <v>23.282400000000003</v>
      </c>
      <c r="AB50" s="66" t="str">
        <f>VLOOKUP(A50,Enforcements!$C$7:$K$21,8,0)</f>
        <v>Bulletin (2)</v>
      </c>
      <c r="AC50" s="62" t="str">
        <f>VLOOKUP(A50,Enforcements!$C$7:$E$21,3,0)</f>
        <v>GRADE CROSSING</v>
      </c>
      <c r="AD50" s="63" t="str">
        <f t="shared" si="11"/>
        <v>0138-28</v>
      </c>
      <c r="AE50" s="95" t="str">
        <f t="shared" si="12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50" s="92" t="str">
        <f t="shared" si="13"/>
        <v>"C:\Program Files (x86)\AstroGrep\AstroGrep.exe" /spath="%USERPROFILE%\AppData\Local\Temp\OnboardLogs" /stypes="app*4045*20160928*"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6" t="str">
        <f t="shared" si="17"/>
        <v>"%USERPROFILE%\Documents\GitHub\eaglep3\Utilities\RefineRTDCRunTimes.py" --tripid 138-28 --locoid 4045 --swversion DE.1.0.7.0 --startMP 204:232965 --initTime 2016-09-28T09:03:37 --startdatetime 2016-09-28T09:12:01 --delay 1 --endMP 204:141 --enddatetime 2016-09-28T09:51:34 --enforcementcount 0 &gt;&gt;C:\Users\stu\Documents\GitHub\eaglep3-reporting\EC\2016-09-28-refined-times.txt</v>
      </c>
      <c r="AI50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{"issue":{"subject":"","project_id":79,"tracker_id":40,"status_id":1,"priority_id":2,"assigned_to_id":23,"start_date":"2016-09-28","description":"","custom_fields":[{"id":1,"name":"Subdivision","value":"EC"},{"id":4,"name":"Milepost","value":"0.0141"},{"id":17,"name":"Train ID","value":"138-28"},{"id":16,"name":"Locomotive ID","value":"4045"},{"id":130,"name":"Impact","value":""},{"id":150,"name":"Time of Event (Mountain Time)","value":"09:51:34"},{"id":151,"name":"Denver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430</v>
      </c>
      <c r="B51" s="7">
        <v>4040</v>
      </c>
      <c r="C51" s="24" t="s">
        <v>106</v>
      </c>
      <c r="D51" s="24" t="s">
        <v>626</v>
      </c>
      <c r="E51" s="15">
        <v>42641.350439814814</v>
      </c>
      <c r="F51" s="15">
        <v>42641.35460648148</v>
      </c>
      <c r="G51" s="7">
        <v>1</v>
      </c>
      <c r="H51" s="15" t="s">
        <v>298</v>
      </c>
      <c r="I51" s="15">
        <v>42641.381724537037</v>
      </c>
      <c r="J51" s="7">
        <v>0</v>
      </c>
      <c r="K51" s="117" t="str">
        <f t="shared" si="0"/>
        <v>4039/4040</v>
      </c>
      <c r="L51" s="24" t="str">
        <f>VLOOKUP(A51,'Trips&amp;Operators'!$C$1:$E$10000,3,FALSE)</f>
        <v>ROCHA</v>
      </c>
      <c r="M51" s="6">
        <f t="shared" si="1"/>
        <v>2.7118055557366461E-2</v>
      </c>
      <c r="N51" s="7">
        <f t="shared" si="22"/>
        <v>39.050000002607703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07:24:38-0600',mode:absolute,to:'2016-09-28 10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51" s="54" t="str">
        <f t="shared" si="6"/>
        <v>N</v>
      </c>
      <c r="X51" s="164">
        <f t="shared" si="23"/>
        <v>1</v>
      </c>
      <c r="Y51" s="69">
        <f t="shared" si="8"/>
        <v>5.2200000000000003E-2</v>
      </c>
      <c r="Z51" s="69">
        <f t="shared" si="9"/>
        <v>23.328299999999999</v>
      </c>
      <c r="AA51" s="69">
        <f t="shared" si="10"/>
        <v>23.2761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0139-28</v>
      </c>
      <c r="AE51" s="95" t="str">
        <f t="shared" si="12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51" s="92" t="str">
        <f t="shared" si="13"/>
        <v>"C:\Program Files (x86)\AstroGrep\AstroGrep.exe" /spath="%USERPROFILE%\AppData\Local\Temp\OnboardLogs" /stypes="app*4040*20160928*"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6" t="str">
        <f t="shared" si="17"/>
        <v>"%USERPROFILE%\Documents\GitHub\eaglep3\Utilities\RefineRTDCRunTimes.py" --tripid 139-28 --locoid 4040 --swversion DE.1.0.7.0 --startMP 204:522 --initTime 2016-09-28T08:24:38 --startdatetime 2016-09-28T08:30:38 --delay 1 --endMP 204:233283 --enddatetime 2016-09-28T09:09:41 --enforcementcount 0 &gt;&gt;C:\Users\stu\Documents\GitHub\eaglep3-reporting\EC\2016-09-28-refined-times.txt</v>
      </c>
      <c r="AI51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{"issue":{"subject":"","project_id":79,"tracker_id":40,"status_id":1,"priority_id":2,"assigned_to_id":23,"start_date":"2016-09-28","description":"","custom_fields":[{"id":1,"name":"Subdivision","value":"EC"},{"id":4,"name":"Milepost","value":"23.3283"},{"id":17,"name":"Train ID","value":"139-28"},{"id":16,"name":"Locomotive ID","value":"4040"},{"id":130,"name":"Impact","value":""},{"id":150,"name":"Time of Event (Mountain Time)","value":"09:09:41"},{"id":151,"name":"Denver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440</v>
      </c>
      <c r="B52" s="7">
        <v>4039</v>
      </c>
      <c r="C52" s="24" t="s">
        <v>106</v>
      </c>
      <c r="D52" s="24" t="s">
        <v>343</v>
      </c>
      <c r="E52" s="15">
        <v>42641.389479166668</v>
      </c>
      <c r="F52" s="15">
        <v>42641.39371527778</v>
      </c>
      <c r="G52" s="7">
        <v>1</v>
      </c>
      <c r="H52" s="15" t="s">
        <v>627</v>
      </c>
      <c r="I52" s="15">
        <v>42641.420902777776</v>
      </c>
      <c r="J52" s="7">
        <v>0</v>
      </c>
      <c r="K52" s="117" t="str">
        <f t="shared" si="0"/>
        <v>4039/4040</v>
      </c>
      <c r="L52" s="24" t="str">
        <f>VLOOKUP(A52,'Trips&amp;Operators'!$C$1:$E$10000,3,FALSE)</f>
        <v>ROCHA</v>
      </c>
      <c r="M52" s="6">
        <f t="shared" si="1"/>
        <v>2.7187499996216502E-2</v>
      </c>
      <c r="N52" s="7">
        <f t="shared" si="22"/>
        <v>39.149999994551763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08:20:51-0600',mode:absolute,to:'2016-09-28 11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52" s="54" t="str">
        <f t="shared" si="6"/>
        <v>N</v>
      </c>
      <c r="X52" s="164">
        <f t="shared" si="23"/>
        <v>1</v>
      </c>
      <c r="Y52" s="69">
        <f t="shared" si="8"/>
        <v>23.299099999999999</v>
      </c>
      <c r="Z52" s="69">
        <f t="shared" si="9"/>
        <v>1.3899999999999999E-2</v>
      </c>
      <c r="AA52" s="69">
        <f t="shared" si="10"/>
        <v>23.2852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0140-28</v>
      </c>
      <c r="AE52" s="95" t="str">
        <f t="shared" si="12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52" s="92" t="str">
        <f t="shared" si="13"/>
        <v>"C:\Program Files (x86)\AstroGrep\AstroGrep.exe" /spath="%USERPROFILE%\AppData\Local\Temp\OnboardLogs" /stypes="app*4039*20160928*"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6" t="str">
        <f t="shared" si="17"/>
        <v>"%USERPROFILE%\Documents\GitHub\eaglep3\Utilities\RefineRTDCRunTimes.py" --tripid 140-28 --locoid 4039 --swversion DE.1.0.7.0 --startMP 204:232991 --initTime 2016-09-28T09:20:51 --startdatetime 2016-09-28T09:26:57 --delay 1 --endMP 204:139 --enddatetime 2016-09-28T10:06:06 --enforcementcount 0 &gt;&gt;C:\Users\stu\Documents\GitHub\eaglep3-reporting\EC\2016-09-28-refined-times.txt</v>
      </c>
      <c r="AI52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{"issue":{"subject":"","project_id":79,"tracker_id":40,"status_id":1,"priority_id":2,"assigned_to_id":23,"start_date":"2016-09-28","description":"","custom_fields":[{"id":1,"name":"Subdivision","value":"EC"},{"id":4,"name":"Milepost","value":"0.0139"},{"id":17,"name":"Train ID","value":"140-28"},{"id":16,"name":"Locomotive ID","value":"4039"},{"id":130,"name":"Impact","value":""},{"id":150,"name":"Time of Event (Mountain Time)","value":"10:06:06"},{"id":151,"name":"Denver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434</v>
      </c>
      <c r="B53" s="7">
        <v>4002</v>
      </c>
      <c r="C53" s="24" t="s">
        <v>106</v>
      </c>
      <c r="D53" s="24" t="s">
        <v>225</v>
      </c>
      <c r="E53" s="15">
        <v>42641.361076388886</v>
      </c>
      <c r="F53" s="15">
        <v>42641.364976851852</v>
      </c>
      <c r="G53" s="7">
        <v>1</v>
      </c>
      <c r="H53" s="15" t="s">
        <v>288</v>
      </c>
      <c r="I53" s="15">
        <v>42641.389976851853</v>
      </c>
      <c r="J53" s="7">
        <v>0</v>
      </c>
      <c r="K53" s="117" t="str">
        <f t="shared" si="0"/>
        <v>4001/4002</v>
      </c>
      <c r="L53" s="24" t="str">
        <f>VLOOKUP(A53,'Trips&amp;Operators'!$C$1:$E$10000,3,FALSE)</f>
        <v>MAELZER</v>
      </c>
      <c r="M53" s="6">
        <f t="shared" si="1"/>
        <v>2.5000000001455192E-2</v>
      </c>
      <c r="N53" s="7">
        <f t="shared" si="22"/>
        <v>36.000000002095476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07:39:57-0600',mode:absolute,to:'2016-09-28 10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3" s="54" t="str">
        <f t="shared" si="6"/>
        <v>N</v>
      </c>
      <c r="X53" s="164">
        <f t="shared" si="23"/>
        <v>1</v>
      </c>
      <c r="Y53" s="69">
        <f t="shared" si="8"/>
        <v>4.5100000000000001E-2</v>
      </c>
      <c r="Z53" s="69">
        <f t="shared" si="9"/>
        <v>23.328600000000002</v>
      </c>
      <c r="AA53" s="69">
        <f t="shared" si="10"/>
        <v>23.2835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0141-28</v>
      </c>
      <c r="AE53" s="95" t="str">
        <f t="shared" si="12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53" s="92" t="str">
        <f t="shared" si="13"/>
        <v>"C:\Program Files (x86)\AstroGrep\AstroGrep.exe" /spath="%USERPROFILE%\AppData\Local\Temp\OnboardLogs" /stypes="app*4002*20160928*"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6" t="str">
        <f t="shared" si="17"/>
        <v>"%USERPROFILE%\Documents\GitHub\eaglep3\Utilities\RefineRTDCRunTimes.py" --tripid 141-28 --locoid 4002 --swversion DE.1.0.7.0 --startMP 204:451 --initTime 2016-09-28T08:39:57 --startdatetime 2016-09-28T08:45:34 --delay 1 --endMP 204:233286 --enddatetime 2016-09-28T09:21:34 --enforcementcount 0 &gt;&gt;C:\Users\stu\Documents\GitHub\eaglep3-reporting\EC\2016-09-28-refined-times.txt</v>
      </c>
      <c r="AI53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{"issue":{"subject":"","project_id":79,"tracker_id":40,"status_id":1,"priority_id":2,"assigned_to_id":23,"start_date":"2016-09-28","description":"","custom_fields":[{"id":1,"name":"Subdivision","value":"EC"},{"id":4,"name":"Milepost","value":"23.3286"},{"id":17,"name":"Train ID","value":"141-28"},{"id":16,"name":"Locomotive ID","value":"4002"},{"id":130,"name":"Impact","value":""},{"id":150,"name":"Time of Event (Mountain Time)","value":"09:21:34"},{"id":151,"name":"Denver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442</v>
      </c>
      <c r="B54" s="7">
        <v>4001</v>
      </c>
      <c r="C54" s="24" t="s">
        <v>106</v>
      </c>
      <c r="D54" s="24" t="s">
        <v>628</v>
      </c>
      <c r="E54" s="15">
        <v>42641.395381944443</v>
      </c>
      <c r="F54" s="15">
        <v>42641.403819444444</v>
      </c>
      <c r="G54" s="7">
        <v>1</v>
      </c>
      <c r="H54" s="15" t="s">
        <v>248</v>
      </c>
      <c r="I54" s="15">
        <v>42641.431041666663</v>
      </c>
      <c r="J54" s="7">
        <v>0</v>
      </c>
      <c r="K54" s="117" t="str">
        <f t="shared" si="0"/>
        <v>4001/4002</v>
      </c>
      <c r="L54" s="24" t="str">
        <f>VLOOKUP(A54,'Trips&amp;Operators'!$C$1:$E$10000,3,FALSE)</f>
        <v>MAELZER</v>
      </c>
      <c r="M54" s="6">
        <f t="shared" si="1"/>
        <v>2.7222222219279502E-2</v>
      </c>
      <c r="N54" s="7">
        <f t="shared" si="22"/>
        <v>39.199999995762482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08:29:21-0600',mode:absolute,to:'2016-09-28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4" s="54" t="str">
        <f t="shared" si="6"/>
        <v>N</v>
      </c>
      <c r="X54" s="164">
        <f t="shared" si="23"/>
        <v>1</v>
      </c>
      <c r="Y54" s="69">
        <f t="shared" si="8"/>
        <v>23.3005</v>
      </c>
      <c r="Z54" s="69">
        <f t="shared" si="9"/>
        <v>1.41E-2</v>
      </c>
      <c r="AA54" s="69">
        <f t="shared" si="10"/>
        <v>23.2864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0142-28</v>
      </c>
      <c r="AE54" s="95" t="str">
        <f t="shared" si="12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54" s="92" t="str">
        <f t="shared" si="13"/>
        <v>"C:\Program Files (x86)\AstroGrep\AstroGrep.exe" /spath="%USERPROFILE%\AppData\Local\Temp\OnboardLogs" /stypes="app*4001*20160928*"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6" t="str">
        <f t="shared" si="17"/>
        <v>"%USERPROFILE%\Documents\GitHub\eaglep3\Utilities\RefineRTDCRunTimes.py" --tripid 142-28 --locoid 4001 --swversion DE.1.0.7.0 --startMP 204:233005 --initTime 2016-09-28T09:29:21 --startdatetime 2016-09-28T09:41:30 --delay 1 --endMP 204:141 --enddatetime 2016-09-28T10:20:42 --enforcementcount 0 &gt;&gt;C:\Users\stu\Documents\GitHub\eaglep3-reporting\EC\2016-09-28-refined-times.txt</v>
      </c>
      <c r="AI54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{"issue":{"subject":"","project_id":79,"tracker_id":40,"status_id":1,"priority_id":2,"assigned_to_id":23,"start_date":"2016-09-28","description":"","custom_fields":[{"id":1,"name":"Subdivision","value":"EC"},{"id":4,"name":"Milepost","value":"0.0141"},{"id":17,"name":"Train ID","value":"142-28"},{"id":16,"name":"Locomotive ID","value":"4001"},{"id":130,"name":"Impact","value":""},{"id":150,"name":"Time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435</v>
      </c>
      <c r="B55" s="7">
        <v>4020</v>
      </c>
      <c r="C55" s="24" t="s">
        <v>106</v>
      </c>
      <c r="D55" s="24" t="s">
        <v>349</v>
      </c>
      <c r="E55" s="15">
        <v>42641.370300925926</v>
      </c>
      <c r="F55" s="15">
        <v>42641.375173611108</v>
      </c>
      <c r="G55" s="7">
        <v>1</v>
      </c>
      <c r="H55" s="15" t="s">
        <v>629</v>
      </c>
      <c r="I55" s="15">
        <v>42641.400081018517</v>
      </c>
      <c r="J55" s="7">
        <v>0</v>
      </c>
      <c r="K55" s="117" t="str">
        <f t="shared" si="0"/>
        <v>4019/4020</v>
      </c>
      <c r="L55" s="24" t="str">
        <f>VLOOKUP(A55,'Trips&amp;Operators'!$C$1:$E$10000,3,FALSE)</f>
        <v>SANTIZO</v>
      </c>
      <c r="M55" s="6">
        <f t="shared" si="1"/>
        <v>2.4907407409045845E-2</v>
      </c>
      <c r="N55" s="7">
        <f t="shared" si="22"/>
        <v>35.866666669026017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07:53:14-0600',mode:absolute,to:'2016-09-28 10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5" s="54" t="str">
        <f t="shared" si="6"/>
        <v>N</v>
      </c>
      <c r="X55" s="164">
        <f t="shared" si="23"/>
        <v>1</v>
      </c>
      <c r="Y55" s="69">
        <f t="shared" si="8"/>
        <v>4.3499999999999997E-2</v>
      </c>
      <c r="Z55" s="69">
        <f t="shared" si="9"/>
        <v>23.331900000000001</v>
      </c>
      <c r="AA55" s="69">
        <f t="shared" si="10"/>
        <v>23.288399999999999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0143-28</v>
      </c>
      <c r="AE55" s="95" t="str">
        <f t="shared" si="12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55" s="92" t="str">
        <f t="shared" si="13"/>
        <v>"C:\Program Files (x86)\AstroGrep\AstroGrep.exe" /spath="%USERPROFILE%\AppData\Local\Temp\OnboardLogs" /stypes="app*4020*20160928*"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6" t="str">
        <f t="shared" si="17"/>
        <v>"%USERPROFILE%\Documents\GitHub\eaglep3\Utilities\RefineRTDCRunTimes.py" --tripid 143-28 --locoid 4020 --swversion DE.1.0.7.0 --startMP 204:435 --initTime 2016-09-28T08:53:14 --startdatetime 2016-09-28T09:00:15 --delay 1 --endMP 204:233319 --enddatetime 2016-09-28T09:36:07 --enforcementcount 0 &gt;&gt;C:\Users\stu\Documents\GitHub\eaglep3-reporting\EC\2016-09-28-refined-times.txt</v>
      </c>
      <c r="AI55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{"issue":{"subject":"","project_id":79,"tracker_id":40,"status_id":1,"priority_id":2,"assigned_to_id":23,"start_date":"2016-09-28","description":"","custom_fields":[{"id":1,"name":"Subdivision","value":"EC"},{"id":4,"name":"Milepost","value":"23.3319"},{"id":17,"name":"Train ID","value":"143-28"},{"id":16,"name":"Locomotive ID","value":"4020"},{"id":130,"name":"Impact","value":""},{"id":150,"name":"Time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444</v>
      </c>
      <c r="B56" s="7">
        <v>4019</v>
      </c>
      <c r="C56" s="24" t="s">
        <v>106</v>
      </c>
      <c r="D56" s="24" t="s">
        <v>346</v>
      </c>
      <c r="E56" s="15">
        <v>42641.401585648149</v>
      </c>
      <c r="F56" s="15">
        <v>42641.414074074077</v>
      </c>
      <c r="G56" s="7">
        <v>1</v>
      </c>
      <c r="H56" s="15" t="s">
        <v>630</v>
      </c>
      <c r="I56" s="15">
        <v>42641.44122685185</v>
      </c>
      <c r="J56" s="7">
        <v>0</v>
      </c>
      <c r="K56" s="117" t="str">
        <f t="shared" si="0"/>
        <v>4019/4020</v>
      </c>
      <c r="L56" s="24" t="str">
        <f>VLOOKUP(A56,'Trips&amp;Operators'!$C$1:$E$10000,3,FALSE)</f>
        <v>SANTIZO</v>
      </c>
      <c r="M56" s="6">
        <f t="shared" si="1"/>
        <v>2.7152777773153502E-2</v>
      </c>
      <c r="N56" s="7">
        <f t="shared" si="22"/>
        <v>39.099999993341044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08:38:17-0600',mode:absolute,to:'2016-09-28 11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6" s="54" t="str">
        <f t="shared" si="6"/>
        <v>N</v>
      </c>
      <c r="X56" s="164">
        <f t="shared" si="23"/>
        <v>1</v>
      </c>
      <c r="Y56" s="69">
        <f t="shared" si="8"/>
        <v>23.301100000000002</v>
      </c>
      <c r="Z56" s="69">
        <f t="shared" si="9"/>
        <v>3.3300000000000003E-2</v>
      </c>
      <c r="AA56" s="69">
        <f t="shared" si="10"/>
        <v>23.267800000000001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0144-28</v>
      </c>
      <c r="AE56" s="95" t="str">
        <f t="shared" si="12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56" s="92" t="str">
        <f t="shared" si="13"/>
        <v>"C:\Program Files (x86)\AstroGrep\AstroGrep.exe" /spath="%USERPROFILE%\AppData\Local\Temp\OnboardLogs" /stypes="app*4019*20160928*"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6" t="str">
        <f t="shared" si="17"/>
        <v>"%USERPROFILE%\Documents\GitHub\eaglep3\Utilities\RefineRTDCRunTimes.py" --tripid 144-28 --locoid 4019 --swversion DE.1.0.7.0 --startMP 204:233011 --initTime 2016-09-28T09:38:17 --startdatetime 2016-09-28T09:56:16 --delay 1 --endMP 204:333 --enddatetime 2016-09-28T10:35:22 --enforcementcount 0 &gt;&gt;C:\Users\stu\Documents\GitHub\eaglep3-reporting\EC\2016-09-28-refined-times.txt</v>
      </c>
      <c r="AI56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{"issue":{"subject":"","project_id":79,"tracker_id":40,"status_id":1,"priority_id":2,"assigned_to_id":23,"start_date":"2016-09-28","description":"","custom_fields":[{"id":1,"name":"Subdivision","value":"EC"},{"id":4,"name":"Milepost","value":"0.0333"},{"id":17,"name":"Train ID","value":"144-28"},{"id":16,"name":"Locomotive ID","value":"4019"},{"id":130,"name":"Impact","value":""},{"id":150,"name":"Time of Event (Mountain Time)","value":"10:35:22"},{"id":151,"name":"Denver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438</v>
      </c>
      <c r="B57" s="7">
        <v>4007</v>
      </c>
      <c r="C57" s="24" t="s">
        <v>106</v>
      </c>
      <c r="D57" s="24" t="s">
        <v>228</v>
      </c>
      <c r="E57" s="15">
        <v>42641.383125</v>
      </c>
      <c r="F57" s="15">
        <v>42641.385717592595</v>
      </c>
      <c r="G57" s="7">
        <v>2</v>
      </c>
      <c r="H57" s="15" t="s">
        <v>631</v>
      </c>
      <c r="I57" s="15">
        <v>42641.410428240742</v>
      </c>
      <c r="J57" s="7">
        <v>0</v>
      </c>
      <c r="K57" s="117" t="str">
        <f t="shared" si="0"/>
        <v>4007/4008</v>
      </c>
      <c r="L57" s="24" t="str">
        <f>VLOOKUP(A57,'Trips&amp;Operators'!$C$1:$E$10000,3,FALSE)</f>
        <v>ACKERMAN</v>
      </c>
      <c r="M57" s="6">
        <f t="shared" si="1"/>
        <v>2.47106481474475E-2</v>
      </c>
      <c r="N57" s="7">
        <f t="shared" si="22"/>
        <v>35.583333332324401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08:11:42-0600',mode:absolute,to:'2016-09-28 10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57" s="54" t="str">
        <f t="shared" si="6"/>
        <v>N</v>
      </c>
      <c r="X57" s="164">
        <f t="shared" si="23"/>
        <v>1</v>
      </c>
      <c r="Y57" s="69">
        <f t="shared" si="8"/>
        <v>4.6699999999999998E-2</v>
      </c>
      <c r="Z57" s="69">
        <f t="shared" si="9"/>
        <v>23.329899999999999</v>
      </c>
      <c r="AA57" s="69">
        <f t="shared" si="10"/>
        <v>23.283199999999997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0145-28</v>
      </c>
      <c r="AE57" s="95" t="str">
        <f t="shared" si="12"/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AF57" s="92" t="str">
        <f t="shared" si="13"/>
        <v>"C:\Program Files (x86)\AstroGrep\AstroGrep.exe" /spath="%USERPROFILE%\AppData\Local\Temp\OnboardLogs" /stypes="app*4007*20160928*"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6" t="str">
        <f t="shared" si="17"/>
        <v>"%USERPROFILE%\Documents\GitHub\eaglep3\Utilities\RefineRTDCRunTimes.py" --tripid 145-28 --locoid 4007 --swversion DE.1.0.7.0 --startMP 204:467 --initTime 2016-09-28T09:11:42 --startdatetime 2016-09-28T09:15:26 --delay 2 --endMP 204:233299 --enddatetime 2016-09-28T09:51:01 --enforcementcount 0 &gt;&gt;C:\Users\stu\Documents\GitHub\eaglep3-reporting\EC\2016-09-28-refined-times.txt</v>
      </c>
      <c r="AI57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{"issue":{"subject":"","project_id":79,"tracker_id":40,"status_id":1,"priority_id":2,"assigned_to_id":23,"start_date":"2016-09-28","description":"","custom_fields":[{"id":1,"name":"Subdivision","value":"EC"},{"id":4,"name":"Milepost","value":"23.3299"},{"id":17,"name":"Train ID","value":"145-28"},{"id":16,"name":"Locomotive ID","value":"4007"},{"id":130,"name":"Impact","value":""},{"id":150,"name":"Time of Event (Mountain Time)","value":"09:51:01"},{"id":151,"name":"Denver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447</v>
      </c>
      <c r="B58" s="7">
        <v>4008</v>
      </c>
      <c r="C58" s="24" t="s">
        <v>106</v>
      </c>
      <c r="D58" s="24" t="s">
        <v>632</v>
      </c>
      <c r="E58" s="15">
        <v>42641.417546296296</v>
      </c>
      <c r="F58" s="15">
        <v>42641.424837962964</v>
      </c>
      <c r="G58" s="7">
        <v>1</v>
      </c>
      <c r="H58" s="15" t="s">
        <v>627</v>
      </c>
      <c r="I58" s="15">
        <v>42641.452789351853</v>
      </c>
      <c r="J58" s="7">
        <v>0</v>
      </c>
      <c r="K58" s="117" t="str">
        <f t="shared" si="0"/>
        <v>4007/4008</v>
      </c>
      <c r="L58" s="24" t="str">
        <f>VLOOKUP(A58,'Trips&amp;Operators'!$C$1:$E$10000,3,FALSE)</f>
        <v>ACKERMAN</v>
      </c>
      <c r="M58" s="6">
        <f t="shared" si="1"/>
        <v>2.7951388889050577E-2</v>
      </c>
      <c r="N58" s="7">
        <f t="shared" si="22"/>
        <v>40.250000000232831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09:01:16-0600',mode:absolute,to:'2016-09-28 11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58" s="54" t="str">
        <f t="shared" si="6"/>
        <v>N</v>
      </c>
      <c r="X58" s="164">
        <f t="shared" si="23"/>
        <v>1</v>
      </c>
      <c r="Y58" s="69">
        <f t="shared" si="8"/>
        <v>23.2959</v>
      </c>
      <c r="Z58" s="69">
        <f t="shared" si="9"/>
        <v>1.3899999999999999E-2</v>
      </c>
      <c r="AA58" s="69">
        <f t="shared" si="10"/>
        <v>23.282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0146-28</v>
      </c>
      <c r="AE58" s="95" t="str">
        <f t="shared" si="12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58" s="92" t="str">
        <f t="shared" si="13"/>
        <v>"C:\Program Files (x86)\AstroGrep\AstroGrep.exe" /spath="%USERPROFILE%\AppData\Local\Temp\OnboardLogs" /stypes="app*4008*20160928*"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6" t="str">
        <f t="shared" si="17"/>
        <v>"%USERPROFILE%\Documents\GitHub\eaglep3\Utilities\RefineRTDCRunTimes.py" --tripid 146-28 --locoid 4008 --swversion DE.1.0.7.0 --startMP 204:232959 --initTime 2016-09-28T10:01:16 --startdatetime 2016-09-28T10:11:46 --delay 1 --endMP 204:139 --enddatetime 2016-09-28T10:52:01 --enforcementcount 0 &gt;&gt;C:\Users\stu\Documents\GitHub\eaglep3-reporting\EC\2016-09-28-refined-times.txt</v>
      </c>
      <c r="AI58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{"issue":{"subject":"","project_id":79,"tracker_id":40,"status_id":1,"priority_id":2,"assigned_to_id":23,"start_date":"2016-09-28","description":"","custom_fields":[{"id":1,"name":"Subdivision","value":"EC"},{"id":4,"name":"Milepost","value":"0.0139"},{"id":17,"name":"Train ID","value":"146-28"},{"id":16,"name":"Locomotive ID","value":"4008"},{"id":130,"name":"Impact","value":""},{"id":150,"name":"Time of Event (Mountain Time)","value":"10:52:01"},{"id":151,"name":"Denver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441</v>
      </c>
      <c r="B59" s="7">
        <v>4018</v>
      </c>
      <c r="C59" s="24" t="s">
        <v>106</v>
      </c>
      <c r="D59" s="24" t="s">
        <v>633</v>
      </c>
      <c r="E59" s="15">
        <v>42641.392187500001</v>
      </c>
      <c r="F59" s="15">
        <v>42641.396134259259</v>
      </c>
      <c r="G59" s="7">
        <v>5</v>
      </c>
      <c r="H59" s="15" t="s">
        <v>634</v>
      </c>
      <c r="I59" s="15">
        <v>42641.421840277777</v>
      </c>
      <c r="J59" s="7">
        <v>0</v>
      </c>
      <c r="K59" s="117" t="str">
        <f t="shared" si="0"/>
        <v>4017/4018</v>
      </c>
      <c r="L59" s="24" t="str">
        <f>VLOOKUP(A59,'Trips&amp;Operators'!$C$1:$E$10000,3,FALSE)</f>
        <v>STRICKLAND</v>
      </c>
      <c r="M59" s="6">
        <f t="shared" si="1"/>
        <v>2.5706018517666962E-2</v>
      </c>
      <c r="N59" s="7">
        <f t="shared" si="22"/>
        <v>37.016666665440425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08:24:45-0600',mode:absolute,to:'2016-09-28 11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9" s="54" t="str">
        <f t="shared" si="6"/>
        <v>N</v>
      </c>
      <c r="X59" s="164">
        <f t="shared" si="23"/>
        <v>1</v>
      </c>
      <c r="Y59" s="69">
        <f t="shared" si="8"/>
        <v>5.3699999999999998E-2</v>
      </c>
      <c r="Z59" s="69">
        <f t="shared" si="9"/>
        <v>23.3278</v>
      </c>
      <c r="AA59" s="69">
        <f t="shared" si="10"/>
        <v>23.274100000000001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0147-28</v>
      </c>
      <c r="AE59" s="95" t="str">
        <f t="shared" si="12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59" s="92" t="str">
        <f t="shared" si="13"/>
        <v>"C:\Program Files (x86)\AstroGrep\AstroGrep.exe" /spath="%USERPROFILE%\AppData\Local\Temp\OnboardLogs" /stypes="app*4018*20160928*"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6" t="str">
        <f t="shared" si="17"/>
        <v>"%USERPROFILE%\Documents\GitHub\eaglep3\Utilities\RefineRTDCRunTimes.py" --tripid 147-28 --locoid 4018 --swversion DE.1.0.7.0 --startMP 204:537 --initTime 2016-09-28T09:24:45 --startdatetime 2016-09-28T09:30:26 --delay 5 --endMP 204:233278 --enddatetime 2016-09-28T10:07:27 --enforcementcount 0 &gt;&gt;C:\Users\stu\Documents\GitHub\eaglep3-reporting\EC\2016-09-28-refined-times.txt</v>
      </c>
      <c r="AI59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{"issue":{"subject":"","project_id":79,"tracker_id":40,"status_id":1,"priority_id":2,"assigned_to_id":23,"start_date":"2016-09-28","description":"","custom_fields":[{"id":1,"name":"Subdivision","value":"EC"},{"id":4,"name":"Milepost","value":"23.3278"},{"id":17,"name":"Train ID","value":"147-28"},{"id":16,"name":"Locomotive ID","value":"4018"},{"id":130,"name":"Impact","value":""},{"id":150,"name":"Time of Event (Mountain Time)","value":"10:07:27"},{"id":151,"name":"Denver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451</v>
      </c>
      <c r="B60" s="7">
        <v>4017</v>
      </c>
      <c r="C60" s="24" t="s">
        <v>106</v>
      </c>
      <c r="D60" s="24" t="s">
        <v>278</v>
      </c>
      <c r="E60" s="15">
        <v>42641.430138888885</v>
      </c>
      <c r="F60" s="15">
        <v>42641.435381944444</v>
      </c>
      <c r="G60" s="7">
        <v>1</v>
      </c>
      <c r="H60" s="15" t="s">
        <v>635</v>
      </c>
      <c r="I60" s="15">
        <v>42641.462627314817</v>
      </c>
      <c r="J60" s="7">
        <v>0</v>
      </c>
      <c r="K60" s="117" t="str">
        <f t="shared" si="0"/>
        <v>4017/4018</v>
      </c>
      <c r="L60" s="24" t="str">
        <f>VLOOKUP(A60,'Trips&amp;Operators'!$C$1:$E$10000,3,FALSE)</f>
        <v>STRICKLAND</v>
      </c>
      <c r="M60" s="6">
        <f t="shared" si="1"/>
        <v>2.7245370372838806E-2</v>
      </c>
      <c r="N60" s="7">
        <f t="shared" si="22"/>
        <v>39.233333336887881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09:19:24-0600',mode:absolute,to:'2016-09-28 12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0" s="54" t="str">
        <f t="shared" si="6"/>
        <v>N</v>
      </c>
      <c r="X60" s="164">
        <f t="shared" si="23"/>
        <v>1</v>
      </c>
      <c r="Y60" s="69">
        <f t="shared" si="8"/>
        <v>23.297899999999998</v>
      </c>
      <c r="Z60" s="69">
        <f t="shared" si="9"/>
        <v>3.4000000000000002E-2</v>
      </c>
      <c r="AA60" s="69">
        <f t="shared" si="10"/>
        <v>23.2639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0148-28</v>
      </c>
      <c r="AE60" s="95" t="str">
        <f t="shared" si="12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60" s="92" t="str">
        <f t="shared" si="13"/>
        <v>"C:\Program Files (x86)\AstroGrep\AstroGrep.exe" /spath="%USERPROFILE%\AppData\Local\Temp\OnboardLogs" /stypes="app*4017*20160928*"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6" t="str">
        <f t="shared" si="17"/>
        <v>"%USERPROFILE%\Documents\GitHub\eaglep3\Utilities\RefineRTDCRunTimes.py" --tripid 148-28 --locoid 4017 --swversion DE.1.0.7.0 --startMP 204:232979 --initTime 2016-09-28T10:19:24 --startdatetime 2016-09-28T10:26:57 --delay 1 --endMP 204:340 --enddatetime 2016-09-28T11:06:11 --enforcementcount 0 &gt;&gt;C:\Users\stu\Documents\GitHub\eaglep3-reporting\EC\2016-09-28-refined-times.txt</v>
      </c>
      <c r="AI60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{"issue":{"subject":"","project_id":79,"tracker_id":40,"status_id":1,"priority_id":2,"assigned_to_id":23,"start_date":"2016-09-28","description":"","custom_fields":[{"id":1,"name":"Subdivision","value":"EC"},{"id":4,"name":"Milepost","value":"0.034"},{"id":17,"name":"Train ID","value":"148-28"},{"id":16,"name":"Locomotive ID","value":"4017"},{"id":130,"name":"Impact","value":""},{"id":150,"name":"Time of Event (Mountain Time)","value":"11:06:11"},{"id":151,"name":"Denver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445</v>
      </c>
      <c r="B61" s="7">
        <v>4014</v>
      </c>
      <c r="C61" s="24" t="s">
        <v>106</v>
      </c>
      <c r="D61" s="24" t="s">
        <v>223</v>
      </c>
      <c r="E61" s="15">
        <v>42641.406817129631</v>
      </c>
      <c r="F61" s="15">
        <v>42641.408437500002</v>
      </c>
      <c r="G61" s="7">
        <v>1</v>
      </c>
      <c r="H61" s="15" t="s">
        <v>335</v>
      </c>
      <c r="I61" s="15">
        <v>42641.432812500003</v>
      </c>
      <c r="J61" s="7">
        <v>0</v>
      </c>
      <c r="K61" s="117" t="str">
        <f t="shared" si="0"/>
        <v>4013/4014</v>
      </c>
      <c r="L61" s="24" t="str">
        <f>VLOOKUP(A61,'Trips&amp;Operators'!$C$1:$E$10000,3,FALSE)</f>
        <v>SPECTOR</v>
      </c>
      <c r="M61" s="6">
        <f t="shared" si="1"/>
        <v>2.4375000000873115E-2</v>
      </c>
      <c r="N61" s="7">
        <f t="shared" si="22"/>
        <v>35.100000001257285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08:45:49-0600',mode:absolute,to:'2016-09-28 11:23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N</v>
      </c>
      <c r="X61" s="164">
        <f t="shared" si="23"/>
        <v>1</v>
      </c>
      <c r="Y61" s="69">
        <f t="shared" si="8"/>
        <v>4.4699999999999997E-2</v>
      </c>
      <c r="Z61" s="69">
        <f t="shared" si="9"/>
        <v>23.332000000000001</v>
      </c>
      <c r="AA61" s="69">
        <f t="shared" si="10"/>
        <v>23.287300000000002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0149-28</v>
      </c>
      <c r="AE61" s="95" t="str">
        <f t="shared" si="12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61" s="92" t="str">
        <f t="shared" si="13"/>
        <v>"C:\Program Files (x86)\AstroGrep\AstroGrep.exe" /spath="%USERPROFILE%\AppData\Local\Temp\OnboardLogs" /stypes="app*4014*20160928*"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6" t="str">
        <f t="shared" si="17"/>
        <v>"%USERPROFILE%\Documents\GitHub\eaglep3\Utilities\RefineRTDCRunTimes.py" --tripid 149-28 --locoid 4014 --swversion DE.1.0.7.0 --startMP 204:447 --initTime 2016-09-28T09:45:49 --startdatetime 2016-09-28T09:48:09 --delay 1 --endMP 204:233320 --enddatetime 2016-09-28T10:23:15 --enforcementcount 0 &gt;&gt;C:\Users\stu\Documents\GitHub\eaglep3-reporting\EC\2016-09-28-refined-times.txt</v>
      </c>
      <c r="AI61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{"issue":{"subject":"","project_id":79,"tracker_id":40,"status_id":1,"priority_id":2,"assigned_to_id":23,"start_date":"2016-09-28","description":"","custom_fields":[{"id":1,"name":"Subdivision","value":"EC"},{"id":4,"name":"Milepost","value":"23.332"},{"id":17,"name":"Train ID","value":"149-28"},{"id":16,"name":"Locomotive ID","value":"4014"},{"id":130,"name":"Impact","value":""},{"id":150,"name":"Time of Event (Mountain Time)","value":"10:23:15"},{"id":151,"name":"Denver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455</v>
      </c>
      <c r="B62" s="7">
        <v>4013</v>
      </c>
      <c r="C62" s="24" t="s">
        <v>106</v>
      </c>
      <c r="D62" s="24" t="s">
        <v>247</v>
      </c>
      <c r="E62" s="15">
        <v>42641.441307870373</v>
      </c>
      <c r="F62" s="15">
        <v>42641.4453125</v>
      </c>
      <c r="G62" s="7">
        <v>1</v>
      </c>
      <c r="H62" s="15" t="s">
        <v>265</v>
      </c>
      <c r="I62" s="15">
        <v>42641.47278935185</v>
      </c>
      <c r="J62" s="7">
        <v>0</v>
      </c>
      <c r="K62" s="117" t="str">
        <f t="shared" si="0"/>
        <v>4013/4014</v>
      </c>
      <c r="L62" s="24" t="str">
        <f>VLOOKUP(A62,'Trips&amp;Operators'!$C$1:$E$10000,3,FALSE)</f>
        <v>SPECTOR</v>
      </c>
      <c r="M62" s="6">
        <f t="shared" si="1"/>
        <v>2.7476851850224193E-2</v>
      </c>
      <c r="N62" s="7">
        <f t="shared" ref="N62:N93" si="24">24*60*SUM($M62:$M62)</f>
        <v>39.566666664322838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09:35:29-0600',mode:absolute,to:'2016-09-28 12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N</v>
      </c>
      <c r="X62" s="164">
        <f t="shared" si="23"/>
        <v>1</v>
      </c>
      <c r="Y62" s="69">
        <f t="shared" si="8"/>
        <v>23.3</v>
      </c>
      <c r="Z62" s="69">
        <f t="shared" si="9"/>
        <v>1.43E-2</v>
      </c>
      <c r="AA62" s="69">
        <f t="shared" si="10"/>
        <v>23.285700000000002</v>
      </c>
      <c r="AB62" s="66" t="str">
        <f>VLOOKUP(A62,Enforcements!$C$7:$K$21,8,0)</f>
        <v>Bulletin (2)</v>
      </c>
      <c r="AC62" s="62" t="str">
        <f>VLOOKUP(A62,Enforcements!$C$7:$E$21,3,0)</f>
        <v>GRADE CROSSING</v>
      </c>
      <c r="AD62" s="63" t="str">
        <f t="shared" si="11"/>
        <v>0150-28</v>
      </c>
      <c r="AE62" s="95" t="str">
        <f t="shared" si="12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62" s="92" t="str">
        <f t="shared" si="13"/>
        <v>"C:\Program Files (x86)\AstroGrep\AstroGrep.exe" /spath="%USERPROFILE%\AppData\Local\Temp\OnboardLogs" /stypes="app*4013*20160928*"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6" t="str">
        <f t="shared" si="17"/>
        <v>"%USERPROFILE%\Documents\GitHub\eaglep3\Utilities\RefineRTDCRunTimes.py" --tripid 150-28 --locoid 4013 --swversion DE.1.0.7.0 --startMP 204:233000 --initTime 2016-09-28T10:35:29 --startdatetime 2016-09-28T10:41:15 --delay 1 --endMP 204:143 --enddatetime 2016-09-28T11:20:49 --enforcementcount 0 &gt;&gt;C:\Users\stu\Documents\GitHub\eaglep3-reporting\EC\2016-09-28-refined-times.txt</v>
      </c>
      <c r="AI62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{"issue":{"subject":"","project_id":79,"tracker_id":40,"status_id":1,"priority_id":2,"assigned_to_id":23,"start_date":"2016-09-28","description":"","custom_fields":[{"id":1,"name":"Subdivision","value":"EC"},{"id":4,"name":"Milepost","value":"0.0143"},{"id":17,"name":"Train ID","value":"150-28"},{"id":16,"name":"Locomotive ID","value":"4013"},{"id":130,"name":"Impact","value":""},{"id":150,"name":"Time of Event (Mountain Time)","value":"11:20:49"},{"id":151,"name":"Denver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446</v>
      </c>
      <c r="B63" s="7">
        <v>4046</v>
      </c>
      <c r="C63" s="24" t="s">
        <v>106</v>
      </c>
      <c r="D63" s="24" t="s">
        <v>225</v>
      </c>
      <c r="E63" s="15">
        <v>42641.412465277775</v>
      </c>
      <c r="F63" s="15">
        <v>42641.416863425926</v>
      </c>
      <c r="G63" s="7">
        <v>1</v>
      </c>
      <c r="H63" s="15" t="s">
        <v>249</v>
      </c>
      <c r="I63" s="15">
        <v>42641.44226851852</v>
      </c>
      <c r="J63" s="7">
        <v>0</v>
      </c>
      <c r="K63" s="117" t="str">
        <f t="shared" si="0"/>
        <v>4045/4046</v>
      </c>
      <c r="L63" s="24" t="str">
        <f>VLOOKUP(A63,'Trips&amp;Operators'!$C$1:$E$10000,3,FALSE)</f>
        <v>KILLION</v>
      </c>
      <c r="M63" s="6">
        <f t="shared" si="1"/>
        <v>2.5405092594155576E-2</v>
      </c>
      <c r="N63" s="7">
        <f t="shared" si="24"/>
        <v>36.58333333558403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08:53:57-0600',mode:absolute,to:'2016-09-28 11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3" s="54" t="str">
        <f t="shared" si="6"/>
        <v>N</v>
      </c>
      <c r="X63" s="164">
        <f t="shared" si="23"/>
        <v>1</v>
      </c>
      <c r="Y63" s="69">
        <f t="shared" si="8"/>
        <v>4.5100000000000001E-2</v>
      </c>
      <c r="Z63" s="69">
        <f t="shared" si="9"/>
        <v>23.331199999999999</v>
      </c>
      <c r="AA63" s="69">
        <f t="shared" si="10"/>
        <v>23.286099999999998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0151-28</v>
      </c>
      <c r="AE63" s="95" t="str">
        <f t="shared" si="12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63" s="92" t="str">
        <f t="shared" si="13"/>
        <v>"C:\Program Files (x86)\AstroGrep\AstroGrep.exe" /spath="%USERPROFILE%\AppData\Local\Temp\OnboardLogs" /stypes="app*4046*20160928*"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6" t="str">
        <f t="shared" si="17"/>
        <v>"%USERPROFILE%\Documents\GitHub\eaglep3\Utilities\RefineRTDCRunTimes.py" --tripid 151-28 --locoid 4046 --swversion DE.1.0.7.0 --startMP 204:451 --initTime 2016-09-28T09:53:57 --startdatetime 2016-09-28T10:00:17 --delay 1 --endMP 204:233312 --enddatetime 2016-09-28T10:36:52 --enforcementcount 0 &gt;&gt;C:\Users\stu\Documents\GitHub\eaglep3-reporting\EC\2016-09-28-refined-times.txt</v>
      </c>
      <c r="AI63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{"issue":{"subject":"","project_id":79,"tracker_id":40,"status_id":1,"priority_id":2,"assigned_to_id":23,"start_date":"2016-09-28","description":"","custom_fields":[{"id":1,"name":"Subdivision","value":"EC"},{"id":4,"name":"Milepost","value":"23.3312"},{"id":17,"name":"Train ID","value":"151-28"},{"id":16,"name":"Locomotive ID","value":"4046"},{"id":130,"name":"Impact","value":""},{"id":150,"name":"Time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458</v>
      </c>
      <c r="B64" s="7">
        <v>4045</v>
      </c>
      <c r="C64" s="24" t="s">
        <v>106</v>
      </c>
      <c r="D64" s="24" t="s">
        <v>266</v>
      </c>
      <c r="E64" s="15">
        <v>42641.448321759257</v>
      </c>
      <c r="F64" s="15">
        <v>42641.455983796295</v>
      </c>
      <c r="G64" s="7">
        <v>1</v>
      </c>
      <c r="H64" s="15" t="s">
        <v>212</v>
      </c>
      <c r="I64" s="15">
        <v>42641.482986111114</v>
      </c>
      <c r="J64" s="7">
        <v>0</v>
      </c>
      <c r="K64" s="117" t="str">
        <f t="shared" si="0"/>
        <v>4045/4046</v>
      </c>
      <c r="L64" s="24" t="str">
        <f>VLOOKUP(A64,'Trips&amp;Operators'!$C$1:$E$10000,3,FALSE)</f>
        <v>KILLION</v>
      </c>
      <c r="M64" s="6">
        <f t="shared" si="1"/>
        <v>2.7002314818673767E-2</v>
      </c>
      <c r="N64" s="7">
        <f t="shared" si="24"/>
        <v>38.883333338890225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09:45:35-0600',mode:absolute,to:'2016-09-28 12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4" s="54" t="str">
        <f t="shared" si="6"/>
        <v>N</v>
      </c>
      <c r="X64" s="164">
        <f t="shared" si="23"/>
        <v>1</v>
      </c>
      <c r="Y64" s="69">
        <f t="shared" si="8"/>
        <v>23.297699999999999</v>
      </c>
      <c r="Z64" s="69">
        <f t="shared" si="9"/>
        <v>1.49E-2</v>
      </c>
      <c r="AA64" s="69">
        <f t="shared" si="10"/>
        <v>23.282799999999998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0152-28</v>
      </c>
      <c r="AE64" s="95" t="str">
        <f t="shared" si="12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64" s="92" t="str">
        <f t="shared" si="13"/>
        <v>"C:\Program Files (x86)\AstroGrep\AstroGrep.exe" /spath="%USERPROFILE%\AppData\Local\Temp\OnboardLogs" /stypes="app*4045*20160928*"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6" t="str">
        <f t="shared" si="17"/>
        <v>"%USERPROFILE%\Documents\GitHub\eaglep3\Utilities\RefineRTDCRunTimes.py" --tripid 152-28 --locoid 4045 --swversion DE.1.0.7.0 --startMP 204:232977 --initTime 2016-09-28T10:45:35 --startdatetime 2016-09-28T10:56:37 --delay 1 --endMP 204:149 --enddatetime 2016-09-28T11:35:30 --enforcementcount 0 &gt;&gt;C:\Users\stu\Documents\GitHub\eaglep3-reporting\EC\2016-09-28-refined-times.txt</v>
      </c>
      <c r="AI64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{"issue":{"subject":"","project_id":79,"tracker_id":40,"status_id":1,"priority_id":2,"assigned_to_id":23,"start_date":"2016-09-28","description":"","custom_fields":[{"id":1,"name":"Subdivision","value":"EC"},{"id":4,"name":"Milepost","value":"0.0149"},{"id":17,"name":"Train ID","value":"152-28"},{"id":16,"name":"Locomotive ID","value":"4045"},{"id":130,"name":"Impact","value":""},{"id":150,"name":"Time of Event (Mountain Time)","value":"11:35:30"},{"id":151,"name":"Denver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448</v>
      </c>
      <c r="B65" s="7">
        <v>4040</v>
      </c>
      <c r="C65" s="24" t="s">
        <v>106</v>
      </c>
      <c r="D65" s="24" t="s">
        <v>351</v>
      </c>
      <c r="E65" s="15">
        <v>42641.422175925924</v>
      </c>
      <c r="F65" s="15">
        <v>42641.427291666667</v>
      </c>
      <c r="G65" s="7">
        <v>1</v>
      </c>
      <c r="H65" s="15" t="s">
        <v>636</v>
      </c>
      <c r="I65" s="15">
        <v>42641.451388888891</v>
      </c>
      <c r="J65" s="7">
        <v>0</v>
      </c>
      <c r="K65" s="117" t="str">
        <f t="shared" si="0"/>
        <v>4039/4040</v>
      </c>
      <c r="L65" s="24" t="str">
        <f>VLOOKUP(A65,'Trips&amp;Operators'!$C$1:$E$10000,3,FALSE)</f>
        <v>ROCHA</v>
      </c>
      <c r="M65" s="6">
        <f t="shared" si="1"/>
        <v>2.4097222223645076E-2</v>
      </c>
      <c r="N65" s="7">
        <f t="shared" si="24"/>
        <v>34.70000000204891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09:07:56-0600',mode:absolute,to:'2016-09-28 11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5" s="54" t="str">
        <f t="shared" si="6"/>
        <v>N</v>
      </c>
      <c r="X65" s="164">
        <f t="shared" ref="X65:X96" si="25">VALUE(LEFT(AD65,4))-VALUE(LEFT(AD64,4))</f>
        <v>1</v>
      </c>
      <c r="Y65" s="69">
        <f t="shared" si="8"/>
        <v>4.3999999999999997E-2</v>
      </c>
      <c r="Z65" s="69">
        <f t="shared" si="9"/>
        <v>23.3276</v>
      </c>
      <c r="AA65" s="69">
        <f t="shared" si="10"/>
        <v>23.2836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0153-28</v>
      </c>
      <c r="AE65" s="95" t="str">
        <f t="shared" si="12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65" s="92" t="str">
        <f t="shared" si="13"/>
        <v>"C:\Program Files (x86)\AstroGrep\AstroGrep.exe" /spath="%USERPROFILE%\AppData\Local\Temp\OnboardLogs" /stypes="app*4040*20160928*"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6" t="str">
        <f t="shared" si="17"/>
        <v>"%USERPROFILE%\Documents\GitHub\eaglep3\Utilities\RefineRTDCRunTimes.py" --tripid 153-28 --locoid 4040 --swversion DE.1.0.7.0 --startMP 204:440 --initTime 2016-09-28T10:07:56 --startdatetime 2016-09-28T10:15:18 --delay 1 --endMP 204:233276 --enddatetime 2016-09-28T10:50:00 --enforcementcount 0 &gt;&gt;C:\Users\stu\Documents\GitHub\eaglep3-reporting\EC\2016-09-28-refined-times.txt</v>
      </c>
      <c r="AI65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{"issue":{"subject":"","project_id":79,"tracker_id":40,"status_id":1,"priority_id":2,"assigned_to_id":23,"start_date":"2016-09-28","description":"","custom_fields":[{"id":1,"name":"Subdivision","value":"EC"},{"id":4,"name":"Milepost","value":"23.3276"},{"id":17,"name":"Train ID","value":"153-28"},{"id":16,"name":"Locomotive ID","value":"4040"},{"id":130,"name":"Impact","value":""},{"id":150,"name":"Time of Event (Mountain Time)","value":"10:50:00"},{"id":151,"name":"Denver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461</v>
      </c>
      <c r="B66" s="7">
        <v>4039</v>
      </c>
      <c r="C66" s="24" t="s">
        <v>106</v>
      </c>
      <c r="D66" s="24" t="s">
        <v>637</v>
      </c>
      <c r="E66" s="15">
        <v>42641.463819444441</v>
      </c>
      <c r="F66" s="15">
        <v>42641.466273148151</v>
      </c>
      <c r="G66" s="7">
        <v>1</v>
      </c>
      <c r="H66" s="15" t="s">
        <v>248</v>
      </c>
      <c r="I66" s="15">
        <v>42641.493148148147</v>
      </c>
      <c r="J66" s="7">
        <v>0</v>
      </c>
      <c r="K66" s="117" t="str">
        <f t="shared" si="0"/>
        <v>4039/4040</v>
      </c>
      <c r="L66" s="24" t="str">
        <f>VLOOKUP(A66,'Trips&amp;Operators'!$C$1:$E$10000,3,FALSE)</f>
        <v>ROCHA</v>
      </c>
      <c r="M66" s="6">
        <f t="shared" si="1"/>
        <v>2.6874999995925464E-2</v>
      </c>
      <c r="N66" s="7">
        <f t="shared" si="24"/>
        <v>38.699999994132668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10:07:54-0600',mode:absolute,to:'2016-09-28 12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6" s="54" t="str">
        <f t="shared" si="6"/>
        <v>N</v>
      </c>
      <c r="X66" s="164">
        <f t="shared" si="25"/>
        <v>1</v>
      </c>
      <c r="Y66" s="69">
        <f t="shared" si="8"/>
        <v>23.297799999999999</v>
      </c>
      <c r="Z66" s="69">
        <f t="shared" si="9"/>
        <v>1.41E-2</v>
      </c>
      <c r="AA66" s="69">
        <f t="shared" si="10"/>
        <v>23.2837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0154-28</v>
      </c>
      <c r="AE66" s="95" t="str">
        <f t="shared" si="12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66" s="92" t="str">
        <f t="shared" si="13"/>
        <v>"C:\Program Files (x86)\AstroGrep\AstroGrep.exe" /spath="%USERPROFILE%\AppData\Local\Temp\OnboardLogs" /stypes="app*4039*20160928*"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6" t="str">
        <f t="shared" si="17"/>
        <v>"%USERPROFILE%\Documents\GitHub\eaglep3\Utilities\RefineRTDCRunTimes.py" --tripid 154-28 --locoid 4039 --swversion DE.1.0.7.0 --startMP 204:232978 --initTime 2016-09-28T11:07:54 --startdatetime 2016-09-28T11:11:26 --delay 1 --endMP 204:141 --enddatetime 2016-09-28T11:50:08 --enforcementcount 0 &gt;&gt;C:\Users\stu\Documents\GitHub\eaglep3-reporting\EC\2016-09-28-refined-times.txt</v>
      </c>
      <c r="AI66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{"issue":{"subject":"","project_id":79,"tracker_id":40,"status_id":1,"priority_id":2,"assigned_to_id":23,"start_date":"2016-09-28","description":"","custom_fields":[{"id":1,"name":"Subdivision","value":"EC"},{"id":4,"name":"Milepost","value":"0.0141"},{"id":17,"name":"Train ID","value":"154-28"},{"id":16,"name":"Locomotive ID","value":"4039"},{"id":130,"name":"Impact","value":""},{"id":150,"name":"Time of Event (Mountain Time)","value":"11:50:08"},{"id":151,"name":"Denver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452</v>
      </c>
      <c r="B67" s="7">
        <v>4002</v>
      </c>
      <c r="C67" s="24" t="s">
        <v>106</v>
      </c>
      <c r="D67" s="24" t="s">
        <v>215</v>
      </c>
      <c r="E67" s="15">
        <v>42641.433078703703</v>
      </c>
      <c r="F67" s="15">
        <v>42641.437685185185</v>
      </c>
      <c r="G67" s="7">
        <v>1</v>
      </c>
      <c r="H67" s="15" t="s">
        <v>616</v>
      </c>
      <c r="I67" s="15">
        <v>42641.462222222224</v>
      </c>
      <c r="J67" s="7">
        <v>0</v>
      </c>
      <c r="K67" s="117" t="str">
        <f t="shared" si="0"/>
        <v>4001/4002</v>
      </c>
      <c r="L67" s="24" t="str">
        <f>VLOOKUP(A67,'Trips&amp;Operators'!$C$1:$E$10000,3,FALSE)</f>
        <v>STARKS</v>
      </c>
      <c r="M67" s="6">
        <f t="shared" si="1"/>
        <v>2.453703703940846E-2</v>
      </c>
      <c r="N67" s="7">
        <f t="shared" si="24"/>
        <v>35.333333336748183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09:23:38-0600',mode:absolute,to:'2016-09-28 12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7" s="54" t="str">
        <f t="shared" si="6"/>
        <v>N</v>
      </c>
      <c r="X67" s="164">
        <f t="shared" si="25"/>
        <v>1</v>
      </c>
      <c r="Y67" s="69">
        <f t="shared" si="8"/>
        <v>4.7100000000000003E-2</v>
      </c>
      <c r="Z67" s="69">
        <f t="shared" si="9"/>
        <v>23.330400000000001</v>
      </c>
      <c r="AA67" s="69">
        <f t="shared" si="10"/>
        <v>23.283300000000001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0155-28</v>
      </c>
      <c r="AE67" s="95" t="str">
        <f t="shared" si="12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67" s="92" t="str">
        <f t="shared" si="13"/>
        <v>"C:\Program Files (x86)\AstroGrep\AstroGrep.exe" /spath="%USERPROFILE%\AppData\Local\Temp\OnboardLogs" /stypes="app*4002*20160928*"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6" t="str">
        <f t="shared" si="17"/>
        <v>"%USERPROFILE%\Documents\GitHub\eaglep3\Utilities\RefineRTDCRunTimes.py" --tripid 155-28 --locoid 4002 --swversion DE.1.0.7.0 --startMP 204:471 --initTime 2016-09-28T10:23:38 --startdatetime 2016-09-28T10:30:16 --delay 1 --endMP 204:233304 --enddatetime 2016-09-28T11:05:36 --enforcementcount 0 &gt;&gt;C:\Users\stu\Documents\GitHub\eaglep3-reporting\EC\2016-09-28-refined-times.txt</v>
      </c>
      <c r="AI67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{"issue":{"subject":"","project_id":79,"tracker_id":40,"status_id":1,"priority_id":2,"assigned_to_id":23,"start_date":"2016-09-28","description":"","custom_fields":[{"id":1,"name":"Subdivision","value":"EC"},{"id":4,"name":"Milepost","value":"23.3304"},{"id":17,"name":"Train ID","value":"155-28"},{"id":16,"name":"Locomotive ID","value":"4002"},{"id":130,"name":"Impact","value":""},{"id":150,"name":"Time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465</v>
      </c>
      <c r="B68" s="7">
        <v>4001</v>
      </c>
      <c r="C68" s="24" t="s">
        <v>106</v>
      </c>
      <c r="D68" s="24" t="s">
        <v>638</v>
      </c>
      <c r="E68" s="15">
        <v>42641.473414351851</v>
      </c>
      <c r="F68" s="15">
        <v>42641.476585648146</v>
      </c>
      <c r="G68" s="7">
        <v>1</v>
      </c>
      <c r="H68" s="15" t="s">
        <v>217</v>
      </c>
      <c r="I68" s="15">
        <v>42641.504525462966</v>
      </c>
      <c r="J68" s="7">
        <v>0</v>
      </c>
      <c r="K68" s="117" t="str">
        <f t="shared" si="0"/>
        <v>4001/4002</v>
      </c>
      <c r="L68" s="24" t="str">
        <f>VLOOKUP(A68,'Trips&amp;Operators'!$C$1:$E$10000,3,FALSE)</f>
        <v>STARKS</v>
      </c>
      <c r="M68" s="6">
        <f t="shared" si="1"/>
        <v>2.7939814819546882E-2</v>
      </c>
      <c r="N68" s="7">
        <f t="shared" si="24"/>
        <v>40.23333334014751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10:21:43-0600',mode:absolute,to:'2016-09-28 13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8" s="54" t="str">
        <f t="shared" si="6"/>
        <v>N</v>
      </c>
      <c r="X68" s="164">
        <f t="shared" si="25"/>
        <v>1</v>
      </c>
      <c r="Y68" s="69">
        <f t="shared" si="8"/>
        <v>23.296800000000001</v>
      </c>
      <c r="Z68" s="69">
        <f t="shared" si="9"/>
        <v>1.47E-2</v>
      </c>
      <c r="AA68" s="69">
        <f t="shared" si="10"/>
        <v>23.2821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0156-28</v>
      </c>
      <c r="AE68" s="95" t="str">
        <f t="shared" si="12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68" s="92" t="str">
        <f t="shared" si="13"/>
        <v>"C:\Program Files (x86)\AstroGrep\AstroGrep.exe" /spath="%USERPROFILE%\AppData\Local\Temp\OnboardLogs" /stypes="app*4001*20160928*"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6" t="str">
        <f t="shared" si="17"/>
        <v>"%USERPROFILE%\Documents\GitHub\eaglep3\Utilities\RefineRTDCRunTimes.py" --tripid 156-28 --locoid 4001 --swversion DE.1.0.7.0 --startMP 204:232968 --initTime 2016-09-28T11:21:43 --startdatetime 2016-09-28T11:26:17 --delay 1 --endMP 204:147 --enddatetime 2016-09-28T12:06:31 --enforcementcount 0 &gt;&gt;C:\Users\stu\Documents\GitHub\eaglep3-reporting\EC\2016-09-28-refined-times.txt</v>
      </c>
      <c r="AI68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{"issue":{"subject":"","project_id":79,"tracker_id":40,"status_id":1,"priority_id":2,"assigned_to_id":23,"start_date":"2016-09-28","description":"","custom_fields":[{"id":1,"name":"Subdivision","value":"EC"},{"id":4,"name":"Milepost","value":"0.0147"},{"id":17,"name":"Train ID","value":"156-28"},{"id":16,"name":"Locomotive ID","value":"4001"},{"id":130,"name":"Impact","value":""},{"id":150,"name":"Time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457</v>
      </c>
      <c r="B69" s="7">
        <v>4020</v>
      </c>
      <c r="C69" s="24" t="s">
        <v>106</v>
      </c>
      <c r="D69" s="24" t="s">
        <v>639</v>
      </c>
      <c r="E69" s="15">
        <v>42641.443009259259</v>
      </c>
      <c r="F69" s="15">
        <v>42641.449513888889</v>
      </c>
      <c r="G69" s="7">
        <v>1</v>
      </c>
      <c r="H69" s="15" t="s">
        <v>640</v>
      </c>
      <c r="I69" s="15">
        <v>42641.474583333336</v>
      </c>
      <c r="J69" s="7">
        <v>0</v>
      </c>
      <c r="K69" s="117" t="str">
        <f t="shared" si="0"/>
        <v>4019/4020</v>
      </c>
      <c r="L69" s="24" t="str">
        <f>VLOOKUP(A69,'Trips&amp;Operators'!$C$1:$E$10000,3,FALSE)</f>
        <v>SANTIZO</v>
      </c>
      <c r="M69" s="6">
        <f t="shared" si="1"/>
        <v>2.5069444447581191E-2</v>
      </c>
      <c r="N69" s="7">
        <f t="shared" si="24"/>
        <v>36.100000004516914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09:37:56-0600',mode:absolute,to:'2016-09-28 12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9" s="54" t="str">
        <f t="shared" si="6"/>
        <v>N</v>
      </c>
      <c r="X69" s="164">
        <f t="shared" si="25"/>
        <v>1</v>
      </c>
      <c r="Y69" s="69">
        <f t="shared" si="8"/>
        <v>6.4600000000000005E-2</v>
      </c>
      <c r="Z69" s="69">
        <f t="shared" si="9"/>
        <v>23.332799999999999</v>
      </c>
      <c r="AA69" s="69">
        <f t="shared" si="10"/>
        <v>23.2682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0157-28</v>
      </c>
      <c r="AE69" s="95" t="str">
        <f t="shared" si="12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69" s="92" t="str">
        <f t="shared" si="13"/>
        <v>"C:\Program Files (x86)\AstroGrep\AstroGrep.exe" /spath="%USERPROFILE%\AppData\Local\Temp\OnboardLogs" /stypes="app*4020*20160928*"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6" t="str">
        <f t="shared" si="17"/>
        <v>"%USERPROFILE%\Documents\GitHub\eaglep3\Utilities\RefineRTDCRunTimes.py" --tripid 157-28 --locoid 4020 --swversion DE.1.0.7.0 --startMP 204:646 --initTime 2016-09-28T10:37:56 --startdatetime 2016-09-28T10:47:18 --delay 1 --endMP 204:233328 --enddatetime 2016-09-28T11:23:24 --enforcementcount 0 &gt;&gt;C:\Users\stu\Documents\GitHub\eaglep3-reporting\EC\2016-09-28-refined-times.txt</v>
      </c>
      <c r="AI69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{"issue":{"subject":"","project_id":79,"tracker_id":40,"status_id":1,"priority_id":2,"assigned_to_id":23,"start_date":"2016-09-28","description":"","custom_fields":[{"id":1,"name":"Subdivision","value":"EC"},{"id":4,"name":"Milepost","value":"23.3328"},{"id":17,"name":"Train ID","value":"157-28"},{"id":16,"name":"Locomotive ID","value":"4020"},{"id":130,"name":"Impact","value":""},{"id":150,"name":"Time of Event (Mountain Time)","value":"11:23:24"},{"id":151,"name":"Denver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467</v>
      </c>
      <c r="B70" s="7">
        <v>4019</v>
      </c>
      <c r="C70" s="24" t="s">
        <v>106</v>
      </c>
      <c r="D70" s="24" t="s">
        <v>353</v>
      </c>
      <c r="E70" s="15">
        <v>42641.481666666667</v>
      </c>
      <c r="F70" s="15">
        <v>42641.487129629626</v>
      </c>
      <c r="G70" s="7">
        <v>1</v>
      </c>
      <c r="H70" s="15" t="s">
        <v>350</v>
      </c>
      <c r="I70" s="15">
        <v>42641.513206018521</v>
      </c>
      <c r="J70" s="7">
        <v>0</v>
      </c>
      <c r="K70" s="117" t="str">
        <f t="shared" si="0"/>
        <v>4019/4020</v>
      </c>
      <c r="L70" s="24" t="str">
        <f>VLOOKUP(A70,'Trips&amp;Operators'!$C$1:$E$10000,3,FALSE)</f>
        <v>SANTIZO</v>
      </c>
      <c r="M70" s="6">
        <f t="shared" si="1"/>
        <v>2.6076388894580305E-2</v>
      </c>
      <c r="N70" s="7">
        <f t="shared" si="24"/>
        <v>37.550000008195639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10:33:36-0600',mode:absolute,to:'2016-09-28 13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0" s="54" t="str">
        <f t="shared" si="6"/>
        <v>N</v>
      </c>
      <c r="X70" s="164">
        <f t="shared" si="25"/>
        <v>1</v>
      </c>
      <c r="Y70" s="69">
        <f t="shared" si="8"/>
        <v>23.3001</v>
      </c>
      <c r="Z70" s="69">
        <f t="shared" si="9"/>
        <v>1.29E-2</v>
      </c>
      <c r="AA70" s="69">
        <f t="shared" si="10"/>
        <v>23.287200000000002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0158-28</v>
      </c>
      <c r="AE70" s="95" t="str">
        <f t="shared" si="12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70" s="92" t="str">
        <f t="shared" si="13"/>
        <v>"C:\Program Files (x86)\AstroGrep\AstroGrep.exe" /spath="%USERPROFILE%\AppData\Local\Temp\OnboardLogs" /stypes="app*4019*20160928*"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6" t="str">
        <f t="shared" si="17"/>
        <v>"%USERPROFILE%\Documents\GitHub\eaglep3\Utilities\RefineRTDCRunTimes.py" --tripid 158-28 --locoid 4019 --swversion DE.1.0.7.0 --startMP 204:233001 --initTime 2016-09-28T11:33:36 --startdatetime 2016-09-28T11:41:28 --delay 1 --endMP 204:129 --enddatetime 2016-09-28T12:19:01 --enforcementcount 0 &gt;&gt;C:\Users\stu\Documents\GitHub\eaglep3-reporting\EC\2016-09-28-refined-times.txt</v>
      </c>
      <c r="AI70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{"issue":{"subject":"","project_id":79,"tracker_id":40,"status_id":1,"priority_id":2,"assigned_to_id":23,"start_date":"2016-09-28","description":"","custom_fields":[{"id":1,"name":"Subdivision","value":"EC"},{"id":4,"name":"Milepost","value":"0.0129"},{"id":17,"name":"Train ID","value":"158-28"},{"id":16,"name":"Locomotive ID","value":"4019"},{"id":130,"name":"Impact","value":""},{"id":150,"name":"Time of Event (Mountain Time)","value":"12:19:01"},{"id":151,"name":"Denver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459</v>
      </c>
      <c r="B71" s="7">
        <v>4007</v>
      </c>
      <c r="C71" s="24" t="s">
        <v>106</v>
      </c>
      <c r="D71" s="24" t="s">
        <v>218</v>
      </c>
      <c r="E71" s="15">
        <v>42641.454988425925</v>
      </c>
      <c r="F71" s="15">
        <v>42641.458773148152</v>
      </c>
      <c r="G71" s="7">
        <v>1</v>
      </c>
      <c r="H71" s="15" t="s">
        <v>641</v>
      </c>
      <c r="I71" s="15">
        <v>42641.485185185185</v>
      </c>
      <c r="J71" s="7">
        <v>0</v>
      </c>
      <c r="K71" s="117" t="str">
        <f t="shared" si="0"/>
        <v>4007/4008</v>
      </c>
      <c r="L71" s="24" t="str">
        <f>VLOOKUP(A71,'Trips&amp;Operators'!$C$1:$E$10000,3,FALSE)</f>
        <v>BONDS</v>
      </c>
      <c r="M71" s="6">
        <f t="shared" si="1"/>
        <v>2.6412037033878732E-2</v>
      </c>
      <c r="N71" s="7">
        <f t="shared" si="24"/>
        <v>38.033333328785375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09:55:11-0600',mode:absolute,to:'2016-09-28 12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71" s="54" t="str">
        <f t="shared" si="6"/>
        <v>N</v>
      </c>
      <c r="X71" s="164">
        <f t="shared" si="25"/>
        <v>1</v>
      </c>
      <c r="Y71" s="69">
        <f t="shared" si="8"/>
        <v>4.53E-2</v>
      </c>
      <c r="Z71" s="69">
        <f t="shared" si="9"/>
        <v>23.329799999999999</v>
      </c>
      <c r="AA71" s="69">
        <f t="shared" si="10"/>
        <v>23.284499999999998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0159-28</v>
      </c>
      <c r="AE71" s="95" t="str">
        <f t="shared" si="12"/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AF71" s="92" t="str">
        <f t="shared" si="13"/>
        <v>"C:\Program Files (x86)\AstroGrep\AstroGrep.exe" /spath="%USERPROFILE%\AppData\Local\Temp\OnboardLogs" /stypes="app*4007*20160928*"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6" t="str">
        <f t="shared" si="17"/>
        <v>"%USERPROFILE%\Documents\GitHub\eaglep3\Utilities\RefineRTDCRunTimes.py" --tripid 159-28 --locoid 4007 --swversion DE.1.0.7.0 --startMP 204:453 --initTime 2016-09-28T10:55:11 --startdatetime 2016-09-28T11:00:38 --delay 1 --endMP 204:233298 --enddatetime 2016-09-28T11:38:40 --enforcementcount 0 &gt;&gt;C:\Users\stu\Documents\GitHub\eaglep3-reporting\EC\2016-09-28-refined-times.txt</v>
      </c>
      <c r="AI71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{"issue":{"subject":"","project_id":79,"tracker_id":40,"status_id":1,"priority_id":2,"assigned_to_id":23,"start_date":"2016-09-28","description":"","custom_fields":[{"id":1,"name":"Subdivision","value":"EC"},{"id":4,"name":"Milepost","value":"23.3298"},{"id":17,"name":"Train ID","value":"159-28"},{"id":16,"name":"Locomotive ID","value":"4007"},{"id":130,"name":"Impact","value":""},{"id":150,"name":"Time of Event (Mountain Time)","value":"11:38:40"},{"id":151,"name":"Denver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470</v>
      </c>
      <c r="B72" s="7">
        <v>4008</v>
      </c>
      <c r="C72" s="24" t="s">
        <v>106</v>
      </c>
      <c r="D72" s="24" t="s">
        <v>303</v>
      </c>
      <c r="E72" s="15">
        <v>42641.489571759259</v>
      </c>
      <c r="F72" s="15">
        <v>42641.497430555559</v>
      </c>
      <c r="G72" s="7">
        <v>1</v>
      </c>
      <c r="H72" s="15" t="s">
        <v>265</v>
      </c>
      <c r="I72" s="15">
        <v>42641.524317129632</v>
      </c>
      <c r="J72" s="7">
        <v>0</v>
      </c>
      <c r="K72" s="117" t="str">
        <f t="shared" si="0"/>
        <v>4007/4008</v>
      </c>
      <c r="L72" s="24" t="str">
        <f>VLOOKUP(A72,'Trips&amp;Operators'!$C$1:$E$10000,3,FALSE)</f>
        <v>BONDS</v>
      </c>
      <c r="M72" s="6">
        <f t="shared" si="1"/>
        <v>2.6886574072705116E-2</v>
      </c>
      <c r="N72" s="7">
        <f t="shared" si="24"/>
        <v>38.716666664695367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10:44:59-0600',mode:absolute,to:'2016-09-28 13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72" s="54" t="str">
        <f t="shared" si="6"/>
        <v>N</v>
      </c>
      <c r="X72" s="164">
        <f t="shared" si="25"/>
        <v>1</v>
      </c>
      <c r="Y72" s="69">
        <f t="shared" si="8"/>
        <v>23.298100000000002</v>
      </c>
      <c r="Z72" s="69">
        <f t="shared" si="9"/>
        <v>1.43E-2</v>
      </c>
      <c r="AA72" s="69">
        <f t="shared" si="10"/>
        <v>23.283800000000003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0160-28</v>
      </c>
      <c r="AE72" s="95" t="str">
        <f t="shared" si="12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72" s="92" t="str">
        <f t="shared" si="13"/>
        <v>"C:\Program Files (x86)\AstroGrep\AstroGrep.exe" /spath="%USERPROFILE%\AppData\Local\Temp\OnboardLogs" /stypes="app*4008*20160928*"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6" t="str">
        <f t="shared" si="17"/>
        <v>"%USERPROFILE%\Documents\GitHub\eaglep3\Utilities\RefineRTDCRunTimes.py" --tripid 160-28 --locoid 4008 --swversion DE.1.0.7.0 --startMP 204:232981 --initTime 2016-09-28T11:44:59 --startdatetime 2016-09-28T11:56:18 --delay 1 --endMP 204:143 --enddatetime 2016-09-28T12:35:01 --enforcementcount 0 &gt;&gt;C:\Users\stu\Documents\GitHub\eaglep3-reporting\EC\2016-09-28-refined-times.txt</v>
      </c>
      <c r="AI72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{"issue":{"subject":"","project_id":79,"tracker_id":40,"status_id":1,"priority_id":2,"assigned_to_id":23,"start_date":"2016-09-28","description":"","custom_fields":[{"id":1,"name":"Subdivision","value":"EC"},{"id":4,"name":"Milepost","value":"0.0143"},{"id":17,"name":"Train ID","value":"160-28"},{"id":16,"name":"Locomotive ID","value":"4008"},{"id":130,"name":"Impact","value":""},{"id":150,"name":"Time of Event (Mountain Time)","value":"12:35:01"},{"id":151,"name":"Denver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462</v>
      </c>
      <c r="B73" s="7">
        <v>4018</v>
      </c>
      <c r="C73" s="24" t="s">
        <v>106</v>
      </c>
      <c r="D73" s="24" t="s">
        <v>642</v>
      </c>
      <c r="E73" s="15">
        <v>42641.464479166665</v>
      </c>
      <c r="F73" s="15">
        <v>42641.469074074077</v>
      </c>
      <c r="G73" s="7">
        <v>1</v>
      </c>
      <c r="H73" s="15" t="s">
        <v>643</v>
      </c>
      <c r="I73" s="15">
        <v>42641.49454861111</v>
      </c>
      <c r="J73" s="7">
        <v>0</v>
      </c>
      <c r="K73" s="117" t="str">
        <f t="shared" si="0"/>
        <v>4017/4018</v>
      </c>
      <c r="L73" s="24" t="str">
        <f>VLOOKUP(A73,'Trips&amp;Operators'!$C$1:$E$10000,3,FALSE)</f>
        <v>BARTLETT</v>
      </c>
      <c r="M73" s="6">
        <f t="shared" si="1"/>
        <v>2.5474537033005618E-2</v>
      </c>
      <c r="N73" s="7">
        <f t="shared" si="24"/>
        <v>36.683333327528089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10:08:51-0600',mode:absolute,to:'2016-09-28 12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3" s="54" t="str">
        <f t="shared" si="6"/>
        <v>N</v>
      </c>
      <c r="X73" s="164">
        <f t="shared" si="25"/>
        <v>1</v>
      </c>
      <c r="Y73" s="69">
        <f t="shared" si="8"/>
        <v>6.3700000000000007E-2</v>
      </c>
      <c r="Z73" s="69">
        <f t="shared" si="9"/>
        <v>23.335699999999999</v>
      </c>
      <c r="AA73" s="69">
        <f t="shared" si="10"/>
        <v>23.271999999999998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0161-28</v>
      </c>
      <c r="AE73" s="95" t="str">
        <f t="shared" si="12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73" s="92" t="str">
        <f t="shared" si="13"/>
        <v>"C:\Program Files (x86)\AstroGrep\AstroGrep.exe" /spath="%USERPROFILE%\AppData\Local\Temp\OnboardLogs" /stypes="app*4018*20160928*"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6" t="str">
        <f t="shared" si="17"/>
        <v>"%USERPROFILE%\Documents\GitHub\eaglep3\Utilities\RefineRTDCRunTimes.py" --tripid 161-28 --locoid 4018 --swversion DE.1.0.7.0 --startMP 204:637 --initTime 2016-09-28T11:08:51 --startdatetime 2016-09-28T11:15:28 --delay 1 --endMP 204:233357 --enddatetime 2016-09-28T11:52:09 --enforcementcount 0 &gt;&gt;C:\Users\stu\Documents\GitHub\eaglep3-reporting\EC\2016-09-28-refined-times.txt</v>
      </c>
      <c r="AI73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{"issue":{"subject":"","project_id":79,"tracker_id":40,"status_id":1,"priority_id":2,"assigned_to_id":23,"start_date":"2016-09-28","description":"","custom_fields":[{"id":1,"name":"Subdivision","value":"EC"},{"id":4,"name":"Milepost","value":"23.3357"},{"id":17,"name":"Train ID","value":"161-28"},{"id":16,"name":"Locomotive ID","value":"4018"},{"id":130,"name":"Impact","value":""},{"id":150,"name":"Time of Event (Mountain Time)","value":"11:52:09"},{"id":151,"name":"Denver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472</v>
      </c>
      <c r="B74" s="7">
        <v>4017</v>
      </c>
      <c r="C74" s="24" t="s">
        <v>106</v>
      </c>
      <c r="D74" s="24" t="s">
        <v>620</v>
      </c>
      <c r="E74" s="15">
        <v>42641.497314814813</v>
      </c>
      <c r="F74" s="15">
        <v>42641.507847222223</v>
      </c>
      <c r="G74" s="7">
        <v>1</v>
      </c>
      <c r="H74" s="15" t="s">
        <v>213</v>
      </c>
      <c r="I74" s="15">
        <v>42641.535011574073</v>
      </c>
      <c r="J74" s="7">
        <v>0</v>
      </c>
      <c r="K74" s="117" t="str">
        <f t="shared" si="0"/>
        <v>4017/4018</v>
      </c>
      <c r="L74" s="24" t="str">
        <f>VLOOKUP(A74,'Trips&amp;Operators'!$C$1:$E$10000,3,FALSE)</f>
        <v>BARTLETT</v>
      </c>
      <c r="M74" s="6">
        <f t="shared" si="1"/>
        <v>2.7164351849933155E-2</v>
      </c>
      <c r="N74" s="7">
        <f t="shared" si="24"/>
        <v>39.116666663903743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10:56:08-0600',mode:absolute,to:'2016-09-28 13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4" s="54" t="str">
        <f t="shared" si="6"/>
        <v>N</v>
      </c>
      <c r="X74" s="164">
        <f t="shared" si="25"/>
        <v>1</v>
      </c>
      <c r="Y74" s="69">
        <f t="shared" si="8"/>
        <v>23.299199999999999</v>
      </c>
      <c r="Z74" s="69">
        <f t="shared" si="9"/>
        <v>1.6E-2</v>
      </c>
      <c r="AA74" s="69">
        <f t="shared" si="10"/>
        <v>23.283200000000001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0162-28</v>
      </c>
      <c r="AE74" s="95" t="str">
        <f t="shared" si="12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74" s="92" t="str">
        <f t="shared" si="13"/>
        <v>"C:\Program Files (x86)\AstroGrep\AstroGrep.exe" /spath="%USERPROFILE%\AppData\Local\Temp\OnboardLogs" /stypes="app*4017*20160928*"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6" t="str">
        <f t="shared" si="17"/>
        <v>"%USERPROFILE%\Documents\GitHub\eaglep3\Utilities\RefineRTDCRunTimes.py" --tripid 162-28 --locoid 4017 --swversion DE.1.0.7.0 --startMP 204:232992 --initTime 2016-09-28T11:56:08 --startdatetime 2016-09-28T12:11:18 --delay 1 --endMP 204:160 --enddatetime 2016-09-28T12:50:25 --enforcementcount 0 &gt;&gt;C:\Users\stu\Documents\GitHub\eaglep3-reporting\EC\2016-09-28-refined-times.txt</v>
      </c>
      <c r="AI74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{"issue":{"subject":"","project_id":79,"tracker_id":40,"status_id":1,"priority_id":2,"assigned_to_id":23,"start_date":"2016-09-28","description":"","custom_fields":[{"id":1,"name":"Subdivision","value":"EC"},{"id":4,"name":"Milepost","value":"0.016"},{"id":17,"name":"Train ID","value":"162-28"},{"id":16,"name":"Locomotive ID","value":"4017"},{"id":130,"name":"Impact","value":""},{"id":150,"name":"Time of Event (Mountain Time)","value":"12:50:25"},{"id":151,"name":"Denver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466</v>
      </c>
      <c r="B75" s="7">
        <v>4014</v>
      </c>
      <c r="C75" s="24" t="s">
        <v>106</v>
      </c>
      <c r="D75" s="24" t="s">
        <v>227</v>
      </c>
      <c r="E75" s="15">
        <v>42641.474537037036</v>
      </c>
      <c r="F75" s="15">
        <v>42641.479560185187</v>
      </c>
      <c r="G75" s="7">
        <v>7</v>
      </c>
      <c r="H75" s="15" t="s">
        <v>238</v>
      </c>
      <c r="I75" s="15">
        <v>42641.507337962961</v>
      </c>
      <c r="J75" s="7">
        <v>0</v>
      </c>
      <c r="K75" s="117" t="str">
        <f t="shared" si="0"/>
        <v>4013/4014</v>
      </c>
      <c r="L75" s="24" t="str">
        <f>VLOOKUP(A75,'Trips&amp;Operators'!$C$1:$E$10000,3,FALSE)</f>
        <v>HELVIE</v>
      </c>
      <c r="M75" s="6">
        <f t="shared" si="1"/>
        <v>2.7777777773735579E-2</v>
      </c>
      <c r="N75" s="7">
        <f t="shared" si="24"/>
        <v>39.999999994179234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10:23:20-0600',mode:absolute,to:'2016-09-28 13:10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5" s="54" t="str">
        <f t="shared" si="6"/>
        <v>N</v>
      </c>
      <c r="X75" s="164">
        <f t="shared" si="25"/>
        <v>1</v>
      </c>
      <c r="Y75" s="69">
        <f t="shared" si="8"/>
        <v>4.58E-2</v>
      </c>
      <c r="Z75" s="69">
        <f t="shared" si="9"/>
        <v>23.329699999999999</v>
      </c>
      <c r="AA75" s="69">
        <f t="shared" si="10"/>
        <v>23.283899999999999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0163-28</v>
      </c>
      <c r="AE75" s="95" t="str">
        <f t="shared" si="12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75" s="92" t="str">
        <f t="shared" si="13"/>
        <v>"C:\Program Files (x86)\AstroGrep\AstroGrep.exe" /spath="%USERPROFILE%\AppData\Local\Temp\OnboardLogs" /stypes="app*4014*20160928*"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6" t="str">
        <f t="shared" si="17"/>
        <v>"%USERPROFILE%\Documents\GitHub\eaglep3\Utilities\RefineRTDCRunTimes.py" --tripid 163-28 --locoid 4014 --swversion DE.1.0.7.0 --startMP 204:458 --initTime 2016-09-28T11:23:20 --startdatetime 2016-09-28T11:30:34 --delay 7 --endMP 204:233297 --enddatetime 2016-09-28T12:10:34 --enforcementcount 0 &gt;&gt;C:\Users\stu\Documents\GitHub\eaglep3-reporting\EC\2016-09-28-refined-times.txt</v>
      </c>
      <c r="AI75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{"issue":{"subject":"","project_id":79,"tracker_id":40,"status_id":1,"priority_id":2,"assigned_to_id":23,"start_date":"2016-09-28","description":"","custom_fields":[{"id":1,"name":"Subdivision","value":"EC"},{"id":4,"name":"Milepost","value":"23.3297"},{"id":17,"name":"Train ID","value":"163-28"},{"id":16,"name":"Locomotive ID","value":"4014"},{"id":130,"name":"Impact","value":""},{"id":150,"name":"Time of Event (Mountain Time)","value":"12:10:34"},{"id":151,"name":"Denver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475</v>
      </c>
      <c r="B76" s="7">
        <v>4013</v>
      </c>
      <c r="C76" s="24" t="s">
        <v>106</v>
      </c>
      <c r="D76" s="24" t="s">
        <v>278</v>
      </c>
      <c r="E76" s="15">
        <v>42641.515173611115</v>
      </c>
      <c r="F76" s="15">
        <v>42641.518217592595</v>
      </c>
      <c r="G76" s="7">
        <v>1</v>
      </c>
      <c r="H76" s="15" t="s">
        <v>307</v>
      </c>
      <c r="I76" s="15">
        <v>42641.547719907408</v>
      </c>
      <c r="J76" s="7">
        <v>0</v>
      </c>
      <c r="K76" s="117" t="str">
        <f t="shared" si="0"/>
        <v>4013/4014</v>
      </c>
      <c r="L76" s="24" t="str">
        <f>VLOOKUP(A76,'Trips&amp;Operators'!$C$1:$E$10000,3,FALSE)</f>
        <v>HELVIE</v>
      </c>
      <c r="M76" s="6">
        <f t="shared" si="1"/>
        <v>2.9502314813726116E-2</v>
      </c>
      <c r="N76" s="7">
        <f t="shared" si="24"/>
        <v>42.483333331765607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https://search-rtdc-monitor-bjffxe2xuh6vdkpspy63sjmuny.us-east-1.es.amazonaws.com/_plugin/kibana/#/discover/Steve-Slow-Train-Analysis-(2080s-and-2083s)?_g=(refreshInterval:(display:Off,section:0,value:0),time:(from:'2016-09-28 11:21:51-0600',mode:absolute,to:'2016-09-28 14:08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6" s="54" t="str">
        <f t="shared" si="6"/>
        <v>N</v>
      </c>
      <c r="X76" s="164">
        <f t="shared" si="25"/>
        <v>1</v>
      </c>
      <c r="Y76" s="69">
        <f t="shared" si="8"/>
        <v>23.297899999999998</v>
      </c>
      <c r="Z76" s="69">
        <f t="shared" si="9"/>
        <v>1.72E-2</v>
      </c>
      <c r="AA76" s="69">
        <f t="shared" si="10"/>
        <v>23.2807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0164-28</v>
      </c>
      <c r="AE76" s="95" t="str">
        <f t="shared" si="12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76" s="92" t="str">
        <f t="shared" si="13"/>
        <v>"C:\Program Files (x86)\AstroGrep\AstroGrep.exe" /spath="%USERPROFILE%\AppData\Local\Temp\OnboardLogs" /stypes="app*4013*20160928*"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6" t="str">
        <f t="shared" si="17"/>
        <v>"%USERPROFILE%\Documents\GitHub\eaglep3\Utilities\RefineRTDCRunTimes.py" --tripid 164-28 --locoid 4013 --swversion DE.1.0.7.0 --startMP 204:232979 --initTime 2016-09-28T12:21:51 --startdatetime 2016-09-28T12:26:14 --delay 1 --endMP 204:172 --enddatetime 2016-09-28T13:08:43 --enforcementcount 0 &gt;&gt;C:\Users\stu\Documents\GitHub\eaglep3-reporting\EC\2016-09-28-refined-times.txt</v>
      </c>
      <c r="AI76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{"issue":{"subject":"","project_id":79,"tracker_id":40,"status_id":1,"priority_id":2,"assigned_to_id":23,"start_date":"2016-09-28","description":"","custom_fields":[{"id":1,"name":"Subdivision","value":"EC"},{"id":4,"name":"Milepost","value":"0.0172"},{"id":17,"name":"Train ID","value":"164-28"},{"id":16,"name":"Locomotive ID","value":"4013"},{"id":130,"name":"Impact","value":""},{"id":150,"name":"Time of Event (Mountain Time)","value":"13:08:43"},{"id":151,"name":"Denver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469</v>
      </c>
      <c r="B77" s="7">
        <v>4046</v>
      </c>
      <c r="C77" s="24" t="s">
        <v>106</v>
      </c>
      <c r="D77" s="24" t="s">
        <v>351</v>
      </c>
      <c r="E77" s="15">
        <v>42641.485208333332</v>
      </c>
      <c r="F77" s="15">
        <v>42641.489895833336</v>
      </c>
      <c r="G77" s="7">
        <v>1</v>
      </c>
      <c r="H77" s="15" t="s">
        <v>334</v>
      </c>
      <c r="I77" s="15">
        <v>42641.514432870368</v>
      </c>
      <c r="J77" s="7">
        <v>0</v>
      </c>
      <c r="K77" s="117" t="str">
        <f t="shared" ref="K77:K140" si="26">IF(ISEVEN(B77),(B77-1)&amp;"/"&amp;B77,B77&amp;"/"&amp;(B77+1))</f>
        <v>4045/4046</v>
      </c>
      <c r="L77" s="24" t="str">
        <f>VLOOKUP(A77,'Trips&amp;Operators'!$C$1:$E$10000,3,FALSE)</f>
        <v>HILLS</v>
      </c>
      <c r="M77" s="6">
        <f t="shared" ref="M77:M140" si="27">I77-F77</f>
        <v>2.4537037032132503E-2</v>
      </c>
      <c r="N77" s="7">
        <f t="shared" si="24"/>
        <v>35.333333326270804</v>
      </c>
      <c r="O77" s="7"/>
      <c r="P77" s="7"/>
      <c r="Q77" s="25"/>
      <c r="R77" s="25"/>
      <c r="S77" s="37">
        <f t="shared" ref="S77:S140" si="28">SUM(U77:U77)/IF(AG77="EC",12,1)</f>
        <v>1</v>
      </c>
      <c r="T77" s="52" t="str">
        <f t="shared" ref="T77:T140" si="29">IF(ISEVEN(LEFT(AD77,4)),"Southbound","NorthBound")</f>
        <v>NorthBound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https://search-rtdc-monitor-bjffxe2xuh6vdkpspy63sjmuny.us-east-1.es.amazonaws.com/_plugin/kibana/#/discover/Steve-Slow-Train-Analysis-(2080s-and-2083s)?_g=(refreshInterval:(display:Off,section:0,value:0),time:(from:'2016-09-28 10:38:42-0600',mode:absolute,to:'2016-09-28 13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7" s="54" t="str">
        <f t="shared" ref="W77:W140" si="31">IF(AA77&lt;IF(AG77="EC",23,5.65),"Y","N")</f>
        <v>N</v>
      </c>
      <c r="X77" s="164">
        <f t="shared" si="25"/>
        <v>1</v>
      </c>
      <c r="Y77" s="69">
        <f t="shared" ref="Y77:Y140" si="32">RIGHT(D77,LEN(D77)-4)/10000</f>
        <v>4.3999999999999997E-2</v>
      </c>
      <c r="Z77" s="69">
        <f t="shared" ref="Z77:Z140" si="33">RIGHT(H77,LEN(H77)-4)/10000</f>
        <v>23.328800000000001</v>
      </c>
      <c r="AA77" s="69">
        <f t="shared" ref="AA77:AA140" si="34">ABS(Z77-Y77)</f>
        <v>23.284800000000001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5">IF(LEN(A77)=6,"0"&amp;A77,A77)</f>
        <v>0165-28</v>
      </c>
      <c r="AE77" s="9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77" s="92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/stypes="app*4046*20160928*" /stext=" 18:.+((SYSTEM_STATE.+slice.+state.+changed )|(ment ac)|(system.+state.+changed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96" t="str">
        <f t="shared" si="17"/>
        <v>"%USERPROFILE%\Documents\GitHub\eaglep3\Utilities\RefineRTDCRunTimes.py" --tripid 165-28 --locoid 4046 --swversion DE.1.0.7.0 --startMP 204:440 --initTime 2016-09-28T11:38:42 --startdatetime 2016-09-28T11:45:27 --delay 1 --endMP 204:233288 --enddatetime 2016-09-28T12:20:47 --enforcementcount 0 &gt;&gt;C:\Users\stu\Documents\GitHub\eaglep3-reporting\EC\2016-09-28-refined-times.txt</v>
      </c>
      <c r="AI77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{"issue":{"subject":"","project_id":79,"tracker_id":40,"status_id":1,"priority_id":2,"assigned_to_id":23,"start_date":"2016-09-28","description":"","custom_fields":[{"id":1,"name":"Subdivision","value":"EC"},{"id":4,"name":"Milepost","value":"23.3288"},{"id":17,"name":"Train ID","value":"165-28"},{"id":16,"name":"Locomotive ID","value":"4046"},{"id":130,"name":"Impact","value":""},{"id":150,"name":"Time of Event (Mountain Time)","value":"12:20:47"},{"id":151,"name":"Denver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477</v>
      </c>
      <c r="B78" s="7">
        <v>4045</v>
      </c>
      <c r="C78" s="24" t="s">
        <v>106</v>
      </c>
      <c r="D78" s="24" t="s">
        <v>348</v>
      </c>
      <c r="E78" s="15">
        <v>42641.517199074071</v>
      </c>
      <c r="F78" s="15">
        <v>42641.528668981482</v>
      </c>
      <c r="G78" s="7">
        <v>1</v>
      </c>
      <c r="H78" s="15" t="s">
        <v>350</v>
      </c>
      <c r="I78" s="15">
        <v>42641.555405092593</v>
      </c>
      <c r="J78" s="7">
        <v>0</v>
      </c>
      <c r="K78" s="117" t="str">
        <f t="shared" si="26"/>
        <v>4045/4046</v>
      </c>
      <c r="L78" s="24" t="str">
        <f>VLOOKUP(A78,'Trips&amp;Operators'!$C$1:$E$10000,3,FALSE)</f>
        <v>HILLS</v>
      </c>
      <c r="M78" s="6">
        <f t="shared" si="27"/>
        <v>2.6736111110949423E-2</v>
      </c>
      <c r="N78" s="7">
        <f t="shared" si="24"/>
        <v>38.499999999767169</v>
      </c>
      <c r="O78" s="7"/>
      <c r="P78" s="7"/>
      <c r="Q78" s="25"/>
      <c r="R78" s="25"/>
      <c r="S78" s="37">
        <f t="shared" si="28"/>
        <v>1</v>
      </c>
      <c r="T78" s="52" t="str">
        <f t="shared" si="29"/>
        <v>Southbound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11:24:46-0600',mode:absolute,to:'2016-09-28 14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8" s="54" t="str">
        <f t="shared" si="31"/>
        <v>N</v>
      </c>
      <c r="X78" s="164">
        <f t="shared" si="25"/>
        <v>1</v>
      </c>
      <c r="Y78" s="69">
        <f t="shared" si="32"/>
        <v>23.296299999999999</v>
      </c>
      <c r="Z78" s="69">
        <f t="shared" si="33"/>
        <v>1.29E-2</v>
      </c>
      <c r="AA78" s="69">
        <f t="shared" si="34"/>
        <v>23.2834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5"/>
        <v>0166-28</v>
      </c>
      <c r="AE78" s="95" t="str">
        <f t="shared" si="36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78" s="92" t="str">
        <f t="shared" si="37"/>
        <v>"C:\Program Files (x86)\AstroGrep\AstroGrep.exe" /spath="%USERPROFILE%\AppData\Local\Temp\OnboardLogs" /stypes="app*4045*20160928*" /stext=" 19:.+((SYSTEM_STATE.+slice.+state.+changed )|(ment ac)|(system.+state.+changed )|(\[timeout)|(PRM\|1\|D)|(kpr)|(kdp)|(\|lc)|(penalty))" /e /r /s</v>
      </c>
      <c r="AG78" s="1" t="str">
        <f t="shared" si="38"/>
        <v>EC</v>
      </c>
      <c r="AH78" s="96" t="str">
        <f t="shared" si="17"/>
        <v>"%USERPROFILE%\Documents\GitHub\eaglep3\Utilities\RefineRTDCRunTimes.py" --tripid 166-28 --locoid 4045 --swversion DE.1.0.7.0 --startMP 204:232963 --initTime 2016-09-28T12:24:46 --startdatetime 2016-09-28T12:41:17 --delay 1 --endMP 204:129 --enddatetime 2016-09-28T13:19:47 --enforcementcount 0 &gt;&gt;C:\Users\stu\Documents\GitHub\eaglep3-reporting\EC\2016-09-28-refined-times.txt</v>
      </c>
      <c r="AI78" s="130" t="str">
        <f t="shared" si="18"/>
        <v>echo {"issue":{"subject":"","project_id":79,"tracker_id":40,"status_id":1,"priority_id":2,"assigned_to_id":23,"start_date":"2016-09-28","description":"","custom_fields":[{"id":1,"name":"Subdivision","value":"EC"},{"id":4,"name":"Milepost","value":"0.0129"},{"id":17,"name":"Train ID","value":"166-28"},{"id":16,"name":"Locomotive ID","value":"4045"},{"id":130,"name":"Impact","value":""},{"id":150,"name":"Time of Event (Mountain Time)","value":"13:19:47"},{"id":151,"name":"Denver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471</v>
      </c>
      <c r="B79" s="7">
        <v>4040</v>
      </c>
      <c r="C79" s="24" t="s">
        <v>106</v>
      </c>
      <c r="D79" s="24" t="s">
        <v>261</v>
      </c>
      <c r="E79" s="15">
        <v>42641.496203703704</v>
      </c>
      <c r="F79" s="15">
        <v>42641.500185185185</v>
      </c>
      <c r="G79" s="7">
        <v>1</v>
      </c>
      <c r="H79" s="15" t="s">
        <v>641</v>
      </c>
      <c r="I79" s="15">
        <v>42641.528148148151</v>
      </c>
      <c r="J79" s="7">
        <v>0</v>
      </c>
      <c r="K79" s="117" t="str">
        <f t="shared" si="26"/>
        <v>4039/4040</v>
      </c>
      <c r="L79" s="24" t="str">
        <f>VLOOKUP(A79,'Trips&amp;Operators'!$C$1:$E$10000,3,FALSE)</f>
        <v>YOUNG</v>
      </c>
      <c r="M79" s="6">
        <f t="shared" si="27"/>
        <v>2.7962962965830229E-2</v>
      </c>
      <c r="N79" s="7">
        <f t="shared" si="24"/>
        <v>40.26666667079553</v>
      </c>
      <c r="O79" s="7"/>
      <c r="P79" s="7"/>
      <c r="Q79" s="25"/>
      <c r="R79" s="25"/>
      <c r="S79" s="37">
        <f t="shared" si="28"/>
        <v>1</v>
      </c>
      <c r="T79" s="52" t="str">
        <f t="shared" si="29"/>
        <v>NorthBound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10:54:32-0600',mode:absolute,to:'2016-09-28 13:40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9" s="54" t="str">
        <f t="shared" si="31"/>
        <v>N</v>
      </c>
      <c r="X79" s="164">
        <f t="shared" si="25"/>
        <v>1</v>
      </c>
      <c r="Y79" s="69">
        <f t="shared" si="32"/>
        <v>4.6399999999999997E-2</v>
      </c>
      <c r="Z79" s="69">
        <f t="shared" si="33"/>
        <v>23.329799999999999</v>
      </c>
      <c r="AA79" s="69">
        <f t="shared" si="34"/>
        <v>23.2834</v>
      </c>
      <c r="AB79" s="66" t="str">
        <f>VLOOKUP(A79,Enforcements!$C$7:$K$21,8,0)</f>
        <v>Speed (6)</v>
      </c>
      <c r="AC79" s="62" t="str">
        <f>VLOOKUP(A79,Enforcements!$C$7:$E$21,3,0)</f>
        <v>PERMANENT SPEED RESTRICTION</v>
      </c>
      <c r="AD79" s="63" t="str">
        <f t="shared" si="35"/>
        <v>0167-28</v>
      </c>
      <c r="AE79" s="95" t="str">
        <f t="shared" si="36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79" s="92" t="str">
        <f t="shared" si="37"/>
        <v>"C:\Program Files (x86)\AstroGrep\AstroGrep.exe" /spath="%USERPROFILE%\AppData\Local\Temp\OnboardLogs" /stypes="app*4040*20160928*" /stext=" 18:.+((SYSTEM_STATE.+slice.+state.+changed )|(ment ac)|(system.+state.+changed )|(\[timeout)|(PRM\|1\|D)|(kpr)|(kdp)|(\|lc)|(penalty))" /e /r /s</v>
      </c>
      <c r="AG79" s="1" t="str">
        <f t="shared" si="38"/>
        <v>EC</v>
      </c>
      <c r="AH79" s="96" t="str">
        <f t="shared" ref="AH79:AH141" si="3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167-28 --locoid 4040 --swversion DE.1.0.7.0 --startMP 204:464 --initTime 2016-09-28T11:54:32 --startdatetime 2016-09-28T12:00:16 --delay 1 --endMP 204:233298 --enddatetime 2016-09-28T12:40:32 --enforcementcount 0 &gt;&gt;C:\Users\stu\Documents\GitHub\eaglep3-reporting\EC\2016-09-28-refined-times.txt</v>
      </c>
      <c r="AI79" s="130" t="str">
        <f t="shared" ref="AI79:AI141" si="4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{"issue":{"subject":"","project_id":79,"tracker_id":40,"status_id":1,"priority_id":2,"assigned_to_id":23,"start_date":"2016-09-28","description":"","custom_fields":[{"id":1,"name":"Subdivision","value":"EC"},{"id":4,"name":"Milepost","value":"23.3298"},{"id":17,"name":"Train ID","value":"167-28"},{"id":16,"name":"Locomotive ID","value":"4040"},{"id":130,"name":"Impact","value":""},{"id":150,"name":"Time of Event (Mountain Time)","value":"12:40:32"},{"id":151,"name":"Denver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480</v>
      </c>
      <c r="B80" s="7">
        <v>4039</v>
      </c>
      <c r="C80" s="24" t="s">
        <v>106</v>
      </c>
      <c r="D80" s="24" t="s">
        <v>344</v>
      </c>
      <c r="E80" s="15">
        <v>42641.529930555553</v>
      </c>
      <c r="F80" s="15">
        <v>42641.539259259262</v>
      </c>
      <c r="G80" s="7">
        <v>1</v>
      </c>
      <c r="H80" s="15" t="s">
        <v>305</v>
      </c>
      <c r="I80" s="15">
        <v>42641.567812499998</v>
      </c>
      <c r="J80" s="7">
        <v>0</v>
      </c>
      <c r="K80" s="117" t="str">
        <f t="shared" si="26"/>
        <v>4039/4040</v>
      </c>
      <c r="L80" s="24" t="str">
        <f>VLOOKUP(A80,'Trips&amp;Operators'!$C$1:$E$10000,3,FALSE)</f>
        <v>YOUNG</v>
      </c>
      <c r="M80" s="6">
        <f t="shared" si="27"/>
        <v>2.8553240736073349E-2</v>
      </c>
      <c r="N80" s="7">
        <f t="shared" si="24"/>
        <v>41.116666659945622</v>
      </c>
      <c r="O80" s="7"/>
      <c r="P80" s="7"/>
      <c r="Q80" s="25"/>
      <c r="R80" s="25"/>
      <c r="S80" s="37">
        <f t="shared" si="28"/>
        <v>1</v>
      </c>
      <c r="T80" s="52" t="str">
        <f t="shared" si="29"/>
        <v>Southbound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11:43:06-0600',mode:absolute,to:'2016-09-28 14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80" s="54" t="str">
        <f t="shared" si="31"/>
        <v>N</v>
      </c>
      <c r="X80" s="164">
        <f t="shared" si="25"/>
        <v>1</v>
      </c>
      <c r="Y80" s="69">
        <f t="shared" si="32"/>
        <v>23.2974</v>
      </c>
      <c r="Z80" s="69">
        <f t="shared" si="33"/>
        <v>1.67E-2</v>
      </c>
      <c r="AA80" s="69">
        <f t="shared" si="34"/>
        <v>23.2807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5"/>
        <v>0168-28</v>
      </c>
      <c r="AE80" s="95" t="str">
        <f t="shared" si="36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80" s="92" t="str">
        <f t="shared" si="37"/>
        <v>"C:\Program Files (x86)\AstroGrep\AstroGrep.exe" /spath="%USERPROFILE%\AppData\Local\Temp\OnboardLogs" /stypes="app*4039*20160928*" /stext=" 19:.+((SYSTEM_STATE.+slice.+state.+changed )|(ment ac)|(system.+state.+changed )|(\[timeout)|(PRM\|1\|D)|(kpr)|(kdp)|(\|lc)|(penalty))" /e /r /s</v>
      </c>
      <c r="AG80" s="1" t="str">
        <f t="shared" si="38"/>
        <v>EC</v>
      </c>
      <c r="AH80" s="96" t="str">
        <f t="shared" si="39"/>
        <v>"%USERPROFILE%\Documents\GitHub\eaglep3\Utilities\RefineRTDCRunTimes.py" --tripid 168-28 --locoid 4039 --swversion DE.1.0.7.0 --startMP 204:232974 --initTime 2016-09-28T12:43:06 --startdatetime 2016-09-28T12:56:32 --delay 1 --endMP 204:167 --enddatetime 2016-09-28T13:37:39 --enforcementcount 0 &gt;&gt;C:\Users\stu\Documents\GitHub\eaglep3-reporting\EC\2016-09-28-refined-times.txt</v>
      </c>
      <c r="AI80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{"issue":{"subject":"","project_id":79,"tracker_id":40,"status_id":1,"priority_id":2,"assigned_to_id":23,"start_date":"2016-09-28","description":"","custom_fields":[{"id":1,"name":"Subdivision","value":"EC"},{"id":4,"name":"Milepost","value":"0.0167"},{"id":17,"name":"Train ID","value":"168-28"},{"id":16,"name":"Locomotive ID","value":"4039"},{"id":130,"name":"Impact","value":""},{"id":150,"name":"Time of Event (Mountain Time)","value":"13:37:39"},{"id":151,"name":"Denver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473</v>
      </c>
      <c r="B81" s="7">
        <v>4002</v>
      </c>
      <c r="C81" s="24" t="s">
        <v>106</v>
      </c>
      <c r="D81" s="24" t="s">
        <v>261</v>
      </c>
      <c r="E81" s="15">
        <v>42641.508009259262</v>
      </c>
      <c r="F81" s="15">
        <v>42641.510659722226</v>
      </c>
      <c r="G81" s="7">
        <v>1</v>
      </c>
      <c r="H81" s="15" t="s">
        <v>345</v>
      </c>
      <c r="I81" s="15">
        <v>42641.536030092589</v>
      </c>
      <c r="J81" s="7">
        <v>0</v>
      </c>
      <c r="K81" s="117" t="str">
        <f t="shared" si="26"/>
        <v>4001/4002</v>
      </c>
      <c r="L81" s="24" t="str">
        <f>VLOOKUP(A81,'Trips&amp;Operators'!$C$1:$E$10000,3,FALSE)</f>
        <v>BRUDER</v>
      </c>
      <c r="M81" s="6">
        <f t="shared" si="27"/>
        <v>2.5370370363816619E-2</v>
      </c>
      <c r="N81" s="7">
        <f t="shared" si="24"/>
        <v>36.533333323895931</v>
      </c>
      <c r="O81" s="7"/>
      <c r="P81" s="7"/>
      <c r="Q81" s="25"/>
      <c r="R81" s="25"/>
      <c r="S81" s="37">
        <f t="shared" si="28"/>
        <v>1</v>
      </c>
      <c r="T81" s="52" t="str">
        <f t="shared" si="29"/>
        <v>NorthBound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11:11:32-0600',mode:absolute,to:'2016-09-28 13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1" s="54" t="str">
        <f t="shared" si="31"/>
        <v>N</v>
      </c>
      <c r="X81" s="164">
        <f t="shared" si="25"/>
        <v>1</v>
      </c>
      <c r="Y81" s="69">
        <f t="shared" si="32"/>
        <v>4.6399999999999997E-2</v>
      </c>
      <c r="Z81" s="69">
        <f t="shared" si="33"/>
        <v>23.3309</v>
      </c>
      <c r="AA81" s="69">
        <f t="shared" si="34"/>
        <v>23.284500000000001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5"/>
        <v>0169-28</v>
      </c>
      <c r="AE81" s="95" t="str">
        <f t="shared" si="36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81" s="92" t="str">
        <f t="shared" si="37"/>
        <v>"C:\Program Files (x86)\AstroGrep\AstroGrep.exe" /spath="%USERPROFILE%\AppData\Local\Temp\OnboardLogs" /stypes="app*4002*20160928*" /stext=" 18:.+((SYSTEM_STATE.+slice.+state.+changed )|(ment ac)|(system.+state.+changed )|(\[timeout)|(PRM\|1\|D)|(kpr)|(kdp)|(\|lc)|(penalty))" /e /r /s</v>
      </c>
      <c r="AG81" s="1" t="str">
        <f t="shared" si="38"/>
        <v>EC</v>
      </c>
      <c r="AH81" s="96" t="str">
        <f t="shared" si="39"/>
        <v>"%USERPROFILE%\Documents\GitHub\eaglep3\Utilities\RefineRTDCRunTimes.py" --tripid 169-28 --locoid 4002 --swversion DE.1.0.7.0 --startMP 204:464 --initTime 2016-09-28T12:11:32 --startdatetime 2016-09-28T12:15:21 --delay 1 --endMP 204:233309 --enddatetime 2016-09-28T12:51:53 --enforcementcount 0 &gt;&gt;C:\Users\stu\Documents\GitHub\eaglep3-reporting\EC\2016-09-28-refined-times.txt</v>
      </c>
      <c r="AI81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{"issue":{"subject":"","project_id":79,"tracker_id":40,"status_id":1,"priority_id":2,"assigned_to_id":23,"start_date":"2016-09-28","description":"","custom_fields":[{"id":1,"name":"Subdivision","value":"EC"},{"id":4,"name":"Milepost","value":"23.3309"},{"id":17,"name":"Train ID","value":"169-28"},{"id":16,"name":"Locomotive ID","value":"4002"},{"id":130,"name":"Impact","value":""},{"id":150,"name":"Time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484</v>
      </c>
      <c r="B82" s="7">
        <v>4001</v>
      </c>
      <c r="C82" s="24" t="s">
        <v>106</v>
      </c>
      <c r="D82" s="24" t="s">
        <v>285</v>
      </c>
      <c r="E82" s="15">
        <v>42641.54351851852</v>
      </c>
      <c r="F82" s="15">
        <v>42641.549513888887</v>
      </c>
      <c r="G82" s="7">
        <v>1</v>
      </c>
      <c r="H82" s="15" t="s">
        <v>241</v>
      </c>
      <c r="I82" s="15">
        <v>42641.57603009259</v>
      </c>
      <c r="J82" s="7">
        <v>0</v>
      </c>
      <c r="K82" s="117" t="str">
        <f t="shared" si="26"/>
        <v>4001/4002</v>
      </c>
      <c r="L82" s="24" t="str">
        <f>VLOOKUP(A82,'Trips&amp;Operators'!$C$1:$E$10000,3,FALSE)</f>
        <v>BRUDER</v>
      </c>
      <c r="M82" s="6">
        <f t="shared" si="27"/>
        <v>2.6516203703067731E-2</v>
      </c>
      <c r="N82" s="7">
        <f t="shared" si="24"/>
        <v>38.183333332417533</v>
      </c>
      <c r="O82" s="7"/>
      <c r="P82" s="7"/>
      <c r="Q82" s="25"/>
      <c r="R82" s="25"/>
      <c r="S82" s="37">
        <f t="shared" si="28"/>
        <v>1</v>
      </c>
      <c r="T82" s="52" t="str">
        <f t="shared" si="29"/>
        <v>Southbound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12:02:40-0600',mode:absolute,to:'2016-09-28 14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2" s="54" t="str">
        <f t="shared" si="31"/>
        <v>N</v>
      </c>
      <c r="X82" s="164">
        <f t="shared" si="25"/>
        <v>1</v>
      </c>
      <c r="Y82" s="69">
        <f t="shared" si="32"/>
        <v>23.2971</v>
      </c>
      <c r="Z82" s="69">
        <f t="shared" si="33"/>
        <v>1.5599999999999999E-2</v>
      </c>
      <c r="AA82" s="69">
        <f t="shared" si="34"/>
        <v>23.281500000000001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5"/>
        <v>0170-28</v>
      </c>
      <c r="AE82" s="95" t="str">
        <f t="shared" si="36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82" s="92" t="str">
        <f t="shared" si="37"/>
        <v>"C:\Program Files (x86)\AstroGrep\AstroGrep.exe" /spath="%USERPROFILE%\AppData\Local\Temp\OnboardLogs" /stypes="app*4001*20160928*" /stext=" 19:.+((SYSTEM_STATE.+slice.+state.+changed )|(ment ac)|(system.+state.+changed )|(\[timeout)|(PRM\|1\|D)|(kpr)|(kdp)|(\|lc)|(penalty))" /e /r /s</v>
      </c>
      <c r="AG82" s="1" t="str">
        <f t="shared" si="38"/>
        <v>EC</v>
      </c>
      <c r="AH82" s="96" t="str">
        <f t="shared" si="39"/>
        <v>"%USERPROFILE%\Documents\GitHub\eaglep3\Utilities\RefineRTDCRunTimes.py" --tripid 170-28 --locoid 4001 --swversion DE.1.0.7.0 --startMP 204:232971 --initTime 2016-09-28T13:02:40 --startdatetime 2016-09-28T13:11:18 --delay 1 --endMP 204:156 --enddatetime 2016-09-28T13:49:29 --enforcementcount 0 &gt;&gt;C:\Users\stu\Documents\GitHub\eaglep3-reporting\EC\2016-09-28-refined-times.txt</v>
      </c>
      <c r="AI82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{"issue":{"subject":"","project_id":79,"tracker_id":40,"status_id":1,"priority_id":2,"assigned_to_id":23,"start_date":"2016-09-28","description":"","custom_fields":[{"id":1,"name":"Subdivision","value":"EC"},{"id":4,"name":"Milepost","value":"0.0156"},{"id":17,"name":"Train ID","value":"170-28"},{"id":16,"name":"Locomotive ID","value":"4001"},{"id":130,"name":"Impact","value":""},{"id":150,"name":"Time of Event (Mountain Time)","value":"13:49:29"},{"id":151,"name":"Denver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476</v>
      </c>
      <c r="B83" s="7">
        <v>4020</v>
      </c>
      <c r="C83" s="24" t="s">
        <v>106</v>
      </c>
      <c r="D83" s="24" t="s">
        <v>215</v>
      </c>
      <c r="E83" s="15">
        <v>42641.516111111108</v>
      </c>
      <c r="F83" s="15">
        <v>42641.521307870367</v>
      </c>
      <c r="G83" s="7">
        <v>1</v>
      </c>
      <c r="H83" s="15" t="s">
        <v>644</v>
      </c>
      <c r="I83" s="15">
        <v>42641.546770833331</v>
      </c>
      <c r="J83" s="7">
        <v>0</v>
      </c>
      <c r="K83" s="117" t="str">
        <f t="shared" si="26"/>
        <v>4019/4020</v>
      </c>
      <c r="L83" s="24" t="str">
        <f>VLOOKUP(A83,'Trips&amp;Operators'!$C$1:$E$10000,3,FALSE)</f>
        <v>STORY</v>
      </c>
      <c r="M83" s="6">
        <f t="shared" si="27"/>
        <v>2.5462962963501923E-2</v>
      </c>
      <c r="N83" s="7">
        <f t="shared" si="24"/>
        <v>36.666666667442769</v>
      </c>
      <c r="O83" s="7"/>
      <c r="P83" s="7"/>
      <c r="Q83" s="25"/>
      <c r="R83" s="25"/>
      <c r="S83" s="37">
        <f t="shared" si="28"/>
        <v>1</v>
      </c>
      <c r="T83" s="52" t="str">
        <f t="shared" si="29"/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11:23:12-0600',mode:absolute,to:'2016-09-28 14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3" s="54" t="str">
        <f t="shared" si="31"/>
        <v>N</v>
      </c>
      <c r="X83" s="164">
        <f t="shared" si="25"/>
        <v>1</v>
      </c>
      <c r="Y83" s="69">
        <f t="shared" si="32"/>
        <v>4.7100000000000003E-2</v>
      </c>
      <c r="Z83" s="69">
        <f t="shared" si="33"/>
        <v>23.335100000000001</v>
      </c>
      <c r="AA83" s="69">
        <f t="shared" si="34"/>
        <v>23.288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5"/>
        <v>0171-28</v>
      </c>
      <c r="AE83" s="95" t="str">
        <f t="shared" si="36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83" s="92" t="str">
        <f t="shared" si="37"/>
        <v>"C:\Program Files (x86)\AstroGrep\AstroGrep.exe" /spath="%USERPROFILE%\AppData\Local\Temp\OnboardLogs" /stypes="app*4020*20160928*" /stext=" 19:.+((SYSTEM_STATE.+slice.+state.+changed )|(ment ac)|(system.+state.+changed )|(\[timeout)|(PRM\|1\|D)|(kpr)|(kdp)|(\|lc)|(penalty))" /e /r /s</v>
      </c>
      <c r="AG83" s="1" t="str">
        <f t="shared" si="38"/>
        <v>EC</v>
      </c>
      <c r="AH83" s="96" t="str">
        <f t="shared" si="39"/>
        <v>"%USERPROFILE%\Documents\GitHub\eaglep3\Utilities\RefineRTDCRunTimes.py" --tripid 171-28 --locoid 4020 --swversion DE.1.0.7.0 --startMP 204:471 --initTime 2016-09-28T12:23:12 --startdatetime 2016-09-28T12:30:41 --delay 1 --endMP 204:233351 --enddatetime 2016-09-28T13:07:21 --enforcementcount 0 &gt;&gt;C:\Users\stu\Documents\GitHub\eaglep3-reporting\EC\2016-09-28-refined-times.txt</v>
      </c>
      <c r="AI83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{"issue":{"subject":"","project_id":79,"tracker_id":40,"status_id":1,"priority_id":2,"assigned_to_id":23,"start_date":"2016-09-28","description":"","custom_fields":[{"id":1,"name":"Subdivision","value":"EC"},{"id":4,"name":"Milepost","value":"23.3351"},{"id":17,"name":"Train ID","value":"171-28"},{"id":16,"name":"Locomotive ID","value":"4020"},{"id":130,"name":"Impact","value":""},{"id":150,"name":"Time of Event (Mountain Time)","value":"13:07:21"},{"id":151,"name":"Denver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487</v>
      </c>
      <c r="B84" s="7">
        <v>4019</v>
      </c>
      <c r="C84" s="24" t="s">
        <v>106</v>
      </c>
      <c r="D84" s="24" t="s">
        <v>645</v>
      </c>
      <c r="E84" s="15">
        <v>42641.555162037039</v>
      </c>
      <c r="F84" s="15">
        <v>42641.560266203705</v>
      </c>
      <c r="G84" s="7">
        <v>2</v>
      </c>
      <c r="H84" s="15" t="s">
        <v>646</v>
      </c>
      <c r="I84" s="15">
        <v>42641.586967592593</v>
      </c>
      <c r="J84" s="7">
        <v>0</v>
      </c>
      <c r="K84" s="117" t="str">
        <f t="shared" si="26"/>
        <v>4019/4020</v>
      </c>
      <c r="L84" s="24" t="str">
        <f>VLOOKUP(A84,'Trips&amp;Operators'!$C$1:$E$10000,3,FALSE)</f>
        <v>STORY</v>
      </c>
      <c r="M84" s="6">
        <f t="shared" si="27"/>
        <v>2.6701388887886424E-2</v>
      </c>
      <c r="N84" s="7">
        <f t="shared" si="24"/>
        <v>38.44999999855645</v>
      </c>
      <c r="O84" s="7"/>
      <c r="P84" s="7"/>
      <c r="Q84" s="25"/>
      <c r="R84" s="25"/>
      <c r="S84" s="37">
        <f t="shared" si="28"/>
        <v>1</v>
      </c>
      <c r="T84" s="52" t="str">
        <f t="shared" si="29"/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12:19:26-0600',mode:absolute,to:'2016-09-28 15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4" s="54" t="str">
        <f t="shared" si="31"/>
        <v>N</v>
      </c>
      <c r="X84" s="164">
        <f t="shared" si="25"/>
        <v>1</v>
      </c>
      <c r="Y84" s="69">
        <f t="shared" si="32"/>
        <v>23.303999999999998</v>
      </c>
      <c r="Z84" s="69">
        <f t="shared" si="33"/>
        <v>1.2500000000000001E-2</v>
      </c>
      <c r="AA84" s="69">
        <f t="shared" si="34"/>
        <v>23.291499999999999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5"/>
        <v>0172-28</v>
      </c>
      <c r="AE84" s="95" t="str">
        <f t="shared" si="36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84" s="92" t="str">
        <f t="shared" si="37"/>
        <v>"C:\Program Files (x86)\AstroGrep\AstroGrep.exe" /spath="%USERPROFILE%\AppData\Local\Temp\OnboardLogs" /stypes="app*4019*20160928*" /stext=" 20:.+((SYSTEM_STATE.+slice.+state.+changed )|(ment ac)|(system.+state.+changed )|(\[timeout)|(PRM\|1\|D)|(kpr)|(kdp)|(\|lc)|(penalty))" /e /r /s</v>
      </c>
      <c r="AG84" s="1" t="str">
        <f t="shared" si="38"/>
        <v>EC</v>
      </c>
      <c r="AH84" s="96" t="str">
        <f t="shared" si="39"/>
        <v>"%USERPROFILE%\Documents\GitHub\eaglep3\Utilities\RefineRTDCRunTimes.py" --tripid 172-28 --locoid 4019 --swversion DE.1.0.7.0 --startMP 204:233040 --initTime 2016-09-28T13:19:26 --startdatetime 2016-09-28T13:26:47 --delay 2 --endMP 204:125 --enddatetime 2016-09-28T14:05:14 --enforcementcount 0 &gt;&gt;C:\Users\stu\Documents\GitHub\eaglep3-reporting\EC\2016-09-28-refined-times.txt</v>
      </c>
      <c r="AI84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{"issue":{"subject":"","project_id":79,"tracker_id":40,"status_id":1,"priority_id":2,"assigned_to_id":23,"start_date":"2016-09-28","description":"","custom_fields":[{"id":1,"name":"Subdivision","value":"EC"},{"id":4,"name":"Milepost","value":"0.0125"},{"id":17,"name":"Train ID","value":"172-28"},{"id":16,"name":"Locomotive ID","value":"4019"},{"id":130,"name":"Impact","value":""},{"id":150,"name":"Time of Event (Mountain Time)","value":"14:05:14"},{"id":151,"name":"Denver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478</v>
      </c>
      <c r="B85" s="7">
        <v>4007</v>
      </c>
      <c r="C85" s="24" t="s">
        <v>106</v>
      </c>
      <c r="D85" s="24" t="s">
        <v>229</v>
      </c>
      <c r="E85" s="15">
        <v>42641.525659722225</v>
      </c>
      <c r="F85" s="15">
        <v>42641.531481481485</v>
      </c>
      <c r="G85" s="7">
        <v>1</v>
      </c>
      <c r="H85" s="15" t="s">
        <v>301</v>
      </c>
      <c r="I85" s="15">
        <v>42641.556701388887</v>
      </c>
      <c r="J85" s="7">
        <v>0</v>
      </c>
      <c r="K85" s="117" t="str">
        <f t="shared" si="26"/>
        <v>4007/4008</v>
      </c>
      <c r="L85" s="24" t="str">
        <f>VLOOKUP(A85,'Trips&amp;Operators'!$C$1:$E$10000,3,FALSE)</f>
        <v>BONDS</v>
      </c>
      <c r="M85" s="6">
        <f t="shared" si="27"/>
        <v>2.5219907402060926E-2</v>
      </c>
      <c r="N85" s="7">
        <f t="shared" si="24"/>
        <v>36.316666658967733</v>
      </c>
      <c r="O85" s="7"/>
      <c r="P85" s="7"/>
      <c r="Q85" s="25"/>
      <c r="R85" s="25"/>
      <c r="S85" s="37">
        <f t="shared" si="28"/>
        <v>1</v>
      </c>
      <c r="T85" s="52" t="str">
        <f t="shared" si="29"/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11:36:57-0600',mode:absolute,to:'2016-09-28 14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85" s="54" t="str">
        <f t="shared" si="31"/>
        <v>N</v>
      </c>
      <c r="X85" s="164">
        <f t="shared" si="25"/>
        <v>1</v>
      </c>
      <c r="Y85" s="69">
        <f t="shared" si="32"/>
        <v>4.5999999999999999E-2</v>
      </c>
      <c r="Z85" s="69">
        <f t="shared" si="33"/>
        <v>23.3307</v>
      </c>
      <c r="AA85" s="69">
        <f t="shared" si="34"/>
        <v>23.284700000000001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5"/>
        <v>0173-28</v>
      </c>
      <c r="AE85" s="95" t="str">
        <f t="shared" si="36"/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AF85" s="92" t="str">
        <f t="shared" si="37"/>
        <v>"C:\Program Files (x86)\AstroGrep\AstroGrep.exe" /spath="%USERPROFILE%\AppData\Local\Temp\OnboardLogs" /stypes="app*4007*20160928*" /stext=" 19:.+((SYSTEM_STATE.+slice.+state.+changed )|(ment ac)|(system.+state.+changed )|(\[timeout)|(PRM\|1\|D)|(kpr)|(kdp)|(\|lc)|(penalty))" /e /r /s</v>
      </c>
      <c r="AG85" s="1" t="str">
        <f t="shared" si="38"/>
        <v>EC</v>
      </c>
      <c r="AH85" s="96" t="str">
        <f t="shared" si="39"/>
        <v>"%USERPROFILE%\Documents\GitHub\eaglep3\Utilities\RefineRTDCRunTimes.py" --tripid 173-28 --locoid 4007 --swversion DE.1.0.7.0 --startMP 204:460 --initTime 2016-09-28T12:36:57 --startdatetime 2016-09-28T12:45:20 --delay 1 --endMP 204:233307 --enddatetime 2016-09-28T13:21:39 --enforcementcount 0 &gt;&gt;C:\Users\stu\Documents\GitHub\eaglep3-reporting\EC\2016-09-28-refined-times.txt</v>
      </c>
      <c r="AI85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{"issue":{"subject":"","project_id":79,"tracker_id":40,"status_id":1,"priority_id":2,"assigned_to_id":23,"start_date":"2016-09-28","description":"","custom_fields":[{"id":1,"name":"Subdivision","value":"EC"},{"id":4,"name":"Milepost","value":"23.3307"},{"id":17,"name":"Train ID","value":"173-28"},{"id":16,"name":"Locomotive ID","value":"4007"},{"id":130,"name":"Impact","value":""},{"id":150,"name":"Time of Event (Mountain Time)","value":"13:21:39"},{"id":151,"name":"Denver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489</v>
      </c>
      <c r="B86" s="7">
        <v>4008</v>
      </c>
      <c r="C86" s="24" t="s">
        <v>106</v>
      </c>
      <c r="D86" s="24" t="s">
        <v>647</v>
      </c>
      <c r="E86" s="15">
        <v>42641.561064814814</v>
      </c>
      <c r="F86" s="15">
        <v>42641.570324074077</v>
      </c>
      <c r="G86" s="7">
        <v>1</v>
      </c>
      <c r="H86" s="15" t="s">
        <v>214</v>
      </c>
      <c r="I86" s="15">
        <v>42641.597418981481</v>
      </c>
      <c r="J86" s="7">
        <v>0</v>
      </c>
      <c r="K86" s="117" t="str">
        <f t="shared" si="26"/>
        <v>4007/4008</v>
      </c>
      <c r="L86" s="24" t="str">
        <f>VLOOKUP(A86,'Trips&amp;Operators'!$C$1:$E$10000,3,FALSE)</f>
        <v>BONDS</v>
      </c>
      <c r="M86" s="6">
        <f t="shared" si="27"/>
        <v>2.7094907403807156E-2</v>
      </c>
      <c r="N86" s="7">
        <f t="shared" si="24"/>
        <v>39.016666661482304</v>
      </c>
      <c r="O86" s="7"/>
      <c r="P86" s="7"/>
      <c r="Q86" s="25"/>
      <c r="R86" s="25"/>
      <c r="S86" s="37">
        <f t="shared" si="28"/>
        <v>1</v>
      </c>
      <c r="T86" s="52" t="str">
        <f t="shared" si="29"/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12:27:56-0600',mode:absolute,to:'2016-09-28 15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86" s="54" t="str">
        <f t="shared" si="31"/>
        <v>N</v>
      </c>
      <c r="X86" s="164">
        <f t="shared" si="25"/>
        <v>1</v>
      </c>
      <c r="Y86" s="69">
        <f t="shared" si="32"/>
        <v>23.2986</v>
      </c>
      <c r="Z86" s="69">
        <f t="shared" si="33"/>
        <v>1.6299999999999999E-2</v>
      </c>
      <c r="AA86" s="69">
        <f t="shared" si="34"/>
        <v>23.282299999999999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5"/>
        <v>0174-28</v>
      </c>
      <c r="AE86" s="95" t="str">
        <f t="shared" si="36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86" s="92" t="str">
        <f t="shared" si="37"/>
        <v>"C:\Program Files (x86)\AstroGrep\AstroGrep.exe" /spath="%USERPROFILE%\AppData\Local\Temp\OnboardLogs" /stypes="app*4008*20160928*" /stext=" 20:.+((SYSTEM_STATE.+slice.+state.+changed )|(ment ac)|(system.+state.+changed )|(\[timeout)|(PRM\|1\|D)|(kpr)|(kdp)|(\|lc)|(penalty))" /e /r /s</v>
      </c>
      <c r="AG86" s="1" t="str">
        <f t="shared" si="38"/>
        <v>EC</v>
      </c>
      <c r="AH86" s="96" t="str">
        <f t="shared" si="39"/>
        <v>"%USERPROFILE%\Documents\GitHub\eaglep3\Utilities\RefineRTDCRunTimes.py" --tripid 174-28 --locoid 4008 --swversion DE.1.0.7.0 --startMP 204:232986 --initTime 2016-09-28T13:27:56 --startdatetime 2016-09-28T13:41:16 --delay 1 --endMP 204:163 --enddatetime 2016-09-28T14:20:17 --enforcementcount 0 &gt;&gt;C:\Users\stu\Documents\GitHub\eaglep3-reporting\EC\2016-09-28-refined-times.txt</v>
      </c>
      <c r="AI86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{"issue":{"subject":"","project_id":79,"tracker_id":40,"status_id":1,"priority_id":2,"assigned_to_id":23,"start_date":"2016-09-28","description":"","custom_fields":[{"id":1,"name":"Subdivision","value":"EC"},{"id":4,"name":"Milepost","value":"0.0163"},{"id":17,"name":"Train ID","value":"174-28"},{"id":16,"name":"Locomotive ID","value":"4008"},{"id":130,"name":"Impact","value":""},{"id":150,"name":"Time of Event (Mountain Time)","value":"14:20:17"},{"id":151,"name":"Denver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481</v>
      </c>
      <c r="B87" s="7">
        <v>4018</v>
      </c>
      <c r="C87" s="24" t="s">
        <v>106</v>
      </c>
      <c r="D87" s="24" t="s">
        <v>232</v>
      </c>
      <c r="E87" s="15">
        <v>42641.537060185183</v>
      </c>
      <c r="F87" s="15">
        <v>42641.541956018518</v>
      </c>
      <c r="G87" s="7">
        <v>1</v>
      </c>
      <c r="H87" s="15" t="s">
        <v>347</v>
      </c>
      <c r="I87" s="15">
        <v>42641.567465277774</v>
      </c>
      <c r="J87" s="7">
        <v>0</v>
      </c>
      <c r="K87" s="117" t="str">
        <f t="shared" si="26"/>
        <v>4017/4018</v>
      </c>
      <c r="L87" s="24" t="str">
        <f>VLOOKUP(A87,'Trips&amp;Operators'!$C$1:$E$10000,3,FALSE)</f>
        <v>BARTLETT</v>
      </c>
      <c r="M87" s="6">
        <f t="shared" si="27"/>
        <v>2.5509259256068617E-2</v>
      </c>
      <c r="N87" s="7">
        <f t="shared" si="24"/>
        <v>36.733333328738809</v>
      </c>
      <c r="O87" s="7"/>
      <c r="P87" s="7"/>
      <c r="Q87" s="25"/>
      <c r="R87" s="25"/>
      <c r="S87" s="37">
        <f t="shared" si="28"/>
        <v>1</v>
      </c>
      <c r="T87" s="52" t="str">
        <f t="shared" si="29"/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11:53:22-0600',mode:absolute,to:'2016-09-28 14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7" s="54" t="str">
        <f t="shared" si="31"/>
        <v>N</v>
      </c>
      <c r="X87" s="164">
        <f t="shared" si="25"/>
        <v>1</v>
      </c>
      <c r="Y87" s="69">
        <f t="shared" si="32"/>
        <v>4.6899999999999997E-2</v>
      </c>
      <c r="Z87" s="69">
        <f t="shared" si="33"/>
        <v>23.331700000000001</v>
      </c>
      <c r="AA87" s="69">
        <f t="shared" si="34"/>
        <v>23.284800000000001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5"/>
        <v>0175-28</v>
      </c>
      <c r="AE87" s="95" t="str">
        <f t="shared" si="36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87" s="92" t="str">
        <f t="shared" si="37"/>
        <v>"C:\Program Files (x86)\AstroGrep\AstroGrep.exe" /spath="%USERPROFILE%\AppData\Local\Temp\OnboardLogs" /stypes="app*4018*20160928*" /stext=" 19:.+((SYSTEM_STATE.+slice.+state.+changed )|(ment ac)|(system.+state.+changed )|(\[timeout)|(PRM\|1\|D)|(kpr)|(kdp)|(\|lc)|(penalty))" /e /r /s</v>
      </c>
      <c r="AG87" s="1" t="str">
        <f t="shared" si="38"/>
        <v>EC</v>
      </c>
      <c r="AH87" s="96" t="str">
        <f t="shared" si="39"/>
        <v>"%USERPROFILE%\Documents\GitHub\eaglep3\Utilities\RefineRTDCRunTimes.py" --tripid 175-28 --locoid 4018 --swversion DE.1.0.7.0 --startMP 204:469 --initTime 2016-09-28T12:53:22 --startdatetime 2016-09-28T13:00:25 --delay 1 --endMP 204:233317 --enddatetime 2016-09-28T13:37:09 --enforcementcount 0 &gt;&gt;C:\Users\stu\Documents\GitHub\eaglep3-reporting\EC\2016-09-28-refined-times.txt</v>
      </c>
      <c r="AI87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{"issue":{"subject":"","project_id":79,"tracker_id":40,"status_id":1,"priority_id":2,"assigned_to_id":23,"start_date":"2016-09-28","description":"","custom_fields":[{"id":1,"name":"Subdivision","value":"EC"},{"id":4,"name":"Milepost","value":"23.3317"},{"id":17,"name":"Train ID","value":"175-28"},{"id":16,"name":"Locomotive ID","value":"4018"},{"id":130,"name":"Impact","value":""},{"id":150,"name":"Time of Event (Mountain Time)","value":"13:37:09"},{"id":151,"name":"Denver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492</v>
      </c>
      <c r="B88" s="7">
        <v>4017</v>
      </c>
      <c r="C88" s="24" t="s">
        <v>106</v>
      </c>
      <c r="D88" s="24" t="s">
        <v>299</v>
      </c>
      <c r="E88" s="15">
        <v>42641.577789351853</v>
      </c>
      <c r="F88" s="15">
        <v>42641.580775462964</v>
      </c>
      <c r="G88" s="7">
        <v>1</v>
      </c>
      <c r="H88" s="15" t="s">
        <v>219</v>
      </c>
      <c r="I88" s="15">
        <v>42641.608067129629</v>
      </c>
      <c r="J88" s="7">
        <v>0</v>
      </c>
      <c r="K88" s="117" t="str">
        <f t="shared" si="26"/>
        <v>4017/4018</v>
      </c>
      <c r="L88" s="24" t="str">
        <f>VLOOKUP(A88,'Trips&amp;Operators'!$C$1:$E$10000,3,FALSE)</f>
        <v>BARTLETT</v>
      </c>
      <c r="M88" s="6">
        <f t="shared" si="27"/>
        <v>2.7291666665405501E-2</v>
      </c>
      <c r="N88" s="7">
        <f t="shared" si="24"/>
        <v>39.299999998183921</v>
      </c>
      <c r="O88" s="7"/>
      <c r="P88" s="7"/>
      <c r="Q88" s="25"/>
      <c r="R88" s="25"/>
      <c r="S88" s="37">
        <f t="shared" si="28"/>
        <v>1</v>
      </c>
      <c r="T88" s="52" t="str">
        <f t="shared" si="29"/>
        <v>Southbound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12:52:01-0600',mode:absolute,to:'2016-09-28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8" s="54" t="str">
        <f t="shared" si="31"/>
        <v>N</v>
      </c>
      <c r="X88" s="164">
        <f t="shared" si="25"/>
        <v>1</v>
      </c>
      <c r="Y88" s="69">
        <f t="shared" si="32"/>
        <v>23.2987</v>
      </c>
      <c r="Z88" s="69">
        <f t="shared" si="33"/>
        <v>1.4999999999999999E-2</v>
      </c>
      <c r="AA88" s="69">
        <f t="shared" si="34"/>
        <v>23.2837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5"/>
        <v>0176-28</v>
      </c>
      <c r="AE88" s="95" t="str">
        <f t="shared" si="36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88" s="92" t="str">
        <f t="shared" si="37"/>
        <v>"C:\Program Files (x86)\AstroGrep\AstroGrep.exe" /spath="%USERPROFILE%\AppData\Local\Temp\OnboardLogs" /stypes="app*4017*20160928*" /stext=" 20:.+((SYSTEM_STATE.+slice.+state.+changed )|(ment ac)|(system.+state.+changed )|(\[timeout)|(PRM\|1\|D)|(kpr)|(kdp)|(\|lc)|(penalty))" /e /r /s</v>
      </c>
      <c r="AG88" s="1" t="str">
        <f t="shared" si="38"/>
        <v>EC</v>
      </c>
      <c r="AH88" s="96" t="str">
        <f t="shared" si="39"/>
        <v>"%USERPROFILE%\Documents\GitHub\eaglep3\Utilities\RefineRTDCRunTimes.py" --tripid 176-28 --locoid 4017 --swversion DE.1.0.7.0 --startMP 204:232987 --initTime 2016-09-28T13:52:01 --startdatetime 2016-09-28T13:56:19 --delay 1 --endMP 204:150 --enddatetime 2016-09-28T14:35:37 --enforcementcount 0 &gt;&gt;C:\Users\stu\Documents\GitHub\eaglep3-reporting\EC\2016-09-28-refined-times.txt</v>
      </c>
      <c r="AI88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{"issue":{"subject":"","project_id":79,"tracker_id":40,"status_id":1,"priority_id":2,"assigned_to_id":23,"start_date":"2016-09-28","description":"","custom_fields":[{"id":1,"name":"Subdivision","value":"EC"},{"id":4,"name":"Milepost","value":"0.015"},{"id":17,"name":"Train ID","value":"176-28"},{"id":16,"name":"Locomotive ID","value":"4017"},{"id":130,"name":"Impact","value":""},{"id":150,"name":"Time of Event (Mountain Time)","value":"14:35:37"},{"id":151,"name":"Denver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485</v>
      </c>
      <c r="B89" s="7">
        <v>4014</v>
      </c>
      <c r="C89" s="24" t="s">
        <v>106</v>
      </c>
      <c r="D89" s="24" t="s">
        <v>228</v>
      </c>
      <c r="E89" s="15">
        <v>42641.549525462964</v>
      </c>
      <c r="F89" s="15">
        <v>42641.552824074075</v>
      </c>
      <c r="G89" s="7">
        <v>1</v>
      </c>
      <c r="H89" s="15" t="s">
        <v>220</v>
      </c>
      <c r="I89" s="15">
        <v>42641.577951388892</v>
      </c>
      <c r="J89" s="7">
        <v>0</v>
      </c>
      <c r="K89" s="117" t="str">
        <f t="shared" si="26"/>
        <v>4013/4014</v>
      </c>
      <c r="L89" s="24" t="str">
        <f>VLOOKUP(A89,'Trips&amp;Operators'!$C$1:$E$10000,3,FALSE)</f>
        <v>HELVIE</v>
      </c>
      <c r="M89" s="6">
        <f t="shared" si="27"/>
        <v>2.5127314816927537E-2</v>
      </c>
      <c r="N89" s="7">
        <f t="shared" si="24"/>
        <v>36.183333336375654</v>
      </c>
      <c r="O89" s="7"/>
      <c r="P89" s="7"/>
      <c r="Q89" s="25"/>
      <c r="R89" s="25"/>
      <c r="S89" s="37">
        <f t="shared" si="28"/>
        <v>1</v>
      </c>
      <c r="T89" s="52" t="str">
        <f t="shared" si="29"/>
        <v>NorthBound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12:11:19-0600',mode:absolute,to:'2016-09-28 14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9" s="54" t="str">
        <f t="shared" si="31"/>
        <v>N</v>
      </c>
      <c r="X89" s="164">
        <f t="shared" si="25"/>
        <v>1</v>
      </c>
      <c r="Y89" s="69">
        <f t="shared" si="32"/>
        <v>4.6699999999999998E-2</v>
      </c>
      <c r="Z89" s="69">
        <f t="shared" si="33"/>
        <v>23.3291</v>
      </c>
      <c r="AA89" s="69">
        <f t="shared" si="34"/>
        <v>23.282399999999999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5"/>
        <v>0177-28</v>
      </c>
      <c r="AE89" s="95" t="str">
        <f t="shared" si="36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89" s="92" t="str">
        <f t="shared" si="37"/>
        <v>"C:\Program Files (x86)\AstroGrep\AstroGrep.exe" /spath="%USERPROFILE%\AppData\Local\Temp\OnboardLogs" /stypes="app*4014*20160928*" /stext=" 19:.+((SYSTEM_STATE.+slice.+state.+changed )|(ment ac)|(system.+state.+changed )|(\[timeout)|(PRM\|1\|D)|(kpr)|(kdp)|(\|lc)|(penalty))" /e /r /s</v>
      </c>
      <c r="AG89" s="1" t="str">
        <f t="shared" si="38"/>
        <v>EC</v>
      </c>
      <c r="AH89" s="96" t="str">
        <f t="shared" si="39"/>
        <v>"%USERPROFILE%\Documents\GitHub\eaglep3\Utilities\RefineRTDCRunTimes.py" --tripid 177-28 --locoid 4014 --swversion DE.1.0.7.0 --startMP 204:467 --initTime 2016-09-28T13:11:19 --startdatetime 2016-09-28T13:16:04 --delay 1 --endMP 204:233291 --enddatetime 2016-09-28T13:52:15 --enforcementcount 0 &gt;&gt;C:\Users\stu\Documents\GitHub\eaglep3-reporting\EC\2016-09-28-refined-times.txt</v>
      </c>
      <c r="AI89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{"issue":{"subject":"","project_id":79,"tracker_id":40,"status_id":1,"priority_id":2,"assigned_to_id":23,"start_date":"2016-09-28","description":"","custom_fields":[{"id":1,"name":"Subdivision","value":"EC"},{"id":4,"name":"Milepost","value":"23.3291"},{"id":17,"name":"Train ID","value":"177-28"},{"id":16,"name":"Locomotive ID","value":"4014"},{"id":130,"name":"Impact","value":""},{"id":150,"name":"Time of Event (Mountain Time)","value":"13:52:15"},{"id":151,"name":"Denver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494</v>
      </c>
      <c r="B90" s="7">
        <v>4013</v>
      </c>
      <c r="C90" s="24" t="s">
        <v>106</v>
      </c>
      <c r="D90" s="24" t="s">
        <v>262</v>
      </c>
      <c r="E90" s="15">
        <v>42641.58630787037</v>
      </c>
      <c r="F90" s="15">
        <v>42641.591261574074</v>
      </c>
      <c r="G90" s="7">
        <v>1</v>
      </c>
      <c r="H90" s="15" t="s">
        <v>648</v>
      </c>
      <c r="I90" s="15">
        <v>42641.618692129632</v>
      </c>
      <c r="J90" s="7">
        <v>0</v>
      </c>
      <c r="K90" s="117" t="str">
        <f t="shared" si="26"/>
        <v>4013/4014</v>
      </c>
      <c r="L90" s="24" t="str">
        <f>VLOOKUP(A90,'Trips&amp;Operators'!$C$1:$E$10000,3,FALSE)</f>
        <v>HELVIE</v>
      </c>
      <c r="M90" s="6">
        <f t="shared" si="27"/>
        <v>2.7430555557657499E-2</v>
      </c>
      <c r="N90" s="7">
        <f t="shared" si="24"/>
        <v>39.500000003026798</v>
      </c>
      <c r="O90" s="7"/>
      <c r="P90" s="7"/>
      <c r="Q90" s="25"/>
      <c r="R90" s="25"/>
      <c r="S90" s="37">
        <f t="shared" si="28"/>
        <v>1</v>
      </c>
      <c r="T90" s="52" t="str">
        <f t="shared" si="29"/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13:04:17-0600',mode:absolute,to:'2016-09-28 15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0" s="54" t="str">
        <f t="shared" si="31"/>
        <v>N</v>
      </c>
      <c r="X90" s="164">
        <f t="shared" si="25"/>
        <v>1</v>
      </c>
      <c r="Y90" s="69">
        <f t="shared" si="32"/>
        <v>23.2973</v>
      </c>
      <c r="Z90" s="69">
        <f t="shared" si="33"/>
        <v>1.61E-2</v>
      </c>
      <c r="AA90" s="69">
        <f t="shared" si="34"/>
        <v>23.281199999999998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5"/>
        <v>0178-28</v>
      </c>
      <c r="AE90" s="95" t="str">
        <f t="shared" si="36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90" s="92" t="str">
        <f t="shared" si="37"/>
        <v>"C:\Program Files (x86)\AstroGrep\AstroGrep.exe" /spath="%USERPROFILE%\AppData\Local\Temp\OnboardLogs" /stypes="app*4013*20160928*" /stext=" 20:.+((SYSTEM_STATE.+slice.+state.+changed )|(ment ac)|(system.+state.+changed )|(\[timeout)|(PRM\|1\|D)|(kpr)|(kdp)|(\|lc)|(penalty))" /e /r /s</v>
      </c>
      <c r="AG90" s="1" t="str">
        <f t="shared" si="38"/>
        <v>EC</v>
      </c>
      <c r="AH90" s="96" t="str">
        <f t="shared" si="39"/>
        <v>"%USERPROFILE%\Documents\GitHub\eaglep3\Utilities\RefineRTDCRunTimes.py" --tripid 178-28 --locoid 4013 --swversion DE.1.0.7.0 --startMP 204:232973 --initTime 2016-09-28T14:04:17 --startdatetime 2016-09-28T14:11:25 --delay 1 --endMP 204:161 --enddatetime 2016-09-28T14:50:55 --enforcementcount 0 &gt;&gt;C:\Users\stu\Documents\GitHub\eaglep3-reporting\EC\2016-09-28-refined-times.txt</v>
      </c>
      <c r="AI90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{"issue":{"subject":"","project_id":79,"tracker_id":40,"status_id":1,"priority_id":2,"assigned_to_id":23,"start_date":"2016-09-28","description":"","custom_fields":[{"id":1,"name":"Subdivision","value":"EC"},{"id":4,"name":"Milepost","value":"0.0161"},{"id":17,"name":"Train ID","value":"178-28"},{"id":16,"name":"Locomotive ID","value":"4013"},{"id":130,"name":"Impact","value":""},{"id":150,"name":"Time of Event (Mountain Time)","value":"14:50:55"},{"id":151,"name":"Denver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488</v>
      </c>
      <c r="B91" s="7">
        <v>4046</v>
      </c>
      <c r="C91" s="24" t="s">
        <v>106</v>
      </c>
      <c r="D91" s="24" t="s">
        <v>282</v>
      </c>
      <c r="E91" s="15">
        <v>42641.557002314818</v>
      </c>
      <c r="F91" s="15">
        <v>42641.563206018516</v>
      </c>
      <c r="G91" s="7">
        <v>1</v>
      </c>
      <c r="H91" s="15" t="s">
        <v>243</v>
      </c>
      <c r="I91" s="15">
        <v>42641.588437500002</v>
      </c>
      <c r="J91" s="7">
        <v>0</v>
      </c>
      <c r="K91" s="117" t="str">
        <f t="shared" si="26"/>
        <v>4045/4046</v>
      </c>
      <c r="L91" s="24" t="str">
        <f>VLOOKUP(A91,'Trips&amp;Operators'!$C$1:$E$10000,3,FALSE)</f>
        <v>HILLS</v>
      </c>
      <c r="M91" s="6">
        <f t="shared" si="27"/>
        <v>2.5231481486116536E-2</v>
      </c>
      <c r="N91" s="7">
        <f t="shared" si="24"/>
        <v>36.333333340007812</v>
      </c>
      <c r="O91" s="7"/>
      <c r="P91" s="7"/>
      <c r="Q91" s="25"/>
      <c r="R91" s="25"/>
      <c r="S91" s="37">
        <f t="shared" si="28"/>
        <v>1</v>
      </c>
      <c r="T91" s="52" t="str">
        <f t="shared" si="29"/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12:22:05-0600',mode:absolute,to:'2016-09-28 15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1" s="54" t="str">
        <f t="shared" si="31"/>
        <v>N</v>
      </c>
      <c r="X91" s="164">
        <f t="shared" si="25"/>
        <v>1</v>
      </c>
      <c r="Y91" s="69">
        <f t="shared" si="32"/>
        <v>4.7300000000000002E-2</v>
      </c>
      <c r="Z91" s="69">
        <f t="shared" si="33"/>
        <v>23.331399999999999</v>
      </c>
      <c r="AA91" s="69">
        <f t="shared" si="34"/>
        <v>23.284099999999999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5"/>
        <v>0179-28</v>
      </c>
      <c r="AE91" s="95" t="str">
        <f t="shared" si="36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91" s="92" t="str">
        <f t="shared" si="37"/>
        <v>"C:\Program Files (x86)\AstroGrep\AstroGrep.exe" /spath="%USERPROFILE%\AppData\Local\Temp\OnboardLogs" /stypes="app*4046*20160928*" /stext=" 20:.+((SYSTEM_STATE.+slice.+state.+changed )|(ment ac)|(system.+state.+changed )|(\[timeout)|(PRM\|1\|D)|(kpr)|(kdp)|(\|lc)|(penalty))" /e /r /s</v>
      </c>
      <c r="AG91" s="1" t="str">
        <f t="shared" si="38"/>
        <v>EC</v>
      </c>
      <c r="AH91" s="96" t="str">
        <f t="shared" si="39"/>
        <v>"%USERPROFILE%\Documents\GitHub\eaglep3\Utilities\RefineRTDCRunTimes.py" --tripid 179-28 --locoid 4046 --swversion DE.1.0.7.0 --startMP 204:473 --initTime 2016-09-28T13:22:05 --startdatetime 2016-09-28T13:31:01 --delay 1 --endMP 204:233314 --enddatetime 2016-09-28T14:07:21 --enforcementcount 0 &gt;&gt;C:\Users\stu\Documents\GitHub\eaglep3-reporting\EC\2016-09-28-refined-times.txt</v>
      </c>
      <c r="AI91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{"issue":{"subject":"","project_id":79,"tracker_id":40,"status_id":1,"priority_id":2,"assigned_to_id":23,"start_date":"2016-09-28","description":"","custom_fields":[{"id":1,"name":"Subdivision","value":"EC"},{"id":4,"name":"Milepost","value":"23.3314"},{"id":17,"name":"Train ID","value":"179-28"},{"id":16,"name":"Locomotive ID","value":"4046"},{"id":130,"name":"Impact","value":""},{"id":150,"name":"Time of Event (Mountain Time)","value":"14:07:21"},{"id":151,"name":"Denver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496</v>
      </c>
      <c r="B92" s="7">
        <v>4045</v>
      </c>
      <c r="C92" s="24" t="s">
        <v>106</v>
      </c>
      <c r="D92" s="24" t="s">
        <v>306</v>
      </c>
      <c r="E92" s="15">
        <v>42641.592430555553</v>
      </c>
      <c r="F92" s="15">
        <v>42641.601574074077</v>
      </c>
      <c r="G92" s="7">
        <v>1</v>
      </c>
      <c r="H92" s="15" t="s">
        <v>217</v>
      </c>
      <c r="I92" s="15">
        <v>42641.629467592589</v>
      </c>
      <c r="J92" s="7">
        <v>0</v>
      </c>
      <c r="K92" s="117" t="str">
        <f t="shared" si="26"/>
        <v>4045/4046</v>
      </c>
      <c r="L92" s="24" t="str">
        <f>VLOOKUP(A92,'Trips&amp;Operators'!$C$1:$E$10000,3,FALSE)</f>
        <v>HILLS</v>
      </c>
      <c r="M92" s="6">
        <f t="shared" si="27"/>
        <v>2.7893518512428273E-2</v>
      </c>
      <c r="N92" s="7">
        <f t="shared" si="24"/>
        <v>40.166666657896712</v>
      </c>
      <c r="O92" s="7"/>
      <c r="P92" s="7"/>
      <c r="Q92" s="25"/>
      <c r="R92" s="25"/>
      <c r="S92" s="37">
        <f t="shared" si="28"/>
        <v>1</v>
      </c>
      <c r="T92" s="52" t="str">
        <f t="shared" si="29"/>
        <v>Southbound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13:13:06-0600',mode:absolute,to:'2016-09-28 16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2" s="54" t="str">
        <f t="shared" si="31"/>
        <v>N</v>
      </c>
      <c r="X92" s="164">
        <f t="shared" si="25"/>
        <v>1</v>
      </c>
      <c r="Y92" s="69">
        <f t="shared" si="32"/>
        <v>23.298300000000001</v>
      </c>
      <c r="Z92" s="69">
        <f t="shared" si="33"/>
        <v>1.47E-2</v>
      </c>
      <c r="AA92" s="69">
        <f t="shared" si="34"/>
        <v>23.2836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5"/>
        <v>0180-28</v>
      </c>
      <c r="AE92" s="95" t="str">
        <f t="shared" si="36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92" s="92" t="str">
        <f t="shared" si="37"/>
        <v>"C:\Program Files (x86)\AstroGrep\AstroGrep.exe" /spath="%USERPROFILE%\AppData\Local\Temp\OnboardLogs" /stypes="app*4045*20160928*" /stext=" 21:.+((SYSTEM_STATE.+slice.+state.+changed )|(ment ac)|(system.+state.+changed )|(\[timeout)|(PRM\|1\|D)|(kpr)|(kdp)|(\|lc)|(penalty))" /e /r /s</v>
      </c>
      <c r="AG92" s="1" t="str">
        <f t="shared" si="38"/>
        <v>EC</v>
      </c>
      <c r="AH92" s="96" t="str">
        <f t="shared" si="39"/>
        <v>"%USERPROFILE%\Documents\GitHub\eaglep3\Utilities\RefineRTDCRunTimes.py" --tripid 180-28 --locoid 4045 --swversion DE.1.0.7.0 --startMP 204:232983 --initTime 2016-09-28T14:13:06 --startdatetime 2016-09-28T14:26:16 --delay 1 --endMP 204:147 --enddatetime 2016-09-28T15:06:26 --enforcementcount 0 &gt;&gt;C:\Users\stu\Documents\GitHub\eaglep3-reporting\EC\2016-09-28-refined-times.txt</v>
      </c>
      <c r="AI92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{"issue":{"subject":"","project_id":79,"tracker_id":40,"status_id":1,"priority_id":2,"assigned_to_id":23,"start_date":"2016-09-28","description":"","custom_fields":[{"id":1,"name":"Subdivision","value":"EC"},{"id":4,"name":"Milepost","value":"0.0147"},{"id":17,"name":"Train ID","value":"180-28"},{"id":16,"name":"Locomotive ID","value":"4045"},{"id":130,"name":"Impact","value":""},{"id":150,"name":"Time of Event (Mountain Time)","value":"15:06:26"},{"id":151,"name":"Denver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491</v>
      </c>
      <c r="B93" s="7">
        <v>4040</v>
      </c>
      <c r="C93" s="24" t="s">
        <v>106</v>
      </c>
      <c r="D93" s="24" t="s">
        <v>649</v>
      </c>
      <c r="E93" s="15">
        <v>42641.569374999999</v>
      </c>
      <c r="F93" s="15">
        <v>42641.573113425926</v>
      </c>
      <c r="G93" s="7">
        <v>1</v>
      </c>
      <c r="H93" s="15" t="s">
        <v>277</v>
      </c>
      <c r="I93" s="15">
        <v>42641.600289351853</v>
      </c>
      <c r="J93" s="7">
        <v>0</v>
      </c>
      <c r="K93" s="117" t="str">
        <f t="shared" si="26"/>
        <v>4039/4040</v>
      </c>
      <c r="L93" s="24" t="str">
        <f>VLOOKUP(A93,'Trips&amp;Operators'!$C$1:$E$10000,3,FALSE)</f>
        <v>YOUNG</v>
      </c>
      <c r="M93" s="6">
        <f t="shared" si="27"/>
        <v>2.7175925926712807E-2</v>
      </c>
      <c r="N93" s="7">
        <f t="shared" si="24"/>
        <v>39.133333334466442</v>
      </c>
      <c r="O93" s="7"/>
      <c r="P93" s="7"/>
      <c r="Q93" s="25"/>
      <c r="R93" s="25"/>
      <c r="S93" s="37">
        <f t="shared" si="28"/>
        <v>1</v>
      </c>
      <c r="T93" s="52" t="str">
        <f t="shared" si="29"/>
        <v>NorthBound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12:39:54-0600',mode:absolute,to:'2016-09-28 15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3" s="54" t="str">
        <f t="shared" si="31"/>
        <v>N</v>
      </c>
      <c r="X93" s="164">
        <f t="shared" si="25"/>
        <v>1</v>
      </c>
      <c r="Y93" s="69">
        <f t="shared" si="32"/>
        <v>4.9700000000000001E-2</v>
      </c>
      <c r="Z93" s="69">
        <f t="shared" si="33"/>
        <v>23.330100000000002</v>
      </c>
      <c r="AA93" s="69">
        <f t="shared" si="34"/>
        <v>23.2804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5"/>
        <v>0181-28</v>
      </c>
      <c r="AE93" s="95" t="str">
        <f t="shared" si="36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93" s="92" t="str">
        <f t="shared" si="37"/>
        <v>"C:\Program Files (x86)\AstroGrep\AstroGrep.exe" /spath="%USERPROFILE%\AppData\Local\Temp\OnboardLogs" /stypes="app*4040*20160928*" /stext=" 20:.+((SYSTEM_STATE.+slice.+state.+changed )|(ment ac)|(system.+state.+changed )|(\[timeout)|(PRM\|1\|D)|(kpr)|(kdp)|(\|lc)|(penalty))" /e /r /s</v>
      </c>
      <c r="AG93" s="1" t="str">
        <f t="shared" si="38"/>
        <v>EC</v>
      </c>
      <c r="AH93" s="96" t="str">
        <f t="shared" si="39"/>
        <v>"%USERPROFILE%\Documents\GitHub\eaglep3\Utilities\RefineRTDCRunTimes.py" --tripid 181-28 --locoid 4040 --swversion DE.1.0.7.0 --startMP 204:497 --initTime 2016-09-28T13:39:54 --startdatetime 2016-09-28T13:45:17 --delay 1 --endMP 204:233301 --enddatetime 2016-09-28T14:24:25 --enforcementcount 0 &gt;&gt;C:\Users\stu\Documents\GitHub\eaglep3-reporting\EC\2016-09-28-refined-times.txt</v>
      </c>
      <c r="AI93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{"issue":{"subject":"","project_id":79,"tracker_id":40,"status_id":1,"priority_id":2,"assigned_to_id":23,"start_date":"2016-09-28","description":"","custom_fields":[{"id":1,"name":"Subdivision","value":"EC"},{"id":4,"name":"Milepost","value":"23.3301"},{"id":17,"name":"Train ID","value":"181-28"},{"id":16,"name":"Locomotive ID","value":"4040"},{"id":130,"name":"Impact","value":""},{"id":150,"name":"Time of Event (Mountain Time)","value":"14:24:25"},{"id":151,"name":"Denver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499</v>
      </c>
      <c r="B94" s="7">
        <v>4039</v>
      </c>
      <c r="C94" s="24" t="s">
        <v>106</v>
      </c>
      <c r="D94" s="24" t="s">
        <v>637</v>
      </c>
      <c r="E94" s="15">
        <v>42641.608472222222</v>
      </c>
      <c r="F94" s="15">
        <v>42641.61215277778</v>
      </c>
      <c r="G94" s="7">
        <v>1</v>
      </c>
      <c r="H94" s="15" t="s">
        <v>648</v>
      </c>
      <c r="I94" s="15">
        <v>42641.641724537039</v>
      </c>
      <c r="J94" s="7">
        <v>0</v>
      </c>
      <c r="K94" s="117" t="str">
        <f t="shared" si="26"/>
        <v>4039/4040</v>
      </c>
      <c r="L94" s="24" t="str">
        <f>VLOOKUP(A94,'Trips&amp;Operators'!$C$1:$E$10000,3,FALSE)</f>
        <v>YOUNG</v>
      </c>
      <c r="M94" s="6">
        <f t="shared" si="27"/>
        <v>2.9571759259852115E-2</v>
      </c>
      <c r="N94" s="7">
        <f t="shared" ref="N94:N125" si="41">24*60*SUM($M94:$M94)</f>
        <v>42.583333334187046</v>
      </c>
      <c r="O94" s="7"/>
      <c r="P94" s="7"/>
      <c r="Q94" s="25"/>
      <c r="R94" s="25"/>
      <c r="S94" s="37">
        <f t="shared" si="28"/>
        <v>1</v>
      </c>
      <c r="T94" s="52" t="str">
        <f t="shared" si="29"/>
        <v>Southbound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13:36:12-0600',mode:absolute,to:'2016-09-28 16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4" s="54" t="str">
        <f t="shared" si="31"/>
        <v>N</v>
      </c>
      <c r="X94" s="164">
        <f t="shared" si="25"/>
        <v>1</v>
      </c>
      <c r="Y94" s="69">
        <f t="shared" si="32"/>
        <v>23.297799999999999</v>
      </c>
      <c r="Z94" s="69">
        <f t="shared" si="33"/>
        <v>1.61E-2</v>
      </c>
      <c r="AA94" s="69">
        <f t="shared" si="34"/>
        <v>23.281699999999997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5"/>
        <v>0182-28</v>
      </c>
      <c r="AE94" s="95" t="str">
        <f t="shared" si="36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94" s="92" t="str">
        <f t="shared" si="37"/>
        <v>"C:\Program Files (x86)\AstroGrep\AstroGrep.exe" /spath="%USERPROFILE%\AppData\Local\Temp\OnboardLogs" /stypes="app*4039*20160928*" /stext=" 21:.+((SYSTEM_STATE.+slice.+state.+changed )|(ment ac)|(system.+state.+changed )|(\[timeout)|(PRM\|1\|D)|(kpr)|(kdp)|(\|lc)|(penalty))" /e /r /s</v>
      </c>
      <c r="AG94" s="1" t="str">
        <f t="shared" si="38"/>
        <v>EC</v>
      </c>
      <c r="AH94" s="96" t="str">
        <f t="shared" si="39"/>
        <v>"%USERPROFILE%\Documents\GitHub\eaglep3\Utilities\RefineRTDCRunTimes.py" --tripid 182-28 --locoid 4039 --swversion DE.1.0.7.0 --startMP 204:232978 --initTime 2016-09-28T14:36:12 --startdatetime 2016-09-28T14:41:30 --delay 1 --endMP 204:161 --enddatetime 2016-09-28T15:24:05 --enforcementcount 0 &gt;&gt;C:\Users\stu\Documents\GitHub\eaglep3-reporting\EC\2016-09-28-refined-times.txt</v>
      </c>
      <c r="AI94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{"issue":{"subject":"","project_id":79,"tracker_id":40,"status_id":1,"priority_id":2,"assigned_to_id":23,"start_date":"2016-09-28","description":"","custom_fields":[{"id":1,"name":"Subdivision","value":"EC"},{"id":4,"name":"Milepost","value":"0.0161"},{"id":17,"name":"Train ID","value":"182-28"},{"id":16,"name":"Locomotive ID","value":"4039"},{"id":130,"name":"Impact","value":""},{"id":150,"name":"Time of Event (Mountain Time)","value":"15:24:05"},{"id":151,"name":"Denver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493</v>
      </c>
      <c r="B95" s="7">
        <v>4002</v>
      </c>
      <c r="C95" s="24" t="s">
        <v>106</v>
      </c>
      <c r="D95" s="24" t="s">
        <v>261</v>
      </c>
      <c r="E95" s="15">
        <v>42641.578298611108</v>
      </c>
      <c r="F95" s="15">
        <v>42641.583564814813</v>
      </c>
      <c r="G95" s="7">
        <v>1</v>
      </c>
      <c r="H95" s="15" t="s">
        <v>650</v>
      </c>
      <c r="I95" s="15">
        <v>42641.6094212963</v>
      </c>
      <c r="J95" s="7">
        <v>0</v>
      </c>
      <c r="K95" s="117" t="str">
        <f t="shared" si="26"/>
        <v>4001/4002</v>
      </c>
      <c r="L95" s="24" t="str">
        <f>VLOOKUP(A95,'Trips&amp;Operators'!$C$1:$E$10000,3,FALSE)</f>
        <v>BRUDER</v>
      </c>
      <c r="M95" s="6">
        <f t="shared" si="27"/>
        <v>2.5856481486698613E-2</v>
      </c>
      <c r="N95" s="7">
        <f t="shared" si="41"/>
        <v>37.233333340846002</v>
      </c>
      <c r="O95" s="7"/>
      <c r="P95" s="7"/>
      <c r="Q95" s="25"/>
      <c r="R95" s="25"/>
      <c r="S95" s="37">
        <f t="shared" si="28"/>
        <v>1</v>
      </c>
      <c r="T95" s="52" t="str">
        <f t="shared" si="29"/>
        <v>NorthBound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12:52:45-0600',mode:absolute,to:'2016-09-28 15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5" s="54" t="str">
        <f t="shared" si="31"/>
        <v>N</v>
      </c>
      <c r="X95" s="164">
        <f t="shared" si="25"/>
        <v>1</v>
      </c>
      <c r="Y95" s="69">
        <f t="shared" si="32"/>
        <v>4.6399999999999997E-2</v>
      </c>
      <c r="Z95" s="69">
        <f t="shared" si="33"/>
        <v>23.3125</v>
      </c>
      <c r="AA95" s="69">
        <f t="shared" si="34"/>
        <v>23.266100000000002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5"/>
        <v>0183-28</v>
      </c>
      <c r="AE95" s="95" t="str">
        <f t="shared" si="36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95" s="92" t="str">
        <f t="shared" si="37"/>
        <v>"C:\Program Files (x86)\AstroGrep\AstroGrep.exe" /spath="%USERPROFILE%\AppData\Local\Temp\OnboardLogs" /stypes="app*4002*20160928*" /stext=" 20:.+((SYSTEM_STATE.+slice.+state.+changed )|(ment ac)|(system.+state.+changed )|(\[timeout)|(PRM\|1\|D)|(kpr)|(kdp)|(\|lc)|(penalty))" /e /r /s</v>
      </c>
      <c r="AG95" s="1" t="str">
        <f t="shared" si="38"/>
        <v>EC</v>
      </c>
      <c r="AH95" s="96" t="str">
        <f t="shared" si="39"/>
        <v>"%USERPROFILE%\Documents\GitHub\eaglep3\Utilities\RefineRTDCRunTimes.py" --tripid 183-28 --locoid 4002 --swversion DE.1.0.7.0 --startMP 204:464 --initTime 2016-09-28T13:52:45 --startdatetime 2016-09-28T14:00:20 --delay 1 --endMP 204:233125 --enddatetime 2016-09-28T14:37:34 --enforcementcount 0 &gt;&gt;C:\Users\stu\Documents\GitHub\eaglep3-reporting\EC\2016-09-28-refined-times.txt</v>
      </c>
      <c r="AI95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{"issue":{"subject":"","project_id":79,"tracker_id":40,"status_id":1,"priority_id":2,"assigned_to_id":23,"start_date":"2016-09-28","description":"","custom_fields":[{"id":1,"name":"Subdivision","value":"EC"},{"id":4,"name":"Milepost","value":"23.3125"},{"id":17,"name":"Train ID","value":"183-28"},{"id":16,"name":"Locomotive ID","value":"4002"},{"id":130,"name":"Impact","value":""},{"id":150,"name":"Time of Event (Mountain Time)","value":"14:37:34"},{"id":151,"name":"Denver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502</v>
      </c>
      <c r="B96" s="7">
        <v>4001</v>
      </c>
      <c r="C96" s="24" t="s">
        <v>106</v>
      </c>
      <c r="D96" s="24" t="s">
        <v>651</v>
      </c>
      <c r="E96" s="15">
        <v>42641.612581018519</v>
      </c>
      <c r="F96" s="15">
        <v>42641.622615740744</v>
      </c>
      <c r="G96" s="7">
        <v>1</v>
      </c>
      <c r="H96" s="15" t="s">
        <v>627</v>
      </c>
      <c r="I96" s="15">
        <v>42641.650856481479</v>
      </c>
      <c r="J96" s="7">
        <v>0</v>
      </c>
      <c r="K96" s="117" t="str">
        <f t="shared" si="26"/>
        <v>4001/4002</v>
      </c>
      <c r="L96" s="24" t="str">
        <f>VLOOKUP(A96,'Trips&amp;Operators'!$C$1:$E$10000,3,FALSE)</f>
        <v>BRUDER</v>
      </c>
      <c r="M96" s="6">
        <f t="shared" si="27"/>
        <v>2.824074073578231E-2</v>
      </c>
      <c r="N96" s="7">
        <f t="shared" si="41"/>
        <v>40.666666659526527</v>
      </c>
      <c r="O96" s="7"/>
      <c r="P96" s="7"/>
      <c r="Q96" s="25"/>
      <c r="R96" s="25"/>
      <c r="S96" s="37">
        <f t="shared" si="28"/>
        <v>1</v>
      </c>
      <c r="T96" s="52" t="str">
        <f t="shared" si="29"/>
        <v>Southbound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13:42:07-0600',mode:absolute,to:'2016-09-28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6" s="54" t="str">
        <f t="shared" si="31"/>
        <v>N</v>
      </c>
      <c r="X96" s="164">
        <f t="shared" si="25"/>
        <v>1</v>
      </c>
      <c r="Y96" s="69">
        <f t="shared" si="32"/>
        <v>23.282299999999999</v>
      </c>
      <c r="Z96" s="69">
        <f t="shared" si="33"/>
        <v>1.3899999999999999E-2</v>
      </c>
      <c r="AA96" s="69">
        <f t="shared" si="34"/>
        <v>23.2684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5"/>
        <v>0184-28</v>
      </c>
      <c r="AE96" s="95" t="str">
        <f t="shared" si="36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96" s="92" t="str">
        <f t="shared" si="37"/>
        <v>"C:\Program Files (x86)\AstroGrep\AstroGrep.exe" /spath="%USERPROFILE%\AppData\Local\Temp\OnboardLogs" /stypes="app*4001*20160928*" /stext=" 21:.+((SYSTEM_STATE.+slice.+state.+changed )|(ment ac)|(system.+state.+changed )|(\[timeout)|(PRM\|1\|D)|(kpr)|(kdp)|(\|lc)|(penalty))" /e /r /s</v>
      </c>
      <c r="AG96" s="1" t="str">
        <f t="shared" si="38"/>
        <v>EC</v>
      </c>
      <c r="AH96" s="96" t="str">
        <f t="shared" si="39"/>
        <v>"%USERPROFILE%\Documents\GitHub\eaglep3\Utilities\RefineRTDCRunTimes.py" --tripid 184-28 --locoid 4001 --swversion DE.1.0.7.0 --startMP 204:232823 --initTime 2016-09-28T14:42:07 --startdatetime 2016-09-28T14:56:34 --delay 1 --endMP 204:139 --enddatetime 2016-09-28T15:37:14 --enforcementcount 0 &gt;&gt;C:\Users\stu\Documents\GitHub\eaglep3-reporting\EC\2016-09-28-refined-times.txt</v>
      </c>
      <c r="AI96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{"issue":{"subject":"","project_id":79,"tracker_id":40,"status_id":1,"priority_id":2,"assigned_to_id":23,"start_date":"2016-09-28","description":"","custom_fields":[{"id":1,"name":"Subdivision","value":"EC"},{"id":4,"name":"Milepost","value":"0.0139"},{"id":17,"name":"Train ID","value":"184-28"},{"id":16,"name":"Locomotive ID","value":"4001"},{"id":130,"name":"Impact","value":""},{"id":150,"name":"Time of Event (Mountain Time)","value":"15:37:14"},{"id":151,"name":"Denver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495</v>
      </c>
      <c r="B97" s="7">
        <v>4020</v>
      </c>
      <c r="C97" s="24" t="s">
        <v>106</v>
      </c>
      <c r="D97" s="24" t="s">
        <v>337</v>
      </c>
      <c r="E97" s="15">
        <v>42641.588750000003</v>
      </c>
      <c r="F97" s="15">
        <v>42641.59412037037</v>
      </c>
      <c r="G97" s="7">
        <v>1</v>
      </c>
      <c r="H97" s="15" t="s">
        <v>652</v>
      </c>
      <c r="I97" s="15">
        <v>42641.620428240742</v>
      </c>
      <c r="J97" s="7">
        <v>0</v>
      </c>
      <c r="K97" s="117" t="str">
        <f t="shared" si="26"/>
        <v>4019/4020</v>
      </c>
      <c r="L97" s="24" t="str">
        <f>VLOOKUP(A97,'Trips&amp;Operators'!$C$1:$E$10000,3,FALSE)</f>
        <v>STORY</v>
      </c>
      <c r="M97" s="6">
        <f t="shared" si="27"/>
        <v>2.6307870371965691E-2</v>
      </c>
      <c r="N97" s="7">
        <f t="shared" si="41"/>
        <v>37.883333335630596</v>
      </c>
      <c r="O97" s="7"/>
      <c r="P97" s="7"/>
      <c r="Q97" s="25"/>
      <c r="R97" s="25"/>
      <c r="S97" s="37">
        <f t="shared" si="28"/>
        <v>1</v>
      </c>
      <c r="T97" s="52" t="str">
        <f t="shared" si="29"/>
        <v>NorthBound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13:07:48-0600',mode:absolute,to:'2016-09-28 15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7" s="54" t="str">
        <f t="shared" si="31"/>
        <v>N</v>
      </c>
      <c r="X97" s="164">
        <f t="shared" ref="X97:X126" si="42">VALUE(LEFT(AD97,4))-VALUE(LEFT(AD96,4))</f>
        <v>1</v>
      </c>
      <c r="Y97" s="69">
        <f t="shared" si="32"/>
        <v>4.3099999999999999E-2</v>
      </c>
      <c r="Z97" s="69">
        <f t="shared" si="33"/>
        <v>23.337</v>
      </c>
      <c r="AA97" s="69">
        <f t="shared" si="34"/>
        <v>23.293900000000001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5"/>
        <v>0185-28</v>
      </c>
      <c r="AE97" s="95" t="str">
        <f t="shared" si="36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97" s="92" t="str">
        <f t="shared" si="37"/>
        <v>"C:\Program Files (x86)\AstroGrep\AstroGrep.exe" /spath="%USERPROFILE%\AppData\Local\Temp\OnboardLogs" /stypes="app*4020*20160928*" /stext=" 20:.+((SYSTEM_STATE.+slice.+state.+changed )|(ment ac)|(system.+state.+changed )|(\[timeout)|(PRM\|1\|D)|(kpr)|(kdp)|(\|lc)|(penalty))" /e /r /s</v>
      </c>
      <c r="AG97" s="1" t="str">
        <f t="shared" si="38"/>
        <v>EC</v>
      </c>
      <c r="AH97" s="96" t="str">
        <f t="shared" si="39"/>
        <v>"%USERPROFILE%\Documents\GitHub\eaglep3\Utilities\RefineRTDCRunTimes.py" --tripid 185-28 --locoid 4020 --swversion DE.1.0.7.0 --startMP 204:431 --initTime 2016-09-28T14:07:48 --startdatetime 2016-09-28T14:15:32 --delay 1 --endMP 204:233370 --enddatetime 2016-09-28T14:53:25 --enforcementcount 0 &gt;&gt;C:\Users\stu\Documents\GitHub\eaglep3-reporting\EC\2016-09-28-refined-times.txt</v>
      </c>
      <c r="AI97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{"issue":{"subject":"","project_id":79,"tracker_id":40,"status_id":1,"priority_id":2,"assigned_to_id":23,"start_date":"2016-09-28","description":"","custom_fields":[{"id":1,"name":"Subdivision","value":"EC"},{"id":4,"name":"Milepost","value":"23.337"},{"id":17,"name":"Train ID","value":"185-28"},{"id":16,"name":"Locomotive ID","value":"4020"},{"id":130,"name":"Impact","value":""},{"id":150,"name":"Time of Event (Mountain Time)","value":"14:53:25"},{"id":151,"name":"Denver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504</v>
      </c>
      <c r="B98" s="7">
        <v>4019</v>
      </c>
      <c r="C98" s="24" t="s">
        <v>106</v>
      </c>
      <c r="D98" s="24" t="s">
        <v>653</v>
      </c>
      <c r="E98" s="15">
        <v>42641.62672453704</v>
      </c>
      <c r="F98" s="15">
        <v>42641.632986111108</v>
      </c>
      <c r="G98" s="7">
        <v>1</v>
      </c>
      <c r="H98" s="15" t="s">
        <v>342</v>
      </c>
      <c r="I98" s="15">
        <v>42641.660729166666</v>
      </c>
      <c r="J98" s="7">
        <v>0</v>
      </c>
      <c r="K98" s="117" t="str">
        <f t="shared" si="26"/>
        <v>4019/4020</v>
      </c>
      <c r="L98" s="24" t="str">
        <f>VLOOKUP(A98,'Trips&amp;Operators'!$C$1:$E$10000,3,FALSE)</f>
        <v>STORY</v>
      </c>
      <c r="M98" s="6">
        <f t="shared" si="27"/>
        <v>2.7743055557948537E-2</v>
      </c>
      <c r="N98" s="7">
        <f t="shared" si="41"/>
        <v>39.950000003445894</v>
      </c>
      <c r="O98" s="7"/>
      <c r="P98" s="7"/>
      <c r="Q98" s="25"/>
      <c r="R98" s="25"/>
      <c r="S98" s="37">
        <f t="shared" si="28"/>
        <v>1</v>
      </c>
      <c r="T98" s="52" t="str">
        <f t="shared" si="29"/>
        <v>Southbound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14:02:29-0600',mode:absolute,to:'2016-09-28 16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8" s="54" t="str">
        <f t="shared" si="31"/>
        <v>N</v>
      </c>
      <c r="X98" s="164">
        <f t="shared" si="42"/>
        <v>1</v>
      </c>
      <c r="Y98" s="69">
        <f t="shared" si="32"/>
        <v>23.3049</v>
      </c>
      <c r="Z98" s="69">
        <f t="shared" si="33"/>
        <v>1.6899999999999998E-2</v>
      </c>
      <c r="AA98" s="69">
        <f t="shared" si="34"/>
        <v>23.288</v>
      </c>
      <c r="AB98" s="66" t="str">
        <f>VLOOKUP(A98,Enforcements!$C$7:$K$21,8,0)</f>
        <v>Bulletin (2)</v>
      </c>
      <c r="AC98" s="62" t="str">
        <f>VLOOKUP(A98,Enforcements!$C$7:$E$21,3,0)</f>
        <v>GRADE CROSSING</v>
      </c>
      <c r="AD98" s="63" t="str">
        <f t="shared" si="35"/>
        <v>0186-28</v>
      </c>
      <c r="AE98" s="95" t="str">
        <f t="shared" si="36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98" s="92" t="str">
        <f t="shared" si="37"/>
        <v>"C:\Program Files (x86)\AstroGrep\AstroGrep.exe" /spath="%USERPROFILE%\AppData\Local\Temp\OnboardLogs" /stypes="app*4019*20160928*" /stext=" 21:.+((SYSTEM_STATE.+slice.+state.+changed )|(ment ac)|(system.+state.+changed )|(\[timeout)|(PRM\|1\|D)|(kpr)|(kdp)|(\|lc)|(penalty))" /e /r /s</v>
      </c>
      <c r="AG98" s="1" t="str">
        <f t="shared" si="38"/>
        <v>EC</v>
      </c>
      <c r="AH98" s="96" t="str">
        <f t="shared" si="39"/>
        <v>"%USERPROFILE%\Documents\GitHub\eaglep3\Utilities\RefineRTDCRunTimes.py" --tripid 186-28 --locoid 4019 --swversion DE.1.0.7.0 --startMP 204:233049 --initTime 2016-09-28T15:02:29 --startdatetime 2016-09-28T15:11:30 --delay 1 --endMP 204:169 --enddatetime 2016-09-28T15:51:27 --enforcementcount 0 &gt;&gt;C:\Users\stu\Documents\GitHub\eaglep3-reporting\EC\2016-09-28-refined-times.txt</v>
      </c>
      <c r="AI98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{"issue":{"subject":"","project_id":79,"tracker_id":40,"status_id":1,"priority_id":2,"assigned_to_id":23,"start_date":"2016-09-28","description":"","custom_fields":[{"id":1,"name":"Subdivision","value":"EC"},{"id":4,"name":"Milepost","value":"0.0169"},{"id":17,"name":"Train ID","value":"186-28"},{"id":16,"name":"Locomotive ID","value":"4019"},{"id":130,"name":"Impact","value":""},{"id":150,"name":"Time of Event (Mountain Time)","value":"15:51:27"},{"id":151,"name":"Denver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498</v>
      </c>
      <c r="B99" s="7">
        <v>4007</v>
      </c>
      <c r="C99" s="24" t="s">
        <v>106</v>
      </c>
      <c r="D99" s="24" t="s">
        <v>228</v>
      </c>
      <c r="E99" s="15">
        <v>42641.599328703705</v>
      </c>
      <c r="F99" s="15">
        <v>42641.604363425926</v>
      </c>
      <c r="G99" s="7">
        <v>1</v>
      </c>
      <c r="H99" s="15" t="s">
        <v>268</v>
      </c>
      <c r="I99" s="15">
        <v>42641.63082175926</v>
      </c>
      <c r="J99" s="7">
        <v>0</v>
      </c>
      <c r="K99" s="117" t="str">
        <f t="shared" si="26"/>
        <v>4007/4008</v>
      </c>
      <c r="L99" s="24" t="str">
        <f>VLOOKUP(A99,'Trips&amp;Operators'!$C$1:$E$10000,3,FALSE)</f>
        <v>BONDS</v>
      </c>
      <c r="M99" s="6">
        <f t="shared" si="27"/>
        <v>2.6458333333721384E-2</v>
      </c>
      <c r="N99" s="7">
        <f t="shared" si="41"/>
        <v>38.100000000558794</v>
      </c>
      <c r="O99" s="7"/>
      <c r="P99" s="7"/>
      <c r="Q99" s="25"/>
      <c r="R99" s="25"/>
      <c r="S99" s="37">
        <f t="shared" si="28"/>
        <v>1</v>
      </c>
      <c r="T99" s="52" t="str">
        <f t="shared" si="29"/>
        <v>NorthBound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13:23:02-0600',mode:absolute,to:'2016-09-28 16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99" s="54" t="str">
        <f t="shared" si="31"/>
        <v>N</v>
      </c>
      <c r="X99" s="164">
        <f t="shared" si="42"/>
        <v>1</v>
      </c>
      <c r="Y99" s="69">
        <f t="shared" si="32"/>
        <v>4.6699999999999998E-2</v>
      </c>
      <c r="Z99" s="69">
        <f t="shared" si="33"/>
        <v>23.3306</v>
      </c>
      <c r="AA99" s="69">
        <f t="shared" si="34"/>
        <v>23.283899999999999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5"/>
        <v>0187-28</v>
      </c>
      <c r="AE99" s="95" t="str">
        <f t="shared" si="36"/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AF99" s="92" t="str">
        <f t="shared" si="37"/>
        <v>"C:\Program Files (x86)\AstroGrep\AstroGrep.exe" /spath="%USERPROFILE%\AppData\Local\Temp\OnboardLogs" /stypes="app*4007*20160928*" /stext=" 21:.+((SYSTEM_STATE.+slice.+state.+changed )|(ment ac)|(system.+state.+changed )|(\[timeout)|(PRM\|1\|D)|(kpr)|(kdp)|(\|lc)|(penalty))" /e /r /s</v>
      </c>
      <c r="AG99" s="1" t="str">
        <f t="shared" si="38"/>
        <v>EC</v>
      </c>
      <c r="AH99" s="96" t="str">
        <f t="shared" si="39"/>
        <v>"%USERPROFILE%\Documents\GitHub\eaglep3\Utilities\RefineRTDCRunTimes.py" --tripid 187-28 --locoid 4007 --swversion DE.1.0.7.0 --startMP 204:467 --initTime 2016-09-28T14:23:02 --startdatetime 2016-09-28T14:30:17 --delay 1 --endMP 204:233306 --enddatetime 2016-09-28T15:08:23 --enforcementcount 0 &gt;&gt;C:\Users\stu\Documents\GitHub\eaglep3-reporting\EC\2016-09-28-refined-times.txt</v>
      </c>
      <c r="AI99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{"issue":{"subject":"","project_id":79,"tracker_id":40,"status_id":1,"priority_id":2,"assigned_to_id":23,"start_date":"2016-09-28","description":"","custom_fields":[{"id":1,"name":"Subdivision","value":"EC"},{"id":4,"name":"Milepost","value":"23.3306"},{"id":17,"name":"Train ID","value":"187-28"},{"id":16,"name":"Locomotive ID","value":"4007"},{"id":130,"name":"Impact","value":""},{"id":150,"name":"Time of Event (Mountain Time)","value":"15:08:23"},{"id":151,"name":"Denver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507</v>
      </c>
      <c r="B100" s="7">
        <v>4008</v>
      </c>
      <c r="C100" s="24" t="s">
        <v>106</v>
      </c>
      <c r="D100" s="24" t="s">
        <v>299</v>
      </c>
      <c r="E100" s="15">
        <v>42641.635474537034</v>
      </c>
      <c r="F100" s="15">
        <v>42641.643449074072</v>
      </c>
      <c r="G100" s="7">
        <v>1</v>
      </c>
      <c r="H100" s="15" t="s">
        <v>217</v>
      </c>
      <c r="I100" s="15">
        <v>42641.671180555553</v>
      </c>
      <c r="J100" s="7">
        <v>0</v>
      </c>
      <c r="K100" s="117" t="str">
        <f t="shared" si="26"/>
        <v>4007/4008</v>
      </c>
      <c r="L100" s="24" t="str">
        <f>VLOOKUP(A100,'Trips&amp;Operators'!$C$1:$E$10000,3,FALSE)</f>
        <v>BONDS</v>
      </c>
      <c r="M100" s="6">
        <f t="shared" si="27"/>
        <v>2.7731481481168885E-2</v>
      </c>
      <c r="N100" s="7">
        <f t="shared" si="41"/>
        <v>39.933333332883194</v>
      </c>
      <c r="O100" s="7"/>
      <c r="P100" s="7"/>
      <c r="Q100" s="25"/>
      <c r="R100" s="25"/>
      <c r="S100" s="37">
        <f t="shared" si="28"/>
        <v>1</v>
      </c>
      <c r="T100" s="52" t="str">
        <f t="shared" si="29"/>
        <v>Southbound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14:15:05-0600',mode:absolute,to:'2016-09-28 17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00" s="54" t="str">
        <f t="shared" si="31"/>
        <v>N</v>
      </c>
      <c r="X100" s="164">
        <f t="shared" si="42"/>
        <v>1</v>
      </c>
      <c r="Y100" s="69">
        <f t="shared" si="32"/>
        <v>23.2987</v>
      </c>
      <c r="Z100" s="69">
        <f t="shared" si="33"/>
        <v>1.47E-2</v>
      </c>
      <c r="AA100" s="69">
        <f t="shared" si="34"/>
        <v>23.283999999999999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5"/>
        <v>0188-28</v>
      </c>
      <c r="AE100" s="95" t="str">
        <f t="shared" si="36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100" s="92" t="str">
        <f t="shared" si="37"/>
        <v>"C:\Program Files (x86)\AstroGrep\AstroGrep.exe" /spath="%USERPROFILE%\AppData\Local\Temp\OnboardLogs" /stypes="app*4008*20160928*" /stext=" 22:.+((SYSTEM_STATE.+slice.+state.+changed )|(ment ac)|(system.+state.+changed )|(\[timeout)|(PRM\|1\|D)|(kpr)|(kdp)|(\|lc)|(penalty))" /e /r /s</v>
      </c>
      <c r="AG100" s="1" t="str">
        <f t="shared" si="38"/>
        <v>EC</v>
      </c>
      <c r="AH100" s="96" t="str">
        <f t="shared" si="39"/>
        <v>"%USERPROFILE%\Documents\GitHub\eaglep3\Utilities\RefineRTDCRunTimes.py" --tripid 188-28 --locoid 4008 --swversion DE.1.0.7.0 --startMP 204:232987 --initTime 2016-09-28T15:15:05 --startdatetime 2016-09-28T15:26:34 --delay 1 --endMP 204:147 --enddatetime 2016-09-28T16:06:30 --enforcementcount 0 &gt;&gt;C:\Users\stu\Documents\GitHub\eaglep3-reporting\EC\2016-09-28-refined-times.txt</v>
      </c>
      <c r="AI100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{"issue":{"subject":"","project_id":79,"tracker_id":40,"status_id":1,"priority_id":2,"assigned_to_id":23,"start_date":"2016-09-28","description":"","custom_fields":[{"id":1,"name":"Subdivision","value":"EC"},{"id":4,"name":"Milepost","value":"0.0147"},{"id":17,"name":"Train ID","value":"188-28"},{"id":16,"name":"Locomotive ID","value":"4008"},{"id":130,"name":"Impact","value":""},{"id":150,"name":"Time of Event (Mountain Time)","value":"16:06:30"},{"id":151,"name":"Denver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501</v>
      </c>
      <c r="B101" s="7">
        <v>4018</v>
      </c>
      <c r="C101" s="24" t="s">
        <v>106</v>
      </c>
      <c r="D101" s="24" t="s">
        <v>222</v>
      </c>
      <c r="E101" s="15">
        <v>42641.610347222224</v>
      </c>
      <c r="F101" s="15">
        <v>42641.614988425928</v>
      </c>
      <c r="G101" s="7">
        <v>1</v>
      </c>
      <c r="H101" s="15" t="s">
        <v>631</v>
      </c>
      <c r="I101" s="15">
        <v>42641.640856481485</v>
      </c>
      <c r="J101" s="7">
        <v>0</v>
      </c>
      <c r="K101" s="117" t="str">
        <f t="shared" si="26"/>
        <v>4017/4018</v>
      </c>
      <c r="L101" s="24" t="str">
        <f>VLOOKUP(A101,'Trips&amp;Operators'!$C$1:$E$10000,3,FALSE)</f>
        <v>BARTLETT</v>
      </c>
      <c r="M101" s="6">
        <f t="shared" si="27"/>
        <v>2.5868055556202307E-2</v>
      </c>
      <c r="N101" s="7">
        <f t="shared" si="41"/>
        <v>37.250000000931323</v>
      </c>
      <c r="O101" s="7"/>
      <c r="P101" s="7"/>
      <c r="Q101" s="25"/>
      <c r="R101" s="25"/>
      <c r="S101" s="37">
        <f t="shared" si="28"/>
        <v>1</v>
      </c>
      <c r="T101" s="52" t="str">
        <f t="shared" si="29"/>
        <v>NorthBound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13:38:54-0600',mode:absolute,to:'2016-09-28 16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1" s="54" t="str">
        <f t="shared" si="31"/>
        <v>N</v>
      </c>
      <c r="X101" s="164">
        <f t="shared" si="42"/>
        <v>1</v>
      </c>
      <c r="Y101" s="69">
        <f t="shared" si="32"/>
        <v>4.5699999999999998E-2</v>
      </c>
      <c r="Z101" s="69">
        <f t="shared" si="33"/>
        <v>23.329899999999999</v>
      </c>
      <c r="AA101" s="69">
        <f t="shared" si="34"/>
        <v>23.284199999999998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5"/>
        <v>0189-28</v>
      </c>
      <c r="AE101" s="95" t="str">
        <f t="shared" si="36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101" s="92" t="str">
        <f t="shared" si="37"/>
        <v>"C:\Program Files (x86)\AstroGrep\AstroGrep.exe" /spath="%USERPROFILE%\AppData\Local\Temp\OnboardLogs" /stypes="app*4018*20160928*" /stext=" 21:.+((SYSTEM_STATE.+slice.+state.+changed )|(ment ac)|(system.+state.+changed )|(\[timeout)|(PRM\|1\|D)|(kpr)|(kdp)|(\|lc)|(penalty))" /e /r /s</v>
      </c>
      <c r="AG101" s="1" t="str">
        <f t="shared" si="38"/>
        <v>EC</v>
      </c>
      <c r="AH101" s="96" t="str">
        <f t="shared" si="39"/>
        <v>"%USERPROFILE%\Documents\GitHub\eaglep3\Utilities\RefineRTDCRunTimes.py" --tripid 189-28 --locoid 4018 --swversion DE.1.0.7.0 --startMP 204:457 --initTime 2016-09-28T14:38:54 --startdatetime 2016-09-28T14:45:35 --delay 1 --endMP 204:233299 --enddatetime 2016-09-28T15:22:50 --enforcementcount 0 &gt;&gt;C:\Users\stu\Documents\GitHub\eaglep3-reporting\EC\2016-09-28-refined-times.txt</v>
      </c>
      <c r="AI101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{"issue":{"subject":"","project_id":79,"tracker_id":40,"status_id":1,"priority_id":2,"assigned_to_id":23,"start_date":"2016-09-28","description":"","custom_fields":[{"id":1,"name":"Subdivision","value":"EC"},{"id":4,"name":"Milepost","value":"23.3299"},{"id":17,"name":"Train ID","value":"189-28"},{"id":16,"name":"Locomotive ID","value":"4018"},{"id":130,"name":"Impact","value":""},{"id":150,"name":"Time of Event (Mountain Time)","value":"15:22:50"},{"id":151,"name":"Denver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510</v>
      </c>
      <c r="B102" s="7">
        <v>4017</v>
      </c>
      <c r="C102" s="24" t="s">
        <v>106</v>
      </c>
      <c r="D102" s="24" t="s">
        <v>647</v>
      </c>
      <c r="E102" s="15">
        <v>42641.64340277778</v>
      </c>
      <c r="F102" s="15">
        <v>42641.653634259259</v>
      </c>
      <c r="G102" s="7">
        <v>1</v>
      </c>
      <c r="H102" s="15" t="s">
        <v>216</v>
      </c>
      <c r="I102" s="15">
        <v>42641.682881944442</v>
      </c>
      <c r="J102" s="7">
        <v>0</v>
      </c>
      <c r="K102" s="117" t="str">
        <f t="shared" si="26"/>
        <v>4017/4018</v>
      </c>
      <c r="L102" s="24" t="str">
        <f>VLOOKUP(A102,'Trips&amp;Operators'!$C$1:$E$10000,3,FALSE)</f>
        <v>BARTLETT</v>
      </c>
      <c r="M102" s="6">
        <f t="shared" si="27"/>
        <v>2.9247685182781424E-2</v>
      </c>
      <c r="N102" s="7">
        <f t="shared" si="41"/>
        <v>42.116666663205251</v>
      </c>
      <c r="O102" s="7"/>
      <c r="P102" s="7"/>
      <c r="Q102" s="25"/>
      <c r="R102" s="25"/>
      <c r="S102" s="37">
        <f t="shared" si="28"/>
        <v>1</v>
      </c>
      <c r="T102" s="52" t="str">
        <f t="shared" si="29"/>
        <v>Southbound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14:26:30-0600',mode:absolute,to:'2016-09-28 17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2" s="54" t="str">
        <f t="shared" si="31"/>
        <v>N</v>
      </c>
      <c r="X102" s="164">
        <f t="shared" si="42"/>
        <v>1</v>
      </c>
      <c r="Y102" s="69">
        <f t="shared" si="32"/>
        <v>23.2986</v>
      </c>
      <c r="Z102" s="69">
        <f t="shared" si="33"/>
        <v>1.5800000000000002E-2</v>
      </c>
      <c r="AA102" s="69">
        <f t="shared" si="34"/>
        <v>23.282800000000002</v>
      </c>
      <c r="AB102" s="66" t="str">
        <f>VLOOKUP(A102,Enforcements!$C$7:$K$21,8,0)</f>
        <v>Bulletin (2)</v>
      </c>
      <c r="AC102" s="62" t="str">
        <f>VLOOKUP(A102,Enforcements!$C$7:$E$21,3,0)</f>
        <v>GRADE CROSSING</v>
      </c>
      <c r="AD102" s="63" t="str">
        <f t="shared" si="35"/>
        <v>0190-28</v>
      </c>
      <c r="AE102" s="95" t="str">
        <f t="shared" si="36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102" s="92" t="str">
        <f t="shared" si="37"/>
        <v>"C:\Program Files (x86)\AstroGrep\AstroGrep.exe" /spath="%USERPROFILE%\AppData\Local\Temp\OnboardLogs" /stypes="app*4017*20160928*" /stext=" 22:.+((SYSTEM_STATE.+slice.+state.+changed )|(ment ac)|(system.+state.+changed )|(\[timeout)|(PRM\|1\|D)|(kpr)|(kdp)|(\|lc)|(penalty))" /e /r /s</v>
      </c>
      <c r="AG102" s="1" t="str">
        <f t="shared" si="38"/>
        <v>EC</v>
      </c>
      <c r="AH102" s="96" t="str">
        <f t="shared" si="39"/>
        <v>"%USERPROFILE%\Documents\GitHub\eaglep3\Utilities\RefineRTDCRunTimes.py" --tripid 190-28 --locoid 4017 --swversion DE.1.0.7.0 --startMP 204:232986 --initTime 2016-09-28T15:26:30 --startdatetime 2016-09-28T15:41:14 --delay 1 --endMP 204:158 --enddatetime 2016-09-28T16:23:21 --enforcementcount 0 &gt;&gt;C:\Users\stu\Documents\GitHub\eaglep3-reporting\EC\2016-09-28-refined-times.txt</v>
      </c>
      <c r="AI102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{"issue":{"subject":"","project_id":79,"tracker_id":40,"status_id":1,"priority_id":2,"assigned_to_id":23,"start_date":"2016-09-28","description":"","custom_fields":[{"id":1,"name":"Subdivision","value":"EC"},{"id":4,"name":"Milepost","value":"0.0158"},{"id":17,"name":"Train ID","value":"190-28"},{"id":16,"name":"Locomotive ID","value":"4017"},{"id":130,"name":"Impact","value":""},{"id":150,"name":"Time of Event (Mountain Time)","value":"16:23:21"},{"id":151,"name":"Denver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503</v>
      </c>
      <c r="B103" s="7">
        <v>4014</v>
      </c>
      <c r="C103" s="24" t="s">
        <v>106</v>
      </c>
      <c r="D103" s="24" t="s">
        <v>218</v>
      </c>
      <c r="E103" s="15">
        <v>42641.620682870373</v>
      </c>
      <c r="F103" s="15">
        <v>42641.625185185185</v>
      </c>
      <c r="G103" s="7">
        <v>6</v>
      </c>
      <c r="H103" s="15" t="s">
        <v>641</v>
      </c>
      <c r="I103" s="15">
        <v>42641.652256944442</v>
      </c>
      <c r="J103" s="7">
        <v>0</v>
      </c>
      <c r="K103" s="117" t="str">
        <f t="shared" si="26"/>
        <v>4013/4014</v>
      </c>
      <c r="L103" s="24" t="str">
        <f>VLOOKUP(A103,'Trips&amp;Operators'!$C$1:$E$10000,3,FALSE)</f>
        <v>HELVIE</v>
      </c>
      <c r="M103" s="6">
        <f t="shared" si="27"/>
        <v>2.7071759257523809E-2</v>
      </c>
      <c r="N103" s="7">
        <f t="shared" si="41"/>
        <v>38.983333330834284</v>
      </c>
      <c r="O103" s="7"/>
      <c r="P103" s="7"/>
      <c r="Q103" s="25"/>
      <c r="R103" s="25"/>
      <c r="S103" s="37">
        <f t="shared" si="28"/>
        <v>1</v>
      </c>
      <c r="T103" s="52" t="str">
        <f t="shared" si="29"/>
        <v>NorthBound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13:53:47-0600',mode:absolute,to:'2016-09-28 16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3" s="54" t="str">
        <f t="shared" si="31"/>
        <v>N</v>
      </c>
      <c r="X103" s="164">
        <f t="shared" si="42"/>
        <v>1</v>
      </c>
      <c r="Y103" s="69">
        <f t="shared" si="32"/>
        <v>4.53E-2</v>
      </c>
      <c r="Z103" s="69">
        <f t="shared" si="33"/>
        <v>23.329799999999999</v>
      </c>
      <c r="AA103" s="69">
        <f t="shared" si="34"/>
        <v>23.284499999999998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5"/>
        <v>0191-28</v>
      </c>
      <c r="AE103" s="95" t="str">
        <f t="shared" si="36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103" s="92" t="str">
        <f t="shared" si="37"/>
        <v>"C:\Program Files (x86)\AstroGrep\AstroGrep.exe" /spath="%USERPROFILE%\AppData\Local\Temp\OnboardLogs" /stypes="app*4014*20160928*" /stext=" 21:.+((SYSTEM_STATE.+slice.+state.+changed )|(ment ac)|(system.+state.+changed )|(\[timeout)|(PRM\|1\|D)|(kpr)|(kdp)|(\|lc)|(penalty))" /e /r /s</v>
      </c>
      <c r="AG103" s="1" t="str">
        <f t="shared" si="38"/>
        <v>EC</v>
      </c>
      <c r="AH103" s="96" t="str">
        <f t="shared" si="39"/>
        <v>"%USERPROFILE%\Documents\GitHub\eaglep3\Utilities\RefineRTDCRunTimes.py" --tripid 191-28 --locoid 4014 --swversion DE.1.0.7.0 --startMP 204:453 --initTime 2016-09-28T14:53:47 --startdatetime 2016-09-28T15:00:16 --delay 6 --endMP 204:233298 --enddatetime 2016-09-28T15:39:15 --enforcementcount 0 &gt;&gt;C:\Users\stu\Documents\GitHub\eaglep3-reporting\EC\2016-09-28-refined-times.txt</v>
      </c>
      <c r="AI103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{"issue":{"subject":"","project_id":79,"tracker_id":40,"status_id":1,"priority_id":2,"assigned_to_id":23,"start_date":"2016-09-28","description":"","custom_fields":[{"id":1,"name":"Subdivision","value":"EC"},{"id":4,"name":"Milepost","value":"23.3298"},{"id":17,"name":"Train ID","value":"191-28"},{"id":16,"name":"Locomotive ID","value":"4014"},{"id":130,"name":"Impact","value":""},{"id":150,"name":"Time of Event (Mountain Time)","value":"15:39:15"},{"id":151,"name":"Denver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514</v>
      </c>
      <c r="B104" s="7">
        <v>4013</v>
      </c>
      <c r="C104" s="24" t="s">
        <v>106</v>
      </c>
      <c r="D104" s="24" t="s">
        <v>343</v>
      </c>
      <c r="E104" s="15">
        <v>42641.659918981481</v>
      </c>
      <c r="F104" s="15">
        <v>42641.664085648146</v>
      </c>
      <c r="G104" s="7">
        <v>5</v>
      </c>
      <c r="H104" s="15" t="s">
        <v>241</v>
      </c>
      <c r="I104" s="15">
        <v>42641.692986111113</v>
      </c>
      <c r="J104" s="7">
        <v>0</v>
      </c>
      <c r="K104" s="117" t="str">
        <f t="shared" si="26"/>
        <v>4013/4014</v>
      </c>
      <c r="L104" s="24" t="str">
        <f>VLOOKUP(A104,'Trips&amp;Operators'!$C$1:$E$10000,3,FALSE)</f>
        <v>HELVIE</v>
      </c>
      <c r="M104" s="6">
        <f t="shared" si="27"/>
        <v>2.8900462966703344E-2</v>
      </c>
      <c r="N104" s="7">
        <f t="shared" si="41"/>
        <v>41.616666672052816</v>
      </c>
      <c r="O104" s="7"/>
      <c r="P104" s="7"/>
      <c r="Q104" s="25"/>
      <c r="R104" s="25"/>
      <c r="S104" s="37">
        <f t="shared" si="28"/>
        <v>1</v>
      </c>
      <c r="T104" s="52" t="str">
        <f t="shared" si="29"/>
        <v>Southbound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14:50:17-0600',mode:absolute,to:'2016-09-28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4" s="54" t="str">
        <f t="shared" si="31"/>
        <v>N</v>
      </c>
      <c r="X104" s="164">
        <f t="shared" si="42"/>
        <v>1</v>
      </c>
      <c r="Y104" s="69">
        <f t="shared" si="32"/>
        <v>23.299099999999999</v>
      </c>
      <c r="Z104" s="69">
        <f t="shared" si="33"/>
        <v>1.5599999999999999E-2</v>
      </c>
      <c r="AA104" s="69">
        <f t="shared" si="34"/>
        <v>23.2835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5"/>
        <v>0192-28</v>
      </c>
      <c r="AE104" s="95" t="str">
        <f t="shared" si="36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104" s="92" t="str">
        <f t="shared" si="37"/>
        <v>"C:\Program Files (x86)\AstroGrep\AstroGrep.exe" /spath="%USERPROFILE%\AppData\Local\Temp\OnboardLogs" /stypes="app*4013*20160928*" /stext=" 22:.+((SYSTEM_STATE.+slice.+state.+changed )|(ment ac)|(system.+state.+changed )|(\[timeout)|(PRM\|1\|D)|(kpr)|(kdp)|(\|lc)|(penalty))" /e /r /s</v>
      </c>
      <c r="AG104" s="1" t="str">
        <f t="shared" si="38"/>
        <v>EC</v>
      </c>
      <c r="AH104" s="96" t="str">
        <f t="shared" si="39"/>
        <v>"%USERPROFILE%\Documents\GitHub\eaglep3\Utilities\RefineRTDCRunTimes.py" --tripid 192-28 --locoid 4013 --swversion DE.1.0.7.0 --startMP 204:232991 --initTime 2016-09-28T15:50:17 --startdatetime 2016-09-28T15:56:17 --delay 5 --endMP 204:156 --enddatetime 2016-09-28T16:37:54 --enforcementcount 0 &gt;&gt;C:\Users\stu\Documents\GitHub\eaglep3-reporting\EC\2016-09-28-refined-times.txt</v>
      </c>
      <c r="AI104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{"issue":{"subject":"","project_id":79,"tracker_id":40,"status_id":1,"priority_id":2,"assigned_to_id":23,"start_date":"2016-09-28","description":"","custom_fields":[{"id":1,"name":"Subdivision","value":"EC"},{"id":4,"name":"Milepost","value":"0.0156"},{"id":17,"name":"Train ID","value":"192-28"},{"id":16,"name":"Locomotive ID","value":"4013"},{"id":130,"name":"Impact","value":""},{"id":150,"name":"Time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505</v>
      </c>
      <c r="B105" s="7">
        <v>4046</v>
      </c>
      <c r="C105" s="24" t="s">
        <v>106</v>
      </c>
      <c r="D105" s="24" t="s">
        <v>223</v>
      </c>
      <c r="E105" s="15">
        <v>42641.631111111114</v>
      </c>
      <c r="F105" s="15">
        <v>42641.635613425926</v>
      </c>
      <c r="G105" s="7">
        <v>1</v>
      </c>
      <c r="H105" s="15" t="s">
        <v>238</v>
      </c>
      <c r="I105" s="15">
        <v>42641.662534722222</v>
      </c>
      <c r="J105" s="7">
        <v>0</v>
      </c>
      <c r="K105" s="117" t="str">
        <f t="shared" si="26"/>
        <v>4045/4046</v>
      </c>
      <c r="L105" s="24" t="str">
        <f>VLOOKUP(A105,'Trips&amp;Operators'!$C$1:$E$10000,3,FALSE)</f>
        <v>HILLS</v>
      </c>
      <c r="M105" s="6">
        <f t="shared" si="27"/>
        <v>2.6921296295768116E-2</v>
      </c>
      <c r="N105" s="7">
        <f t="shared" si="41"/>
        <v>38.766666665906087</v>
      </c>
      <c r="O105" s="7"/>
      <c r="P105" s="7"/>
      <c r="Q105" s="25"/>
      <c r="R105" s="25"/>
      <c r="S105" s="37">
        <f t="shared" si="28"/>
        <v>1</v>
      </c>
      <c r="T105" s="52" t="str">
        <f t="shared" si="29"/>
        <v>NorthBound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14:08:48-0600',mode:absolute,to:'2016-09-28 16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5" s="54" t="str">
        <f t="shared" si="31"/>
        <v>N</v>
      </c>
      <c r="X105" s="164">
        <f t="shared" si="42"/>
        <v>1</v>
      </c>
      <c r="Y105" s="69">
        <f t="shared" si="32"/>
        <v>4.4699999999999997E-2</v>
      </c>
      <c r="Z105" s="69">
        <f t="shared" si="33"/>
        <v>23.329699999999999</v>
      </c>
      <c r="AA105" s="69">
        <f t="shared" si="34"/>
        <v>23.285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5"/>
        <v>0193-28</v>
      </c>
      <c r="AE105" s="95" t="str">
        <f t="shared" si="36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105" s="92" t="str">
        <f t="shared" si="37"/>
        <v>"C:\Program Files (x86)\AstroGrep\AstroGrep.exe" /spath="%USERPROFILE%\AppData\Local\Temp\OnboardLogs" /stypes="app*4046*20160928*" /stext=" 21:.+((SYSTEM_STATE.+slice.+state.+changed )|(ment ac)|(system.+state.+changed )|(\[timeout)|(PRM\|1\|D)|(kpr)|(kdp)|(\|lc)|(penalty))" /e /r /s</v>
      </c>
      <c r="AG105" s="1" t="str">
        <f t="shared" si="38"/>
        <v>EC</v>
      </c>
      <c r="AH105" s="96" t="str">
        <f t="shared" si="39"/>
        <v>"%USERPROFILE%\Documents\GitHub\eaglep3\Utilities\RefineRTDCRunTimes.py" --tripid 193-28 --locoid 4046 --swversion DE.1.0.7.0 --startMP 204:447 --initTime 2016-09-28T15:08:48 --startdatetime 2016-09-28T15:15:17 --delay 1 --endMP 204:233297 --enddatetime 2016-09-28T15:54:03 --enforcementcount 0 &gt;&gt;C:\Users\stu\Documents\GitHub\eaglep3-reporting\EC\2016-09-28-refined-times.txt</v>
      </c>
      <c r="AI105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{"issue":{"subject":"","project_id":79,"tracker_id":40,"status_id":1,"priority_id":2,"assigned_to_id":23,"start_date":"2016-09-28","description":"","custom_fields":[{"id":1,"name":"Subdivision","value":"EC"},{"id":4,"name":"Milepost","value":"23.3297"},{"id":17,"name":"Train ID","value":"193-28"},{"id":16,"name":"Locomotive ID","value":"4046"},{"id":130,"name":"Impact","value":""},{"id":150,"name":"Time of Event (Mountain Time)","value":"15:54:03"},{"id":151,"name":"Denver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516</v>
      </c>
      <c r="B106" s="7">
        <v>4045</v>
      </c>
      <c r="C106" s="24" t="s">
        <v>106</v>
      </c>
      <c r="D106" s="24" t="s">
        <v>654</v>
      </c>
      <c r="E106" s="15">
        <v>42641.665625000001</v>
      </c>
      <c r="F106" s="15">
        <v>42641.674872685187</v>
      </c>
      <c r="G106" s="7">
        <v>1</v>
      </c>
      <c r="H106" s="15" t="s">
        <v>212</v>
      </c>
      <c r="I106" s="15">
        <v>42641.701307870368</v>
      </c>
      <c r="J106" s="7">
        <v>0</v>
      </c>
      <c r="K106" s="117" t="str">
        <f t="shared" si="26"/>
        <v>4045/4046</v>
      </c>
      <c r="L106" s="24" t="str">
        <f>VLOOKUP(A106,'Trips&amp;Operators'!$C$1:$E$10000,3,FALSE)</f>
        <v>HILLS</v>
      </c>
      <c r="M106" s="6">
        <f t="shared" si="27"/>
        <v>2.643518518016208E-2</v>
      </c>
      <c r="N106" s="7">
        <f t="shared" si="41"/>
        <v>38.066666659433395</v>
      </c>
      <c r="O106" s="7"/>
      <c r="P106" s="7"/>
      <c r="Q106" s="25"/>
      <c r="R106" s="25"/>
      <c r="S106" s="37">
        <f t="shared" si="28"/>
        <v>1</v>
      </c>
      <c r="T106" s="52" t="str">
        <f t="shared" si="29"/>
        <v>Southbound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14:58:30-0600',mode:absolute,to:'2016-09-28 17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6" s="54" t="str">
        <f t="shared" si="31"/>
        <v>N</v>
      </c>
      <c r="X106" s="164">
        <f t="shared" si="42"/>
        <v>1</v>
      </c>
      <c r="Y106" s="69">
        <f t="shared" si="32"/>
        <v>23.298999999999999</v>
      </c>
      <c r="Z106" s="69">
        <f t="shared" si="33"/>
        <v>1.49E-2</v>
      </c>
      <c r="AA106" s="69">
        <f t="shared" si="34"/>
        <v>23.284099999999999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5"/>
        <v>0194-28</v>
      </c>
      <c r="AE106" s="95" t="str">
        <f t="shared" si="36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106" s="92" t="str">
        <f t="shared" si="37"/>
        <v>"C:\Program Files (x86)\AstroGrep\AstroGrep.exe" /spath="%USERPROFILE%\AppData\Local\Temp\OnboardLogs" /stypes="app*4045*20160928*" /stext=" 22:.+((SYSTEM_STATE.+slice.+state.+changed )|(ment ac)|(system.+state.+changed )|(\[timeout)|(PRM\|1\|D)|(kpr)|(kdp)|(\|lc)|(penalty))" /e /r /s</v>
      </c>
      <c r="AG106" s="1" t="str">
        <f t="shared" si="38"/>
        <v>EC</v>
      </c>
      <c r="AH106" s="96" t="str">
        <f t="shared" si="39"/>
        <v>"%USERPROFILE%\Documents\GitHub\eaglep3\Utilities\RefineRTDCRunTimes.py" --tripid 194-28 --locoid 4045 --swversion DE.1.0.7.0 --startMP 204:232990 --initTime 2016-09-28T15:58:30 --startdatetime 2016-09-28T16:11:49 --delay 1 --endMP 204:149 --enddatetime 2016-09-28T16:49:53 --enforcementcount 0 &gt;&gt;C:\Users\stu\Documents\GitHub\eaglep3-reporting\EC\2016-09-28-refined-times.txt</v>
      </c>
      <c r="AI106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{"issue":{"subject":"","project_id":79,"tracker_id":40,"status_id":1,"priority_id":2,"assigned_to_id":23,"start_date":"2016-09-28","description":"","custom_fields":[{"id":1,"name":"Subdivision","value":"EC"},{"id":4,"name":"Milepost","value":"0.0149"},{"id":17,"name":"Train ID","value":"194-28"},{"id":16,"name":"Locomotive ID","value":"4045"},{"id":130,"name":"Impact","value":""},{"id":150,"name":"Time of Event (Mountain Time)","value":"16:49:53"},{"id":151,"name":"Denver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509</v>
      </c>
      <c r="B107" s="7">
        <v>4040</v>
      </c>
      <c r="C107" s="24" t="s">
        <v>106</v>
      </c>
      <c r="D107" s="24" t="s">
        <v>655</v>
      </c>
      <c r="E107" s="15">
        <v>42641.643263888887</v>
      </c>
      <c r="F107" s="15">
        <v>42641.646377314813</v>
      </c>
      <c r="G107" s="7">
        <v>1</v>
      </c>
      <c r="H107" s="15" t="s">
        <v>629</v>
      </c>
      <c r="I107" s="15">
        <v>42641.673321759263</v>
      </c>
      <c r="J107" s="7">
        <v>0</v>
      </c>
      <c r="K107" s="117" t="str">
        <f t="shared" si="26"/>
        <v>4039/4040</v>
      </c>
      <c r="L107" s="24" t="str">
        <f>VLOOKUP(A107,'Trips&amp;Operators'!$C$1:$E$10000,3,FALSE)</f>
        <v>YOUNG</v>
      </c>
      <c r="M107" s="6">
        <f t="shared" si="27"/>
        <v>2.694444444932742E-2</v>
      </c>
      <c r="N107" s="7">
        <f t="shared" si="41"/>
        <v>38.800000007031485</v>
      </c>
      <c r="O107" s="7"/>
      <c r="P107" s="7"/>
      <c r="Q107" s="25"/>
      <c r="R107" s="25"/>
      <c r="S107" s="37">
        <f t="shared" si="28"/>
        <v>1</v>
      </c>
      <c r="T107" s="52" t="str">
        <f t="shared" si="29"/>
        <v>NorthBound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14:26:18-0600',mode:absolute,to:'2016-09-28 17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7" s="54" t="str">
        <f t="shared" si="31"/>
        <v>N</v>
      </c>
      <c r="X107" s="164">
        <f t="shared" si="42"/>
        <v>1</v>
      </c>
      <c r="Y107" s="69">
        <f t="shared" si="32"/>
        <v>4.8599999999999997E-2</v>
      </c>
      <c r="Z107" s="69">
        <f t="shared" si="33"/>
        <v>23.331900000000001</v>
      </c>
      <c r="AA107" s="69">
        <f t="shared" si="34"/>
        <v>23.283300000000001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5"/>
        <v>0195-28</v>
      </c>
      <c r="AE107" s="95" t="str">
        <f t="shared" si="36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107" s="92" t="str">
        <f t="shared" si="37"/>
        <v>"C:\Program Files (x86)\AstroGrep\AstroGrep.exe" /spath="%USERPROFILE%\AppData\Local\Temp\OnboardLogs" /stypes="app*4040*20160928*" /stext=" 22:.+((SYSTEM_STATE.+slice.+state.+changed )|(ment ac)|(system.+state.+changed )|(\[timeout)|(PRM\|1\|D)|(kpr)|(kdp)|(\|lc)|(penalty))" /e /r /s</v>
      </c>
      <c r="AG107" s="1" t="str">
        <f t="shared" si="38"/>
        <v>EC</v>
      </c>
      <c r="AH107" s="96" t="str">
        <f t="shared" si="39"/>
        <v>"%USERPROFILE%\Documents\GitHub\eaglep3\Utilities\RefineRTDCRunTimes.py" --tripid 195-28 --locoid 4040 --swversion DE.1.0.7.0 --startMP 204:486 --initTime 2016-09-28T15:26:18 --startdatetime 2016-09-28T15:30:47 --delay 1 --endMP 204:233319 --enddatetime 2016-09-28T16:09:35 --enforcementcount 0 &gt;&gt;C:\Users\stu\Documents\GitHub\eaglep3-reporting\EC\2016-09-28-refined-times.txt</v>
      </c>
      <c r="AI107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{"issue":{"subject":"","project_id":79,"tracker_id":40,"status_id":1,"priority_id":2,"assigned_to_id":23,"start_date":"2016-09-28","description":"","custom_fields":[{"id":1,"name":"Subdivision","value":"EC"},{"id":4,"name":"Milepost","value":"23.3319"},{"id":17,"name":"Train ID","value":"195-28"},{"id":16,"name":"Locomotive ID","value":"4040"},{"id":130,"name":"Impact","value":""},{"id":150,"name":"Time of Event (Mountain Time)","value":"16:09:35"},{"id":151,"name":"Denver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520</v>
      </c>
      <c r="B108" s="7">
        <v>4039</v>
      </c>
      <c r="C108" s="24" t="s">
        <v>106</v>
      </c>
      <c r="D108" s="24" t="s">
        <v>608</v>
      </c>
      <c r="E108" s="15">
        <v>42641.679502314815</v>
      </c>
      <c r="F108" s="15">
        <v>42641.684988425928</v>
      </c>
      <c r="G108" s="7">
        <v>1</v>
      </c>
      <c r="H108" s="15" t="s">
        <v>241</v>
      </c>
      <c r="I108" s="15">
        <v>42641.713113425925</v>
      </c>
      <c r="J108" s="7">
        <v>0</v>
      </c>
      <c r="K108" s="117" t="str">
        <f t="shared" si="26"/>
        <v>4039/4040</v>
      </c>
      <c r="L108" s="24" t="str">
        <f>VLOOKUP(A108,'Trips&amp;Operators'!$C$1:$E$10000,3,FALSE)</f>
        <v>YOUNG</v>
      </c>
      <c r="M108" s="6">
        <f t="shared" si="27"/>
        <v>2.8124999997089617E-2</v>
      </c>
      <c r="N108" s="7">
        <f t="shared" si="41"/>
        <v>40.499999995809048</v>
      </c>
      <c r="O108" s="7"/>
      <c r="P108" s="7"/>
      <c r="Q108" s="25"/>
      <c r="R108" s="25"/>
      <c r="S108" s="37">
        <f t="shared" si="28"/>
        <v>1</v>
      </c>
      <c r="T108" s="52" t="str">
        <f t="shared" si="29"/>
        <v>Southbound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15:18:29-0600',mode:absolute,to:'2016-09-28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8" s="54" t="str">
        <f t="shared" si="31"/>
        <v>N</v>
      </c>
      <c r="X108" s="164">
        <f t="shared" si="42"/>
        <v>1</v>
      </c>
      <c r="Y108" s="69">
        <f t="shared" si="32"/>
        <v>23.3002</v>
      </c>
      <c r="Z108" s="69">
        <f t="shared" si="33"/>
        <v>1.5599999999999999E-2</v>
      </c>
      <c r="AA108" s="69">
        <f t="shared" si="34"/>
        <v>23.284600000000001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5"/>
        <v>0196-28</v>
      </c>
      <c r="AE108" s="95" t="str">
        <f t="shared" si="36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108" s="92" t="str">
        <f t="shared" si="37"/>
        <v>"C:\Program Files (x86)\AstroGrep\AstroGrep.exe" /spath="%USERPROFILE%\AppData\Local\Temp\OnboardLogs" /stypes="app*4039*20160928*" /stext=" 23:.+((SYSTEM_STATE.+slice.+state.+changed )|(ment ac)|(system.+state.+changed )|(\[timeout)|(PRM\|1\|D)|(kpr)|(kdp)|(\|lc)|(penalty))" /e /r /s</v>
      </c>
      <c r="AG108" s="1" t="str">
        <f t="shared" si="38"/>
        <v>EC</v>
      </c>
      <c r="AH108" s="96" t="str">
        <f t="shared" si="39"/>
        <v>"%USERPROFILE%\Documents\GitHub\eaglep3\Utilities\RefineRTDCRunTimes.py" --tripid 196-28 --locoid 4039 --swversion DE.1.0.7.0 --startMP 204:233002 --initTime 2016-09-28T16:18:29 --startdatetime 2016-09-28T16:26:23 --delay 1 --endMP 204:156 --enddatetime 2016-09-28T17:06:53 --enforcementcount 0 &gt;&gt;C:\Users\stu\Documents\GitHub\eaglep3-reporting\EC\2016-09-28-refined-times.txt</v>
      </c>
      <c r="AI108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{"issue":{"subject":"","project_id":79,"tracker_id":40,"status_id":1,"priority_id":2,"assigned_to_id":23,"start_date":"2016-09-28","description":"","custom_fields":[{"id":1,"name":"Subdivision","value":"EC"},{"id":4,"name":"Milepost","value":"0.0156"},{"id":17,"name":"Train ID","value":"196-28"},{"id":16,"name":"Locomotive ID","value":"4039"},{"id":130,"name":"Impact","value":""},{"id":150,"name":"Time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513</v>
      </c>
      <c r="B109" s="7">
        <v>4002</v>
      </c>
      <c r="C109" s="24" t="s">
        <v>106</v>
      </c>
      <c r="D109" s="24" t="s">
        <v>656</v>
      </c>
      <c r="E109" s="15">
        <v>42641.652499999997</v>
      </c>
      <c r="F109" s="15">
        <v>42641.656469907408</v>
      </c>
      <c r="G109" s="7">
        <v>1</v>
      </c>
      <c r="H109" s="15" t="s">
        <v>220</v>
      </c>
      <c r="I109" s="15">
        <v>42641.682303240741</v>
      </c>
      <c r="J109" s="7">
        <v>0</v>
      </c>
      <c r="K109" s="117" t="str">
        <f t="shared" si="26"/>
        <v>4001/4002</v>
      </c>
      <c r="L109" s="24" t="str">
        <f>VLOOKUP(A109,'Trips&amp;Operators'!$C$1:$E$10000,3,FALSE)</f>
        <v>BRUDER</v>
      </c>
      <c r="M109" s="6">
        <f t="shared" si="27"/>
        <v>2.5833333333139308E-2</v>
      </c>
      <c r="N109" s="7">
        <f t="shared" si="41"/>
        <v>37.199999999720603</v>
      </c>
      <c r="O109" s="7"/>
      <c r="P109" s="7"/>
      <c r="Q109" s="25"/>
      <c r="R109" s="25"/>
      <c r="S109" s="37">
        <f t="shared" si="28"/>
        <v>1</v>
      </c>
      <c r="T109" s="52" t="str">
        <f t="shared" si="29"/>
        <v>NorthBound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14:39:36-0600',mode:absolute,to:'2016-09-28 17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9" s="54" t="str">
        <f t="shared" si="31"/>
        <v>N</v>
      </c>
      <c r="X109" s="164">
        <f t="shared" si="42"/>
        <v>1</v>
      </c>
      <c r="Y109" s="69">
        <f t="shared" si="32"/>
        <v>4.7699999999999999E-2</v>
      </c>
      <c r="Z109" s="69">
        <f t="shared" si="33"/>
        <v>23.3291</v>
      </c>
      <c r="AA109" s="69">
        <f t="shared" si="34"/>
        <v>23.281400000000001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5"/>
        <v>0197-28</v>
      </c>
      <c r="AE109" s="95" t="str">
        <f t="shared" si="36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109" s="92" t="str">
        <f t="shared" si="37"/>
        <v>"C:\Program Files (x86)\AstroGrep\AstroGrep.exe" /spath="%USERPROFILE%\AppData\Local\Temp\OnboardLogs" /stypes="app*4002*20160928*" /stext=" 22:.+((SYSTEM_STATE.+slice.+state.+changed )|(ment ac)|(system.+state.+changed )|(\[timeout)|(PRM\|1\|D)|(kpr)|(kdp)|(\|lc)|(penalty))" /e /r /s</v>
      </c>
      <c r="AG109" s="1" t="str">
        <f t="shared" si="38"/>
        <v>EC</v>
      </c>
      <c r="AH109" s="96" t="str">
        <f t="shared" si="39"/>
        <v>"%USERPROFILE%\Documents\GitHub\eaglep3\Utilities\RefineRTDCRunTimes.py" --tripid 197-28 --locoid 4002 --swversion DE.1.0.7.0 --startMP 204:477 --initTime 2016-09-28T15:39:36 --startdatetime 2016-09-28T15:45:19 --delay 1 --endMP 204:233291 --enddatetime 2016-09-28T16:22:31 --enforcementcount 0 &gt;&gt;C:\Users\stu\Documents\GitHub\eaglep3-reporting\EC\2016-09-28-refined-times.txt</v>
      </c>
      <c r="AI109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{"issue":{"subject":"","project_id":79,"tracker_id":40,"status_id":1,"priority_id":2,"assigned_to_id":23,"start_date":"2016-09-28","description":"","custom_fields":[{"id":1,"name":"Subdivision","value":"EC"},{"id":4,"name":"Milepost","value":"23.3291"},{"id":17,"name":"Train ID","value":"197-28"},{"id":16,"name":"Locomotive ID","value":"4002"},{"id":130,"name":"Impact","value":""},{"id":150,"name":"Time of Event (Mountain Time)","value":"16:22:31"},{"id":151,"name":"Denver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522</v>
      </c>
      <c r="B110" s="7">
        <v>4001</v>
      </c>
      <c r="C110" s="24" t="s">
        <v>106</v>
      </c>
      <c r="D110" s="24" t="s">
        <v>647</v>
      </c>
      <c r="E110" s="15">
        <v>42641.689189814817</v>
      </c>
      <c r="F110" s="15">
        <v>42641.695451388892</v>
      </c>
      <c r="G110" s="7">
        <v>1</v>
      </c>
      <c r="H110" s="15" t="s">
        <v>213</v>
      </c>
      <c r="I110" s="15">
        <v>42641.723506944443</v>
      </c>
      <c r="J110" s="7">
        <v>0</v>
      </c>
      <c r="K110" s="117" t="str">
        <f t="shared" si="26"/>
        <v>4001/4002</v>
      </c>
      <c r="L110" s="24" t="str">
        <f>VLOOKUP(A110,'Trips&amp;Operators'!$C$1:$E$10000,3,FALSE)</f>
        <v>BRUDER</v>
      </c>
      <c r="M110" s="6">
        <f t="shared" si="27"/>
        <v>2.8055555550963618E-2</v>
      </c>
      <c r="N110" s="7">
        <f t="shared" si="41"/>
        <v>40.39999999338761</v>
      </c>
      <c r="O110" s="7"/>
      <c r="P110" s="7"/>
      <c r="Q110" s="25"/>
      <c r="R110" s="25"/>
      <c r="S110" s="37">
        <f t="shared" si="28"/>
        <v>1</v>
      </c>
      <c r="T110" s="52" t="str">
        <f t="shared" si="29"/>
        <v>Southbound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15:32:26-0600',mode:absolute,to:'2016-09-28 18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0" s="54" t="str">
        <f t="shared" si="31"/>
        <v>N</v>
      </c>
      <c r="X110" s="164">
        <f t="shared" si="42"/>
        <v>1</v>
      </c>
      <c r="Y110" s="69">
        <f t="shared" si="32"/>
        <v>23.2986</v>
      </c>
      <c r="Z110" s="69">
        <f t="shared" si="33"/>
        <v>1.6E-2</v>
      </c>
      <c r="AA110" s="69">
        <f t="shared" si="34"/>
        <v>23.282600000000002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5"/>
        <v>0198-28</v>
      </c>
      <c r="AE110" s="95" t="str">
        <f t="shared" si="36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110" s="92" t="str">
        <f t="shared" si="37"/>
        <v>"C:\Program Files (x86)\AstroGrep\AstroGrep.exe" /spath="%USERPROFILE%\AppData\Local\Temp\OnboardLogs" /stypes="app*4001*20160928*" /stext=" 23:.+((SYSTEM_STATE.+slice.+state.+changed )|(ment ac)|(system.+state.+changed )|(\[timeout)|(PRM\|1\|D)|(kpr)|(kdp)|(\|lc)|(penalty))" /e /r /s</v>
      </c>
      <c r="AG110" s="1" t="str">
        <f t="shared" si="38"/>
        <v>EC</v>
      </c>
      <c r="AH110" s="96" t="str">
        <f t="shared" si="39"/>
        <v>"%USERPROFILE%\Documents\GitHub\eaglep3\Utilities\RefineRTDCRunTimes.py" --tripid 198-28 --locoid 4001 --swversion DE.1.0.7.0 --startMP 204:232986 --initTime 2016-09-28T16:32:26 --startdatetime 2016-09-28T16:41:27 --delay 1 --endMP 204:160 --enddatetime 2016-09-28T17:21:51 --enforcementcount 0 &gt;&gt;C:\Users\stu\Documents\GitHub\eaglep3-reporting\EC\2016-09-28-refined-times.txt</v>
      </c>
      <c r="AI110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{"issue":{"subject":"","project_id":79,"tracker_id":40,"status_id":1,"priority_id":2,"assigned_to_id":23,"start_date":"2016-09-28","description":"","custom_fields":[{"id":1,"name":"Subdivision","value":"EC"},{"id":4,"name":"Milepost","value":"0.016"},{"id":17,"name":"Train ID","value":"198-28"},{"id":16,"name":"Locomotive ID","value":"4001"},{"id":130,"name":"Impact","value":""},{"id":150,"name":"Time of Event (Mountain Time)","value":"17:21:51"},{"id":151,"name":"Denver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515</v>
      </c>
      <c r="B111" s="7">
        <v>4020</v>
      </c>
      <c r="C111" s="24" t="s">
        <v>106</v>
      </c>
      <c r="D111" s="24" t="s">
        <v>657</v>
      </c>
      <c r="E111" s="15">
        <v>42641.66201388889</v>
      </c>
      <c r="F111" s="15">
        <v>42641.667141203703</v>
      </c>
      <c r="G111" s="7">
        <v>1</v>
      </c>
      <c r="H111" s="15" t="s">
        <v>336</v>
      </c>
      <c r="I111" s="15">
        <v>42641.691990740743</v>
      </c>
      <c r="J111" s="7">
        <v>0</v>
      </c>
      <c r="K111" s="117" t="str">
        <f t="shared" si="26"/>
        <v>4019/4020</v>
      </c>
      <c r="L111" s="24" t="str">
        <f>VLOOKUP(A111,'Trips&amp;Operators'!$C$1:$E$10000,3,FALSE)</f>
        <v>STORY</v>
      </c>
      <c r="M111" s="6">
        <f t="shared" si="27"/>
        <v>2.4849537039699499E-2</v>
      </c>
      <c r="N111" s="7">
        <f t="shared" si="41"/>
        <v>35.783333337167278</v>
      </c>
      <c r="O111" s="7"/>
      <c r="P111" s="7"/>
      <c r="Q111" s="25"/>
      <c r="R111" s="25"/>
      <c r="S111" s="37">
        <f t="shared" si="28"/>
        <v>1</v>
      </c>
      <c r="T111" s="52" t="str">
        <f t="shared" si="29"/>
        <v>NorthBound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14:53:18-0600',mode:absolute,to:'2016-09-28 17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1" s="54" t="str">
        <f t="shared" si="31"/>
        <v>N</v>
      </c>
      <c r="X111" s="164">
        <f t="shared" si="42"/>
        <v>1</v>
      </c>
      <c r="Y111" s="69">
        <f t="shared" si="32"/>
        <v>4.9099999999999998E-2</v>
      </c>
      <c r="Z111" s="69">
        <f t="shared" si="33"/>
        <v>23.331</v>
      </c>
      <c r="AA111" s="69">
        <f t="shared" si="34"/>
        <v>23.2819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5"/>
        <v>0199-28</v>
      </c>
      <c r="AE111" s="95" t="str">
        <f t="shared" si="36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111" s="92" t="str">
        <f t="shared" si="37"/>
        <v>"C:\Program Files (x86)\AstroGrep\AstroGrep.exe" /spath="%USERPROFILE%\AppData\Local\Temp\OnboardLogs" /stypes="app*4020*20160928*" /stext=" 22:.+((SYSTEM_STATE.+slice.+state.+changed )|(ment ac)|(system.+state.+changed )|(\[timeout)|(PRM\|1\|D)|(kpr)|(kdp)|(\|lc)|(penalty))" /e /r /s</v>
      </c>
      <c r="AG111" s="1" t="str">
        <f t="shared" si="38"/>
        <v>EC</v>
      </c>
      <c r="AH111" s="96" t="str">
        <f t="shared" si="39"/>
        <v>"%USERPROFILE%\Documents\GitHub\eaglep3\Utilities\RefineRTDCRunTimes.py" --tripid 199-28 --locoid 4020 --swversion DE.1.0.7.0 --startMP 204:491 --initTime 2016-09-28T15:53:18 --startdatetime 2016-09-28T16:00:41 --delay 1 --endMP 204:233310 --enddatetime 2016-09-28T16:36:28 --enforcementcount 0 &gt;&gt;C:\Users\stu\Documents\GitHub\eaglep3-reporting\EC\2016-09-28-refined-times.txt</v>
      </c>
      <c r="AI111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{"issue":{"subject":"","project_id":79,"tracker_id":40,"status_id":1,"priority_id":2,"assigned_to_id":23,"start_date":"2016-09-28","description":"","custom_fields":[{"id":1,"name":"Subdivision","value":"EC"},{"id":4,"name":"Milepost","value":"23.331"},{"id":17,"name":"Train ID","value":"199-28"},{"id":16,"name":"Locomotive ID","value":"4020"},{"id":130,"name":"Impact","value":""},{"id":150,"name":"Time of Event (Mountain Time)","value":"16:36:28"},{"id":151,"name":"Denver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526</v>
      </c>
      <c r="B112" s="7">
        <v>4019</v>
      </c>
      <c r="C112" s="24" t="s">
        <v>106</v>
      </c>
      <c r="D112" s="24" t="s">
        <v>343</v>
      </c>
      <c r="E112" s="15">
        <v>42641.697627314818</v>
      </c>
      <c r="F112" s="15">
        <v>42641.705879629626</v>
      </c>
      <c r="G112" s="7">
        <v>1</v>
      </c>
      <c r="H112" s="15" t="s">
        <v>623</v>
      </c>
      <c r="I112" s="15">
        <v>42641.732476851852</v>
      </c>
      <c r="J112" s="7">
        <v>0</v>
      </c>
      <c r="K112" s="117" t="str">
        <f t="shared" si="26"/>
        <v>4019/4020</v>
      </c>
      <c r="L112" s="24" t="str">
        <f>VLOOKUP(A112,'Trips&amp;Operators'!$C$1:$E$10000,3,FALSE)</f>
        <v>STORY</v>
      </c>
      <c r="M112" s="6">
        <f t="shared" si="27"/>
        <v>2.6597222225973383E-2</v>
      </c>
      <c r="N112" s="7">
        <f t="shared" si="41"/>
        <v>38.300000005401671</v>
      </c>
      <c r="O112" s="7"/>
      <c r="P112" s="7"/>
      <c r="Q112" s="25"/>
      <c r="R112" s="25"/>
      <c r="S112" s="37">
        <f t="shared" si="28"/>
        <v>1</v>
      </c>
      <c r="T112" s="52" t="str">
        <f t="shared" si="29"/>
        <v>Southbound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15:44:35-0600',mode:absolute,to:'2016-09-28 18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2" s="54" t="str">
        <f t="shared" si="31"/>
        <v>N</v>
      </c>
      <c r="X112" s="164">
        <f t="shared" si="42"/>
        <v>1</v>
      </c>
      <c r="Y112" s="69">
        <f t="shared" si="32"/>
        <v>23.299099999999999</v>
      </c>
      <c r="Z112" s="69">
        <f t="shared" si="33"/>
        <v>1.32E-2</v>
      </c>
      <c r="AA112" s="69">
        <f t="shared" si="34"/>
        <v>23.285899999999998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5"/>
        <v>0200-28</v>
      </c>
      <c r="AE112" s="95" t="str">
        <f t="shared" si="36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112" s="92" t="str">
        <f t="shared" si="37"/>
        <v>"C:\Program Files (x86)\AstroGrep\AstroGrep.exe" /spath="%USERPROFILE%\AppData\Local\Temp\OnboardLogs" /stypes="app*4019*20160928*" /stext=" 23:.+((SYSTEM_STATE.+slice.+state.+changed )|(ment ac)|(system.+state.+changed )|(\[timeout)|(PRM\|1\|D)|(kpr)|(kdp)|(\|lc)|(penalty))" /e /r /s</v>
      </c>
      <c r="AG112" s="1" t="str">
        <f t="shared" si="38"/>
        <v>EC</v>
      </c>
      <c r="AH112" s="96" t="str">
        <f t="shared" si="39"/>
        <v>"%USERPROFILE%\Documents\GitHub\eaglep3\Utilities\RefineRTDCRunTimes.py" --tripid 200-28 --locoid 4019 --swversion DE.1.0.7.0 --startMP 204:232991 --initTime 2016-09-28T16:44:35 --startdatetime 2016-09-28T16:56:28 --delay 1 --endMP 204:132 --enddatetime 2016-09-28T17:34:46 --enforcementcount 0 &gt;&gt;C:\Users\stu\Documents\GitHub\eaglep3-reporting\EC\2016-09-28-refined-times.txt</v>
      </c>
      <c r="AI112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{"issue":{"subject":"","project_id":79,"tracker_id":40,"status_id":1,"priority_id":2,"assigned_to_id":23,"start_date":"2016-09-28","description":"","custom_fields":[{"id":1,"name":"Subdivision","value":"EC"},{"id":4,"name":"Milepost","value":"0.0132"},{"id":17,"name":"Train ID","value":"200-28"},{"id":16,"name":"Locomotive ID","value":"4019"},{"id":130,"name":"Impact","value":""},{"id":150,"name":"Time of Event (Mountain Time)","value":"17:34:46"},{"id":151,"name":"Denver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518</v>
      </c>
      <c r="B113" s="7">
        <v>4007</v>
      </c>
      <c r="C113" s="24" t="s">
        <v>106</v>
      </c>
      <c r="D113" s="24" t="s">
        <v>308</v>
      </c>
      <c r="E113" s="15">
        <v>42641.67291666667</v>
      </c>
      <c r="F113" s="15">
        <v>42641.677303240744</v>
      </c>
      <c r="G113" s="7">
        <v>1</v>
      </c>
      <c r="H113" s="15" t="s">
        <v>238</v>
      </c>
      <c r="I113" s="15">
        <v>42641.702673611115</v>
      </c>
      <c r="J113" s="7">
        <v>0</v>
      </c>
      <c r="K113" s="117" t="str">
        <f t="shared" si="26"/>
        <v>4007/4008</v>
      </c>
      <c r="L113" s="24" t="str">
        <f>VLOOKUP(A113,'Trips&amp;Operators'!$C$1:$E$10000,3,FALSE)</f>
        <v>BONDS</v>
      </c>
      <c r="M113" s="6">
        <f t="shared" si="27"/>
        <v>2.5370370371092577E-2</v>
      </c>
      <c r="N113" s="7">
        <f t="shared" si="41"/>
        <v>36.53333333437331</v>
      </c>
      <c r="O113" s="7"/>
      <c r="P113" s="7"/>
      <c r="Q113" s="25"/>
      <c r="R113" s="25"/>
      <c r="S113" s="37">
        <f t="shared" si="28"/>
        <v>1</v>
      </c>
      <c r="T113" s="52" t="str">
        <f t="shared" si="29"/>
        <v>NorthBound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15:09:00-0600',mode:absolute,to:'2016-09-28 17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13" s="54" t="str">
        <f t="shared" si="31"/>
        <v>N</v>
      </c>
      <c r="X113" s="164">
        <f t="shared" si="42"/>
        <v>1</v>
      </c>
      <c r="Y113" s="69">
        <f t="shared" si="32"/>
        <v>4.8000000000000001E-2</v>
      </c>
      <c r="Z113" s="69">
        <f t="shared" si="33"/>
        <v>23.329699999999999</v>
      </c>
      <c r="AA113" s="69">
        <f t="shared" si="34"/>
        <v>23.281700000000001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5"/>
        <v>0201-28</v>
      </c>
      <c r="AE113" s="95" t="str">
        <f t="shared" si="36"/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AF113" s="92" t="str">
        <f t="shared" si="37"/>
        <v>"C:\Program Files (x86)\AstroGrep\AstroGrep.exe" /spath="%USERPROFILE%\AppData\Local\Temp\OnboardLogs" /stypes="app*4007*20160928*" /stext=" 22:.+((SYSTEM_STATE.+slice.+state.+changed )|(ment ac)|(system.+state.+changed )|(\[timeout)|(PRM\|1\|D)|(kpr)|(kdp)|(\|lc)|(penalty))" /e /r /s</v>
      </c>
      <c r="AG113" s="1" t="str">
        <f t="shared" si="38"/>
        <v>EC</v>
      </c>
      <c r="AH113" s="96" t="str">
        <f t="shared" si="39"/>
        <v>"%USERPROFILE%\Documents\GitHub\eaglep3\Utilities\RefineRTDCRunTimes.py" --tripid 201-28 --locoid 4007 --swversion DE.1.0.7.0 --startMP 204:480 --initTime 2016-09-28T16:09:00 --startdatetime 2016-09-28T16:15:19 --delay 1 --endMP 204:233297 --enddatetime 2016-09-28T16:51:51 --enforcementcount 0 &gt;&gt;C:\Users\stu\Documents\GitHub\eaglep3-reporting\EC\2016-09-28-refined-times.txt</v>
      </c>
      <c r="AI113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{"issue":{"subject":"","project_id":79,"tracker_id":40,"status_id":1,"priority_id":2,"assigned_to_id":23,"start_date":"2016-09-28","description":"","custom_fields":[{"id":1,"name":"Subdivision","value":"EC"},{"id":4,"name":"Milepost","value":"23.3297"},{"id":17,"name":"Train ID","value":"201-28"},{"id":16,"name":"Locomotive ID","value":"4007"},{"id":130,"name":"Impact","value":""},{"id":150,"name":"Time of Event (Mountain Time)","value":"16:51:51"},{"id":151,"name":"Denver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530</v>
      </c>
      <c r="B114" s="7">
        <v>4008</v>
      </c>
      <c r="C114" s="24" t="s">
        <v>106</v>
      </c>
      <c r="D114" s="24" t="s">
        <v>624</v>
      </c>
      <c r="E114" s="15">
        <v>42641.709097222221</v>
      </c>
      <c r="F114" s="15">
        <v>42641.716145833336</v>
      </c>
      <c r="G114" s="7">
        <v>1</v>
      </c>
      <c r="H114" s="15" t="s">
        <v>265</v>
      </c>
      <c r="I114" s="15">
        <v>42641.742893518516</v>
      </c>
      <c r="J114" s="7">
        <v>0</v>
      </c>
      <c r="K114" s="117" t="str">
        <f t="shared" si="26"/>
        <v>4007/4008</v>
      </c>
      <c r="L114" s="24" t="str">
        <f>VLOOKUP(A114,'Trips&amp;Operators'!$C$1:$E$10000,3,FALSE)</f>
        <v>BONDS</v>
      </c>
      <c r="M114" s="6">
        <f t="shared" si="27"/>
        <v>2.6747685180453118E-2</v>
      </c>
      <c r="N114" s="7">
        <f t="shared" si="41"/>
        <v>38.51666665985249</v>
      </c>
      <c r="O114" s="7"/>
      <c r="P114" s="7"/>
      <c r="Q114" s="25"/>
      <c r="R114" s="25"/>
      <c r="S114" s="37">
        <f t="shared" si="28"/>
        <v>1</v>
      </c>
      <c r="T114" s="52" t="str">
        <f t="shared" si="29"/>
        <v>Southbound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16:01:06-0600',mode:absolute,to:'2016-09-28 18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14" s="54" t="str">
        <f t="shared" si="31"/>
        <v>N</v>
      </c>
      <c r="X114" s="164">
        <f t="shared" si="42"/>
        <v>1</v>
      </c>
      <c r="Y114" s="69">
        <f t="shared" si="32"/>
        <v>23.298200000000001</v>
      </c>
      <c r="Z114" s="69">
        <f t="shared" si="33"/>
        <v>1.43E-2</v>
      </c>
      <c r="AA114" s="69">
        <f t="shared" si="34"/>
        <v>23.283900000000003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5"/>
        <v>0202-28</v>
      </c>
      <c r="AE114" s="95" t="str">
        <f t="shared" si="36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114" s="92" t="str">
        <f t="shared" si="37"/>
        <v>"C:\Program Files (x86)\AstroGrep\AstroGrep.exe" /spath="%USERPROFILE%\AppData\Local\Temp\OnboardLogs" /stypes="app*4008*20160928*" /stext=" 23:.+((SYSTEM_STATE.+slice.+state.+changed )|(ment ac)|(system.+state.+changed )|(\[timeout)|(PRM\|1\|D)|(kpr)|(kdp)|(\|lc)|(penalty))" /e /r /s</v>
      </c>
      <c r="AG114" s="1" t="str">
        <f t="shared" si="38"/>
        <v>EC</v>
      </c>
      <c r="AH114" s="96" t="str">
        <f t="shared" si="39"/>
        <v>"%USERPROFILE%\Documents\GitHub\eaglep3\Utilities\RefineRTDCRunTimes.py" --tripid 202-28 --locoid 4008 --swversion DE.1.0.7.0 --startMP 204:232982 --initTime 2016-09-28T17:01:06 --startdatetime 2016-09-28T17:11:15 --delay 1 --endMP 204:143 --enddatetime 2016-09-28T17:49:46 --enforcementcount 0 &gt;&gt;C:\Users\stu\Documents\GitHub\eaglep3-reporting\EC\2016-09-28-refined-times.txt</v>
      </c>
      <c r="AI114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{"issue":{"subject":"","project_id":79,"tracker_id":40,"status_id":1,"priority_id":2,"assigned_to_id":23,"start_date":"2016-09-28","description":"","custom_fields":[{"id":1,"name":"Subdivision","value":"EC"},{"id":4,"name":"Milepost","value":"0.0143"},{"id":17,"name":"Train ID","value":"202-28"},{"id":16,"name":"Locomotive ID","value":"4008"},{"id":130,"name":"Impact","value":""},{"id":150,"name":"Time of Event (Mountain Time)","value":"17:49:46"},{"id":151,"name":"Denver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521</v>
      </c>
      <c r="B115" s="7">
        <v>4018</v>
      </c>
      <c r="C115" s="24" t="s">
        <v>106</v>
      </c>
      <c r="D115" s="24" t="s">
        <v>304</v>
      </c>
      <c r="E115" s="15">
        <v>42641.684537037036</v>
      </c>
      <c r="F115" s="15">
        <v>42641.687777777777</v>
      </c>
      <c r="G115" s="7">
        <v>1</v>
      </c>
      <c r="H115" s="15" t="s">
        <v>268</v>
      </c>
      <c r="I115" s="15">
        <v>42641.71334490741</v>
      </c>
      <c r="J115" s="7">
        <v>0</v>
      </c>
      <c r="K115" s="117" t="str">
        <f t="shared" si="26"/>
        <v>4017/4018</v>
      </c>
      <c r="L115" s="24" t="str">
        <f>VLOOKUP(A115,'Trips&amp;Operators'!$C$1:$E$10000,3,FALSE)</f>
        <v>BARTLETT</v>
      </c>
      <c r="M115" s="6">
        <f t="shared" si="27"/>
        <v>2.5567129632690921E-2</v>
      </c>
      <c r="N115" s="7">
        <f t="shared" si="41"/>
        <v>36.816666671074927</v>
      </c>
      <c r="O115" s="7"/>
      <c r="P115" s="7"/>
      <c r="Q115" s="25"/>
      <c r="R115" s="25"/>
      <c r="S115" s="37">
        <f t="shared" si="28"/>
        <v>1</v>
      </c>
      <c r="T115" s="52" t="str">
        <f t="shared" si="29"/>
        <v>NorthBound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15:25:44-0600',mode:absolute,to:'2016-09-28 18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5" s="54" t="str">
        <f t="shared" si="31"/>
        <v>N</v>
      </c>
      <c r="X115" s="164">
        <f t="shared" si="42"/>
        <v>1</v>
      </c>
      <c r="Y115" s="69">
        <f t="shared" si="32"/>
        <v>4.82E-2</v>
      </c>
      <c r="Z115" s="69">
        <f t="shared" si="33"/>
        <v>23.3306</v>
      </c>
      <c r="AA115" s="69">
        <f t="shared" si="34"/>
        <v>23.282399999999999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5"/>
        <v>0203-28</v>
      </c>
      <c r="AE115" s="95" t="str">
        <f t="shared" si="36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115" s="92" t="str">
        <f t="shared" si="37"/>
        <v>"C:\Program Files (x86)\AstroGrep\AstroGrep.exe" /spath="%USERPROFILE%\AppData\Local\Temp\OnboardLogs" /stypes="app*4018*20160928*" /stext=" 23:.+((SYSTEM_STATE.+slice.+state.+changed )|(ment ac)|(system.+state.+changed )|(\[timeout)|(PRM\|1\|D)|(kpr)|(kdp)|(\|lc)|(penalty))" /e /r /s</v>
      </c>
      <c r="AG115" s="1" t="str">
        <f t="shared" si="38"/>
        <v>EC</v>
      </c>
      <c r="AH115" s="96" t="str">
        <f t="shared" si="39"/>
        <v>"%USERPROFILE%\Documents\GitHub\eaglep3\Utilities\RefineRTDCRunTimes.py" --tripid 203-28 --locoid 4018 --swversion DE.1.0.7.0 --startMP 204:482 --initTime 2016-09-28T16:25:44 --startdatetime 2016-09-28T16:30:24 --delay 1 --endMP 204:233306 --enddatetime 2016-09-28T17:07:13 --enforcementcount 0 &gt;&gt;C:\Users\stu\Documents\GitHub\eaglep3-reporting\EC\2016-09-28-refined-times.txt</v>
      </c>
      <c r="AI115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{"issue":{"subject":"","project_id":79,"tracker_id":40,"status_id":1,"priority_id":2,"assigned_to_id":23,"start_date":"2016-09-28","description":"","custom_fields":[{"id":1,"name":"Subdivision","value":"EC"},{"id":4,"name":"Milepost","value":"23.3306"},{"id":17,"name":"Train ID","value":"203-28"},{"id":16,"name":"Locomotive ID","value":"4018"},{"id":130,"name":"Impact","value":""},{"id":150,"name":"Time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532</v>
      </c>
      <c r="B116" s="7">
        <v>4017</v>
      </c>
      <c r="C116" s="24" t="s">
        <v>106</v>
      </c>
      <c r="D116" s="24" t="s">
        <v>302</v>
      </c>
      <c r="E116" s="15">
        <v>42641.715266203704</v>
      </c>
      <c r="F116" s="15">
        <v>42641.726643518516</v>
      </c>
      <c r="G116" s="7">
        <v>1</v>
      </c>
      <c r="H116" s="15" t="s">
        <v>221</v>
      </c>
      <c r="I116" s="15">
        <v>42641.754837962966</v>
      </c>
      <c r="J116" s="7">
        <v>0</v>
      </c>
      <c r="K116" s="117" t="str">
        <f t="shared" si="26"/>
        <v>4017/4018</v>
      </c>
      <c r="L116" s="24" t="str">
        <f>VLOOKUP(A116,'Trips&amp;Operators'!$C$1:$E$10000,3,FALSE)</f>
        <v>BARTLETT</v>
      </c>
      <c r="M116" s="6">
        <f t="shared" si="27"/>
        <v>2.8194444450491574E-2</v>
      </c>
      <c r="N116" s="7">
        <f t="shared" si="41"/>
        <v>40.600000008707866</v>
      </c>
      <c r="O116" s="7"/>
      <c r="P116" s="7"/>
      <c r="Q116" s="25"/>
      <c r="R116" s="25"/>
      <c r="S116" s="37">
        <f t="shared" si="28"/>
        <v>1</v>
      </c>
      <c r="T116" s="52" t="str">
        <f t="shared" si="29"/>
        <v>Southbound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16:09:59-0600',mode:absolute,to:'2016-09-28 19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6" s="54" t="str">
        <f t="shared" si="31"/>
        <v>N</v>
      </c>
      <c r="X116" s="164">
        <f t="shared" si="42"/>
        <v>1</v>
      </c>
      <c r="Y116" s="69">
        <f t="shared" si="32"/>
        <v>23.299299999999999</v>
      </c>
      <c r="Z116" s="69">
        <f t="shared" si="33"/>
        <v>1.52E-2</v>
      </c>
      <c r="AA116" s="69">
        <f t="shared" si="34"/>
        <v>23.284099999999999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5"/>
        <v>0204-28</v>
      </c>
      <c r="AE116" s="95" t="str">
        <f t="shared" si="36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116" s="92" t="str">
        <f t="shared" si="37"/>
        <v>"C:\Program Files (x86)\AstroGrep\AstroGrep.exe" /spath="%USERPROFILE%\AppData\Local\Temp\OnboardLogs" /stypes="app*4017*20160929*" /stext=" 00:.+((SYSTEM_STATE.+slice.+state.+changed )|(ment ac)|(system.+state.+changed )|(\[timeout)|(PRM\|1\|D)|(kpr)|(kdp)|(\|lc)|(penalty))" /e /r /s</v>
      </c>
      <c r="AG116" s="1" t="str">
        <f t="shared" si="38"/>
        <v>EC</v>
      </c>
      <c r="AH116" s="96" t="str">
        <f t="shared" si="39"/>
        <v>"%USERPROFILE%\Documents\GitHub\eaglep3\Utilities\RefineRTDCRunTimes.py" --tripid 204-28 --locoid 4017 --swversion DE.1.0.7.0 --startMP 204:232993 --initTime 2016-09-28T17:09:59 --startdatetime 2016-09-28T17:26:22 --delay 1 --endMP 204:152 --enddatetime 2016-09-28T18:06:58 --enforcementcount 0 &gt;&gt;C:\Users\stu\Documents\GitHub\eaglep3-reporting\EC\2016-09-28-refined-times.txt</v>
      </c>
      <c r="AI116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{"issue":{"subject":"","project_id":79,"tracker_id":40,"status_id":1,"priority_id":2,"assigned_to_id":23,"start_date":"2016-09-28","description":"","custom_fields":[{"id":1,"name":"Subdivision","value":"EC"},{"id":4,"name":"Milepost","value":"0.0152"},{"id":17,"name":"Train ID","value":"204-28"},{"id":16,"name":"Locomotive ID","value":"4017"},{"id":130,"name":"Impact","value":""},{"id":150,"name":"Time of Event (Mountain Time)","value":"18:06:58"},{"id":151,"name":"Denver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524</v>
      </c>
      <c r="B117" s="7">
        <v>4014</v>
      </c>
      <c r="C117" s="24" t="s">
        <v>106</v>
      </c>
      <c r="D117" s="24" t="s">
        <v>658</v>
      </c>
      <c r="E117" s="15">
        <v>42641.695891203701</v>
      </c>
      <c r="F117" s="15">
        <v>42641.698263888888</v>
      </c>
      <c r="G117" s="7">
        <v>1</v>
      </c>
      <c r="H117" s="15" t="s">
        <v>288</v>
      </c>
      <c r="I117" s="15">
        <v>42641.722997685189</v>
      </c>
      <c r="J117" s="7">
        <v>0</v>
      </c>
      <c r="K117" s="117" t="str">
        <f t="shared" si="26"/>
        <v>4013/4014</v>
      </c>
      <c r="L117" s="24" t="str">
        <f>VLOOKUP(A117,'Trips&amp;Operators'!$C$1:$E$10000,3,FALSE)</f>
        <v>HELVIE</v>
      </c>
      <c r="M117" s="6">
        <f t="shared" si="27"/>
        <v>2.4733796301006805E-2</v>
      </c>
      <c r="N117" s="7">
        <f t="shared" si="41"/>
        <v>35.616666673449799</v>
      </c>
      <c r="O117" s="7"/>
      <c r="P117" s="7"/>
      <c r="Q117" s="25"/>
      <c r="R117" s="25"/>
      <c r="S117" s="37">
        <f t="shared" si="28"/>
        <v>1</v>
      </c>
      <c r="T117" s="52" t="str">
        <f t="shared" si="29"/>
        <v>NorthBound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15:42:05-0600',mode:absolute,to:'2016-09-28 18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7" s="54" t="str">
        <f t="shared" si="31"/>
        <v>N</v>
      </c>
      <c r="X117" s="164">
        <f t="shared" si="42"/>
        <v>1</v>
      </c>
      <c r="Y117" s="69">
        <f t="shared" si="32"/>
        <v>4.3700000000000003E-2</v>
      </c>
      <c r="Z117" s="69">
        <f t="shared" si="33"/>
        <v>23.328600000000002</v>
      </c>
      <c r="AA117" s="69">
        <f t="shared" si="34"/>
        <v>23.2849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5"/>
        <v>0205-28</v>
      </c>
      <c r="AE117" s="95" t="str">
        <f t="shared" si="36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117" s="92" t="str">
        <f t="shared" si="37"/>
        <v>"C:\Program Files (x86)\AstroGrep\AstroGrep.exe" /spath="%USERPROFILE%\AppData\Local\Temp\OnboardLogs" /stypes="app*4014*20160928*" /stext=" 23:.+((SYSTEM_STATE.+slice.+state.+changed )|(ment ac)|(system.+state.+changed )|(\[timeout)|(PRM\|1\|D)|(kpr)|(kdp)|(\|lc)|(penalty))" /e /r /s</v>
      </c>
      <c r="AG117" s="1" t="str">
        <f t="shared" si="38"/>
        <v>EC</v>
      </c>
      <c r="AH117" s="96" t="str">
        <f t="shared" si="39"/>
        <v>"%USERPROFILE%\Documents\GitHub\eaglep3\Utilities\RefineRTDCRunTimes.py" --tripid 205-28 --locoid 4014 --swversion DE.1.0.7.0 --startMP 204:437 --initTime 2016-09-28T16:42:05 --startdatetime 2016-09-28T16:45:30 --delay 1 --endMP 204:233286 --enddatetime 2016-09-28T17:21:07 --enforcementcount 0 &gt;&gt;C:\Users\stu\Documents\GitHub\eaglep3-reporting\EC\2016-09-28-refined-times.txt</v>
      </c>
      <c r="AI117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{"issue":{"subject":"","project_id":79,"tracker_id":40,"status_id":1,"priority_id":2,"assigned_to_id":23,"start_date":"2016-09-28","description":"","custom_fields":[{"id":1,"name":"Subdivision","value":"EC"},{"id":4,"name":"Milepost","value":"23.3286"},{"id":17,"name":"Train ID","value":"205-28"},{"id":16,"name":"Locomotive ID","value":"4014"},{"id":130,"name":"Impact","value":""},{"id":150,"name":"Time of Event (Mountain Time)","value":"17:21:07"},{"id":151,"name":"Denver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538</v>
      </c>
      <c r="B118" s="7">
        <v>4013</v>
      </c>
      <c r="C118" s="24" t="s">
        <v>106</v>
      </c>
      <c r="D118" s="24" t="s">
        <v>309</v>
      </c>
      <c r="E118" s="15">
        <v>42641.730983796297</v>
      </c>
      <c r="F118" s="15">
        <v>42641.737141203703</v>
      </c>
      <c r="G118" s="7">
        <v>1</v>
      </c>
      <c r="H118" s="15" t="s">
        <v>213</v>
      </c>
      <c r="I118" s="15">
        <v>42641.767453703702</v>
      </c>
      <c r="J118" s="7">
        <v>0</v>
      </c>
      <c r="K118" s="117" t="str">
        <f t="shared" si="26"/>
        <v>4013/4014</v>
      </c>
      <c r="L118" s="24" t="str">
        <f>VLOOKUP(A118,'Trips&amp;Operators'!$C$1:$E$10000,3,FALSE)</f>
        <v>HELVIE</v>
      </c>
      <c r="M118" s="6">
        <f t="shared" si="27"/>
        <v>3.0312499999126885E-2</v>
      </c>
      <c r="N118" s="7">
        <f t="shared" si="41"/>
        <v>43.649999998742715</v>
      </c>
      <c r="O118" s="7"/>
      <c r="P118" s="7"/>
      <c r="Q118" s="25"/>
      <c r="R118" s="25"/>
      <c r="S118" s="37">
        <f t="shared" si="28"/>
        <v>1</v>
      </c>
      <c r="T118" s="52" t="str">
        <f t="shared" si="29"/>
        <v>Southbound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16:32:37-0600',mode:absolute,to:'2016-09-28 19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8" s="54" t="str">
        <f t="shared" si="31"/>
        <v>N</v>
      </c>
      <c r="X118" s="164">
        <f t="shared" si="42"/>
        <v>1</v>
      </c>
      <c r="Y118" s="69">
        <f t="shared" si="32"/>
        <v>23.296500000000002</v>
      </c>
      <c r="Z118" s="69">
        <f t="shared" si="33"/>
        <v>1.6E-2</v>
      </c>
      <c r="AA118" s="69">
        <f t="shared" si="34"/>
        <v>23.280500000000004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5"/>
        <v>0206-28</v>
      </c>
      <c r="AE118" s="95" t="str">
        <f t="shared" si="36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118" s="92" t="str">
        <f t="shared" si="37"/>
        <v>"C:\Program Files (x86)\AstroGrep\AstroGrep.exe" /spath="%USERPROFILE%\AppData\Local\Temp\OnboardLogs" /stypes="app*4013*20160929*" /stext=" 00:.+((SYSTEM_STATE.+slice.+state.+changed )|(ment ac)|(system.+state.+changed )|(\[timeout)|(PRM\|1\|D)|(kpr)|(kdp)|(\|lc)|(penalty))" /e /r /s</v>
      </c>
      <c r="AG118" s="1" t="str">
        <f t="shared" si="38"/>
        <v>EC</v>
      </c>
      <c r="AH118" s="96" t="str">
        <f t="shared" si="39"/>
        <v>"%USERPROFILE%\Documents\GitHub\eaglep3\Utilities\RefineRTDCRunTimes.py" --tripid 206-28 --locoid 4013 --swversion DE.1.0.7.0 --startMP 204:232965 --initTime 2016-09-28T17:32:37 --startdatetime 2016-09-28T17:41:29 --delay 1 --endMP 204:160 --enddatetime 2016-09-28T18:25:08 --enforcementcount 0 &gt;&gt;C:\Users\stu\Documents\GitHub\eaglep3-reporting\EC\2016-09-28-refined-times.txt</v>
      </c>
      <c r="AI118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{"issue":{"subject":"","project_id":79,"tracker_id":40,"status_id":1,"priority_id":2,"assigned_to_id":23,"start_date":"2016-09-28","description":"","custom_fields":[{"id":1,"name":"Subdivision","value":"EC"},{"id":4,"name":"Milepost","value":"0.016"},{"id":17,"name":"Train ID","value":"206-28"},{"id":16,"name":"Locomotive ID","value":"4013"},{"id":130,"name":"Impact","value":""},{"id":150,"name":"Time of Event (Mountain Time)","value":"18:25:08"},{"id":151,"name":"Denver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529</v>
      </c>
      <c r="B119" s="7">
        <v>4046</v>
      </c>
      <c r="C119" s="24" t="s">
        <v>106</v>
      </c>
      <c r="D119" s="24" t="s">
        <v>333</v>
      </c>
      <c r="E119" s="15">
        <v>42641.702743055554</v>
      </c>
      <c r="F119" s="15">
        <v>42641.708564814813</v>
      </c>
      <c r="G119" s="7">
        <v>1</v>
      </c>
      <c r="H119" s="15" t="s">
        <v>289</v>
      </c>
      <c r="I119" s="15">
        <v>42641.734143518515</v>
      </c>
      <c r="J119" s="7">
        <v>0</v>
      </c>
      <c r="K119" s="117" t="str">
        <f t="shared" si="26"/>
        <v>4045/4046</v>
      </c>
      <c r="L119" s="24" t="str">
        <f>VLOOKUP(A119,'Trips&amp;Operators'!$C$1:$E$10000,3,FALSE)</f>
        <v>HILLS</v>
      </c>
      <c r="M119" s="6">
        <f t="shared" si="27"/>
        <v>2.5578703702194616E-2</v>
      </c>
      <c r="N119" s="7">
        <f t="shared" si="41"/>
        <v>36.833333331160247</v>
      </c>
      <c r="O119" s="7"/>
      <c r="P119" s="7"/>
      <c r="Q119" s="25"/>
      <c r="R119" s="25"/>
      <c r="S119" s="37">
        <f t="shared" si="28"/>
        <v>1</v>
      </c>
      <c r="T119" s="52" t="str">
        <f t="shared" si="29"/>
        <v>NorthBound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15:51:57-0600',mode:absolute,to:'2016-09-28 18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9" s="54" t="str">
        <f t="shared" si="31"/>
        <v>N</v>
      </c>
      <c r="X119" s="164">
        <f t="shared" si="42"/>
        <v>1</v>
      </c>
      <c r="Y119" s="69">
        <f t="shared" si="32"/>
        <v>4.2900000000000001E-2</v>
      </c>
      <c r="Z119" s="69">
        <f t="shared" si="33"/>
        <v>23.331499999999998</v>
      </c>
      <c r="AA119" s="69">
        <f t="shared" si="34"/>
        <v>23.288599999999999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5"/>
        <v>0207-28</v>
      </c>
      <c r="AE119" s="95" t="str">
        <f t="shared" si="36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119" s="92" t="str">
        <f t="shared" si="37"/>
        <v>"C:\Program Files (x86)\AstroGrep\AstroGrep.exe" /spath="%USERPROFILE%\AppData\Local\Temp\OnboardLogs" /stypes="app*4046*20160928*" /stext=" 23:.+((SYSTEM_STATE.+slice.+state.+changed )|(ment ac)|(system.+state.+changed )|(\[timeout)|(PRM\|1\|D)|(kpr)|(kdp)|(\|lc)|(penalty))" /e /r /s</v>
      </c>
      <c r="AG119" s="1" t="str">
        <f t="shared" si="38"/>
        <v>EC</v>
      </c>
      <c r="AH119" s="96" t="str">
        <f t="shared" si="39"/>
        <v>"%USERPROFILE%\Documents\GitHub\eaglep3\Utilities\RefineRTDCRunTimes.py" --tripid 207-28 --locoid 4046 --swversion DE.1.0.7.0 --startMP 204:429 --initTime 2016-09-28T16:51:57 --startdatetime 2016-09-28T17:00:20 --delay 1 --endMP 204:233315 --enddatetime 2016-09-28T17:37:10 --enforcementcount 0 &gt;&gt;C:\Users\stu\Documents\GitHub\eaglep3-reporting\EC\2016-09-28-refined-times.txt</v>
      </c>
      <c r="AI119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{"issue":{"subject":"","project_id":79,"tracker_id":40,"status_id":1,"priority_id":2,"assigned_to_id":23,"start_date":"2016-09-28","description":"","custom_fields":[{"id":1,"name":"Subdivision","value":"EC"},{"id":4,"name":"Milepost","value":"23.3315"},{"id":17,"name":"Train ID","value":"207-28"},{"id":16,"name":"Locomotive ID","value":"4046"},{"id":130,"name":"Impact","value":""},{"id":150,"name":"Time of Event (Mountain Time)","value":"17:37:10"},{"id":151,"name":"Denver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540</v>
      </c>
      <c r="B120" s="7">
        <v>4045</v>
      </c>
      <c r="C120" s="24" t="s">
        <v>106</v>
      </c>
      <c r="D120" s="24" t="s">
        <v>278</v>
      </c>
      <c r="E120" s="15">
        <v>42641.735590277778</v>
      </c>
      <c r="F120" s="15">
        <v>42641.747766203705</v>
      </c>
      <c r="G120" s="7">
        <v>1</v>
      </c>
      <c r="H120" s="15" t="s">
        <v>659</v>
      </c>
      <c r="I120" s="15">
        <v>42641.77511574074</v>
      </c>
      <c r="J120" s="7">
        <v>0</v>
      </c>
      <c r="K120" s="117" t="str">
        <f t="shared" si="26"/>
        <v>4045/4046</v>
      </c>
      <c r="L120" s="24" t="str">
        <f>VLOOKUP(A120,'Trips&amp;Operators'!$C$1:$E$10000,3,FALSE)</f>
        <v>HILLS</v>
      </c>
      <c r="M120" s="6">
        <f t="shared" si="27"/>
        <v>2.7349537034751847E-2</v>
      </c>
      <c r="N120" s="7">
        <f t="shared" si="41"/>
        <v>39.38333333004266</v>
      </c>
      <c r="O120" s="7"/>
      <c r="P120" s="7"/>
      <c r="Q120" s="25"/>
      <c r="R120" s="25"/>
      <c r="S120" s="37">
        <f t="shared" si="28"/>
        <v>1</v>
      </c>
      <c r="T120" s="52" t="str">
        <f t="shared" si="29"/>
        <v>Southbound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16:39:15-0600',mode:absolute,to:'2016-09-28 19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0" s="54" t="str">
        <f t="shared" si="31"/>
        <v>N</v>
      </c>
      <c r="X120" s="164">
        <f t="shared" si="42"/>
        <v>1</v>
      </c>
      <c r="Y120" s="69">
        <f t="shared" si="32"/>
        <v>23.297899999999998</v>
      </c>
      <c r="Z120" s="69">
        <f t="shared" si="33"/>
        <v>1.1900000000000001E-2</v>
      </c>
      <c r="AA120" s="69">
        <f t="shared" si="34"/>
        <v>23.285999999999998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5"/>
        <v>0208-28</v>
      </c>
      <c r="AE120" s="95" t="str">
        <f t="shared" si="36"/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AF120" s="92" t="str">
        <f t="shared" si="37"/>
        <v>"C:\Program Files (x86)\AstroGrep\AstroGrep.exe" /spath="%USERPROFILE%\AppData\Local\Temp\OnboardLogs" /stypes="app*4045*20160929*" /stext=" 00:.+((SYSTEM_STATE.+slice.+state.+changed )|(ment ac)|(system.+state.+changed )|(\[timeout)|(PRM\|1\|D)|(kpr)|(kdp)|(\|lc)|(penalty))" /e /r /s</v>
      </c>
      <c r="AG120" s="1" t="str">
        <f t="shared" si="38"/>
        <v>EC</v>
      </c>
      <c r="AH120" s="96" t="str">
        <f t="shared" si="39"/>
        <v>"%USERPROFILE%\Documents\GitHub\eaglep3\Utilities\RefineRTDCRunTimes.py" --tripid 208-28 --locoid 4045 --swversion DE.1.0.7.0 --startMP 204:232979 --initTime 2016-09-28T17:39:15 --startdatetime 2016-09-28T17:56:47 --delay 1 --endMP 204:119 --enddatetime 2016-09-28T18:36:10 --enforcementcount 0 &gt;&gt;C:\Users\stu\Documents\GitHub\eaglep3-reporting\EC\2016-09-28-refined-times.txt</v>
      </c>
      <c r="AI120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{"issue":{"subject":"","project_id":79,"tracker_id":40,"status_id":1,"priority_id":2,"assigned_to_id":23,"start_date":"2016-09-28","description":"","custom_fields":[{"id":1,"name":"Subdivision","value":"EC"},{"id":4,"name":"Milepost","value":"0.0119"},{"id":17,"name":"Train ID","value":"208-28"},{"id":16,"name":"Locomotive ID","value":"4045"},{"id":130,"name":"Impact","value":""},{"id":150,"name":"Time of Event (Mountain Time)","value":"18:36:10"},{"id":151,"name":"Denver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533</v>
      </c>
      <c r="B121" s="7">
        <v>4040</v>
      </c>
      <c r="C121" s="24" t="s">
        <v>106</v>
      </c>
      <c r="D121" s="24" t="s">
        <v>233</v>
      </c>
      <c r="E121" s="15">
        <v>42641.714872685188</v>
      </c>
      <c r="F121" s="15">
        <v>42641.719328703701</v>
      </c>
      <c r="G121" s="7">
        <v>2</v>
      </c>
      <c r="H121" s="15" t="s">
        <v>631</v>
      </c>
      <c r="I121" s="15">
        <v>42641.746979166666</v>
      </c>
      <c r="J121" s="7">
        <v>0</v>
      </c>
      <c r="K121" s="117" t="str">
        <f t="shared" si="26"/>
        <v>4039/4040</v>
      </c>
      <c r="L121" s="24" t="str">
        <f>VLOOKUP(A121,'Trips&amp;Operators'!$C$1:$E$10000,3,FALSE)</f>
        <v>STURGEON</v>
      </c>
      <c r="M121" s="6">
        <f t="shared" si="27"/>
        <v>2.7650462965539191E-2</v>
      </c>
      <c r="N121" s="7">
        <f t="shared" si="41"/>
        <v>39.816666670376435</v>
      </c>
      <c r="O121" s="7"/>
      <c r="P121" s="7"/>
      <c r="Q121" s="25"/>
      <c r="R121" s="25"/>
      <c r="S121" s="37">
        <f t="shared" si="28"/>
        <v>1</v>
      </c>
      <c r="T121" s="52" t="str">
        <f t="shared" si="29"/>
        <v>NorthBound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16:09:25-0600',mode:absolute,to:'2016-09-28 18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1" s="54" t="str">
        <f t="shared" si="31"/>
        <v>N</v>
      </c>
      <c r="X121" s="164">
        <f t="shared" si="42"/>
        <v>1</v>
      </c>
      <c r="Y121" s="69">
        <f t="shared" si="32"/>
        <v>4.6199999999999998E-2</v>
      </c>
      <c r="Z121" s="69">
        <f t="shared" si="33"/>
        <v>23.329899999999999</v>
      </c>
      <c r="AA121" s="69">
        <f t="shared" si="34"/>
        <v>23.2837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5"/>
        <v>0209-28</v>
      </c>
      <c r="AE121" s="95" t="str">
        <f t="shared" si="36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121" s="92" t="str">
        <f t="shared" si="37"/>
        <v>"C:\Program Files (x86)\AstroGrep\AstroGrep.exe" /spath="%USERPROFILE%\AppData\Local\Temp\OnboardLogs" /stypes="app*4040*20160928*" /stext=" 23:.+((SYSTEM_STATE.+slice.+state.+changed )|(ment ac)|(system.+state.+changed )|(\[timeout)|(PRM\|1\|D)|(kpr)|(kdp)|(\|lc)|(penalty))" /e /r /s</v>
      </c>
      <c r="AG121" s="1" t="str">
        <f t="shared" si="38"/>
        <v>EC</v>
      </c>
      <c r="AH121" s="96" t="str">
        <f t="shared" si="39"/>
        <v>"%USERPROFILE%\Documents\GitHub\eaglep3\Utilities\RefineRTDCRunTimes.py" --tripid 209-28 --locoid 4040 --swversion DE.1.0.7.0 --startMP 204:462 --initTime 2016-09-28T17:09:25 --startdatetime 2016-09-28T17:15:50 --delay 2 --endMP 204:233299 --enddatetime 2016-09-28T17:55:39 --enforcementcount 0 &gt;&gt;C:\Users\stu\Documents\GitHub\eaglep3-reporting\EC\2016-09-28-refined-times.txt</v>
      </c>
      <c r="AI121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{"issue":{"subject":"","project_id":79,"tracker_id":40,"status_id":1,"priority_id":2,"assigned_to_id":23,"start_date":"2016-09-28","description":"","custom_fields":[{"id":1,"name":"Subdivision","value":"EC"},{"id":4,"name":"Milepost","value":"23.3299"},{"id":17,"name":"Train ID","value":"209-28"},{"id":16,"name":"Locomotive ID","value":"4040"},{"id":130,"name":"Impact","value":""},{"id":150,"name":"Time of Event (Mountain Time)","value":"17:55:39"},{"id":151,"name":"Denver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544</v>
      </c>
      <c r="B122" s="7">
        <v>4039</v>
      </c>
      <c r="C122" s="24" t="s">
        <v>106</v>
      </c>
      <c r="D122" s="24" t="s">
        <v>637</v>
      </c>
      <c r="E122" s="15">
        <v>42641.749259259261</v>
      </c>
      <c r="F122" s="15">
        <v>42641.757824074077</v>
      </c>
      <c r="G122" s="7">
        <v>1</v>
      </c>
      <c r="H122" s="15" t="s">
        <v>305</v>
      </c>
      <c r="I122" s="15">
        <v>42641.785393518519</v>
      </c>
      <c r="J122" s="7">
        <v>0</v>
      </c>
      <c r="K122" s="117" t="str">
        <f t="shared" si="26"/>
        <v>4039/4040</v>
      </c>
      <c r="L122" s="24" t="str">
        <f>VLOOKUP(A122,'Trips&amp;Operators'!$C$1:$E$10000,3,FALSE)</f>
        <v>STURGEON</v>
      </c>
      <c r="M122" s="6">
        <f t="shared" si="27"/>
        <v>2.7569444442633539E-2</v>
      </c>
      <c r="N122" s="7">
        <f t="shared" si="41"/>
        <v>39.699999997392297</v>
      </c>
      <c r="O122" s="7"/>
      <c r="P122" s="7"/>
      <c r="Q122" s="25"/>
      <c r="R122" s="25"/>
      <c r="S122" s="37">
        <f t="shared" si="28"/>
        <v>1</v>
      </c>
      <c r="T122" s="52" t="str">
        <f t="shared" si="29"/>
        <v>Southbound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16:58:56-0600',mode:absolute,to:'2016-09-28 19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2" s="54" t="str">
        <f t="shared" si="31"/>
        <v>N</v>
      </c>
      <c r="X122" s="164">
        <f t="shared" si="42"/>
        <v>1</v>
      </c>
      <c r="Y122" s="69">
        <f t="shared" si="32"/>
        <v>23.297799999999999</v>
      </c>
      <c r="Z122" s="69">
        <f t="shared" si="33"/>
        <v>1.67E-2</v>
      </c>
      <c r="AA122" s="69">
        <f t="shared" si="34"/>
        <v>23.281099999999999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5"/>
        <v>0210-28</v>
      </c>
      <c r="AE122" s="95" t="str">
        <f t="shared" si="36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122" s="92" t="str">
        <f t="shared" si="37"/>
        <v>"C:\Program Files (x86)\AstroGrep\AstroGrep.exe" /spath="%USERPROFILE%\AppData\Local\Temp\OnboardLogs" /stypes="app*4039*20160929*" /stext=" 00:.+((SYSTEM_STATE.+slice.+state.+changed )|(ment ac)|(system.+state.+changed )|(\[timeout)|(PRM\|1\|D)|(kpr)|(kdp)|(\|lc)|(penalty))" /e /r /s</v>
      </c>
      <c r="AG122" s="1" t="str">
        <f t="shared" si="38"/>
        <v>EC</v>
      </c>
      <c r="AH122" s="96" t="str">
        <f t="shared" si="39"/>
        <v>"%USERPROFILE%\Documents\GitHub\eaglep3\Utilities\RefineRTDCRunTimes.py" --tripid 210-28 --locoid 4039 --swversion DE.1.0.7.0 --startMP 204:232978 --initTime 2016-09-28T17:58:56 --startdatetime 2016-09-28T18:11:16 --delay 1 --endMP 204:167 --enddatetime 2016-09-28T18:50:58 --enforcementcount 0 &gt;&gt;C:\Users\stu\Documents\GitHub\eaglep3-reporting\EC\2016-09-28-refined-times.txt</v>
      </c>
      <c r="AI122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{"issue":{"subject":"","project_id":79,"tracker_id":40,"status_id":1,"priority_id":2,"assigned_to_id":23,"start_date":"2016-09-28","description":"","custom_fields":[{"id":1,"name":"Subdivision","value":"EC"},{"id":4,"name":"Milepost","value":"0.0167"},{"id":17,"name":"Train ID","value":"210-28"},{"id":16,"name":"Locomotive ID","value":"4039"},{"id":130,"name":"Impact","value":""},{"id":150,"name":"Time of Event (Mountain Time)","value":"18:50:58"},{"id":151,"name":"Denver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536</v>
      </c>
      <c r="B123" s="7">
        <v>4002</v>
      </c>
      <c r="C123" s="24" t="s">
        <v>106</v>
      </c>
      <c r="D123" s="24" t="s">
        <v>229</v>
      </c>
      <c r="E123" s="15">
        <v>42641.725891203707</v>
      </c>
      <c r="F123" s="15">
        <v>42641.729432870372</v>
      </c>
      <c r="G123" s="7">
        <v>1</v>
      </c>
      <c r="H123" s="15" t="s">
        <v>249</v>
      </c>
      <c r="I123" s="15">
        <v>42641.756550925929</v>
      </c>
      <c r="J123" s="7">
        <v>0</v>
      </c>
      <c r="K123" s="117" t="str">
        <f t="shared" si="26"/>
        <v>4001/4002</v>
      </c>
      <c r="L123" s="24" t="str">
        <f>VLOOKUP(A123,'Trips&amp;Operators'!$C$1:$E$10000,3,FALSE)</f>
        <v>YOUNG</v>
      </c>
      <c r="M123" s="6">
        <f t="shared" si="27"/>
        <v>2.7118055557366461E-2</v>
      </c>
      <c r="N123" s="7">
        <f t="shared" si="41"/>
        <v>39.050000002607703</v>
      </c>
      <c r="O123" s="7"/>
      <c r="P123" s="7"/>
      <c r="Q123" s="25"/>
      <c r="R123" s="25"/>
      <c r="S123" s="37">
        <f t="shared" si="28"/>
        <v>1</v>
      </c>
      <c r="T123" s="52" t="str">
        <f t="shared" si="29"/>
        <v>NorthBound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16:25:17-0600',mode:absolute,to:'2016-09-28 19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3" s="54" t="str">
        <f t="shared" si="31"/>
        <v>N</v>
      </c>
      <c r="X123" s="164">
        <f t="shared" si="42"/>
        <v>1</v>
      </c>
      <c r="Y123" s="69">
        <f t="shared" si="32"/>
        <v>4.5999999999999999E-2</v>
      </c>
      <c r="Z123" s="69">
        <f t="shared" si="33"/>
        <v>23.331199999999999</v>
      </c>
      <c r="AA123" s="69">
        <f t="shared" si="34"/>
        <v>23.2852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5"/>
        <v>0211-28</v>
      </c>
      <c r="AE123" s="95" t="str">
        <f t="shared" si="36"/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AF123" s="92" t="str">
        <f t="shared" si="37"/>
        <v>"C:\Program Files (x86)\AstroGrep\AstroGrep.exe" /spath="%USERPROFILE%\AppData\Local\Temp\OnboardLogs" /stypes="app*4002*20160929*" /stext=" 00:.+((SYSTEM_STATE.+slice.+state.+changed )|(ment ac)|(system.+state.+changed )|(\[timeout)|(PRM\|1\|D)|(kpr)|(kdp)|(\|lc)|(penalty))" /e /r /s</v>
      </c>
      <c r="AG123" s="1" t="str">
        <f t="shared" si="38"/>
        <v>EC</v>
      </c>
      <c r="AH123" s="96" t="str">
        <f t="shared" si="39"/>
        <v>"%USERPROFILE%\Documents\GitHub\eaglep3\Utilities\RefineRTDCRunTimes.py" --tripid 211-28 --locoid 4002 --swversion DE.1.0.7.0 --startMP 204:460 --initTime 2016-09-28T17:25:17 --startdatetime 2016-09-28T17:30:23 --delay 1 --endMP 204:233312 --enddatetime 2016-09-28T18:09:26 --enforcementcount 0 &gt;&gt;C:\Users\stu\Documents\GitHub\eaglep3-reporting\EC\2016-09-28-refined-times.txt</v>
      </c>
      <c r="AI123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{"issue":{"subject":"","project_id":79,"tracker_id":40,"status_id":1,"priority_id":2,"assigned_to_id":23,"start_date":"2016-09-28","description":"","custom_fields":[{"id":1,"name":"Subdivision","value":"EC"},{"id":4,"name":"Milepost","value":"23.3312"},{"id":17,"name":"Train ID","value":"211-28"},{"id":16,"name":"Locomotive ID","value":"4002"},{"id":130,"name":"Impact","value":""},{"id":150,"name":"Time of Event (Mountain Time)","value":"18:09:26"},{"id":151,"name":"Denver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547</v>
      </c>
      <c r="B124" s="7">
        <v>4001</v>
      </c>
      <c r="C124" s="24" t="s">
        <v>106</v>
      </c>
      <c r="D124" s="24" t="s">
        <v>343</v>
      </c>
      <c r="E124" s="15">
        <v>42641.760960648149</v>
      </c>
      <c r="F124" s="15">
        <v>42641.768240740741</v>
      </c>
      <c r="G124" s="7">
        <v>1</v>
      </c>
      <c r="H124" s="15" t="s">
        <v>127</v>
      </c>
      <c r="I124" s="15">
        <v>42641.797129629631</v>
      </c>
      <c r="J124" s="7">
        <v>0</v>
      </c>
      <c r="K124" s="117" t="str">
        <f t="shared" si="26"/>
        <v>4001/4002</v>
      </c>
      <c r="L124" s="24" t="str">
        <f>VLOOKUP(A124,'Trips&amp;Operators'!$C$1:$E$10000,3,FALSE)</f>
        <v>YOUNG</v>
      </c>
      <c r="M124" s="6">
        <f t="shared" si="27"/>
        <v>2.8888888889923692E-2</v>
      </c>
      <c r="N124" s="7">
        <f t="shared" si="41"/>
        <v>41.600000001490116</v>
      </c>
      <c r="O124" s="7"/>
      <c r="P124" s="7"/>
      <c r="Q124" s="25"/>
      <c r="R124" s="25"/>
      <c r="S124" s="37">
        <f t="shared" si="28"/>
        <v>1</v>
      </c>
      <c r="T124" s="52" t="str">
        <f t="shared" si="29"/>
        <v>Southbound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17:15:47-0600',mode:absolute,to:'2016-09-28 20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4" s="54" t="str">
        <f t="shared" si="31"/>
        <v>N</v>
      </c>
      <c r="X124" s="164">
        <f t="shared" si="42"/>
        <v>1</v>
      </c>
      <c r="Y124" s="69">
        <f t="shared" si="32"/>
        <v>23.299099999999999</v>
      </c>
      <c r="Z124" s="69">
        <f t="shared" si="33"/>
        <v>1.54E-2</v>
      </c>
      <c r="AA124" s="69">
        <f t="shared" si="34"/>
        <v>23.2837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5"/>
        <v>0212-28</v>
      </c>
      <c r="AE124" s="95" t="str">
        <f t="shared" si="36"/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AF124" s="92" t="str">
        <f t="shared" si="37"/>
        <v>"C:\Program Files (x86)\AstroGrep\AstroGrep.exe" /spath="%USERPROFILE%\AppData\Local\Temp\OnboardLogs" /stypes="app*4001*20160929*" /stext=" 01:.+((SYSTEM_STATE.+slice.+state.+changed )|(ment ac)|(system.+state.+changed )|(\[timeout)|(PRM\|1\|D)|(kpr)|(kdp)|(\|lc)|(penalty))" /e /r /s</v>
      </c>
      <c r="AG124" s="1" t="str">
        <f t="shared" si="38"/>
        <v>EC</v>
      </c>
      <c r="AH124" s="96" t="str">
        <f t="shared" si="39"/>
        <v>"%USERPROFILE%\Documents\GitHub\eaglep3\Utilities\RefineRTDCRunTimes.py" --tripid 212-28 --locoid 4001 --swversion DE.1.0.7.0 --startMP 204:232991 --initTime 2016-09-28T18:15:47 --startdatetime 2016-09-28T18:26:16 --delay 1 --endMP 204:154 --enddatetime 2016-09-28T19:07:52 --enforcementcount 0 &gt;&gt;C:\Users\stu\Documents\GitHub\eaglep3-reporting\EC\2016-09-28-refined-times.txt</v>
      </c>
      <c r="AI124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{"issue":{"subject":"","project_id":79,"tracker_id":40,"status_id":1,"priority_id":2,"assigned_to_id":23,"start_date":"2016-09-28","description":"","custom_fields":[{"id":1,"name":"Subdivision","value":"EC"},{"id":4,"name":"Milepost","value":"0.0154"},{"id":17,"name":"Train ID","value":"212-28"},{"id":16,"name":"Locomotive ID","value":"4001"},{"id":130,"name":"Impact","value":""},{"id":150,"name":"Time of Event (Mountain Time)","value":"19:07:52"},{"id":151,"name":"Denver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541</v>
      </c>
      <c r="B125" s="7">
        <v>4020</v>
      </c>
      <c r="C125" s="24" t="s">
        <v>106</v>
      </c>
      <c r="D125" s="24" t="s">
        <v>218</v>
      </c>
      <c r="E125" s="15">
        <v>42641.735509259262</v>
      </c>
      <c r="F125" s="15">
        <v>42641.739768518521</v>
      </c>
      <c r="G125" s="7">
        <v>2</v>
      </c>
      <c r="H125" s="15" t="s">
        <v>238</v>
      </c>
      <c r="I125" s="15">
        <v>42641.764421296299</v>
      </c>
      <c r="J125" s="7">
        <v>0</v>
      </c>
      <c r="K125" s="117" t="str">
        <f t="shared" si="26"/>
        <v>4019/4020</v>
      </c>
      <c r="L125" s="24" t="str">
        <f>VLOOKUP(A125,'Trips&amp;Operators'!$C$1:$E$10000,3,FALSE)</f>
        <v>YANAI</v>
      </c>
      <c r="M125" s="6">
        <f t="shared" si="27"/>
        <v>2.4652777778101154E-2</v>
      </c>
      <c r="N125" s="7">
        <f t="shared" si="41"/>
        <v>35.500000000465661</v>
      </c>
      <c r="O125" s="7"/>
      <c r="P125" s="7"/>
      <c r="Q125" s="25"/>
      <c r="R125" s="25"/>
      <c r="S125" s="37">
        <f t="shared" si="28"/>
        <v>1</v>
      </c>
      <c r="T125" s="52" t="str">
        <f t="shared" si="29"/>
        <v>NorthBound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16:39:08-0600',mode:absolute,to:'2016-09-28 19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5" s="54" t="str">
        <f t="shared" si="31"/>
        <v>N</v>
      </c>
      <c r="X125" s="164">
        <f t="shared" si="42"/>
        <v>1</v>
      </c>
      <c r="Y125" s="69">
        <f t="shared" si="32"/>
        <v>4.53E-2</v>
      </c>
      <c r="Z125" s="69">
        <f t="shared" si="33"/>
        <v>23.329699999999999</v>
      </c>
      <c r="AA125" s="69">
        <f t="shared" si="34"/>
        <v>23.284399999999998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5"/>
        <v>0213-28</v>
      </c>
      <c r="AE125" s="95" t="str">
        <f t="shared" si="36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125" s="92" t="str">
        <f t="shared" si="37"/>
        <v>"C:\Program Files (x86)\AstroGrep\AstroGrep.exe" /spath="%USERPROFILE%\AppData\Local\Temp\OnboardLogs" /stypes="app*4020*20160929*" /stext=" 00:.+((SYSTEM_STATE.+slice.+state.+changed )|(ment ac)|(system.+state.+changed )|(\[timeout)|(PRM\|1\|D)|(kpr)|(kdp)|(\|lc)|(penalty))" /e /r /s</v>
      </c>
      <c r="AG125" s="1" t="str">
        <f t="shared" si="38"/>
        <v>EC</v>
      </c>
      <c r="AH125" s="96" t="str">
        <f t="shared" si="39"/>
        <v>"%USERPROFILE%\Documents\GitHub\eaglep3\Utilities\RefineRTDCRunTimes.py" --tripid 213-28 --locoid 4020 --swversion DE.1.0.7.0 --startMP 204:453 --initTime 2016-09-28T17:39:08 --startdatetime 2016-09-28T17:45:16 --delay 2 --endMP 204:233297 --enddatetime 2016-09-28T18:20:46 --enforcementcount 0 &gt;&gt;C:\Users\stu\Documents\GitHub\eaglep3-reporting\EC\2016-09-28-refined-times.txt</v>
      </c>
      <c r="AI125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{"issue":{"subject":"","project_id":79,"tracker_id":40,"status_id":1,"priority_id":2,"assigned_to_id":23,"start_date":"2016-09-28","description":"","custom_fields":[{"id":1,"name":"Subdivision","value":"EC"},{"id":4,"name":"Milepost","value":"23.3297"},{"id":17,"name":"Train ID","value":"213-28"},{"id":16,"name":"Locomotive ID","value":"4020"},{"id":130,"name":"Impact","value":""},{"id":150,"name":"Time of Event (Mountain Time)","value":"18:20:46"},{"id":151,"name":"Denver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550</v>
      </c>
      <c r="B126" s="7">
        <v>4019</v>
      </c>
      <c r="C126" s="24" t="s">
        <v>106</v>
      </c>
      <c r="D126" s="24" t="s">
        <v>637</v>
      </c>
      <c r="E126" s="15">
        <v>42641.77070601852</v>
      </c>
      <c r="F126" s="15">
        <v>42641.778634259259</v>
      </c>
      <c r="G126" s="7">
        <v>2</v>
      </c>
      <c r="H126" s="15" t="s">
        <v>221</v>
      </c>
      <c r="I126" s="15">
        <v>42641.804675925923</v>
      </c>
      <c r="J126" s="7">
        <v>0</v>
      </c>
      <c r="K126" s="117" t="str">
        <f t="shared" si="26"/>
        <v>4019/4020</v>
      </c>
      <c r="L126" s="24" t="str">
        <f>VLOOKUP(A126,'Trips&amp;Operators'!$C$1:$E$10000,3,FALSE)</f>
        <v>YANAI</v>
      </c>
      <c r="M126" s="6">
        <f t="shared" si="27"/>
        <v>2.6041666664241347E-2</v>
      </c>
      <c r="N126" s="7">
        <f t="shared" ref="N126:N157" si="43">24*60*SUM($M126:$M126)</f>
        <v>37.49999999650754</v>
      </c>
      <c r="O126" s="7"/>
      <c r="P126" s="7"/>
      <c r="Q126" s="25"/>
      <c r="R126" s="25"/>
      <c r="S126" s="37">
        <f t="shared" si="28"/>
        <v>1</v>
      </c>
      <c r="T126" s="52" t="str">
        <f t="shared" si="29"/>
        <v>Southbound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17:29:49-0600',mode:absolute,to:'2016-09-28 20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6" s="54" t="str">
        <f t="shared" si="31"/>
        <v>N</v>
      </c>
      <c r="X126" s="164">
        <f t="shared" si="42"/>
        <v>1</v>
      </c>
      <c r="Y126" s="69">
        <f t="shared" si="32"/>
        <v>23.297799999999999</v>
      </c>
      <c r="Z126" s="69">
        <f t="shared" si="33"/>
        <v>1.52E-2</v>
      </c>
      <c r="AA126" s="69">
        <f t="shared" si="34"/>
        <v>23.282599999999999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5"/>
        <v>0214-28</v>
      </c>
      <c r="AE126" s="95" t="str">
        <f t="shared" si="36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126" s="92" t="str">
        <f t="shared" si="37"/>
        <v>"C:\Program Files (x86)\AstroGrep\AstroGrep.exe" /spath="%USERPROFILE%\AppData\Local\Temp\OnboardLogs" /stypes="app*4019*20160929*" /stext=" 01:.+((SYSTEM_STATE.+slice.+state.+changed )|(ment ac)|(system.+state.+changed )|(\[timeout)|(PRM\|1\|D)|(kpr)|(kdp)|(\|lc)|(penalty))" /e /r /s</v>
      </c>
      <c r="AG126" s="1" t="str">
        <f t="shared" si="38"/>
        <v>EC</v>
      </c>
      <c r="AH126" s="96" t="str">
        <f t="shared" si="39"/>
        <v>"%USERPROFILE%\Documents\GitHub\eaglep3\Utilities\RefineRTDCRunTimes.py" --tripid 214-28 --locoid 4019 --swversion DE.1.0.7.0 --startMP 204:232978 --initTime 2016-09-28T18:29:49 --startdatetime 2016-09-28T18:41:14 --delay 2 --endMP 204:152 --enddatetime 2016-09-28T19:18:44 --enforcementcount 0 &gt;&gt;C:\Users\stu\Documents\GitHub\eaglep3-reporting\EC\2016-09-28-refined-times.txt</v>
      </c>
      <c r="AI126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{"issue":{"subject":"","project_id":79,"tracker_id":40,"status_id":1,"priority_id":2,"assigned_to_id":23,"start_date":"2016-09-28","description":"","custom_fields":[{"id":1,"name":"Subdivision","value":"EC"},{"id":4,"name":"Milepost","value":"0.0152"},{"id":17,"name":"Train ID","value":"214-28"},{"id":16,"name":"Locomotive ID","value":"4019"},{"id":130,"name":"Impact","value":""},{"id":150,"name":"Time of Event (Mountain Time)","value":"19:18:44"},{"id":151,"name":"Denver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543</v>
      </c>
      <c r="B127" s="7">
        <v>4007</v>
      </c>
      <c r="C127" s="24" t="s">
        <v>106</v>
      </c>
      <c r="D127" s="24" t="s">
        <v>218</v>
      </c>
      <c r="E127" s="15">
        <v>42641.747152777774</v>
      </c>
      <c r="F127" s="15">
        <v>42641.750393518516</v>
      </c>
      <c r="G127" s="7">
        <v>1</v>
      </c>
      <c r="H127" s="15" t="s">
        <v>336</v>
      </c>
      <c r="I127" s="15">
        <v>42641.77579861111</v>
      </c>
      <c r="J127" s="7">
        <v>0</v>
      </c>
      <c r="K127" s="117" t="str">
        <f t="shared" si="26"/>
        <v>4007/4008</v>
      </c>
      <c r="L127" s="24" t="str">
        <f>VLOOKUP(A127,'Trips&amp;Operators'!$C$1:$E$10000,3,FALSE)</f>
        <v>STORY</v>
      </c>
      <c r="M127" s="6">
        <f t="shared" si="27"/>
        <v>2.5405092594155576E-2</v>
      </c>
      <c r="N127" s="7">
        <f t="shared" si="43"/>
        <v>36.58333333558403</v>
      </c>
      <c r="O127" s="7"/>
      <c r="P127" s="7"/>
      <c r="Q127" s="25"/>
      <c r="R127" s="25" t="s">
        <v>765</v>
      </c>
      <c r="S127" s="37">
        <f t="shared" si="28"/>
        <v>1</v>
      </c>
      <c r="T127" s="52" t="str">
        <f t="shared" si="29"/>
        <v>NorthBound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16:55:54-0600',mode:absolute,to:'2016-09-28 19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27" s="54" t="str">
        <f t="shared" si="31"/>
        <v>N</v>
      </c>
      <c r="X127" s="164">
        <f t="shared" ref="X127:X130" si="44">VALUE(LEFT(AD127,4))-VALUE(LEFT(AD126,4))</f>
        <v>1</v>
      </c>
      <c r="Y127" s="69">
        <f t="shared" si="32"/>
        <v>4.53E-2</v>
      </c>
      <c r="Z127" s="69">
        <f t="shared" si="33"/>
        <v>23.331</v>
      </c>
      <c r="AA127" s="69">
        <f t="shared" si="34"/>
        <v>23.285699999999999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5"/>
        <v>0215-28</v>
      </c>
      <c r="AE127" s="95" t="str">
        <f t="shared" si="36"/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AF127" s="92" t="str">
        <f t="shared" si="37"/>
        <v>"C:\Program Files (x86)\AstroGrep\AstroGrep.exe" /spath="%USERPROFILE%\AppData\Local\Temp\OnboardLogs" /stypes="app*4007*20160929*" /stext=" 00:.+((SYSTEM_STATE.+slice.+state.+changed )|(ment ac)|(system.+state.+changed )|(\[timeout)|(PRM\|1\|D)|(kpr)|(kdp)|(\|lc)|(penalty))" /e /r /s</v>
      </c>
      <c r="AG127" s="1" t="str">
        <f t="shared" si="38"/>
        <v>EC</v>
      </c>
      <c r="AH127" s="96" t="str">
        <f t="shared" si="39"/>
        <v>"%USERPROFILE%\Documents\GitHub\eaglep3\Utilities\RefineRTDCRunTimes.py" --tripid 215-28 --locoid 4007 --swversion DE.1.0.7.0 --startMP 204:453 --initTime 2016-09-28T17:55:54 --startdatetime 2016-09-28T18:00:34 --delay 1 --endMP 204:233310 --enddatetime 2016-09-28T18:37:09 --enforcementcount 0 &gt;&gt;C:\Users\stu\Documents\GitHub\eaglep3-reporting\EC\2016-09-28-refined-times.txt</v>
      </c>
      <c r="AI127" s="130" t="str">
        <f t="shared" si="40"/>
        <v>echo {"issue":{"subject":"Had to re-init due to triplex issue at init, but other than that a good run","project_id":79,"tracker_id":40,"status_id":1,"priority_id":2,"assigned_to_id":23,"start_date":"2016-09-28","description":"","custom_fields":[{"id":1,"name":"Subdivision","value":"EC"},{"id":4,"name":"Milepost","value":"23.331"},{"id":17,"name":"Train ID","value":"215-28"},{"id":16,"name":"Locomotive ID","value":"4007"},{"id":130,"name":"Impact","value":""},{"id":150,"name":"Time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554</v>
      </c>
      <c r="B128" s="7">
        <v>4008</v>
      </c>
      <c r="C128" s="24" t="s">
        <v>106</v>
      </c>
      <c r="D128" s="24" t="s">
        <v>343</v>
      </c>
      <c r="E128" s="15">
        <v>42641.785046296296</v>
      </c>
      <c r="F128" s="15">
        <v>42641.789270833331</v>
      </c>
      <c r="G128" s="7">
        <v>1</v>
      </c>
      <c r="H128" s="15" t="s">
        <v>661</v>
      </c>
      <c r="I128" s="15">
        <v>42641.816481481481</v>
      </c>
      <c r="J128" s="7">
        <v>0</v>
      </c>
      <c r="K128" s="117" t="str">
        <f t="shared" si="26"/>
        <v>4007/4008</v>
      </c>
      <c r="L128" s="24" t="str">
        <f>VLOOKUP(A128,'Trips&amp;Operators'!$C$1:$E$10000,3,FALSE)</f>
        <v>STORY</v>
      </c>
      <c r="M128" s="6">
        <f t="shared" si="27"/>
        <v>2.7210648149775807E-2</v>
      </c>
      <c r="N128" s="7">
        <f t="shared" si="43"/>
        <v>39.183333335677162</v>
      </c>
      <c r="O128" s="7"/>
      <c r="P128" s="7"/>
      <c r="Q128" s="25"/>
      <c r="R128" s="25"/>
      <c r="S128" s="37">
        <f t="shared" si="28"/>
        <v>1</v>
      </c>
      <c r="T128" s="52" t="str">
        <f t="shared" si="29"/>
        <v>Southbound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17:50:28-0600',mode:absolute,to:'2016-09-28 20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28" s="54" t="str">
        <f t="shared" si="31"/>
        <v>N</v>
      </c>
      <c r="X128" s="164">
        <f t="shared" si="44"/>
        <v>1</v>
      </c>
      <c r="Y128" s="69">
        <f t="shared" si="32"/>
        <v>23.299099999999999</v>
      </c>
      <c r="Z128" s="69">
        <f t="shared" si="33"/>
        <v>2.8000000000000001E-2</v>
      </c>
      <c r="AA128" s="69">
        <f t="shared" si="34"/>
        <v>23.271100000000001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5"/>
        <v>0216-28</v>
      </c>
      <c r="AE128" s="95" t="str">
        <f t="shared" si="36"/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AF128" s="92" t="str">
        <f t="shared" si="37"/>
        <v>"C:\Program Files (x86)\AstroGrep\AstroGrep.exe" /spath="%USERPROFILE%\AppData\Local\Temp\OnboardLogs" /stypes="app*4008*20160929*" /stext=" 01:.+((SYSTEM_STATE.+slice.+state.+changed )|(ment ac)|(system.+state.+changed )|(\[timeout)|(PRM\|1\|D)|(kpr)|(kdp)|(\|lc)|(penalty))" /e /r /s</v>
      </c>
      <c r="AG128" s="1" t="str">
        <f t="shared" si="38"/>
        <v>EC</v>
      </c>
      <c r="AH128" s="96" t="str">
        <f t="shared" si="39"/>
        <v>"%USERPROFILE%\Documents\GitHub\eaglep3\Utilities\RefineRTDCRunTimes.py" --tripid 216-28 --locoid 4008 --swversion DE.1.0.7.0 --startMP 204:232991 --initTime 2016-09-28T18:50:28 --startdatetime 2016-09-28T18:56:33 --delay 1 --endMP 204:280 --enddatetime 2016-09-28T19:35:44 --enforcementcount 0 &gt;&gt;C:\Users\stu\Documents\GitHub\eaglep3-reporting\EC\2016-09-28-refined-times.txt</v>
      </c>
      <c r="AI128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{"issue":{"subject":"","project_id":79,"tracker_id":40,"status_id":1,"priority_id":2,"assigned_to_id":23,"start_date":"2016-09-28","description":"","custom_fields":[{"id":1,"name":"Subdivision","value":"EC"},{"id":4,"name":"Milepost","value":"0.028"},{"id":17,"name":"Train ID","value":"216-28"},{"id":16,"name":"Locomotive ID","value":"4008"},{"id":130,"name":"Impact","value":""},{"id":150,"name":"Time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546</v>
      </c>
      <c r="B129" s="7">
        <v>4018</v>
      </c>
      <c r="C129" s="24" t="s">
        <v>106</v>
      </c>
      <c r="D129" s="24" t="s">
        <v>233</v>
      </c>
      <c r="E129" s="15">
        <v>42641.75644675926</v>
      </c>
      <c r="F129" s="15">
        <v>42641.760659722226</v>
      </c>
      <c r="G129" s="7">
        <v>2</v>
      </c>
      <c r="H129" s="15" t="s">
        <v>238</v>
      </c>
      <c r="I129" s="15">
        <v>42641.785162037035</v>
      </c>
      <c r="J129" s="7">
        <v>0</v>
      </c>
      <c r="K129" s="117" t="str">
        <f t="shared" si="26"/>
        <v>4017/4018</v>
      </c>
      <c r="L129" s="24" t="str">
        <f>VLOOKUP(A129,'Trips&amp;Operators'!$C$1:$E$10000,3,FALSE)</f>
        <v>LEVIN</v>
      </c>
      <c r="M129" s="6">
        <f t="shared" si="27"/>
        <v>2.4502314809069503E-2</v>
      </c>
      <c r="N129" s="7">
        <f t="shared" si="43"/>
        <v>35.283333325060084</v>
      </c>
      <c r="O129" s="7"/>
      <c r="P129" s="7"/>
      <c r="Q129" s="25"/>
      <c r="R129" s="25"/>
      <c r="S129" s="37">
        <f t="shared" si="28"/>
        <v>1</v>
      </c>
      <c r="T129" s="52" t="str">
        <f t="shared" si="29"/>
        <v>NorthBound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17:09:17-0600',mode:absolute,to:'2016-09-28 19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9" s="54" t="str">
        <f t="shared" si="31"/>
        <v>N</v>
      </c>
      <c r="X129" s="164">
        <f t="shared" si="44"/>
        <v>1</v>
      </c>
      <c r="Y129" s="69">
        <f t="shared" si="32"/>
        <v>4.6199999999999998E-2</v>
      </c>
      <c r="Z129" s="69">
        <f t="shared" si="33"/>
        <v>23.329699999999999</v>
      </c>
      <c r="AA129" s="69">
        <f t="shared" si="34"/>
        <v>23.2835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5"/>
        <v>0217-28</v>
      </c>
      <c r="AE129" s="95" t="str">
        <f t="shared" si="36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129" s="92" t="str">
        <f t="shared" si="37"/>
        <v>"C:\Program Files (x86)\AstroGrep\AstroGrep.exe" /spath="%USERPROFILE%\AppData\Local\Temp\OnboardLogs" /stypes="app*4018*20160929*" /stext=" 00:.+((SYSTEM_STATE.+slice.+state.+changed )|(ment ac)|(system.+state.+changed )|(\[timeout)|(PRM\|1\|D)|(kpr)|(kdp)|(\|lc)|(penalty))" /e /r /s</v>
      </c>
      <c r="AG129" s="1" t="str">
        <f t="shared" si="38"/>
        <v>EC</v>
      </c>
      <c r="AH129" s="96" t="str">
        <f t="shared" si="39"/>
        <v>"%USERPROFILE%\Documents\GitHub\eaglep3\Utilities\RefineRTDCRunTimes.py" --tripid 217-28 --locoid 4018 --swversion DE.1.0.7.0 --startMP 204:462 --initTime 2016-09-28T18:09:17 --startdatetime 2016-09-28T18:15:21 --delay 2 --endMP 204:233297 --enddatetime 2016-09-28T18:50:38 --enforcementcount 0 &gt;&gt;C:\Users\stu\Documents\GitHub\eaglep3-reporting\EC\2016-09-28-refined-times.txt</v>
      </c>
      <c r="AI129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{"issue":{"subject":"","project_id":79,"tracker_id":40,"status_id":1,"priority_id":2,"assigned_to_id":23,"start_date":"2016-09-28","description":"","custom_fields":[{"id":1,"name":"Subdivision","value":"EC"},{"id":4,"name":"Milepost","value":"23.3297"},{"id":17,"name":"Train ID","value":"217-28"},{"id":16,"name":"Locomotive ID","value":"4018"},{"id":130,"name":"Impact","value":""},{"id":150,"name":"Time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556</v>
      </c>
      <c r="B130" s="7">
        <v>4017</v>
      </c>
      <c r="C130" s="24" t="s">
        <v>106</v>
      </c>
      <c r="D130" s="24" t="s">
        <v>346</v>
      </c>
      <c r="E130" s="15">
        <v>42641.795995370368</v>
      </c>
      <c r="F130" s="15">
        <v>42641.799490740741</v>
      </c>
      <c r="G130" s="7">
        <v>1</v>
      </c>
      <c r="H130" s="15" t="s">
        <v>662</v>
      </c>
      <c r="I130" s="15">
        <v>42641.829212962963</v>
      </c>
      <c r="J130" s="7">
        <v>0</v>
      </c>
      <c r="K130" s="117" t="str">
        <f t="shared" si="26"/>
        <v>4017/4018</v>
      </c>
      <c r="L130" s="24" t="str">
        <f>VLOOKUP(A130,'Trips&amp;Operators'!$C$1:$E$10000,3,FALSE)</f>
        <v>LEVIN</v>
      </c>
      <c r="M130" s="6">
        <f t="shared" si="27"/>
        <v>2.9722222221607808E-2</v>
      </c>
      <c r="N130" s="7">
        <f t="shared" si="43"/>
        <v>42.799999999115244</v>
      </c>
      <c r="O130" s="7"/>
      <c r="P130" s="7"/>
      <c r="Q130" s="25"/>
      <c r="R130" s="25"/>
      <c r="S130" s="37">
        <f t="shared" si="28"/>
        <v>1</v>
      </c>
      <c r="T130" s="52" t="str">
        <f t="shared" si="29"/>
        <v>Southbound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18:06:14-0600',mode:absolute,to:'2016-09-28 20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0" s="54" t="str">
        <f t="shared" si="31"/>
        <v>N</v>
      </c>
      <c r="X130" s="164">
        <f t="shared" si="44"/>
        <v>1</v>
      </c>
      <c r="Y130" s="69">
        <f t="shared" si="32"/>
        <v>23.301100000000002</v>
      </c>
      <c r="Z130" s="69">
        <f t="shared" si="33"/>
        <v>1.3599999999999999E-2</v>
      </c>
      <c r="AA130" s="69">
        <f t="shared" si="34"/>
        <v>23.287500000000001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5"/>
        <v>0218-28</v>
      </c>
      <c r="AE130" s="95" t="str">
        <f t="shared" si="36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130" s="92" t="str">
        <f t="shared" si="37"/>
        <v>"C:\Program Files (x86)\AstroGrep\AstroGrep.exe" /spath="%USERPROFILE%\AppData\Local\Temp\OnboardLogs" /stypes="app*4017*20160929*" /stext=" 01:.+((SYSTEM_STATE.+slice.+state.+changed )|(ment ac)|(system.+state.+changed )|(\[timeout)|(PRM\|1\|D)|(kpr)|(kdp)|(\|lc)|(penalty))" /e /r /s</v>
      </c>
      <c r="AG130" s="1" t="str">
        <f t="shared" si="38"/>
        <v>EC</v>
      </c>
      <c r="AH130" s="96" t="str">
        <f t="shared" si="39"/>
        <v>"%USERPROFILE%\Documents\GitHub\eaglep3\Utilities\RefineRTDCRunTimes.py" --tripid 218-28 --locoid 4017 --swversion DE.1.0.7.0 --startMP 204:233011 --initTime 2016-09-28T19:06:14 --startdatetime 2016-09-28T19:11:16 --delay 1 --endMP 204:136 --enddatetime 2016-09-28T19:54:04 --enforcementcount 0 &gt;&gt;C:\Users\stu\Documents\GitHub\eaglep3-reporting\EC\2016-09-28-refined-times.txt</v>
      </c>
      <c r="AI130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{"issue":{"subject":"","project_id":79,"tracker_id":40,"status_id":1,"priority_id":2,"assigned_to_id":23,"start_date":"2016-09-28","description":"","custom_fields":[{"id":1,"name":"Subdivision","value":"EC"},{"id":4,"name":"Milepost","value":"0.0136"},{"id":17,"name":"Train ID","value":"218-28"},{"id":16,"name":"Locomotive ID","value":"4017"},{"id":130,"name":"Impact","value":""},{"id":150,"name":"Time of Event (Mountain Time)","value":"19:54:04"},{"id":151,"name":"Denver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549</v>
      </c>
      <c r="B131" s="7">
        <v>4014</v>
      </c>
      <c r="C131" s="24" t="s">
        <v>106</v>
      </c>
      <c r="D131" s="24" t="s">
        <v>222</v>
      </c>
      <c r="E131" s="15">
        <v>42641.769166666665</v>
      </c>
      <c r="F131" s="15">
        <v>42641.771192129629</v>
      </c>
      <c r="G131" s="7">
        <v>2</v>
      </c>
      <c r="H131" s="15" t="s">
        <v>283</v>
      </c>
      <c r="I131" s="15">
        <v>42641.795555555553</v>
      </c>
      <c r="J131" s="7">
        <v>0</v>
      </c>
      <c r="K131" s="117" t="str">
        <f t="shared" si="26"/>
        <v>4013/4014</v>
      </c>
      <c r="L131" s="24" t="str">
        <f>VLOOKUP(A131,'Trips&amp;Operators'!$C$1:$E$10000,3,FALSE)</f>
        <v>COOLAHAN</v>
      </c>
      <c r="M131" s="6">
        <f t="shared" si="27"/>
        <v>2.4363425924093463E-2</v>
      </c>
      <c r="N131" s="7">
        <f t="shared" si="43"/>
        <v>35.083333330694586</v>
      </c>
      <c r="O131" s="7"/>
      <c r="P131" s="7"/>
      <c r="Q131" s="25"/>
      <c r="R131" s="25"/>
      <c r="S131" s="37">
        <f t="shared" si="28"/>
        <v>1</v>
      </c>
      <c r="T131" s="52" t="str">
        <f t="shared" si="29"/>
        <v>NorthBound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17:27:36-0600',mode:absolute,to:'2016-09-28 20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1" s="54" t="str">
        <f t="shared" si="31"/>
        <v>N</v>
      </c>
      <c r="X131" s="164">
        <f t="shared" ref="X131:X157" si="45">VALUE(LEFT(AD131,4))-VALUE(LEFT(AD130,4))</f>
        <v>1</v>
      </c>
      <c r="Y131" s="69">
        <f t="shared" si="32"/>
        <v>4.5699999999999998E-2</v>
      </c>
      <c r="Z131" s="69">
        <f t="shared" si="33"/>
        <v>23.333600000000001</v>
      </c>
      <c r="AA131" s="69">
        <f t="shared" si="34"/>
        <v>23.2879</v>
      </c>
      <c r="AB131" s="66" t="str">
        <f>VLOOKUP(A131,Enforcements!$C$7:$K$21,8,0)</f>
        <v>Bulletin (2)</v>
      </c>
      <c r="AC131" s="62" t="str">
        <f>VLOOKUP(A131,Enforcements!$C$7:$E$21,3,0)</f>
        <v>GRADE CROSSING</v>
      </c>
      <c r="AD131" s="63" t="str">
        <f t="shared" si="35"/>
        <v>0219-28</v>
      </c>
      <c r="AE131" s="95" t="str">
        <f t="shared" si="36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131" s="92" t="str">
        <f t="shared" si="37"/>
        <v>"C:\Program Files (x86)\AstroGrep\AstroGrep.exe" /spath="%USERPROFILE%\AppData\Local\Temp\OnboardLogs" /stypes="app*4014*20160929*" /stext=" 01:.+((SYSTEM_STATE.+slice.+state.+changed )|(ment ac)|(system.+state.+changed )|(\[timeout)|(PRM\|1\|D)|(kpr)|(kdp)|(\|lc)|(penalty))" /e /r /s</v>
      </c>
      <c r="AG131" s="1" t="str">
        <f t="shared" si="38"/>
        <v>EC</v>
      </c>
      <c r="AH131" s="96" t="str">
        <f t="shared" si="39"/>
        <v>"%USERPROFILE%\Documents\GitHub\eaglep3\Utilities\RefineRTDCRunTimes.py" --tripid 219-28 --locoid 4014 --swversion DE.1.0.7.0 --startMP 204:457 --initTime 2016-09-28T18:27:36 --startdatetime 2016-09-28T18:30:31 --delay 2 --endMP 204:233336 --enddatetime 2016-09-28T19:05:36 --enforcementcount 0 &gt;&gt;C:\Users\stu\Documents\GitHub\eaglep3-reporting\EC\2016-09-28-refined-times.txt</v>
      </c>
      <c r="AI131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{"issue":{"subject":"","project_id":79,"tracker_id":40,"status_id":1,"priority_id":2,"assigned_to_id":23,"start_date":"2016-09-28","description":"","custom_fields":[{"id":1,"name":"Subdivision","value":"EC"},{"id":4,"name":"Milepost","value":"23.3336"},{"id":17,"name":"Train ID","value":"219-28"},{"id":16,"name":"Locomotive ID","value":"4014"},{"id":130,"name":"Impact","value":""},{"id":150,"name":"Time of Event (Mountain Time)","value":"19:05:36"},{"id":151,"name":"Denver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561</v>
      </c>
      <c r="B132" s="7">
        <v>4013</v>
      </c>
      <c r="C132" s="24" t="s">
        <v>106</v>
      </c>
      <c r="D132" s="24" t="s">
        <v>663</v>
      </c>
      <c r="E132" s="15">
        <v>42641.806435185186</v>
      </c>
      <c r="F132" s="15">
        <v>42641.81</v>
      </c>
      <c r="G132" s="7">
        <v>2</v>
      </c>
      <c r="H132" s="15" t="s">
        <v>217</v>
      </c>
      <c r="I132" s="15">
        <v>42641.836793981478</v>
      </c>
      <c r="J132" s="7">
        <v>0</v>
      </c>
      <c r="K132" s="117" t="str">
        <f t="shared" si="26"/>
        <v>4013/4014</v>
      </c>
      <c r="L132" s="24" t="str">
        <f>VLOOKUP(A132,'Trips&amp;Operators'!$C$1:$E$10000,3,FALSE)</f>
        <v>COOLAHAN</v>
      </c>
      <c r="M132" s="6">
        <f t="shared" si="27"/>
        <v>2.679398148029577E-2</v>
      </c>
      <c r="N132" s="7">
        <f t="shared" si="43"/>
        <v>38.583333331625909</v>
      </c>
      <c r="O132" s="7"/>
      <c r="P132" s="7"/>
      <c r="Q132" s="25"/>
      <c r="R132" s="25"/>
      <c r="S132" s="37">
        <f t="shared" si="28"/>
        <v>1</v>
      </c>
      <c r="T132" s="52" t="str">
        <f t="shared" si="29"/>
        <v>Southbound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18:21:16-0600',mode:absolute,to:'2016-09-28 21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2" s="54" t="str">
        <f t="shared" si="31"/>
        <v>N</v>
      </c>
      <c r="X132" s="164">
        <f t="shared" si="45"/>
        <v>1</v>
      </c>
      <c r="Y132" s="69">
        <f t="shared" si="32"/>
        <v>23.302800000000001</v>
      </c>
      <c r="Z132" s="69">
        <f t="shared" si="33"/>
        <v>1.47E-2</v>
      </c>
      <c r="AA132" s="69">
        <f t="shared" si="34"/>
        <v>23.2881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5"/>
        <v>0220-28</v>
      </c>
      <c r="AE132" s="95" t="str">
        <f t="shared" si="36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132" s="92" t="str">
        <f t="shared" si="37"/>
        <v>"C:\Program Files (x86)\AstroGrep\AstroGrep.exe" /spath="%USERPROFILE%\AppData\Local\Temp\OnboardLogs" /stypes="app*4013*20160929*" /stext=" 02:.+((SYSTEM_STATE.+slice.+state.+changed )|(ment ac)|(system.+state.+changed )|(\[timeout)|(PRM\|1\|D)|(kpr)|(kdp)|(\|lc)|(penalty))" /e /r /s</v>
      </c>
      <c r="AG132" s="1" t="str">
        <f t="shared" si="38"/>
        <v>EC</v>
      </c>
      <c r="AH132" s="96" t="str">
        <f t="shared" si="39"/>
        <v>"%USERPROFILE%\Documents\GitHub\eaglep3\Utilities\RefineRTDCRunTimes.py" --tripid 220-28 --locoid 4013 --swversion DE.1.0.7.0 --startMP 204:233028 --initTime 2016-09-28T19:21:16 --startdatetime 2016-09-28T19:26:24 --delay 2 --endMP 204:147 --enddatetime 2016-09-28T20:04:59 --enforcementcount 0 &gt;&gt;C:\Users\stu\Documents\GitHub\eaglep3-reporting\EC\2016-09-28-refined-times.txt</v>
      </c>
      <c r="AI132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{"issue":{"subject":"","project_id":79,"tracker_id":40,"status_id":1,"priority_id":2,"assigned_to_id":23,"start_date":"2016-09-28","description":"","custom_fields":[{"id":1,"name":"Subdivision","value":"EC"},{"id":4,"name":"Milepost","value":"0.0147"},{"id":17,"name":"Train ID","value":"220-28"},{"id":16,"name":"Locomotive ID","value":"4013"},{"id":130,"name":"Impact","value":""},{"id":150,"name":"Time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555</v>
      </c>
      <c r="B133" s="7">
        <v>4040</v>
      </c>
      <c r="C133" s="24" t="s">
        <v>106</v>
      </c>
      <c r="D133" s="24" t="s">
        <v>656</v>
      </c>
      <c r="E133" s="15">
        <v>42641.786921296298</v>
      </c>
      <c r="F133" s="15">
        <v>42641.791886574072</v>
      </c>
      <c r="G133" s="7">
        <v>1</v>
      </c>
      <c r="H133" s="15" t="s">
        <v>284</v>
      </c>
      <c r="I133" s="15">
        <v>42641.81821759259</v>
      </c>
      <c r="J133" s="7">
        <v>0</v>
      </c>
      <c r="K133" s="117" t="str">
        <f t="shared" si="26"/>
        <v>4039/4040</v>
      </c>
      <c r="L133" s="24" t="str">
        <f>VLOOKUP(A133,'Trips&amp;Operators'!$C$1:$E$10000,3,FALSE)</f>
        <v>STURGEON</v>
      </c>
      <c r="M133" s="6">
        <f t="shared" si="27"/>
        <v>2.6331018518249039E-2</v>
      </c>
      <c r="N133" s="7">
        <f t="shared" si="43"/>
        <v>37.916666666278616</v>
      </c>
      <c r="O133" s="7"/>
      <c r="P133" s="7"/>
      <c r="Q133" s="25"/>
      <c r="R133" s="25"/>
      <c r="S133" s="37">
        <f t="shared" si="28"/>
        <v>1</v>
      </c>
      <c r="T133" s="52" t="str">
        <f t="shared" si="29"/>
        <v>NorthBound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17:53:10-0600',mode:absolute,to:'2016-09-28 20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3" s="54" t="str">
        <f t="shared" si="31"/>
        <v>N</v>
      </c>
      <c r="X133" s="164">
        <f t="shared" si="45"/>
        <v>1</v>
      </c>
      <c r="Y133" s="69">
        <f t="shared" si="32"/>
        <v>4.7699999999999999E-2</v>
      </c>
      <c r="Z133" s="69">
        <f t="shared" si="33"/>
        <v>23.330500000000001</v>
      </c>
      <c r="AA133" s="69">
        <f t="shared" si="34"/>
        <v>23.282800000000002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5"/>
        <v>0221-28</v>
      </c>
      <c r="AE133" s="95" t="str">
        <f t="shared" si="36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133" s="92" t="str">
        <f t="shared" si="37"/>
        <v>"C:\Program Files (x86)\AstroGrep\AstroGrep.exe" /spath="%USERPROFILE%\AppData\Local\Temp\OnboardLogs" /stypes="app*4040*20160929*" /stext=" 01:.+((SYSTEM_STATE.+slice.+state.+changed )|(ment ac)|(system.+state.+changed )|(\[timeout)|(PRM\|1\|D)|(kpr)|(kdp)|(\|lc)|(penalty))" /e /r /s</v>
      </c>
      <c r="AG133" s="1" t="str">
        <f t="shared" si="38"/>
        <v>EC</v>
      </c>
      <c r="AH133" s="96" t="str">
        <f t="shared" si="39"/>
        <v>"%USERPROFILE%\Documents\GitHub\eaglep3\Utilities\RefineRTDCRunTimes.py" --tripid 221-28 --locoid 4040 --swversion DE.1.0.7.0 --startMP 204:477 --initTime 2016-09-28T18:53:10 --startdatetime 2016-09-28T19:00:19 --delay 1 --endMP 204:233305 --enddatetime 2016-09-28T19:38:14 --enforcementcount 0 &gt;&gt;C:\Users\stu\Documents\GitHub\eaglep3-reporting\EC\2016-09-28-refined-times.txt</v>
      </c>
      <c r="AI133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{"issue":{"subject":"","project_id":79,"tracker_id":40,"status_id":1,"priority_id":2,"assigned_to_id":23,"start_date":"2016-09-28","description":"","custom_fields":[{"id":1,"name":"Subdivision","value":"EC"},{"id":4,"name":"Milepost","value":"23.3305"},{"id":17,"name":"Train ID","value":"221-28"},{"id":16,"name":"Locomotive ID","value":"4040"},{"id":130,"name":"Impact","value":""},{"id":150,"name":"Time of Event (Mountain Time)","value":"19:38:14"},{"id":151,"name":"Denver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565</v>
      </c>
      <c r="B134" s="7">
        <v>4039</v>
      </c>
      <c r="C134" s="24" t="s">
        <v>106</v>
      </c>
      <c r="D134" s="24" t="s">
        <v>637</v>
      </c>
      <c r="E134" s="15">
        <v>42641.823738425926</v>
      </c>
      <c r="F134" s="15">
        <v>42641.830752314818</v>
      </c>
      <c r="G134" s="7">
        <v>1</v>
      </c>
      <c r="H134" s="15" t="s">
        <v>648</v>
      </c>
      <c r="I134" s="15">
        <v>42641.860833333332</v>
      </c>
      <c r="J134" s="7">
        <v>0</v>
      </c>
      <c r="K134" s="117" t="str">
        <f t="shared" si="26"/>
        <v>4039/4040</v>
      </c>
      <c r="L134" s="24" t="str">
        <f>VLOOKUP(A134,'Trips&amp;Operators'!$C$1:$E$10000,3,FALSE)</f>
        <v>STURGEON</v>
      </c>
      <c r="M134" s="6">
        <f t="shared" si="27"/>
        <v>3.0081018514465541E-2</v>
      </c>
      <c r="N134" s="7">
        <f t="shared" si="43"/>
        <v>43.316666660830379</v>
      </c>
      <c r="O134" s="7"/>
      <c r="P134" s="7"/>
      <c r="Q134" s="25"/>
      <c r="R134" s="25"/>
      <c r="S134" s="37">
        <f t="shared" si="28"/>
        <v>1</v>
      </c>
      <c r="T134" s="52" t="str">
        <f t="shared" si="29"/>
        <v>Southbound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18:46:11-0600',mode:absolute,to:'2016-09-28 21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4" s="54" t="str">
        <f t="shared" si="31"/>
        <v>N</v>
      </c>
      <c r="X134" s="164">
        <f t="shared" si="45"/>
        <v>1</v>
      </c>
      <c r="Y134" s="69">
        <f t="shared" si="32"/>
        <v>23.297799999999999</v>
      </c>
      <c r="Z134" s="69">
        <f t="shared" si="33"/>
        <v>1.61E-2</v>
      </c>
      <c r="AA134" s="69">
        <f t="shared" si="34"/>
        <v>23.281699999999997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5"/>
        <v>0222-28</v>
      </c>
      <c r="AE134" s="95" t="str">
        <f t="shared" si="36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134" s="92" t="str">
        <f t="shared" si="37"/>
        <v>"C:\Program Files (x86)\AstroGrep\AstroGrep.exe" /spath="%USERPROFILE%\AppData\Local\Temp\OnboardLogs" /stypes="app*4039*20160929*" /stext=" 02:.+((SYSTEM_STATE.+slice.+state.+changed )|(ment ac)|(system.+state.+changed )|(\[timeout)|(PRM\|1\|D)|(kpr)|(kdp)|(\|lc)|(penalty))" /e /r /s</v>
      </c>
      <c r="AG134" s="1" t="str">
        <f t="shared" si="38"/>
        <v>EC</v>
      </c>
      <c r="AH134" s="96" t="str">
        <f t="shared" si="39"/>
        <v>"%USERPROFILE%\Documents\GitHub\eaglep3\Utilities\RefineRTDCRunTimes.py" --tripid 222-28 --locoid 4039 --swversion DE.1.0.7.0 --startMP 204:232978 --initTime 2016-09-28T19:46:11 --startdatetime 2016-09-28T19:56:17 --delay 1 --endMP 204:161 --enddatetime 2016-09-28T20:39:36 --enforcementcount 0 &gt;&gt;C:\Users\stu\Documents\GitHub\eaglep3-reporting\EC\2016-09-28-refined-times.txt</v>
      </c>
      <c r="AI134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{"issue":{"subject":"","project_id":79,"tracker_id":40,"status_id":1,"priority_id":2,"assigned_to_id":23,"start_date":"2016-09-28","description":"","custom_fields":[{"id":1,"name":"Subdivision","value":"EC"},{"id":4,"name":"Milepost","value":"0.0161"},{"id":17,"name":"Train ID","value":"222-28"},{"id":16,"name":"Locomotive ID","value":"4039"},{"id":130,"name":"Impact","value":""},{"id":150,"name":"Time of Event (Mountain Time)","value":"20:39:36"},{"id":151,"name":"Denver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562</v>
      </c>
      <c r="B135" s="7">
        <v>4020</v>
      </c>
      <c r="C135" s="24" t="s">
        <v>106</v>
      </c>
      <c r="D135" s="24" t="s">
        <v>233</v>
      </c>
      <c r="E135" s="15">
        <v>42641.808252314811</v>
      </c>
      <c r="F135" s="15">
        <v>42641.812673611108</v>
      </c>
      <c r="G135" s="7">
        <v>6</v>
      </c>
      <c r="H135" s="15" t="s">
        <v>255</v>
      </c>
      <c r="I135" s="15">
        <v>42641.839733796296</v>
      </c>
      <c r="J135" s="7">
        <v>0</v>
      </c>
      <c r="K135" s="117" t="str">
        <f t="shared" si="26"/>
        <v>4019/4020</v>
      </c>
      <c r="L135" s="24" t="str">
        <f>VLOOKUP(A135,'Trips&amp;Operators'!$C$1:$E$10000,3,FALSE)</f>
        <v>YANAI</v>
      </c>
      <c r="M135" s="6">
        <f t="shared" si="27"/>
        <v>2.7060185188020114E-2</v>
      </c>
      <c r="N135" s="7">
        <f t="shared" si="43"/>
        <v>38.966666670748964</v>
      </c>
      <c r="O135" s="7"/>
      <c r="P135" s="7"/>
      <c r="Q135" s="25"/>
      <c r="R135" s="25"/>
      <c r="S135" s="37">
        <f t="shared" si="28"/>
        <v>1</v>
      </c>
      <c r="T135" s="52" t="str">
        <f t="shared" si="29"/>
        <v>NorthBound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18:23:53-0600',mode:absolute,to:'2016-09-28 21:09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5" s="54" t="str">
        <f t="shared" si="31"/>
        <v>N</v>
      </c>
      <c r="X135" s="164">
        <f t="shared" si="45"/>
        <v>1</v>
      </c>
      <c r="Y135" s="69">
        <f t="shared" si="32"/>
        <v>4.6199999999999998E-2</v>
      </c>
      <c r="Z135" s="69">
        <f t="shared" si="33"/>
        <v>23.33</v>
      </c>
      <c r="AA135" s="69">
        <f t="shared" si="34"/>
        <v>23.283799999999999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5"/>
        <v>0223-28</v>
      </c>
      <c r="AE135" s="95" t="str">
        <f t="shared" si="36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135" s="92" t="str">
        <f t="shared" si="37"/>
        <v>"C:\Program Files (x86)\AstroGrep\AstroGrep.exe" /spath="%USERPROFILE%\AppData\Local\Temp\OnboardLogs" /stypes="app*4020*20160929*" /stext=" 02:.+((SYSTEM_STATE.+slice.+state.+changed )|(ment ac)|(system.+state.+changed )|(\[timeout)|(PRM\|1\|D)|(kpr)|(kdp)|(\|lc)|(penalty))" /e /r /s</v>
      </c>
      <c r="AG135" s="1" t="str">
        <f t="shared" si="38"/>
        <v>EC</v>
      </c>
      <c r="AH135" s="96" t="str">
        <f t="shared" si="39"/>
        <v>"%USERPROFILE%\Documents\GitHub\eaglep3\Utilities\RefineRTDCRunTimes.py" --tripid 223-28 --locoid 4020 --swversion DE.1.0.7.0 --startMP 204:462 --initTime 2016-09-28T19:23:53 --startdatetime 2016-09-28T19:30:15 --delay 6 --endMP 204:233300 --enddatetime 2016-09-28T20:09:13 --enforcementcount 0 &gt;&gt;C:\Users\stu\Documents\GitHub\eaglep3-reporting\EC\2016-09-28-refined-times.txt</v>
      </c>
      <c r="AI135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{"issue":{"subject":"","project_id":79,"tracker_id":40,"status_id":1,"priority_id":2,"assigned_to_id":23,"start_date":"2016-09-28","description":"","custom_fields":[{"id":1,"name":"Subdivision","value":"EC"},{"id":4,"name":"Milepost","value":"23.33"},{"id":17,"name":"Train ID","value":"223-28"},{"id":16,"name":"Locomotive ID","value":"4020"},{"id":130,"name":"Impact","value":""},{"id":150,"name":"Time of Event (Mountain Time)","value":"20:09:13"},{"id":151,"name":"Denver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568</v>
      </c>
      <c r="B136" s="7">
        <v>4019</v>
      </c>
      <c r="C136" s="24" t="s">
        <v>106</v>
      </c>
      <c r="D136" s="24" t="s">
        <v>664</v>
      </c>
      <c r="E136" s="15">
        <v>42641.84684027778</v>
      </c>
      <c r="F136" s="15">
        <v>42641.851585648146</v>
      </c>
      <c r="G136" s="7">
        <v>6</v>
      </c>
      <c r="H136" s="15" t="s">
        <v>219</v>
      </c>
      <c r="I136" s="15">
        <v>42641.877870370372</v>
      </c>
      <c r="J136" s="7">
        <v>0</v>
      </c>
      <c r="K136" s="117" t="str">
        <f t="shared" si="26"/>
        <v>4019/4020</v>
      </c>
      <c r="L136" s="24" t="str">
        <f>VLOOKUP(A136,'Trips&amp;Operators'!$C$1:$E$10000,3,FALSE)</f>
        <v>YANAI</v>
      </c>
      <c r="M136" s="6">
        <f t="shared" si="27"/>
        <v>2.6284722225682344E-2</v>
      </c>
      <c r="N136" s="7">
        <f t="shared" si="43"/>
        <v>37.850000004982576</v>
      </c>
      <c r="O136" s="7"/>
      <c r="P136" s="7"/>
      <c r="Q136" s="25"/>
      <c r="R136" s="25"/>
      <c r="S136" s="37">
        <f t="shared" si="28"/>
        <v>1</v>
      </c>
      <c r="T136" s="52" t="str">
        <f t="shared" si="29"/>
        <v>Southbound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19:19:27-0600',mode:absolute,to:'2016-09-28 22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6" s="54" t="str">
        <f t="shared" si="31"/>
        <v>N</v>
      </c>
      <c r="X136" s="164">
        <f t="shared" si="45"/>
        <v>1</v>
      </c>
      <c r="Y136" s="69">
        <f t="shared" si="32"/>
        <v>23.296600000000002</v>
      </c>
      <c r="Z136" s="69">
        <f t="shared" si="33"/>
        <v>1.4999999999999999E-2</v>
      </c>
      <c r="AA136" s="69">
        <f t="shared" si="34"/>
        <v>23.281600000000001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5"/>
        <v>0224-28</v>
      </c>
      <c r="AE136" s="95" t="str">
        <f t="shared" si="36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136" s="92" t="str">
        <f t="shared" si="37"/>
        <v>"C:\Program Files (x86)\AstroGrep\AstroGrep.exe" /spath="%USERPROFILE%\AppData\Local\Temp\OnboardLogs" /stypes="app*4019*20160929*" /stext=" 03:.+((SYSTEM_STATE.+slice.+state.+changed )|(ment ac)|(system.+state.+changed )|(\[timeout)|(PRM\|1\|D)|(kpr)|(kdp)|(\|lc)|(penalty))" /e /r /s</v>
      </c>
      <c r="AG136" s="1" t="str">
        <f t="shared" si="38"/>
        <v>EC</v>
      </c>
      <c r="AH136" s="96" t="str">
        <f t="shared" si="39"/>
        <v>"%USERPROFILE%\Documents\GitHub\eaglep3\Utilities\RefineRTDCRunTimes.py" --tripid 224-28 --locoid 4019 --swversion DE.1.0.7.0 --startMP 204:232966 --initTime 2016-09-28T20:19:27 --startdatetime 2016-09-28T20:26:17 --delay 6 --endMP 204:150 --enddatetime 2016-09-28T21:04:08 --enforcementcount 0 &gt;&gt;C:\Users\stu\Documents\GitHub\eaglep3-reporting\EC\2016-09-28-refined-times.txt</v>
      </c>
      <c r="AI136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{"issue":{"subject":"","project_id":79,"tracker_id":40,"status_id":1,"priority_id":2,"assigned_to_id":23,"start_date":"2016-09-28","description":"","custom_fields":[{"id":1,"name":"Subdivision","value":"EC"},{"id":4,"name":"Milepost","value":"0.015"},{"id":17,"name":"Train ID","value":"224-28"},{"id":16,"name":"Locomotive ID","value":"4019"},{"id":130,"name":"Impact","value":""},{"id":150,"name":"Time of Event (Mountain Time)","value":"21:04:08"},{"id":151,"name":"Denver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566</v>
      </c>
      <c r="B137" s="7">
        <v>4018</v>
      </c>
      <c r="C137" s="24" t="s">
        <v>106</v>
      </c>
      <c r="D137" s="24" t="s">
        <v>349</v>
      </c>
      <c r="E137" s="15">
        <v>42641.831180555557</v>
      </c>
      <c r="F137" s="15">
        <v>42641.833518518521</v>
      </c>
      <c r="G137" s="7">
        <v>1</v>
      </c>
      <c r="H137" s="15" t="s">
        <v>665</v>
      </c>
      <c r="I137" s="15">
        <v>42641.858263888891</v>
      </c>
      <c r="J137" s="7">
        <v>0</v>
      </c>
      <c r="K137" s="117" t="str">
        <f t="shared" si="26"/>
        <v>4017/4018</v>
      </c>
      <c r="L137" s="24" t="str">
        <f>VLOOKUP(A137,'Trips&amp;Operators'!$C$1:$E$10000,3,FALSE)</f>
        <v>LEVIN</v>
      </c>
      <c r="M137" s="6">
        <f t="shared" si="27"/>
        <v>2.47453703705105E-2</v>
      </c>
      <c r="N137" s="7">
        <f t="shared" si="43"/>
        <v>35.63333333353512</v>
      </c>
      <c r="O137" s="7"/>
      <c r="P137" s="7"/>
      <c r="Q137" s="25"/>
      <c r="R137" s="25"/>
      <c r="S137" s="37">
        <f t="shared" si="28"/>
        <v>1</v>
      </c>
      <c r="T137" s="52" t="str">
        <f t="shared" si="29"/>
        <v>NorthBound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18:56:54-0600',mode:absolute,to:'2016-09-28 21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7" s="54" t="str">
        <f t="shared" si="31"/>
        <v>N</v>
      </c>
      <c r="X137" s="164">
        <f t="shared" si="45"/>
        <v>1</v>
      </c>
      <c r="Y137" s="69">
        <f t="shared" si="32"/>
        <v>4.3499999999999997E-2</v>
      </c>
      <c r="Z137" s="69">
        <f t="shared" si="33"/>
        <v>23.334199999999999</v>
      </c>
      <c r="AA137" s="69">
        <f t="shared" si="34"/>
        <v>23.290699999999998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5"/>
        <v>0225-28</v>
      </c>
      <c r="AE137" s="95" t="str">
        <f t="shared" si="36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137" s="92" t="str">
        <f t="shared" si="37"/>
        <v>"C:\Program Files (x86)\AstroGrep\AstroGrep.exe" /spath="%USERPROFILE%\AppData\Local\Temp\OnboardLogs" /stypes="app*4018*20160929*" /stext=" 02:.+((SYSTEM_STATE.+slice.+state.+changed )|(ment ac)|(system.+state.+changed )|(\[timeout)|(PRM\|1\|D)|(kpr)|(kdp)|(\|lc)|(penalty))" /e /r /s</v>
      </c>
      <c r="AG137" s="1" t="str">
        <f t="shared" si="38"/>
        <v>EC</v>
      </c>
      <c r="AH137" s="96" t="str">
        <f t="shared" si="39"/>
        <v>"%USERPROFILE%\Documents\GitHub\eaglep3\Utilities\RefineRTDCRunTimes.py" --tripid 225-28 --locoid 4018 --swversion DE.1.0.7.0 --startMP 204:435 --initTime 2016-09-28T19:56:54 --startdatetime 2016-09-28T20:00:16 --delay 1 --endMP 204:233342 --enddatetime 2016-09-28T20:35:54 --enforcementcount 0 &gt;&gt;C:\Users\stu\Documents\GitHub\eaglep3-reporting\EC\2016-09-28-refined-times.txt</v>
      </c>
      <c r="AI137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{"issue":{"subject":"","project_id":79,"tracker_id":40,"status_id":1,"priority_id":2,"assigned_to_id":23,"start_date":"2016-09-28","description":"","custom_fields":[{"id":1,"name":"Subdivision","value":"EC"},{"id":4,"name":"Milepost","value":"23.3342"},{"id":17,"name":"Train ID","value":"225-28"},{"id":16,"name":"Locomotive ID","value":"4018"},{"id":130,"name":"Impact","value":""},{"id":150,"name":"Time of Event (Mountain Time)","value":"20:35:54"},{"id":151,"name":"Denver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571</v>
      </c>
      <c r="B138" s="7">
        <v>4017</v>
      </c>
      <c r="C138" s="24" t="s">
        <v>106</v>
      </c>
      <c r="D138" s="24" t="s">
        <v>666</v>
      </c>
      <c r="E138" s="15">
        <v>42641.866076388891</v>
      </c>
      <c r="F138" s="15">
        <v>42641.872650462959</v>
      </c>
      <c r="G138" s="7">
        <v>1</v>
      </c>
      <c r="H138" s="15" t="s">
        <v>246</v>
      </c>
      <c r="I138" s="15">
        <v>42641.9</v>
      </c>
      <c r="J138" s="7">
        <v>0</v>
      </c>
      <c r="K138" s="117" t="str">
        <f t="shared" si="26"/>
        <v>4017/4018</v>
      </c>
      <c r="L138" s="24" t="str">
        <f>VLOOKUP(A138,'Trips&amp;Operators'!$C$1:$E$10000,3,FALSE)</f>
        <v>LEVIN</v>
      </c>
      <c r="M138" s="6">
        <f t="shared" si="27"/>
        <v>2.7349537042027805E-2</v>
      </c>
      <c r="N138" s="7">
        <f t="shared" si="43"/>
        <v>39.383333340520039</v>
      </c>
      <c r="O138" s="7"/>
      <c r="P138" s="7"/>
      <c r="Q138" s="25"/>
      <c r="R138" s="25"/>
      <c r="S138" s="37">
        <f t="shared" si="28"/>
        <v>1</v>
      </c>
      <c r="T138" s="52" t="str">
        <f t="shared" si="29"/>
        <v>Southbound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19:47:09-0600',mode:absolute,to:'2016-09-28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8" s="54" t="str">
        <f t="shared" si="31"/>
        <v>N</v>
      </c>
      <c r="X138" s="164">
        <f t="shared" si="45"/>
        <v>1</v>
      </c>
      <c r="Y138" s="69">
        <f t="shared" si="32"/>
        <v>23.3019</v>
      </c>
      <c r="Z138" s="69">
        <f t="shared" si="33"/>
        <v>1.4500000000000001E-2</v>
      </c>
      <c r="AA138" s="69">
        <f t="shared" si="34"/>
        <v>23.287399999999998</v>
      </c>
      <c r="AB138" s="66" t="str">
        <f>VLOOKUP(A138,Enforcements!$C$7:$K$21,8,0)</f>
        <v>Bulletin (2)</v>
      </c>
      <c r="AC138" s="62" t="str">
        <f>VLOOKUP(A138,Enforcements!$C$7:$E$21,3,0)</f>
        <v>GRADE CROSSING</v>
      </c>
      <c r="AD138" s="63" t="str">
        <f t="shared" si="35"/>
        <v>0226-28</v>
      </c>
      <c r="AE138" s="95" t="str">
        <f t="shared" si="36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138" s="92" t="str">
        <f t="shared" si="37"/>
        <v>"C:\Program Files (x86)\AstroGrep\AstroGrep.exe" /spath="%USERPROFILE%\AppData\Local\Temp\OnboardLogs" /stypes="app*4017*20160929*" /stext=" 03:.+((SYSTEM_STATE.+slice.+state.+changed )|(ment ac)|(system.+state.+changed )|(\[timeout)|(PRM\|1\|D)|(kpr)|(kdp)|(\|lc)|(penalty))" /e /r /s</v>
      </c>
      <c r="AG138" s="1" t="str">
        <f t="shared" si="38"/>
        <v>EC</v>
      </c>
      <c r="AH138" s="96" t="str">
        <f t="shared" si="39"/>
        <v>"%USERPROFILE%\Documents\GitHub\eaglep3\Utilities\RefineRTDCRunTimes.py" --tripid 226-28 --locoid 4017 --swversion DE.1.0.7.0 --startMP 204:233019 --initTime 2016-09-28T20:47:09 --startdatetime 2016-09-28T20:56:37 --delay 1 --endMP 204:145 --enddatetime 2016-09-28T21:36:00 --enforcementcount 0 &gt;&gt;C:\Users\stu\Documents\GitHub\eaglep3-reporting\EC\2016-09-28-refined-times.txt</v>
      </c>
      <c r="AI138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{"issue":{"subject":"","project_id":79,"tracker_id":40,"status_id":1,"priority_id":2,"assigned_to_id":23,"start_date":"2016-09-28","description":"","custom_fields":[{"id":1,"name":"Subdivision","value":"EC"},{"id":4,"name":"Milepost","value":"0.0145"},{"id":17,"name":"Train ID","value":"226-28"},{"id":16,"name":"Locomotive ID","value":"4017"},{"id":130,"name":"Impact","value":""},{"id":150,"name":"Time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569</v>
      </c>
      <c r="B139" s="7">
        <v>4014</v>
      </c>
      <c r="C139" s="24" t="s">
        <v>106</v>
      </c>
      <c r="D139" s="24" t="s">
        <v>667</v>
      </c>
      <c r="E139" s="15">
        <v>42641.852488425924</v>
      </c>
      <c r="F139" s="15">
        <v>42641.854456018518</v>
      </c>
      <c r="G139" s="7">
        <v>1</v>
      </c>
      <c r="H139" s="15" t="s">
        <v>249</v>
      </c>
      <c r="I139" s="15">
        <v>42641.880057870374</v>
      </c>
      <c r="J139" s="7">
        <v>0</v>
      </c>
      <c r="K139" s="117" t="str">
        <f t="shared" si="26"/>
        <v>4013/4014</v>
      </c>
      <c r="L139" s="24" t="str">
        <f>VLOOKUP(A139,'Trips&amp;Operators'!$C$1:$E$10000,3,FALSE)</f>
        <v>COOLAHAN</v>
      </c>
      <c r="M139" s="6">
        <f t="shared" si="27"/>
        <v>2.5601851855753921E-2</v>
      </c>
      <c r="N139" s="7">
        <f t="shared" si="43"/>
        <v>36.866666672285646</v>
      </c>
      <c r="O139" s="7"/>
      <c r="P139" s="7"/>
      <c r="Q139" s="25"/>
      <c r="R139" s="25"/>
      <c r="S139" s="37">
        <f t="shared" si="28"/>
        <v>1</v>
      </c>
      <c r="T139" s="52" t="str">
        <f t="shared" si="29"/>
        <v>NorthBound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19:27:35-0600',mode:absolute,to:'2016-09-28 22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9" s="54" t="str">
        <f t="shared" si="31"/>
        <v>N</v>
      </c>
      <c r="X139" s="164">
        <f t="shared" si="45"/>
        <v>1</v>
      </c>
      <c r="Y139" s="69">
        <f t="shared" si="32"/>
        <v>4.4200000000000003E-2</v>
      </c>
      <c r="Z139" s="69">
        <f t="shared" si="33"/>
        <v>23.331199999999999</v>
      </c>
      <c r="AA139" s="69">
        <f t="shared" si="34"/>
        <v>23.286999999999999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5"/>
        <v>0227-28</v>
      </c>
      <c r="AE139" s="95" t="str">
        <f t="shared" si="36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139" s="92" t="str">
        <f t="shared" si="37"/>
        <v>"C:\Program Files (x86)\AstroGrep\AstroGrep.exe" /spath="%USERPROFILE%\AppData\Local\Temp\OnboardLogs" /stypes="app*4014*20160929*" /stext=" 03:.+((SYSTEM_STATE.+slice.+state.+changed )|(ment ac)|(system.+state.+changed )|(\[timeout)|(PRM\|1\|D)|(kpr)|(kdp)|(\|lc)|(penalty))" /e /r /s</v>
      </c>
      <c r="AG139" s="1" t="str">
        <f t="shared" si="38"/>
        <v>EC</v>
      </c>
      <c r="AH139" s="96" t="str">
        <f t="shared" si="39"/>
        <v>"%USERPROFILE%\Documents\GitHub\eaglep3\Utilities\RefineRTDCRunTimes.py" --tripid 227-28 --locoid 4014 --swversion DE.1.0.7.0 --startMP 204:442 --initTime 2016-09-28T20:27:35 --startdatetime 2016-09-28T20:30:25 --delay 1 --endMP 204:233312 --enddatetime 2016-09-28T21:07:17 --enforcementcount 0 &gt;&gt;C:\Users\stu\Documents\GitHub\eaglep3-reporting\EC\2016-09-28-refined-times.txt</v>
      </c>
      <c r="AI139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{"issue":{"subject":"","project_id":79,"tracker_id":40,"status_id":1,"priority_id":2,"assigned_to_id":23,"start_date":"2016-09-28","description":"","custom_fields":[{"id":1,"name":"Subdivision","value":"EC"},{"id":4,"name":"Milepost","value":"23.3312"},{"id":17,"name":"Train ID","value":"227-28"},{"id":16,"name":"Locomotive ID","value":"4014"},{"id":130,"name":"Impact","value":""},{"id":150,"name":"Time of Event (Mountain Time)","value":"21:07:17"},{"id":151,"name":"Denver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575</v>
      </c>
      <c r="B140" s="7">
        <v>4013</v>
      </c>
      <c r="C140" s="24" t="s">
        <v>106</v>
      </c>
      <c r="D140" s="24" t="s">
        <v>338</v>
      </c>
      <c r="E140" s="15">
        <v>42641.88894675926</v>
      </c>
      <c r="F140" s="15">
        <v>42641.893287037034</v>
      </c>
      <c r="G140" s="7">
        <v>6</v>
      </c>
      <c r="H140" s="15" t="s">
        <v>668</v>
      </c>
      <c r="I140" s="15">
        <v>42641.91915509259</v>
      </c>
      <c r="J140" s="7">
        <v>0</v>
      </c>
      <c r="K140" s="117" t="str">
        <f t="shared" si="26"/>
        <v>4013/4014</v>
      </c>
      <c r="L140" s="24" t="str">
        <f>VLOOKUP(A140,'Trips&amp;Operators'!$C$1:$E$10000,3,FALSE)</f>
        <v>COOLAHAN</v>
      </c>
      <c r="M140" s="6">
        <f t="shared" si="27"/>
        <v>2.5868055556202307E-2</v>
      </c>
      <c r="N140" s="7">
        <f t="shared" si="43"/>
        <v>37.250000000931323</v>
      </c>
      <c r="O140" s="7"/>
      <c r="P140" s="7"/>
      <c r="Q140" s="25"/>
      <c r="R140" s="25"/>
      <c r="S140" s="37">
        <f t="shared" si="28"/>
        <v>1</v>
      </c>
      <c r="T140" s="52" t="str">
        <f t="shared" si="29"/>
        <v>Southbound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30"/>
        <v>https://search-rtdc-monitor-bjffxe2xuh6vdkpspy63sjmuny.us-east-1.es.amazonaws.com/_plugin/kibana/#/discover/Steve-Slow-Train-Analysis-(2080s-and-2083s)?_g=(refreshInterval:(display:Off,section:0,value:0),time:(from:'2016-09-28 20:20:05-0600',mode:absolute,to:'2016-09-28 23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0" s="54" t="str">
        <f t="shared" si="31"/>
        <v>N</v>
      </c>
      <c r="X140" s="164">
        <f t="shared" si="45"/>
        <v>1</v>
      </c>
      <c r="Y140" s="69">
        <f t="shared" si="32"/>
        <v>23.2988</v>
      </c>
      <c r="Z140" s="69">
        <f t="shared" si="33"/>
        <v>2.07E-2</v>
      </c>
      <c r="AA140" s="69">
        <f t="shared" si="34"/>
        <v>23.278099999999998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5"/>
        <v>0228-28</v>
      </c>
      <c r="AE140" s="95" t="str">
        <f t="shared" si="36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140" s="92" t="str">
        <f t="shared" si="37"/>
        <v>"C:\Program Files (x86)\AstroGrep\AstroGrep.exe" /spath="%USERPROFILE%\AppData\Local\Temp\OnboardLogs" /stypes="app*4013*20160929*" /stext=" 04:.+((SYSTEM_STATE.+slice.+state.+changed )|(ment ac)|(system.+state.+changed )|(\[timeout)|(PRM\|1\|D)|(kpr)|(kdp)|(\|lc)|(penalty))" /e /r /s</v>
      </c>
      <c r="AG140" s="1" t="str">
        <f t="shared" si="38"/>
        <v>EC</v>
      </c>
      <c r="AH140" s="96" t="str">
        <f t="shared" si="39"/>
        <v>"%USERPROFILE%\Documents\GitHub\eaglep3\Utilities\RefineRTDCRunTimes.py" --tripid 228-28 --locoid 4013 --swversion DE.1.0.7.0 --startMP 204:232988 --initTime 2016-09-28T21:20:05 --startdatetime 2016-09-28T21:26:20 --delay 6 --endMP 204:207 --enddatetime 2016-09-28T22:03:35 --enforcementcount 0 &gt;&gt;C:\Users\stu\Documents\GitHub\eaglep3-reporting\EC\2016-09-28-refined-times.txt</v>
      </c>
      <c r="AI140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{"issue":{"subject":"","project_id":79,"tracker_id":40,"status_id":1,"priority_id":2,"assigned_to_id":23,"start_date":"2016-09-28","description":"","custom_fields":[{"id":1,"name":"Subdivision","value":"EC"},{"id":4,"name":"Milepost","value":"0.0207"},{"id":17,"name":"Train ID","value":"228-28"},{"id":16,"name":"Locomotive ID","value":"4013"},{"id":130,"name":"Impact","value":""},{"id":150,"name":"Time of Event (Mountain Time)","value":"22:03:35"},{"id":151,"name":"Denver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572</v>
      </c>
      <c r="B141" s="7">
        <v>4040</v>
      </c>
      <c r="C141" s="24" t="s">
        <v>106</v>
      </c>
      <c r="D141" s="24" t="s">
        <v>233</v>
      </c>
      <c r="E141" s="15">
        <v>42641.867002314815</v>
      </c>
      <c r="F141" s="15">
        <v>42641.875555555554</v>
      </c>
      <c r="G141" s="7">
        <v>1</v>
      </c>
      <c r="H141" s="15" t="s">
        <v>610</v>
      </c>
      <c r="I141" s="15">
        <v>42641.900763888887</v>
      </c>
      <c r="J141" s="7">
        <v>0</v>
      </c>
      <c r="K141" s="117" t="str">
        <f t="shared" ref="K141:K204" si="46">IF(ISEVEN(B141),(B141-1)&amp;"/"&amp;B141,B141&amp;"/"&amp;(B141+1))</f>
        <v>4039/4040</v>
      </c>
      <c r="L141" s="24" t="str">
        <f>VLOOKUP(A141,'Trips&amp;Operators'!$C$1:$E$10000,3,FALSE)</f>
        <v>STURGEON</v>
      </c>
      <c r="M141" s="6">
        <f t="shared" ref="M141:M204" si="47">I141-F141</f>
        <v>2.5208333332557231E-2</v>
      </c>
      <c r="N141" s="7">
        <f t="shared" si="43"/>
        <v>36.299999998882413</v>
      </c>
      <c r="O141" s="7"/>
      <c r="P141" s="7"/>
      <c r="Q141" s="25"/>
      <c r="R141" s="25"/>
      <c r="S141" s="37">
        <f t="shared" ref="S141:S204" si="48">SUM(U141:U141)/IF(AG141="EC",12,1)</f>
        <v>1</v>
      </c>
      <c r="T141" s="52" t="str">
        <f t="shared" ref="T141:T204" si="49">IF(ISEVEN(LEFT(AD141,4)),"Southbound","NorthBound")</f>
        <v>NorthBound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204" si="5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https://search-rtdc-monitor-bjffxe2xuh6vdkpspy63sjmuny.us-east-1.es.amazonaws.com/_plugin/kibana/#/discover/Steve-Slow-Train-Analysis-(2080s-and-2083s)?_g=(refreshInterval:(display:Off,section:0,value:0),time:(from:'2016-09-28 19:48:29-0600',mode:absolute,to:'2016-09-28 22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1" s="54" t="str">
        <f t="shared" ref="W141:W204" si="51">IF(AA141&lt;IF(AG141="EC",23,5.65),"Y","N")</f>
        <v>N</v>
      </c>
      <c r="X141" s="164">
        <f t="shared" si="45"/>
        <v>1</v>
      </c>
      <c r="Y141" s="69">
        <f t="shared" ref="Y141:Y204" si="52">RIGHT(D141,LEN(D141)-4)/10000</f>
        <v>4.6199999999999998E-2</v>
      </c>
      <c r="Z141" s="69">
        <f t="shared" ref="Z141:Z204" si="53">RIGHT(H141,LEN(H141)-4)/10000</f>
        <v>23.330200000000001</v>
      </c>
      <c r="AA141" s="69">
        <f t="shared" ref="AA141:AA204" si="54">ABS(Z141-Y141)</f>
        <v>23.284000000000002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55">IF(LEN(A141)=6,"0"&amp;A141,A141)</f>
        <v>0229-28</v>
      </c>
      <c r="AE141" s="9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141" s="92" t="str">
        <f t="shared" ref="AF141:AF204" si="5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/stypes="app*4040*20160929*" /stext=" 03:.+((SYSTEM_STATE.+slice.+state.+changed )|(ment ac)|(system.+state.+changed )|(\[timeout)|(PRM\|1\|D)|(kpr)|(kdp)|(\|lc)|(penalty))" /e /r /s</v>
      </c>
      <c r="AG141" s="1" t="str">
        <f t="shared" ref="AG141:AG204" si="58">IFERROR(IF(VALUE(LEFT(AD141,2))&lt;=2,"EC",IF(OR(VALUE(LEFT(AD141,2))=8,VALUE(LEFT(AD141,2))=18),"NW","Other")),"Other")</f>
        <v>EC</v>
      </c>
      <c r="AH141" s="96" t="str">
        <f t="shared" si="39"/>
        <v>"%USERPROFILE%\Documents\GitHub\eaglep3\Utilities\RefineRTDCRunTimes.py" --tripid 229-28 --locoid 4040 --swversion DE.1.0.7.0 --startMP 204:462 --initTime 2016-09-28T20:48:29 --startdatetime 2016-09-28T21:00:48 --delay 1 --endMP 204:233302 --enddatetime 2016-09-28T21:37:06 --enforcementcount 0 &gt;&gt;C:\Users\stu\Documents\GitHub\eaglep3-reporting\EC\2016-09-28-refined-times.txt</v>
      </c>
      <c r="AI141" s="130" t="str">
        <f t="shared" si="40"/>
        <v>echo {"issue":{"subject":"","project_id":79,"tracker_id":40,"status_id":1,"priority_id":2,"assigned_to_id":23,"start_date":"2016-09-28","description":"","custom_fields":[{"id":1,"name":"Subdivision","value":"EC"},{"id":4,"name":"Milepost","value":"23.3302"},{"id":17,"name":"Train ID","value":"229-28"},{"id":16,"name":"Locomotive ID","value":"4040"},{"id":130,"name":"Impact","value":""},{"id":150,"name":"Time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577</v>
      </c>
      <c r="B142" s="7">
        <v>4039</v>
      </c>
      <c r="C142" s="24" t="s">
        <v>106</v>
      </c>
      <c r="D142" s="24" t="s">
        <v>299</v>
      </c>
      <c r="E142" s="15">
        <v>42641.906863425924</v>
      </c>
      <c r="F142" s="15">
        <v>42641.914351851854</v>
      </c>
      <c r="G142" s="7">
        <v>1</v>
      </c>
      <c r="H142" s="15" t="s">
        <v>214</v>
      </c>
      <c r="I142" s="15">
        <v>42641.94121527778</v>
      </c>
      <c r="J142" s="7">
        <v>0</v>
      </c>
      <c r="K142" s="117" t="str">
        <f t="shared" si="46"/>
        <v>4039/4040</v>
      </c>
      <c r="L142" s="24" t="str">
        <f>VLOOKUP(A142,'Trips&amp;Operators'!$C$1:$E$10000,3,FALSE)</f>
        <v>STURGEON</v>
      </c>
      <c r="M142" s="6">
        <f t="shared" si="47"/>
        <v>2.6863425926421769E-2</v>
      </c>
      <c r="N142" s="7">
        <f t="shared" si="43"/>
        <v>38.683333334047347</v>
      </c>
      <c r="O142" s="7"/>
      <c r="P142" s="7"/>
      <c r="Q142" s="25"/>
      <c r="R142" s="25"/>
      <c r="S142" s="37">
        <f t="shared" si="48"/>
        <v>1</v>
      </c>
      <c r="T142" s="52" t="str">
        <f t="shared" si="49"/>
        <v>Southbound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20:45:53-0600',mode:absolute,to:'2016-09-28 23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2" s="54" t="str">
        <f t="shared" si="51"/>
        <v>N</v>
      </c>
      <c r="X142" s="164">
        <f t="shared" si="45"/>
        <v>1</v>
      </c>
      <c r="Y142" s="69">
        <f t="shared" si="52"/>
        <v>23.2987</v>
      </c>
      <c r="Z142" s="69">
        <f t="shared" si="53"/>
        <v>1.6299999999999999E-2</v>
      </c>
      <c r="AA142" s="69">
        <f t="shared" si="54"/>
        <v>23.282399999999999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55"/>
        <v>0230-28</v>
      </c>
      <c r="AE142" s="95" t="str">
        <f t="shared" si="56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142" s="92" t="str">
        <f t="shared" si="57"/>
        <v>"C:\Program Files (x86)\AstroGrep\AstroGrep.exe" /spath="%USERPROFILE%\AppData\Local\Temp\OnboardLogs" /stypes="app*4039*20160929*" /stext=" 04:.+((SYSTEM_STATE.+slice.+state.+changed )|(ment ac)|(system.+state.+changed )|(\[timeout)|(PRM\|1\|D)|(kpr)|(kdp)|(\|lc)|(penalty))" /e /r /s</v>
      </c>
      <c r="AG142" s="1" t="str">
        <f t="shared" si="58"/>
        <v>EC</v>
      </c>
      <c r="AH142" s="96" t="str">
        <f t="shared" ref="AH142:AH204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230-28 --locoid 4039 --swversion DE.1.0.7.0 --startMP 204:232987 --initTime 2016-09-28T21:45:53 --startdatetime 2016-09-28T21:56:40 --delay 1 --endMP 204:163 --enddatetime 2016-09-28T22:35:21 --enforcementcount 0 &gt;&gt;C:\Users\stu\Documents\GitHub\eaglep3-reporting\EC\2016-09-28-refined-times.txt</v>
      </c>
      <c r="AI142" s="130" t="str">
        <f t="shared" ref="AI142:AI204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{"issue":{"subject":"","project_id":79,"tracker_id":40,"status_id":1,"priority_id":2,"assigned_to_id":23,"start_date":"2016-09-28","description":"","custom_fields":[{"id":1,"name":"Subdivision","value":"EC"},{"id":4,"name":"Milepost","value":"0.0163"},{"id":17,"name":"Train ID","value":"230-28"},{"id":16,"name":"Locomotive ID","value":"4039"},{"id":130,"name":"Impact","value":""},{"id":150,"name":"Time of Event (Mountain Time)","value":"22:35:21"},{"id":151,"name":"Denver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574</v>
      </c>
      <c r="B143" s="7">
        <v>4020</v>
      </c>
      <c r="C143" s="24" t="s">
        <v>106</v>
      </c>
      <c r="D143" s="24" t="s">
        <v>223</v>
      </c>
      <c r="E143" s="15">
        <v>42641.880601851852</v>
      </c>
      <c r="F143" s="15">
        <v>42641.895995370367</v>
      </c>
      <c r="G143" s="7">
        <v>1</v>
      </c>
      <c r="H143" s="15" t="s">
        <v>619</v>
      </c>
      <c r="I143" s="15">
        <v>42641.920636574076</v>
      </c>
      <c r="J143" s="7">
        <v>0</v>
      </c>
      <c r="K143" s="117" t="str">
        <f t="shared" si="46"/>
        <v>4019/4020</v>
      </c>
      <c r="L143" s="24" t="str">
        <f>VLOOKUP(A143,'Trips&amp;Operators'!$C$1:$E$10000,3,FALSE)</f>
        <v>YANAI</v>
      </c>
      <c r="M143" s="6">
        <f t="shared" si="47"/>
        <v>2.4641203708597459E-2</v>
      </c>
      <c r="N143" s="7">
        <f t="shared" si="43"/>
        <v>35.483333340380341</v>
      </c>
      <c r="O143" s="7"/>
      <c r="P143" s="7"/>
      <c r="Q143" s="25"/>
      <c r="R143" s="25"/>
      <c r="S143" s="37">
        <f t="shared" si="48"/>
        <v>1</v>
      </c>
      <c r="T143" s="52" t="str">
        <f t="shared" si="49"/>
        <v>NorthBound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20:08:04-0600',mode:absolute,to:'2016-09-28 23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3" s="54" t="str">
        <f t="shared" si="51"/>
        <v>N</v>
      </c>
      <c r="X143" s="164">
        <f t="shared" si="45"/>
        <v>1</v>
      </c>
      <c r="Y143" s="69">
        <f t="shared" si="52"/>
        <v>4.4699999999999997E-2</v>
      </c>
      <c r="Z143" s="69">
        <f t="shared" si="53"/>
        <v>23.330300000000001</v>
      </c>
      <c r="AA143" s="69">
        <f t="shared" si="54"/>
        <v>23.285600000000002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55"/>
        <v>0231-28</v>
      </c>
      <c r="AE143" s="95" t="str">
        <f t="shared" si="56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143" s="92" t="str">
        <f t="shared" si="57"/>
        <v>"C:\Program Files (x86)\AstroGrep\AstroGrep.exe" /spath="%USERPROFILE%\AppData\Local\Temp\OnboardLogs" /stypes="app*4020*20160929*" /stext=" 04:.+((SYSTEM_STATE.+slice.+state.+changed )|(ment ac)|(system.+state.+changed )|(\[timeout)|(PRM\|1\|D)|(kpr)|(kdp)|(\|lc)|(penalty))" /e /r /s</v>
      </c>
      <c r="AG143" s="1" t="str">
        <f t="shared" si="58"/>
        <v>EC</v>
      </c>
      <c r="AH143" s="96" t="str">
        <f t="shared" si="59"/>
        <v>"%USERPROFILE%\Documents\GitHub\eaglep3\Utilities\RefineRTDCRunTimes.py" --tripid 231-28 --locoid 4020 --swversion DE.1.0.7.0 --startMP 204:447 --initTime 2016-09-28T21:08:04 --startdatetime 2016-09-28T21:30:14 --delay 1 --endMP 204:233303 --enddatetime 2016-09-28T22:05:43 --enforcementcount 0 &gt;&gt;C:\Users\stu\Documents\GitHub\eaglep3-reporting\EC\2016-09-28-refined-times.txt</v>
      </c>
      <c r="AI143" s="130" t="str">
        <f t="shared" si="60"/>
        <v>echo {"issue":{"subject":"","project_id":79,"tracker_id":40,"status_id":1,"priority_id":2,"assigned_to_id":23,"start_date":"2016-09-28","description":"","custom_fields":[{"id":1,"name":"Subdivision","value":"EC"},{"id":4,"name":"Milepost","value":"23.3303"},{"id":17,"name":"Train ID","value":"231-28"},{"id":16,"name":"Locomotive ID","value":"4020"},{"id":130,"name":"Impact","value":""},{"id":150,"name":"Time of Event (Mountain Time)","value":"22:05:43"},{"id":151,"name":"Denver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580</v>
      </c>
      <c r="B144" s="7">
        <v>4019</v>
      </c>
      <c r="C144" s="24" t="s">
        <v>106</v>
      </c>
      <c r="D144" s="24" t="s">
        <v>612</v>
      </c>
      <c r="E144" s="15">
        <v>42641.931597222225</v>
      </c>
      <c r="F144" s="15">
        <v>42641.934872685182</v>
      </c>
      <c r="G144" s="7">
        <v>1</v>
      </c>
      <c r="H144" s="15" t="s">
        <v>623</v>
      </c>
      <c r="I144" s="15">
        <v>42641.960868055554</v>
      </c>
      <c r="J144" s="7">
        <v>0</v>
      </c>
      <c r="K144" s="117" t="str">
        <f t="shared" si="46"/>
        <v>4019/4020</v>
      </c>
      <c r="L144" s="24" t="str">
        <f>VLOOKUP(A144,'Trips&amp;Operators'!$C$1:$E$10000,3,FALSE)</f>
        <v>YANAI</v>
      </c>
      <c r="M144" s="6">
        <f t="shared" si="47"/>
        <v>2.5995370371674653E-2</v>
      </c>
      <c r="N144" s="7">
        <f t="shared" si="43"/>
        <v>37.433333335211501</v>
      </c>
      <c r="O144" s="7"/>
      <c r="P144" s="7"/>
      <c r="Q144" s="25"/>
      <c r="R144" s="25"/>
      <c r="S144" s="37">
        <f t="shared" si="48"/>
        <v>1</v>
      </c>
      <c r="T144" s="52" t="str">
        <f t="shared" si="49"/>
        <v>Southbound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21:21:30-0600',mode:absolute,to:'2016-09-29 00:03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4" s="54" t="str">
        <f t="shared" si="51"/>
        <v>N</v>
      </c>
      <c r="X144" s="164">
        <f t="shared" si="45"/>
        <v>1</v>
      </c>
      <c r="Y144" s="69">
        <f t="shared" si="52"/>
        <v>23.298400000000001</v>
      </c>
      <c r="Z144" s="69">
        <f t="shared" si="53"/>
        <v>1.32E-2</v>
      </c>
      <c r="AA144" s="69">
        <f t="shared" si="54"/>
        <v>23.2852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55"/>
        <v>0232-28</v>
      </c>
      <c r="AE144" s="95" t="str">
        <f t="shared" si="56"/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AF144" s="92" t="str">
        <f t="shared" si="57"/>
        <v>"C:\Program Files (x86)\AstroGrep\AstroGrep.exe" /spath="%USERPROFILE%\AppData\Local\Temp\OnboardLogs" /stypes="app*4019*20160929*" /stext=" 05:.+((SYSTEM_STATE.+slice.+state.+changed )|(ment ac)|(system.+state.+changed )|(\[timeout)|(PRM\|1\|D)|(kpr)|(kdp)|(\|lc)|(penalty))" /e /r /s</v>
      </c>
      <c r="AG144" s="1" t="str">
        <f t="shared" si="58"/>
        <v>EC</v>
      </c>
      <c r="AH144" s="96" t="str">
        <f t="shared" si="59"/>
        <v>"%USERPROFILE%\Documents\GitHub\eaglep3\Utilities\RefineRTDCRunTimes.py" --tripid 232-28 --locoid 4019 --swversion DE.1.0.7.0 --startMP 204:232984 --initTime 2016-09-28T22:21:30 --startdatetime 2016-09-28T22:26:13 --delay 1 --endMP 204:132 --enddatetime 2016-09-28T23:03:39 --enforcementcount 0 &gt;&gt;C:\Users\stu\Documents\GitHub\eaglep3-reporting\EC\2016-09-28-refined-times.txt</v>
      </c>
      <c r="AI144" s="130" t="str">
        <f t="shared" si="60"/>
        <v>echo {"issue":{"subject":"","project_id":79,"tracker_id":40,"status_id":1,"priority_id":2,"assigned_to_id":23,"start_date":"2016-09-28","description":"","custom_fields":[{"id":1,"name":"Subdivision","value":"EC"},{"id":4,"name":"Milepost","value":"0.0132"},{"id":17,"name":"Train ID","value":"232-28"},{"id":16,"name":"Locomotive ID","value":"4019"},{"id":130,"name":"Impact","value":""},{"id":150,"name":"Time of Event (Mountain Time)","value":"23:03:39"},{"id":151,"name":"Denver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578</v>
      </c>
      <c r="B145" s="7">
        <v>4018</v>
      </c>
      <c r="C145" s="24" t="s">
        <v>106</v>
      </c>
      <c r="D145" s="24" t="s">
        <v>621</v>
      </c>
      <c r="E145" s="15">
        <v>42641.912928240738</v>
      </c>
      <c r="F145" s="15">
        <v>42641.916898148149</v>
      </c>
      <c r="G145" s="7">
        <v>1</v>
      </c>
      <c r="H145" s="15" t="s">
        <v>340</v>
      </c>
      <c r="I145" s="15">
        <v>42641.941504629627</v>
      </c>
      <c r="J145" s="7">
        <v>0</v>
      </c>
      <c r="K145" s="117" t="str">
        <f t="shared" si="46"/>
        <v>4017/4018</v>
      </c>
      <c r="L145" s="24" t="str">
        <f>VLOOKUP(A145,'Trips&amp;Operators'!$C$1:$E$10000,3,FALSE)</f>
        <v>LEVIN</v>
      </c>
      <c r="M145" s="6">
        <f t="shared" si="47"/>
        <v>2.4606481478258502E-2</v>
      </c>
      <c r="N145" s="7">
        <f t="shared" si="43"/>
        <v>35.433333328692243</v>
      </c>
      <c r="O145" s="7"/>
      <c r="P145" s="7"/>
      <c r="Q145" s="25"/>
      <c r="R145" s="25"/>
      <c r="S145" s="37">
        <f t="shared" si="48"/>
        <v>1</v>
      </c>
      <c r="T145" s="52" t="str">
        <f t="shared" si="49"/>
        <v>NorthBound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20:54:37-0600',mode:absolute,to:'2016-09-28 23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5" s="54" t="str">
        <f t="shared" si="51"/>
        <v>N</v>
      </c>
      <c r="X145" s="164">
        <f t="shared" si="45"/>
        <v>1</v>
      </c>
      <c r="Y145" s="69">
        <f t="shared" si="52"/>
        <v>4.3299999999999998E-2</v>
      </c>
      <c r="Z145" s="69">
        <f t="shared" si="53"/>
        <v>23.331800000000001</v>
      </c>
      <c r="AA145" s="69">
        <f t="shared" si="54"/>
        <v>23.288500000000003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55"/>
        <v>0233-28</v>
      </c>
      <c r="AE145" s="95" t="str">
        <f t="shared" si="56"/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AF145" s="92" t="str">
        <f t="shared" si="57"/>
        <v>"C:\Program Files (x86)\AstroGrep\AstroGrep.exe" /spath="%USERPROFILE%\AppData\Local\Temp\OnboardLogs" /stypes="app*4018*20160929*" /stext=" 04:.+((SYSTEM_STATE.+slice.+state.+changed )|(ment ac)|(system.+state.+changed )|(\[timeout)|(PRM\|1\|D)|(kpr)|(kdp)|(\|lc)|(penalty))" /e /r /s</v>
      </c>
      <c r="AG145" s="1" t="str">
        <f t="shared" si="58"/>
        <v>EC</v>
      </c>
      <c r="AH145" s="96" t="str">
        <f t="shared" si="59"/>
        <v>"%USERPROFILE%\Documents\GitHub\eaglep3\Utilities\RefineRTDCRunTimes.py" --tripid 233-28 --locoid 4018 --swversion DE.1.0.7.0 --startMP 204:433 --initTime 2016-09-28T21:54:37 --startdatetime 2016-09-28T22:00:20 --delay 1 --endMP 204:233318 --enddatetime 2016-09-28T22:35:46 --enforcementcount 0 &gt;&gt;C:\Users\stu\Documents\GitHub\eaglep3-reporting\EC\2016-09-28-refined-times.txt</v>
      </c>
      <c r="AI145" s="130" t="str">
        <f t="shared" si="60"/>
        <v>echo {"issue":{"subject":"","project_id":79,"tracker_id":40,"status_id":1,"priority_id":2,"assigned_to_id":23,"start_date":"2016-09-28","description":"","custom_fields":[{"id":1,"name":"Subdivision","value":"EC"},{"id":4,"name":"Milepost","value":"23.3318"},{"id":17,"name":"Train ID","value":"233-28"},{"id":16,"name":"Locomotive ID","value":"4018"},{"id":130,"name":"Impact","value":""},{"id":150,"name":"Time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584</v>
      </c>
      <c r="B146" s="7">
        <v>4017</v>
      </c>
      <c r="C146" s="24" t="s">
        <v>106</v>
      </c>
      <c r="D146" s="24" t="s">
        <v>628</v>
      </c>
      <c r="E146" s="15">
        <v>42641.952037037037</v>
      </c>
      <c r="F146" s="15">
        <v>42641.955717592595</v>
      </c>
      <c r="G146" s="7">
        <v>0</v>
      </c>
      <c r="H146" s="15" t="s">
        <v>646</v>
      </c>
      <c r="I146" s="15">
        <v>42641.981886574074</v>
      </c>
      <c r="J146" s="7">
        <v>0</v>
      </c>
      <c r="K146" s="117" t="str">
        <f t="shared" si="46"/>
        <v>4017/4018</v>
      </c>
      <c r="L146" s="24" t="str">
        <f>VLOOKUP(A146,'Trips&amp;Operators'!$C$1:$E$10000,3,FALSE)</f>
        <v>LEVIN</v>
      </c>
      <c r="M146" s="6">
        <f t="shared" si="47"/>
        <v>2.6168981479713693E-2</v>
      </c>
      <c r="N146" s="7">
        <f t="shared" si="43"/>
        <v>37.683333330787718</v>
      </c>
      <c r="O146" s="7"/>
      <c r="P146" s="7"/>
      <c r="Q146" s="25"/>
      <c r="R146" s="25"/>
      <c r="S146" s="37">
        <f t="shared" si="48"/>
        <v>1</v>
      </c>
      <c r="T146" s="52" t="str">
        <f t="shared" si="49"/>
        <v>Southbound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21:50:56-0600',mode:absolute,to:'2016-09-29 00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6" s="54" t="str">
        <f t="shared" si="51"/>
        <v>N</v>
      </c>
      <c r="X146" s="164">
        <f t="shared" si="45"/>
        <v>1</v>
      </c>
      <c r="Y146" s="69">
        <f t="shared" si="52"/>
        <v>23.3005</v>
      </c>
      <c r="Z146" s="69">
        <f t="shared" si="53"/>
        <v>1.2500000000000001E-2</v>
      </c>
      <c r="AA146" s="69">
        <f t="shared" si="54"/>
        <v>23.288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55"/>
        <v>0234-28</v>
      </c>
      <c r="AE146" s="95" t="str">
        <f t="shared" si="56"/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AF146" s="92" t="str">
        <f t="shared" si="57"/>
        <v>"C:\Program Files (x86)\AstroGrep\AstroGrep.exe" /spath="%USERPROFILE%\AppData\Local\Temp\OnboardLogs" /stypes="app*4017*20160929*" /stext=" 05:.+((SYSTEM_STATE.+slice.+state.+changed )|(ment ac)|(system.+state.+changed )|(\[timeout)|(PRM\|1\|D)|(kpr)|(kdp)|(\|lc)|(penalty))" /e /r /s</v>
      </c>
      <c r="AG146" s="1" t="str">
        <f t="shared" si="58"/>
        <v>EC</v>
      </c>
      <c r="AH146" s="96" t="str">
        <f t="shared" si="59"/>
        <v>"%USERPROFILE%\Documents\GitHub\eaglep3\Utilities\RefineRTDCRunTimes.py" --tripid 234-28 --locoid 4017 --swversion DE.1.0.7.0 --startMP 204:233005 --initTime 2016-09-28T22:50:56 --startdatetime 2016-09-28T22:56:14 --delay 0 --endMP 204:125 --enddatetime 2016-09-28T23:33:55 --enforcementcount 0 &gt;&gt;C:\Users\stu\Documents\GitHub\eaglep3-reporting\EC\2016-09-28-refined-times.txt</v>
      </c>
      <c r="AI146" s="130" t="str">
        <f t="shared" si="60"/>
        <v>echo {"issue":{"subject":"","project_id":79,"tracker_id":40,"status_id":1,"priority_id":2,"assigned_to_id":23,"start_date":"2016-09-28","description":"","custom_fields":[{"id":1,"name":"Subdivision","value":"EC"},{"id":4,"name":"Milepost","value":"0.0125"},{"id":17,"name":"Train ID","value":"234-28"},{"id":16,"name":"Locomotive ID","value":"4017"},{"id":130,"name":"Impact","value":""},{"id":150,"name":"Time of Event (Mountain Time)","value":"23:33:55"},{"id":151,"name":"Denver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581</v>
      </c>
      <c r="B147" s="7">
        <v>4014</v>
      </c>
      <c r="C147" s="24" t="s">
        <v>106</v>
      </c>
      <c r="D147" s="24" t="s">
        <v>669</v>
      </c>
      <c r="E147" s="15">
        <v>42641.934756944444</v>
      </c>
      <c r="F147" s="15">
        <v>42641.937708333331</v>
      </c>
      <c r="G147" s="7">
        <v>2</v>
      </c>
      <c r="H147" s="15" t="s">
        <v>670</v>
      </c>
      <c r="I147" s="15">
        <v>42641.962071759262</v>
      </c>
      <c r="J147" s="7">
        <v>0</v>
      </c>
      <c r="K147" s="117" t="str">
        <f t="shared" si="46"/>
        <v>4013/4014</v>
      </c>
      <c r="L147" s="24" t="str">
        <f>VLOOKUP(A147,'Trips&amp;Operators'!$C$1:$E$10000,3,FALSE)</f>
        <v>COOLAHAN</v>
      </c>
      <c r="M147" s="6">
        <f t="shared" si="47"/>
        <v>2.436342593136942E-2</v>
      </c>
      <c r="N147" s="7">
        <f t="shared" si="43"/>
        <v>35.083333341171965</v>
      </c>
      <c r="O147" s="7"/>
      <c r="P147" s="7"/>
      <c r="Q147" s="25"/>
      <c r="R147" s="25"/>
      <c r="S147" s="37">
        <f t="shared" si="48"/>
        <v>1</v>
      </c>
      <c r="T147" s="52" t="str">
        <f t="shared" si="49"/>
        <v>NorthBound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21:26:03-0600',mode:absolute,to:'2016-09-29 00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7" s="54" t="str">
        <f t="shared" si="51"/>
        <v>N</v>
      </c>
      <c r="X147" s="164">
        <f t="shared" si="45"/>
        <v>1</v>
      </c>
      <c r="Y147" s="69">
        <f t="shared" si="52"/>
        <v>5.1999999999999998E-2</v>
      </c>
      <c r="Z147" s="69">
        <f t="shared" si="53"/>
        <v>23.3337</v>
      </c>
      <c r="AA147" s="69">
        <f t="shared" si="54"/>
        <v>23.281700000000001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55"/>
        <v>0235-28</v>
      </c>
      <c r="AE147" s="95" t="str">
        <f t="shared" si="56"/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AF147" s="92" t="str">
        <f t="shared" si="57"/>
        <v>"C:\Program Files (x86)\AstroGrep\AstroGrep.exe" /spath="%USERPROFILE%\AppData\Local\Temp\OnboardLogs" /stypes="app*4014*20160929*" /stext=" 05:.+((SYSTEM_STATE.+slice.+state.+changed )|(ment ac)|(system.+state.+changed )|(\[timeout)|(PRM\|1\|D)|(kpr)|(kdp)|(\|lc)|(penalty))" /e /r /s</v>
      </c>
      <c r="AG147" s="1" t="str">
        <f t="shared" si="58"/>
        <v>EC</v>
      </c>
      <c r="AH147" s="96" t="str">
        <f t="shared" si="59"/>
        <v>"%USERPROFILE%\Documents\GitHub\eaglep3\Utilities\RefineRTDCRunTimes.py" --tripid 235-28 --locoid 4014 --swversion DE.1.0.7.0 --startMP 204:520 --initTime 2016-09-28T22:26:03 --startdatetime 2016-09-28T22:30:18 --delay 2 --endMP 204:233337 --enddatetime 2016-09-28T23:05:23 --enforcementcount 0 &gt;&gt;C:\Users\stu\Documents\GitHub\eaglep3-reporting\EC\2016-09-28-refined-times.txt</v>
      </c>
      <c r="AI147" s="130" t="str">
        <f t="shared" si="60"/>
        <v>echo {"issue":{"subject":"","project_id":79,"tracker_id":40,"status_id":1,"priority_id":2,"assigned_to_id":23,"start_date":"2016-09-28","description":"","custom_fields":[{"id":1,"name":"Subdivision","value":"EC"},{"id":4,"name":"Milepost","value":"23.3337"},{"id":17,"name":"Train ID","value":"235-28"},{"id":16,"name":"Locomotive ID","value":"4014"},{"id":130,"name":"Impact","value":""},{"id":150,"name":"Time of Event (Mountain Time)","value":"23:05:23"},{"id":151,"name":"Denver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586</v>
      </c>
      <c r="B148" s="7">
        <v>4013</v>
      </c>
      <c r="C148" s="24" t="s">
        <v>106</v>
      </c>
      <c r="D148" s="24" t="s">
        <v>671</v>
      </c>
      <c r="E148" s="15">
        <v>42641.972974537035</v>
      </c>
      <c r="F148" s="15">
        <v>42641.976620370369</v>
      </c>
      <c r="G148" s="7">
        <v>5</v>
      </c>
      <c r="H148" s="15" t="s">
        <v>217</v>
      </c>
      <c r="I148" s="15">
        <v>42642.002766203703</v>
      </c>
      <c r="J148" s="7">
        <v>0</v>
      </c>
      <c r="K148" s="117" t="str">
        <f t="shared" si="46"/>
        <v>4013/4014</v>
      </c>
      <c r="L148" s="24" t="str">
        <f>VLOOKUP(A148,'Trips&amp;Operators'!$C$1:$E$10000,3,FALSE)</f>
        <v>COOLAHAN</v>
      </c>
      <c r="M148" s="6">
        <f t="shared" si="47"/>
        <v>2.6145833333430346E-2</v>
      </c>
      <c r="N148" s="7">
        <f t="shared" si="43"/>
        <v>37.650000000139698</v>
      </c>
      <c r="O148" s="7"/>
      <c r="P148" s="7"/>
      <c r="Q148" s="25"/>
      <c r="R148" s="25"/>
      <c r="S148" s="37">
        <f t="shared" si="48"/>
        <v>1</v>
      </c>
      <c r="T148" s="52" t="str">
        <f t="shared" si="49"/>
        <v>Southbound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22:21:05-0600',mode:absolute,to:'2016-09-29 01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8" s="54" t="str">
        <f t="shared" si="51"/>
        <v>N</v>
      </c>
      <c r="X148" s="164">
        <f t="shared" si="45"/>
        <v>1</v>
      </c>
      <c r="Y148" s="69">
        <f t="shared" si="52"/>
        <v>23.300899999999999</v>
      </c>
      <c r="Z148" s="69">
        <f t="shared" si="53"/>
        <v>1.47E-2</v>
      </c>
      <c r="AA148" s="69">
        <f t="shared" si="54"/>
        <v>23.286199999999997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55"/>
        <v>0236-28</v>
      </c>
      <c r="AE148" s="95" t="str">
        <f t="shared" si="56"/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AF148" s="92" t="str">
        <f t="shared" si="57"/>
        <v>"C:\Program Files (x86)\AstroGrep\AstroGrep.exe" /spath="%USERPROFILE%\AppData\Local\Temp\OnboardLogs" /stypes="app*4013*20160929*" /stext=" 06:.+((SYSTEM_STATE.+slice.+state.+changed )|(ment ac)|(system.+state.+changed )|(\[timeout)|(PRM\|1\|D)|(kpr)|(kdp)|(\|lc)|(penalty))" /e /r /s</v>
      </c>
      <c r="AG148" s="1" t="str">
        <f t="shared" si="58"/>
        <v>EC</v>
      </c>
      <c r="AH148" s="96" t="str">
        <f t="shared" si="59"/>
        <v>"%USERPROFILE%\Documents\GitHub\eaglep3\Utilities\RefineRTDCRunTimes.py" --tripid 236-28 --locoid 4013 --swversion DE.1.0.7.0 --startMP 204:233009 --initTime 2016-09-28T23:21:05 --startdatetime 2016-09-28T23:26:20 --delay 5 --endMP 204:147 --enddatetime 2016-09-29T00:03:59 --enforcementcount 0 &gt;&gt;C:\Users\stu\Documents\GitHub\eaglep3-reporting\EC\2016-09-28-refined-times.txt</v>
      </c>
      <c r="AI148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{"issue":{"subject":"","project_id":79,"tracker_id":40,"status_id":1,"priority_id":2,"assigned_to_id":23,"start_date":"2016-09-29","description":"","custom_fields":[{"id":1,"name":"Subdivision","value":"EC"},{"id":4,"name":"Milepost","value":"0.0147"},{"id":17,"name":"Train ID","value":"236-28"},{"id":16,"name":"Locomotive ID","value":"4013"},{"id":130,"name":"Impact","value":""},{"id":150,"name":"Time of Event (Mountain Time)","value":"00:03:59"},{"id":151,"name":"Denver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583</v>
      </c>
      <c r="B149" s="7">
        <v>4040</v>
      </c>
      <c r="C149" s="24" t="s">
        <v>106</v>
      </c>
      <c r="D149" s="24" t="s">
        <v>229</v>
      </c>
      <c r="E149" s="15">
        <v>42641.945254629631</v>
      </c>
      <c r="F149" s="15">
        <v>42641.958541666667</v>
      </c>
      <c r="G149" s="7">
        <v>1</v>
      </c>
      <c r="H149" s="15" t="s">
        <v>341</v>
      </c>
      <c r="I149" s="15">
        <v>42641.984016203707</v>
      </c>
      <c r="J149" s="7">
        <v>0</v>
      </c>
      <c r="K149" s="117" t="str">
        <f t="shared" si="46"/>
        <v>4039/4040</v>
      </c>
      <c r="L149" s="24" t="str">
        <f>VLOOKUP(A149,'Trips&amp;Operators'!$C$1:$E$10000,3,FALSE)</f>
        <v>STURGEON</v>
      </c>
      <c r="M149" s="6">
        <f t="shared" si="47"/>
        <v>2.5474537040281575E-2</v>
      </c>
      <c r="N149" s="7">
        <f t="shared" si="43"/>
        <v>36.683333338005468</v>
      </c>
      <c r="O149" s="7"/>
      <c r="P149" s="7"/>
      <c r="Q149" s="25"/>
      <c r="R149" s="25"/>
      <c r="S149" s="37">
        <f t="shared" si="48"/>
        <v>1</v>
      </c>
      <c r="T149" s="52" t="str">
        <f t="shared" si="49"/>
        <v>NorthBound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21:41:10-0600',mode:absolute,to:'2016-09-29 00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9" s="54" t="str">
        <f t="shared" si="51"/>
        <v>N</v>
      </c>
      <c r="X149" s="164">
        <f t="shared" si="45"/>
        <v>1</v>
      </c>
      <c r="Y149" s="69">
        <f t="shared" si="52"/>
        <v>4.5999999999999999E-2</v>
      </c>
      <c r="Z149" s="69">
        <f t="shared" si="53"/>
        <v>23.328199999999999</v>
      </c>
      <c r="AA149" s="69">
        <f t="shared" si="54"/>
        <v>23.2822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55"/>
        <v>0237-28</v>
      </c>
      <c r="AE149" s="95" t="str">
        <f t="shared" si="56"/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AF149" s="92" t="str">
        <f t="shared" si="57"/>
        <v>"C:\Program Files (x86)\AstroGrep\AstroGrep.exe" /spath="%USERPROFILE%\AppData\Local\Temp\OnboardLogs" /stypes="app*4040*20160929*" /stext=" 05:.+((SYSTEM_STATE.+slice.+state.+changed )|(ment ac)|(system.+state.+changed )|(\[timeout)|(PRM\|1\|D)|(kpr)|(kdp)|(\|lc)|(penalty))" /e /r /s</v>
      </c>
      <c r="AG149" s="1" t="str">
        <f t="shared" si="58"/>
        <v>EC</v>
      </c>
      <c r="AH149" s="96" t="str">
        <f t="shared" si="59"/>
        <v>"%USERPROFILE%\Documents\GitHub\eaglep3\Utilities\RefineRTDCRunTimes.py" --tripid 237-28 --locoid 4040 --swversion DE.1.0.7.0 --startMP 204:460 --initTime 2016-09-28T22:41:10 --startdatetime 2016-09-28T23:00:18 --delay 1 --endMP 204:233282 --enddatetime 2016-09-28T23:36:59 --enforcementcount 0 &gt;&gt;C:\Users\stu\Documents\GitHub\eaglep3-reporting\EC\2016-09-28-refined-times.txt</v>
      </c>
      <c r="AI149" s="130" t="str">
        <f t="shared" si="60"/>
        <v>echo {"issue":{"subject":"","project_id":79,"tracker_id":40,"status_id":1,"priority_id":2,"assigned_to_id":23,"start_date":"2016-09-28","description":"","custom_fields":[{"id":1,"name":"Subdivision","value":"EC"},{"id":4,"name":"Milepost","value":"23.3282"},{"id":17,"name":"Train ID","value":"237-28"},{"id":16,"name":"Locomotive ID","value":"4040"},{"id":130,"name":"Impact","value":""},{"id":150,"name":"Time of Event (Mountain Time)","value":"23:36:59"},{"id":151,"name":"Denver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587</v>
      </c>
      <c r="B150" s="7">
        <v>4039</v>
      </c>
      <c r="C150" s="24" t="s">
        <v>106</v>
      </c>
      <c r="D150" s="24" t="s">
        <v>672</v>
      </c>
      <c r="E150" s="15">
        <v>42641.990543981483</v>
      </c>
      <c r="F150" s="15">
        <v>42641.997650462959</v>
      </c>
      <c r="G150" s="7">
        <v>1</v>
      </c>
      <c r="H150" s="15" t="s">
        <v>241</v>
      </c>
      <c r="I150" s="15">
        <v>42642.024641203701</v>
      </c>
      <c r="J150" s="7">
        <v>0</v>
      </c>
      <c r="K150" s="117" t="str">
        <f t="shared" si="46"/>
        <v>4039/4040</v>
      </c>
      <c r="L150" s="24" t="str">
        <f>VLOOKUP(A150,'Trips&amp;Operators'!$C$1:$E$10000,3,FALSE)</f>
        <v>STURGEON</v>
      </c>
      <c r="M150" s="6">
        <f t="shared" si="47"/>
        <v>2.6990740741894115E-2</v>
      </c>
      <c r="N150" s="7">
        <f t="shared" si="43"/>
        <v>38.866666668327525</v>
      </c>
      <c r="O150" s="7"/>
      <c r="P150" s="7"/>
      <c r="Q150" s="25"/>
      <c r="R150" s="25"/>
      <c r="S150" s="37">
        <f t="shared" si="48"/>
        <v>1</v>
      </c>
      <c r="T150" s="52" t="str">
        <f t="shared" si="49"/>
        <v>Southbound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22:46:23-0600',mode:absolute,to:'2016-09-29 01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0" s="54" t="str">
        <f t="shared" si="51"/>
        <v>N</v>
      </c>
      <c r="X150" s="164">
        <f t="shared" si="45"/>
        <v>1</v>
      </c>
      <c r="Y150" s="69">
        <f t="shared" si="52"/>
        <v>23.295000000000002</v>
      </c>
      <c r="Z150" s="69">
        <f t="shared" si="53"/>
        <v>1.5599999999999999E-2</v>
      </c>
      <c r="AA150" s="69">
        <f t="shared" si="54"/>
        <v>23.279400000000003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55"/>
        <v>0238-28</v>
      </c>
      <c r="AE150" s="95" t="str">
        <f t="shared" si="56"/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AF150" s="92" t="str">
        <f t="shared" si="57"/>
        <v>"C:\Program Files (x86)\AstroGrep\AstroGrep.exe" /spath="%USERPROFILE%\AppData\Local\Temp\OnboardLogs" /stypes="app*4039*20160929*" /stext=" 06:.+((SYSTEM_STATE.+slice.+state.+changed )|(ment ac)|(system.+state.+changed )|(\[timeout)|(PRM\|1\|D)|(kpr)|(kdp)|(\|lc)|(penalty))" /e /r /s</v>
      </c>
      <c r="AG150" s="1" t="str">
        <f t="shared" si="58"/>
        <v>EC</v>
      </c>
      <c r="AH150" s="96" t="str">
        <f t="shared" si="59"/>
        <v>"%USERPROFILE%\Documents\GitHub\eaglep3\Utilities\RefineRTDCRunTimes.py" --tripid 238-28 --locoid 4039 --swversion DE.1.0.7.0 --startMP 204:232950 --initTime 2016-09-28T23:46:23 --startdatetime 2016-09-28T23:56:37 --delay 1 --endMP 204:156 --enddatetime 2016-09-29T00:35:29 --enforcementcount 0 &gt;&gt;C:\Users\stu\Documents\GitHub\eaglep3-reporting\EC\2016-09-28-refined-times.txt</v>
      </c>
      <c r="AI150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{"issue":{"subject":"","project_id":79,"tracker_id":40,"status_id":1,"priority_id":2,"assigned_to_id":23,"start_date":"2016-09-29","description":"","custom_fields":[{"id":1,"name":"Subdivision","value":"EC"},{"id":4,"name":"Milepost","value":"0.0156"},{"id":17,"name":"Train ID","value":"238-28"},{"id":16,"name":"Locomotive ID","value":"4039"},{"id":130,"name":"Impact","value":""},{"id":150,"name":"Time of Event (Mountain Time)","value":"00:35:29"},{"id":151,"name":"Denver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585</v>
      </c>
      <c r="B151" s="7">
        <v>4020</v>
      </c>
      <c r="C151" s="24" t="s">
        <v>106</v>
      </c>
      <c r="D151" s="24" t="s">
        <v>621</v>
      </c>
      <c r="E151" s="15">
        <v>42641.962881944448</v>
      </c>
      <c r="F151" s="15">
        <v>42641.979328703703</v>
      </c>
      <c r="G151" s="7">
        <v>1</v>
      </c>
      <c r="H151" s="15" t="s">
        <v>238</v>
      </c>
      <c r="I151" s="15">
        <v>42642.00377314815</v>
      </c>
      <c r="J151" s="7">
        <v>0</v>
      </c>
      <c r="K151" s="117" t="str">
        <f t="shared" si="46"/>
        <v>4019/4020</v>
      </c>
      <c r="L151" s="24" t="str">
        <f>VLOOKUP(A151,'Trips&amp;Operators'!$C$1:$E$10000,3,FALSE)</f>
        <v>YANAI</v>
      </c>
      <c r="M151" s="6">
        <f t="shared" si="47"/>
        <v>2.4444444446999114E-2</v>
      </c>
      <c r="N151" s="7">
        <f t="shared" si="43"/>
        <v>35.200000003678724</v>
      </c>
      <c r="O151" s="7"/>
      <c r="P151" s="7"/>
      <c r="Q151" s="25"/>
      <c r="R151" s="25"/>
      <c r="S151" s="37">
        <f t="shared" si="48"/>
        <v>1</v>
      </c>
      <c r="T151" s="52" t="str">
        <f t="shared" si="49"/>
        <v>NorthBound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22:06:33-0600',mode:absolute,to:'2016-09-29 01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1" s="54" t="str">
        <f t="shared" si="51"/>
        <v>N</v>
      </c>
      <c r="X151" s="164">
        <f t="shared" si="45"/>
        <v>1</v>
      </c>
      <c r="Y151" s="69">
        <f t="shared" si="52"/>
        <v>4.3299999999999998E-2</v>
      </c>
      <c r="Z151" s="69">
        <f t="shared" si="53"/>
        <v>23.329699999999999</v>
      </c>
      <c r="AA151" s="69">
        <f t="shared" si="54"/>
        <v>23.2864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55"/>
        <v>0239-28</v>
      </c>
      <c r="AE151" s="95" t="str">
        <f t="shared" si="56"/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AF151" s="92" t="str">
        <f t="shared" si="57"/>
        <v>"C:\Program Files (x86)\AstroGrep\AstroGrep.exe" /spath="%USERPROFILE%\AppData\Local\Temp\OnboardLogs" /stypes="app*4020*20160929*" /stext=" 06:.+((SYSTEM_STATE.+slice.+state.+changed )|(ment ac)|(system.+state.+changed )|(\[timeout)|(PRM\|1\|D)|(kpr)|(kdp)|(\|lc)|(penalty))" /e /r /s</v>
      </c>
      <c r="AG151" s="1" t="str">
        <f t="shared" si="58"/>
        <v>EC</v>
      </c>
      <c r="AH151" s="96" t="str">
        <f t="shared" si="59"/>
        <v>"%USERPROFILE%\Documents\GitHub\eaglep3\Utilities\RefineRTDCRunTimes.py" --tripid 239-28 --locoid 4020 --swversion DE.1.0.7.0 --startMP 204:433 --initTime 2016-09-28T23:06:33 --startdatetime 2016-09-28T23:30:14 --delay 1 --endMP 204:233297 --enddatetime 2016-09-29T00:05:26 --enforcementcount 0 &gt;&gt;C:\Users\stu\Documents\GitHub\eaglep3-reporting\EC\2016-09-28-refined-times.txt</v>
      </c>
      <c r="AI151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{"issue":{"subject":"","project_id":79,"tracker_id":40,"status_id":1,"priority_id":2,"assigned_to_id":23,"start_date":"2016-09-29","description":"","custom_fields":[{"id":1,"name":"Subdivision","value":"EC"},{"id":4,"name":"Milepost","value":"23.3297"},{"id":17,"name":"Train ID","value":"239-28"},{"id":16,"name":"Locomotive ID","value":"4020"},{"id":130,"name":"Impact","value":""},{"id":150,"name":"Time of Event (Mountain Time)","value":"00:05:26"},{"id":151,"name":"Denver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589</v>
      </c>
      <c r="B152" s="7">
        <v>4019</v>
      </c>
      <c r="C152" s="24" t="s">
        <v>106</v>
      </c>
      <c r="D152" s="24" t="s">
        <v>297</v>
      </c>
      <c r="E152" s="15">
        <v>42642.0153125</v>
      </c>
      <c r="F152" s="15">
        <v>42642.018206018518</v>
      </c>
      <c r="G152" s="7">
        <v>1</v>
      </c>
      <c r="H152" s="15" t="s">
        <v>213</v>
      </c>
      <c r="I152" s="15">
        <v>42642.044340277775</v>
      </c>
      <c r="J152" s="7">
        <v>0</v>
      </c>
      <c r="K152" s="117" t="str">
        <f t="shared" si="46"/>
        <v>4019/4020</v>
      </c>
      <c r="L152" s="24" t="str">
        <f>VLOOKUP(A152,'Trips&amp;Operators'!$C$1:$E$10000,3,FALSE)</f>
        <v>YANAI</v>
      </c>
      <c r="M152" s="6">
        <f t="shared" si="47"/>
        <v>2.6134259256650694E-2</v>
      </c>
      <c r="N152" s="7">
        <f t="shared" si="43"/>
        <v>37.633333329576999</v>
      </c>
      <c r="O152" s="7"/>
      <c r="P152" s="7"/>
      <c r="Q152" s="25"/>
      <c r="R152" s="25"/>
      <c r="S152" s="37">
        <f t="shared" si="48"/>
        <v>1</v>
      </c>
      <c r="T152" s="52" t="str">
        <f t="shared" si="49"/>
        <v>Southbound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23:22:03-0600',mode:absolute,to:'2016-09-29 02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2" s="54" t="str">
        <f t="shared" si="51"/>
        <v>N</v>
      </c>
      <c r="X152" s="164">
        <f t="shared" si="45"/>
        <v>1</v>
      </c>
      <c r="Y152" s="69">
        <f t="shared" si="52"/>
        <v>23.296900000000001</v>
      </c>
      <c r="Z152" s="69">
        <f t="shared" si="53"/>
        <v>1.6E-2</v>
      </c>
      <c r="AA152" s="69">
        <f t="shared" si="54"/>
        <v>23.280900000000003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55"/>
        <v>0240-28</v>
      </c>
      <c r="AE152" s="95" t="str">
        <f t="shared" si="56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152" s="92" t="str">
        <f t="shared" si="57"/>
        <v>"C:\Program Files (x86)\AstroGrep\AstroGrep.exe" /spath="%USERPROFILE%\AppData\Local\Temp\OnboardLogs" /stypes="app*4019*20160929*" /stext=" 07:.+((SYSTEM_STATE.+slice.+state.+changed )|(ment ac)|(system.+state.+changed )|(\[timeout)|(PRM\|1\|D)|(kpr)|(kdp)|(\|lc)|(penalty))" /e /r /s</v>
      </c>
      <c r="AG152" s="1" t="str">
        <f t="shared" si="58"/>
        <v>EC</v>
      </c>
      <c r="AH152" s="96" t="str">
        <f t="shared" si="59"/>
        <v>"%USERPROFILE%\Documents\GitHub\eaglep3\Utilities\RefineRTDCRunTimes.py" --tripid 240-28 --locoid 4019 --swversion DE.1.0.7.0 --startMP 204:232969 --initTime 2016-09-29T00:22:03 --startdatetime 2016-09-29T00:26:13 --delay 1 --endMP 204:160 --enddatetime 2016-09-29T01:03:51 --enforcementcount 0 &gt;&gt;C:\Users\stu\Documents\GitHub\eaglep3-reporting\EC\2016-09-28-refined-times.txt</v>
      </c>
      <c r="AI152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{"issue":{"subject":"","project_id":79,"tracker_id":40,"status_id":1,"priority_id":2,"assigned_to_id":23,"start_date":"2016-09-29","description":"","custom_fields":[{"id":1,"name":"Subdivision","value":"EC"},{"id":4,"name":"Milepost","value":"0.016"},{"id":17,"name":"Train ID","value":"240-28"},{"id":16,"name":"Locomotive ID","value":"4019"},{"id":130,"name":"Impact","value":""},{"id":150,"name":"Time of Event (Mountain Time)","value":"01:03:51"},{"id":151,"name":"Denver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588</v>
      </c>
      <c r="B153" s="7">
        <v>4018</v>
      </c>
      <c r="C153" s="24" t="s">
        <v>106</v>
      </c>
      <c r="D153" s="24" t="s">
        <v>225</v>
      </c>
      <c r="E153" s="15">
        <v>42641.995694444442</v>
      </c>
      <c r="F153" s="15">
        <v>42642.000173611108</v>
      </c>
      <c r="G153" s="7">
        <v>1</v>
      </c>
      <c r="H153" s="15" t="s">
        <v>339</v>
      </c>
      <c r="I153" s="15">
        <v>42642.024583333332</v>
      </c>
      <c r="J153" s="7">
        <v>0</v>
      </c>
      <c r="K153" s="117" t="str">
        <f t="shared" si="46"/>
        <v>4017/4018</v>
      </c>
      <c r="L153" s="24" t="str">
        <f>VLOOKUP(A153,'Trips&amp;Operators'!$C$1:$E$10000,3,FALSE)</f>
        <v>LEVIN</v>
      </c>
      <c r="M153" s="6">
        <f t="shared" si="47"/>
        <v>2.4409722223936114E-2</v>
      </c>
      <c r="N153" s="7">
        <f t="shared" si="43"/>
        <v>35.150000002468005</v>
      </c>
      <c r="O153" s="7"/>
      <c r="P153" s="7"/>
      <c r="Q153" s="25"/>
      <c r="R153" s="25"/>
      <c r="S153" s="37">
        <f t="shared" si="48"/>
        <v>1</v>
      </c>
      <c r="T153" s="52" t="str">
        <f t="shared" si="49"/>
        <v>NorthBound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22:53:48-0600',mode:absolute,to:'2016-09-29 01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3" s="54" t="str">
        <f t="shared" si="51"/>
        <v>N</v>
      </c>
      <c r="X153" s="164">
        <f t="shared" si="45"/>
        <v>1</v>
      </c>
      <c r="Y153" s="69">
        <f t="shared" si="52"/>
        <v>4.5100000000000001E-2</v>
      </c>
      <c r="Z153" s="69">
        <f t="shared" si="53"/>
        <v>23.333200000000001</v>
      </c>
      <c r="AA153" s="69">
        <f t="shared" si="54"/>
        <v>23.2881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55"/>
        <v>0241-28</v>
      </c>
      <c r="AE153" s="95" t="str">
        <f t="shared" si="56"/>
        <v>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 &amp; 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</v>
      </c>
      <c r="AF153" s="92" t="str">
        <f t="shared" si="57"/>
        <v>"C:\Program Files (x86)\AstroGrep\AstroGrep.exe" /spath="%USERPROFILE%\AppData\Local\Temp\OnboardLogs" /stypes="app*4018*20160929*" /stext=" 06:.+((SYSTEM_STATE.+slice.+state.+changed )|(ment ac)|(system.+state.+changed )|(\[timeout)|(PRM\|1\|D)|(kpr)|(kdp)|(\|lc)|(penalty))" /e /r /s</v>
      </c>
      <c r="AG153" s="1" t="str">
        <f t="shared" si="58"/>
        <v>EC</v>
      </c>
      <c r="AH153" s="96" t="str">
        <f t="shared" si="59"/>
        <v>"%USERPROFILE%\Documents\GitHub\eaglep3\Utilities\RefineRTDCRunTimes.py" --tripid 241-28 --locoid 4018 --swversion DE.1.0.7.0 --startMP 204:451 --initTime 2016-09-28T23:53:48 --startdatetime 2016-09-29T00:00:15 --delay 1 --endMP 204:233332 --enddatetime 2016-09-29T00:35:24 --enforcementcount 0 &gt;&gt;C:\Users\stu\Documents\GitHub\eaglep3-reporting\EC\2016-09-28-refined-times.txt</v>
      </c>
      <c r="AI153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{"issue":{"subject":"","project_id":79,"tracker_id":40,"status_id":1,"priority_id":2,"assigned_to_id":23,"start_date":"2016-09-29","description":"","custom_fields":[{"id":1,"name":"Subdivision","value":"EC"},{"id":4,"name":"Milepost","value":"23.3332"},{"id":17,"name":"Train ID","value":"241-28"},{"id":16,"name":"Locomotive ID","value":"4018"},{"id":130,"name":"Impact","value":""},{"id":150,"name":"Time of Event (Mountain Time)","value":"00:35:24"},{"id":151,"name":"Denver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592</v>
      </c>
      <c r="B154" s="7">
        <v>4017</v>
      </c>
      <c r="C154" s="24" t="s">
        <v>106</v>
      </c>
      <c r="D154" s="24" t="s">
        <v>673</v>
      </c>
      <c r="E154" s="15">
        <v>42642.034861111111</v>
      </c>
      <c r="F154" s="15">
        <v>42642.039097222223</v>
      </c>
      <c r="G154" s="7">
        <v>1</v>
      </c>
      <c r="H154" s="15" t="s">
        <v>241</v>
      </c>
      <c r="I154" s="15">
        <v>42642.065011574072</v>
      </c>
      <c r="J154" s="7">
        <v>0</v>
      </c>
      <c r="K154" s="117" t="str">
        <f t="shared" si="46"/>
        <v>4017/4018</v>
      </c>
      <c r="L154" s="24" t="str">
        <f>VLOOKUP(A154,'Trips&amp;Operators'!$C$1:$E$10000,3,FALSE)</f>
        <v>LEVIN</v>
      </c>
      <c r="M154" s="6">
        <f t="shared" si="47"/>
        <v>2.5914351848769002E-2</v>
      </c>
      <c r="N154" s="7">
        <f t="shared" si="43"/>
        <v>37.316666662227362</v>
      </c>
      <c r="O154" s="7"/>
      <c r="P154" s="7"/>
      <c r="Q154" s="25"/>
      <c r="R154" s="25"/>
      <c r="S154" s="37">
        <f t="shared" si="48"/>
        <v>1</v>
      </c>
      <c r="T154" s="52" t="str">
        <f t="shared" si="49"/>
        <v>Southbound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23:50:12-0600',mode:absolute,to:'2016-09-29 02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4" s="54" t="str">
        <f t="shared" si="51"/>
        <v>N</v>
      </c>
      <c r="X154" s="164">
        <f t="shared" si="45"/>
        <v>1</v>
      </c>
      <c r="Y154" s="69">
        <f t="shared" si="52"/>
        <v>23.300699999999999</v>
      </c>
      <c r="Z154" s="69">
        <f t="shared" si="53"/>
        <v>1.5599999999999999E-2</v>
      </c>
      <c r="AA154" s="69">
        <f t="shared" si="54"/>
        <v>23.2851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55"/>
        <v>0242-28</v>
      </c>
      <c r="AE154" s="95" t="str">
        <f t="shared" si="56"/>
        <v>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 &amp; 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</v>
      </c>
      <c r="AF154" s="92" t="str">
        <f t="shared" si="57"/>
        <v>"C:\Program Files (x86)\AstroGrep\AstroGrep.exe" /spath="%USERPROFILE%\AppData\Local\Temp\OnboardLogs" /stypes="app*4017*20160929*" /stext=" 07:.+((SYSTEM_STATE.+slice.+state.+changed )|(ment ac)|(system.+state.+changed )|(\[timeout)|(PRM\|1\|D)|(kpr)|(kdp)|(\|lc)|(penalty))" /e /r /s</v>
      </c>
      <c r="AG154" s="1" t="str">
        <f t="shared" si="58"/>
        <v>EC</v>
      </c>
      <c r="AH154" s="96" t="str">
        <f t="shared" si="59"/>
        <v>"%USERPROFILE%\Documents\GitHub\eaglep3\Utilities\RefineRTDCRunTimes.py" --tripid 242-28 --locoid 4017 --swversion DE.1.0.7.0 --startMP 204:233007 --initTime 2016-09-29T00:50:12 --startdatetime 2016-09-29T00:56:18 --delay 1 --endMP 204:156 --enddatetime 2016-09-29T01:33:37 --enforcementcount 0 &gt;&gt;C:\Users\stu\Documents\GitHub\eaglep3-reporting\EC\2016-09-28-refined-times.txt</v>
      </c>
      <c r="AI154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{"issue":{"subject":"","project_id":79,"tracker_id":40,"status_id":1,"priority_id":2,"assigned_to_id":23,"start_date":"2016-09-29","description":"","custom_fields":[{"id":1,"name":"Subdivision","value":"EC"},{"id":4,"name":"Milepost","value":"0.0156"},{"id":17,"name":"Train ID","value":"242-28"},{"id":16,"name":"Locomotive ID","value":"4017"},{"id":130,"name":"Impact","value":""},{"id":150,"name":"Time of Event (Mountain Time)","value":"01:33:37"},{"id":151,"name":"Denver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590</v>
      </c>
      <c r="B155" s="7">
        <v>4014</v>
      </c>
      <c r="C155" s="24" t="s">
        <v>106</v>
      </c>
      <c r="D155" s="24" t="s">
        <v>290</v>
      </c>
      <c r="E155" s="15">
        <v>42642.018055555556</v>
      </c>
      <c r="F155" s="15">
        <v>42642.021145833336</v>
      </c>
      <c r="G155" s="7">
        <v>1</v>
      </c>
      <c r="H155" s="15" t="s">
        <v>301</v>
      </c>
      <c r="I155" s="15">
        <v>42642.045659722222</v>
      </c>
      <c r="J155" s="7">
        <v>0</v>
      </c>
      <c r="K155" s="117" t="str">
        <f t="shared" si="46"/>
        <v>4013/4014</v>
      </c>
      <c r="L155" s="24" t="str">
        <f>VLOOKUP(A155,'Trips&amp;Operators'!$C$1:$E$10000,3,FALSE)</f>
        <v>COOLAHAN</v>
      </c>
      <c r="M155" s="6">
        <f t="shared" si="47"/>
        <v>2.4513888885849155E-2</v>
      </c>
      <c r="N155" s="7">
        <f t="shared" si="43"/>
        <v>35.299999995622784</v>
      </c>
      <c r="O155" s="7"/>
      <c r="P155" s="7"/>
      <c r="Q155" s="25"/>
      <c r="R155" s="25"/>
      <c r="S155" s="37">
        <f t="shared" si="48"/>
        <v>1</v>
      </c>
      <c r="T155" s="52" t="str">
        <f t="shared" si="49"/>
        <v>NorthBound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23:26:00-0600',mode:absolute,to:'2016-09-29 02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5" s="54" t="str">
        <f t="shared" si="51"/>
        <v>N</v>
      </c>
      <c r="X155" s="164">
        <f t="shared" si="45"/>
        <v>1</v>
      </c>
      <c r="Y155" s="69">
        <f t="shared" si="52"/>
        <v>4.4400000000000002E-2</v>
      </c>
      <c r="Z155" s="69">
        <f t="shared" si="53"/>
        <v>23.3307</v>
      </c>
      <c r="AA155" s="69">
        <f t="shared" si="54"/>
        <v>23.286300000000001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55"/>
        <v>0243-28</v>
      </c>
      <c r="AE155" s="95" t="str">
        <f t="shared" si="56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55" s="92" t="str">
        <f t="shared" si="57"/>
        <v>"C:\Program Files (x86)\AstroGrep\AstroGrep.exe" /spath="%USERPROFILE%\AppData\Local\Temp\OnboardLogs" /stypes="app*4014*20160929*" /stext=" 07:.+((SYSTEM_STATE.+slice.+state.+changed )|(ment ac)|(system.+state.+changed )|(\[timeout)|(PRM\|1\|D)|(kpr)|(kdp)|(\|lc)|(penalty))" /e /r /s</v>
      </c>
      <c r="AG155" s="1" t="str">
        <f t="shared" si="58"/>
        <v>EC</v>
      </c>
      <c r="AH155" s="96" t="str">
        <f t="shared" si="59"/>
        <v>"%USERPROFILE%\Documents\GitHub\eaglep3\Utilities\RefineRTDCRunTimes.py" --tripid 243-28 --locoid 4014 --swversion DE.1.0.7.0 --startMP 204:444 --initTime 2016-09-29T00:26:00 --startdatetime 2016-09-29T00:30:27 --delay 1 --endMP 204:233307 --enddatetime 2016-09-29T01:05:45 --enforcementcount 0 &gt;&gt;C:\Users\stu\Documents\GitHub\eaglep3-reporting\EC\2016-09-28-refined-times.txt</v>
      </c>
      <c r="AI155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{"issue":{"subject":"","project_id":79,"tracker_id":40,"status_id":1,"priority_id":2,"assigned_to_id":23,"start_date":"2016-09-29","description":"","custom_fields":[{"id":1,"name":"Subdivision","value":"EC"},{"id":4,"name":"Milepost","value":"23.3307"},{"id":17,"name":"Train ID","value":"243-28"},{"id":16,"name":"Locomotive ID","value":"4014"},{"id":130,"name":"Impact","value":""},{"id":150,"name":"Time of Event (Mountain Time)","value":"01:05:45"},{"id":151,"name":"Denver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594</v>
      </c>
      <c r="B156" s="7">
        <v>4013</v>
      </c>
      <c r="C156" s="24" t="s">
        <v>106</v>
      </c>
      <c r="D156" s="24" t="s">
        <v>612</v>
      </c>
      <c r="E156" s="15">
        <v>42642.056388888886</v>
      </c>
      <c r="F156" s="15">
        <v>42642.060081018521</v>
      </c>
      <c r="G156" s="7">
        <v>2</v>
      </c>
      <c r="H156" s="15" t="s">
        <v>219</v>
      </c>
      <c r="I156" s="15">
        <v>42642.086412037039</v>
      </c>
      <c r="J156" s="7">
        <v>0</v>
      </c>
      <c r="K156" s="117" t="str">
        <f t="shared" si="46"/>
        <v>4013/4014</v>
      </c>
      <c r="L156" s="24" t="str">
        <f>VLOOKUP(A156,'Trips&amp;Operators'!$C$1:$E$10000,3,FALSE)</f>
        <v>COOLAHAN</v>
      </c>
      <c r="M156" s="6">
        <f t="shared" si="47"/>
        <v>2.6331018518249039E-2</v>
      </c>
      <c r="N156" s="7">
        <f t="shared" si="43"/>
        <v>37.916666666278616</v>
      </c>
      <c r="O156" s="7"/>
      <c r="P156" s="7"/>
      <c r="Q156" s="25"/>
      <c r="R156" s="25"/>
      <c r="S156" s="37">
        <f t="shared" si="48"/>
        <v>1</v>
      </c>
      <c r="T156" s="52" t="str">
        <f t="shared" si="49"/>
        <v>Southbound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https://search-rtdc-monitor-bjffxe2xuh6vdkpspy63sjmuny.us-east-1.es.amazonaws.com/_plugin/kibana/#/discover/Steve-Slow-Train-Analysis-(2080s-and-2083s)?_g=(refreshInterval:(display:Off,section:0,value:0),time:(from:'2016-09-29 00:21:12-0600',mode:absolute,to:'2016-09-29 03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6" s="54" t="str">
        <f t="shared" si="51"/>
        <v>N</v>
      </c>
      <c r="X156" s="164">
        <f t="shared" si="45"/>
        <v>1</v>
      </c>
      <c r="Y156" s="69">
        <f t="shared" si="52"/>
        <v>23.298400000000001</v>
      </c>
      <c r="Z156" s="69">
        <f t="shared" si="53"/>
        <v>1.4999999999999999E-2</v>
      </c>
      <c r="AA156" s="69">
        <f t="shared" si="54"/>
        <v>23.2834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55"/>
        <v>0244-28</v>
      </c>
      <c r="AE156" s="95" t="str">
        <f t="shared" si="56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56" s="92" t="str">
        <f t="shared" si="57"/>
        <v>"C:\Program Files (x86)\AstroGrep\AstroGrep.exe" /spath="%USERPROFILE%\AppData\Local\Temp\OnboardLogs" /stypes="app*4013*20160929*" /stext=" 08:.+((SYSTEM_STATE.+slice.+state.+changed )|(ment ac)|(system.+state.+changed )|(\[timeout)|(PRM\|1\|D)|(kpr)|(kdp)|(\|lc)|(penalty))" /e /r /s</v>
      </c>
      <c r="AG156" s="1" t="str">
        <f t="shared" si="58"/>
        <v>EC</v>
      </c>
      <c r="AH156" s="96" t="str">
        <f t="shared" si="59"/>
        <v>"%USERPROFILE%\Documents\GitHub\eaglep3\Utilities\RefineRTDCRunTimes.py" --tripid 244-28 --locoid 4013 --swversion DE.1.0.7.0 --startMP 204:232984 --initTime 2016-09-29T01:21:12 --startdatetime 2016-09-29T01:26:31 --delay 2 --endMP 204:150 --enddatetime 2016-09-29T02:04:26 --enforcementcount 0 &gt;&gt;C:\Users\stu\Documents\GitHub\eaglep3-reporting\EC\2016-09-28-refined-times.txt</v>
      </c>
      <c r="AI156" s="130" t="str">
        <f t="shared" si="60"/>
        <v>echo {"issue":{"subject":"","project_id":79,"tracker_id":40,"status_id":1,"priority_id":2,"assigned_to_id":23,"start_date":"2016-09-29","description":"","custom_fields":[{"id":1,"name":"Subdivision","value":"EC"},{"id":4,"name":"Milepost","value":"0.015"},{"id":17,"name":"Train ID","value":"244-28"},{"id":16,"name":"Locomotive ID","value":"4013"},{"id":130,"name":"Impact","value":""},{"id":150,"name":"Time of Event (Mountain Time)","value":"02:04:26"},{"id":151,"name":"Denver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390</v>
      </c>
      <c r="B157" s="7">
        <v>4030</v>
      </c>
      <c r="C157" s="24" t="s">
        <v>106</v>
      </c>
      <c r="D157" s="24" t="s">
        <v>695</v>
      </c>
      <c r="E157" s="15">
        <v>42641.215486111112</v>
      </c>
      <c r="F157" s="15">
        <v>42641.216967592591</v>
      </c>
      <c r="G157" s="7">
        <v>1</v>
      </c>
      <c r="H157" s="15" t="s">
        <v>365</v>
      </c>
      <c r="I157" s="15">
        <v>42641.227002314816</v>
      </c>
      <c r="J157" s="7">
        <v>0</v>
      </c>
      <c r="K157" s="117" t="str">
        <f t="shared" si="46"/>
        <v>4029/4030</v>
      </c>
      <c r="L157" s="24" t="str">
        <f>VLOOKUP(A157,'Trips&amp;Operators'!$C$1:$E$10000,3,FALSE)</f>
        <v>STARKS</v>
      </c>
      <c r="M157" s="6">
        <f t="shared" si="47"/>
        <v>1.0034722225100268E-2</v>
      </c>
      <c r="N157" s="7">
        <f t="shared" si="43"/>
        <v>14.450000004144385</v>
      </c>
      <c r="O157" s="7"/>
      <c r="P157" s="7"/>
      <c r="Q157" s="25"/>
      <c r="R157" s="25"/>
      <c r="S157" s="37">
        <f t="shared" si="48"/>
        <v>1</v>
      </c>
      <c r="T157" s="52" t="str">
        <f t="shared" si="49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04:10:18-0600',mode:absolute,to:'2016-09-28 06:26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7" s="54" t="str">
        <f t="shared" si="51"/>
        <v>N</v>
      </c>
      <c r="X157" s="164">
        <f t="shared" si="45"/>
        <v>556</v>
      </c>
      <c r="Y157" s="69">
        <f t="shared" si="52"/>
        <v>5.8604000000000003</v>
      </c>
      <c r="Z157" s="69">
        <f t="shared" si="53"/>
        <v>7.1199999999999999E-2</v>
      </c>
      <c r="AA157" s="69">
        <f t="shared" si="54"/>
        <v>5.7892000000000001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55"/>
        <v>0800-28</v>
      </c>
      <c r="AE157" s="95" t="str">
        <f t="shared" si="56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157" s="92" t="str">
        <f t="shared" si="57"/>
        <v>"C:\Program Files (x86)\AstroGrep\AstroGrep.exe" /spath="%USERPROFILE%\AppData\Local\Temp\OnboardLogs" /stypes="app*4030*20160928*" /stext=" 11:.+((SYSTEM_STATE.+slice.+state.+changed )|(ment ac)|(system.+state.+changed )|(\[timeout)|(PRM\|1\|D)|(kpr)|(kdp)|(\|lc)|(penalty))" /e /r /s</v>
      </c>
      <c r="AG157" s="1" t="str">
        <f t="shared" si="58"/>
        <v>NW</v>
      </c>
      <c r="AH157" s="96" t="str">
        <f t="shared" si="59"/>
        <v>"%USERPROFILE%\Documents\GitHub\eaglep3\Utilities\RefineRTDCRunTimes.py" --tripid 800-28 --locoid 4030 --swversion DE.1.0.7.0 --startMP 300:58604 --initTime 2016-09-28T05:10:18 --startdatetime 2016-09-28T05:12:26 --delay 1 --endMP 204:712 --enddatetime 2016-09-28T05:26:53 --enforcementcount 0 &gt;&gt;C:\Users\stu\Documents\GitHub\eaglep3-reporting\EC\2016-09-28-refined-times.txt</v>
      </c>
      <c r="AI157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{"issue":{"subject":"","project_id":79,"tracker_id":40,"status_id":1,"priority_id":2,"assigned_to_id":23,"start_date":"2016-09-28","description":"","custom_fields":[{"id":1,"name":"Subdivision","value":"NW"},{"id":4,"name":"Milepost","value":"0.0712"},{"id":17,"name":"Train ID","value":"800-28"},{"id":16,"name":"Locomotive ID","value":"4030"},{"id":130,"name":"Impact","value":""},{"id":150,"name":"Time of Event (Mountain Time)","value":"05:26:53"},{"id":151,"name":"Denver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397</v>
      </c>
      <c r="B158" s="7">
        <v>4030</v>
      </c>
      <c r="C158" s="24" t="s">
        <v>106</v>
      </c>
      <c r="D158" s="24" t="s">
        <v>360</v>
      </c>
      <c r="E158" s="15">
        <v>42641.257037037038</v>
      </c>
      <c r="F158" s="15">
        <v>42641.258668981478</v>
      </c>
      <c r="G158" s="7">
        <v>1</v>
      </c>
      <c r="H158" s="15" t="s">
        <v>696</v>
      </c>
      <c r="I158" s="15">
        <v>42641.269259259258</v>
      </c>
      <c r="J158" s="7">
        <v>0</v>
      </c>
      <c r="K158" s="117" t="str">
        <f t="shared" si="46"/>
        <v>4029/4030</v>
      </c>
      <c r="L158" s="24" t="str">
        <f>VLOOKUP(A158,'Trips&amp;Operators'!$C$1:$E$10000,3,FALSE)</f>
        <v>STARKS</v>
      </c>
      <c r="M158" s="6">
        <f t="shared" si="47"/>
        <v>1.0590277779556345E-2</v>
      </c>
      <c r="N158" s="7">
        <f t="shared" ref="N158:N174" si="61">24*60*SUM($M158:$M158)</f>
        <v>15.250000002561137</v>
      </c>
      <c r="O158" s="7"/>
      <c r="P158" s="7"/>
      <c r="Q158" s="25"/>
      <c r="R158" s="25"/>
      <c r="S158" s="37">
        <f t="shared" si="48"/>
        <v>1</v>
      </c>
      <c r="T158" s="52" t="str">
        <f t="shared" si="49"/>
        <v>Southbound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05:10:08-0600',mode:absolute,to:'2016-09-28 07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8" s="54" t="str">
        <f t="shared" si="51"/>
        <v>N</v>
      </c>
      <c r="X158" s="164">
        <f t="shared" ref="X158:X161" si="62">VALUE(LEFT(AD158,4))-VALUE(LEFT(AD157,4))</f>
        <v>2</v>
      </c>
      <c r="Y158" s="69">
        <f t="shared" si="52"/>
        <v>5.8605999999999998</v>
      </c>
      <c r="Z158" s="69">
        <f t="shared" si="53"/>
        <v>7.1300000000000002E-2</v>
      </c>
      <c r="AA158" s="69">
        <f t="shared" si="54"/>
        <v>5.7892999999999999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55"/>
        <v>0802-28</v>
      </c>
      <c r="AE158" s="95" t="str">
        <f t="shared" si="56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158" s="92" t="str">
        <f t="shared" si="57"/>
        <v>"C:\Program Files (x86)\AstroGrep\AstroGrep.exe" /spath="%USERPROFILE%\AppData\Local\Temp\OnboardLogs" /stypes="app*4030*20160928*" /stext=" 12:.+((SYSTEM_STATE.+slice.+state.+changed )|(ment ac)|(system.+state.+changed )|(\[timeout)|(PRM\|1\|D)|(kpr)|(kdp)|(\|lc)|(penalty))" /e /r /s</v>
      </c>
      <c r="AG158" s="1" t="str">
        <f t="shared" si="58"/>
        <v>NW</v>
      </c>
      <c r="AH158" s="96" t="str">
        <f t="shared" si="59"/>
        <v>"%USERPROFILE%\Documents\GitHub\eaglep3\Utilities\RefineRTDCRunTimes.py" --tripid 802-28 --locoid 4030 --swversion DE.1.0.7.0 --startMP 300:58606 --initTime 2016-09-28T06:10:08 --startdatetime 2016-09-28T06:12:29 --delay 1 --endMP 204:713 --enddatetime 2016-09-28T06:27:44 --enforcementcount 0 &gt;&gt;C:\Users\stu\Documents\GitHub\eaglep3-reporting\EC\2016-09-28-refined-times.txt</v>
      </c>
      <c r="AI158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{"issue":{"subject":"","project_id":79,"tracker_id":40,"status_id":1,"priority_id":2,"assigned_to_id":23,"start_date":"2016-09-28","description":"","custom_fields":[{"id":1,"name":"Subdivision","value":"NW"},{"id":4,"name":"Milepost","value":"0.0713"},{"id":17,"name":"Train ID","value":"802-28"},{"id":16,"name":"Locomotive ID","value":"4030"},{"id":130,"name":"Impact","value":""},{"id":150,"name":"Time of Event (Mountain Time)","value":"06:27:44"},{"id":151,"name":"Denver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404</v>
      </c>
      <c r="B159" s="7">
        <v>4016</v>
      </c>
      <c r="C159" s="24" t="s">
        <v>106</v>
      </c>
      <c r="D159" s="24" t="s">
        <v>311</v>
      </c>
      <c r="E159" s="15">
        <v>42641.257233796299</v>
      </c>
      <c r="F159" s="15">
        <v>42641.265104166669</v>
      </c>
      <c r="G159" s="7">
        <v>2</v>
      </c>
      <c r="H159" s="15" t="s">
        <v>361</v>
      </c>
      <c r="I159" s="15">
        <v>42641.275138888886</v>
      </c>
      <c r="J159" s="7">
        <v>0</v>
      </c>
      <c r="K159" s="117" t="str">
        <f t="shared" si="46"/>
        <v>4015/4016</v>
      </c>
      <c r="L159" s="24" t="str">
        <f>VLOOKUP(A159,'Trips&amp;Operators'!$C$1:$E$10000,3,FALSE)</f>
        <v>BEAM</v>
      </c>
      <c r="M159" s="6">
        <f t="shared" si="47"/>
        <v>1.003472221782431E-2</v>
      </c>
      <c r="N159" s="7">
        <f t="shared" si="61"/>
        <v>14.449999993667006</v>
      </c>
      <c r="O159" s="7"/>
      <c r="P159" s="7"/>
      <c r="Q159" s="25"/>
      <c r="R159" s="25"/>
      <c r="S159" s="37">
        <f t="shared" si="48"/>
        <v>1</v>
      </c>
      <c r="T159" s="52" t="str">
        <f t="shared" si="49"/>
        <v>NorthBound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05:10:25-0600',mode:absolute,to:'2016-09-28 07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9" s="54" t="str">
        <f t="shared" si="51"/>
        <v>N</v>
      </c>
      <c r="X159" s="164">
        <f t="shared" si="62"/>
        <v>1</v>
      </c>
      <c r="Y159" s="69">
        <f t="shared" si="52"/>
        <v>9.8799999999999999E-2</v>
      </c>
      <c r="Z159" s="69">
        <f t="shared" si="53"/>
        <v>5.8933</v>
      </c>
      <c r="AA159" s="69">
        <f t="shared" si="54"/>
        <v>5.7945000000000002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55"/>
        <v>0803-28</v>
      </c>
      <c r="AE159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59" s="92" t="str">
        <f t="shared" si="57"/>
        <v>"C:\Program Files (x86)\AstroGrep\AstroGrep.exe" /spath="%USERPROFILE%\AppData\Local\Temp\OnboardLogs" /stypes="app*4016*20160928*" /stext=" 12:.+((SYSTEM_STATE.+slice.+state.+changed )|(ment ac)|(system.+state.+changed )|(\[timeout)|(PRM\|1\|D)|(kpr)|(kdp)|(\|lc)|(penalty))" /e /r /s</v>
      </c>
      <c r="AG159" s="1" t="str">
        <f t="shared" si="58"/>
        <v>NW</v>
      </c>
      <c r="AH159" s="96" t="str">
        <f t="shared" si="59"/>
        <v>"%USERPROFILE%\Documents\GitHub\eaglep3\Utilities\RefineRTDCRunTimes.py" --tripid 803-28 --locoid 4016 --swversion DE.1.0.7.0 --startMP 204:988 --initTime 2016-09-28T06:10:25 --startdatetime 2016-09-28T06:21:45 --delay 2 --endMP 300:58933 --enddatetime 2016-09-28T06:36:12 --enforcementcount 0 &gt;&gt;C:\Users\stu\Documents\GitHub\eaglep3-reporting\EC\2016-09-28-refined-times.txt</v>
      </c>
      <c r="AI159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{"issue":{"subject":"","project_id":79,"tracker_id":40,"status_id":1,"priority_id":2,"assigned_to_id":23,"start_date":"2016-09-28","description":"","custom_fields":[{"id":1,"name":"Subdivision","value":"NW"},{"id":4,"name":"Milepost","value":"5.8933"},{"id":17,"name":"Train ID","value":"803-28"},{"id":16,"name":"Locomotive ID","value":"4016"},{"id":130,"name":"Impact","value":""},{"id":150,"name":"Time of Event (Mountain Time)","value":"06:36:12"},{"id":151,"name":"Denver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408</v>
      </c>
      <c r="B160" s="7">
        <v>4015</v>
      </c>
      <c r="C160" s="24" t="s">
        <v>106</v>
      </c>
      <c r="D160" s="24" t="s">
        <v>312</v>
      </c>
      <c r="E160" s="15">
        <v>42641.279479166667</v>
      </c>
      <c r="F160" s="15">
        <v>42641.280682870369</v>
      </c>
      <c r="G160" s="7">
        <v>1</v>
      </c>
      <c r="H160" s="15" t="s">
        <v>697</v>
      </c>
      <c r="I160" s="15">
        <v>42641.289699074077</v>
      </c>
      <c r="J160" s="7">
        <v>0</v>
      </c>
      <c r="K160" s="117" t="str">
        <f t="shared" si="46"/>
        <v>4015/4016</v>
      </c>
      <c r="L160" s="24" t="str">
        <f>VLOOKUP(A160,'Trips&amp;Operators'!$C$1:$E$10000,3,FALSE)</f>
        <v>BEAM</v>
      </c>
      <c r="M160" s="6">
        <f t="shared" si="47"/>
        <v>9.0162037085974589E-3</v>
      </c>
      <c r="N160" s="7">
        <f t="shared" si="61"/>
        <v>12.983333340380341</v>
      </c>
      <c r="O160" s="7"/>
      <c r="P160" s="7"/>
      <c r="Q160" s="25"/>
      <c r="R160" s="25" t="s">
        <v>765</v>
      </c>
      <c r="S160" s="37">
        <f t="shared" si="48"/>
        <v>1</v>
      </c>
      <c r="T160" s="52" t="str">
        <f t="shared" si="49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05:42:27-0600',mode:absolute,to:'2016-09-28 07:57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60" s="54" t="str">
        <f t="shared" si="51"/>
        <v>N</v>
      </c>
      <c r="X160" s="164">
        <f t="shared" si="62"/>
        <v>1</v>
      </c>
      <c r="Y160" s="69">
        <f t="shared" si="52"/>
        <v>5.8609</v>
      </c>
      <c r="Z160" s="69">
        <f t="shared" si="53"/>
        <v>9.4299999999999995E-2</v>
      </c>
      <c r="AA160" s="69">
        <f t="shared" si="54"/>
        <v>5.7666000000000004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55"/>
        <v>0804-28</v>
      </c>
      <c r="AE160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60" s="92" t="str">
        <f t="shared" si="57"/>
        <v>"C:\Program Files (x86)\AstroGrep\AstroGrep.exe" /spath="%USERPROFILE%\AppData\Local\Temp\OnboardLogs" /stypes="app*4015*20160928*" /stext=" 12:.+((SYSTEM_STATE.+slice.+state.+changed )|(ment ac)|(system.+state.+changed )|(\[timeout)|(PRM\|1\|D)|(kpr)|(kdp)|(\|lc)|(penalty))" /e /r /s</v>
      </c>
      <c r="AG160" s="1" t="str">
        <f t="shared" si="58"/>
        <v>NW</v>
      </c>
      <c r="AH160" s="96" t="str">
        <f t="shared" si="59"/>
        <v>"%USERPROFILE%\Documents\GitHub\eaglep3\Utilities\RefineRTDCRunTimes.py" --tripid 804-28 --locoid 4015 --swversion DE.1.0.7.0 --startMP 300:58609 --initTime 2016-09-28T06:42:27 --startdatetime 2016-09-28T06:44:11 --delay 1 --endMP 204:943 --enddatetime 2016-09-28T06:57:10 --enforcementcount 0 &gt;&gt;C:\Users\stu\Documents\GitHub\eaglep3-reporting\EC\2016-09-28-refined-times.txt</v>
      </c>
      <c r="AI160" s="130" t="str">
        <f t="shared" si="60"/>
        <v>echo {"issue":{"subject":"Had to re-init due to triplex issue at init, but other than that a good run","project_id":79,"tracker_id":40,"status_id":1,"priority_id":2,"assigned_to_id":23,"start_date":"2016-09-28","description":"","custom_fields":[{"id":1,"name":"Subdivision","value":"NW"},{"id":4,"name":"Milepost","value":"0.0943"},{"id":17,"name":"Train ID","value":"804-28"},{"id":16,"name":"Locomotive ID","value":"4015"},{"id":130,"name":"Impact","value":""},{"id":150,"name":"Time of Event (Mountain Time)","value":"06:57:10"},{"id":151,"name":"Denver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398</v>
      </c>
      <c r="B161" s="7">
        <v>4029</v>
      </c>
      <c r="C161" s="24" t="s">
        <v>106</v>
      </c>
      <c r="D161" s="24" t="s">
        <v>357</v>
      </c>
      <c r="E161" s="15">
        <v>42641.241435185184</v>
      </c>
      <c r="F161" s="15">
        <v>42641.243935185186</v>
      </c>
      <c r="G161" s="7">
        <v>1</v>
      </c>
      <c r="H161" s="15" t="s">
        <v>359</v>
      </c>
      <c r="I161" s="15">
        <v>42641.255300925928</v>
      </c>
      <c r="J161" s="7">
        <v>0</v>
      </c>
      <c r="K161" s="117" t="str">
        <f t="shared" si="46"/>
        <v>4029/4030</v>
      </c>
      <c r="L161" s="24" t="str">
        <f>VLOOKUP(A161,'Trips&amp;Operators'!$C$1:$E$10000,3,FALSE)</f>
        <v>STARKS</v>
      </c>
      <c r="M161" s="6">
        <f t="shared" si="47"/>
        <v>1.1365740741894115E-2</v>
      </c>
      <c r="N161" s="7">
        <f t="shared" si="61"/>
        <v>16.366666668327525</v>
      </c>
      <c r="O161" s="7"/>
      <c r="P161" s="7"/>
      <c r="Q161" s="25"/>
      <c r="R161" s="25" t="s">
        <v>768</v>
      </c>
      <c r="S161" s="37">
        <f t="shared" si="48"/>
        <v>1</v>
      </c>
      <c r="T161" s="52" t="str">
        <f t="shared" si="49"/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04:47:40-0600',mode:absolute,to:'2016-09-28 07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1" s="54" t="str">
        <f t="shared" si="51"/>
        <v>N</v>
      </c>
      <c r="X161" s="164">
        <f t="shared" si="62"/>
        <v>1</v>
      </c>
      <c r="Y161" s="69">
        <f t="shared" si="52"/>
        <v>0.1013</v>
      </c>
      <c r="Z161" s="69">
        <f t="shared" si="53"/>
        <v>5.8930999999999996</v>
      </c>
      <c r="AA161" s="69">
        <f t="shared" si="54"/>
        <v>5.7917999999999994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55"/>
        <v>0805-28</v>
      </c>
      <c r="AE161" s="95" t="str">
        <f t="shared" si="56"/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AF161" s="92" t="str">
        <f t="shared" si="57"/>
        <v>"C:\Program Files (x86)\AstroGrep\AstroGrep.exe" /spath="%USERPROFILE%\AppData\Local\Temp\OnboardLogs" /stypes="app*4029*20160928*" /stext=" 12:.+((SYSTEM_STATE.+slice.+state.+changed )|(ment ac)|(system.+state.+changed )|(\[timeout)|(PRM\|1\|D)|(kpr)|(kdp)|(\|lc)|(penalty))" /e /r /s</v>
      </c>
      <c r="AG161" s="1" t="str">
        <f t="shared" si="58"/>
        <v>NW</v>
      </c>
      <c r="AH161" s="96" t="str">
        <f t="shared" si="59"/>
        <v>"%USERPROFILE%\Documents\GitHub\eaglep3\Utilities\RefineRTDCRunTimes.py" --tripid 805-28 --locoid 4029 --swversion DE.1.0.7.0 --startMP 204:1013 --initTime 2016-09-28T05:47:40 --startdatetime 2016-09-28T05:51:16 --delay 1 --endMP 300:58931 --enddatetime 2016-09-28T06:07:38 --enforcementcount 0 &gt;&gt;C:\Users\stu\Documents\GitHub\eaglep3-reporting\EC\2016-09-28-refined-times.txt</v>
      </c>
      <c r="AI161" s="130" t="str">
        <f t="shared" si="60"/>
        <v>echo {"issue":{"subject":"Should have been 801-28","project_id":79,"tracker_id":40,"status_id":1,"priority_id":2,"assigned_to_id":23,"start_date":"2016-09-28","description":"","custom_fields":[{"id":1,"name":"Subdivision","value":"NW"},{"id":4,"name":"Milepost","value":"5.8931"},{"id":17,"name":"Train ID","value":"805-28"},{"id":16,"name":"Locomotive ID","value":"4029"},{"id":130,"name":"Impact","value":""},{"id":150,"name":"Time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398</v>
      </c>
      <c r="B162" s="7">
        <v>4029</v>
      </c>
      <c r="C162" s="24" t="s">
        <v>106</v>
      </c>
      <c r="D162" s="24" t="s">
        <v>698</v>
      </c>
      <c r="E162" s="15">
        <v>42641.281574074077</v>
      </c>
      <c r="F162" s="15">
        <v>42641.285601851851</v>
      </c>
      <c r="G162" s="7">
        <v>1</v>
      </c>
      <c r="H162" s="15" t="s">
        <v>356</v>
      </c>
      <c r="I162" s="15">
        <v>42641.294942129629</v>
      </c>
      <c r="J162" s="7">
        <v>0</v>
      </c>
      <c r="K162" s="117" t="str">
        <f t="shared" si="46"/>
        <v>4029/4030</v>
      </c>
      <c r="L162" s="24" t="str">
        <f>VLOOKUP(A162,'Trips&amp;Operators'!$C$1:$E$10000,3,FALSE)</f>
        <v>STARKS</v>
      </c>
      <c r="M162" s="6">
        <f t="shared" si="47"/>
        <v>9.340277778392192E-3</v>
      </c>
      <c r="N162" s="7">
        <f t="shared" si="61"/>
        <v>13.450000000884756</v>
      </c>
      <c r="O162" s="7"/>
      <c r="P162" s="7"/>
      <c r="Q162" s="25"/>
      <c r="R162" s="25" t="s">
        <v>767</v>
      </c>
      <c r="S162" s="37">
        <f t="shared" si="48"/>
        <v>1</v>
      </c>
      <c r="T162" s="52" t="str">
        <f t="shared" si="49"/>
        <v>NorthBound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05:45:28-0600',mode:absolute,to:'2016-09-28 08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2" s="54" t="str">
        <f t="shared" si="51"/>
        <v>N</v>
      </c>
      <c r="X162" s="164">
        <f t="shared" ref="X162:X165" si="63">VALUE(LEFT(AD162,4))-VALUE(LEFT(AD161,4))</f>
        <v>0</v>
      </c>
      <c r="Y162" s="69">
        <f t="shared" si="52"/>
        <v>9.9299999999999999E-2</v>
      </c>
      <c r="Z162" s="69">
        <f t="shared" si="53"/>
        <v>5.8936999999999999</v>
      </c>
      <c r="AA162" s="69">
        <f t="shared" si="54"/>
        <v>5.7943999999999996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55"/>
        <v>0805-28</v>
      </c>
      <c r="AE162" s="95" t="str">
        <f t="shared" si="56"/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AF162" s="92" t="str">
        <f t="shared" si="57"/>
        <v>"C:\Program Files (x86)\AstroGrep\AstroGrep.exe" /spath="%USERPROFILE%\AppData\Local\Temp\OnboardLogs" /stypes="app*4029*20160928*" /stext=" 13:.+((SYSTEM_STATE.+slice.+state.+changed )|(ment ac)|(system.+state.+changed )|(\[timeout)|(PRM\|1\|D)|(kpr)|(kdp)|(\|lc)|(penalty))" /e /r /s</v>
      </c>
      <c r="AG162" s="1" t="str">
        <f t="shared" si="58"/>
        <v>NW</v>
      </c>
      <c r="AH162" s="96" t="str">
        <f t="shared" si="59"/>
        <v>"%USERPROFILE%\Documents\GitHub\eaglep3\Utilities\RefineRTDCRunTimes.py" --tripid 805-28 --locoid 4029 --swversion DE.1.0.7.0 --startMP 204:993 --initTime 2016-09-28T06:45:28 --startdatetime 2016-09-28T06:51:16 --delay 1 --endMP 300:58937 --enddatetime 2016-09-28T07:04:43 --enforcementcount 0 &gt;&gt;C:\Users\stu\Documents\GitHub\eaglep3-reporting\EC\2016-09-28-refined-times.txt</v>
      </c>
      <c r="AI162" s="130" t="str">
        <f t="shared" si="60"/>
        <v>echo {"issue":{"subject":"Two different trips under the same trip number","project_id":79,"tracker_id":40,"status_id":1,"priority_id":2,"assigned_to_id":23,"start_date":"2016-09-28","description":"","custom_fields":[{"id":1,"name":"Subdivision","value":"NW"},{"id":4,"name":"Milepost","value":"5.8937"},{"id":17,"name":"Train ID","value":"805-28"},{"id":16,"name":"Locomotive ID","value":"4029"},{"id":130,"name":"Impact","value":""},{"id":150,"name":"Time of Event (Mountain Time)","value":"07:04:43"},{"id":151,"name":"Denver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413</v>
      </c>
      <c r="B163" s="7">
        <v>4030</v>
      </c>
      <c r="C163" s="24" t="s">
        <v>106</v>
      </c>
      <c r="D163" s="24" t="s">
        <v>354</v>
      </c>
      <c r="E163" s="15">
        <v>42641.297291666669</v>
      </c>
      <c r="F163" s="15">
        <v>42641.298425925925</v>
      </c>
      <c r="G163" s="7">
        <v>1</v>
      </c>
      <c r="H163" s="15" t="s">
        <v>699</v>
      </c>
      <c r="I163" s="15">
        <v>42641.309803240743</v>
      </c>
      <c r="J163" s="7">
        <v>0</v>
      </c>
      <c r="K163" s="117" t="str">
        <f t="shared" si="46"/>
        <v>4029/4030</v>
      </c>
      <c r="L163" s="24" t="str">
        <f>VLOOKUP(A163,'Trips&amp;Operators'!$C$1:$E$10000,3,FALSE)</f>
        <v>STARKS</v>
      </c>
      <c r="M163" s="6">
        <f t="shared" si="47"/>
        <v>1.1377314818673767E-2</v>
      </c>
      <c r="N163" s="7">
        <f t="shared" si="61"/>
        <v>16.383333338890225</v>
      </c>
      <c r="O163" s="7"/>
      <c r="P163" s="7"/>
      <c r="Q163" s="25"/>
      <c r="R163" s="25"/>
      <c r="S163" s="37">
        <f t="shared" si="48"/>
        <v>1</v>
      </c>
      <c r="T163" s="52" t="str">
        <f t="shared" si="49"/>
        <v>Southbound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06:08:06-0600',mode:absolute,to:'2016-09-28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3" s="54" t="str">
        <f t="shared" si="51"/>
        <v>N</v>
      </c>
      <c r="X163" s="164">
        <f t="shared" si="63"/>
        <v>1</v>
      </c>
      <c r="Y163" s="69">
        <f t="shared" si="52"/>
        <v>5.8623000000000003</v>
      </c>
      <c r="Z163" s="69">
        <f t="shared" si="53"/>
        <v>7.0599999999999996E-2</v>
      </c>
      <c r="AA163" s="69">
        <f t="shared" si="54"/>
        <v>5.7917000000000005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55"/>
        <v>0806-28</v>
      </c>
      <c r="AE163" s="95" t="str">
        <f t="shared" si="56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163" s="92" t="str">
        <f t="shared" si="57"/>
        <v>"C:\Program Files (x86)\AstroGrep\AstroGrep.exe" /spath="%USERPROFILE%\AppData\Local\Temp\OnboardLogs" /stypes="app*4030*20160928*" /stext=" 13:.+((SYSTEM_STATE.+slice.+state.+changed )|(ment ac)|(system.+state.+changed )|(\[timeout)|(PRM\|1\|D)|(kpr)|(kdp)|(\|lc)|(penalty))" /e /r /s</v>
      </c>
      <c r="AG163" s="1" t="str">
        <f t="shared" si="58"/>
        <v>NW</v>
      </c>
      <c r="AH163" s="96" t="str">
        <f t="shared" si="59"/>
        <v>"%USERPROFILE%\Documents\GitHub\eaglep3\Utilities\RefineRTDCRunTimes.py" --tripid 806-28 --locoid 4030 --swversion DE.1.0.7.0 --startMP 300:58623 --initTime 2016-09-28T07:08:06 --startdatetime 2016-09-28T07:09:44 --delay 1 --endMP 204:706 --enddatetime 2016-09-28T07:26:07 --enforcementcount 0 &gt;&gt;C:\Users\stu\Documents\GitHub\eaglep3-reporting\EC\2016-09-28-refined-times.txt</v>
      </c>
      <c r="AI163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{"issue":{"subject":"","project_id":79,"tracker_id":40,"status_id":1,"priority_id":2,"assigned_to_id":23,"start_date":"2016-09-28","description":"","custom_fields":[{"id":1,"name":"Subdivision","value":"NW"},{"id":4,"name":"Milepost","value":"0.0706"},{"id":17,"name":"Train ID","value":"806-28"},{"id":16,"name":"Locomotive ID","value":"4030"},{"id":130,"name":"Impact","value":""},{"id":150,"name":"Time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416</v>
      </c>
      <c r="B164" s="7">
        <v>4016</v>
      </c>
      <c r="C164" s="24" t="s">
        <v>106</v>
      </c>
      <c r="D164" s="24" t="s">
        <v>700</v>
      </c>
      <c r="E164" s="15">
        <v>42641.304618055554</v>
      </c>
      <c r="F164" s="15">
        <v>42641.306400462963</v>
      </c>
      <c r="G164" s="7">
        <v>1</v>
      </c>
      <c r="H164" s="15" t="s">
        <v>701</v>
      </c>
      <c r="I164" s="15">
        <v>42641.316435185188</v>
      </c>
      <c r="J164" s="7">
        <v>0</v>
      </c>
      <c r="K164" s="117" t="str">
        <f t="shared" si="46"/>
        <v>4015/4016</v>
      </c>
      <c r="L164" s="24" t="str">
        <f>VLOOKUP(A164,'Trips&amp;Operators'!$C$1:$E$10000,3,FALSE)</f>
        <v>BEAM</v>
      </c>
      <c r="M164" s="6">
        <f t="shared" si="47"/>
        <v>1.0034722225100268E-2</v>
      </c>
      <c r="N164" s="7">
        <f t="shared" si="61"/>
        <v>14.450000004144385</v>
      </c>
      <c r="O164" s="7"/>
      <c r="P164" s="7"/>
      <c r="Q164" s="25"/>
      <c r="R164" s="25"/>
      <c r="S164" s="37">
        <f t="shared" si="48"/>
        <v>1</v>
      </c>
      <c r="T164" s="52" t="str">
        <f t="shared" si="49"/>
        <v>NorthBound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06:18:39-0600',mode:absolute,to:'2016-09-28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64" s="54" t="str">
        <f t="shared" si="51"/>
        <v>N</v>
      </c>
      <c r="X164" s="164">
        <f t="shared" si="63"/>
        <v>1</v>
      </c>
      <c r="Y164" s="69">
        <f t="shared" si="52"/>
        <v>0.124</v>
      </c>
      <c r="Z164" s="69">
        <f t="shared" si="53"/>
        <v>5.9002999999999997</v>
      </c>
      <c r="AA164" s="69">
        <f t="shared" si="54"/>
        <v>5.7763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55"/>
        <v>0807-28</v>
      </c>
      <c r="AE164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64" s="92" t="str">
        <f t="shared" si="57"/>
        <v>"C:\Program Files (x86)\AstroGrep\AstroGrep.exe" /spath="%USERPROFILE%\AppData\Local\Temp\OnboardLogs" /stypes="app*4016*20160928*" /stext=" 13:.+((SYSTEM_STATE.+slice.+state.+changed )|(ment ac)|(system.+state.+changed )|(\[timeout)|(PRM\|1\|D)|(kpr)|(kdp)|(\|lc)|(penalty))" /e /r /s</v>
      </c>
      <c r="AG164" s="1" t="str">
        <f t="shared" si="58"/>
        <v>NW</v>
      </c>
      <c r="AH164" s="96" t="str">
        <f t="shared" si="59"/>
        <v>"%USERPROFILE%\Documents\GitHub\eaglep3\Utilities\RefineRTDCRunTimes.py" --tripid 807-28 --locoid 4016 --swversion DE.1.0.7.0 --startMP 204:1240 --initTime 2016-09-28T07:18:39 --startdatetime 2016-09-28T07:21:13 --delay 1 --endMP 300:59003 --enddatetime 2016-09-28T07:35:40 --enforcementcount 0 &gt;&gt;C:\Users\stu\Documents\GitHub\eaglep3-reporting\EC\2016-09-28-refined-times.txt</v>
      </c>
      <c r="AI164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{"issue":{"subject":"","project_id":79,"tracker_id":40,"status_id":1,"priority_id":2,"assigned_to_id":23,"start_date":"2016-09-28","description":"","custom_fields":[{"id":1,"name":"Subdivision","value":"NW"},{"id":4,"name":"Milepost","value":"5.9003"},{"id":17,"name":"Train ID","value":"807-28"},{"id":16,"name":"Locomotive ID","value":"4016"},{"id":130,"name":"Impact","value":""},{"id":150,"name":"Time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420</v>
      </c>
      <c r="B165" s="7">
        <v>4015</v>
      </c>
      <c r="C165" s="24" t="s">
        <v>106</v>
      </c>
      <c r="D165" s="24" t="s">
        <v>702</v>
      </c>
      <c r="E165" s="15">
        <v>42641.317835648151</v>
      </c>
      <c r="F165" s="15">
        <v>42641.319201388891</v>
      </c>
      <c r="G165" s="7">
        <v>1</v>
      </c>
      <c r="H165" s="15" t="s">
        <v>703</v>
      </c>
      <c r="I165" s="15">
        <v>42641.331041666665</v>
      </c>
      <c r="J165" s="7">
        <v>0</v>
      </c>
      <c r="K165" s="117" t="str">
        <f t="shared" si="46"/>
        <v>4015/4016</v>
      </c>
      <c r="L165" s="24" t="str">
        <f>VLOOKUP(A165,'Trips&amp;Operators'!$C$1:$E$10000,3,FALSE)</f>
        <v>BEAM</v>
      </c>
      <c r="M165" s="6">
        <f t="shared" si="47"/>
        <v>1.1840277773444541E-2</v>
      </c>
      <c r="N165" s="7">
        <f t="shared" si="61"/>
        <v>17.049999993760139</v>
      </c>
      <c r="O165" s="7"/>
      <c r="P165" s="7"/>
      <c r="Q165" s="25"/>
      <c r="R165" s="25"/>
      <c r="S165" s="37">
        <f t="shared" si="48"/>
        <v>1</v>
      </c>
      <c r="T165" s="52" t="str">
        <f t="shared" si="49"/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06:37:41-0600',mode:absolute,to:'2016-09-28 08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65" s="54" t="str">
        <f t="shared" si="51"/>
        <v>N</v>
      </c>
      <c r="X165" s="164">
        <f t="shared" si="63"/>
        <v>1</v>
      </c>
      <c r="Y165" s="69">
        <f t="shared" si="52"/>
        <v>5.8686999999999996</v>
      </c>
      <c r="Z165" s="69">
        <f t="shared" si="53"/>
        <v>7.7799999999999994E-2</v>
      </c>
      <c r="AA165" s="69">
        <f t="shared" si="54"/>
        <v>5.7908999999999997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55"/>
        <v>0808-28</v>
      </c>
      <c r="AE165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65" s="92" t="str">
        <f t="shared" si="57"/>
        <v>"C:\Program Files (x86)\AstroGrep\AstroGrep.exe" /spath="%USERPROFILE%\AppData\Local\Temp\OnboardLogs" /stypes="app*4015*20160928*" /stext=" 13:.+((SYSTEM_STATE.+slice.+state.+changed )|(ment ac)|(system.+state.+changed )|(\[timeout)|(PRM\|1\|D)|(kpr)|(kdp)|(\|lc)|(penalty))" /e /r /s</v>
      </c>
      <c r="AG165" s="1" t="str">
        <f t="shared" si="58"/>
        <v>NW</v>
      </c>
      <c r="AH165" s="96" t="str">
        <f t="shared" si="59"/>
        <v>"%USERPROFILE%\Documents\GitHub\eaglep3\Utilities\RefineRTDCRunTimes.py" --tripid 808-28 --locoid 4015 --swversion DE.1.0.7.0 --startMP 300:58687 --initTime 2016-09-28T07:37:41 --startdatetime 2016-09-28T07:39:39 --delay 1 --endMP 204:778 --enddatetime 2016-09-28T07:56:42 --enforcementcount 0 &gt;&gt;C:\Users\stu\Documents\GitHub\eaglep3-reporting\EC\2016-09-28-refined-times.txt</v>
      </c>
      <c r="AI165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{"issue":{"subject":"","project_id":79,"tracker_id":40,"status_id":1,"priority_id":2,"assigned_to_id":23,"start_date":"2016-09-28","description":"","custom_fields":[{"id":1,"name":"Subdivision","value":"NW"},{"id":4,"name":"Milepost","value":"0.0778"},{"id":17,"name":"Train ID","value":"808-28"},{"id":16,"name":"Locomotive ID","value":"4015"},{"id":130,"name":"Impact","value":""},{"id":150,"name":"Time of Event (Mountain Time)","value":"07:56:42"},{"id":151,"name":"Denver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422</v>
      </c>
      <c r="B166" s="7">
        <v>4029</v>
      </c>
      <c r="C166" s="24" t="s">
        <v>106</v>
      </c>
      <c r="D166" s="24" t="s">
        <v>704</v>
      </c>
      <c r="E166" s="15">
        <v>42641.321099537039</v>
      </c>
      <c r="F166" s="15">
        <v>42641.328113425923</v>
      </c>
      <c r="G166" s="7">
        <v>1</v>
      </c>
      <c r="H166" s="15" t="s">
        <v>705</v>
      </c>
      <c r="I166" s="15">
        <v>42641.33761574074</v>
      </c>
      <c r="J166" s="7">
        <v>0</v>
      </c>
      <c r="K166" s="117" t="str">
        <f t="shared" si="46"/>
        <v>4029/4030</v>
      </c>
      <c r="L166" s="24" t="str">
        <f>VLOOKUP(A166,'Trips&amp;Operators'!$C$1:$E$10000,3,FALSE)</f>
        <v>STARKS</v>
      </c>
      <c r="M166" s="6">
        <f t="shared" si="47"/>
        <v>9.5023148169275373E-3</v>
      </c>
      <c r="N166" s="7">
        <f t="shared" si="61"/>
        <v>13.683333336375654</v>
      </c>
      <c r="O166" s="7"/>
      <c r="P166" s="7"/>
      <c r="Q166" s="25"/>
      <c r="R166" s="25"/>
      <c r="S166" s="37">
        <f t="shared" si="48"/>
        <v>1</v>
      </c>
      <c r="T166" s="52" t="str">
        <f t="shared" si="49"/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06:42:23-0600',mode:absolute,to:'2016-09-28 09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6" s="54" t="str">
        <f t="shared" si="51"/>
        <v>N</v>
      </c>
      <c r="X166" s="164">
        <f t="shared" ref="X166:X197" si="64">VALUE(LEFT(AD166,4))-VALUE(LEFT(AD165,4))</f>
        <v>1</v>
      </c>
      <c r="Y166" s="69">
        <f t="shared" si="52"/>
        <v>9.9199999999999997E-2</v>
      </c>
      <c r="Z166" s="69">
        <f t="shared" si="53"/>
        <v>5.8945999999999996</v>
      </c>
      <c r="AA166" s="69">
        <f t="shared" si="54"/>
        <v>5.7953999999999999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55"/>
        <v>0809-28</v>
      </c>
      <c r="AE166" s="95" t="str">
        <f t="shared" si="56"/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AF166" s="92" t="str">
        <f t="shared" si="57"/>
        <v>"C:\Program Files (x86)\AstroGrep\AstroGrep.exe" /spath="%USERPROFILE%\AppData\Local\Temp\OnboardLogs" /stypes="app*4029*20160928*" /stext=" 14:.+((SYSTEM_STATE.+slice.+state.+changed )|(ment ac)|(system.+state.+changed )|(\[timeout)|(PRM\|1\|D)|(kpr)|(kdp)|(\|lc)|(penalty))" /e /r /s</v>
      </c>
      <c r="AG166" s="1" t="str">
        <f t="shared" si="58"/>
        <v>NW</v>
      </c>
      <c r="AH166" s="96" t="str">
        <f t="shared" si="59"/>
        <v>"%USERPROFILE%\Documents\GitHub\eaglep3\Utilities\RefineRTDCRunTimes.py" --tripid 809-28 --locoid 4029 --swversion DE.1.0.7.0 --startMP 204:992 --initTime 2016-09-28T07:42:23 --startdatetime 2016-09-28T07:52:29 --delay 1 --endMP 300:58946 --enddatetime 2016-09-28T08:06:10 --enforcementcount 0 &gt;&gt;C:\Users\stu\Documents\GitHub\eaglep3-reporting\EC\2016-09-28-refined-times.txt</v>
      </c>
      <c r="AI166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{"issue":{"subject":"","project_id":79,"tracker_id":40,"status_id":1,"priority_id":2,"assigned_to_id":23,"start_date":"2016-09-28","description":"","custom_fields":[{"id":1,"name":"Subdivision","value":"NW"},{"id":4,"name":"Milepost","value":"5.8946"},{"id":17,"name":"Train ID","value":"809-28"},{"id":16,"name":"Locomotive ID","value":"4029"},{"id":130,"name":"Impact","value":""},{"id":150,"name":"Time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426</v>
      </c>
      <c r="B167" s="7">
        <v>4030</v>
      </c>
      <c r="C167" s="24" t="s">
        <v>106</v>
      </c>
      <c r="D167" s="24" t="s">
        <v>706</v>
      </c>
      <c r="E167" s="15">
        <v>42641.338333333333</v>
      </c>
      <c r="F167" s="15">
        <v>42641.341261574074</v>
      </c>
      <c r="G167" s="7">
        <v>1</v>
      </c>
      <c r="H167" s="15" t="s">
        <v>355</v>
      </c>
      <c r="I167" s="15">
        <v>42641.351469907408</v>
      </c>
      <c r="J167" s="7">
        <v>0</v>
      </c>
      <c r="K167" s="117" t="str">
        <f t="shared" si="46"/>
        <v>4029/4030</v>
      </c>
      <c r="L167" s="24" t="str">
        <f>VLOOKUP(A167,'Trips&amp;Operators'!$C$1:$E$10000,3,FALSE)</f>
        <v>STARKS</v>
      </c>
      <c r="M167" s="6">
        <f t="shared" si="47"/>
        <v>1.0208333333139308E-2</v>
      </c>
      <c r="N167" s="7">
        <f t="shared" si="61"/>
        <v>14.699999999720603</v>
      </c>
      <c r="O167" s="7"/>
      <c r="P167" s="7"/>
      <c r="Q167" s="25"/>
      <c r="R167" s="25"/>
      <c r="S167" s="37">
        <f t="shared" si="48"/>
        <v>1</v>
      </c>
      <c r="T167" s="52" t="str">
        <f t="shared" si="49"/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07:07:12-0600',mode:absolute,to:'2016-09-28 09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7" s="54" t="str">
        <f t="shared" si="51"/>
        <v>N</v>
      </c>
      <c r="X167" s="164">
        <f t="shared" si="64"/>
        <v>1</v>
      </c>
      <c r="Y167" s="69">
        <f t="shared" si="52"/>
        <v>5.8630000000000004</v>
      </c>
      <c r="Z167" s="69">
        <f t="shared" si="53"/>
        <v>7.22E-2</v>
      </c>
      <c r="AA167" s="69">
        <f t="shared" si="54"/>
        <v>5.7908000000000008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55"/>
        <v>0810-28</v>
      </c>
      <c r="AE167" s="95" t="str">
        <f t="shared" si="56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167" s="92" t="str">
        <f t="shared" si="57"/>
        <v>"C:\Program Files (x86)\AstroGrep\AstroGrep.exe" /spath="%USERPROFILE%\AppData\Local\Temp\OnboardLogs" /stypes="app*4030*20160928*" /stext=" 14:.+((SYSTEM_STATE.+slice.+state.+changed )|(ment ac)|(system.+state.+changed )|(\[timeout)|(PRM\|1\|D)|(kpr)|(kdp)|(\|lc)|(penalty))" /e /r /s</v>
      </c>
      <c r="AG167" s="1" t="str">
        <f t="shared" si="58"/>
        <v>NW</v>
      </c>
      <c r="AH167" s="96" t="str">
        <f t="shared" si="59"/>
        <v>"%USERPROFILE%\Documents\GitHub\eaglep3\Utilities\RefineRTDCRunTimes.py" --tripid 810-28 --locoid 4030 --swversion DE.1.0.7.0 --startMP 300:58630 --initTime 2016-09-28T08:07:12 --startdatetime 2016-09-28T08:11:25 --delay 1 --endMP 204:722 --enddatetime 2016-09-28T08:26:07 --enforcementcount 0 &gt;&gt;C:\Users\stu\Documents\GitHub\eaglep3-reporting\EC\2016-09-28-refined-times.txt</v>
      </c>
      <c r="AI167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{"issue":{"subject":"","project_id":79,"tracker_id":40,"status_id":1,"priority_id":2,"assigned_to_id":23,"start_date":"2016-09-28","description":"","custom_fields":[{"id":1,"name":"Subdivision","value":"NW"},{"id":4,"name":"Milepost","value":"0.0722"},{"id":17,"name":"Train ID","value":"810-28"},{"id":16,"name":"Locomotive ID","value":"4030"},{"id":130,"name":"Impact","value":""},{"id":150,"name":"Time of Event (Mountain Time)","value":"08:26:07"},{"id":151,"name":"Denver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428</v>
      </c>
      <c r="B168" s="7">
        <v>4016</v>
      </c>
      <c r="C168" s="24" t="s">
        <v>106</v>
      </c>
      <c r="D168" s="24" t="s">
        <v>707</v>
      </c>
      <c r="E168" s="15">
        <v>42641.34171296296</v>
      </c>
      <c r="F168" s="15">
        <v>42641.348483796297</v>
      </c>
      <c r="G168" s="7">
        <v>1</v>
      </c>
      <c r="H168" s="15" t="s">
        <v>708</v>
      </c>
      <c r="I168" s="15">
        <v>42641.358425925922</v>
      </c>
      <c r="J168" s="7">
        <v>0</v>
      </c>
      <c r="K168" s="117" t="str">
        <f t="shared" si="46"/>
        <v>4015/4016</v>
      </c>
      <c r="L168" s="24" t="str">
        <f>VLOOKUP(A168,'Trips&amp;Operators'!$C$1:$E$10000,3,FALSE)</f>
        <v>BEAM</v>
      </c>
      <c r="M168" s="6">
        <f t="shared" si="47"/>
        <v>9.9421296254149638E-3</v>
      </c>
      <c r="N168" s="7">
        <f t="shared" si="61"/>
        <v>14.316666660597548</v>
      </c>
      <c r="O168" s="7"/>
      <c r="P168" s="7"/>
      <c r="Q168" s="25"/>
      <c r="R168" s="25"/>
      <c r="S168" s="37">
        <f t="shared" si="48"/>
        <v>1</v>
      </c>
      <c r="T168" s="52" t="str">
        <f t="shared" si="49"/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07:12:04-0600',mode:absolute,to:'2016-09-28 09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68" s="54" t="str">
        <f t="shared" si="51"/>
        <v>N</v>
      </c>
      <c r="X168" s="164">
        <f t="shared" si="64"/>
        <v>1</v>
      </c>
      <c r="Y168" s="69">
        <f t="shared" si="52"/>
        <v>0.1062</v>
      </c>
      <c r="Z168" s="69">
        <f t="shared" si="53"/>
        <v>5.8987999999999996</v>
      </c>
      <c r="AA168" s="69">
        <f t="shared" si="54"/>
        <v>5.7925999999999993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55"/>
        <v>0811-28</v>
      </c>
      <c r="AE168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68" s="92" t="str">
        <f t="shared" si="57"/>
        <v>"C:\Program Files (x86)\AstroGrep\AstroGrep.exe" /spath="%USERPROFILE%\AppData\Local\Temp\OnboardLogs" /stypes="app*4016*20160928*" /stext=" 14:.+((SYSTEM_STATE.+slice.+state.+changed )|(ment ac)|(system.+state.+changed )|(\[timeout)|(PRM\|1\|D)|(kpr)|(kdp)|(\|lc)|(penalty))" /e /r /s</v>
      </c>
      <c r="AG168" s="1" t="str">
        <f t="shared" si="58"/>
        <v>NW</v>
      </c>
      <c r="AH168" s="96" t="str">
        <f t="shared" si="59"/>
        <v>"%USERPROFILE%\Documents\GitHub\eaglep3\Utilities\RefineRTDCRunTimes.py" --tripid 811-28 --locoid 4016 --swversion DE.1.0.7.0 --startMP 204:1062 --initTime 2016-09-28T08:12:04 --startdatetime 2016-09-28T08:21:49 --delay 1 --endMP 300:58988 --enddatetime 2016-09-28T08:36:08 --enforcementcount 0 &gt;&gt;C:\Users\stu\Documents\GitHub\eaglep3-reporting\EC\2016-09-28-refined-times.txt</v>
      </c>
      <c r="AI168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{"issue":{"subject":"","project_id":79,"tracker_id":40,"status_id":1,"priority_id":2,"assigned_to_id":23,"start_date":"2016-09-28","description":"","custom_fields":[{"id":1,"name":"Subdivision","value":"NW"},{"id":4,"name":"Milepost","value":"5.8988"},{"id":17,"name":"Train ID","value":"811-28"},{"id":16,"name":"Locomotive ID","value":"4016"},{"id":130,"name":"Impact","value":""},{"id":150,"name":"Time of Event (Mountain Time)","value":"08:36:08"},{"id":151,"name":"Denver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433</v>
      </c>
      <c r="B169" s="7">
        <v>4015</v>
      </c>
      <c r="C169" s="24" t="s">
        <v>106</v>
      </c>
      <c r="D169" s="24" t="s">
        <v>709</v>
      </c>
      <c r="E169" s="15">
        <v>42641.359699074077</v>
      </c>
      <c r="F169" s="15">
        <v>42641.361226851855</v>
      </c>
      <c r="G169" s="7">
        <v>1</v>
      </c>
      <c r="H169" s="15" t="s">
        <v>710</v>
      </c>
      <c r="I169" s="15">
        <v>42641.373425925929</v>
      </c>
      <c r="J169" s="7">
        <v>0</v>
      </c>
      <c r="K169" s="117" t="str">
        <f t="shared" si="46"/>
        <v>4015/4016</v>
      </c>
      <c r="L169" s="24" t="str">
        <f>VLOOKUP(A169,'Trips&amp;Operators'!$C$1:$E$10000,3,FALSE)</f>
        <v>BEAM</v>
      </c>
      <c r="M169" s="6">
        <f t="shared" si="47"/>
        <v>1.2199074073578231E-2</v>
      </c>
      <c r="N169" s="7">
        <f t="shared" si="61"/>
        <v>17.566666665952653</v>
      </c>
      <c r="O169" s="7"/>
      <c r="P169" s="7"/>
      <c r="Q169" s="25"/>
      <c r="R169" s="25"/>
      <c r="S169" s="37">
        <f t="shared" si="48"/>
        <v>1</v>
      </c>
      <c r="T169" s="52" t="str">
        <f t="shared" si="49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07:37:58-0600',mode:absolute,to:'2016-09-28 09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69" s="54" t="str">
        <f t="shared" si="51"/>
        <v>N</v>
      </c>
      <c r="X169" s="164">
        <f t="shared" si="64"/>
        <v>1</v>
      </c>
      <c r="Y169" s="69">
        <f t="shared" si="52"/>
        <v>5.8677000000000001</v>
      </c>
      <c r="Z169" s="69">
        <f t="shared" si="53"/>
        <v>7.0499999999999993E-2</v>
      </c>
      <c r="AA169" s="69">
        <f t="shared" si="54"/>
        <v>5.7972000000000001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55"/>
        <v>0812-28</v>
      </c>
      <c r="AE169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69" s="92" t="str">
        <f t="shared" si="57"/>
        <v>"C:\Program Files (x86)\AstroGrep\AstroGrep.exe" /spath="%USERPROFILE%\AppData\Local\Temp\OnboardLogs" /stypes="app*4015*20160928*" /stext=" 14:.+((SYSTEM_STATE.+slice.+state.+changed )|(ment ac)|(system.+state.+changed )|(\[timeout)|(PRM\|1\|D)|(kpr)|(kdp)|(\|lc)|(penalty))" /e /r /s</v>
      </c>
      <c r="AG169" s="1" t="str">
        <f t="shared" si="58"/>
        <v>NW</v>
      </c>
      <c r="AH169" s="96" t="str">
        <f t="shared" si="59"/>
        <v>"%USERPROFILE%\Documents\GitHub\eaglep3\Utilities\RefineRTDCRunTimes.py" --tripid 812-28 --locoid 4015 --swversion DE.1.0.7.0 --startMP 300:58677 --initTime 2016-09-28T08:37:58 --startdatetime 2016-09-28T08:40:10 --delay 1 --endMP 204:705 --enddatetime 2016-09-28T08:57:44 --enforcementcount 0 &gt;&gt;C:\Users\stu\Documents\GitHub\eaglep3-reporting\EC\2016-09-28-refined-times.txt</v>
      </c>
      <c r="AI169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{"issue":{"subject":"","project_id":79,"tracker_id":40,"status_id":1,"priority_id":2,"assigned_to_id":23,"start_date":"2016-09-28","description":"","custom_fields":[{"id":1,"name":"Subdivision","value":"NW"},{"id":4,"name":"Milepost","value":"0.0705"},{"id":17,"name":"Train ID","value":"812-28"},{"id":16,"name":"Locomotive ID","value":"4015"},{"id":130,"name":"Impact","value":""},{"id":150,"name":"Time of Event (Mountain Time)","value":"08:57:44"},{"id":151,"name":"Denver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439</v>
      </c>
      <c r="B170" s="7">
        <v>4016</v>
      </c>
      <c r="C170" s="24" t="s">
        <v>106</v>
      </c>
      <c r="D170" s="24" t="s">
        <v>313</v>
      </c>
      <c r="E170" s="15">
        <v>42641.385879629626</v>
      </c>
      <c r="F170" s="15">
        <v>42641.38989583333</v>
      </c>
      <c r="G170" s="7">
        <v>1</v>
      </c>
      <c r="H170" s="15" t="s">
        <v>711</v>
      </c>
      <c r="I170" s="15">
        <v>42641.399293981478</v>
      </c>
      <c r="J170" s="7">
        <v>0</v>
      </c>
      <c r="K170" s="117" t="str">
        <f t="shared" si="46"/>
        <v>4015/4016</v>
      </c>
      <c r="L170" s="24" t="str">
        <f>VLOOKUP(A170,'Trips&amp;Operators'!$C$1:$E$10000,3,FALSE)</f>
        <v>BEAM</v>
      </c>
      <c r="M170" s="6">
        <f t="shared" si="47"/>
        <v>9.3981481477385387E-3</v>
      </c>
      <c r="N170" s="7">
        <f t="shared" si="61"/>
        <v>13.533333332743496</v>
      </c>
      <c r="O170" s="7"/>
      <c r="P170" s="7"/>
      <c r="Q170" s="25"/>
      <c r="R170" s="25"/>
      <c r="S170" s="37">
        <f t="shared" si="48"/>
        <v>1</v>
      </c>
      <c r="T170" s="52" t="str">
        <f t="shared" si="49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08:15:40-0600',mode:absolute,to:'2016-09-28 10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0" s="54" t="str">
        <f t="shared" si="51"/>
        <v>N</v>
      </c>
      <c r="X170" s="164">
        <f t="shared" si="64"/>
        <v>1</v>
      </c>
      <c r="Y170" s="69">
        <f t="shared" si="52"/>
        <v>9.9900000000000003E-2</v>
      </c>
      <c r="Z170" s="69">
        <f t="shared" si="53"/>
        <v>5.8975</v>
      </c>
      <c r="AA170" s="69">
        <f t="shared" si="54"/>
        <v>5.7976000000000001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55"/>
        <v>0813-28</v>
      </c>
      <c r="AE170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70" s="92" t="str">
        <f t="shared" si="57"/>
        <v>"C:\Program Files (x86)\AstroGrep\AstroGrep.exe" /spath="%USERPROFILE%\AppData\Local\Temp\OnboardLogs" /stypes="app*4016*20160928*" /stext=" 15:.+((SYSTEM_STATE.+slice.+state.+changed )|(ment ac)|(system.+state.+changed )|(\[timeout)|(PRM\|1\|D)|(kpr)|(kdp)|(\|lc)|(penalty))" /e /r /s</v>
      </c>
      <c r="AG170" s="1" t="str">
        <f t="shared" si="58"/>
        <v>NW</v>
      </c>
      <c r="AH170" s="96" t="str">
        <f t="shared" si="59"/>
        <v>"%USERPROFILE%\Documents\GitHub\eaglep3\Utilities\RefineRTDCRunTimes.py" --tripid 813-28 --locoid 4016 --swversion DE.1.0.7.0 --startMP 204:999 --initTime 2016-09-28T09:15:40 --startdatetime 2016-09-28T09:21:27 --delay 1 --endMP 300:58975 --enddatetime 2016-09-28T09:34:59 --enforcementcount 0 &gt;&gt;C:\Users\stu\Documents\GitHub\eaglep3-reporting\EC\2016-09-28-refined-times.txt</v>
      </c>
      <c r="AI170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{"issue":{"subject":"","project_id":79,"tracker_id":40,"status_id":1,"priority_id":2,"assigned_to_id":23,"start_date":"2016-09-28","description":"","custom_fields":[{"id":1,"name":"Subdivision","value":"NW"},{"id":4,"name":"Milepost","value":"5.8975"},{"id":17,"name":"Train ID","value":"813-28"},{"id":16,"name":"Locomotive ID","value":"4016"},{"id":130,"name":"Impact","value":""},{"id":150,"name":"Time of Event (Mountain Time)","value":"09:34:59"},{"id":151,"name":"Denver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443</v>
      </c>
      <c r="B171" s="7">
        <v>4015</v>
      </c>
      <c r="C171" s="24" t="s">
        <v>106</v>
      </c>
      <c r="D171" s="24" t="s">
        <v>712</v>
      </c>
      <c r="E171" s="15">
        <v>42641.400694444441</v>
      </c>
      <c r="F171" s="15">
        <v>42641.40253472222</v>
      </c>
      <c r="G171" s="7">
        <v>1</v>
      </c>
      <c r="H171" s="15" t="s">
        <v>363</v>
      </c>
      <c r="I171" s="15">
        <v>42641.416041666664</v>
      </c>
      <c r="J171" s="7">
        <v>0</v>
      </c>
      <c r="K171" s="117" t="str">
        <f t="shared" si="46"/>
        <v>4015/4016</v>
      </c>
      <c r="L171" s="24" t="str">
        <f>VLOOKUP(A171,'Trips&amp;Operators'!$C$1:$E$10000,3,FALSE)</f>
        <v>BEAM</v>
      </c>
      <c r="M171" s="6">
        <f t="shared" si="47"/>
        <v>1.3506944444088731E-2</v>
      </c>
      <c r="N171" s="7">
        <f t="shared" si="61"/>
        <v>19.449999999487773</v>
      </c>
      <c r="O171" s="7"/>
      <c r="P171" s="7"/>
      <c r="Q171" s="25"/>
      <c r="R171" s="25"/>
      <c r="S171" s="37">
        <f t="shared" si="48"/>
        <v>1</v>
      </c>
      <c r="T171" s="52" t="str">
        <f t="shared" si="49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08:37:00-0600',mode:absolute,to:'2016-09-28 10:59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1" s="54" t="str">
        <f t="shared" si="51"/>
        <v>N</v>
      </c>
      <c r="X171" s="164">
        <f t="shared" si="64"/>
        <v>1</v>
      </c>
      <c r="Y171" s="69">
        <f t="shared" si="52"/>
        <v>5.8663999999999996</v>
      </c>
      <c r="Z171" s="69">
        <f t="shared" si="53"/>
        <v>6.7799999999999999E-2</v>
      </c>
      <c r="AA171" s="69">
        <f t="shared" si="54"/>
        <v>5.7985999999999995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55"/>
        <v>0814-28</v>
      </c>
      <c r="AE171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71" s="92" t="str">
        <f t="shared" si="57"/>
        <v>"C:\Program Files (x86)\AstroGrep\AstroGrep.exe" /spath="%USERPROFILE%\AppData\Local\Temp\OnboardLogs" /stypes="app*4015*20160928*" /stext=" 15:.+((SYSTEM_STATE.+slice.+state.+changed )|(ment ac)|(system.+state.+changed )|(\[timeout)|(PRM\|1\|D)|(kpr)|(kdp)|(\|lc)|(penalty))" /e /r /s</v>
      </c>
      <c r="AG171" s="1" t="str">
        <f t="shared" si="58"/>
        <v>NW</v>
      </c>
      <c r="AH171" s="96" t="str">
        <f t="shared" si="59"/>
        <v>"%USERPROFILE%\Documents\GitHub\eaglep3\Utilities\RefineRTDCRunTimes.py" --tripid 814-28 --locoid 4015 --swversion DE.1.0.7.0 --startMP 300:58664 --initTime 2016-09-28T09:37:00 --startdatetime 2016-09-28T09:39:39 --delay 1 --endMP 204:678 --enddatetime 2016-09-28T09:59:06 --enforcementcount 0 &gt;&gt;C:\Users\stu\Documents\GitHub\eaglep3-reporting\EC\2016-09-28-refined-times.txt</v>
      </c>
      <c r="AI171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{"issue":{"subject":"","project_id":79,"tracker_id":40,"status_id":1,"priority_id":2,"assigned_to_id":23,"start_date":"2016-09-28","description":"","custom_fields":[{"id":1,"name":"Subdivision","value":"NW"},{"id":4,"name":"Milepost","value":"0.0678"},{"id":17,"name":"Train ID","value":"814-28"},{"id":16,"name":"Locomotive ID","value":"4015"},{"id":130,"name":"Impact","value":""},{"id":150,"name":"Time of Event (Mountain Time)","value":"09:59:06"},{"id":151,"name":"Denver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450</v>
      </c>
      <c r="B172" s="7">
        <v>4016</v>
      </c>
      <c r="C172" s="24" t="s">
        <v>106</v>
      </c>
      <c r="D172" s="24" t="s">
        <v>366</v>
      </c>
      <c r="E172" s="15">
        <v>42641.428217592591</v>
      </c>
      <c r="F172" s="15">
        <v>42641.431550925925</v>
      </c>
      <c r="G172" s="7">
        <v>1</v>
      </c>
      <c r="H172" s="15" t="s">
        <v>713</v>
      </c>
      <c r="I172" s="15">
        <v>42641.441678240742</v>
      </c>
      <c r="J172" s="7">
        <v>0</v>
      </c>
      <c r="K172" s="117" t="str">
        <f t="shared" si="46"/>
        <v>4015/4016</v>
      </c>
      <c r="L172" s="24" t="str">
        <f>VLOOKUP(A172,'Trips&amp;Operators'!$C$1:$E$10000,3,FALSE)</f>
        <v>BEAM</v>
      </c>
      <c r="M172" s="6">
        <f t="shared" si="47"/>
        <v>1.0127314817509614E-2</v>
      </c>
      <c r="N172" s="7">
        <f t="shared" si="61"/>
        <v>14.583333337213844</v>
      </c>
      <c r="O172" s="7"/>
      <c r="P172" s="7"/>
      <c r="Q172" s="25"/>
      <c r="R172" s="25"/>
      <c r="S172" s="37">
        <f t="shared" si="48"/>
        <v>1</v>
      </c>
      <c r="T172" s="52" t="str">
        <f t="shared" si="49"/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09:16:38-0600',mode:absolute,to:'2016-09-28 11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2" s="54" t="str">
        <f t="shared" si="51"/>
        <v>N</v>
      </c>
      <c r="X172" s="164">
        <f t="shared" si="64"/>
        <v>1</v>
      </c>
      <c r="Y172" s="69">
        <f t="shared" si="52"/>
        <v>0.1007</v>
      </c>
      <c r="Z172" s="69">
        <f t="shared" si="53"/>
        <v>5.8978000000000002</v>
      </c>
      <c r="AA172" s="69">
        <f t="shared" si="54"/>
        <v>5.7971000000000004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55"/>
        <v>0815-28</v>
      </c>
      <c r="AE172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72" s="92" t="str">
        <f t="shared" si="57"/>
        <v>"C:\Program Files (x86)\AstroGrep\AstroGrep.exe" /spath="%USERPROFILE%\AppData\Local\Temp\OnboardLogs" /stypes="app*4016*20160928*" /stext=" 16:.+((SYSTEM_STATE.+slice.+state.+changed )|(ment ac)|(system.+state.+changed )|(\[timeout)|(PRM\|1\|D)|(kpr)|(kdp)|(\|lc)|(penalty))" /e /r /s</v>
      </c>
      <c r="AG172" s="1" t="str">
        <f t="shared" si="58"/>
        <v>NW</v>
      </c>
      <c r="AH172" s="96" t="str">
        <f t="shared" si="59"/>
        <v>"%USERPROFILE%\Documents\GitHub\eaglep3\Utilities\RefineRTDCRunTimes.py" --tripid 815-28 --locoid 4016 --swversion DE.1.0.7.0 --startMP 204:1007 --initTime 2016-09-28T10:16:38 --startdatetime 2016-09-28T10:21:26 --delay 1 --endMP 300:58978 --enddatetime 2016-09-28T10:36:01 --enforcementcount 0 &gt;&gt;C:\Users\stu\Documents\GitHub\eaglep3-reporting\EC\2016-09-28-refined-times.txt</v>
      </c>
      <c r="AI172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{"issue":{"subject":"","project_id":79,"tracker_id":40,"status_id":1,"priority_id":2,"assigned_to_id":23,"start_date":"2016-09-28","description":"","custom_fields":[{"id":1,"name":"Subdivision","value":"NW"},{"id":4,"name":"Milepost","value":"5.8978"},{"id":17,"name":"Train ID","value":"815-28"},{"id":16,"name":"Locomotive ID","value":"4016"},{"id":130,"name":"Impact","value":""},{"id":150,"name":"Time of Event (Mountain Time)","value":"10:36:01"},{"id":151,"name":"Denver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456</v>
      </c>
      <c r="B173" s="7">
        <v>4015</v>
      </c>
      <c r="C173" s="24" t="s">
        <v>106</v>
      </c>
      <c r="D173" s="24" t="s">
        <v>714</v>
      </c>
      <c r="E173" s="15">
        <v>42641.442847222221</v>
      </c>
      <c r="F173" s="15">
        <v>42641.444340277776</v>
      </c>
      <c r="G173" s="7">
        <v>1</v>
      </c>
      <c r="H173" s="15" t="s">
        <v>355</v>
      </c>
      <c r="I173" s="15">
        <v>42641.458703703705</v>
      </c>
      <c r="J173" s="7">
        <v>0</v>
      </c>
      <c r="K173" s="117" t="str">
        <f t="shared" si="46"/>
        <v>4015/4016</v>
      </c>
      <c r="L173" s="24" t="str">
        <f>VLOOKUP(A173,'Trips&amp;Operators'!$C$1:$E$10000,3,FALSE)</f>
        <v>BEAM</v>
      </c>
      <c r="M173" s="6">
        <f t="shared" si="47"/>
        <v>1.4363425929332152E-2</v>
      </c>
      <c r="N173" s="7">
        <f t="shared" si="61"/>
        <v>20.683333338238299</v>
      </c>
      <c r="O173" s="7"/>
      <c r="P173" s="7"/>
      <c r="Q173" s="25"/>
      <c r="R173" s="25"/>
      <c r="S173" s="37">
        <f t="shared" si="48"/>
        <v>1</v>
      </c>
      <c r="T173" s="52" t="str">
        <f t="shared" si="49"/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09:37:42-0600',mode:absolute,to:'2016-09-28 12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3" s="54" t="str">
        <f t="shared" si="51"/>
        <v>N</v>
      </c>
      <c r="X173" s="164">
        <f t="shared" si="64"/>
        <v>1</v>
      </c>
      <c r="Y173" s="69">
        <f t="shared" si="52"/>
        <v>5.8659999999999997</v>
      </c>
      <c r="Z173" s="69">
        <f t="shared" si="53"/>
        <v>7.22E-2</v>
      </c>
      <c r="AA173" s="69">
        <f t="shared" si="54"/>
        <v>5.7938000000000001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55"/>
        <v>0816-28</v>
      </c>
      <c r="AE173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73" s="92" t="str">
        <f t="shared" si="57"/>
        <v>"C:\Program Files (x86)\AstroGrep\AstroGrep.exe" /spath="%USERPROFILE%\AppData\Local\Temp\OnboardLogs" /stypes="app*4015*20160928*" /stext=" 17:.+((SYSTEM_STATE.+slice.+state.+changed )|(ment ac)|(system.+state.+changed )|(\[timeout)|(PRM\|1\|D)|(kpr)|(kdp)|(\|lc)|(penalty))" /e /r /s</v>
      </c>
      <c r="AG173" s="1" t="str">
        <f t="shared" si="58"/>
        <v>NW</v>
      </c>
      <c r="AH173" s="96" t="str">
        <f t="shared" si="59"/>
        <v>"%USERPROFILE%\Documents\GitHub\eaglep3\Utilities\RefineRTDCRunTimes.py" --tripid 816-28 --locoid 4015 --swversion DE.1.0.7.0 --startMP 300:58660 --initTime 2016-09-28T10:37:42 --startdatetime 2016-09-28T10:39:51 --delay 1 --endMP 204:722 --enddatetime 2016-09-28T11:00:32 --enforcementcount 0 &gt;&gt;C:\Users\stu\Documents\GitHub\eaglep3-reporting\EC\2016-09-28-refined-times.txt</v>
      </c>
      <c r="AI173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{"issue":{"subject":"","project_id":79,"tracker_id":40,"status_id":1,"priority_id":2,"assigned_to_id":23,"start_date":"2016-09-28","description":"","custom_fields":[{"id":1,"name":"Subdivision","value":"NW"},{"id":4,"name":"Milepost","value":"0.0722"},{"id":17,"name":"Train ID","value":"816-28"},{"id":16,"name":"Locomotive ID","value":"4015"},{"id":130,"name":"Impact","value":""},{"id":150,"name":"Time of Event (Mountain Time)","value":"11:00:32"},{"id":151,"name":"Denver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463</v>
      </c>
      <c r="B174" s="7">
        <v>4016</v>
      </c>
      <c r="C174" s="24" t="s">
        <v>106</v>
      </c>
      <c r="D174" s="24" t="s">
        <v>715</v>
      </c>
      <c r="E174" s="15">
        <v>42641.465624999997</v>
      </c>
      <c r="F174" s="15">
        <v>42641.473101851851</v>
      </c>
      <c r="G174" s="7">
        <v>1</v>
      </c>
      <c r="H174" s="15" t="s">
        <v>716</v>
      </c>
      <c r="I174" s="15">
        <v>42641.483067129629</v>
      </c>
      <c r="J174" s="7">
        <v>0</v>
      </c>
      <c r="K174" s="117" t="str">
        <f t="shared" si="46"/>
        <v>4015/4016</v>
      </c>
      <c r="L174" s="24" t="str">
        <f>VLOOKUP(A174,'Trips&amp;Operators'!$C$1:$E$10000,3,FALSE)</f>
        <v>BEAM</v>
      </c>
      <c r="M174" s="6">
        <f t="shared" si="47"/>
        <v>9.9652777789742686E-3</v>
      </c>
      <c r="N174" s="7">
        <f t="shared" si="61"/>
        <v>14.350000001722947</v>
      </c>
      <c r="O174" s="7"/>
      <c r="P174" s="7"/>
      <c r="Q174" s="25"/>
      <c r="R174" s="25"/>
      <c r="S174" s="37">
        <f t="shared" si="48"/>
        <v>1</v>
      </c>
      <c r="T174" s="52" t="str">
        <f t="shared" si="49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10:10:30-0600',mode:absolute,to:'2016-09-28 12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4" s="54" t="str">
        <f t="shared" si="51"/>
        <v>N</v>
      </c>
      <c r="X174" s="164">
        <f t="shared" si="64"/>
        <v>1</v>
      </c>
      <c r="Y174" s="69">
        <f t="shared" si="52"/>
        <v>0.1011</v>
      </c>
      <c r="Z174" s="69">
        <f t="shared" si="53"/>
        <v>5.8998999999999997</v>
      </c>
      <c r="AA174" s="69">
        <f t="shared" si="54"/>
        <v>5.7988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55"/>
        <v>0817-28</v>
      </c>
      <c r="AE174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74" s="92" t="str">
        <f t="shared" si="57"/>
        <v>"C:\Program Files (x86)\AstroGrep\AstroGrep.exe" /spath="%USERPROFILE%\AppData\Local\Temp\OnboardLogs" /stypes="app*4016*20160928*" /stext=" 17:.+((SYSTEM_STATE.+slice.+state.+changed )|(ment ac)|(system.+state.+changed )|(\[timeout)|(PRM\|1\|D)|(kpr)|(kdp)|(\|lc)|(penalty))" /e /r /s</v>
      </c>
      <c r="AG174" s="1" t="str">
        <f t="shared" si="58"/>
        <v>NW</v>
      </c>
      <c r="AH174" s="96" t="str">
        <f t="shared" si="59"/>
        <v>"%USERPROFILE%\Documents\GitHub\eaglep3\Utilities\RefineRTDCRunTimes.py" --tripid 817-28 --locoid 4016 --swversion DE.1.0.7.0 --startMP 204:1011 --initTime 2016-09-28T11:10:30 --startdatetime 2016-09-28T11:21:16 --delay 1 --endMP 300:58999 --enddatetime 2016-09-28T11:35:37 --enforcementcount 0 &gt;&gt;C:\Users\stu\Documents\GitHub\eaglep3-reporting\EC\2016-09-28-refined-times.txt</v>
      </c>
      <c r="AI174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{"issue":{"subject":"","project_id":79,"tracker_id":40,"status_id":1,"priority_id":2,"assigned_to_id":23,"start_date":"2016-09-28","description":"","custom_fields":[{"id":1,"name":"Subdivision","value":"NW"},{"id":4,"name":"Milepost","value":"5.8999"},{"id":17,"name":"Train ID","value":"817-28"},{"id":16,"name":"Locomotive ID","value":"4016"},{"id":130,"name":"Impact","value":""},{"id":150,"name":"Time of Event (Mountain Time)","value":"11:35:37"},{"id":151,"name":"Denver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468</v>
      </c>
      <c r="B175" s="7">
        <v>4015</v>
      </c>
      <c r="C175" s="24" t="s">
        <v>106</v>
      </c>
      <c r="D175" s="24" t="s">
        <v>717</v>
      </c>
      <c r="E175" s="15">
        <v>42641.484340277777</v>
      </c>
      <c r="F175" s="15">
        <v>42641.484861111108</v>
      </c>
      <c r="G175" s="7">
        <v>0</v>
      </c>
      <c r="H175" s="15" t="s">
        <v>718</v>
      </c>
      <c r="I175" s="15">
        <v>42641.498483796298</v>
      </c>
      <c r="J175" s="7">
        <v>0</v>
      </c>
      <c r="K175" s="117" t="str">
        <f t="shared" si="46"/>
        <v>4015/4016</v>
      </c>
      <c r="L175" s="24" t="str">
        <f>VLOOKUP(A175,'Trips&amp;Operators'!$C$1:$E$10000,3,FALSE)</f>
        <v>BEAM</v>
      </c>
      <c r="M175" s="6">
        <f t="shared" si="47"/>
        <v>1.3622685190057382E-2</v>
      </c>
      <c r="N175" s="7"/>
      <c r="O175" s="7"/>
      <c r="P175" s="7">
        <f>24*60*SUM($M175:$M175)</f>
        <v>19.61666667368263</v>
      </c>
      <c r="Q175" s="25"/>
      <c r="R175" s="25" t="s">
        <v>370</v>
      </c>
      <c r="S175" s="37">
        <f t="shared" si="48"/>
        <v>1</v>
      </c>
      <c r="T175" s="52" t="str">
        <f t="shared" si="49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10:37:27-0600',mode:absolute,to:'2016-09-28 12:57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5" s="54" t="str">
        <f t="shared" si="51"/>
        <v>N</v>
      </c>
      <c r="X175" s="164">
        <f t="shared" si="64"/>
        <v>1</v>
      </c>
      <c r="Y175" s="69">
        <f t="shared" si="52"/>
        <v>5.8672000000000004</v>
      </c>
      <c r="Z175" s="69">
        <f t="shared" si="53"/>
        <v>7.3999999999999996E-2</v>
      </c>
      <c r="AA175" s="69">
        <f t="shared" si="54"/>
        <v>5.7932000000000006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55"/>
        <v>0818-28</v>
      </c>
      <c r="AE175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75" s="92" t="str">
        <f t="shared" si="57"/>
        <v>"C:\Program Files (x86)\AstroGrep\AstroGrep.exe" /spath="%USERPROFILE%\AppData\Local\Temp\OnboardLogs" /stypes="app*4015*20160928*" /stext=" 17:.+((SYSTEM_STATE.+slice.+state.+changed )|(ment ac)|(system.+state.+changed )|(\[timeout)|(PRM\|1\|D)|(kpr)|(kdp)|(\|lc)|(penalty))" /e /r /s</v>
      </c>
      <c r="AG175" s="1" t="str">
        <f t="shared" si="58"/>
        <v>NW</v>
      </c>
      <c r="AH175" s="96" t="str">
        <f t="shared" si="59"/>
        <v>"%USERPROFILE%\Documents\GitHub\eaglep3\Utilities\RefineRTDCRunTimes.py" --tripid 818-28 --locoid 4015 --swversion DE.1.0.7.0 --startMP 300:58672 --initTime 2016-09-28T11:37:27 --startdatetime 2016-09-28T11:38:12 --delay 0 --endMP 204:740 --enddatetime 2016-09-28T11:57:49 --enforcementcount 0 &gt;&gt;C:\Users\stu\Documents\GitHub\eaglep3-reporting\EC\2016-09-28-refined-times.txt</v>
      </c>
      <c r="AI175" s="130" t="str">
        <f t="shared" si="60"/>
        <v>echo {"issue":{"subject":"Onboard in-route failure","project_id":79,"tracker_id":40,"status_id":1,"priority_id":2,"assigned_to_id":23,"start_date":"2016-09-28","description":"Triplex failure at 2016-09-28 11:52:36.000 ","custom_fields":[{"id":1,"name":"Subdivision","value":"NW"},{"id":4,"name":"Milepost","value":"0.074"},{"id":17,"name":"Train ID","value":"818-28"},{"id":16,"name":"Locomotive ID","value":"4015"},{"id":130,"name":"Impact","value":"Failed State"},{"id":150,"name":"Time of Event (Mountain Time)","value":"11:57:49"},{"id":151,"name":"Denver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75" s="55" t="s">
        <v>769</v>
      </c>
      <c r="AK175" s="55" t="s">
        <v>140</v>
      </c>
      <c r="AL175" s="55" t="s">
        <v>236</v>
      </c>
    </row>
    <row r="176" spans="1:38" s="23" customFormat="1" x14ac:dyDescent="0.25">
      <c r="A176" s="39" t="s">
        <v>474</v>
      </c>
      <c r="B176" s="7">
        <v>4016</v>
      </c>
      <c r="C176" s="24" t="s">
        <v>106</v>
      </c>
      <c r="D176" s="24" t="s">
        <v>704</v>
      </c>
      <c r="E176" s="15">
        <v>42641.511736111112</v>
      </c>
      <c r="F176" s="15">
        <v>42641.514907407407</v>
      </c>
      <c r="G176" s="7">
        <v>1</v>
      </c>
      <c r="H176" s="15" t="s">
        <v>719</v>
      </c>
      <c r="I176" s="15">
        <v>42641.525358796294</v>
      </c>
      <c r="J176" s="7">
        <v>0</v>
      </c>
      <c r="K176" s="117" t="str">
        <f t="shared" si="46"/>
        <v>4015/4016</v>
      </c>
      <c r="L176" s="24" t="str">
        <f>VLOOKUP(A176,'Trips&amp;Operators'!$C$1:$E$10000,3,FALSE)</f>
        <v>BEAM</v>
      </c>
      <c r="M176" s="6">
        <f t="shared" si="47"/>
        <v>1.0451388887304347E-2</v>
      </c>
      <c r="N176" s="7">
        <f t="shared" ref="N176:N207" si="65">24*60*SUM($M176:$M176)</f>
        <v>15.04999999771826</v>
      </c>
      <c r="O176" s="7"/>
      <c r="P176" s="7"/>
      <c r="Q176" s="25"/>
      <c r="R176" s="25"/>
      <c r="S176" s="37">
        <f t="shared" si="48"/>
        <v>1</v>
      </c>
      <c r="T176" s="52" t="str">
        <f t="shared" si="49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11:16:54-0600',mode:absolute,to:'2016-09-28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6" s="54" t="str">
        <f t="shared" si="51"/>
        <v>N</v>
      </c>
      <c r="X176" s="164">
        <f t="shared" si="64"/>
        <v>1</v>
      </c>
      <c r="Y176" s="69">
        <f t="shared" si="52"/>
        <v>9.9199999999999997E-2</v>
      </c>
      <c r="Z176" s="69">
        <f t="shared" si="53"/>
        <v>5.8986000000000001</v>
      </c>
      <c r="AA176" s="69">
        <f t="shared" si="54"/>
        <v>5.7994000000000003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55"/>
        <v>0819-28</v>
      </c>
      <c r="AE176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76" s="92" t="str">
        <f t="shared" si="57"/>
        <v>"C:\Program Files (x86)\AstroGrep\AstroGrep.exe" /spath="%USERPROFILE%\AppData\Local\Temp\OnboardLogs" /stypes="app*4016*20160928*" /stext=" 18:.+((SYSTEM_STATE.+slice.+state.+changed )|(ment ac)|(system.+state.+changed )|(\[timeout)|(PRM\|1\|D)|(kpr)|(kdp)|(\|lc)|(penalty))" /e /r /s</v>
      </c>
      <c r="AG176" s="1" t="str">
        <f t="shared" si="58"/>
        <v>NW</v>
      </c>
      <c r="AH176" s="96" t="str">
        <f t="shared" si="59"/>
        <v>"%USERPROFILE%\Documents\GitHub\eaglep3\Utilities\RefineRTDCRunTimes.py" --tripid 819-28 --locoid 4016 --swversion DE.1.0.7.0 --startMP 204:992 --initTime 2016-09-28T12:16:54 --startdatetime 2016-09-28T12:21:28 --delay 1 --endMP 300:58986 --enddatetime 2016-09-28T12:36:31 --enforcementcount 0 &gt;&gt;C:\Users\stu\Documents\GitHub\eaglep3-reporting\EC\2016-09-28-refined-times.txt</v>
      </c>
      <c r="AI176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{"issue":{"subject":"","project_id":79,"tracker_id":40,"status_id":1,"priority_id":2,"assigned_to_id":23,"start_date":"2016-09-28","description":"","custom_fields":[{"id":1,"name":"Subdivision","value":"NW"},{"id":4,"name":"Milepost","value":"5.8986"},{"id":17,"name":"Train ID","value":"819-28"},{"id":16,"name":"Locomotive ID","value":"4016"},{"id":130,"name":"Impact","value":""},{"id":150,"name":"Time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479</v>
      </c>
      <c r="B177" s="7">
        <v>4015</v>
      </c>
      <c r="C177" s="24" t="s">
        <v>106</v>
      </c>
      <c r="D177" s="24" t="s">
        <v>717</v>
      </c>
      <c r="E177" s="15">
        <v>42641.526759259257</v>
      </c>
      <c r="F177" s="15">
        <v>42641.529143518521</v>
      </c>
      <c r="G177" s="7">
        <v>2</v>
      </c>
      <c r="H177" s="15" t="s">
        <v>718</v>
      </c>
      <c r="I177" s="15">
        <v>42641.538831018515</v>
      </c>
      <c r="J177" s="7">
        <v>0</v>
      </c>
      <c r="K177" s="117" t="str">
        <f t="shared" si="46"/>
        <v>4015/4016</v>
      </c>
      <c r="L177" s="24" t="str">
        <f>VLOOKUP(A177,'Trips&amp;Operators'!$C$1:$E$10000,3,FALSE)</f>
        <v>BEAM</v>
      </c>
      <c r="M177" s="6">
        <f t="shared" si="47"/>
        <v>9.6874999944702722E-3</v>
      </c>
      <c r="N177" s="7">
        <f t="shared" si="65"/>
        <v>13.949999992037192</v>
      </c>
      <c r="O177" s="7"/>
      <c r="P177" s="7"/>
      <c r="Q177" s="25"/>
      <c r="R177" s="25"/>
      <c r="S177" s="37">
        <f t="shared" si="48"/>
        <v>1</v>
      </c>
      <c r="T177" s="52" t="str">
        <f t="shared" si="49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11:38:32-0600',mode:absolute,to:'2016-09-28 13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7" s="54" t="str">
        <f t="shared" si="51"/>
        <v>N</v>
      </c>
      <c r="X177" s="164">
        <f t="shared" si="64"/>
        <v>1</v>
      </c>
      <c r="Y177" s="69">
        <f t="shared" si="52"/>
        <v>5.8672000000000004</v>
      </c>
      <c r="Z177" s="69">
        <f t="shared" si="53"/>
        <v>7.3999999999999996E-2</v>
      </c>
      <c r="AA177" s="69">
        <f t="shared" si="54"/>
        <v>5.7932000000000006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55"/>
        <v>0820-28</v>
      </c>
      <c r="AE177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77" s="92" t="str">
        <f t="shared" si="57"/>
        <v>"C:\Program Files (x86)\AstroGrep\AstroGrep.exe" /spath="%USERPROFILE%\AppData\Local\Temp\OnboardLogs" /stypes="app*4015*20160928*" /stext=" 18:.+((SYSTEM_STATE.+slice.+state.+changed )|(ment ac)|(system.+state.+changed )|(\[timeout)|(PRM\|1\|D)|(kpr)|(kdp)|(\|lc)|(penalty))" /e /r /s</v>
      </c>
      <c r="AG177" s="1" t="str">
        <f t="shared" si="58"/>
        <v>NW</v>
      </c>
      <c r="AH177" s="96" t="str">
        <f t="shared" si="59"/>
        <v>"%USERPROFILE%\Documents\GitHub\eaglep3\Utilities\RefineRTDCRunTimes.py" --tripid 820-28 --locoid 4015 --swversion DE.1.0.7.0 --startMP 300:58672 --initTime 2016-09-28T12:38:32 --startdatetime 2016-09-28T12:41:58 --delay 2 --endMP 204:740 --enddatetime 2016-09-28T12:55:55 --enforcementcount 0 &gt;&gt;C:\Users\stu\Documents\GitHub\eaglep3-reporting\EC\2016-09-28-refined-times.txt</v>
      </c>
      <c r="AI177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{"issue":{"subject":"","project_id":79,"tracker_id":40,"status_id":1,"priority_id":2,"assigned_to_id":23,"start_date":"2016-09-28","description":"","custom_fields":[{"id":1,"name":"Subdivision","value":"NW"},{"id":4,"name":"Milepost","value":"0.074"},{"id":17,"name":"Train ID","value":"820-28"},{"id":16,"name":"Locomotive ID","value":"4015"},{"id":130,"name":"Impact","value":""},{"id":150,"name":"Time of Event (Mountain Time)","value":"12:55:55"},{"id":151,"name":"Denver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486</v>
      </c>
      <c r="B178" s="7">
        <v>4016</v>
      </c>
      <c r="C178" s="24" t="s">
        <v>106</v>
      </c>
      <c r="D178" s="24" t="s">
        <v>358</v>
      </c>
      <c r="E178" s="15">
        <v>42641.552164351851</v>
      </c>
      <c r="F178" s="15">
        <v>42641.556516203702</v>
      </c>
      <c r="G178" s="7">
        <v>1</v>
      </c>
      <c r="H178" s="15" t="s">
        <v>701</v>
      </c>
      <c r="I178" s="15">
        <v>42641.56695601852</v>
      </c>
      <c r="J178" s="7">
        <v>0</v>
      </c>
      <c r="K178" s="117" t="str">
        <f t="shared" si="46"/>
        <v>4015/4016</v>
      </c>
      <c r="L178" s="24" t="str">
        <f>VLOOKUP(A178,'Trips&amp;Operators'!$C$1:$E$10000,3,FALSE)</f>
        <v>MOSES</v>
      </c>
      <c r="M178" s="6">
        <f t="shared" si="47"/>
        <v>1.0439814817800652E-2</v>
      </c>
      <c r="N178" s="7">
        <f t="shared" si="65"/>
        <v>15.033333337632939</v>
      </c>
      <c r="O178" s="7"/>
      <c r="P178" s="7"/>
      <c r="Q178" s="25"/>
      <c r="R178" s="25"/>
      <c r="S178" s="37">
        <f t="shared" si="48"/>
        <v>1</v>
      </c>
      <c r="T178" s="52" t="str">
        <f t="shared" si="49"/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12:15:07-0600',mode:absolute,to:'2016-09-28 14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8" s="54" t="str">
        <f t="shared" si="51"/>
        <v>N</v>
      </c>
      <c r="X178" s="164">
        <f t="shared" si="64"/>
        <v>1</v>
      </c>
      <c r="Y178" s="69">
        <f t="shared" si="52"/>
        <v>0.1</v>
      </c>
      <c r="Z178" s="69">
        <f t="shared" si="53"/>
        <v>5.9002999999999997</v>
      </c>
      <c r="AA178" s="69">
        <f t="shared" si="54"/>
        <v>5.8003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55"/>
        <v>0821-28</v>
      </c>
      <c r="AE178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78" s="92" t="str">
        <f t="shared" si="57"/>
        <v>"C:\Program Files (x86)\AstroGrep\AstroGrep.exe" /spath="%USERPROFILE%\AppData\Local\Temp\OnboardLogs" /stypes="app*4016*20160928*" /stext=" 19:.+((SYSTEM_STATE.+slice.+state.+changed )|(ment ac)|(system.+state.+changed )|(\[timeout)|(PRM\|1\|D)|(kpr)|(kdp)|(\|lc)|(penalty))" /e /r /s</v>
      </c>
      <c r="AG178" s="1" t="str">
        <f t="shared" si="58"/>
        <v>NW</v>
      </c>
      <c r="AH178" s="96" t="str">
        <f t="shared" si="59"/>
        <v>"%USERPROFILE%\Documents\GitHub\eaglep3\Utilities\RefineRTDCRunTimes.py" --tripid 821-28 --locoid 4016 --swversion DE.1.0.7.0 --startMP 204:1000 --initTime 2016-09-28T13:15:07 --startdatetime 2016-09-28T13:21:23 --delay 1 --endMP 300:59003 --enddatetime 2016-09-28T13:36:25 --enforcementcount 0 &gt;&gt;C:\Users\stu\Documents\GitHub\eaglep3-reporting\EC\2016-09-28-refined-times.txt</v>
      </c>
      <c r="AI178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{"issue":{"subject":"","project_id":79,"tracker_id":40,"status_id":1,"priority_id":2,"assigned_to_id":23,"start_date":"2016-09-28","description":"","custom_fields":[{"id":1,"name":"Subdivision","value":"NW"},{"id":4,"name":"Milepost","value":"5.9003"},{"id":17,"name":"Train ID","value":"821-28"},{"id":16,"name":"Locomotive ID","value":"4016"},{"id":130,"name":"Impact","value":""},{"id":150,"name":"Time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490</v>
      </c>
      <c r="B179" s="7">
        <v>4015</v>
      </c>
      <c r="C179" s="24" t="s">
        <v>106</v>
      </c>
      <c r="D179" s="24" t="s">
        <v>720</v>
      </c>
      <c r="E179" s="15">
        <v>42641.568541666667</v>
      </c>
      <c r="F179" s="15">
        <v>42641.570439814815</v>
      </c>
      <c r="G179" s="7">
        <v>1</v>
      </c>
      <c r="H179" s="15" t="s">
        <v>721</v>
      </c>
      <c r="I179" s="15">
        <v>42641.580092592594</v>
      </c>
      <c r="J179" s="7">
        <v>0</v>
      </c>
      <c r="K179" s="117" t="str">
        <f t="shared" si="46"/>
        <v>4015/4016</v>
      </c>
      <c r="L179" s="24" t="str">
        <f>VLOOKUP(A179,'Trips&amp;Operators'!$C$1:$E$10000,3,FALSE)</f>
        <v>MOSES</v>
      </c>
      <c r="M179" s="6">
        <f t="shared" si="47"/>
        <v>9.6527777786832303E-3</v>
      </c>
      <c r="N179" s="7">
        <f t="shared" si="65"/>
        <v>13.900000001303852</v>
      </c>
      <c r="O179" s="7"/>
      <c r="P179" s="7"/>
      <c r="Q179" s="25"/>
      <c r="R179" s="25"/>
      <c r="S179" s="37">
        <f t="shared" si="48"/>
        <v>1</v>
      </c>
      <c r="T179" s="52" t="str">
        <f t="shared" si="49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12:38:42-0600',mode:absolute,to:'2016-09-28 14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9" s="54" t="str">
        <f t="shared" si="51"/>
        <v>N</v>
      </c>
      <c r="X179" s="164">
        <f t="shared" si="64"/>
        <v>1</v>
      </c>
      <c r="Y179" s="69">
        <f t="shared" si="52"/>
        <v>5.8682999999999996</v>
      </c>
      <c r="Z179" s="69">
        <f t="shared" si="53"/>
        <v>6.4500000000000002E-2</v>
      </c>
      <c r="AA179" s="69">
        <f t="shared" si="54"/>
        <v>5.8037999999999998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55"/>
        <v>0822-28</v>
      </c>
      <c r="AE179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79" s="92" t="str">
        <f t="shared" si="57"/>
        <v>"C:\Program Files (x86)\AstroGrep\AstroGrep.exe" /spath="%USERPROFILE%\AppData\Local\Temp\OnboardLogs" /stypes="app*4015*20160928*" /stext=" 19:.+((SYSTEM_STATE.+slice.+state.+changed )|(ment ac)|(system.+state.+changed )|(\[timeout)|(PRM\|1\|D)|(kpr)|(kdp)|(\|lc)|(penalty))" /e /r /s</v>
      </c>
      <c r="AG179" s="1" t="str">
        <f t="shared" si="58"/>
        <v>NW</v>
      </c>
      <c r="AH179" s="96" t="str">
        <f t="shared" si="59"/>
        <v>"%USERPROFILE%\Documents\GitHub\eaglep3\Utilities\RefineRTDCRunTimes.py" --tripid 822-28 --locoid 4015 --swversion DE.1.0.7.0 --startMP 300:58683 --initTime 2016-09-28T13:38:42 --startdatetime 2016-09-28T13:41:26 --delay 1 --endMP 204:645 --enddatetime 2016-09-28T13:55:20 --enforcementcount 0 &gt;&gt;C:\Users\stu\Documents\GitHub\eaglep3-reporting\EC\2016-09-28-refined-times.txt</v>
      </c>
      <c r="AI179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{"issue":{"subject":"","project_id":79,"tracker_id":40,"status_id":1,"priority_id":2,"assigned_to_id":23,"start_date":"2016-09-28","description":"","custom_fields":[{"id":1,"name":"Subdivision","value":"NW"},{"id":4,"name":"Milepost","value":"0.0645"},{"id":17,"name":"Train ID","value":"822-28"},{"id":16,"name":"Locomotive ID","value":"4015"},{"id":130,"name":"Impact","value":""},{"id":150,"name":"Time of Event (Mountain Time)","value":"13:55:20"},{"id":151,"name":"Denver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497</v>
      </c>
      <c r="B180" s="7">
        <v>4016</v>
      </c>
      <c r="C180" s="24" t="s">
        <v>106</v>
      </c>
      <c r="D180" s="24" t="s">
        <v>722</v>
      </c>
      <c r="E180" s="15">
        <v>42641.595243055555</v>
      </c>
      <c r="F180" s="15">
        <v>42641.598344907405</v>
      </c>
      <c r="G180" s="7">
        <v>1</v>
      </c>
      <c r="H180" s="15" t="s">
        <v>713</v>
      </c>
      <c r="I180" s="15">
        <v>42641.608229166668</v>
      </c>
      <c r="J180" s="7">
        <v>0</v>
      </c>
      <c r="K180" s="117" t="str">
        <f t="shared" si="46"/>
        <v>4015/4016</v>
      </c>
      <c r="L180" s="24" t="str">
        <f>VLOOKUP(A180,'Trips&amp;Operators'!$C$1:$E$10000,3,FALSE)</f>
        <v>MOSES</v>
      </c>
      <c r="M180" s="6">
        <f t="shared" si="47"/>
        <v>9.8842592633445747E-3</v>
      </c>
      <c r="N180" s="7">
        <f t="shared" si="65"/>
        <v>14.233333339216188</v>
      </c>
      <c r="O180" s="7"/>
      <c r="P180" s="7"/>
      <c r="Q180" s="25"/>
      <c r="R180" s="25"/>
      <c r="S180" s="37">
        <f t="shared" si="48"/>
        <v>1</v>
      </c>
      <c r="T180" s="52" t="str">
        <f t="shared" si="49"/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13:17:09-0600',mode:absolute,to:'2016-09-28 15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80" s="54" t="str">
        <f t="shared" si="51"/>
        <v>N</v>
      </c>
      <c r="X180" s="164">
        <f t="shared" si="64"/>
        <v>1</v>
      </c>
      <c r="Y180" s="69">
        <f t="shared" si="52"/>
        <v>9.4100000000000003E-2</v>
      </c>
      <c r="Z180" s="69">
        <f t="shared" si="53"/>
        <v>5.8978000000000002</v>
      </c>
      <c r="AA180" s="69">
        <f t="shared" si="54"/>
        <v>5.8037000000000001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55"/>
        <v>0823-28</v>
      </c>
      <c r="AE180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80" s="92" t="str">
        <f t="shared" si="57"/>
        <v>"C:\Program Files (x86)\AstroGrep\AstroGrep.exe" /spath="%USERPROFILE%\AppData\Local\Temp\OnboardLogs" /stypes="app*4016*20160928*" /stext=" 20:.+((SYSTEM_STATE.+slice.+state.+changed )|(ment ac)|(system.+state.+changed )|(\[timeout)|(PRM\|1\|D)|(kpr)|(kdp)|(\|lc)|(penalty))" /e /r /s</v>
      </c>
      <c r="AG180" s="1" t="str">
        <f t="shared" si="58"/>
        <v>NW</v>
      </c>
      <c r="AH180" s="96" t="str">
        <f t="shared" si="59"/>
        <v>"%USERPROFILE%\Documents\GitHub\eaglep3\Utilities\RefineRTDCRunTimes.py" --tripid 823-28 --locoid 4016 --swversion DE.1.0.7.0 --startMP 204:941 --initTime 2016-09-28T14:17:09 --startdatetime 2016-09-28T14:21:37 --delay 1 --endMP 300:58978 --enddatetime 2016-09-28T14:35:51 --enforcementcount 0 &gt;&gt;C:\Users\stu\Documents\GitHub\eaglep3-reporting\EC\2016-09-28-refined-times.txt</v>
      </c>
      <c r="AI180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{"issue":{"subject":"","project_id":79,"tracker_id":40,"status_id":1,"priority_id":2,"assigned_to_id":23,"start_date":"2016-09-28","description":"","custom_fields":[{"id":1,"name":"Subdivision","value":"NW"},{"id":4,"name":"Milepost","value":"5.8978"},{"id":17,"name":"Train ID","value":"823-28"},{"id":16,"name":"Locomotive ID","value":"4016"},{"id":130,"name":"Impact","value":""},{"id":150,"name":"Time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500</v>
      </c>
      <c r="B181" s="7">
        <v>4015</v>
      </c>
      <c r="C181" s="24" t="s">
        <v>106</v>
      </c>
      <c r="D181" s="24" t="s">
        <v>723</v>
      </c>
      <c r="E181" s="15">
        <v>42641.609537037039</v>
      </c>
      <c r="F181" s="15">
        <v>42641.611504629633</v>
      </c>
      <c r="G181" s="7">
        <v>1</v>
      </c>
      <c r="H181" s="15" t="s">
        <v>724</v>
      </c>
      <c r="I181" s="15">
        <v>42641.621863425928</v>
      </c>
      <c r="J181" s="7">
        <v>0</v>
      </c>
      <c r="K181" s="117" t="str">
        <f t="shared" si="46"/>
        <v>4015/4016</v>
      </c>
      <c r="L181" s="24" t="str">
        <f>VLOOKUP(A181,'Trips&amp;Operators'!$C$1:$E$10000,3,FALSE)</f>
        <v>MOSES</v>
      </c>
      <c r="M181" s="6">
        <f t="shared" si="47"/>
        <v>1.0358796294895001E-2</v>
      </c>
      <c r="N181" s="7">
        <f t="shared" si="65"/>
        <v>14.916666664648801</v>
      </c>
      <c r="O181" s="7"/>
      <c r="P181" s="7"/>
      <c r="Q181" s="25"/>
      <c r="R181" s="25"/>
      <c r="S181" s="37">
        <f t="shared" si="48"/>
        <v>1</v>
      </c>
      <c r="T181" s="52" t="str">
        <f t="shared" si="49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13:37:44-0600',mode:absolute,to:'2016-09-28 15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1" s="54" t="str">
        <f t="shared" si="51"/>
        <v>N</v>
      </c>
      <c r="X181" s="164">
        <f t="shared" si="64"/>
        <v>1</v>
      </c>
      <c r="Y181" s="69">
        <f t="shared" si="52"/>
        <v>5.867</v>
      </c>
      <c r="Z181" s="69">
        <f t="shared" si="53"/>
        <v>6.4299999999999996E-2</v>
      </c>
      <c r="AA181" s="69">
        <f t="shared" si="54"/>
        <v>5.8026999999999997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55"/>
        <v>0824-28</v>
      </c>
      <c r="AE181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81" s="92" t="str">
        <f t="shared" si="57"/>
        <v>"C:\Program Files (x86)\AstroGrep\AstroGrep.exe" /spath="%USERPROFILE%\AppData\Local\Temp\OnboardLogs" /stypes="app*4015*20160928*" /stext=" 20:.+((SYSTEM_STATE.+slice.+state.+changed )|(ment ac)|(system.+state.+changed )|(\[timeout)|(PRM\|1\|D)|(kpr)|(kdp)|(\|lc)|(penalty))" /e /r /s</v>
      </c>
      <c r="AG181" s="1" t="str">
        <f t="shared" si="58"/>
        <v>NW</v>
      </c>
      <c r="AH181" s="96" t="str">
        <f t="shared" si="59"/>
        <v>"%USERPROFILE%\Documents\GitHub\eaglep3\Utilities\RefineRTDCRunTimes.py" --tripid 824-28 --locoid 4015 --swversion DE.1.0.7.0 --startMP 300:58670 --initTime 2016-09-28T14:37:44 --startdatetime 2016-09-28T14:40:34 --delay 1 --endMP 204:643 --enddatetime 2016-09-28T14:55:29 --enforcementcount 0 &gt;&gt;C:\Users\stu\Documents\GitHub\eaglep3-reporting\EC\2016-09-28-refined-times.txt</v>
      </c>
      <c r="AI181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{"issue":{"subject":"","project_id":79,"tracker_id":40,"status_id":1,"priority_id":2,"assigned_to_id":23,"start_date":"2016-09-28","description":"","custom_fields":[{"id":1,"name":"Subdivision","value":"NW"},{"id":4,"name":"Milepost","value":"0.0643"},{"id":17,"name":"Train ID","value":"824-28"},{"id":16,"name":"Locomotive ID","value":"4015"},{"id":130,"name":"Impact","value":""},{"id":150,"name":"Time of Event (Mountain Time)","value":"14:55:29"},{"id":151,"name":"Denver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506</v>
      </c>
      <c r="B182" s="7">
        <v>4016</v>
      </c>
      <c r="C182" s="24" t="s">
        <v>106</v>
      </c>
      <c r="D182" s="24" t="s">
        <v>725</v>
      </c>
      <c r="E182" s="15">
        <v>42641.635300925926</v>
      </c>
      <c r="F182" s="15">
        <v>42641.63994212963</v>
      </c>
      <c r="G182" s="7">
        <v>1</v>
      </c>
      <c r="H182" s="15" t="s">
        <v>716</v>
      </c>
      <c r="I182" s="15">
        <v>42641.649722222224</v>
      </c>
      <c r="J182" s="7">
        <v>0</v>
      </c>
      <c r="K182" s="117" t="str">
        <f t="shared" si="46"/>
        <v>4015/4016</v>
      </c>
      <c r="L182" s="24" t="str">
        <f>VLOOKUP(A182,'Trips&amp;Operators'!$C$1:$E$10000,3,FALSE)</f>
        <v>MOSES</v>
      </c>
      <c r="M182" s="6">
        <f t="shared" si="47"/>
        <v>9.7800925941555761E-3</v>
      </c>
      <c r="N182" s="7">
        <f t="shared" si="65"/>
        <v>14.08333333558403</v>
      </c>
      <c r="O182" s="7"/>
      <c r="P182" s="7"/>
      <c r="Q182" s="25"/>
      <c r="R182" s="25"/>
      <c r="S182" s="37">
        <f t="shared" si="48"/>
        <v>1</v>
      </c>
      <c r="T182" s="52" t="str">
        <f t="shared" si="49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14:14:50-0600',mode:absolute,to:'2016-09-28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82" s="54" t="str">
        <f t="shared" si="51"/>
        <v>N</v>
      </c>
      <c r="X182" s="164">
        <f t="shared" si="64"/>
        <v>1</v>
      </c>
      <c r="Y182" s="69">
        <f t="shared" si="52"/>
        <v>9.3399999999999997E-2</v>
      </c>
      <c r="Z182" s="69">
        <f t="shared" si="53"/>
        <v>5.8998999999999997</v>
      </c>
      <c r="AA182" s="69">
        <f t="shared" si="54"/>
        <v>5.8064999999999998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55"/>
        <v>0825-28</v>
      </c>
      <c r="AE182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82" s="92" t="str">
        <f t="shared" si="57"/>
        <v>"C:\Program Files (x86)\AstroGrep\AstroGrep.exe" /spath="%USERPROFILE%\AppData\Local\Temp\OnboardLogs" /stypes="app*4016*20160928*" /stext=" 21:.+((SYSTEM_STATE.+slice.+state.+changed )|(ment ac)|(system.+state.+changed )|(\[timeout)|(PRM\|1\|D)|(kpr)|(kdp)|(\|lc)|(penalty))" /e /r /s</v>
      </c>
      <c r="AG182" s="1" t="str">
        <f t="shared" si="58"/>
        <v>NW</v>
      </c>
      <c r="AH182" s="96" t="str">
        <f t="shared" si="59"/>
        <v>"%USERPROFILE%\Documents\GitHub\eaglep3\Utilities\RefineRTDCRunTimes.py" --tripid 825-28 --locoid 4016 --swversion DE.1.0.7.0 --startMP 204:934 --initTime 2016-09-28T15:14:50 --startdatetime 2016-09-28T15:21:31 --delay 1 --endMP 300:58999 --enddatetime 2016-09-28T15:35:36 --enforcementcount 0 &gt;&gt;C:\Users\stu\Documents\GitHub\eaglep3-reporting\EC\2016-09-28-refined-times.txt</v>
      </c>
      <c r="AI182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{"issue":{"subject":"","project_id":79,"tracker_id":40,"status_id":1,"priority_id":2,"assigned_to_id":23,"start_date":"2016-09-28","description":"","custom_fields":[{"id":1,"name":"Subdivision","value":"NW"},{"id":4,"name":"Milepost","value":"5.8999"},{"id":17,"name":"Train ID","value":"825-28"},{"id":16,"name":"Locomotive ID","value":"4016"},{"id":130,"name":"Impact","value":""},{"id":150,"name":"Time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512</v>
      </c>
      <c r="B183" s="7">
        <v>4015</v>
      </c>
      <c r="C183" s="24" t="s">
        <v>106</v>
      </c>
      <c r="D183" s="24" t="s">
        <v>726</v>
      </c>
      <c r="E183" s="15">
        <v>42641.651921296296</v>
      </c>
      <c r="F183" s="15">
        <v>42641.653807870367</v>
      </c>
      <c r="G183" s="7">
        <v>1</v>
      </c>
      <c r="H183" s="15" t="s">
        <v>727</v>
      </c>
      <c r="I183" s="15">
        <v>42641.664386574077</v>
      </c>
      <c r="J183" s="7">
        <v>0</v>
      </c>
      <c r="K183" s="117" t="str">
        <f t="shared" si="46"/>
        <v>4015/4016</v>
      </c>
      <c r="L183" s="24" t="str">
        <f>VLOOKUP(A183,'Trips&amp;Operators'!$C$1:$E$10000,3,FALSE)</f>
        <v>MOSES</v>
      </c>
      <c r="M183" s="6">
        <f t="shared" si="47"/>
        <v>1.057870371005265E-2</v>
      </c>
      <c r="N183" s="7">
        <f t="shared" si="65"/>
        <v>15.233333342475817</v>
      </c>
      <c r="O183" s="7"/>
      <c r="P183" s="7"/>
      <c r="Q183" s="25"/>
      <c r="R183" s="25"/>
      <c r="S183" s="37">
        <f t="shared" si="48"/>
        <v>1</v>
      </c>
      <c r="T183" s="52" t="str">
        <f t="shared" si="49"/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14:38:46-0600',mode:absolute,to:'2016-09-28 16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3" s="54" t="str">
        <f t="shared" si="51"/>
        <v>N</v>
      </c>
      <c r="X183" s="164">
        <f t="shared" si="64"/>
        <v>1</v>
      </c>
      <c r="Y183" s="69">
        <f t="shared" si="52"/>
        <v>5.8688000000000002</v>
      </c>
      <c r="Z183" s="69">
        <f t="shared" si="53"/>
        <v>6.3799999999999996E-2</v>
      </c>
      <c r="AA183" s="69">
        <f t="shared" si="54"/>
        <v>5.8050000000000006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55"/>
        <v>0826-28</v>
      </c>
      <c r="AE183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83" s="92" t="str">
        <f t="shared" si="57"/>
        <v>"C:\Program Files (x86)\AstroGrep\AstroGrep.exe" /spath="%USERPROFILE%\AppData\Local\Temp\OnboardLogs" /stypes="app*4015*20160928*" /stext=" 21:.+((SYSTEM_STATE.+slice.+state.+changed )|(ment ac)|(system.+state.+changed )|(\[timeout)|(PRM\|1\|D)|(kpr)|(kdp)|(\|lc)|(penalty))" /e /r /s</v>
      </c>
      <c r="AG183" s="1" t="str">
        <f t="shared" si="58"/>
        <v>NW</v>
      </c>
      <c r="AH183" s="96" t="str">
        <f t="shared" si="59"/>
        <v>"%USERPROFILE%\Documents\GitHub\eaglep3\Utilities\RefineRTDCRunTimes.py" --tripid 826-28 --locoid 4015 --swversion DE.1.0.7.0 --startMP 300:58688 --initTime 2016-09-28T15:38:46 --startdatetime 2016-09-28T15:41:29 --delay 1 --endMP 204:638 --enddatetime 2016-09-28T15:56:43 --enforcementcount 0 &gt;&gt;C:\Users\stu\Documents\GitHub\eaglep3-reporting\EC\2016-09-28-refined-times.txt</v>
      </c>
      <c r="AI183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{"issue":{"subject":"","project_id":79,"tracker_id":40,"status_id":1,"priority_id":2,"assigned_to_id":23,"start_date":"2016-09-28","description":"","custom_fields":[{"id":1,"name":"Subdivision","value":"NW"},{"id":4,"name":"Milepost","value":"0.0638"},{"id":17,"name":"Train ID","value":"826-28"},{"id":16,"name":"Locomotive ID","value":"4015"},{"id":130,"name":"Impact","value":""},{"id":150,"name":"Time of Event (Mountain Time)","value":"15:56:43"},{"id":151,"name":"Denver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511</v>
      </c>
      <c r="B184" s="7">
        <v>4029</v>
      </c>
      <c r="C184" s="24" t="s">
        <v>106</v>
      </c>
      <c r="D184" s="24" t="s">
        <v>362</v>
      </c>
      <c r="E184" s="15">
        <v>42641.651562500003</v>
      </c>
      <c r="F184" s="15">
        <v>42641.660613425927</v>
      </c>
      <c r="G184" s="7">
        <v>1</v>
      </c>
      <c r="H184" s="15" t="s">
        <v>356</v>
      </c>
      <c r="I184" s="15">
        <v>42641.670694444445</v>
      </c>
      <c r="J184" s="7">
        <v>0</v>
      </c>
      <c r="K184" s="117" t="str">
        <f t="shared" si="46"/>
        <v>4029/4030</v>
      </c>
      <c r="L184" s="24" t="str">
        <f>VLOOKUP(A184,'Trips&amp;Operators'!$C$1:$E$10000,3,FALSE)</f>
        <v>LEVERE</v>
      </c>
      <c r="M184" s="6">
        <f t="shared" si="47"/>
        <v>1.0081018517666962E-2</v>
      </c>
      <c r="N184" s="7">
        <f t="shared" si="65"/>
        <v>14.516666665440425</v>
      </c>
      <c r="O184" s="7"/>
      <c r="P184" s="7"/>
      <c r="Q184" s="25"/>
      <c r="R184" s="25"/>
      <c r="S184" s="37">
        <f t="shared" si="48"/>
        <v>1</v>
      </c>
      <c r="T184" s="52" t="str">
        <f t="shared" si="49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14:38:15-0600',mode:absolute,to:'2016-09-28 17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4" s="54" t="str">
        <f t="shared" si="51"/>
        <v>N</v>
      </c>
      <c r="X184" s="164">
        <f t="shared" si="64"/>
        <v>1</v>
      </c>
      <c r="Y184" s="69">
        <f t="shared" si="52"/>
        <v>9.6000000000000002E-2</v>
      </c>
      <c r="Z184" s="69">
        <f t="shared" si="53"/>
        <v>5.8936999999999999</v>
      </c>
      <c r="AA184" s="69">
        <f t="shared" si="54"/>
        <v>5.7976999999999999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55"/>
        <v>0827-28</v>
      </c>
      <c r="AE184" s="95" t="str">
        <f t="shared" si="56"/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AF184" s="92" t="str">
        <f t="shared" si="57"/>
        <v>"C:\Program Files (x86)\AstroGrep\AstroGrep.exe" /spath="%USERPROFILE%\AppData\Local\Temp\OnboardLogs" /stypes="app*4029*20160928*" /stext=" 22:.+((SYSTEM_STATE.+slice.+state.+changed )|(ment ac)|(system.+state.+changed )|(\[timeout)|(PRM\|1\|D)|(kpr)|(kdp)|(\|lc)|(penalty))" /e /r /s</v>
      </c>
      <c r="AG184" s="1" t="str">
        <f t="shared" si="58"/>
        <v>NW</v>
      </c>
      <c r="AH184" s="96" t="str">
        <f t="shared" si="59"/>
        <v>"%USERPROFILE%\Documents\GitHub\eaglep3\Utilities\RefineRTDCRunTimes.py" --tripid 827-28 --locoid 4029 --swversion DE.1.0.7.0 --startMP 204:960 --initTime 2016-09-28T15:38:15 --startdatetime 2016-09-28T15:51:17 --delay 1 --endMP 300:58937 --enddatetime 2016-09-28T16:05:48 --enforcementcount 0 &gt;&gt;C:\Users\stu\Documents\GitHub\eaglep3-reporting\EC\2016-09-28-refined-times.txt</v>
      </c>
      <c r="AI184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{"issue":{"subject":"","project_id":79,"tracker_id":40,"status_id":1,"priority_id":2,"assigned_to_id":23,"start_date":"2016-09-28","description":"","custom_fields":[{"id":1,"name":"Subdivision","value":"NW"},{"id":4,"name":"Milepost","value":"5.8937"},{"id":17,"name":"Train ID","value":"827-28"},{"id":16,"name":"Locomotive ID","value":"4029"},{"id":130,"name":"Impact","value":""},{"id":150,"name":"Time of Event (Mountain Time)","value":"16:05:48"},{"id":151,"name":"Denver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517</v>
      </c>
      <c r="B185" s="7">
        <v>4030</v>
      </c>
      <c r="C185" s="24" t="s">
        <v>106</v>
      </c>
      <c r="D185" s="24" t="s">
        <v>310</v>
      </c>
      <c r="E185" s="15">
        <v>42641.671759259261</v>
      </c>
      <c r="F185" s="15">
        <v>42641.673113425924</v>
      </c>
      <c r="G185" s="7">
        <v>1</v>
      </c>
      <c r="H185" s="15" t="s">
        <v>728</v>
      </c>
      <c r="I185" s="15">
        <v>42641.685486111113</v>
      </c>
      <c r="J185" s="7">
        <v>0</v>
      </c>
      <c r="K185" s="117" t="str">
        <f t="shared" si="46"/>
        <v>4029/4030</v>
      </c>
      <c r="L185" s="24" t="str">
        <f>VLOOKUP(A185,'Trips&amp;Operators'!$C$1:$E$10000,3,FALSE)</f>
        <v>LEVERE</v>
      </c>
      <c r="M185" s="6">
        <f t="shared" si="47"/>
        <v>1.2372685188893229E-2</v>
      </c>
      <c r="N185" s="7">
        <f t="shared" si="65"/>
        <v>17.816666672006249</v>
      </c>
      <c r="O185" s="7"/>
      <c r="P185" s="7"/>
      <c r="Q185" s="25"/>
      <c r="R185" s="25"/>
      <c r="S185" s="37">
        <f t="shared" si="48"/>
        <v>1</v>
      </c>
      <c r="T185" s="52" t="str">
        <f t="shared" si="49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15:07:20-0600',mode:absolute,to:'2016-09-28 17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5" s="54" t="str">
        <f t="shared" si="51"/>
        <v>N</v>
      </c>
      <c r="X185" s="164">
        <f t="shared" si="64"/>
        <v>1</v>
      </c>
      <c r="Y185" s="69">
        <f t="shared" si="52"/>
        <v>5.8620999999999999</v>
      </c>
      <c r="Z185" s="69">
        <f t="shared" si="53"/>
        <v>6.7100000000000007E-2</v>
      </c>
      <c r="AA185" s="69">
        <f t="shared" si="54"/>
        <v>5.7949999999999999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55"/>
        <v>0828-28</v>
      </c>
      <c r="AE185" s="95" t="str">
        <f t="shared" si="56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185" s="92" t="str">
        <f t="shared" si="57"/>
        <v>"C:\Program Files (x86)\AstroGrep\AstroGrep.exe" /spath="%USERPROFILE%\AppData\Local\Temp\OnboardLogs" /stypes="app*4030*20160928*" /stext=" 22:.+((SYSTEM_STATE.+slice.+state.+changed )|(ment ac)|(system.+state.+changed )|(\[timeout)|(PRM\|1\|D)|(kpr)|(kdp)|(\|lc)|(penalty))" /e /r /s</v>
      </c>
      <c r="AG185" s="1" t="str">
        <f t="shared" si="58"/>
        <v>NW</v>
      </c>
      <c r="AH185" s="96" t="str">
        <f t="shared" si="59"/>
        <v>"%USERPROFILE%\Documents\GitHub\eaglep3\Utilities\RefineRTDCRunTimes.py" --tripid 828-28 --locoid 4030 --swversion DE.1.0.7.0 --startMP 300:58621 --initTime 2016-09-28T16:07:20 --startdatetime 2016-09-28T16:09:17 --delay 1 --endMP 204:671 --enddatetime 2016-09-28T16:27:06 --enforcementcount 0 &gt;&gt;C:\Users\stu\Documents\GitHub\eaglep3-reporting\EC\2016-09-28-refined-times.txt</v>
      </c>
      <c r="AI185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{"issue":{"subject":"","project_id":79,"tracker_id":40,"status_id":1,"priority_id":2,"assigned_to_id":23,"start_date":"2016-09-28","description":"","custom_fields":[{"id":1,"name":"Subdivision","value":"NW"},{"id":4,"name":"Milepost","value":"0.0671"},{"id":17,"name":"Train ID","value":"828-28"},{"id":16,"name":"Locomotive ID","value":"4030"},{"id":130,"name":"Impact","value":""},{"id":150,"name":"Time of Event (Mountain Time)","value":"16:27:06"},{"id":151,"name":"Denver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519</v>
      </c>
      <c r="B186" s="7">
        <v>4016</v>
      </c>
      <c r="C186" s="24" t="s">
        <v>106</v>
      </c>
      <c r="D186" s="24" t="s">
        <v>729</v>
      </c>
      <c r="E186" s="15">
        <v>42641.677719907406</v>
      </c>
      <c r="F186" s="15">
        <v>42641.681793981479</v>
      </c>
      <c r="G186" s="7">
        <v>1</v>
      </c>
      <c r="H186" s="15" t="s">
        <v>314</v>
      </c>
      <c r="I186" s="15">
        <v>42641.692708333336</v>
      </c>
      <c r="J186" s="7">
        <v>0</v>
      </c>
      <c r="K186" s="117" t="str">
        <f t="shared" si="46"/>
        <v>4015/4016</v>
      </c>
      <c r="L186" s="24" t="str">
        <f>VLOOKUP(A186,'Trips&amp;Operators'!$C$1:$E$10000,3,FALSE)</f>
        <v>MOSES</v>
      </c>
      <c r="M186" s="6">
        <f t="shared" si="47"/>
        <v>1.0914351856627036E-2</v>
      </c>
      <c r="N186" s="7">
        <f t="shared" si="65"/>
        <v>15.716666673542932</v>
      </c>
      <c r="O186" s="7"/>
      <c r="P186" s="7"/>
      <c r="Q186" s="25"/>
      <c r="R186" s="25"/>
      <c r="S186" s="37">
        <f t="shared" si="48"/>
        <v>1</v>
      </c>
      <c r="T186" s="52" t="str">
        <f t="shared" si="49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15:15:55-0600',mode:absolute,to:'2016-09-28 17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86" s="54" t="str">
        <f t="shared" si="51"/>
        <v>N</v>
      </c>
      <c r="X186" s="164">
        <f t="shared" si="64"/>
        <v>1</v>
      </c>
      <c r="Y186" s="69">
        <f t="shared" si="52"/>
        <v>9.2999999999999999E-2</v>
      </c>
      <c r="Z186" s="69">
        <f t="shared" si="53"/>
        <v>5.8960999999999997</v>
      </c>
      <c r="AA186" s="69">
        <f t="shared" si="54"/>
        <v>5.8030999999999997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55"/>
        <v>0829-28</v>
      </c>
      <c r="AE186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86" s="92" t="str">
        <f t="shared" si="57"/>
        <v>"C:\Program Files (x86)\AstroGrep\AstroGrep.exe" /spath="%USERPROFILE%\AppData\Local\Temp\OnboardLogs" /stypes="app*4016*20160928*" /stext=" 22:.+((SYSTEM_STATE.+slice.+state.+changed )|(ment ac)|(system.+state.+changed )|(\[timeout)|(PRM\|1\|D)|(kpr)|(kdp)|(\|lc)|(penalty))" /e /r /s</v>
      </c>
      <c r="AG186" s="1" t="str">
        <f t="shared" si="58"/>
        <v>NW</v>
      </c>
      <c r="AH186" s="96" t="str">
        <f t="shared" si="59"/>
        <v>"%USERPROFILE%\Documents\GitHub\eaglep3\Utilities\RefineRTDCRunTimes.py" --tripid 829-28 --locoid 4016 --swversion DE.1.0.7.0 --startMP 204:930 --initTime 2016-09-28T16:15:55 --startdatetime 2016-09-28T16:21:47 --delay 1 --endMP 300:58961 --enddatetime 2016-09-28T16:37:30 --enforcementcount 0 &gt;&gt;C:\Users\stu\Documents\GitHub\eaglep3-reporting\EC\2016-09-28-refined-times.txt</v>
      </c>
      <c r="AI186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{"issue":{"subject":"","project_id":79,"tracker_id":40,"status_id":1,"priority_id":2,"assigned_to_id":23,"start_date":"2016-09-28","description":"","custom_fields":[{"id":1,"name":"Subdivision","value":"NW"},{"id":4,"name":"Milepost","value":"5.8961"},{"id":17,"name":"Train ID","value":"829-28"},{"id":16,"name":"Locomotive ID","value":"4016"},{"id":130,"name":"Impact","value":""},{"id":150,"name":"Time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523</v>
      </c>
      <c r="B187" s="7">
        <v>4015</v>
      </c>
      <c r="C187" s="24" t="s">
        <v>106</v>
      </c>
      <c r="D187" s="24" t="s">
        <v>730</v>
      </c>
      <c r="E187" s="15">
        <v>42641.6953125</v>
      </c>
      <c r="F187" s="15">
        <v>42641.697106481479</v>
      </c>
      <c r="G187" s="7">
        <v>1</v>
      </c>
      <c r="H187" s="15" t="s">
        <v>728</v>
      </c>
      <c r="I187" s="15">
        <v>42641.707118055558</v>
      </c>
      <c r="J187" s="7">
        <v>0</v>
      </c>
      <c r="K187" s="117" t="str">
        <f t="shared" si="46"/>
        <v>4015/4016</v>
      </c>
      <c r="L187" s="24" t="str">
        <f>VLOOKUP(A187,'Trips&amp;Operators'!$C$1:$E$10000,3,FALSE)</f>
        <v>MOSES</v>
      </c>
      <c r="M187" s="6">
        <f t="shared" si="47"/>
        <v>1.0011574078816921E-2</v>
      </c>
      <c r="N187" s="7">
        <f t="shared" si="65"/>
        <v>14.416666673496366</v>
      </c>
      <c r="O187" s="7"/>
      <c r="P187" s="7"/>
      <c r="Q187" s="25"/>
      <c r="R187" s="25"/>
      <c r="S187" s="37">
        <f t="shared" si="48"/>
        <v>1</v>
      </c>
      <c r="T187" s="52" t="str">
        <f t="shared" si="49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15:41:15-0600',mode:absolute,to:'2016-09-28 17:58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7" s="54" t="str">
        <f t="shared" si="51"/>
        <v>N</v>
      </c>
      <c r="X187" s="164">
        <f t="shared" si="64"/>
        <v>1</v>
      </c>
      <c r="Y187" s="69">
        <f t="shared" si="52"/>
        <v>5.8651</v>
      </c>
      <c r="Z187" s="69">
        <f t="shared" si="53"/>
        <v>6.7100000000000007E-2</v>
      </c>
      <c r="AA187" s="69">
        <f t="shared" si="54"/>
        <v>5.798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55"/>
        <v>0830-28</v>
      </c>
      <c r="AE187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87" s="92" t="str">
        <f t="shared" si="57"/>
        <v>"C:\Program Files (x86)\AstroGrep\AstroGrep.exe" /spath="%USERPROFILE%\AppData\Local\Temp\OnboardLogs" /stypes="app*4015*20160928*" /stext=" 22:.+((SYSTEM_STATE.+slice.+state.+changed )|(ment ac)|(system.+state.+changed )|(\[timeout)|(PRM\|1\|D)|(kpr)|(kdp)|(\|lc)|(penalty))" /e /r /s</v>
      </c>
      <c r="AG187" s="1" t="str">
        <f t="shared" si="58"/>
        <v>NW</v>
      </c>
      <c r="AH187" s="96" t="str">
        <f t="shared" si="59"/>
        <v>"%USERPROFILE%\Documents\GitHub\eaglep3\Utilities\RefineRTDCRunTimes.py" --tripid 830-28 --locoid 4015 --swversion DE.1.0.7.0 --startMP 300:58651 --initTime 2016-09-28T16:41:15 --startdatetime 2016-09-28T16:43:50 --delay 1 --endMP 204:671 --enddatetime 2016-09-28T16:58:15 --enforcementcount 0 &gt;&gt;C:\Users\stu\Documents\GitHub\eaglep3-reporting\EC\2016-09-28-refined-times.txt</v>
      </c>
      <c r="AI187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{"issue":{"subject":"","project_id":79,"tracker_id":40,"status_id":1,"priority_id":2,"assigned_to_id":23,"start_date":"2016-09-28","description":"","custom_fields":[{"id":1,"name":"Subdivision","value":"NW"},{"id":4,"name":"Milepost","value":"0.0671"},{"id":17,"name":"Train ID","value":"830-28"},{"id":16,"name":"Locomotive ID","value":"4015"},{"id":130,"name":"Impact","value":""},{"id":150,"name":"Time of Event (Mountain Time)","value":"16:58:15"},{"id":151,"name":"Denver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525</v>
      </c>
      <c r="B188" s="7">
        <v>4029</v>
      </c>
      <c r="C188" s="24" t="s">
        <v>106</v>
      </c>
      <c r="D188" s="24" t="s">
        <v>731</v>
      </c>
      <c r="E188" s="15">
        <v>42641.697453703702</v>
      </c>
      <c r="F188" s="15">
        <v>42641.702280092592</v>
      </c>
      <c r="G188" s="7">
        <v>1</v>
      </c>
      <c r="H188" s="15" t="s">
        <v>732</v>
      </c>
      <c r="I188" s="15">
        <v>42641.711909722224</v>
      </c>
      <c r="J188" s="7">
        <v>0</v>
      </c>
      <c r="K188" s="117" t="str">
        <f t="shared" si="46"/>
        <v>4029/4030</v>
      </c>
      <c r="L188" s="24" t="str">
        <f>VLOOKUP(A188,'Trips&amp;Operators'!$C$1:$E$10000,3,FALSE)</f>
        <v>LEVERE</v>
      </c>
      <c r="M188" s="6">
        <f t="shared" si="47"/>
        <v>9.6296296323998831E-3</v>
      </c>
      <c r="N188" s="7">
        <f t="shared" si="65"/>
        <v>13.866666670655832</v>
      </c>
      <c r="O188" s="7"/>
      <c r="P188" s="7"/>
      <c r="Q188" s="25"/>
      <c r="R188" s="25"/>
      <c r="S188" s="37">
        <f t="shared" si="48"/>
        <v>1</v>
      </c>
      <c r="T188" s="52" t="str">
        <f t="shared" si="49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15:44:20-0600',mode:absolute,to:'2016-09-28 18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8" s="54" t="str">
        <f t="shared" si="51"/>
        <v>N</v>
      </c>
      <c r="X188" s="164">
        <f t="shared" si="64"/>
        <v>1</v>
      </c>
      <c r="Y188" s="69">
        <f t="shared" si="52"/>
        <v>9.6500000000000002E-2</v>
      </c>
      <c r="Z188" s="69">
        <f t="shared" si="53"/>
        <v>5.8963000000000001</v>
      </c>
      <c r="AA188" s="69">
        <f t="shared" si="54"/>
        <v>5.7998000000000003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55"/>
        <v>0831-28</v>
      </c>
      <c r="AE188" s="95" t="str">
        <f t="shared" si="56"/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AF188" s="92" t="str">
        <f t="shared" si="57"/>
        <v>"C:\Program Files (x86)\AstroGrep\AstroGrep.exe" /spath="%USERPROFILE%\AppData\Local\Temp\OnboardLogs" /stypes="app*4029*20160928*" /stext=" 23:.+((SYSTEM_STATE.+slice.+state.+changed )|(ment ac)|(system.+state.+changed )|(\[timeout)|(PRM\|1\|D)|(kpr)|(kdp)|(\|lc)|(penalty))" /e /r /s</v>
      </c>
      <c r="AG188" s="1" t="str">
        <f t="shared" si="58"/>
        <v>NW</v>
      </c>
      <c r="AH188" s="96" t="str">
        <f t="shared" si="59"/>
        <v>"%USERPROFILE%\Documents\GitHub\eaglep3\Utilities\RefineRTDCRunTimes.py" --tripid 831-28 --locoid 4029 --swversion DE.1.0.7.0 --startMP 204:965 --initTime 2016-09-28T16:44:20 --startdatetime 2016-09-28T16:51:17 --delay 1 --endMP 300:58963 --enddatetime 2016-09-28T17:05:09 --enforcementcount 0 &gt;&gt;C:\Users\stu\Documents\GitHub\eaglep3-reporting\EC\2016-09-28-refined-times.txt</v>
      </c>
      <c r="AI188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{"issue":{"subject":"","project_id":79,"tracker_id":40,"status_id":1,"priority_id":2,"assigned_to_id":23,"start_date":"2016-09-28","description":"","custom_fields":[{"id":1,"name":"Subdivision","value":"NW"},{"id":4,"name":"Milepost","value":"5.8963"},{"id":17,"name":"Train ID","value":"831-28"},{"id":16,"name":"Locomotive ID","value":"4029"},{"id":130,"name":"Impact","value":""},{"id":150,"name":"Time of Event (Mountain Time)","value":"17:05:09"},{"id":151,"name":"Denver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531</v>
      </c>
      <c r="B189" s="7">
        <v>4030</v>
      </c>
      <c r="C189" s="24" t="s">
        <v>106</v>
      </c>
      <c r="D189" s="24" t="s">
        <v>733</v>
      </c>
      <c r="E189" s="15">
        <v>42641.713078703702</v>
      </c>
      <c r="F189" s="15">
        <v>42641.714594907404</v>
      </c>
      <c r="G189" s="7">
        <v>1</v>
      </c>
      <c r="H189" s="15" t="s">
        <v>364</v>
      </c>
      <c r="I189" s="15">
        <v>42641.726377314815</v>
      </c>
      <c r="J189" s="7">
        <v>0</v>
      </c>
      <c r="K189" s="117" t="str">
        <f t="shared" si="46"/>
        <v>4029/4030</v>
      </c>
      <c r="L189" s="24" t="str">
        <f>VLOOKUP(A189,'Trips&amp;Operators'!$C$1:$E$10000,3,FALSE)</f>
        <v>LEVERE</v>
      </c>
      <c r="M189" s="6">
        <f t="shared" si="47"/>
        <v>1.1782407411374152E-2</v>
      </c>
      <c r="N189" s="7">
        <f t="shared" si="65"/>
        <v>16.966666672378778</v>
      </c>
      <c r="O189" s="7"/>
      <c r="P189" s="7"/>
      <c r="Q189" s="25"/>
      <c r="R189" s="25"/>
      <c r="S189" s="37">
        <f t="shared" si="48"/>
        <v>1</v>
      </c>
      <c r="T189" s="52" t="str">
        <f t="shared" si="49"/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16:06:50-0600',mode:absolute,to:'2016-09-28 18:25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9" s="54" t="str">
        <f t="shared" si="51"/>
        <v>N</v>
      </c>
      <c r="X189" s="164">
        <f t="shared" si="64"/>
        <v>1</v>
      </c>
      <c r="Y189" s="69">
        <f t="shared" si="52"/>
        <v>5.8640999999999996</v>
      </c>
      <c r="Z189" s="69">
        <f t="shared" si="53"/>
        <v>6.8000000000000005E-2</v>
      </c>
      <c r="AA189" s="69">
        <f t="shared" si="54"/>
        <v>5.7961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55"/>
        <v>0832-28</v>
      </c>
      <c r="AE189" s="95" t="str">
        <f t="shared" si="56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189" s="92" t="str">
        <f t="shared" si="57"/>
        <v>"C:\Program Files (x86)\AstroGrep\AstroGrep.exe" /spath="%USERPROFILE%\AppData\Local\Temp\OnboardLogs" /stypes="app*4030*20160928*" /stext=" 23:.+((SYSTEM_STATE.+slice.+state.+changed )|(ment ac)|(system.+state.+changed )|(\[timeout)|(PRM\|1\|D)|(kpr)|(kdp)|(\|lc)|(penalty))" /e /r /s</v>
      </c>
      <c r="AG189" s="1" t="str">
        <f t="shared" si="58"/>
        <v>NW</v>
      </c>
      <c r="AH189" s="96" t="str">
        <f t="shared" si="59"/>
        <v>"%USERPROFILE%\Documents\GitHub\eaglep3\Utilities\RefineRTDCRunTimes.py" --tripid 832-28 --locoid 4030 --swversion DE.1.0.7.0 --startMP 300:58641 --initTime 2016-09-28T17:06:50 --startdatetime 2016-09-28T17:09:01 --delay 1 --endMP 204:680 --enddatetime 2016-09-28T17:25:59 --enforcementcount 0 &gt;&gt;C:\Users\stu\Documents\GitHub\eaglep3-reporting\EC\2016-09-28-refined-times.txt</v>
      </c>
      <c r="AI189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{"issue":{"subject":"","project_id":79,"tracker_id":40,"status_id":1,"priority_id":2,"assigned_to_id":23,"start_date":"2016-09-28","description":"","custom_fields":[{"id":1,"name":"Subdivision","value":"NW"},{"id":4,"name":"Milepost","value":"0.068"},{"id":17,"name":"Train ID","value":"832-28"},{"id":16,"name":"Locomotive ID","value":"4030"},{"id":130,"name":"Impact","value":""},{"id":150,"name":"Time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534</v>
      </c>
      <c r="B190" s="7">
        <v>4016</v>
      </c>
      <c r="C190" s="24" t="s">
        <v>106</v>
      </c>
      <c r="D190" s="24" t="s">
        <v>734</v>
      </c>
      <c r="E190" s="15">
        <v>42641.719467592593</v>
      </c>
      <c r="F190" s="15">
        <v>42641.723275462966</v>
      </c>
      <c r="G190" s="7">
        <v>1</v>
      </c>
      <c r="H190" s="15" t="s">
        <v>735</v>
      </c>
      <c r="I190" s="15">
        <v>42641.732974537037</v>
      </c>
      <c r="J190" s="7">
        <v>0</v>
      </c>
      <c r="K190" s="117" t="str">
        <f t="shared" si="46"/>
        <v>4015/4016</v>
      </c>
      <c r="L190" s="24" t="str">
        <f>VLOOKUP(A190,'Trips&amp;Operators'!$C$1:$E$10000,3,FALSE)</f>
        <v>MOSES</v>
      </c>
      <c r="M190" s="6">
        <f t="shared" si="47"/>
        <v>9.6990740712499246E-3</v>
      </c>
      <c r="N190" s="7">
        <f t="shared" si="65"/>
        <v>13.966666662599891</v>
      </c>
      <c r="O190" s="7"/>
      <c r="P190" s="7"/>
      <c r="Q190" s="25"/>
      <c r="R190" s="25"/>
      <c r="S190" s="37">
        <f t="shared" si="48"/>
        <v>1</v>
      </c>
      <c r="T190" s="52" t="str">
        <f t="shared" si="49"/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16:16:02-0600',mode:absolute,to:'2016-09-28 18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90" s="54" t="str">
        <f t="shared" si="51"/>
        <v>N</v>
      </c>
      <c r="X190" s="164">
        <f t="shared" si="64"/>
        <v>1</v>
      </c>
      <c r="Y190" s="69">
        <f t="shared" si="52"/>
        <v>9.6199999999999994E-2</v>
      </c>
      <c r="Z190" s="69">
        <f t="shared" si="53"/>
        <v>5.8971</v>
      </c>
      <c r="AA190" s="69">
        <f t="shared" si="54"/>
        <v>5.8009000000000004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55"/>
        <v>0833-28</v>
      </c>
      <c r="AE190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90" s="92" t="str">
        <f t="shared" si="57"/>
        <v>"C:\Program Files (x86)\AstroGrep\AstroGrep.exe" /spath="%USERPROFILE%\AppData\Local\Temp\OnboardLogs" /stypes="app*4016*20160928*" /stext=" 23:.+((SYSTEM_STATE.+slice.+state.+changed )|(ment ac)|(system.+state.+changed )|(\[timeout)|(PRM\|1\|D)|(kpr)|(kdp)|(\|lc)|(penalty))" /e /r /s</v>
      </c>
      <c r="AG190" s="1" t="str">
        <f t="shared" si="58"/>
        <v>NW</v>
      </c>
      <c r="AH190" s="96" t="str">
        <f t="shared" si="59"/>
        <v>"%USERPROFILE%\Documents\GitHub\eaglep3\Utilities\RefineRTDCRunTimes.py" --tripid 833-28 --locoid 4016 --swversion DE.1.0.7.0 --startMP 204:962 --initTime 2016-09-28T17:16:02 --startdatetime 2016-09-28T17:21:31 --delay 1 --endMP 300:58971 --enddatetime 2016-09-28T17:35:29 --enforcementcount 0 &gt;&gt;C:\Users\stu\Documents\GitHub\eaglep3-reporting\EC\2016-09-28-refined-times.txt</v>
      </c>
      <c r="AI190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{"issue":{"subject":"","project_id":79,"tracker_id":40,"status_id":1,"priority_id":2,"assigned_to_id":23,"start_date":"2016-09-28","description":"","custom_fields":[{"id":1,"name":"Subdivision","value":"NW"},{"id":4,"name":"Milepost","value":"5.8971"},{"id":17,"name":"Train ID","value":"833-28"},{"id":16,"name":"Locomotive ID","value":"4016"},{"id":130,"name":"Impact","value":""},{"id":150,"name":"Time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539</v>
      </c>
      <c r="B191" s="7">
        <v>4015</v>
      </c>
      <c r="C191" s="24" t="s">
        <v>106</v>
      </c>
      <c r="D191" s="24" t="s">
        <v>736</v>
      </c>
      <c r="E191" s="15">
        <v>42641.735451388886</v>
      </c>
      <c r="F191" s="15">
        <v>42641.737453703703</v>
      </c>
      <c r="G191" s="7">
        <v>1</v>
      </c>
      <c r="H191" s="15" t="s">
        <v>728</v>
      </c>
      <c r="I191" s="15">
        <v>42641.74763888889</v>
      </c>
      <c r="J191" s="7">
        <v>0</v>
      </c>
      <c r="K191" s="117" t="str">
        <f t="shared" si="46"/>
        <v>4015/4016</v>
      </c>
      <c r="L191" s="24" t="str">
        <f>VLOOKUP(A191,'Trips&amp;Operators'!$C$1:$E$10000,3,FALSE)</f>
        <v>MOSES</v>
      </c>
      <c r="M191" s="6">
        <f t="shared" si="47"/>
        <v>1.0185185186855961E-2</v>
      </c>
      <c r="N191" s="7">
        <f t="shared" si="65"/>
        <v>14.666666669072583</v>
      </c>
      <c r="O191" s="7"/>
      <c r="P191" s="7"/>
      <c r="Q191" s="25"/>
      <c r="R191" s="25"/>
      <c r="S191" s="37">
        <f t="shared" si="48"/>
        <v>1</v>
      </c>
      <c r="T191" s="52" t="str">
        <f t="shared" si="49"/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16:39:03-0600',mode:absolute,to:'2016-09-28 18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91" s="54" t="str">
        <f t="shared" si="51"/>
        <v>N</v>
      </c>
      <c r="X191" s="164">
        <f t="shared" si="64"/>
        <v>1</v>
      </c>
      <c r="Y191" s="69">
        <f t="shared" si="52"/>
        <v>5.8662000000000001</v>
      </c>
      <c r="Z191" s="69">
        <f t="shared" si="53"/>
        <v>6.7100000000000007E-2</v>
      </c>
      <c r="AA191" s="69">
        <f t="shared" si="54"/>
        <v>5.7991000000000001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55"/>
        <v>0834-28</v>
      </c>
      <c r="AE191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91" s="92" t="str">
        <f t="shared" si="57"/>
        <v>"C:\Program Files (x86)\AstroGrep\AstroGrep.exe" /spath="%USERPROFILE%\AppData\Local\Temp\OnboardLogs" /stypes="app*4015*20160928*" /stext=" 23:.+((SYSTEM_STATE.+slice.+state.+changed )|(ment ac)|(system.+state.+changed )|(\[timeout)|(PRM\|1\|D)|(kpr)|(kdp)|(\|lc)|(penalty))" /e /r /s</v>
      </c>
      <c r="AG191" s="1" t="str">
        <f t="shared" si="58"/>
        <v>NW</v>
      </c>
      <c r="AH191" s="96" t="str">
        <f t="shared" si="59"/>
        <v>"%USERPROFILE%\Documents\GitHub\eaglep3\Utilities\RefineRTDCRunTimes.py" --tripid 834-28 --locoid 4015 --swversion DE.1.0.7.0 --startMP 300:58662 --initTime 2016-09-28T17:39:03 --startdatetime 2016-09-28T17:41:56 --delay 1 --endMP 204:671 --enddatetime 2016-09-28T17:56:36 --enforcementcount 0 &gt;&gt;C:\Users\stu\Documents\GitHub\eaglep3-reporting\EC\2016-09-28-refined-times.txt</v>
      </c>
      <c r="AI191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{"issue":{"subject":"","project_id":79,"tracker_id":40,"status_id":1,"priority_id":2,"assigned_to_id":23,"start_date":"2016-09-28","description":"","custom_fields":[{"id":1,"name":"Subdivision","value":"NW"},{"id":4,"name":"Milepost","value":"0.0671"},{"id":17,"name":"Train ID","value":"834-28"},{"id":16,"name":"Locomotive ID","value":"4015"},{"id":130,"name":"Impact","value":""},{"id":150,"name":"Time of Event (Mountain Time)","value":"17:56:36"},{"id":151,"name":"Denver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542</v>
      </c>
      <c r="B192" s="7">
        <v>4029</v>
      </c>
      <c r="C192" s="24" t="s">
        <v>106</v>
      </c>
      <c r="D192" s="24" t="s">
        <v>737</v>
      </c>
      <c r="E192" s="15">
        <v>42641.740162037036</v>
      </c>
      <c r="F192" s="15">
        <v>42641.743935185186</v>
      </c>
      <c r="G192" s="7">
        <v>1</v>
      </c>
      <c r="H192" s="15" t="s">
        <v>738</v>
      </c>
      <c r="I192" s="15">
        <v>42641.753958333335</v>
      </c>
      <c r="J192" s="7">
        <v>0</v>
      </c>
      <c r="K192" s="117" t="str">
        <f t="shared" si="46"/>
        <v>4029/4030</v>
      </c>
      <c r="L192" s="24" t="str">
        <f>VLOOKUP(A192,'Trips&amp;Operators'!$C$1:$E$10000,3,FALSE)</f>
        <v>LEVERE</v>
      </c>
      <c r="M192" s="6">
        <f t="shared" si="47"/>
        <v>1.0023148148320615E-2</v>
      </c>
      <c r="N192" s="7">
        <f t="shared" si="65"/>
        <v>14.433333333581686</v>
      </c>
      <c r="O192" s="7"/>
      <c r="P192" s="7"/>
      <c r="Q192" s="25"/>
      <c r="R192" s="25"/>
      <c r="S192" s="37">
        <f t="shared" si="48"/>
        <v>1</v>
      </c>
      <c r="T192" s="52" t="str">
        <f t="shared" si="49"/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16:45:50-0600',mode:absolute,to:'2016-09-28 19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2" s="54" t="str">
        <f t="shared" si="51"/>
        <v>N</v>
      </c>
      <c r="X192" s="164">
        <f t="shared" si="64"/>
        <v>1</v>
      </c>
      <c r="Y192" s="69">
        <f t="shared" si="52"/>
        <v>9.8500000000000004E-2</v>
      </c>
      <c r="Z192" s="69">
        <f t="shared" si="53"/>
        <v>5.8958000000000004</v>
      </c>
      <c r="AA192" s="69">
        <f t="shared" si="54"/>
        <v>5.7973000000000008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55"/>
        <v>0835-28</v>
      </c>
      <c r="AE192" s="95" t="str">
        <f t="shared" si="56"/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AF192" s="92" t="str">
        <f t="shared" si="57"/>
        <v>"C:\Program Files (x86)\AstroGrep\AstroGrep.exe" /spath="%USERPROFILE%\AppData\Local\Temp\OnboardLogs" /stypes="app*4029*20160929*" /stext=" 00:.+((SYSTEM_STATE.+slice.+state.+changed )|(ment ac)|(system.+state.+changed )|(\[timeout)|(PRM\|1\|D)|(kpr)|(kdp)|(\|lc)|(penalty))" /e /r /s</v>
      </c>
      <c r="AG192" s="1" t="str">
        <f t="shared" si="58"/>
        <v>NW</v>
      </c>
      <c r="AH192" s="96" t="str">
        <f t="shared" si="59"/>
        <v>"%USERPROFILE%\Documents\GitHub\eaglep3\Utilities\RefineRTDCRunTimes.py" --tripid 835-28 --locoid 4029 --swversion DE.1.0.7.0 --startMP 204:985 --initTime 2016-09-28T17:45:50 --startdatetime 2016-09-28T17:51:16 --delay 1 --endMP 300:58958 --enddatetime 2016-09-28T18:05:42 --enforcementcount 0 &gt;&gt;C:\Users\stu\Documents\GitHub\eaglep3-reporting\EC\2016-09-28-refined-times.txt</v>
      </c>
      <c r="AI192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{"issue":{"subject":"","project_id":79,"tracker_id":40,"status_id":1,"priority_id":2,"assigned_to_id":23,"start_date":"2016-09-28","description":"","custom_fields":[{"id":1,"name":"Subdivision","value":"NW"},{"id":4,"name":"Milepost","value":"5.8958"},{"id":17,"name":"Train ID","value":"835-28"},{"id":16,"name":"Locomotive ID","value":"4029"},{"id":130,"name":"Impact","value":""},{"id":150,"name":"Time of Event (Mountain Time)","value":"18:05:42"},{"id":151,"name":"Denver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545</v>
      </c>
      <c r="B193" s="7">
        <v>4030</v>
      </c>
      <c r="C193" s="24" t="s">
        <v>106</v>
      </c>
      <c r="D193" s="24" t="s">
        <v>739</v>
      </c>
      <c r="E193" s="15">
        <v>42641.75503472222</v>
      </c>
      <c r="F193" s="15">
        <v>42641.756643518522</v>
      </c>
      <c r="G193" s="7">
        <v>1</v>
      </c>
      <c r="H193" s="15" t="s">
        <v>740</v>
      </c>
      <c r="I193" s="15">
        <v>42641.768784722219</v>
      </c>
      <c r="J193" s="7">
        <v>0</v>
      </c>
      <c r="K193" s="117" t="str">
        <f t="shared" si="46"/>
        <v>4029/4030</v>
      </c>
      <c r="L193" s="24" t="str">
        <f>VLOOKUP(A193,'Trips&amp;Operators'!$C$1:$E$10000,3,FALSE)</f>
        <v>LEVERE</v>
      </c>
      <c r="M193" s="6">
        <f t="shared" si="47"/>
        <v>1.2141203696955927E-2</v>
      </c>
      <c r="N193" s="7">
        <f t="shared" si="65"/>
        <v>17.483333323616534</v>
      </c>
      <c r="O193" s="7"/>
      <c r="P193" s="7"/>
      <c r="Q193" s="25"/>
      <c r="R193" s="25"/>
      <c r="S193" s="37">
        <f t="shared" si="48"/>
        <v>1</v>
      </c>
      <c r="T193" s="52" t="str">
        <f t="shared" si="49"/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17:07:15-0600',mode:absolute,to:'2016-09-28 19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3" s="54" t="str">
        <f t="shared" si="51"/>
        <v>N</v>
      </c>
      <c r="X193" s="164">
        <f t="shared" si="64"/>
        <v>1</v>
      </c>
      <c r="Y193" s="69">
        <f t="shared" si="52"/>
        <v>5.8653000000000004</v>
      </c>
      <c r="Z193" s="69">
        <f t="shared" si="53"/>
        <v>6.8900000000000003E-2</v>
      </c>
      <c r="AA193" s="69">
        <f t="shared" si="54"/>
        <v>5.7964000000000002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55"/>
        <v>0836-28</v>
      </c>
      <c r="AE193" s="95" t="str">
        <f t="shared" si="56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193" s="92" t="str">
        <f t="shared" si="57"/>
        <v>"C:\Program Files (x86)\AstroGrep\AstroGrep.exe" /spath="%USERPROFILE%\AppData\Local\Temp\OnboardLogs" /stypes="app*4030*20160929*" /stext=" 00:.+((SYSTEM_STATE.+slice.+state.+changed )|(ment ac)|(system.+state.+changed )|(\[timeout)|(PRM\|1\|D)|(kpr)|(kdp)|(\|lc)|(penalty))" /e /r /s</v>
      </c>
      <c r="AG193" s="1" t="str">
        <f t="shared" si="58"/>
        <v>NW</v>
      </c>
      <c r="AH193" s="96" t="str">
        <f t="shared" si="59"/>
        <v>"%USERPROFILE%\Documents\GitHub\eaglep3\Utilities\RefineRTDCRunTimes.py" --tripid 836-28 --locoid 4030 --swversion DE.1.0.7.0 --startMP 300:58653 --initTime 2016-09-28T18:07:15 --startdatetime 2016-09-28T18:09:34 --delay 1 --endMP 204:689 --enddatetime 2016-09-28T18:27:03 --enforcementcount 0 &gt;&gt;C:\Users\stu\Documents\GitHub\eaglep3-reporting\EC\2016-09-28-refined-times.txt</v>
      </c>
      <c r="AI193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{"issue":{"subject":"","project_id":79,"tracker_id":40,"status_id":1,"priority_id":2,"assigned_to_id":23,"start_date":"2016-09-28","description":"","custom_fields":[{"id":1,"name":"Subdivision","value":"NW"},{"id":4,"name":"Milepost","value":"0.0689"},{"id":17,"name":"Train ID","value":"836-28"},{"id":16,"name":"Locomotive ID","value":"4030"},{"id":130,"name":"Impact","value":""},{"id":150,"name":"Time of Event (Mountain Time)","value":"18:27:03"},{"id":151,"name":"Denver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548</v>
      </c>
      <c r="B194" s="7">
        <v>4016</v>
      </c>
      <c r="C194" s="24" t="s">
        <v>106</v>
      </c>
      <c r="D194" s="24" t="s">
        <v>741</v>
      </c>
      <c r="E194" s="15">
        <v>42641.761331018519</v>
      </c>
      <c r="F194" s="15">
        <v>42641.76489583333</v>
      </c>
      <c r="G194" s="7">
        <v>1</v>
      </c>
      <c r="H194" s="15" t="s">
        <v>742</v>
      </c>
      <c r="I194" s="15">
        <v>42641.774409722224</v>
      </c>
      <c r="J194" s="7">
        <v>0</v>
      </c>
      <c r="K194" s="117" t="str">
        <f t="shared" si="46"/>
        <v>4015/4016</v>
      </c>
      <c r="L194" s="24" t="str">
        <f>VLOOKUP(A194,'Trips&amp;Operators'!$C$1:$E$10000,3,FALSE)</f>
        <v>MOSES</v>
      </c>
      <c r="M194" s="6">
        <f t="shared" si="47"/>
        <v>9.5138888937071897E-3</v>
      </c>
      <c r="N194" s="7">
        <f t="shared" si="65"/>
        <v>13.700000006938353</v>
      </c>
      <c r="O194" s="7"/>
      <c r="P194" s="7"/>
      <c r="Q194" s="25"/>
      <c r="R194" s="25"/>
      <c r="S194" s="37">
        <f t="shared" si="48"/>
        <v>1</v>
      </c>
      <c r="T194" s="52" t="str">
        <f t="shared" si="49"/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17:16:19-0600',mode:absolute,to:'2016-09-28 19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94" s="54" t="str">
        <f t="shared" si="51"/>
        <v>N</v>
      </c>
      <c r="X194" s="164">
        <f t="shared" si="64"/>
        <v>1</v>
      </c>
      <c r="Y194" s="69">
        <f t="shared" si="52"/>
        <v>9.4799999999999995E-2</v>
      </c>
      <c r="Z194" s="69">
        <f t="shared" si="53"/>
        <v>5.8997000000000002</v>
      </c>
      <c r="AA194" s="69">
        <f t="shared" si="54"/>
        <v>5.8048999999999999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55"/>
        <v>0837-28</v>
      </c>
      <c r="AE194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94" s="92" t="str">
        <f t="shared" si="57"/>
        <v>"C:\Program Files (x86)\AstroGrep\AstroGrep.exe" /spath="%USERPROFILE%\AppData\Local\Temp\OnboardLogs" /stypes="app*4016*20160929*" /stext=" 00:.+((SYSTEM_STATE.+slice.+state.+changed )|(ment ac)|(system.+state.+changed )|(\[timeout)|(PRM\|1\|D)|(kpr)|(kdp)|(\|lc)|(penalty))" /e /r /s</v>
      </c>
      <c r="AG194" s="1" t="str">
        <f t="shared" si="58"/>
        <v>NW</v>
      </c>
      <c r="AH194" s="96" t="str">
        <f t="shared" si="59"/>
        <v>"%USERPROFILE%\Documents\GitHub\eaglep3\Utilities\RefineRTDCRunTimes.py" --tripid 837-28 --locoid 4016 --swversion DE.1.0.7.0 --startMP 204:948 --initTime 2016-09-28T18:16:19 --startdatetime 2016-09-28T18:21:27 --delay 1 --endMP 300:58997 --enddatetime 2016-09-28T18:35:09 --enforcementcount 0 &gt;&gt;C:\Users\stu\Documents\GitHub\eaglep3-reporting\EC\2016-09-28-refined-times.txt</v>
      </c>
      <c r="AI194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{"issue":{"subject":"","project_id":79,"tracker_id":40,"status_id":1,"priority_id":2,"assigned_to_id":23,"start_date":"2016-09-28","description":"","custom_fields":[{"id":1,"name":"Subdivision","value":"NW"},{"id":4,"name":"Milepost","value":"5.8997"},{"id":17,"name":"Train ID","value":"837-28"},{"id":16,"name":"Locomotive ID","value":"4016"},{"id":130,"name":"Impact","value":""},{"id":150,"name":"Time of Event (Mountain Time)","value":"18:35:09"},{"id":151,"name":"Denver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552</v>
      </c>
      <c r="B195" s="7">
        <v>4015</v>
      </c>
      <c r="C195" s="24" t="s">
        <v>106</v>
      </c>
      <c r="D195" s="24" t="s">
        <v>726</v>
      </c>
      <c r="E195" s="15">
        <v>42641.77752314815</v>
      </c>
      <c r="F195" s="15">
        <v>42641.77920138889</v>
      </c>
      <c r="G195" s="7">
        <v>1</v>
      </c>
      <c r="H195" s="15" t="s">
        <v>743</v>
      </c>
      <c r="I195" s="15">
        <v>42641.789363425924</v>
      </c>
      <c r="J195" s="7">
        <v>0</v>
      </c>
      <c r="K195" s="117" t="str">
        <f t="shared" si="46"/>
        <v>4015/4016</v>
      </c>
      <c r="L195" s="24" t="str">
        <f>VLOOKUP(A195,'Trips&amp;Operators'!$C$1:$E$10000,3,FALSE)</f>
        <v>MOSES</v>
      </c>
      <c r="M195" s="6">
        <f t="shared" si="47"/>
        <v>1.0162037033296656E-2</v>
      </c>
      <c r="N195" s="7">
        <f t="shared" si="65"/>
        <v>14.633333327947184</v>
      </c>
      <c r="O195" s="7"/>
      <c r="P195" s="7"/>
      <c r="Q195" s="25"/>
      <c r="R195" s="25"/>
      <c r="S195" s="37">
        <f t="shared" si="48"/>
        <v>1</v>
      </c>
      <c r="T195" s="52" t="str">
        <f t="shared" si="49"/>
        <v>Southbound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17:39:38-0600',mode:absolute,to:'2016-09-28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95" s="54" t="str">
        <f t="shared" si="51"/>
        <v>N</v>
      </c>
      <c r="X195" s="164">
        <f t="shared" si="64"/>
        <v>1</v>
      </c>
      <c r="Y195" s="69">
        <f t="shared" si="52"/>
        <v>5.8688000000000002</v>
      </c>
      <c r="Z195" s="69">
        <f t="shared" si="53"/>
        <v>6.6600000000000006E-2</v>
      </c>
      <c r="AA195" s="69">
        <f t="shared" si="54"/>
        <v>5.8022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55"/>
        <v>0838-28</v>
      </c>
      <c r="AE195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95" s="92" t="str">
        <f t="shared" si="57"/>
        <v>"C:\Program Files (x86)\AstroGrep\AstroGrep.exe" /spath="%USERPROFILE%\AppData\Local\Temp\OnboardLogs" /stypes="app*4015*20160929*" /stext=" 00:.+((SYSTEM_STATE.+slice.+state.+changed )|(ment ac)|(system.+state.+changed )|(\[timeout)|(PRM\|1\|D)|(kpr)|(kdp)|(\|lc)|(penalty))" /e /r /s</v>
      </c>
      <c r="AG195" s="1" t="str">
        <f t="shared" si="58"/>
        <v>NW</v>
      </c>
      <c r="AH195" s="96" t="str">
        <f t="shared" si="59"/>
        <v>"%USERPROFILE%\Documents\GitHub\eaglep3\Utilities\RefineRTDCRunTimes.py" --tripid 838-28 --locoid 4015 --swversion DE.1.0.7.0 --startMP 300:58688 --initTime 2016-09-28T18:39:38 --startdatetime 2016-09-28T18:42:03 --delay 1 --endMP 204:666 --enddatetime 2016-09-28T18:56:41 --enforcementcount 0 &gt;&gt;C:\Users\stu\Documents\GitHub\eaglep3-reporting\EC\2016-09-28-refined-times.txt</v>
      </c>
      <c r="AI195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{"issue":{"subject":"","project_id":79,"tracker_id":40,"status_id":1,"priority_id":2,"assigned_to_id":23,"start_date":"2016-09-28","description":"","custom_fields":[{"id":1,"name":"Subdivision","value":"NW"},{"id":4,"name":"Milepost","value":"0.0666"},{"id":17,"name":"Train ID","value":"838-28"},{"id":16,"name":"Locomotive ID","value":"4015"},{"id":130,"name":"Impact","value":""},{"id":150,"name":"Time of Event (Mountain Time)","value":"18:56:41"},{"id":151,"name":"Denver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553</v>
      </c>
      <c r="B196" s="7">
        <v>4029</v>
      </c>
      <c r="C196" s="24" t="s">
        <v>106</v>
      </c>
      <c r="D196" s="24" t="s">
        <v>315</v>
      </c>
      <c r="E196" s="15">
        <v>42641.782523148147</v>
      </c>
      <c r="F196" s="15">
        <v>42641.785601851851</v>
      </c>
      <c r="G196" s="7">
        <v>1</v>
      </c>
      <c r="H196" s="15" t="s">
        <v>744</v>
      </c>
      <c r="I196" s="15">
        <v>42641.795717592591</v>
      </c>
      <c r="J196" s="7">
        <v>0</v>
      </c>
      <c r="K196" s="117" t="str">
        <f t="shared" si="46"/>
        <v>4029/4030</v>
      </c>
      <c r="L196" s="24" t="str">
        <f>VLOOKUP(A196,'Trips&amp;Operators'!$C$1:$E$10000,3,FALSE)</f>
        <v>LEVERE</v>
      </c>
      <c r="M196" s="6">
        <f t="shared" si="47"/>
        <v>1.0115740740729962E-2</v>
      </c>
      <c r="N196" s="7">
        <f t="shared" si="65"/>
        <v>14.566666666651145</v>
      </c>
      <c r="O196" s="7"/>
      <c r="P196" s="7"/>
      <c r="Q196" s="25"/>
      <c r="R196" s="25"/>
      <c r="S196" s="37">
        <f t="shared" si="48"/>
        <v>1</v>
      </c>
      <c r="T196" s="52" t="str">
        <f t="shared" si="49"/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17:46:50-0600',mode:absolute,to:'2016-09-28 20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6" s="54" t="str">
        <f t="shared" si="51"/>
        <v>N</v>
      </c>
      <c r="X196" s="164">
        <f t="shared" si="64"/>
        <v>1</v>
      </c>
      <c r="Y196" s="69">
        <f t="shared" si="52"/>
        <v>9.74E-2</v>
      </c>
      <c r="Z196" s="69">
        <f t="shared" si="53"/>
        <v>5.8968999999999996</v>
      </c>
      <c r="AA196" s="69">
        <f t="shared" si="54"/>
        <v>5.7994999999999992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55"/>
        <v>0839-28</v>
      </c>
      <c r="AE196" s="95" t="str">
        <f t="shared" si="56"/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AF196" s="92" t="str">
        <f t="shared" si="57"/>
        <v>"C:\Program Files (x86)\AstroGrep\AstroGrep.exe" /spath="%USERPROFILE%\AppData\Local\Temp\OnboardLogs" /stypes="app*4029*20160929*" /stext=" 01:.+((SYSTEM_STATE.+slice.+state.+changed )|(ment ac)|(system.+state.+changed )|(\[timeout)|(PRM\|1\|D)|(kpr)|(kdp)|(\|lc)|(penalty))" /e /r /s</v>
      </c>
      <c r="AG196" s="1" t="str">
        <f t="shared" si="58"/>
        <v>NW</v>
      </c>
      <c r="AH196" s="96" t="str">
        <f t="shared" si="59"/>
        <v>"%USERPROFILE%\Documents\GitHub\eaglep3\Utilities\RefineRTDCRunTimes.py" --tripid 839-28 --locoid 4029 --swversion DE.1.0.7.0 --startMP 204:974 --initTime 2016-09-28T18:46:50 --startdatetime 2016-09-28T18:51:16 --delay 1 --endMP 300:58969 --enddatetime 2016-09-28T19:05:50 --enforcementcount 0 &gt;&gt;C:\Users\stu\Documents\GitHub\eaglep3-reporting\EC\2016-09-28-refined-times.txt</v>
      </c>
      <c r="AI196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{"issue":{"subject":"","project_id":79,"tracker_id":40,"status_id":1,"priority_id":2,"assigned_to_id":23,"start_date":"2016-09-28","description":"","custom_fields":[{"id":1,"name":"Subdivision","value":"NW"},{"id":4,"name":"Milepost","value":"5.8969"},{"id":17,"name":"Train ID","value":"839-28"},{"id":16,"name":"Locomotive ID","value":"4029"},{"id":130,"name":"Impact","value":""},{"id":150,"name":"Time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564</v>
      </c>
      <c r="B197" s="7">
        <v>4015</v>
      </c>
      <c r="C197" s="24" t="s">
        <v>106</v>
      </c>
      <c r="D197" s="24" t="s">
        <v>745</v>
      </c>
      <c r="E197" s="15">
        <v>42641.818784722222</v>
      </c>
      <c r="F197" s="15">
        <v>42641.820613425924</v>
      </c>
      <c r="G197" s="7">
        <v>1</v>
      </c>
      <c r="H197" s="15" t="s">
        <v>743</v>
      </c>
      <c r="I197" s="15">
        <v>42641.830763888887</v>
      </c>
      <c r="J197" s="7">
        <v>0</v>
      </c>
      <c r="K197" s="117" t="str">
        <f t="shared" si="46"/>
        <v>4015/4016</v>
      </c>
      <c r="L197" s="24" t="str">
        <f>VLOOKUP(A197,'Trips&amp;Operators'!$C$1:$E$10000,3,FALSE)</f>
        <v>MOSES</v>
      </c>
      <c r="M197" s="6">
        <f t="shared" si="47"/>
        <v>1.0150462963792961E-2</v>
      </c>
      <c r="N197" s="7">
        <f t="shared" si="65"/>
        <v>14.616666667861864</v>
      </c>
      <c r="O197" s="7"/>
      <c r="P197" s="7"/>
      <c r="Q197" s="25"/>
      <c r="R197" s="25"/>
      <c r="S197" s="37">
        <f t="shared" si="48"/>
        <v>1</v>
      </c>
      <c r="T197" s="52" t="str">
        <f t="shared" si="49"/>
        <v>Southbound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18:39:03-0600',mode:absolute,to:'2016-09-28 20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97" s="54" t="str">
        <f t="shared" si="51"/>
        <v>N</v>
      </c>
      <c r="X197" s="164">
        <f t="shared" si="64"/>
        <v>1</v>
      </c>
      <c r="Y197" s="69">
        <f t="shared" si="52"/>
        <v>5.8658000000000001</v>
      </c>
      <c r="Z197" s="69">
        <f t="shared" si="53"/>
        <v>6.6600000000000006E-2</v>
      </c>
      <c r="AA197" s="69">
        <f t="shared" si="54"/>
        <v>5.7991999999999999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55"/>
        <v>0840-28</v>
      </c>
      <c r="AE197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97" s="92" t="str">
        <f t="shared" si="57"/>
        <v>"C:\Program Files (x86)\AstroGrep\AstroGrep.exe" /spath="%USERPROFILE%\AppData\Local\Temp\OnboardLogs" /stypes="app*4015*20160929*" /stext=" 01:.+((SYSTEM_STATE.+slice.+state.+changed )|(ment ac)|(system.+state.+changed )|(\[timeout)|(PRM\|1\|D)|(kpr)|(kdp)|(\|lc)|(penalty))" /e /r /s</v>
      </c>
      <c r="AG197" s="1" t="str">
        <f t="shared" si="58"/>
        <v>NW</v>
      </c>
      <c r="AH197" s="96" t="str">
        <f t="shared" si="59"/>
        <v>"%USERPROFILE%\Documents\GitHub\eaglep3\Utilities\RefineRTDCRunTimes.py" --tripid 840-28 --locoid 4015 --swversion DE.1.0.7.0 --startMP 300:58658 --initTime 2016-09-28T19:39:03 --startdatetime 2016-09-28T19:41:41 --delay 1 --endMP 204:666 --enddatetime 2016-09-28T19:56:18 --enforcementcount 0 &gt;&gt;C:\Users\stu\Documents\GitHub\eaglep3-reporting\EC\2016-09-28-refined-times.txt</v>
      </c>
      <c r="AI197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{"issue":{"subject":"","project_id":79,"tracker_id":40,"status_id":1,"priority_id":2,"assigned_to_id":23,"start_date":"2016-09-28","description":"","custom_fields":[{"id":1,"name":"Subdivision","value":"NW"},{"id":4,"name":"Milepost","value":"0.0666"},{"id":17,"name":"Train ID","value":"840-28"},{"id":16,"name":"Locomotive ID","value":"4015"},{"id":130,"name":"Impact","value":""},{"id":150,"name":"Time of Event (Mountain Time)","value":"19:56:18"},{"id":151,"name":"Denver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560</v>
      </c>
      <c r="B198" s="7">
        <v>4016</v>
      </c>
      <c r="C198" s="24" t="s">
        <v>106</v>
      </c>
      <c r="D198" s="24" t="s">
        <v>362</v>
      </c>
      <c r="E198" s="15">
        <v>42641.802291666667</v>
      </c>
      <c r="F198" s="15">
        <v>42641.806435185186</v>
      </c>
      <c r="G198" s="7">
        <v>1</v>
      </c>
      <c r="H198" s="15" t="s">
        <v>746</v>
      </c>
      <c r="I198" s="15">
        <v>42641.816817129627</v>
      </c>
      <c r="J198" s="7">
        <v>0</v>
      </c>
      <c r="K198" s="117" t="str">
        <f t="shared" si="46"/>
        <v>4015/4016</v>
      </c>
      <c r="L198" s="24" t="str">
        <f>VLOOKUP(A198,'Trips&amp;Operators'!$C$1:$E$10000,3,FALSE)</f>
        <v>MOSES</v>
      </c>
      <c r="M198" s="6">
        <f t="shared" si="47"/>
        <v>1.0381944441178348E-2</v>
      </c>
      <c r="N198" s="7">
        <f t="shared" si="65"/>
        <v>14.949999995296821</v>
      </c>
      <c r="O198" s="7"/>
      <c r="P198" s="7"/>
      <c r="Q198" s="25"/>
      <c r="R198" s="25"/>
      <c r="S198" s="37">
        <f t="shared" si="48"/>
        <v>1</v>
      </c>
      <c r="T198" s="52" t="str">
        <f t="shared" si="49"/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18:15:18-0600',mode:absolute,to:'2016-09-28 20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98" s="54" t="str">
        <f t="shared" si="51"/>
        <v>N</v>
      </c>
      <c r="X198" s="164">
        <f t="shared" ref="X198:X227" si="66">VALUE(LEFT(AD198,4))-VALUE(LEFT(AD197,4))</f>
        <v>1</v>
      </c>
      <c r="Y198" s="69">
        <f t="shared" si="52"/>
        <v>9.6000000000000002E-2</v>
      </c>
      <c r="Z198" s="69">
        <f t="shared" si="53"/>
        <v>5.8973000000000004</v>
      </c>
      <c r="AA198" s="69">
        <f t="shared" si="54"/>
        <v>5.8013000000000003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55"/>
        <v>0841-28</v>
      </c>
      <c r="AE198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198" s="92" t="str">
        <f t="shared" si="57"/>
        <v>"C:\Program Files (x86)\AstroGrep\AstroGrep.exe" /spath="%USERPROFILE%\AppData\Local\Temp\OnboardLogs" /stypes="app*4016*20160929*" /stext=" 01:.+((SYSTEM_STATE.+slice.+state.+changed )|(ment ac)|(system.+state.+changed )|(\[timeout)|(PRM\|1\|D)|(kpr)|(kdp)|(\|lc)|(penalty))" /e /r /s</v>
      </c>
      <c r="AG198" s="1" t="str">
        <f t="shared" si="58"/>
        <v>NW</v>
      </c>
      <c r="AH198" s="96" t="str">
        <f t="shared" si="59"/>
        <v>"%USERPROFILE%\Documents\GitHub\eaglep3\Utilities\RefineRTDCRunTimes.py" --tripid 841-28 --locoid 4016 --swversion DE.1.0.7.0 --startMP 204:960 --initTime 2016-09-28T19:15:18 --startdatetime 2016-09-28T19:21:16 --delay 1 --endMP 300:58973 --enddatetime 2016-09-28T19:36:13 --enforcementcount 0 &gt;&gt;C:\Users\stu\Documents\GitHub\eaglep3-reporting\EC\2016-09-28-refined-times.txt</v>
      </c>
      <c r="AI198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{"issue":{"subject":"","project_id":79,"tracker_id":40,"status_id":1,"priority_id":2,"assigned_to_id":23,"start_date":"2016-09-28","description":"","custom_fields":[{"id":1,"name":"Subdivision","value":"NW"},{"id":4,"name":"Milepost","value":"5.8973"},{"id":17,"name":"Train ID","value":"841-28"},{"id":16,"name":"Locomotive ID","value":"4016"},{"id":130,"name":"Impact","value":""},{"id":150,"name":"Time of Event (Mountain Time)","value":"19:36:13"},{"id":151,"name":"Denver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570</v>
      </c>
      <c r="B199" s="7">
        <v>4015</v>
      </c>
      <c r="C199" s="24" t="s">
        <v>106</v>
      </c>
      <c r="D199" s="24" t="s">
        <v>312</v>
      </c>
      <c r="E199" s="15">
        <v>42641.859618055554</v>
      </c>
      <c r="F199" s="15">
        <v>42641.861597222225</v>
      </c>
      <c r="G199" s="7">
        <v>1</v>
      </c>
      <c r="H199" s="15" t="s">
        <v>363</v>
      </c>
      <c r="I199" s="15">
        <v>42641.871469907404</v>
      </c>
      <c r="J199" s="7">
        <v>0</v>
      </c>
      <c r="K199" s="117" t="str">
        <f t="shared" si="46"/>
        <v>4015/4016</v>
      </c>
      <c r="L199" s="24" t="str">
        <f>VLOOKUP(A199,'Trips&amp;Operators'!$C$1:$E$10000,3,FALSE)</f>
        <v>MOSES</v>
      </c>
      <c r="M199" s="6">
        <f t="shared" si="47"/>
        <v>9.8726851792889647E-3</v>
      </c>
      <c r="N199" s="7">
        <f t="shared" si="65"/>
        <v>14.216666658176109</v>
      </c>
      <c r="O199" s="7"/>
      <c r="P199" s="7"/>
      <c r="Q199" s="25"/>
      <c r="R199" s="25"/>
      <c r="S199" s="37">
        <f t="shared" si="48"/>
        <v>1</v>
      </c>
      <c r="T199" s="52" t="str">
        <f t="shared" si="49"/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19:37:51-0600',mode:absolute,to:'2016-09-28 21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99" s="54" t="str">
        <f t="shared" si="51"/>
        <v>N</v>
      </c>
      <c r="X199" s="164">
        <f t="shared" si="66"/>
        <v>1</v>
      </c>
      <c r="Y199" s="69">
        <f t="shared" si="52"/>
        <v>5.8609</v>
      </c>
      <c r="Z199" s="69">
        <f t="shared" si="53"/>
        <v>6.7799999999999999E-2</v>
      </c>
      <c r="AA199" s="69">
        <f t="shared" si="54"/>
        <v>5.7930999999999999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55"/>
        <v>0842-28</v>
      </c>
      <c r="AE199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199" s="92" t="str">
        <f t="shared" si="57"/>
        <v>"C:\Program Files (x86)\AstroGrep\AstroGrep.exe" /spath="%USERPROFILE%\AppData\Local\Temp\OnboardLogs" /stypes="app*4015*20160929*" /stext=" 02:.+((SYSTEM_STATE.+slice.+state.+changed )|(ment ac)|(system.+state.+changed )|(\[timeout)|(PRM\|1\|D)|(kpr)|(kdp)|(\|lc)|(penalty))" /e /r /s</v>
      </c>
      <c r="AG199" s="1" t="str">
        <f t="shared" si="58"/>
        <v>NW</v>
      </c>
      <c r="AH199" s="96" t="str">
        <f t="shared" si="59"/>
        <v>"%USERPROFILE%\Documents\GitHub\eaglep3\Utilities\RefineRTDCRunTimes.py" --tripid 842-28 --locoid 4015 --swversion DE.1.0.7.0 --startMP 300:58609 --initTime 2016-09-28T20:37:51 --startdatetime 2016-09-28T20:40:42 --delay 1 --endMP 204:678 --enddatetime 2016-09-28T20:54:55 --enforcementcount 0 &gt;&gt;C:\Users\stu\Documents\GitHub\eaglep3-reporting\EC\2016-09-28-refined-times.txt</v>
      </c>
      <c r="AI199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{"issue":{"subject":"","project_id":79,"tracker_id":40,"status_id":1,"priority_id":2,"assigned_to_id":23,"start_date":"2016-09-28","description":"","custom_fields":[{"id":1,"name":"Subdivision","value":"NW"},{"id":4,"name":"Milepost","value":"0.0678"},{"id":17,"name":"Train ID","value":"842-28"},{"id":16,"name":"Locomotive ID","value":"4015"},{"id":130,"name":"Impact","value":""},{"id":150,"name":"Time of Event (Mountain Time)","value":"20:54:55"},{"id":151,"name":"Denver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567</v>
      </c>
      <c r="B200" s="7">
        <v>4016</v>
      </c>
      <c r="C200" s="24" t="s">
        <v>106</v>
      </c>
      <c r="D200" s="24" t="s">
        <v>747</v>
      </c>
      <c r="E200" s="15">
        <v>42641.843229166669</v>
      </c>
      <c r="F200" s="15">
        <v>42641.848194444443</v>
      </c>
      <c r="G200" s="7">
        <v>1</v>
      </c>
      <c r="H200" s="15" t="s">
        <v>748</v>
      </c>
      <c r="I200" s="15">
        <v>42641.858194444445</v>
      </c>
      <c r="J200" s="7">
        <v>0</v>
      </c>
      <c r="K200" s="117" t="str">
        <f t="shared" si="46"/>
        <v>4015/4016</v>
      </c>
      <c r="L200" s="24" t="str">
        <f>VLOOKUP(A200,'Trips&amp;Operators'!$C$1:$E$10000,3,FALSE)</f>
        <v>MOSES</v>
      </c>
      <c r="M200" s="6">
        <f t="shared" si="47"/>
        <v>1.0000000002037268E-2</v>
      </c>
      <c r="N200" s="7">
        <f t="shared" si="65"/>
        <v>14.400000002933666</v>
      </c>
      <c r="O200" s="7"/>
      <c r="P200" s="7"/>
      <c r="Q200" s="25"/>
      <c r="R200" s="25"/>
      <c r="S200" s="37">
        <f t="shared" si="48"/>
        <v>1</v>
      </c>
      <c r="T200" s="52" t="str">
        <f t="shared" si="49"/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19:14:15-0600',mode:absolute,to:'2016-09-28 21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0" s="54" t="str">
        <f t="shared" si="51"/>
        <v>N</v>
      </c>
      <c r="X200" s="164">
        <f t="shared" si="66"/>
        <v>1</v>
      </c>
      <c r="Y200" s="69">
        <f t="shared" si="52"/>
        <v>9.5000000000000001E-2</v>
      </c>
      <c r="Z200" s="69">
        <f t="shared" si="53"/>
        <v>5.8920000000000003</v>
      </c>
      <c r="AA200" s="69">
        <f t="shared" si="54"/>
        <v>5.7970000000000006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55"/>
        <v>0843-28</v>
      </c>
      <c r="AE200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200" s="92" t="str">
        <f t="shared" si="57"/>
        <v>"C:\Program Files (x86)\AstroGrep\AstroGrep.exe" /spath="%USERPROFILE%\AppData\Local\Temp\OnboardLogs" /stypes="app*4016*20160929*" /stext=" 02:.+((SYSTEM_STATE.+slice.+state.+changed )|(ment ac)|(system.+state.+changed )|(\[timeout)|(PRM\|1\|D)|(kpr)|(kdp)|(\|lc)|(penalty))" /e /r /s</v>
      </c>
      <c r="AG200" s="1" t="str">
        <f t="shared" si="58"/>
        <v>NW</v>
      </c>
      <c r="AH200" s="96" t="str">
        <f t="shared" si="59"/>
        <v>"%USERPROFILE%\Documents\GitHub\eaglep3\Utilities\RefineRTDCRunTimes.py" --tripid 843-28 --locoid 4016 --swversion DE.1.0.7.0 --startMP 204:950 --initTime 2016-09-28T20:14:15 --startdatetime 2016-09-28T20:21:24 --delay 1 --endMP 300:58920 --enddatetime 2016-09-28T20:35:48 --enforcementcount 0 &gt;&gt;C:\Users\stu\Documents\GitHub\eaglep3-reporting\EC\2016-09-28-refined-times.txt</v>
      </c>
      <c r="AI200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{"issue":{"subject":"","project_id":79,"tracker_id":40,"status_id":1,"priority_id":2,"assigned_to_id":23,"start_date":"2016-09-28","description":"","custom_fields":[{"id":1,"name":"Subdivision","value":"NW"},{"id":4,"name":"Milepost","value":"5.892"},{"id":17,"name":"Train ID","value":"843-28"},{"id":16,"name":"Locomotive ID","value":"4016"},{"id":130,"name":"Impact","value":""},{"id":150,"name":"Time of Event (Mountain Time)","value":"20:35:48"},{"id":151,"name":"Denver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576</v>
      </c>
      <c r="B201" s="7">
        <v>4015</v>
      </c>
      <c r="C201" s="24" t="s">
        <v>106</v>
      </c>
      <c r="D201" s="24" t="s">
        <v>749</v>
      </c>
      <c r="E201" s="15">
        <v>42641.901134259257</v>
      </c>
      <c r="F201" s="15">
        <v>42641.902731481481</v>
      </c>
      <c r="G201" s="7">
        <v>1</v>
      </c>
      <c r="H201" s="15" t="s">
        <v>750</v>
      </c>
      <c r="I201" s="15">
        <v>42641.913761574076</v>
      </c>
      <c r="J201" s="7">
        <v>0</v>
      </c>
      <c r="K201" s="117" t="str">
        <f t="shared" si="46"/>
        <v>4015/4016</v>
      </c>
      <c r="L201" s="24" t="str">
        <f>VLOOKUP(A201,'Trips&amp;Operators'!$C$1:$E$10000,3,FALSE)</f>
        <v>LEVERE</v>
      </c>
      <c r="M201" s="6">
        <f t="shared" si="47"/>
        <v>1.1030092595319729E-2</v>
      </c>
      <c r="N201" s="7">
        <f t="shared" si="65"/>
        <v>15.88333333726041</v>
      </c>
      <c r="O201" s="7"/>
      <c r="P201" s="7"/>
      <c r="Q201" s="25"/>
      <c r="R201" s="25"/>
      <c r="S201" s="37">
        <f t="shared" si="48"/>
        <v>1</v>
      </c>
      <c r="T201" s="52" t="str">
        <f t="shared" si="49"/>
        <v>Southbound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20:37:38-0600',mode:absolute,to:'2016-09-28 22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01" s="54" t="str">
        <f t="shared" si="51"/>
        <v>N</v>
      </c>
      <c r="X201" s="164">
        <f t="shared" si="66"/>
        <v>1</v>
      </c>
      <c r="Y201" s="69">
        <f t="shared" si="52"/>
        <v>5.8647</v>
      </c>
      <c r="Z201" s="69">
        <f t="shared" si="53"/>
        <v>6.8199999999999997E-2</v>
      </c>
      <c r="AA201" s="69">
        <f t="shared" si="54"/>
        <v>5.7965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55"/>
        <v>0844-28</v>
      </c>
      <c r="AE201" s="95" t="str">
        <f t="shared" si="56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201" s="92" t="str">
        <f t="shared" si="57"/>
        <v>"C:\Program Files (x86)\AstroGrep\AstroGrep.exe" /spath="%USERPROFILE%\AppData\Local\Temp\OnboardLogs" /stypes="app*4015*20160929*" /stext=" 03:.+((SYSTEM_STATE.+slice.+state.+changed )|(ment ac)|(system.+state.+changed )|(\[timeout)|(PRM\|1\|D)|(kpr)|(kdp)|(\|lc)|(penalty))" /e /r /s</v>
      </c>
      <c r="AG201" s="1" t="str">
        <f t="shared" si="58"/>
        <v>NW</v>
      </c>
      <c r="AH201" s="96" t="str">
        <f t="shared" si="59"/>
        <v>"%USERPROFILE%\Documents\GitHub\eaglep3\Utilities\RefineRTDCRunTimes.py" --tripid 844-28 --locoid 4015 --swversion DE.1.0.7.0 --startMP 300:58647 --initTime 2016-09-28T21:37:38 --startdatetime 2016-09-28T21:39:56 --delay 1 --endMP 204:682 --enddatetime 2016-09-28T21:55:49 --enforcementcount 0 &gt;&gt;C:\Users\stu\Documents\GitHub\eaglep3-reporting\EC\2016-09-28-refined-times.txt</v>
      </c>
      <c r="AI201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{"issue":{"subject":"","project_id":79,"tracker_id":40,"status_id":1,"priority_id":2,"assigned_to_id":23,"start_date":"2016-09-28","description":"","custom_fields":[{"id":1,"name":"Subdivision","value":"NW"},{"id":4,"name":"Milepost","value":"0.0682"},{"id":17,"name":"Train ID","value":"844-28"},{"id":16,"name":"Locomotive ID","value":"4015"},{"id":130,"name":"Impact","value":""},{"id":150,"name":"Time of Event (Mountain Time)","value":"21:55:49"},{"id":151,"name":"Denver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573</v>
      </c>
      <c r="B202" s="7">
        <v>4016</v>
      </c>
      <c r="C202" s="24" t="s">
        <v>106</v>
      </c>
      <c r="D202" s="24" t="s">
        <v>751</v>
      </c>
      <c r="E202" s="15">
        <v>42641.877743055556</v>
      </c>
      <c r="F202" s="15">
        <v>42641.889768518522</v>
      </c>
      <c r="G202" s="7">
        <v>1</v>
      </c>
      <c r="H202" s="15" t="s">
        <v>752</v>
      </c>
      <c r="I202" s="15">
        <v>42641.899814814817</v>
      </c>
      <c r="J202" s="7">
        <v>0</v>
      </c>
      <c r="K202" s="117" t="str">
        <f t="shared" si="46"/>
        <v>4015/4016</v>
      </c>
      <c r="L202" s="24" t="str">
        <f>VLOOKUP(A202,'Trips&amp;Operators'!$C$1:$E$10000,3,FALSE)</f>
        <v>LEVERE</v>
      </c>
      <c r="M202" s="6">
        <f t="shared" si="47"/>
        <v>1.0046296294603962E-2</v>
      </c>
      <c r="N202" s="7">
        <f t="shared" si="65"/>
        <v>14.466666664229706</v>
      </c>
      <c r="O202" s="7"/>
      <c r="P202" s="7"/>
      <c r="Q202" s="25"/>
      <c r="R202" s="25"/>
      <c r="S202" s="37">
        <f t="shared" si="48"/>
        <v>1</v>
      </c>
      <c r="T202" s="52" t="str">
        <f t="shared" si="49"/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20:03:57-0600',mode:absolute,to:'2016-09-28 22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2" s="54" t="str">
        <f t="shared" si="51"/>
        <v>N</v>
      </c>
      <c r="X202" s="164">
        <f t="shared" si="66"/>
        <v>1</v>
      </c>
      <c r="Y202" s="69">
        <f t="shared" si="52"/>
        <v>9.64E-2</v>
      </c>
      <c r="Z202" s="69">
        <f t="shared" si="53"/>
        <v>5.8967000000000001</v>
      </c>
      <c r="AA202" s="69">
        <f t="shared" si="54"/>
        <v>5.8003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55"/>
        <v>0845-28</v>
      </c>
      <c r="AE202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202" s="92" t="str">
        <f t="shared" si="57"/>
        <v>"C:\Program Files (x86)\AstroGrep\AstroGrep.exe" /spath="%USERPROFILE%\AppData\Local\Temp\OnboardLogs" /stypes="app*4016*20160929*" /stext=" 03:.+((SYSTEM_STATE.+slice.+state.+changed )|(ment ac)|(system.+state.+changed )|(\[timeout)|(PRM\|1\|D)|(kpr)|(kdp)|(\|lc)|(penalty))" /e /r /s</v>
      </c>
      <c r="AG202" s="1" t="str">
        <f t="shared" si="58"/>
        <v>NW</v>
      </c>
      <c r="AH202" s="96" t="str">
        <f t="shared" si="59"/>
        <v>"%USERPROFILE%\Documents\GitHub\eaglep3\Utilities\RefineRTDCRunTimes.py" --tripid 845-28 --locoid 4016 --swversion DE.1.0.7.0 --startMP 204:964 --initTime 2016-09-28T21:03:57 --startdatetime 2016-09-28T21:21:16 --delay 1 --endMP 300:58967 --enddatetime 2016-09-28T21:35:44 --enforcementcount 0 &gt;&gt;C:\Users\stu\Documents\GitHub\eaglep3-reporting\EC\2016-09-28-refined-times.txt</v>
      </c>
      <c r="AI202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{"issue":{"subject":"","project_id":79,"tracker_id":40,"status_id":1,"priority_id":2,"assigned_to_id":23,"start_date":"2016-09-28","description":"","custom_fields":[{"id":1,"name":"Subdivision","value":"NW"},{"id":4,"name":"Milepost","value":"5.8967"},{"id":17,"name":"Train ID","value":"845-28"},{"id":16,"name":"Locomotive ID","value":"4016"},{"id":130,"name":"Impact","value":""},{"id":150,"name":"Time of Event (Mountain Time)","value":"21:35:44"},{"id":151,"name":"Denver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579</v>
      </c>
      <c r="B203" s="7">
        <v>4016</v>
      </c>
      <c r="C203" s="24" t="s">
        <v>106</v>
      </c>
      <c r="D203" s="24" t="s">
        <v>362</v>
      </c>
      <c r="E203" s="15">
        <v>42641.928252314814</v>
      </c>
      <c r="F203" s="15">
        <v>42641.93141203704</v>
      </c>
      <c r="G203" s="7">
        <v>1</v>
      </c>
      <c r="H203" s="15" t="s">
        <v>752</v>
      </c>
      <c r="I203" s="15">
        <v>42641.941261574073</v>
      </c>
      <c r="J203" s="7">
        <v>0</v>
      </c>
      <c r="K203" s="117" t="str">
        <f t="shared" si="46"/>
        <v>4015/4016</v>
      </c>
      <c r="L203" s="24" t="str">
        <f>VLOOKUP(A203,'Trips&amp;Operators'!$C$1:$E$10000,3,FALSE)</f>
        <v>LEVERE</v>
      </c>
      <c r="M203" s="6">
        <f t="shared" si="47"/>
        <v>9.8495370330056176E-3</v>
      </c>
      <c r="N203" s="7">
        <f t="shared" si="65"/>
        <v>14.183333327528089</v>
      </c>
      <c r="O203" s="7"/>
      <c r="P203" s="7"/>
      <c r="Q203" s="25"/>
      <c r="R203" s="25"/>
      <c r="S203" s="37">
        <f t="shared" si="48"/>
        <v>1</v>
      </c>
      <c r="T203" s="52" t="str">
        <f t="shared" si="49"/>
        <v>NorthBound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21:16:41-0600',mode:absolute,to:'2016-09-28 23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3" s="54" t="str">
        <f t="shared" si="51"/>
        <v>N</v>
      </c>
      <c r="X203" s="164">
        <f t="shared" si="66"/>
        <v>2</v>
      </c>
      <c r="Y203" s="69">
        <f t="shared" si="52"/>
        <v>9.6000000000000002E-2</v>
      </c>
      <c r="Z203" s="69">
        <f t="shared" si="53"/>
        <v>5.8967000000000001</v>
      </c>
      <c r="AA203" s="69">
        <f t="shared" si="54"/>
        <v>5.8007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55"/>
        <v>0847-28</v>
      </c>
      <c r="AE203" s="95" t="str">
        <f t="shared" si="56"/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AF203" s="92" t="str">
        <f t="shared" si="57"/>
        <v>"C:\Program Files (x86)\AstroGrep\AstroGrep.exe" /spath="%USERPROFILE%\AppData\Local\Temp\OnboardLogs" /stypes="app*4016*20160929*" /stext=" 04:.+((SYSTEM_STATE.+slice.+state.+changed )|(ment ac)|(system.+state.+changed )|(\[timeout)|(PRM\|1\|D)|(kpr)|(kdp)|(\|lc)|(penalty))" /e /r /s</v>
      </c>
      <c r="AG203" s="1" t="str">
        <f t="shared" si="58"/>
        <v>NW</v>
      </c>
      <c r="AH203" s="96" t="str">
        <f t="shared" si="59"/>
        <v>"%USERPROFILE%\Documents\GitHub\eaglep3\Utilities\RefineRTDCRunTimes.py" --tripid 847-28 --locoid 4016 --swversion DE.1.0.7.0 --startMP 204:960 --initTime 2016-09-28T22:16:41 --startdatetime 2016-09-28T22:21:14 --delay 1 --endMP 300:58967 --enddatetime 2016-09-28T22:35:25 --enforcementcount 0 &gt;&gt;C:\Users\stu\Documents\GitHub\eaglep3-reporting\EC\2016-09-28-refined-times.txt</v>
      </c>
      <c r="AI203" s="130" t="str">
        <f t="shared" si="60"/>
        <v>echo {"issue":{"subject":"","project_id":79,"tracker_id":40,"status_id":1,"priority_id":2,"assigned_to_id":23,"start_date":"2016-09-28","description":"","custom_fields":[{"id":1,"name":"Subdivision","value":"NW"},{"id":4,"name":"Milepost","value":"5.8967"},{"id":17,"name":"Train ID","value":"847-28"},{"id":16,"name":"Locomotive ID","value":"4016"},{"id":130,"name":"Impact","value":""},{"id":150,"name":"Time of Event (Mountain Time)","value":"22:35:25"},{"id":151,"name":"Denver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551</v>
      </c>
      <c r="B204" s="7">
        <v>4046</v>
      </c>
      <c r="C204" s="24" t="s">
        <v>106</v>
      </c>
      <c r="D204" s="24" t="s">
        <v>352</v>
      </c>
      <c r="E204" s="15">
        <v>42641.777418981481</v>
      </c>
      <c r="F204" s="15">
        <v>42641.790578703702</v>
      </c>
      <c r="G204" s="7">
        <v>1</v>
      </c>
      <c r="H204" s="15" t="s">
        <v>291</v>
      </c>
      <c r="I204" s="15">
        <v>42641.79515046296</v>
      </c>
      <c r="J204" s="7">
        <v>0</v>
      </c>
      <c r="K204" s="117" t="str">
        <f t="shared" si="46"/>
        <v>4045/4046</v>
      </c>
      <c r="L204" s="24" t="str">
        <f>VLOOKUP(A204,'Trips&amp;Operators'!$C$1:$E$10000,3,FALSE)</f>
        <v>HILLS</v>
      </c>
      <c r="M204" s="6">
        <f t="shared" si="47"/>
        <v>4.5717592583969235E-3</v>
      </c>
      <c r="N204" s="7">
        <f t="shared" si="65"/>
        <v>6.5833333320915699</v>
      </c>
      <c r="O204" s="7"/>
      <c r="P204" s="7"/>
      <c r="Q204" s="25"/>
      <c r="R204" s="25"/>
      <c r="S204" s="37">
        <f t="shared" si="48"/>
        <v>1</v>
      </c>
      <c r="T204" s="52" t="str">
        <f t="shared" si="49"/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50"/>
        <v>https://search-rtdc-monitor-bjffxe2xuh6vdkpspy63sjmuny.us-east-1.es.amazonaws.com/_plugin/kibana/#/discover/Steve-Slow-Train-Analysis-(2080s-and-2083s)?_g=(refreshInterval:(display:Off,section:0,value:0),time:(from:'2016-09-28 17:39:29-0600',mode:absolute,to:'2016-09-28 20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4" s="54" t="str">
        <f t="shared" si="51"/>
        <v>Y</v>
      </c>
      <c r="X204" s="164">
        <f t="shared" si="66"/>
        <v>-544</v>
      </c>
      <c r="Y204" s="69">
        <f t="shared" si="52"/>
        <v>4.24E-2</v>
      </c>
      <c r="Z204" s="69">
        <f t="shared" si="53"/>
        <v>2.3302</v>
      </c>
      <c r="AA204" s="69">
        <f t="shared" si="54"/>
        <v>2.2877999999999998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55"/>
        <v>0303-28</v>
      </c>
      <c r="AE204" s="95" t="str">
        <f t="shared" si="56"/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AF204" s="92" t="str">
        <f t="shared" si="57"/>
        <v>"C:\Program Files (x86)\AstroGrep\AstroGrep.exe" /spath="%USERPROFILE%\AppData\Local\Temp\OnboardLogs" /stypes="app*4046*20160929*" /stext=" 01:.+((SYSTEM_STATE.+slice.+state.+changed )|(ment ac)|(system.+state.+changed )|(\[timeout)|(PRM\|1\|D)|(kpr)|(kdp)|(\|lc)|(penalty))" /e /r /s</v>
      </c>
      <c r="AG204" s="1" t="str">
        <f t="shared" si="58"/>
        <v>Other</v>
      </c>
      <c r="AH204" s="96" t="str">
        <f t="shared" si="59"/>
        <v>"%USERPROFILE%\Documents\GitHub\eaglep3\Utilities\RefineRTDCRunTimes.py" --tripid 303-28 --locoid 4046 --swversion DE.1.0.7.0 --startMP 204:424 --initTime 2016-09-28T18:39:29 --startdatetime 2016-09-28T18:58:26 --delay 1 --endMP 300:23302 --enddatetime 2016-09-28T19:05:01 --enforcementcount 0 &gt;&gt;C:\Users\stu\Documents\GitHub\eaglep3-reporting\EC\2016-09-28-refined-times.txt</v>
      </c>
      <c r="AI204" s="130" t="str">
        <f t="shared" si="60"/>
        <v>echo {"issue":{"subject":"","project_id":79,"tracker_id":40,"status_id":1,"priority_id":2,"assigned_to_id":23,"start_date":"2016-09-28","description":"","custom_fields":[{"id":1,"name":"Subdivision","value":"Other"},{"id":4,"name":"Milepost","value":"2.3302"},{"id":17,"name":"Train ID","value":"303-28"},{"id":16,"name":"Locomotive ID","value":"4046"},{"id":130,"name":"Impact","value":""},{"id":150,"name":"Time of Event (Mountain Time)","value":"19:05:01"},{"id":151,"name":"Denver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563</v>
      </c>
      <c r="B205" s="7">
        <v>4007</v>
      </c>
      <c r="C205" s="24" t="s">
        <v>106</v>
      </c>
      <c r="D205" s="24" t="s">
        <v>674</v>
      </c>
      <c r="E205" s="15">
        <v>42641.818680555552</v>
      </c>
      <c r="F205" s="15">
        <v>25568.708333333332</v>
      </c>
      <c r="G205" s="7">
        <v>5</v>
      </c>
      <c r="H205" s="15" t="s">
        <v>291</v>
      </c>
      <c r="I205" s="15">
        <v>25568.708333333332</v>
      </c>
      <c r="J205" s="7">
        <v>0</v>
      </c>
      <c r="K205" s="117" t="str">
        <f t="shared" ref="K205:K227" si="67">IF(ISEVEN(B205),(B205-1)&amp;"/"&amp;B205,B205&amp;"/"&amp;(B205+1))</f>
        <v>4007/4008</v>
      </c>
      <c r="L205" s="24" t="str">
        <f>VLOOKUP(A205,'Trips&amp;Operators'!$C$1:$E$10000,3,FALSE)</f>
        <v>STORY</v>
      </c>
      <c r="M205" s="6">
        <f t="shared" ref="M205:M227" si="68">I205-F205</f>
        <v>0</v>
      </c>
      <c r="N205" s="7">
        <f t="shared" si="65"/>
        <v>0</v>
      </c>
      <c r="O205" s="7"/>
      <c r="P205" s="7"/>
      <c r="Q205" s="25"/>
      <c r="R205" s="25"/>
      <c r="S205" s="37">
        <f t="shared" ref="S205:S227" si="69">SUM(U205:U205)/IF(AG205="EC",12,1)</f>
        <v>1</v>
      </c>
      <c r="T205" s="52" t="str">
        <f t="shared" ref="T205:T227" si="70">IF(ISEVEN(LEFT(AD205,4)),"Southbound","NorthBound")</f>
        <v>NorthBound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ref="V205:V227" si="7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https://search-rtdc-monitor-bjffxe2xuh6vdkpspy63sjmuny.us-east-1.es.amazonaws.com/_plugin/kibana/#/discover/Steve-Slow-Train-Analysis-(2080s-and-2083s)?_g=(refreshInterval:(display:Off,section:0,value:0),time:(from:'2016-09-28 18:38:54-0600',mode:absolute,to:'1969-12-31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05" s="54" t="str">
        <f t="shared" ref="W205:W227" si="72">IF(AA205&lt;IF(AG205="EC",23,5.65),"Y","N")</f>
        <v>Y</v>
      </c>
      <c r="X205" s="164">
        <f t="shared" si="66"/>
        <v>4</v>
      </c>
      <c r="Y205" s="69">
        <f t="shared" ref="Y205:Y227" si="73">RIGHT(D205,LEN(D205)-4)/10000</f>
        <v>5.79E-2</v>
      </c>
      <c r="Z205" s="69">
        <f t="shared" ref="Z205:Z227" si="74">RIGHT(H205,LEN(H205)-4)/10000</f>
        <v>2.3302</v>
      </c>
      <c r="AA205" s="69">
        <f t="shared" ref="AA205:AA227" si="75">ABS(Z205-Y205)</f>
        <v>2.2723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27" si="76">IF(LEN(A205)=6,"0"&amp;A205,A205)</f>
        <v>0307-28</v>
      </c>
      <c r="AE205" s="95" t="str">
        <f t="shared" ref="AE205:AE227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5" s="92" t="str">
        <f t="shared" ref="AF205:AF227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05" s="1" t="str">
        <f t="shared" ref="AG205:AG227" si="79">IFERROR(IF(VALUE(LEFT(AD205,2))&lt;=2,"EC",IF(OR(VALUE(LEFT(AD205,2))=8,VALUE(LEFT(AD205,2))=18),"NW","Other")),"Other")</f>
        <v>Other</v>
      </c>
      <c r="AH205" s="96" t="str">
        <f t="shared" ref="AH205:AH227" si="8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307-28 --locoid 4007 --swversion DE.1.0.7.0 --startMP 204:579 --initTime 2016-09-28T19:38:54 --startdatetime 1969-12-31T17:00:00 --delay 5 --endMP 300:23302 --enddatetime 1969-12-31T17:00:00 --enforcementcount 0 &gt;&gt;C:\Users\stu\Documents\GitHub\eaglep3-reporting\EC\2016-09-28-refined-times.txt</v>
      </c>
      <c r="AI205" s="130" t="str">
        <f t="shared" ref="AI205:AI227" si="8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591</v>
      </c>
      <c r="B206" s="7">
        <v>4040</v>
      </c>
      <c r="C206" s="24" t="s">
        <v>106</v>
      </c>
      <c r="D206" s="24" t="s">
        <v>660</v>
      </c>
      <c r="E206" s="15">
        <v>42642.02920138889</v>
      </c>
      <c r="F206" s="15">
        <v>42642.030486111114</v>
      </c>
      <c r="G206" s="7">
        <v>1</v>
      </c>
      <c r="H206" s="15" t="s">
        <v>291</v>
      </c>
      <c r="I206" s="15">
        <v>42642.035358796296</v>
      </c>
      <c r="J206" s="7">
        <v>0</v>
      </c>
      <c r="K206" s="117" t="str">
        <f t="shared" si="67"/>
        <v>4039/4040</v>
      </c>
      <c r="L206" s="24" t="str">
        <f>VLOOKUP(A206,'Trips&amp;Operators'!$C$1:$E$10000,3,FALSE)</f>
        <v>STURGEON</v>
      </c>
      <c r="M206" s="6">
        <f t="shared" si="68"/>
        <v>4.8726851819083095E-3</v>
      </c>
      <c r="N206" s="7">
        <f t="shared" si="65"/>
        <v>7.0166666619479656</v>
      </c>
      <c r="O206" s="7"/>
      <c r="P206" s="7"/>
      <c r="Q206" s="25"/>
      <c r="R206" s="25"/>
      <c r="S206" s="37">
        <f t="shared" si="69"/>
        <v>1</v>
      </c>
      <c r="T206" s="52" t="str">
        <f t="shared" si="70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23:42:03-0600',mode:absolute,to:'2016-09-29 01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6" s="54" t="str">
        <f t="shared" si="72"/>
        <v>Y</v>
      </c>
      <c r="X206" s="164">
        <f t="shared" si="66"/>
        <v>2</v>
      </c>
      <c r="Y206" s="69">
        <f t="shared" si="73"/>
        <v>4.7500000000000001E-2</v>
      </c>
      <c r="Z206" s="69">
        <f t="shared" si="74"/>
        <v>2.3302</v>
      </c>
      <c r="AA206" s="69">
        <f t="shared" si="75"/>
        <v>2.2827000000000002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6"/>
        <v>0309-28</v>
      </c>
      <c r="AE206" s="95" t="str">
        <f t="shared" si="77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206" s="92" t="str">
        <f t="shared" si="78"/>
        <v>"C:\Program Files (x86)\AstroGrep\AstroGrep.exe" /spath="%USERPROFILE%\AppData\Local\Temp\OnboardLogs" /stypes="app*4040*20160929*" /stext=" 06:.+((SYSTEM_STATE.+slice.+state.+changed )|(ment ac)|(system.+state.+changed )|(\[timeout)|(PRM\|1\|D)|(kpr)|(kdp)|(\|lc)|(penalty))" /e /r /s</v>
      </c>
      <c r="AG206" s="1" t="str">
        <f t="shared" si="79"/>
        <v>Other</v>
      </c>
      <c r="AH206" s="96" t="str">
        <f t="shared" si="80"/>
        <v>"%USERPROFILE%\Documents\GitHub\eaglep3\Utilities\RefineRTDCRunTimes.py" --tripid 309-28 --locoid 4040 --swversion DE.1.0.7.0 --startMP 204:475 --initTime 2016-09-29T00:42:03 --startdatetime 2016-09-29T00:43:54 --delay 1 --endMP 300:23302 --enddatetime 2016-09-29T00:50:55 --enforcementcount 0 &gt;&gt;C:\Users\stu\Documents\GitHub\eaglep3-reporting\EC\2016-09-28-refined-times.txt</v>
      </c>
      <c r="AI206" s="130" t="str">
        <f t="shared" si="81"/>
        <v>echo {"issue":{"subject":"","project_id":79,"tracker_id":40,"status_id":1,"priority_id":2,"assigned_to_id":23,"start_date":"2016-09-29","description":"","custom_fields":[{"id":1,"name":"Subdivision","value":"Other"},{"id":4,"name":"Milepost","value":"2.3302"},{"id":17,"name":"Train ID","value":"309-28"},{"id":16,"name":"Locomotive ID","value":"4040"},{"id":130,"name":"Impact","value":""},{"id":150,"name":"Time of Event (Mountain Time)","value":"00:50:55"},{"id":151,"name":"Denver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593</v>
      </c>
      <c r="B207" s="7">
        <v>4020</v>
      </c>
      <c r="C207" s="24" t="s">
        <v>106</v>
      </c>
      <c r="D207" s="24" t="s">
        <v>224</v>
      </c>
      <c r="E207" s="15">
        <v>42642.046863425923</v>
      </c>
      <c r="F207" s="15">
        <v>25568.708333333332</v>
      </c>
      <c r="G207" s="7">
        <v>1</v>
      </c>
      <c r="H207" s="15" t="s">
        <v>675</v>
      </c>
      <c r="I207" s="15">
        <v>25568.708333333332</v>
      </c>
      <c r="J207" s="7">
        <v>0</v>
      </c>
      <c r="K207" s="117" t="str">
        <f t="shared" si="67"/>
        <v>4019/4020</v>
      </c>
      <c r="L207" s="24" t="str">
        <f>VLOOKUP(A207,'Trips&amp;Operators'!$C$1:$E$10000,3,FALSE)</f>
        <v>YANAI</v>
      </c>
      <c r="M207" s="6">
        <f t="shared" si="68"/>
        <v>0</v>
      </c>
      <c r="N207" s="7">
        <f t="shared" si="65"/>
        <v>0</v>
      </c>
      <c r="O207" s="7"/>
      <c r="P207" s="7"/>
      <c r="Q207" s="25"/>
      <c r="R207" s="25"/>
      <c r="S207" s="37">
        <f t="shared" si="69"/>
        <v>1</v>
      </c>
      <c r="T207" s="52" t="str">
        <f t="shared" si="70"/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https://search-rtdc-monitor-bjffxe2xuh6vdkpspy63sjmuny.us-east-1.es.amazonaws.com/_plugin/kibana/#/discover/Steve-Slow-Train-Analysis-(2080s-and-2083s)?_g=(refreshInterval:(display:Off,section:0,value:0),time:(from:'2016-09-29 00:07:29-0600',mode:absolute,to:'1969-12-31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7" s="54" t="str">
        <f t="shared" si="72"/>
        <v>Y</v>
      </c>
      <c r="X207" s="164">
        <f t="shared" si="66"/>
        <v>2</v>
      </c>
      <c r="Y207" s="69">
        <f t="shared" si="73"/>
        <v>4.6600000000000003E-2</v>
      </c>
      <c r="Z207" s="69">
        <f t="shared" si="74"/>
        <v>2.3119000000000001</v>
      </c>
      <c r="AA207" s="69">
        <f t="shared" si="75"/>
        <v>2.2652999999999999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6"/>
        <v>0311-28</v>
      </c>
      <c r="AE207" s="95" t="str">
        <f t="shared" si="77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7" s="92" t="str">
        <f t="shared" si="78"/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07" s="1" t="str">
        <f t="shared" si="79"/>
        <v>Other</v>
      </c>
      <c r="AH207" s="96" t="str">
        <f t="shared" si="80"/>
        <v>"%USERPROFILE%\Documents\GitHub\eaglep3\Utilities\RefineRTDCRunTimes.py" --tripid 311-28 --locoid 4020 --swversion DE.1.0.7.0 --startMP 204:466 --initTime 2016-09-29T01:07:29 --startdatetime 1969-12-31T17:00:00 --delay 1 --endMP 300:23119 --enddatetime 1969-12-31T17:00:00 --enforcementcount 0 &gt;&gt;C:\Users\stu\Documents\GitHub\eaglep3-reporting\EC\2016-09-28-refined-times.txt</v>
      </c>
      <c r="AI207" s="130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{"issue":{"subject":"","project_id":79,"tracker_id":40,"status_id":1,"priority_id":2,"assigned_to_id":23,"start_date":"1969-12-31","description":"","custom_fields":[{"id":1,"name":"Subdivision","value":"Other"},{"id":4,"name":"Milepost","value":"2.3119"},{"id":17,"name":"Train ID","value":"311-28"},{"id":16,"name":"Locomotive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595</v>
      </c>
      <c r="B208" s="7">
        <v>4018</v>
      </c>
      <c r="C208" s="24" t="s">
        <v>106</v>
      </c>
      <c r="D208" s="24" t="s">
        <v>254</v>
      </c>
      <c r="E208" s="15">
        <v>42642.06753472222</v>
      </c>
      <c r="F208" s="15">
        <v>25568.708333333332</v>
      </c>
      <c r="G208" s="7">
        <v>1</v>
      </c>
      <c r="H208" s="15" t="s">
        <v>292</v>
      </c>
      <c r="I208" s="15">
        <v>25568.708333333332</v>
      </c>
      <c r="J208" s="7">
        <v>0</v>
      </c>
      <c r="K208" s="117" t="str">
        <f t="shared" si="67"/>
        <v>4017/4018</v>
      </c>
      <c r="L208" s="24" t="str">
        <f>VLOOKUP(A208,'Trips&amp;Operators'!$C$1:$E$10000,3,FALSE)</f>
        <v>LEVIN</v>
      </c>
      <c r="M208" s="6">
        <f t="shared" si="68"/>
        <v>0</v>
      </c>
      <c r="N208" s="7">
        <f t="shared" ref="N208:N227" si="82">24*60*SUM($M208:$M208)</f>
        <v>0</v>
      </c>
      <c r="O208" s="7"/>
      <c r="P208" s="7"/>
      <c r="Q208" s="25"/>
      <c r="R208" s="25"/>
      <c r="S208" s="37">
        <f t="shared" si="69"/>
        <v>1</v>
      </c>
      <c r="T208" s="52" t="str">
        <f t="shared" si="70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https://search-rtdc-monitor-bjffxe2xuh6vdkpspy63sjmuny.us-east-1.es.amazonaws.com/_plugin/kibana/#/discover/Steve-Slow-Train-Analysis-(2080s-and-2083s)?_g=(refreshInterval:(display:Off,section:0,value:0),time:(from:'2016-09-29 00:37:15-0600',mode:absolute,to:'1969-12-31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8" s="54" t="str">
        <f t="shared" si="72"/>
        <v>Y</v>
      </c>
      <c r="X208" s="164">
        <f t="shared" si="66"/>
        <v>2</v>
      </c>
      <c r="Y208" s="69">
        <f t="shared" si="73"/>
        <v>4.4600000000000001E-2</v>
      </c>
      <c r="Z208" s="69">
        <f t="shared" si="74"/>
        <v>2.3306</v>
      </c>
      <c r="AA208" s="69">
        <f t="shared" si="75"/>
        <v>2.286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6"/>
        <v>0313-28</v>
      </c>
      <c r="AE208" s="95" t="str">
        <f t="shared" si="77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8" s="92" t="str">
        <f t="shared" si="78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08" s="1" t="str">
        <f t="shared" si="79"/>
        <v>Other</v>
      </c>
      <c r="AH208" s="96" t="str">
        <f t="shared" si="80"/>
        <v>"%USERPROFILE%\Documents\GitHub\eaglep3\Utilities\RefineRTDCRunTimes.py" --tripid 313-28 --locoid 4018 --swversion DE.1.0.7.0 --startMP 204:446 --initTime 2016-09-29T01:37:15 --startdatetime 1969-12-31T17:00:00 --delay 1 --endMP 300:23306 --enddatetime 1969-12-31T17:00:00 --enforcementcount 0 &gt;&gt;C:\Users\stu\Documents\GitHub\eaglep3-reporting\EC\2016-09-28-refined-times.txt</v>
      </c>
      <c r="AI208" s="130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596</v>
      </c>
      <c r="B209" s="7">
        <v>4014</v>
      </c>
      <c r="C209" s="24" t="s">
        <v>106</v>
      </c>
      <c r="D209" s="24" t="s">
        <v>269</v>
      </c>
      <c r="E209" s="15">
        <v>42642.088159722225</v>
      </c>
      <c r="F209" s="15">
        <v>25568.708333333332</v>
      </c>
      <c r="G209" s="7">
        <v>1</v>
      </c>
      <c r="H209" s="15" t="s">
        <v>676</v>
      </c>
      <c r="I209" s="15">
        <v>25568.708333333332</v>
      </c>
      <c r="J209" s="7">
        <v>0</v>
      </c>
      <c r="K209" s="117" t="str">
        <f t="shared" si="67"/>
        <v>4013/4014</v>
      </c>
      <c r="L209" s="24" t="str">
        <f>VLOOKUP(A209,'Trips&amp;Operators'!$C$1:$E$10000,3,FALSE)</f>
        <v>COOLAHAN</v>
      </c>
      <c r="M209" s="6">
        <f t="shared" si="68"/>
        <v>0</v>
      </c>
      <c r="N209" s="7">
        <f t="shared" si="82"/>
        <v>0</v>
      </c>
      <c r="O209" s="7"/>
      <c r="P209" s="7"/>
      <c r="Q209" s="25"/>
      <c r="R209" s="25"/>
      <c r="S209" s="37">
        <f t="shared" si="69"/>
        <v>1</v>
      </c>
      <c r="T209" s="52" t="str">
        <f t="shared" si="70"/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https://search-rtdc-monitor-bjffxe2xuh6vdkpspy63sjmuny.us-east-1.es.amazonaws.com/_plugin/kibana/#/discover/Steve-Slow-Train-Analysis-(2080s-and-2083s)?_g=(refreshInterval:(display:Off,section:0,value:0),time:(from:'2016-09-29 01:06:57-0600',mode:absolute,to:'1969-12-31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9" s="54" t="str">
        <f t="shared" si="72"/>
        <v>Y</v>
      </c>
      <c r="X209" s="164">
        <f t="shared" si="66"/>
        <v>2</v>
      </c>
      <c r="Y209" s="69">
        <f t="shared" si="73"/>
        <v>4.3799999999999999E-2</v>
      </c>
      <c r="Z209" s="69">
        <f t="shared" si="74"/>
        <v>2.3300999999999998</v>
      </c>
      <c r="AA209" s="69">
        <f t="shared" si="75"/>
        <v>2.2862999999999998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6"/>
        <v>0315-28</v>
      </c>
      <c r="AE209" s="95" t="str">
        <f t="shared" si="7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9" s="92" t="str">
        <f t="shared" si="78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09" s="1" t="str">
        <f t="shared" si="79"/>
        <v>Other</v>
      </c>
      <c r="AH209" s="96" t="str">
        <f t="shared" si="80"/>
        <v>"%USERPROFILE%\Documents\GitHub\eaglep3\Utilities\RefineRTDCRunTimes.py" --tripid 315-28 --locoid 4014 --swversion DE.1.0.7.0 --startMP 204:438 --initTime 2016-09-29T02:06:57 --startdatetime 1969-12-31T17:00:00 --delay 1 --endMP 300:23301 --enddatetime 1969-12-31T17:00:00 --enforcementcount 0 &gt;&gt;C:\Users\stu\Documents\GitHub\eaglep3-reporting\EC\2016-09-28-refined-times.txt</v>
      </c>
      <c r="AI209" s="130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ID","value":"315-28"},{"id":16,"name":"Locomotive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431</v>
      </c>
      <c r="B210" s="7">
        <v>4029</v>
      </c>
      <c r="C210" s="24" t="s">
        <v>106</v>
      </c>
      <c r="D210" s="24" t="s">
        <v>357</v>
      </c>
      <c r="E210" s="15">
        <v>42641.354699074072</v>
      </c>
      <c r="F210" s="15">
        <v>25568.708333333332</v>
      </c>
      <c r="G210" s="7">
        <v>1</v>
      </c>
      <c r="H210" s="15" t="s">
        <v>753</v>
      </c>
      <c r="I210" s="15">
        <v>25568.708333333332</v>
      </c>
      <c r="J210" s="7">
        <v>0</v>
      </c>
      <c r="K210" s="117" t="str">
        <f t="shared" si="67"/>
        <v>4029/4030</v>
      </c>
      <c r="L210" s="24" t="str">
        <f>VLOOKUP(A210,'Trips&amp;Operators'!$C$1:$E$10000,3,FALSE)</f>
        <v>STARKS</v>
      </c>
      <c r="M210" s="6">
        <f t="shared" si="68"/>
        <v>0</v>
      </c>
      <c r="N210" s="7">
        <f t="shared" si="82"/>
        <v>0</v>
      </c>
      <c r="O210" s="7"/>
      <c r="P210" s="7"/>
      <c r="Q210" s="25"/>
      <c r="R210" s="25"/>
      <c r="S210" s="37">
        <f t="shared" si="69"/>
        <v>1</v>
      </c>
      <c r="T210" s="52" t="str">
        <f t="shared" si="70"/>
        <v>NorthBound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07:30:46-0600',mode:absolute,to:'1969-12-31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10" s="54" t="str">
        <f t="shared" si="72"/>
        <v>Y</v>
      </c>
      <c r="X210" s="164">
        <f t="shared" si="66"/>
        <v>588</v>
      </c>
      <c r="Y210" s="69">
        <f t="shared" si="73"/>
        <v>0.1013</v>
      </c>
      <c r="Z210" s="69">
        <f t="shared" si="74"/>
        <v>2.4232999999999998</v>
      </c>
      <c r="AA210" s="69">
        <f t="shared" si="75"/>
        <v>2.3219999999999996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6"/>
        <v>0903-28</v>
      </c>
      <c r="AE210" s="95" t="str">
        <f t="shared" si="7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0" s="92" t="str">
        <f t="shared" si="78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0" s="1" t="str">
        <f t="shared" si="79"/>
        <v>Other</v>
      </c>
      <c r="AH210" s="96" t="str">
        <f t="shared" si="80"/>
        <v>"%USERPROFILE%\Documents\GitHub\eaglep3\Utilities\RefineRTDCRunTimes.py" --tripid 903-28 --locoid 4029 --swversion DE.1.0.7.0 --startMP 204:1013 --initTime 2016-09-28T08:30:46 --startdatetime 1969-12-31T17:00:00 --delay 1 --endMP 300:24233 --enddatetime 1969-12-31T17:00:00 --enforcementcount 0 &gt;&gt;C:\Users\stu\Documents\GitHub\eaglep3-reporting\EC\2016-09-28-refined-times.txt</v>
      </c>
      <c r="AI210" s="130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{"issue":{"subject":"","project_id":79,"tracker_id":40,"status_id":1,"priority_id":2,"assigned_to_id":23,"start_date":"1969-12-31","description":"","custom_fields":[{"id":1,"name":"Subdivision","value":"Other"},{"id":4,"name":"Milepost","value":"2.4233"},{"id":17,"name":"Train ID","value":"903-28"},{"id":16,"name":"Locomotive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508</v>
      </c>
      <c r="B211" s="7">
        <v>4030</v>
      </c>
      <c r="C211" s="24" t="s">
        <v>106</v>
      </c>
      <c r="D211" s="24" t="s">
        <v>754</v>
      </c>
      <c r="E211" s="15">
        <v>42641.642743055556</v>
      </c>
      <c r="F211" s="15">
        <v>42641.643865740742</v>
      </c>
      <c r="G211" s="7">
        <v>1</v>
      </c>
      <c r="H211" s="15" t="s">
        <v>755</v>
      </c>
      <c r="I211" s="15">
        <v>42641.649699074071</v>
      </c>
      <c r="J211" s="7">
        <v>0</v>
      </c>
      <c r="K211" s="117" t="str">
        <f t="shared" si="67"/>
        <v>4029/4030</v>
      </c>
      <c r="L211" s="24" t="str">
        <f>VLOOKUP(A211,'Trips&amp;Operators'!$C$1:$E$10000,3,FALSE)</f>
        <v>LEVERE</v>
      </c>
      <c r="M211" s="6">
        <f t="shared" si="68"/>
        <v>5.8333333290647715E-3</v>
      </c>
      <c r="N211" s="7">
        <f t="shared" si="82"/>
        <v>8.399999993853271</v>
      </c>
      <c r="O211" s="7"/>
      <c r="P211" s="7"/>
      <c r="Q211" s="25"/>
      <c r="R211" s="25"/>
      <c r="S211" s="37">
        <f t="shared" si="69"/>
        <v>1</v>
      </c>
      <c r="T211" s="52" t="str">
        <f t="shared" si="70"/>
        <v>Southbound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14:25:33-0600',mode:absolute,to:'2016-09-28 16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1" s="54" t="str">
        <f t="shared" si="72"/>
        <v>Y</v>
      </c>
      <c r="X211" s="164">
        <f t="shared" si="66"/>
        <v>1</v>
      </c>
      <c r="Y211" s="69">
        <f t="shared" si="73"/>
        <v>2.4283999999999999</v>
      </c>
      <c r="Z211" s="69">
        <f t="shared" si="74"/>
        <v>6.7000000000000004E-2</v>
      </c>
      <c r="AA211" s="69">
        <f t="shared" si="75"/>
        <v>2.3613999999999997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6"/>
        <v>0904-28</v>
      </c>
      <c r="AE211" s="95" t="str">
        <f t="shared" si="77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211" s="92" t="str">
        <f t="shared" si="78"/>
        <v>"C:\Program Files (x86)\AstroGrep\AstroGrep.exe" /spath="%USERPROFILE%\AppData\Local\Temp\OnboardLogs" /stypes="app*4030*20160928*" /stext=" 21:.+((SYSTEM_STATE.+slice.+state.+changed )|(ment ac)|(system.+state.+changed )|(\[timeout)|(PRM\|1\|D)|(kpr)|(kdp)|(\|lc)|(penalty))" /e /r /s</v>
      </c>
      <c r="AG211" s="1" t="str">
        <f t="shared" si="79"/>
        <v>Other</v>
      </c>
      <c r="AH211" s="96" t="str">
        <f t="shared" si="80"/>
        <v>"%USERPROFILE%\Documents\GitHub\eaglep3\Utilities\RefineRTDCRunTimes.py" --tripid 904-28 --locoid 4030 --swversion DE.1.0.7.0 --startMP 300:24284 --initTime 2016-09-28T15:25:33 --startdatetime 2016-09-28T15:27:10 --delay 1 --endMP 204:670 --enddatetime 2016-09-28T15:35:34 --enforcementcount 0 &gt;&gt;C:\Users\stu\Documents\GitHub\eaglep3-reporting\EC\2016-09-28-refined-times.txt</v>
      </c>
      <c r="AI211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{"issue":{"subject":"","project_id":79,"tracker_id":40,"status_id":1,"priority_id":2,"assigned_to_id":23,"start_date":"2016-09-28","description":"","custom_fields":[{"id":1,"name":"Subdivision","value":"Other"},{"id":4,"name":"Milepost","value":"0.067"},{"id":17,"name":"Train ID","value":"904-28"},{"id":16,"name":"Locomotive ID","value":"4030"},{"id":130,"name":"Impact","value":""},{"id":150,"name":"Time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557</v>
      </c>
      <c r="B212" s="7">
        <v>4030</v>
      </c>
      <c r="C212" s="24" t="s">
        <v>106</v>
      </c>
      <c r="D212" s="24" t="s">
        <v>749</v>
      </c>
      <c r="E212" s="15">
        <v>42641.797094907408</v>
      </c>
      <c r="F212" s="15">
        <v>42641.798645833333</v>
      </c>
      <c r="G212" s="7">
        <v>1</v>
      </c>
      <c r="H212" s="15" t="s">
        <v>756</v>
      </c>
      <c r="I212" s="15">
        <v>42641.803402777776</v>
      </c>
      <c r="J212" s="7">
        <v>0</v>
      </c>
      <c r="K212" s="117" t="str">
        <f t="shared" si="67"/>
        <v>4029/4030</v>
      </c>
      <c r="L212" s="24" t="str">
        <f>VLOOKUP(A212,'Trips&amp;Operators'!$C$1:$E$10000,3,FALSE)</f>
        <v>LEVERE</v>
      </c>
      <c r="M212" s="6">
        <f t="shared" si="68"/>
        <v>4.756944443215616E-3</v>
      </c>
      <c r="N212" s="7">
        <f t="shared" si="82"/>
        <v>6.8499999982304871</v>
      </c>
      <c r="O212" s="7"/>
      <c r="P212" s="7"/>
      <c r="Q212" s="25"/>
      <c r="R212" s="25"/>
      <c r="S212" s="37">
        <f t="shared" si="69"/>
        <v>0</v>
      </c>
      <c r="T212" s="52" t="str">
        <f t="shared" si="70"/>
        <v>Southbound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18:07:49-0600',mode:absolute,to:'2016-09-28 20:16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2" s="54" t="str">
        <f t="shared" si="72"/>
        <v>Y</v>
      </c>
      <c r="X212" s="164">
        <f t="shared" si="66"/>
        <v>2</v>
      </c>
      <c r="Y212" s="69">
        <f t="shared" si="73"/>
        <v>5.8647</v>
      </c>
      <c r="Z212" s="69">
        <f t="shared" si="74"/>
        <v>2.1846000000000001</v>
      </c>
      <c r="AA212" s="69">
        <f t="shared" si="75"/>
        <v>3.6800999999999999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6"/>
        <v>0906-28</v>
      </c>
      <c r="AE212" s="95" t="str">
        <f t="shared" si="77"/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AF212" s="92" t="str">
        <f t="shared" si="78"/>
        <v>"C:\Program Files (x86)\AstroGrep\AstroGrep.exe" /spath="%USERPROFILE%\AppData\Local\Temp\OnboardLogs" /stypes="app*4030*20160929*" /stext=" 01:.+((SYSTEM_STATE.+slice.+state.+changed )|(ment ac)|(system.+state.+changed )|(\[timeout)|(PRM\|1\|D)|(kpr)|(kdp)|(\|lc)|(penalty))" /e /r /s</v>
      </c>
      <c r="AG212" s="1" t="str">
        <f t="shared" si="79"/>
        <v>Other</v>
      </c>
      <c r="AH212" s="96" t="str">
        <f t="shared" si="80"/>
        <v>"%USERPROFILE%\Documents\GitHub\eaglep3\Utilities\RefineRTDCRunTimes.py" --tripid 906-28 --locoid 4030 --swversion DE.1.0.7.0 --startMP 300:58647 --initTime 2016-09-28T19:07:49 --startdatetime 2016-09-28T19:10:03 --delay 1 --endMP 300:21846 --enddatetime 2016-09-28T19:16:54 --enforcementcount 0 &gt;&gt;C:\Users\stu\Documents\GitHub\eaglep3-reporting\EC\2016-09-28-refined-times.txt</v>
      </c>
      <c r="AI212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{"issue":{"subject":"","project_id":79,"tracker_id":40,"status_id":1,"priority_id":2,"assigned_to_id":23,"start_date":"2016-09-28","description":"","custom_fields":[{"id":1,"name":"Subdivision","value":"Other"},{"id":4,"name":"Milepost","value":"2.1846"},{"id":17,"name":"Train ID","value":"906-28"},{"id":16,"name":"Locomotive ID","value":"4030"},{"id":130,"name":"Impact","value":""},{"id":150,"name":"Time of Event (Mountain Time)","value":"19:16:54"},{"id":151,"name":"Denver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582</v>
      </c>
      <c r="B213" s="7">
        <v>4015</v>
      </c>
      <c r="C213" s="24" t="s">
        <v>106</v>
      </c>
      <c r="D213" s="24" t="s">
        <v>757</v>
      </c>
      <c r="E213" s="15">
        <v>42641.942662037036</v>
      </c>
      <c r="F213" s="15">
        <v>42641.944074074076</v>
      </c>
      <c r="G213" s="7">
        <v>1</v>
      </c>
      <c r="H213" s="15" t="s">
        <v>758</v>
      </c>
      <c r="I213" s="15">
        <v>42641.949317129627</v>
      </c>
      <c r="J213" s="7">
        <v>0</v>
      </c>
      <c r="K213" s="117" t="str">
        <f t="shared" si="67"/>
        <v>4015/4016</v>
      </c>
      <c r="L213" s="24" t="str">
        <f>VLOOKUP(A213,'Trips&amp;Operators'!$C$1:$E$10000,3,FALSE)</f>
        <v>LEVERE</v>
      </c>
      <c r="M213" s="6">
        <f t="shared" si="68"/>
        <v>5.2430555515456945E-3</v>
      </c>
      <c r="N213" s="7">
        <f t="shared" si="82"/>
        <v>7.5499999942258</v>
      </c>
      <c r="O213" s="7"/>
      <c r="P213" s="7"/>
      <c r="Q213" s="25"/>
      <c r="R213" s="25"/>
      <c r="S213" s="37">
        <f t="shared" si="69"/>
        <v>0</v>
      </c>
      <c r="T213" s="52" t="str">
        <f t="shared" si="70"/>
        <v>Southbound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21:37:26-0600',mode:absolute,to:'2016-09-28 23:47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13" s="54" t="str">
        <f t="shared" si="72"/>
        <v>Y</v>
      </c>
      <c r="X213" s="164">
        <f t="shared" si="66"/>
        <v>2</v>
      </c>
      <c r="Y213" s="69">
        <f t="shared" si="73"/>
        <v>5.8655999999999997</v>
      </c>
      <c r="Z213" s="69">
        <f t="shared" si="74"/>
        <v>2.1901000000000002</v>
      </c>
      <c r="AA213" s="69">
        <f t="shared" si="75"/>
        <v>3.6754999999999995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6"/>
        <v>0908-28</v>
      </c>
      <c r="AE213" s="95" t="str">
        <f t="shared" si="77"/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AF213" s="92" t="str">
        <f t="shared" si="78"/>
        <v>"C:\Program Files (x86)\AstroGrep\AstroGrep.exe" /spath="%USERPROFILE%\AppData\Local\Temp\OnboardLogs" /stypes="app*4015*20160929*" /stext=" 04:.+((SYSTEM_STATE.+slice.+state.+changed )|(ment ac)|(system.+state.+changed )|(\[timeout)|(PRM\|1\|D)|(kpr)|(kdp)|(\|lc)|(penalty))" /e /r /s</v>
      </c>
      <c r="AG213" s="1" t="str">
        <f t="shared" si="79"/>
        <v>Other</v>
      </c>
      <c r="AH213" s="96" t="str">
        <f t="shared" si="80"/>
        <v>"%USERPROFILE%\Documents\GitHub\eaglep3\Utilities\RefineRTDCRunTimes.py" --tripid 908-28 --locoid 4015 --swversion DE.1.0.7.0 --startMP 300:58656 --initTime 2016-09-28T22:37:26 --startdatetime 2016-09-28T22:39:28 --delay 1 --endMP 300:21901 --enddatetime 2016-09-28T22:47:01 --enforcementcount 0 &gt;&gt;C:\Users\stu\Documents\GitHub\eaglep3-reporting\EC\2016-09-28-refined-times.txt</v>
      </c>
      <c r="AI213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{"issue":{"subject":"","project_id":79,"tracker_id":40,"status_id":1,"priority_id":2,"assigned_to_id":23,"start_date":"2016-09-28","description":"","custom_fields":[{"id":1,"name":"Subdivision","value":"Other"},{"id":4,"name":"Milepost","value":"2.1901"},{"id":17,"name":"Train ID","value":"908-28"},{"id":16,"name":"Locomotive ID","value":"4015"},{"id":130,"name":"Impact","value":""},{"id":150,"name":"Time of Event (Mountain Time)","value":"22:47:01"},{"id":151,"name":"Denver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449</v>
      </c>
      <c r="B214" s="7">
        <v>4010</v>
      </c>
      <c r="C214" s="24" t="s">
        <v>106</v>
      </c>
      <c r="D214" s="24" t="s">
        <v>677</v>
      </c>
      <c r="E214" s="15">
        <v>42641.427025462966</v>
      </c>
      <c r="F214" s="15">
        <v>42641.434178240743</v>
      </c>
      <c r="G214" s="7">
        <v>10</v>
      </c>
      <c r="H214" s="15" t="s">
        <v>678</v>
      </c>
      <c r="I214" s="15">
        <v>42641.440428240741</v>
      </c>
      <c r="J214" s="7">
        <v>0</v>
      </c>
      <c r="K214" s="117" t="str">
        <f t="shared" si="67"/>
        <v>4009/4010</v>
      </c>
      <c r="L214" s="24" t="str">
        <f>VLOOKUP(A214,'Trips&amp;Operators'!$C$1:$E$10000,3,FALSE)</f>
        <v>STAMBAUGH</v>
      </c>
      <c r="M214" s="6">
        <f t="shared" si="68"/>
        <v>6.2499999985448085E-3</v>
      </c>
      <c r="N214" s="7">
        <f t="shared" si="82"/>
        <v>8.9999999979045242</v>
      </c>
      <c r="O214" s="7"/>
      <c r="P214" s="7"/>
      <c r="Q214" s="25"/>
      <c r="R214" s="25"/>
      <c r="S214" s="37">
        <f t="shared" si="69"/>
        <v>0</v>
      </c>
      <c r="T214" s="52" t="e">
        <f t="shared" si="70"/>
        <v>#VALUE!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09:14:55-0600',mode:absolute,to:'2016-09-28 11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14" s="54" t="str">
        <f t="shared" si="72"/>
        <v>Y</v>
      </c>
      <c r="X214" s="164" t="e">
        <f t="shared" si="66"/>
        <v>#VALUE!</v>
      </c>
      <c r="Y214" s="69">
        <f t="shared" si="73"/>
        <v>2.2888000000000002</v>
      </c>
      <c r="Z214" s="69">
        <f t="shared" si="74"/>
        <v>0.1012</v>
      </c>
      <c r="AA214" s="69">
        <f t="shared" si="75"/>
        <v>2.1876000000000002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6"/>
        <v>50-28</v>
      </c>
      <c r="AE214" s="95" t="str">
        <f t="shared" si="77"/>
        <v>aws s3 cp s3://rtdc.mdm.uploadarchive.raw/RTDC4010/ "%USERPROFILE%\AppData\Local\Temp\OnboardLogs"\RTDC4010\2016-09-28 --exclude "*" --recursive --include "*20160928*" &amp; "%USERPROFILE%\Documents\GitHub\mrs-test-scripts\Headless Mode &amp; Sideloading\WalkAndUnGZ.bat" "%USERPROFILE%\AppData\Local\Temp\OnboardLogs"\RTDC4010\2016-09-28 &amp; aws s3 cp s3://rtdc.mdm.uploadarchive.raw/RTDC4010/ "%USERPROFILE%\AppData\Local\Temp\OnboardLogs"\RTDC4010\2016-09-29 --exclude "*" --recursive --include "*20160929*" &amp; "%USERPROFILE%\Documents\GitHub\mrs-test-scripts\Headless Mode &amp; Sideloading\WalkAndUnGZ.bat" "%USERPROFILE%\AppData\Local\Temp\OnboardLogs"\RTDC4010\2016-09-29</v>
      </c>
      <c r="AF214" s="92" t="str">
        <f t="shared" si="78"/>
        <v>"C:\Program Files (x86)\AstroGrep\AstroGrep.exe" /spath="%USERPROFILE%\AppData\Local\Temp\OnboardLogs" /stypes="app*4010*20160928*" /stext=" 16:.+((SYSTEM_STATE.+slice.+state.+changed )|(ment ac)|(system.+state.+changed )|(\[timeout)|(PRM\|1\|D)|(kpr)|(kdp)|(\|lc)|(penalty))" /e /r /s</v>
      </c>
      <c r="AG214" s="1" t="str">
        <f t="shared" si="79"/>
        <v>Other</v>
      </c>
      <c r="AH214" s="96" t="str">
        <f t="shared" si="80"/>
        <v>"%USERPROFILE%\Documents\GitHub\eaglep3\Utilities\RefineRTDCRunTimes.py" --tripid 50-28 --locoid 4010 --swversion DE.1.0.7.0 --startMP 300:22888 --initTime 2016-09-28T10:14:55 --startdatetime 2016-09-28T10:25:13 --delay 10 --endMP 204:1012 --enddatetime 2016-09-28T10:34:13 --enforcementcount 0 &gt;&gt;C:\Users\stu\Documents\GitHub\eaglep3-reporting\EC\2016-09-28-refined-times.txt</v>
      </c>
      <c r="AI214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{"issue":{"subject":"","project_id":79,"tracker_id":40,"status_id":1,"priority_id":2,"assigned_to_id":23,"start_date":"2016-09-28","description":"","custom_fields":[{"id":1,"name":"Subdivision","value":"Other"},{"id":4,"name":"Milepost","value":"0.1012"},{"id":17,"name":"Train ID","value":"50-28"},{"id":16,"name":"Locomotive ID","value":"4010"},{"id":130,"name":"Impact","value":""},{"id":150,"name":"Time of Event (Mountain Time)","value":"10:34:13"},{"id":151,"name":"Denver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454</v>
      </c>
      <c r="B215" s="7">
        <v>4025</v>
      </c>
      <c r="C215" s="24" t="s">
        <v>106</v>
      </c>
      <c r="D215" s="24" t="s">
        <v>679</v>
      </c>
      <c r="E215" s="15">
        <v>42641.437951388885</v>
      </c>
      <c r="F215" s="15">
        <v>25568.708333333332</v>
      </c>
      <c r="G215" s="7">
        <v>1</v>
      </c>
      <c r="H215" s="15" t="s">
        <v>680</v>
      </c>
      <c r="I215" s="15">
        <v>25568.708333333332</v>
      </c>
      <c r="J215" s="7">
        <v>0</v>
      </c>
      <c r="K215" s="117" t="str">
        <f t="shared" si="67"/>
        <v>4025/4026</v>
      </c>
      <c r="L215" s="24" t="str">
        <f>VLOOKUP(A215,'Trips&amp;Operators'!$C$1:$E$10000,3,FALSE)</f>
        <v>GRASTON</v>
      </c>
      <c r="M215" s="6">
        <f t="shared" si="68"/>
        <v>0</v>
      </c>
      <c r="N215" s="7">
        <f t="shared" si="82"/>
        <v>0</v>
      </c>
      <c r="O215" s="7"/>
      <c r="P215" s="7"/>
      <c r="Q215" s="25"/>
      <c r="R215" s="25"/>
      <c r="S215" s="37">
        <f t="shared" si="69"/>
        <v>0</v>
      </c>
      <c r="T215" s="52" t="e">
        <f t="shared" si="70"/>
        <v>#VALUE!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09:30:39-0600',mode:absolute,to:'1969-12-31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15" s="54" t="str">
        <f t="shared" si="72"/>
        <v>Y</v>
      </c>
      <c r="X215" s="164" t="e">
        <f t="shared" si="66"/>
        <v>#VALUE!</v>
      </c>
      <c r="Y215" s="69">
        <f t="shared" si="73"/>
        <v>0.1162</v>
      </c>
      <c r="Z215" s="69">
        <f t="shared" si="74"/>
        <v>2.3315999999999999</v>
      </c>
      <c r="AA215" s="69">
        <f t="shared" si="75"/>
        <v>2.2153999999999998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6"/>
        <v>51-28</v>
      </c>
      <c r="AE215" s="95" t="str">
        <f t="shared" si="7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5" s="92" t="str">
        <f t="shared" si="78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15" s="1" t="str">
        <f t="shared" si="79"/>
        <v>Other</v>
      </c>
      <c r="AH215" s="96" t="str">
        <f t="shared" si="80"/>
        <v>"%USERPROFILE%\Documents\GitHub\eaglep3\Utilities\RefineRTDCRunTimes.py" --tripid 51-28 --locoid 4025 --swversion DE.1.0.7.0 --startMP 204:1162 --initTime 2016-09-28T10:30:39 --startdatetime 1969-12-31T17:00:00 --delay 1 --endMP 300:23316 --enddatetime 1969-12-31T17:00:00 --enforcementcount 0 &gt;&gt;C:\Users\stu\Documents\GitHub\eaglep3-reporting\EC\2016-09-28-refined-times.txt</v>
      </c>
      <c r="AI215" s="130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ID","value":"51-28"},{"id":16,"name":"Locomotive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453</v>
      </c>
      <c r="B216" s="7">
        <v>4005</v>
      </c>
      <c r="C216" s="24" t="s">
        <v>106</v>
      </c>
      <c r="D216" s="24" t="s">
        <v>681</v>
      </c>
      <c r="E216" s="15">
        <v>42641.434907407405</v>
      </c>
      <c r="F216" s="15">
        <v>42641.438321759262</v>
      </c>
      <c r="G216" s="7">
        <v>4</v>
      </c>
      <c r="H216" s="15" t="s">
        <v>682</v>
      </c>
      <c r="I216" s="15">
        <v>42641.43986111111</v>
      </c>
      <c r="J216" s="7">
        <v>0</v>
      </c>
      <c r="K216" s="117" t="str">
        <f t="shared" si="67"/>
        <v>4005/4006</v>
      </c>
      <c r="L216" s="24" t="str">
        <f>VLOOKUP(A216,'Trips&amp;Operators'!$C$1:$E$10000,3,FALSE)</f>
        <v>BONDS</v>
      </c>
      <c r="M216" s="6">
        <f t="shared" si="68"/>
        <v>1.5393518478958867E-3</v>
      </c>
      <c r="N216" s="7">
        <f t="shared" si="82"/>
        <v>2.2166666609700769</v>
      </c>
      <c r="O216" s="7"/>
      <c r="P216" s="7"/>
      <c r="Q216" s="25"/>
      <c r="R216" s="25"/>
      <c r="S216" s="37">
        <f t="shared" si="69"/>
        <v>0</v>
      </c>
      <c r="T216" s="52" t="e">
        <f t="shared" si="70"/>
        <v>#VALUE!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09:26:16-0600',mode:absolute,to:'2016-09-28 11:33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6" s="54" t="str">
        <f t="shared" si="72"/>
        <v>Y</v>
      </c>
      <c r="X216" s="164" t="e">
        <f t="shared" si="66"/>
        <v>#VALUE!</v>
      </c>
      <c r="Y216" s="69">
        <f t="shared" si="73"/>
        <v>2.3986999999999998</v>
      </c>
      <c r="Z216" s="69">
        <f t="shared" si="74"/>
        <v>1.9353</v>
      </c>
      <c r="AA216" s="69">
        <f t="shared" si="75"/>
        <v>0.46339999999999981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6"/>
        <v>52-28</v>
      </c>
      <c r="AE216" s="95" t="str">
        <f t="shared" si="77"/>
        <v>aws s3 cp s3://rtdc.mdm.uploadarchive.raw/RTDC4005/ "%USERPROFILE%\AppData\Local\Temp\OnboardLogs"\RTDC4005\2016-09-28 --exclude "*" --recursive --include "*20160928*" &amp; "%USERPROFILE%\Documents\GitHub\mrs-test-scripts\Headless Mode &amp; Sideloading\WalkAndUnGZ.bat" "%USERPROFILE%\AppData\Local\Temp\OnboardLogs"\RTDC4005\2016-09-28 &amp; 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</v>
      </c>
      <c r="AF216" s="92" t="str">
        <f t="shared" si="78"/>
        <v>"C:\Program Files (x86)\AstroGrep\AstroGrep.exe" /spath="%USERPROFILE%\AppData\Local\Temp\OnboardLogs" /stypes="app*4005*20160928*" /stext=" 16:.+((SYSTEM_STATE.+slice.+state.+changed )|(ment ac)|(system.+state.+changed )|(\[timeout)|(PRM\|1\|D)|(kpr)|(kdp)|(\|lc)|(penalty))" /e /r /s</v>
      </c>
      <c r="AG216" s="1" t="str">
        <f t="shared" si="79"/>
        <v>Other</v>
      </c>
      <c r="AH216" s="96" t="str">
        <f t="shared" si="80"/>
        <v>"%USERPROFILE%\Documents\GitHub\eaglep3\Utilities\RefineRTDCRunTimes.py" --tripid 52-28 --locoid 4005 --swversion DE.1.0.7.0 --startMP 300:23987 --initTime 2016-09-28T10:26:16 --startdatetime 2016-09-28T10:31:11 --delay 4 --endMP 300:19353 --enddatetime 2016-09-28T10:33:24 --enforcementcount 0 &gt;&gt;C:\Users\stu\Documents\GitHub\eaglep3-reporting\EC\2016-09-28-refined-times.txt</v>
      </c>
      <c r="AI216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{"issue":{"subject":"","project_id":79,"tracker_id":40,"status_id":1,"priority_id":2,"assigned_to_id":23,"start_date":"2016-09-28","description":"","custom_fields":[{"id":1,"name":"Subdivision","value":"Other"},{"id":4,"name":"Milepost","value":"1.9353"},{"id":17,"name":"Train ID","value":"52-28"},{"id":16,"name":"Locomotive ID","value":"4005"},{"id":130,"name":"Impact","value":""},{"id":150,"name":"Time of Event (Mountain Time)","value":"10:33:24"},{"id":151,"name":"Denver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460</v>
      </c>
      <c r="B217" s="7">
        <v>4021</v>
      </c>
      <c r="C217" s="24" t="s">
        <v>106</v>
      </c>
      <c r="D217" s="24" t="s">
        <v>683</v>
      </c>
      <c r="E217" s="15">
        <v>42641.456736111111</v>
      </c>
      <c r="F217" s="15">
        <v>42641.458344907405</v>
      </c>
      <c r="G217" s="7">
        <v>1</v>
      </c>
      <c r="H217" s="15" t="s">
        <v>684</v>
      </c>
      <c r="I217" s="15">
        <v>42641.466215277775</v>
      </c>
      <c r="J217" s="7">
        <v>0</v>
      </c>
      <c r="K217" s="117" t="str">
        <f t="shared" si="67"/>
        <v>4021/4022</v>
      </c>
      <c r="L217" s="24" t="str">
        <f>VLOOKUP(A217,'Trips&amp;Operators'!$C$1:$E$10000,3,FALSE)</f>
        <v>HELVIE</v>
      </c>
      <c r="M217" s="6">
        <f t="shared" si="68"/>
        <v>7.8703703693463467E-3</v>
      </c>
      <c r="N217" s="7">
        <f t="shared" si="82"/>
        <v>11.333333331858739</v>
      </c>
      <c r="O217" s="7"/>
      <c r="P217" s="7"/>
      <c r="Q217" s="25"/>
      <c r="R217" s="25"/>
      <c r="S217" s="37">
        <f t="shared" si="69"/>
        <v>0</v>
      </c>
      <c r="T217" s="52" t="e">
        <f t="shared" si="70"/>
        <v>#VALUE!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09:57:42-0600',mode:absolute,to:'2016-09-28 12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7" s="54" t="str">
        <f t="shared" si="72"/>
        <v>Y</v>
      </c>
      <c r="X217" s="164" t="e">
        <f t="shared" si="66"/>
        <v>#VALUE!</v>
      </c>
      <c r="Y217" s="69">
        <f t="shared" si="73"/>
        <v>2.4266999999999999</v>
      </c>
      <c r="Z217" s="69">
        <f t="shared" si="74"/>
        <v>9.0200000000000002E-2</v>
      </c>
      <c r="AA217" s="69">
        <f t="shared" si="75"/>
        <v>2.3365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6"/>
        <v>54-28</v>
      </c>
      <c r="AE217" s="95" t="str">
        <f t="shared" si="77"/>
        <v>aws s3 cp s3://rtdc.mdm.uploadarchive.raw/RTDC4021/ "%USERPROFILE%\AppData\Local\Temp\OnboardLogs"\RTDC4021\2016-09-28 --exclude "*" --recursive --include "*20160928*" &amp; "%USERPROFILE%\Documents\GitHub\mrs-test-scripts\Headless Mode &amp; Sideloading\WalkAndUnGZ.bat" "%USERPROFILE%\AppData\Local\Temp\OnboardLogs"\RTDC4021\2016-09-28 &amp; aws s3 cp s3://rtdc.mdm.uploadarchive.raw/RTDC4021/ "%USERPROFILE%\AppData\Local\Temp\OnboardLogs"\RTDC4021\2016-09-29 --exclude "*" --recursive --include "*20160929*" &amp; "%USERPROFILE%\Documents\GitHub\mrs-test-scripts\Headless Mode &amp; Sideloading\WalkAndUnGZ.bat" "%USERPROFILE%\AppData\Local\Temp\OnboardLogs"\RTDC4021\2016-09-29</v>
      </c>
      <c r="AF217" s="92" t="str">
        <f t="shared" si="78"/>
        <v>"C:\Program Files (x86)\AstroGrep\AstroGrep.exe" /spath="%USERPROFILE%\AppData\Local\Temp\OnboardLogs" /stypes="app*4021*20160928*" /stext=" 17:.+((SYSTEM_STATE.+slice.+state.+changed )|(ment ac)|(system.+state.+changed )|(\[timeout)|(PRM\|1\|D)|(kpr)|(kdp)|(\|lc)|(penalty))" /e /r /s</v>
      </c>
      <c r="AG217" s="1" t="str">
        <f t="shared" si="79"/>
        <v>Other</v>
      </c>
      <c r="AH217" s="96" t="str">
        <f t="shared" si="80"/>
        <v>"%USERPROFILE%\Documents\GitHub\eaglep3\Utilities\RefineRTDCRunTimes.py" --tripid 54-28 --locoid 4021 --swversion DE.1.0.7.0 --startMP 300:24267 --initTime 2016-09-28T10:57:42 --startdatetime 2016-09-28T11:00:01 --delay 1 --endMP 204:902 --enddatetime 2016-09-28T11:11:21 --enforcementcount 0 &gt;&gt;C:\Users\stu\Documents\GitHub\eaglep3-reporting\EC\2016-09-28-refined-times.txt</v>
      </c>
      <c r="AI217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{"issue":{"subject":"","project_id":79,"tracker_id":40,"status_id":1,"priority_id":2,"assigned_to_id":23,"start_date":"2016-09-28","description":"","custom_fields":[{"id":1,"name":"Subdivision","value":"Other"},{"id":4,"name":"Milepost","value":"0.0902"},{"id":17,"name":"Train ID","value":"54-28"},{"id":16,"name":"Locomotive ID","value":"4021"},{"id":130,"name":"Impact","value":""},{"id":150,"name":"Time of Event (Mountain Time)","value":"11:11:21"},{"id":151,"name":"Denver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464</v>
      </c>
      <c r="B218" s="7">
        <v>4006</v>
      </c>
      <c r="C218" s="24" t="s">
        <v>106</v>
      </c>
      <c r="D218" s="24" t="s">
        <v>685</v>
      </c>
      <c r="E218" s="15">
        <v>42641.469097222223</v>
      </c>
      <c r="F218" s="15">
        <v>25568.708333333332</v>
      </c>
      <c r="G218" s="7">
        <v>2</v>
      </c>
      <c r="H218" s="15" t="s">
        <v>686</v>
      </c>
      <c r="I218" s="15">
        <v>25568.708333333332</v>
      </c>
      <c r="J218" s="7">
        <v>0</v>
      </c>
      <c r="K218" s="117" t="str">
        <f t="shared" si="67"/>
        <v>4005/4006</v>
      </c>
      <c r="L218" s="24" t="str">
        <f>VLOOKUP(A218,'Trips&amp;Operators'!$C$1:$E$10000,3,FALSE)</f>
        <v>STRICKLAND</v>
      </c>
      <c r="M218" s="6">
        <f t="shared" si="68"/>
        <v>0</v>
      </c>
      <c r="N218" s="7">
        <f t="shared" si="82"/>
        <v>0</v>
      </c>
      <c r="O218" s="7"/>
      <c r="P218" s="7"/>
      <c r="Q218" s="25"/>
      <c r="R218" s="25"/>
      <c r="S218" s="37">
        <f t="shared" si="69"/>
        <v>0</v>
      </c>
      <c r="T218" s="52" t="e">
        <f t="shared" si="70"/>
        <v>#VALUE!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10:15:30-0600',mode:absolute,to:'1969-12-31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8" s="54" t="str">
        <f t="shared" si="72"/>
        <v>Y</v>
      </c>
      <c r="X218" s="164" t="e">
        <f t="shared" si="66"/>
        <v>#VALUE!</v>
      </c>
      <c r="Y218" s="69">
        <f t="shared" si="73"/>
        <v>3.27E-2</v>
      </c>
      <c r="Z218" s="69">
        <f t="shared" si="74"/>
        <v>2.4258000000000002</v>
      </c>
      <c r="AA218" s="69">
        <f t="shared" si="75"/>
        <v>2.3931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76"/>
        <v>55-28</v>
      </c>
      <c r="AE218" s="95" t="str">
        <f t="shared" si="77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18" s="92" t="str">
        <f t="shared" si="78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18" s="1" t="str">
        <f t="shared" si="79"/>
        <v>Other</v>
      </c>
      <c r="AH218" s="96" t="str">
        <f t="shared" si="80"/>
        <v>"%USERPROFILE%\Documents\GitHub\eaglep3\Utilities\RefineRTDCRunTimes.py" --tripid 55-28 --locoid 4006 --swversion DE.1.0.7.0 --startMP 204:327 --initTime 2016-09-28T11:15:30 --startdatetime 1969-12-31T17:00:00 --delay 2 --endMP 300:24258 --enddatetime 1969-12-31T17:00:00 --enforcementcount 0 &gt;&gt;C:\Users\stu\Documents\GitHub\eaglep3-reporting\EC\2016-09-28-refined-times.txt</v>
      </c>
      <c r="AI218" s="130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{"issue":{"subject":"","project_id":79,"tracker_id":40,"status_id":1,"priority_id":2,"assigned_to_id":23,"start_date":"1969-12-31","description":"","custom_fields":[{"id":1,"name":"Subdivision","value":"Other"},{"id":4,"name":"Milepost","value":"2.4258"},{"id":17,"name":"Train ID","value":"55-28"},{"id":16,"name":"Locomotive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482</v>
      </c>
      <c r="B219" s="7">
        <v>4021</v>
      </c>
      <c r="C219" s="24" t="s">
        <v>106</v>
      </c>
      <c r="D219" s="24" t="s">
        <v>687</v>
      </c>
      <c r="E219" s="15">
        <v>42641.537534722222</v>
      </c>
      <c r="F219" s="15">
        <v>42641.549826388888</v>
      </c>
      <c r="G219" s="7">
        <v>2</v>
      </c>
      <c r="H219" s="15" t="s">
        <v>688</v>
      </c>
      <c r="I219" s="15">
        <v>42641.555543981478</v>
      </c>
      <c r="J219" s="7">
        <v>0</v>
      </c>
      <c r="K219" s="117" t="str">
        <f t="shared" si="67"/>
        <v>4021/4022</v>
      </c>
      <c r="L219" s="24" t="str">
        <f>VLOOKUP(A219,'Trips&amp;Operators'!$C$1:$E$10000,3,FALSE)</f>
        <v>MOSES</v>
      </c>
      <c r="M219" s="6">
        <f t="shared" si="68"/>
        <v>5.7175925903720781E-3</v>
      </c>
      <c r="N219" s="7">
        <f t="shared" si="82"/>
        <v>8.2333333301357925</v>
      </c>
      <c r="O219" s="7"/>
      <c r="P219" s="7"/>
      <c r="Q219" s="25"/>
      <c r="R219" s="25"/>
      <c r="S219" s="37">
        <f t="shared" si="69"/>
        <v>0</v>
      </c>
      <c r="T219" s="52" t="e">
        <f t="shared" si="70"/>
        <v>#VALUE!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11:54:03-0600',mode:absolute,to:'2016-09-28 14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9" s="54" t="str">
        <f t="shared" si="72"/>
        <v>Y</v>
      </c>
      <c r="X219" s="164" t="e">
        <f t="shared" si="66"/>
        <v>#VALUE!</v>
      </c>
      <c r="Y219" s="69">
        <f t="shared" si="73"/>
        <v>2.3580000000000001</v>
      </c>
      <c r="Z219" s="69">
        <f t="shared" si="74"/>
        <v>9.7000000000000003E-3</v>
      </c>
      <c r="AA219" s="69">
        <f t="shared" si="75"/>
        <v>2.3483000000000001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76"/>
        <v>56-28</v>
      </c>
      <c r="AE219" s="95" t="str">
        <f t="shared" si="77"/>
        <v>aws s3 cp s3://rtdc.mdm.uploadarchive.raw/RTDC4021/ "%USERPROFILE%\AppData\Local\Temp\OnboardLogs"\RTDC4021\2016-09-28 --exclude "*" --recursive --include "*20160928*" &amp; "%USERPROFILE%\Documents\GitHub\mrs-test-scripts\Headless Mode &amp; Sideloading\WalkAndUnGZ.bat" "%USERPROFILE%\AppData\Local\Temp\OnboardLogs"\RTDC4021\2016-09-28 &amp; aws s3 cp s3://rtdc.mdm.uploadarchive.raw/RTDC4021/ "%USERPROFILE%\AppData\Local\Temp\OnboardLogs"\RTDC4021\2016-09-29 --exclude "*" --recursive --include "*20160929*" &amp; "%USERPROFILE%\Documents\GitHub\mrs-test-scripts\Headless Mode &amp; Sideloading\WalkAndUnGZ.bat" "%USERPROFILE%\AppData\Local\Temp\OnboardLogs"\RTDC4021\2016-09-29</v>
      </c>
      <c r="AF219" s="92" t="str">
        <f t="shared" si="78"/>
        <v>"C:\Program Files (x86)\AstroGrep\AstroGrep.exe" /spath="%USERPROFILE%\AppData\Local\Temp\OnboardLogs" /stypes="app*4021*20160928*" /stext=" 19:.+((SYSTEM_STATE.+slice.+state.+changed )|(ment ac)|(system.+state.+changed )|(\[timeout)|(PRM\|1\|D)|(kpr)|(kdp)|(\|lc)|(penalty))" /e /r /s</v>
      </c>
      <c r="AG219" s="1" t="str">
        <f t="shared" si="79"/>
        <v>Other</v>
      </c>
      <c r="AH219" s="96" t="str">
        <f t="shared" si="80"/>
        <v>"%USERPROFILE%\Documents\GitHub\eaglep3\Utilities\RefineRTDCRunTimes.py" --tripid 56-28 --locoid 4021 --swversion DE.1.0.7.0 --startMP 300:23580 --initTime 2016-09-28T12:54:03 --startdatetime 2016-09-28T13:11:45 --delay 2 --endMP 204:97 --enddatetime 2016-09-28T13:19:59 --enforcementcount 0 &gt;&gt;C:\Users\stu\Documents\GitHub\eaglep3-reporting\EC\2016-09-28-refined-times.txt</v>
      </c>
      <c r="AI219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{"issue":{"subject":"","project_id":79,"tracker_id":40,"status_id":1,"priority_id":2,"assigned_to_id":23,"start_date":"2016-09-28","description":"","custom_fields":[{"id":1,"name":"Subdivision","value":"Other"},{"id":4,"name":"Milepost","value":"0.0097"},{"id":17,"name":"Train ID","value":"56-28"},{"id":16,"name":"Locomotive ID","value":"4021"},{"id":130,"name":"Impact","value":""},{"id":150,"name":"Time of Event (Mountain Time)","value":"13:19:59"},{"id":151,"name":"Denver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482</v>
      </c>
      <c r="B220" s="7">
        <v>4022</v>
      </c>
      <c r="C220" s="24" t="s">
        <v>106</v>
      </c>
      <c r="D220" s="24" t="s">
        <v>689</v>
      </c>
      <c r="E220" s="15">
        <v>42641.547372685185</v>
      </c>
      <c r="F220" s="15">
        <v>42641.549826388888</v>
      </c>
      <c r="G220" s="7">
        <v>2</v>
      </c>
      <c r="H220" s="15" t="s">
        <v>690</v>
      </c>
      <c r="I220" s="15">
        <v>42641.555543981478</v>
      </c>
      <c r="J220" s="7">
        <v>0</v>
      </c>
      <c r="K220" s="117" t="str">
        <f t="shared" si="67"/>
        <v>4021/4022</v>
      </c>
      <c r="L220" s="24" t="str">
        <f>VLOOKUP(A220,'Trips&amp;Operators'!$C$1:$E$10000,3,FALSE)</f>
        <v>MOSES</v>
      </c>
      <c r="M220" s="6">
        <f t="shared" si="68"/>
        <v>5.7175925903720781E-3</v>
      </c>
      <c r="N220" s="7">
        <f t="shared" si="82"/>
        <v>8.2333333301357925</v>
      </c>
      <c r="O220" s="7"/>
      <c r="P220" s="7"/>
      <c r="Q220" s="25"/>
      <c r="R220" s="25"/>
      <c r="S220" s="37">
        <f t="shared" si="69"/>
        <v>0</v>
      </c>
      <c r="T220" s="52" t="e">
        <f t="shared" si="70"/>
        <v>#VALUE!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12:08:13-0600',mode:absolute,to:'2016-09-28 14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0" s="54" t="str">
        <f t="shared" si="72"/>
        <v>Y</v>
      </c>
      <c r="X220" s="164" t="e">
        <f t="shared" si="66"/>
        <v>#VALUE!</v>
      </c>
      <c r="Y220" s="69">
        <f t="shared" si="73"/>
        <v>4.0099999999999997E-2</v>
      </c>
      <c r="Z220" s="69">
        <f t="shared" si="74"/>
        <v>2.4262999999999999</v>
      </c>
      <c r="AA220" s="69">
        <f t="shared" si="75"/>
        <v>2.3862000000000001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76"/>
        <v>56-28</v>
      </c>
      <c r="AE220" s="95" t="str">
        <f t="shared" si="77"/>
        <v>aws s3 cp s3://rtdc.mdm.uploadarchive.raw/RTDC4022/ "%USERPROFILE%\AppData\Local\Temp\OnboardLogs"\RTDC4022\2016-09-28 --exclude "*" --recursive --include "*20160928*" &amp; "%USERPROFILE%\Documents\GitHub\mrs-test-scripts\Headless Mode &amp; Sideloading\WalkAndUnGZ.bat" "%USERPROFILE%\AppData\Local\Temp\OnboardLogs"\RTDC4022\2016-09-28 &amp; aws s3 cp s3://rtdc.mdm.uploadarchive.raw/RTDC4022/ "%USERPROFILE%\AppData\Local\Temp\OnboardLogs"\RTDC4022\2016-09-29 --exclude "*" --recursive --include "*20160929*" &amp; "%USERPROFILE%\Documents\GitHub\mrs-test-scripts\Headless Mode &amp; Sideloading\WalkAndUnGZ.bat" "%USERPROFILE%\AppData\Local\Temp\OnboardLogs"\RTDC4022\2016-09-29</v>
      </c>
      <c r="AF220" s="92" t="str">
        <f t="shared" si="78"/>
        <v>"C:\Program Files (x86)\AstroGrep\AstroGrep.exe" /spath="%USERPROFILE%\AppData\Local\Temp\OnboardLogs" /stypes="app*4022*20160928*" /stext=" 19:.+((SYSTEM_STATE.+slice.+state.+changed )|(ment ac)|(system.+state.+changed )|(\[timeout)|(PRM\|1\|D)|(kpr)|(kdp)|(\|lc)|(penalty))" /e /r /s</v>
      </c>
      <c r="AG220" s="1" t="str">
        <f t="shared" si="79"/>
        <v>Other</v>
      </c>
      <c r="AH220" s="96" t="str">
        <f t="shared" si="80"/>
        <v>"%USERPROFILE%\Documents\GitHub\eaglep3\Utilities\RefineRTDCRunTimes.py" --tripid 56-28 --locoid 4022 --swversion DE.1.0.7.0 --startMP 204:401 --initTime 2016-09-28T13:08:13 --startdatetime 2016-09-28T13:11:45 --delay 2 --endMP 300:24263 --enddatetime 2016-09-28T13:19:59 --enforcementcount 0 &gt;&gt;C:\Users\stu\Documents\GitHub\eaglep3-reporting\EC\2016-09-28-refined-times.txt</v>
      </c>
      <c r="AI220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{"issue":{"subject":"","project_id":79,"tracker_id":40,"status_id":1,"priority_id":2,"assigned_to_id":23,"start_date":"2016-09-28","description":"","custom_fields":[{"id":1,"name":"Subdivision","value":"Other"},{"id":4,"name":"Milepost","value":"2.4263"},{"id":17,"name":"Train ID","value":"56-28"},{"id":16,"name":"Locomotive ID","value":"4022"},{"id":130,"name":"Impact","value":""},{"id":150,"name":"Time of Event (Mountain Time)","value":"13:19:59"},{"id":151,"name":"Denver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527</v>
      </c>
      <c r="B221" s="7">
        <v>4005</v>
      </c>
      <c r="C221" s="24" t="s">
        <v>106</v>
      </c>
      <c r="D221" s="24" t="s">
        <v>691</v>
      </c>
      <c r="E221" s="15">
        <v>42641.698472222219</v>
      </c>
      <c r="F221" s="15">
        <v>42641.704409722224</v>
      </c>
      <c r="G221" s="7">
        <v>8</v>
      </c>
      <c r="H221" s="15" t="s">
        <v>692</v>
      </c>
      <c r="I221" s="15">
        <v>42641.711087962962</v>
      </c>
      <c r="J221" s="7">
        <v>0</v>
      </c>
      <c r="K221" s="117" t="str">
        <f t="shared" si="67"/>
        <v>4005/4006</v>
      </c>
      <c r="L221" s="24" t="str">
        <f>VLOOKUP(A221,'Trips&amp;Operators'!$C$1:$E$10000,3,FALSE)</f>
        <v>STURGEON</v>
      </c>
      <c r="M221" s="6">
        <f t="shared" si="68"/>
        <v>6.6782407375285402E-3</v>
      </c>
      <c r="N221" s="7">
        <f t="shared" si="82"/>
        <v>9.6166666620410979</v>
      </c>
      <c r="O221" s="7"/>
      <c r="P221" s="7"/>
      <c r="Q221" s="25"/>
      <c r="R221" s="25"/>
      <c r="S221" s="37">
        <f t="shared" si="69"/>
        <v>0</v>
      </c>
      <c r="T221" s="52" t="e">
        <f t="shared" si="70"/>
        <v>#VALUE!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15:45:48-0600',mode:absolute,to:'2016-09-28 18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1" s="54" t="str">
        <f t="shared" si="72"/>
        <v>Y</v>
      </c>
      <c r="X221" s="164" t="e">
        <f t="shared" si="66"/>
        <v>#VALUE!</v>
      </c>
      <c r="Y221" s="69">
        <f t="shared" si="73"/>
        <v>2.3351000000000002</v>
      </c>
      <c r="Z221" s="69">
        <f t="shared" si="74"/>
        <v>1.5100000000000001E-2</v>
      </c>
      <c r="AA221" s="69">
        <f t="shared" si="75"/>
        <v>2.3200000000000003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76"/>
        <v>62-28</v>
      </c>
      <c r="AE221" s="95" t="str">
        <f t="shared" si="77"/>
        <v>aws s3 cp s3://rtdc.mdm.uploadarchive.raw/RTDC4005/ "%USERPROFILE%\AppData\Local\Temp\OnboardLogs"\RTDC4005\2016-09-28 --exclude "*" --recursive --include "*20160928*" &amp; "%USERPROFILE%\Documents\GitHub\mrs-test-scripts\Headless Mode &amp; Sideloading\WalkAndUnGZ.bat" "%USERPROFILE%\AppData\Local\Temp\OnboardLogs"\RTDC4005\2016-09-28 &amp; 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</v>
      </c>
      <c r="AF221" s="92" t="str">
        <f t="shared" si="78"/>
        <v>"C:\Program Files (x86)\AstroGrep\AstroGrep.exe" /spath="%USERPROFILE%\AppData\Local\Temp\OnboardLogs" /stypes="app*4005*20160928*" /stext=" 23:.+((SYSTEM_STATE.+slice.+state.+changed )|(ment ac)|(system.+state.+changed )|(\[timeout)|(PRM\|1\|D)|(kpr)|(kdp)|(\|lc)|(penalty))" /e /r /s</v>
      </c>
      <c r="AG221" s="1" t="str">
        <f t="shared" si="79"/>
        <v>Other</v>
      </c>
      <c r="AH221" s="96" t="str">
        <f t="shared" si="80"/>
        <v>"%USERPROFILE%\Documents\GitHub\eaglep3\Utilities\RefineRTDCRunTimes.py" --tripid 62-28 --locoid 4005 --swversion DE.1.0.7.0 --startMP 300:23351 --initTime 2016-09-28T16:45:48 --startdatetime 2016-09-28T16:54:21 --delay 8 --endMP 204:151 --enddatetime 2016-09-28T17:03:58 --enforcementcount 0 &gt;&gt;C:\Users\stu\Documents\GitHub\eaglep3-reporting\EC\2016-09-28-refined-times.txt</v>
      </c>
      <c r="AI221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{"issue":{"subject":"","project_id":79,"tracker_id":40,"status_id":1,"priority_id":2,"assigned_to_id":23,"start_date":"2016-09-28","description":"","custom_fields":[{"id":1,"name":"Subdivision","value":"Other"},{"id":4,"name":"Milepost","value":"0.0151"},{"id":17,"name":"Train ID","value":"62-28"},{"id":16,"name":"Locomotive ID","value":"4005"},{"id":130,"name":"Impact","value":""},{"id":150,"name":"Time of Event (Mountain Time)","value":"17:03:58"},{"id":151,"name":"Denver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535</v>
      </c>
      <c r="B222" s="7">
        <v>4042</v>
      </c>
      <c r="C222" s="24" t="s">
        <v>106</v>
      </c>
      <c r="D222" s="24" t="s">
        <v>693</v>
      </c>
      <c r="E222" s="15">
        <v>42641.724374999998</v>
      </c>
      <c r="F222" s="15">
        <v>25568.708333333332</v>
      </c>
      <c r="G222" s="7">
        <v>0</v>
      </c>
      <c r="H222" s="15" t="s">
        <v>694</v>
      </c>
      <c r="I222" s="15">
        <v>25568.708333333332</v>
      </c>
      <c r="J222" s="7">
        <v>0</v>
      </c>
      <c r="K222" s="117" t="str">
        <f t="shared" si="67"/>
        <v>4041/4042</v>
      </c>
      <c r="L222" s="24" t="str">
        <f>VLOOKUP(A222,'Trips&amp;Operators'!$C$1:$E$10000,3,FALSE)</f>
        <v>STAMBAUGH</v>
      </c>
      <c r="M222" s="6">
        <f t="shared" si="68"/>
        <v>0</v>
      </c>
      <c r="N222" s="7">
        <f t="shared" si="82"/>
        <v>0</v>
      </c>
      <c r="O222" s="7"/>
      <c r="P222" s="7"/>
      <c r="Q222" s="25"/>
      <c r="R222" s="25"/>
      <c r="S222" s="37">
        <f t="shared" si="69"/>
        <v>0</v>
      </c>
      <c r="T222" s="52" t="e">
        <f t="shared" si="70"/>
        <v>#VALUE!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16:23:06-0600',mode:absolute,to:'1969-12-31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2" s="54" t="str">
        <f t="shared" si="72"/>
        <v>Y</v>
      </c>
      <c r="X222" s="164" t="e">
        <f t="shared" si="66"/>
        <v>#VALUE!</v>
      </c>
      <c r="Y222" s="69">
        <f t="shared" si="73"/>
        <v>0.14829999999999999</v>
      </c>
      <c r="Z222" s="69">
        <f t="shared" si="74"/>
        <v>2.3346</v>
      </c>
      <c r="AA222" s="69">
        <f t="shared" si="75"/>
        <v>2.1863000000000001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76"/>
        <v>63-28</v>
      </c>
      <c r="AE222" s="95" t="str">
        <f t="shared" si="77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2" s="92" t="str">
        <f t="shared" si="78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22" s="1" t="str">
        <f t="shared" si="79"/>
        <v>Other</v>
      </c>
      <c r="AH222" s="96" t="str">
        <f t="shared" si="80"/>
        <v>"%USERPROFILE%\Documents\GitHub\eaglep3\Utilities\RefineRTDCRunTimes.py" --tripid 63-28 --locoid 4042 --swversion DE.1.0.7.0 --startMP 204:1483 --initTime 2016-09-28T17:23:06 --startdatetime 1969-12-31T17:00:00 --delay 0 --endMP 300:23346 --enddatetime 1969-12-31T17:00:00 --enforcementcount 0 &gt;&gt;C:\Users\stu\Documents\GitHub\eaglep3-reporting\EC\2016-09-28-refined-times.txt</v>
      </c>
      <c r="AI222" s="130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ID","value":"63-28"},{"id":16,"name":"Locomotive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537</v>
      </c>
      <c r="B223" s="7">
        <v>4006</v>
      </c>
      <c r="C223" s="24" t="s">
        <v>106</v>
      </c>
      <c r="D223" s="24" t="s">
        <v>759</v>
      </c>
      <c r="E223" s="15">
        <v>42641.730509259258</v>
      </c>
      <c r="F223" s="15">
        <v>42641.732627314814</v>
      </c>
      <c r="G223" s="7">
        <v>1</v>
      </c>
      <c r="H223" s="15" t="s">
        <v>753</v>
      </c>
      <c r="I223" s="15">
        <v>42641.738182870373</v>
      </c>
      <c r="J223" s="7">
        <v>0</v>
      </c>
      <c r="K223" s="117" t="str">
        <f t="shared" si="67"/>
        <v>4005/4006</v>
      </c>
      <c r="L223" s="24" t="str">
        <f>VLOOKUP(A223,'Trips&amp;Operators'!$C$1:$E$10000,3,FALSE)</f>
        <v>BRUDER</v>
      </c>
      <c r="M223" s="6">
        <f t="shared" si="68"/>
        <v>5.5555555591126904E-3</v>
      </c>
      <c r="N223" s="7">
        <f t="shared" si="82"/>
        <v>8.0000000051222742</v>
      </c>
      <c r="O223" s="7"/>
      <c r="P223" s="7"/>
      <c r="Q223" s="25"/>
      <c r="R223" s="25"/>
      <c r="S223" s="37">
        <f t="shared" si="69"/>
        <v>0</v>
      </c>
      <c r="T223" s="52" t="e">
        <f t="shared" si="70"/>
        <v>#VALUE!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16:31:56-0600',mode:absolute,to:'2016-09-28 18:42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3" s="54" t="str">
        <f t="shared" si="72"/>
        <v>Y</v>
      </c>
      <c r="X223" s="164" t="e">
        <f t="shared" si="66"/>
        <v>#VALUE!</v>
      </c>
      <c r="Y223" s="69">
        <f t="shared" si="73"/>
        <v>4.48E-2</v>
      </c>
      <c r="Z223" s="69">
        <f t="shared" si="74"/>
        <v>2.4232999999999998</v>
      </c>
      <c r="AA223" s="69">
        <f t="shared" si="75"/>
        <v>2.3784999999999998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76"/>
        <v>BRUDER-28</v>
      </c>
      <c r="AE223" s="95" t="str">
        <f t="shared" si="77"/>
        <v>aws s3 cp s3://rtdc.mdm.uploadarchive.raw/RTDC4006/ "%USERPROFILE%\AppData\Local\Temp\OnboardLogs"\RTDC4006\2016-09-28 --exclude "*" --recursive --include "*20160928*" &amp; "%USERPROFILE%\Documents\GitHub\mrs-test-scripts\Headless Mode &amp; Sideloading\WalkAndUnGZ.bat" "%USERPROFILE%\AppData\Local\Temp\OnboardLogs"\RTDC4006\2016-09-28 &amp; aws s3 cp s3://rtdc.mdm.uploadarchive.raw/RTDC4006/ "%USERPROFILE%\AppData\Local\Temp\OnboardLogs"\RTDC4006\2016-09-29 --exclude "*" --recursive --include "*20160929*" &amp; "%USERPROFILE%\Documents\GitHub\mrs-test-scripts\Headless Mode &amp; Sideloading\WalkAndUnGZ.bat" "%USERPROFILE%\AppData\Local\Temp\OnboardLogs"\RTDC4006\2016-09-29</v>
      </c>
      <c r="AF223" s="92" t="str">
        <f t="shared" si="78"/>
        <v>"C:\Program Files (x86)\AstroGrep\AstroGrep.exe" /spath="%USERPROFILE%\AppData\Local\Temp\OnboardLogs" /stypes="app*4006*20160928*" /stext=" 23:.+((SYSTEM_STATE.+slice.+state.+changed )|(ment ac)|(system.+state.+changed )|(\[timeout)|(PRM\|1\|D)|(kpr)|(kdp)|(\|lc)|(penalty))" /e /r /s</v>
      </c>
      <c r="AG223" s="1" t="str">
        <f t="shared" si="79"/>
        <v>Other</v>
      </c>
      <c r="AH223" s="96" t="str">
        <f t="shared" si="80"/>
        <v>"%USERPROFILE%\Documents\GitHub\eaglep3\Utilities\RefineRTDCRunTimes.py" --tripid BRUDER-28 --locoid 4006 --swversion DE.1.0.7.0 --startMP 204:448 --initTime 2016-09-28T17:31:56 --startdatetime 2016-09-28T17:34:59 --delay 1 --endMP 300:24233 --enddatetime 2016-09-28T17:42:59 --enforcementcount 0 &gt;&gt;C:\Users\stu\Documents\GitHub\eaglep3-reporting\EC\2016-09-28-refined-times.txt</v>
      </c>
      <c r="AI223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{"issue":{"subject":"","project_id":79,"tracker_id":40,"status_id":1,"priority_id":2,"assigned_to_id":23,"start_date":"2016-09-28","description":"","custom_fields":[{"id":1,"name":"Subdivision","value":"Other"},{"id":4,"name":"Milepost","value":"2.4233"},{"id":17,"name":"Train ID","value":"BRUDER-28"},{"id":16,"name":"Locomotive ID","value":"4006"},{"id":130,"name":"Impact","value":""},{"id":150,"name":"Time of Event (Mountain Time)","value":"17:42:59"},{"id":151,"name":"Denver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558</v>
      </c>
      <c r="B224" s="7">
        <v>4021</v>
      </c>
      <c r="C224" s="24" t="s">
        <v>106</v>
      </c>
      <c r="D224" s="24" t="s">
        <v>760</v>
      </c>
      <c r="E224" s="15">
        <v>42641.851180555554</v>
      </c>
      <c r="F224" s="15">
        <v>42641.887615740743</v>
      </c>
      <c r="G224" s="7">
        <v>1</v>
      </c>
      <c r="H224" s="15" t="s">
        <v>219</v>
      </c>
      <c r="I224" s="15">
        <v>42641.892997685187</v>
      </c>
      <c r="J224" s="7">
        <v>0</v>
      </c>
      <c r="K224" s="117" t="str">
        <f t="shared" si="67"/>
        <v>4021/4022</v>
      </c>
      <c r="L224" s="24" t="str">
        <f>VLOOKUP(A224,'Trips&amp;Operators'!$C$1:$E$10000,3,FALSE)</f>
        <v>MAHAN</v>
      </c>
      <c r="M224" s="6">
        <f t="shared" si="68"/>
        <v>5.3819444437976927E-3</v>
      </c>
      <c r="N224" s="7">
        <f t="shared" si="82"/>
        <v>7.7499999990686774</v>
      </c>
      <c r="O224" s="7"/>
      <c r="P224" s="7"/>
      <c r="Q224" s="25"/>
      <c r="R224" s="25"/>
      <c r="S224" s="37">
        <f t="shared" si="69"/>
        <v>0</v>
      </c>
      <c r="T224" s="52" t="e">
        <f t="shared" si="70"/>
        <v>#VALUE!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19:25:42-0600',mode:absolute,to:'2016-09-28 22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4" s="54" t="str">
        <f t="shared" si="72"/>
        <v>N</v>
      </c>
      <c r="X224" s="164" t="e">
        <f t="shared" si="66"/>
        <v>#VALUE!</v>
      </c>
      <c r="Y224" s="69">
        <f t="shared" si="73"/>
        <v>23.291699999999999</v>
      </c>
      <c r="Z224" s="69">
        <f t="shared" si="74"/>
        <v>1.4999999999999999E-2</v>
      </c>
      <c r="AA224" s="69">
        <f t="shared" si="75"/>
        <v>23.276699999999998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76"/>
        <v>MAHAN-28</v>
      </c>
      <c r="AE224" s="95" t="str">
        <f t="shared" si="77"/>
        <v>aws s3 cp s3://rtdc.mdm.uploadarchive.raw/RTDC4021/ "%USERPROFILE%\AppData\Local\Temp\OnboardLogs"\RTDC4021\2016-09-28 --exclude "*" --recursive --include "*20160928*" &amp; "%USERPROFILE%\Documents\GitHub\mrs-test-scripts\Headless Mode &amp; Sideloading\WalkAndUnGZ.bat" "%USERPROFILE%\AppData\Local\Temp\OnboardLogs"\RTDC4021\2016-09-28 &amp; aws s3 cp s3://rtdc.mdm.uploadarchive.raw/RTDC4021/ "%USERPROFILE%\AppData\Local\Temp\OnboardLogs"\RTDC4021\2016-09-29 --exclude "*" --recursive --include "*20160929*" &amp; "%USERPROFILE%\Documents\GitHub\mrs-test-scripts\Headless Mode &amp; Sideloading\WalkAndUnGZ.bat" "%USERPROFILE%\AppData\Local\Temp\OnboardLogs"\RTDC4021\2016-09-29</v>
      </c>
      <c r="AF224" s="92" t="str">
        <f t="shared" si="78"/>
        <v>"C:\Program Files (x86)\AstroGrep\AstroGrep.exe" /spath="%USERPROFILE%\AppData\Local\Temp\OnboardLogs" /stypes="app*4021*20160929*" /stext=" 03:.+((SYSTEM_STATE.+slice.+state.+changed )|(ment ac)|(system.+state.+changed )|(\[timeout)|(PRM\|1\|D)|(kpr)|(kdp)|(\|lc)|(penalty))" /e /r /s</v>
      </c>
      <c r="AG224" s="1" t="str">
        <f t="shared" si="79"/>
        <v>Other</v>
      </c>
      <c r="AH224" s="96" t="str">
        <f t="shared" si="80"/>
        <v>"%USERPROFILE%\Documents\GitHub\eaglep3\Utilities\RefineRTDCRunTimes.py" --tripid MAHAN-28 --locoid 4021 --swversion DE.1.0.7.0 --startMP 204:232917 --initTime 2016-09-28T20:25:42 --startdatetime 2016-09-28T21:18:10 --delay 1 --endMP 204:150 --enddatetime 2016-09-28T21:25:55 --enforcementcount 0 &gt;&gt;C:\Users\stu\Documents\GitHub\eaglep3-reporting\EC\2016-09-28-refined-times.txt</v>
      </c>
      <c r="AI224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{"issue":{"subject":"","project_id":79,"tracker_id":40,"status_id":1,"priority_id":2,"assigned_to_id":23,"start_date":"2016-09-28","description":"","custom_fields":[{"id":1,"name":"Subdivision","value":"Other"},{"id":4,"name":"Milepost","value":"0.015"},{"id":17,"name":"Train ID","value":"MAHAN-28"},{"id":16,"name":"Locomotive ID","value":"4021"},{"id":130,"name":"Impact","value":""},{"id":150,"name":"Time of Event (Mountain Time)","value":"21:25:55"},{"id":151,"name":"Denver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558</v>
      </c>
      <c r="B225" s="7">
        <v>4021</v>
      </c>
      <c r="C225" s="24" t="s">
        <v>106</v>
      </c>
      <c r="D225" s="24" t="s">
        <v>761</v>
      </c>
      <c r="E225" s="15">
        <v>42641.79892361111</v>
      </c>
      <c r="F225" s="15">
        <v>42641.824699074074</v>
      </c>
      <c r="G225" s="7">
        <v>5</v>
      </c>
      <c r="H225" s="15" t="s">
        <v>762</v>
      </c>
      <c r="I225" s="15">
        <v>42641.84888888889</v>
      </c>
      <c r="J225" s="7">
        <v>0</v>
      </c>
      <c r="K225" s="117" t="str">
        <f t="shared" si="67"/>
        <v>4021/4022</v>
      </c>
      <c r="L225" s="24" t="str">
        <f>VLOOKUP(A225,'Trips&amp;Operators'!$C$1:$E$10000,3,FALSE)</f>
        <v>MAHAN</v>
      </c>
      <c r="M225" s="6">
        <f t="shared" si="68"/>
        <v>2.4189814816054422E-2</v>
      </c>
      <c r="N225" s="7">
        <f t="shared" si="82"/>
        <v>34.833333335118368</v>
      </c>
      <c r="O225" s="7"/>
      <c r="P225" s="7"/>
      <c r="Q225" s="25"/>
      <c r="R225" s="25"/>
      <c r="S225" s="37">
        <f t="shared" si="69"/>
        <v>0</v>
      </c>
      <c r="T225" s="52" t="e">
        <f t="shared" si="70"/>
        <v>#VALUE!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18:10:27-0600',mode:absolute,to:'2016-09-28 21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5" s="54" t="str">
        <f t="shared" si="72"/>
        <v>Y</v>
      </c>
      <c r="X225" s="164" t="e">
        <f t="shared" si="66"/>
        <v>#VALUE!</v>
      </c>
      <c r="Y225" s="69">
        <f t="shared" si="73"/>
        <v>2.4365999999999999</v>
      </c>
      <c r="Z225" s="69">
        <f t="shared" si="74"/>
        <v>2.3917000000000002</v>
      </c>
      <c r="AA225" s="69">
        <f t="shared" si="75"/>
        <v>4.4899999999999718E-2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76"/>
        <v>MAHAN-28</v>
      </c>
      <c r="AE225" s="95" t="str">
        <f t="shared" si="77"/>
        <v>aws s3 cp s3://rtdc.mdm.uploadarchive.raw/RTDC4021/ "%USERPROFILE%\AppData\Local\Temp\OnboardLogs"\RTDC4021\2016-09-28 --exclude "*" --recursive --include "*20160928*" &amp; "%USERPROFILE%\Documents\GitHub\mrs-test-scripts\Headless Mode &amp; Sideloading\WalkAndUnGZ.bat" "%USERPROFILE%\AppData\Local\Temp\OnboardLogs"\RTDC4021\2016-09-28 &amp; aws s3 cp s3://rtdc.mdm.uploadarchive.raw/RTDC4021/ "%USERPROFILE%\AppData\Local\Temp\OnboardLogs"\RTDC4021\2016-09-29 --exclude "*" --recursive --include "*20160929*" &amp; "%USERPROFILE%\Documents\GitHub\mrs-test-scripts\Headless Mode &amp; Sideloading\WalkAndUnGZ.bat" "%USERPROFILE%\AppData\Local\Temp\OnboardLogs"\RTDC4021\2016-09-29</v>
      </c>
      <c r="AF225" s="92" t="str">
        <f t="shared" si="78"/>
        <v>"C:\Program Files (x86)\AstroGrep\AstroGrep.exe" /spath="%USERPROFILE%\AppData\Local\Temp\OnboardLogs" /stypes="app*4021*20160929*" /stext=" 02:.+((SYSTEM_STATE.+slice.+state.+changed )|(ment ac)|(system.+state.+changed )|(\[timeout)|(PRM\|1\|D)|(kpr)|(kdp)|(\|lc)|(penalty))" /e /r /s</v>
      </c>
      <c r="AG225" s="1" t="str">
        <f t="shared" si="79"/>
        <v>Other</v>
      </c>
      <c r="AH225" s="96" t="str">
        <f t="shared" si="80"/>
        <v>"%USERPROFILE%\Documents\GitHub\eaglep3\Utilities\RefineRTDCRunTimes.py" --tripid MAHAN-28 --locoid 4021 --swversion DE.1.0.7.0 --startMP 300:24366 --initTime 2016-09-28T19:10:27 --startdatetime 2016-09-28T19:47:34 --delay 5 --endMP 300:23917 --enddatetime 2016-09-28T20:22:24 --enforcementcount 0 &gt;&gt;C:\Users\stu\Documents\GitHub\eaglep3-reporting\EC\2016-09-28-refined-times.txt</v>
      </c>
      <c r="AI225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{"issue":{"subject":"","project_id":79,"tracker_id":40,"status_id":1,"priority_id":2,"assigned_to_id":23,"start_date":"2016-09-28","description":"","custom_fields":[{"id":1,"name":"Subdivision","value":"Other"},{"id":4,"name":"Milepost","value":"2.3917"},{"id":17,"name":"Train ID","value":"MAHAN-28"},{"id":16,"name":"Locomotive ID","value":"4021"},{"id":130,"name":"Impact","value":""},{"id":150,"name":"Time of Event (Mountain Time)","value":"20:22:24"},{"id":151,"name":"Denver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558</v>
      </c>
      <c r="B226" s="7">
        <v>4022</v>
      </c>
      <c r="C226" s="24" t="s">
        <v>106</v>
      </c>
      <c r="D226" s="24" t="s">
        <v>351</v>
      </c>
      <c r="E226" s="15">
        <v>42641.822974537034</v>
      </c>
      <c r="F226" s="15">
        <v>42641.855995370373</v>
      </c>
      <c r="G226" s="7">
        <v>1</v>
      </c>
      <c r="H226" s="15" t="s">
        <v>763</v>
      </c>
      <c r="I226" s="15">
        <v>42641.884189814817</v>
      </c>
      <c r="J226" s="7">
        <v>0</v>
      </c>
      <c r="K226" s="117" t="str">
        <f t="shared" si="67"/>
        <v>4021/4022</v>
      </c>
      <c r="L226" s="24" t="str">
        <f>VLOOKUP(A226,'Trips&amp;Operators'!$C$1:$E$10000,3,FALSE)</f>
        <v>MAHAN</v>
      </c>
      <c r="M226" s="6">
        <f t="shared" si="68"/>
        <v>2.8194444443215616E-2</v>
      </c>
      <c r="N226" s="7">
        <f t="shared" si="82"/>
        <v>40.599999998230487</v>
      </c>
      <c r="O226" s="7"/>
      <c r="P226" s="7"/>
      <c r="Q226" s="25"/>
      <c r="R226" s="25"/>
      <c r="S226" s="37">
        <f t="shared" si="69"/>
        <v>0</v>
      </c>
      <c r="T226" s="52" t="e">
        <f t="shared" si="70"/>
        <v>#VALUE!</v>
      </c>
      <c r="U226" s="15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18:45:05-0600',mode:absolute,to:'2016-09-28 22:13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6" s="54" t="str">
        <f t="shared" si="72"/>
        <v>N</v>
      </c>
      <c r="X226" s="164" t="e">
        <f t="shared" si="66"/>
        <v>#VALUE!</v>
      </c>
      <c r="Y226" s="69">
        <f t="shared" si="73"/>
        <v>4.3999999999999997E-2</v>
      </c>
      <c r="Z226" s="69">
        <f t="shared" si="74"/>
        <v>23.3245</v>
      </c>
      <c r="AA226" s="69">
        <f t="shared" si="75"/>
        <v>23.2805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76"/>
        <v>MAHAN-28</v>
      </c>
      <c r="AE226" s="95" t="str">
        <f t="shared" si="77"/>
        <v>aws s3 cp s3://rtdc.mdm.uploadarchive.raw/RTDC4022/ "%USERPROFILE%\AppData\Local\Temp\OnboardLogs"\RTDC4022\2016-09-28 --exclude "*" --recursive --include "*20160928*" &amp; "%USERPROFILE%\Documents\GitHub\mrs-test-scripts\Headless Mode &amp; Sideloading\WalkAndUnGZ.bat" "%USERPROFILE%\AppData\Local\Temp\OnboardLogs"\RTDC4022\2016-09-28 &amp; aws s3 cp s3://rtdc.mdm.uploadarchive.raw/RTDC4022/ "%USERPROFILE%\AppData\Local\Temp\OnboardLogs"\RTDC4022\2016-09-29 --exclude "*" --recursive --include "*20160929*" &amp; "%USERPROFILE%\Documents\GitHub\mrs-test-scripts\Headless Mode &amp; Sideloading\WalkAndUnGZ.bat" "%USERPROFILE%\AppData\Local\Temp\OnboardLogs"\RTDC4022\2016-09-29</v>
      </c>
      <c r="AF226" s="92" t="str">
        <f t="shared" si="78"/>
        <v>"C:\Program Files (x86)\AstroGrep\AstroGrep.exe" /spath="%USERPROFILE%\AppData\Local\Temp\OnboardLogs" /stypes="app*4022*20160929*" /stext=" 03:.+((SYSTEM_STATE.+slice.+state.+changed )|(ment ac)|(system.+state.+changed )|(\[timeout)|(PRM\|1\|D)|(kpr)|(kdp)|(\|lc)|(penalty))" /e /r /s</v>
      </c>
      <c r="AG226" s="1" t="str">
        <f t="shared" si="79"/>
        <v>Other</v>
      </c>
      <c r="AH226" s="96" t="str">
        <f t="shared" si="80"/>
        <v>"%USERPROFILE%\Documents\GitHub\eaglep3\Utilities\RefineRTDCRunTimes.py" --tripid MAHAN-28 --locoid 4022 --swversion DE.1.0.7.0 --startMP 204:440 --initTime 2016-09-28T19:45:05 --startdatetime 2016-09-28T20:32:38 --delay 1 --endMP 204:233245 --enddatetime 2016-09-28T21:13:14 --enforcementcount 0 &gt;&gt;C:\Users\stu\Documents\GitHub\eaglep3-reporting\EC\2016-09-28-refined-times.txt</v>
      </c>
      <c r="AI226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{"issue":{"subject":"","project_id":79,"tracker_id":40,"status_id":1,"priority_id":2,"assigned_to_id":23,"start_date":"2016-09-28","description":"","custom_fields":[{"id":1,"name":"Subdivision","value":"Other"},{"id":4,"name":"Milepost","value":"23.3245"},{"id":17,"name":"Train ID","value":"MAHAN-28"},{"id":16,"name":"Locomotive ID","value":"4022"},{"id":130,"name":"Impact","value":""},{"id":150,"name":"Time of Event (Mountain Time)","value":"21:13:14"},{"id":151,"name":"Denver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558</v>
      </c>
      <c r="B227" s="7">
        <v>4022</v>
      </c>
      <c r="C227" s="24" t="s">
        <v>106</v>
      </c>
      <c r="D227" s="24" t="s">
        <v>261</v>
      </c>
      <c r="E227" s="15">
        <v>42641.885740740741</v>
      </c>
      <c r="F227" s="15">
        <v>42641.887615740743</v>
      </c>
      <c r="G227" s="7">
        <v>1</v>
      </c>
      <c r="H227" s="15" t="s">
        <v>291</v>
      </c>
      <c r="I227" s="15">
        <v>42641.892997685187</v>
      </c>
      <c r="J227" s="7">
        <v>0</v>
      </c>
      <c r="K227" s="117" t="str">
        <f t="shared" si="67"/>
        <v>4021/4022</v>
      </c>
      <c r="L227" s="24" t="str">
        <f>VLOOKUP(A227,'Trips&amp;Operators'!$C$1:$E$10000,3,FALSE)</f>
        <v>MAHAN</v>
      </c>
      <c r="M227" s="6">
        <f t="shared" si="68"/>
        <v>5.3819444437976927E-3</v>
      </c>
      <c r="N227" s="7">
        <f t="shared" si="82"/>
        <v>7.7499999990686774</v>
      </c>
      <c r="O227" s="7"/>
      <c r="P227" s="7"/>
      <c r="Q227" s="25"/>
      <c r="R227" s="25"/>
      <c r="S227" s="37">
        <f t="shared" si="69"/>
        <v>0</v>
      </c>
      <c r="T227" s="52" t="e">
        <f t="shared" si="70"/>
        <v>#VALUE!</v>
      </c>
      <c r="U227" s="15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https://search-rtdc-monitor-bjffxe2xuh6vdkpspy63sjmuny.us-east-1.es.amazonaws.com/_plugin/kibana/#/discover/Steve-Slow-Train-Analysis-(2080s-and-2083s)?_g=(refreshInterval:(display:Off,section:0,value:0),time:(from:'2016-09-28 20:15:28-0600',mode:absolute,to:'2016-09-28 22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7" s="54" t="str">
        <f t="shared" si="72"/>
        <v>Y</v>
      </c>
      <c r="X227" s="164" t="e">
        <f t="shared" si="66"/>
        <v>#VALUE!</v>
      </c>
      <c r="Y227" s="69">
        <f t="shared" si="73"/>
        <v>4.6399999999999997E-2</v>
      </c>
      <c r="Z227" s="69">
        <f t="shared" si="74"/>
        <v>2.3302</v>
      </c>
      <c r="AA227" s="69">
        <f t="shared" si="75"/>
        <v>2.2838000000000003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 t="shared" si="76"/>
        <v>MAHAN-28</v>
      </c>
      <c r="AE227" s="95" t="str">
        <f t="shared" si="77"/>
        <v>aws s3 cp s3://rtdc.mdm.uploadarchive.raw/RTDC4022/ "%USERPROFILE%\AppData\Local\Temp\OnboardLogs"\RTDC4022\2016-09-28 --exclude "*" --recursive --include "*20160928*" &amp; "%USERPROFILE%\Documents\GitHub\mrs-test-scripts\Headless Mode &amp; Sideloading\WalkAndUnGZ.bat" "%USERPROFILE%\AppData\Local\Temp\OnboardLogs"\RTDC4022\2016-09-28 &amp; aws s3 cp s3://rtdc.mdm.uploadarchive.raw/RTDC4022/ "%USERPROFILE%\AppData\Local\Temp\OnboardLogs"\RTDC4022\2016-09-29 --exclude "*" --recursive --include "*20160929*" &amp; "%USERPROFILE%\Documents\GitHub\mrs-test-scripts\Headless Mode &amp; Sideloading\WalkAndUnGZ.bat" "%USERPROFILE%\AppData\Local\Temp\OnboardLogs"\RTDC4022\2016-09-29</v>
      </c>
      <c r="AF227" s="92" t="str">
        <f t="shared" si="78"/>
        <v>"C:\Program Files (x86)\AstroGrep\AstroGrep.exe" /spath="%USERPROFILE%\AppData\Local\Temp\OnboardLogs" /stypes="app*4022*20160929*" /stext=" 03:.+((SYSTEM_STATE.+slice.+state.+changed )|(ment ac)|(system.+state.+changed )|(\[timeout)|(PRM\|1\|D)|(kpr)|(kdp)|(\|lc)|(penalty))" /e /r /s</v>
      </c>
      <c r="AG227" s="1" t="str">
        <f t="shared" si="79"/>
        <v>Other</v>
      </c>
      <c r="AH227" s="96" t="str">
        <f t="shared" si="80"/>
        <v>"%USERPROFILE%\Documents\GitHub\eaglep3\Utilities\RefineRTDCRunTimes.py" --tripid MAHAN-28 --locoid 4022 --swversion DE.1.0.7.0 --startMP 204:464 --initTime 2016-09-28T21:15:28 --startdatetime 2016-09-28T21:18:10 --delay 1 --endMP 300:23302 --enddatetime 2016-09-28T21:25:55 --enforcementcount 0 &gt;&gt;C:\Users\stu\Documents\GitHub\eaglep3-reporting\EC\2016-09-28-refined-times.txt</v>
      </c>
      <c r="AI227" s="130" t="str">
        <f t="shared" si="81"/>
        <v>echo {"issue":{"subject":"","project_id":79,"tracker_id":40,"status_id":1,"priority_id":2,"assigned_to_id":23,"start_date":"2016-09-28","description":"","custom_fields":[{"id":1,"name":"Subdivision","value":"Other"},{"id":4,"name":"Milepost","value":"2.3302"},{"id":17,"name":"Train ID","value":"MAHAN-28"},{"id":16,"name":"Locomotive ID","value":"4022"},{"id":130,"name":"Impact","value":""},{"id":150,"name":"Time of Event (Mountain Time)","value":"21:25:55"},{"id":151,"name":"Denver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7"/>
      <c r="L242" s="24"/>
      <c r="M242" s="6"/>
      <c r="N242" s="7"/>
      <c r="O242" s="7"/>
      <c r="P242" s="7"/>
      <c r="Q242" s="25"/>
      <c r="R242" s="25"/>
      <c r="S242" s="37"/>
      <c r="T242" s="52"/>
      <c r="U242" s="159"/>
      <c r="V242" s="102"/>
      <c r="W242" s="54"/>
      <c r="X242" s="164"/>
      <c r="Y242" s="69"/>
      <c r="Z242" s="69"/>
      <c r="AA242" s="69"/>
      <c r="AB242" s="66"/>
      <c r="AC242" s="62"/>
      <c r="AD242" s="63"/>
      <c r="AE242" s="95"/>
      <c r="AF242" s="92"/>
      <c r="AG242" s="1"/>
      <c r="AI242" s="130"/>
      <c r="AJ242" s="55"/>
      <c r="AK242" s="55"/>
      <c r="AL242" s="55"/>
    </row>
  </sheetData>
  <autoFilter ref="A12:AG24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27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Values'!$C$2:$C$20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4"/>
  <sheetViews>
    <sheetView topLeftCell="A26" workbookViewId="0">
      <selection activeCell="S28" sqref="S28:S4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COUNTIF($O$7:$O$398,"=Y")</f>
        <v>1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COUNTA($O$7:$O$398)-O2</f>
        <v>58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79" t="str">
        <f>"Eagle P3 Braking Events - "&amp;TEXT(Variables!$A$2,"YYYY-mm-dd")</f>
        <v>Eagle P3 Braking Events - 2016-09-28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178</v>
      </c>
      <c r="J6" s="132" t="s">
        <v>30</v>
      </c>
      <c r="K6" s="133" t="s">
        <v>29</v>
      </c>
      <c r="L6" s="145" t="s">
        <v>28</v>
      </c>
      <c r="M6" s="133" t="s">
        <v>179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160</v>
      </c>
      <c r="Z6" s="141" t="s">
        <v>161</v>
      </c>
      <c r="AA6" s="141" t="s">
        <v>134</v>
      </c>
      <c r="AB6" s="141" t="s">
        <v>162</v>
      </c>
      <c r="AC6" s="174" t="s">
        <v>244</v>
      </c>
    </row>
    <row r="7" spans="1:29" s="1" customFormat="1" x14ac:dyDescent="0.25">
      <c r="A7" s="38">
        <v>42641.397685185184</v>
      </c>
      <c r="B7" s="33" t="s">
        <v>317</v>
      </c>
      <c r="C7" s="33" t="s">
        <v>436</v>
      </c>
      <c r="D7" s="33" t="s">
        <v>49</v>
      </c>
      <c r="E7" s="33" t="s">
        <v>168</v>
      </c>
      <c r="F7" s="49">
        <v>120</v>
      </c>
      <c r="G7" s="49">
        <v>195</v>
      </c>
      <c r="H7" s="49">
        <v>27440</v>
      </c>
      <c r="I7" s="49">
        <v>27215</v>
      </c>
      <c r="J7" s="33" t="s">
        <v>167</v>
      </c>
      <c r="K7" s="49">
        <v>27350</v>
      </c>
      <c r="L7" s="146" t="s">
        <v>53</v>
      </c>
      <c r="M7" s="149">
        <f t="shared" ref="M7:M38" si="0">CONVERT((I7-K7)/10000,"mi","ft")*IF(L7="Increasing Mileposts (1)",-1,1)</f>
        <v>-71.28</v>
      </c>
      <c r="N7" s="88" t="str">
        <f>VLOOKUP(C7,'Trips&amp;Operators'!$C$1:$E$99999,3,FALSE)</f>
        <v>SPECTOR</v>
      </c>
      <c r="O7" s="170" t="s">
        <v>86</v>
      </c>
      <c r="P7" s="10" t="s">
        <v>250</v>
      </c>
      <c r="Q7" s="33"/>
      <c r="R7" s="104" t="str">
        <f>VLOOKUP(C7,'Train Runs'!$A$13:$AE$10005,31,0)</f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S7" s="107" t="str">
        <f>VLOOKUP(C7,'Train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07:54:59-0600',mode:absolute,to:'2016-09-28 10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7" s="109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/stypes="*4013*201609281*" /stext=" 15:.+((SYSTEM_STATE.+slice.+state.+changed )|(ment ac)|(system.+state.+changed )|(\[timeout)|(PRM\|1\|D)|(kpr)|(kdp)|(\|lc)|(penalty))" /e /r /s</v>
      </c>
      <c r="U7" s="9" t="str">
        <f t="shared" ref="U7:U38" si="2">MID(B7,13,4)</f>
        <v>4013</v>
      </c>
      <c r="V7" s="38">
        <f t="shared" ref="V7:V38" si="3">A7+6/24</f>
        <v>42641.647685185184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arrival","project_id":79,"tracker_id":40,"status_id":1,"priority_id":2,"assigned_to_id":23,"start_date":"2016-09-28","description":"","custom_fields":[{"id":1,"name":"Subdivision","value":"EC"},{"id":4,"name":"Milepost","value":"2.735"},{"id":17,"name":"Train ID","value":"136-28"},{"id":16,"name":"Locomotive ID","value":"4013"},{"id":130,"name":"Impact","value":""},{"id":150,"name":"Time of Event (Mountain Time)","value":"09:32:40"},{"id":151,"name":"Denver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"%USERPROFILE%\AppData\Local\Temp\OnboardLogs"\RTDC4013\*4013*201609281* | grep -SE "((Enforcement Ac)|(PRM))" -</v>
      </c>
    </row>
    <row r="8" spans="1:29" s="1" customFormat="1" x14ac:dyDescent="0.25">
      <c r="A8" s="38">
        <v>42641.404999999999</v>
      </c>
      <c r="B8" s="33" t="s">
        <v>316</v>
      </c>
      <c r="C8" s="33" t="s">
        <v>437</v>
      </c>
      <c r="D8" s="33" t="s">
        <v>105</v>
      </c>
      <c r="E8" s="33" t="s">
        <v>168</v>
      </c>
      <c r="F8" s="49">
        <v>170</v>
      </c>
      <c r="G8" s="49">
        <v>225</v>
      </c>
      <c r="H8" s="49">
        <v>27251</v>
      </c>
      <c r="I8" s="49">
        <v>26864</v>
      </c>
      <c r="J8" s="33" t="s">
        <v>167</v>
      </c>
      <c r="K8" s="49">
        <v>27350</v>
      </c>
      <c r="L8" s="146" t="s">
        <v>53</v>
      </c>
      <c r="M8" s="149">
        <f t="shared" si="0"/>
        <v>-256.608</v>
      </c>
      <c r="N8" s="88" t="str">
        <f>VLOOKUP(C8,'Trips&amp;Operators'!$C$1:$E$99999,3,FALSE)</f>
        <v>KILLION</v>
      </c>
      <c r="O8" s="170" t="s">
        <v>86</v>
      </c>
      <c r="P8" s="10" t="s">
        <v>250</v>
      </c>
      <c r="Q8" s="33"/>
      <c r="R8" s="104" t="str">
        <f>VLOOKUP(C8,'Train Runs'!$A$13:$AE$10005,31,0)</f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S8" s="107" t="str">
        <f>VLOOKUP(C8,'Train Runs'!$A$13:$AE$10005,22,0)</f>
        <v>https://search-rtdc-monitor-bjffxe2xuh6vdkpspy63sjmuny.us-east-1.es.amazonaws.com/_plugin/kibana/#/discover/Steve-Slow-Train-Analysis-(2080s-and-2083s)?_g=(refreshInterval:(display:Off,section:0,value:0),time:(from:'2016-09-28 08:03:37-0600',mode:absolute,to:'2016-09-28 10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8" s="109" t="str">
        <f t="shared" si="1"/>
        <v>"C:\Program Files (x86)\AstroGrep\AstroGrep.exe" /spath="%USERPROFILE%\AppData\Local\Temp\OnboardLogs" /stypes="*4045*201609281*" /stext=" 15:.+((SYSTEM_STATE.+slice.+state.+changed )|(ment ac)|(system.+state.+changed )|(\[timeout)|(PRM\|1\|D)|(kpr)|(kdp)|(\|lc)|(penalty))" /e /r /s</v>
      </c>
      <c r="U8" s="9" t="str">
        <f t="shared" si="2"/>
        <v>4045</v>
      </c>
      <c r="V8" s="38">
        <f t="shared" si="3"/>
        <v>42641.654999999999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arrival","project_id":79,"tracker_id":40,"status_id":1,"priority_id":2,"assigned_to_id":23,"start_date":"2016-09-28","description":"","custom_fields":[{"id":1,"name":"Subdivision","value":"EC"},{"id":4,"name":"Milepost","value":"2.735"},{"id":17,"name":"Train ID","value":"138-28"},{"id":16,"name":"Locomotive ID","value":"4045"},{"id":130,"name":"Impact","value":""},{"id":150,"name":"Time of Event (Mountain Time)","value":"09:43:12"},{"id":151,"name":"Denver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"%USERPROFILE%\AppData\Local\Temp\OnboardLogs"\RTDC4045\*4045*201609281* | grep -SE "((Enforcement Ac)|(PRM))" -</v>
      </c>
    </row>
    <row r="9" spans="1:29" s="1" customFormat="1" x14ac:dyDescent="0.25">
      <c r="A9" s="38">
        <v>42641.341099537036</v>
      </c>
      <c r="B9" s="33" t="s">
        <v>251</v>
      </c>
      <c r="C9" s="33" t="s">
        <v>423</v>
      </c>
      <c r="D9" s="33" t="s">
        <v>105</v>
      </c>
      <c r="E9" s="33" t="s">
        <v>168</v>
      </c>
      <c r="F9" s="49">
        <v>0</v>
      </c>
      <c r="G9" s="49">
        <v>213</v>
      </c>
      <c r="H9" s="49">
        <v>42790</v>
      </c>
      <c r="I9" s="49">
        <v>42898</v>
      </c>
      <c r="J9" s="33" t="s">
        <v>167</v>
      </c>
      <c r="K9" s="49">
        <v>42779</v>
      </c>
      <c r="L9" s="146" t="s">
        <v>52</v>
      </c>
      <c r="M9" s="149">
        <f t="shared" si="0"/>
        <v>-62.832000000000001</v>
      </c>
      <c r="N9" s="88" t="str">
        <f>VLOOKUP(C9,'Trips&amp;Operators'!$C$1:$E$99999,3,FALSE)</f>
        <v>SPECTOR</v>
      </c>
      <c r="O9" s="170" t="s">
        <v>86</v>
      </c>
      <c r="P9" s="10" t="s">
        <v>250</v>
      </c>
      <c r="Q9" s="33"/>
      <c r="R9" s="104" t="str">
        <f>VLOOKUP(C9,'Train Runs'!$A$13:$AE$10005,31,0)</f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S9" s="107" t="str">
        <f>VLOOKUP(C9,'Train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06:53:42-0600',mode:absolute,to:'2016-09-28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9" s="109" t="str">
        <f t="shared" si="1"/>
        <v>"C:\Program Files (x86)\AstroGrep\AstroGrep.exe" /spath="%USERPROFILE%\AppData\Local\Temp\OnboardLogs" /stypes="*4014*201609281*" /stext=" 14:.+((SYSTEM_STATE.+slice.+state.+changed )|(ment ac)|(system.+state.+changed )|(\[timeout)|(PRM\|1\|D)|(kpr)|(kdp)|(\|lc)|(penalty))" /e /r /s</v>
      </c>
      <c r="U9" s="9" t="str">
        <f t="shared" si="2"/>
        <v>4014</v>
      </c>
      <c r="V9" s="38">
        <f t="shared" si="3"/>
        <v>42641.591099537036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arrival","project_id":79,"tracker_id":40,"status_id":1,"priority_id":2,"assigned_to_id":23,"start_date":"2016-09-28","description":"","custom_fields":[{"id":1,"name":"Subdivision","value":"EC"},{"id":4,"name":"Milepost","value":"4.2779"},{"id":17,"name":"Train ID","value":"135-28"},{"id":16,"name":"Locomotive ID","value":"4014"},{"id":130,"name":"Impact","value":""},{"id":150,"name":"Time of Event (Mountain Time)","value":"08:11:11"},{"id":151,"name":"Denver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"%USERPROFILE%\AppData\Local\Temp\OnboardLogs"\RTDC4014\*4014*201609281* | grep -SE "((Enforcement Ac)|(PRM))" -</v>
      </c>
    </row>
    <row r="10" spans="1:29" s="1" customFormat="1" x14ac:dyDescent="0.25">
      <c r="A10" s="38">
        <v>42641.779120370367</v>
      </c>
      <c r="B10" s="33" t="s">
        <v>251</v>
      </c>
      <c r="C10" s="33" t="s">
        <v>549</v>
      </c>
      <c r="D10" s="33" t="s">
        <v>49</v>
      </c>
      <c r="E10" s="33" t="s">
        <v>168</v>
      </c>
      <c r="F10" s="49">
        <v>360</v>
      </c>
      <c r="G10" s="49">
        <v>733</v>
      </c>
      <c r="H10" s="49">
        <v>53382</v>
      </c>
      <c r="I10" s="49">
        <v>56517</v>
      </c>
      <c r="J10" s="33" t="s">
        <v>167</v>
      </c>
      <c r="K10" s="49">
        <v>58118</v>
      </c>
      <c r="L10" s="146" t="s">
        <v>52</v>
      </c>
      <c r="M10" s="149">
        <f t="shared" si="0"/>
        <v>845.32799999999997</v>
      </c>
      <c r="N10" s="88" t="str">
        <f>VLOOKUP(C10,'Trips&amp;Operators'!$C$1:$E$99999,3,FALSE)</f>
        <v>COOLAHAN</v>
      </c>
      <c r="O10" s="170" t="s">
        <v>86</v>
      </c>
      <c r="P10" s="10" t="s">
        <v>250</v>
      </c>
      <c r="Q10" s="33"/>
      <c r="R10" s="104" t="str">
        <f>VLOOKUP(C10,'Train Runs'!$A$13:$AE$10005,31,0)</f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S10" s="107" t="str">
        <f>VLOOKUP(C10,'Train Runs'!$A$13:$AE$10005,22,0)</f>
        <v>https://search-rtdc-monitor-bjffxe2xuh6vdkpspy63sjmuny.us-east-1.es.amazonaws.com/_plugin/kibana/#/discover/Steve-Slow-Train-Analysis-(2080s-and-2083s)?_g=(refreshInterval:(display:Off,section:0,value:0),time:(from:'2016-09-28 17:27:36-0600',mode:absolute,to:'2016-09-28 20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0" s="109" t="str">
        <f t="shared" si="1"/>
        <v>"C:\Program Files (x86)\AstroGrep\AstroGrep.exe" /spath="%USERPROFILE%\AppData\Local\Temp\OnboardLogs" /stypes="*4014*201609290*" /stext=" 00:.+((SYSTEM_STATE.+slice.+state.+changed )|(ment ac)|(system.+state.+changed )|(\[timeout)|(PRM\|1\|D)|(kpr)|(kdp)|(\|lc)|(penalty))" /e /r /s</v>
      </c>
      <c r="U10" s="9" t="str">
        <f t="shared" si="2"/>
        <v>4014</v>
      </c>
      <c r="V10" s="38">
        <f t="shared" si="3"/>
        <v>42642.029120370367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arrival","project_id":79,"tracker_id":40,"status_id":1,"priority_id":2,"assigned_to_id":23,"start_date":"2016-09-28","description":"","custom_fields":[{"id":1,"name":"Subdivision","value":"EC"},{"id":4,"name":"Milepost","value":"5.8118"},{"id":17,"name":"Train ID","value":"219-28"},{"id":16,"name":"Locomotive ID","value":"4014"},{"id":130,"name":"Impact","value":""},{"id":150,"name":"Time of Event (Mountain Time)","value":"18:41:56"},{"id":151,"name":"Denver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"%USERPROFILE%\AppData\Local\Temp\OnboardLogs"\RTDC4014\*4014*201609290* | grep -SE "((Enforcement Ac)|(PRM))" -</v>
      </c>
    </row>
    <row r="11" spans="1:29" s="1" customFormat="1" x14ac:dyDescent="0.25">
      <c r="A11" s="38">
        <v>42641.236134259256</v>
      </c>
      <c r="B11" s="33" t="s">
        <v>175</v>
      </c>
      <c r="C11" s="33" t="s">
        <v>389</v>
      </c>
      <c r="D11" s="33" t="s">
        <v>286</v>
      </c>
      <c r="E11" s="33" t="s">
        <v>168</v>
      </c>
      <c r="F11" s="49">
        <v>340</v>
      </c>
      <c r="G11" s="49">
        <v>422</v>
      </c>
      <c r="H11" s="49">
        <v>58123</v>
      </c>
      <c r="I11" s="49">
        <v>56481</v>
      </c>
      <c r="J11" s="33" t="s">
        <v>167</v>
      </c>
      <c r="K11" s="49">
        <v>58301</v>
      </c>
      <c r="L11" s="146" t="s">
        <v>53</v>
      </c>
      <c r="M11" s="149">
        <f t="shared" si="0"/>
        <v>-960.96</v>
      </c>
      <c r="N11" s="88" t="str">
        <f>VLOOKUP(C11,'Trips&amp;Operators'!$C$1:$E$99999,3,FALSE)</f>
        <v>STRICKLAND</v>
      </c>
      <c r="O11" s="170" t="s">
        <v>86</v>
      </c>
      <c r="P11" s="10" t="s">
        <v>250</v>
      </c>
      <c r="Q11" s="33"/>
      <c r="R11" s="104" t="str">
        <f>VLOOKUP(C11,'Train Runs'!$A$13:$AE$10005,31,0)</f>
        <v>aws s3 cp s3://rtdc.mdm.uploadarchive.raw/RTDC4041/ "%USERPROFILE%\AppData\Local\Temp\OnboardLogs"\RTDC4041\2016-09-28 --exclude "*" --recursive --include "*20160928*" &amp; "%USERPROFILE%\Documents\GitHub\mrs-test-scripts\Headless Mode &amp; Sideloading\WalkAndUnGZ.bat" "%USERPROFILE%\AppData\Local\Temp\OnboardLogs"\RTDC4041\2016-09-28 &amp; 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</v>
      </c>
      <c r="S11" s="107" t="str">
        <f>VLOOKUP(C11,'Train Runs'!$A$13:$AE$10005,22,0)</f>
        <v>https://search-rtdc-monitor-bjffxe2xuh6vdkpspy63sjmuny.us-east-1.es.amazonaws.com/_plugin/kibana/#/discover/Steve-Slow-Train-Analysis-(2080s-and-2083s)?_g=(refreshInterval:(display:Off,section:0,value:0),time:(from:'2016-09-28 04:06:24-0600',mode:absolute,to:'2016-09-28 06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1" s="109" t="str">
        <f t="shared" si="1"/>
        <v>"C:\Program Files (x86)\AstroGrep\AstroGrep.exe" /spath="%USERPROFILE%\AppData\Local\Temp\OnboardLogs" /stypes="*4041*201609281*" /stext=" 11:.+((SYSTEM_STATE.+slice.+state.+changed )|(ment ac)|(system.+state.+changed )|(\[timeout)|(PRM\|1\|D)|(kpr)|(kdp)|(\|lc)|(penalty))" /e /r /s</v>
      </c>
      <c r="U11" s="9" t="str">
        <f t="shared" si="2"/>
        <v>4041</v>
      </c>
      <c r="V11" s="38">
        <f t="shared" si="3"/>
        <v>42641.486134259256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arrival","project_id":79,"tracker_id":40,"status_id":1,"priority_id":2,"assigned_to_id":23,"start_date":"2016-09-28","description":"","custom_fields":[{"id":1,"name":"Subdivision","value":"EC"},{"id":4,"name":"Milepost","value":"5.8301"},{"id":17,"name":"Train ID","value":"106-28"},{"id":16,"name":"Locomotive ID","value":"4041"},{"id":130,"name":"Impact","value":""},{"id":150,"name":"Time of Event (Mountain Time)","value":"05:40:02"},{"id":151,"name":"Denver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"%USERPROFILE%\AppData\Local\Temp\OnboardLogs"\RTDC4041\*4041*201609281* | grep -SE "((Enforcement Ac)|(PRM))" -</v>
      </c>
    </row>
    <row r="12" spans="1:29" s="1" customFormat="1" x14ac:dyDescent="0.25">
      <c r="A12" s="38">
        <v>42641.645740740743</v>
      </c>
      <c r="B12" s="33" t="s">
        <v>163</v>
      </c>
      <c r="C12" s="33" t="s">
        <v>504</v>
      </c>
      <c r="D12" s="33" t="s">
        <v>49</v>
      </c>
      <c r="E12" s="33" t="s">
        <v>168</v>
      </c>
      <c r="F12" s="49">
        <v>0</v>
      </c>
      <c r="G12" s="49">
        <v>510</v>
      </c>
      <c r="H12" s="49">
        <v>103866</v>
      </c>
      <c r="I12" s="49">
        <v>102307</v>
      </c>
      <c r="J12" s="33" t="s">
        <v>167</v>
      </c>
      <c r="K12" s="49">
        <v>103800</v>
      </c>
      <c r="L12" s="146" t="s">
        <v>53</v>
      </c>
      <c r="M12" s="149">
        <f t="shared" si="0"/>
        <v>-788.30399999999997</v>
      </c>
      <c r="N12" s="88" t="str">
        <f>VLOOKUP(C12,'Trips&amp;Operators'!$C$1:$E$99999,3,FALSE)</f>
        <v>STORY</v>
      </c>
      <c r="O12" s="170" t="s">
        <v>86</v>
      </c>
      <c r="P12" s="10" t="s">
        <v>250</v>
      </c>
      <c r="Q12" s="33"/>
      <c r="R12" s="104" t="str">
        <f>VLOOKUP(C12,'Train Runs'!$A$13:$AE$10005,31,0)</f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S12" s="107" t="str">
        <f>VLOOKUP(C12,'Train Runs'!$A$13:$AE$10005,22,0)</f>
        <v>https://search-rtdc-monitor-bjffxe2xuh6vdkpspy63sjmuny.us-east-1.es.amazonaws.com/_plugin/kibana/#/discover/Steve-Slow-Train-Analysis-(2080s-and-2083s)?_g=(refreshInterval:(display:Off,section:0,value:0),time:(from:'2016-09-28 14:02:29-0600',mode:absolute,to:'2016-09-28 16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2" s="109" t="str">
        <f t="shared" si="1"/>
        <v>"C:\Program Files (x86)\AstroGrep\AstroGrep.exe" /spath="%USERPROFILE%\AppData\Local\Temp\OnboardLogs" /stypes="*4019*201609282*" /stext=" 21:.+((SYSTEM_STATE.+slice.+state.+changed )|(ment ac)|(system.+state.+changed )|(\[timeout)|(PRM\|1\|D)|(kpr)|(kdp)|(\|lc)|(penalty))" /e /r /s</v>
      </c>
      <c r="U12" s="9" t="str">
        <f t="shared" si="2"/>
        <v>4019</v>
      </c>
      <c r="V12" s="38">
        <f t="shared" si="3"/>
        <v>42641.895740740743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arrival","project_id":79,"tracker_id":40,"status_id":1,"priority_id":2,"assigned_to_id":23,"start_date":"2016-09-28","description":"","custom_fields":[{"id":1,"name":"Subdivision","value":"EC"},{"id":4,"name":"Milepost","value":"10.38"},{"id":17,"name":"Train ID","value":"186-28"},{"id":16,"name":"Locomotive ID","value":"4019"},{"id":130,"name":"Impact","value":""},{"id":150,"name":"Time of Event (Mountain Time)","value":"15:29:52"},{"id":151,"name":"Denver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"%USERPROFILE%\AppData\Local\Temp\OnboardLogs"\RTDC4019\*4019*201609282* | grep -SE "((Enforcement Ac)|(PRM))" -</v>
      </c>
    </row>
    <row r="13" spans="1:29" s="1" customFormat="1" x14ac:dyDescent="0.25">
      <c r="A13" s="38">
        <v>42641.457025462965</v>
      </c>
      <c r="B13" s="33" t="s">
        <v>317</v>
      </c>
      <c r="C13" s="33" t="s">
        <v>455</v>
      </c>
      <c r="D13" s="33" t="s">
        <v>49</v>
      </c>
      <c r="E13" s="33" t="s">
        <v>168</v>
      </c>
      <c r="F13" s="49">
        <v>0</v>
      </c>
      <c r="G13" s="49">
        <v>327</v>
      </c>
      <c r="H13" s="49">
        <v>109251</v>
      </c>
      <c r="I13" s="49">
        <v>108963</v>
      </c>
      <c r="J13" s="33" t="s">
        <v>167</v>
      </c>
      <c r="K13" s="49">
        <v>109135</v>
      </c>
      <c r="L13" s="146" t="s">
        <v>53</v>
      </c>
      <c r="M13" s="149">
        <f t="shared" si="0"/>
        <v>-90.816000000000003</v>
      </c>
      <c r="N13" s="88" t="str">
        <f>VLOOKUP(C13,'Trips&amp;Operators'!$C$1:$E$99999,3,FALSE)</f>
        <v>SPECTOR</v>
      </c>
      <c r="O13" s="170" t="s">
        <v>86</v>
      </c>
      <c r="P13" s="10" t="s">
        <v>250</v>
      </c>
      <c r="Q13" s="33"/>
      <c r="R13" s="104" t="str">
        <f>VLOOKUP(C13,'Train Runs'!$A$13:$AE$10005,31,0)</f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S13" s="107" t="str">
        <f>VLOOKUP(C13,'Train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09:35:29-0600',mode:absolute,to:'2016-09-28 12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3" s="109" t="str">
        <f t="shared" si="1"/>
        <v>"C:\Program Files (x86)\AstroGrep\AstroGrep.exe" /spath="%USERPROFILE%\AppData\Local\Temp\OnboardLogs" /stypes="*4013*201609281*" /stext=" 16:.+((SYSTEM_STATE.+slice.+state.+changed )|(ment ac)|(system.+state.+changed )|(\[timeout)|(PRM\|1\|D)|(kpr)|(kdp)|(\|lc)|(penalty))" /e /r /s</v>
      </c>
      <c r="U13" s="9" t="str">
        <f t="shared" si="2"/>
        <v>4013</v>
      </c>
      <c r="V13" s="38">
        <f t="shared" si="3"/>
        <v>42641.707025462965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arrival","project_id":79,"tracker_id":40,"status_id":1,"priority_id":2,"assigned_to_id":23,"start_date":"2016-09-28","description":"","custom_fields":[{"id":1,"name":"Subdivision","value":"EC"},{"id":4,"name":"Milepost","value":"10.9135"},{"id":17,"name":"Train ID","value":"150-28"},{"id":16,"name":"Locomotive ID","value":"4013"},{"id":130,"name":"Impact","value":""},{"id":150,"name":"Time of Event (Mountain Time)","value":"10:58:07"},{"id":151,"name":"Denver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"%USERPROFILE%\AppData\Local\Temp\OnboardLogs"\RTDC4013\*4013*201609281* | grep -SE "((Enforcement Ac)|(PRM))" -</v>
      </c>
    </row>
    <row r="14" spans="1:29" s="1" customFormat="1" x14ac:dyDescent="0.25">
      <c r="A14" s="38">
        <v>42641.667488425926</v>
      </c>
      <c r="B14" s="33" t="s">
        <v>273</v>
      </c>
      <c r="C14" s="33" t="s">
        <v>510</v>
      </c>
      <c r="D14" s="33" t="s">
        <v>286</v>
      </c>
      <c r="E14" s="33" t="s">
        <v>168</v>
      </c>
      <c r="F14" s="49">
        <v>0</v>
      </c>
      <c r="G14" s="49">
        <v>328</v>
      </c>
      <c r="H14" s="49">
        <v>109030</v>
      </c>
      <c r="I14" s="49">
        <v>108306</v>
      </c>
      <c r="J14" s="33" t="s">
        <v>167</v>
      </c>
      <c r="K14" s="49">
        <v>109135</v>
      </c>
      <c r="L14" s="146" t="s">
        <v>53</v>
      </c>
      <c r="M14" s="149">
        <f t="shared" si="0"/>
        <v>-437.71199999999999</v>
      </c>
      <c r="N14" s="88" t="str">
        <f>VLOOKUP(C14,'Trips&amp;Operators'!$C$1:$E$99999,3,FALSE)</f>
        <v>BARTLETT</v>
      </c>
      <c r="O14" s="170" t="s">
        <v>86</v>
      </c>
      <c r="P14" s="10" t="s">
        <v>250</v>
      </c>
      <c r="Q14" s="33"/>
      <c r="R14" s="104" t="str">
        <f>VLOOKUP(C14,'Train Runs'!$A$13:$AE$10005,31,0)</f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S14" s="107" t="str">
        <f>VLOOKUP(C14,'Train Runs'!$A$13:$AE$10005,22,0)</f>
        <v>https://search-rtdc-monitor-bjffxe2xuh6vdkpspy63sjmuny.us-east-1.es.amazonaws.com/_plugin/kibana/#/discover/Steve-Slow-Train-Analysis-(2080s-and-2083s)?_g=(refreshInterval:(display:Off,section:0,value:0),time:(from:'2016-09-28 14:26:30-0600',mode:absolute,to:'2016-09-28 17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4" s="109" t="str">
        <f t="shared" si="1"/>
        <v>"C:\Program Files (x86)\AstroGrep\AstroGrep.exe" /spath="%USERPROFILE%\AppData\Local\Temp\OnboardLogs" /stypes="*4017*201609282*" /stext=" 22:.+((SYSTEM_STATE.+slice.+state.+changed )|(ment ac)|(system.+state.+changed )|(\[timeout)|(PRM\|1\|D)|(kpr)|(kdp)|(\|lc)|(penalty))" /e /r /s</v>
      </c>
      <c r="U14" s="9" t="str">
        <f t="shared" si="2"/>
        <v>4017</v>
      </c>
      <c r="V14" s="38">
        <f t="shared" si="3"/>
        <v>42641.917488425926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arrival","project_id":79,"tracker_id":40,"status_id":1,"priority_id":2,"assigned_to_id":23,"start_date":"2016-09-28","description":"","custom_fields":[{"id":1,"name":"Subdivision","value":"EC"},{"id":4,"name":"Milepost","value":"10.9135"},{"id":17,"name":"Train ID","value":"190-28"},{"id":16,"name":"Locomotive ID","value":"4017"},{"id":130,"name":"Impact","value":""},{"id":150,"name":"Time of Event (Mountain Time)","value":"16:01:11"},{"id":151,"name":"Denver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"%USERPROFILE%\AppData\Local\Temp\OnboardLogs"\RTDC4017\*4017*201609282* | grep -SE "((Enforcement Ac)|(PRM))" -</v>
      </c>
    </row>
    <row r="15" spans="1:29" s="1" customFormat="1" x14ac:dyDescent="0.25">
      <c r="A15" s="38">
        <v>42641.885231481479</v>
      </c>
      <c r="B15" s="33" t="s">
        <v>273</v>
      </c>
      <c r="C15" s="33" t="s">
        <v>571</v>
      </c>
      <c r="D15" s="33" t="s">
        <v>105</v>
      </c>
      <c r="E15" s="33" t="s">
        <v>168</v>
      </c>
      <c r="F15" s="49">
        <v>0</v>
      </c>
      <c r="G15" s="49">
        <v>366</v>
      </c>
      <c r="H15" s="49">
        <v>109126</v>
      </c>
      <c r="I15" s="49">
        <v>108525</v>
      </c>
      <c r="J15" s="33" t="s">
        <v>167</v>
      </c>
      <c r="K15" s="49">
        <v>109135</v>
      </c>
      <c r="L15" s="146" t="s">
        <v>53</v>
      </c>
      <c r="M15" s="149">
        <f t="shared" si="0"/>
        <v>-322.08</v>
      </c>
      <c r="N15" s="88" t="str">
        <f>VLOOKUP(C15,'Trips&amp;Operators'!$C$1:$E$99999,3,FALSE)</f>
        <v>LEVIN</v>
      </c>
      <c r="O15" s="170" t="s">
        <v>86</v>
      </c>
      <c r="P15" s="10" t="s">
        <v>250</v>
      </c>
      <c r="Q15" s="33"/>
      <c r="R15" s="104" t="str">
        <f>VLOOKUP(C15,'Train Runs'!$A$13:$AE$10005,31,0)</f>
        <v>aws s3 cp s3://rtdc.mdm.uploadarchive.raw/RTDC4017/ "%USERPROFILE%\AppData\Local\Temp\OnboardLogs"\RTDC4017\2016-09-28 --exclude "*" --recursive --include "*20160928*" &amp; "%USERPROFILE%\Documents\GitHub\mrs-test-scripts\Headless Mode &amp; Sideloading\WalkAndUnGZ.bat" "%USERPROFILE%\AppData\Local\Temp\OnboardLogs"\RTDC4017\2016-09-28 &amp; aws s3 cp s3://rtdc.mdm.uploadarchive.raw/RTDC4017/ "%USERPROFILE%\AppData\Local\Temp\OnboardLogs"\RTDC4017\2016-09-29 --exclude "*" --recursive --include "*20160929*" &amp; "%USERPROFILE%\Documents\GitHub\mrs-test-scripts\Headless Mode &amp; Sideloading\WalkAndUnGZ.bat" "%USERPROFILE%\AppData\Local\Temp\OnboardLogs"\RTDC4017\2016-09-29</v>
      </c>
      <c r="S15" s="107" t="str">
        <f>VLOOKUP(C15,'Train Runs'!$A$13:$AE$10005,22,0)</f>
        <v>https://search-rtdc-monitor-bjffxe2xuh6vdkpspy63sjmuny.us-east-1.es.amazonaws.com/_plugin/kibana/#/discover/Steve-Slow-Train-Analysis-(2080s-and-2083s)?_g=(refreshInterval:(display:Off,section:0,value:0),time:(from:'2016-09-28 19:47:09-0600',mode:absolute,to:'2016-09-28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5" s="109" t="str">
        <f t="shared" si="1"/>
        <v>"C:\Program Files (x86)\AstroGrep\AstroGrep.exe" /spath="%USERPROFILE%\AppData\Local\Temp\OnboardLogs" /stypes="*4017*201609290*" /stext=" 03:.+((SYSTEM_STATE.+slice.+state.+changed )|(ment ac)|(system.+state.+changed )|(\[timeout)|(PRM\|1\|D)|(kpr)|(kdp)|(\|lc)|(penalty))" /e /r /s</v>
      </c>
      <c r="U15" s="9" t="str">
        <f t="shared" si="2"/>
        <v>4017</v>
      </c>
      <c r="V15" s="38">
        <f t="shared" si="3"/>
        <v>42642.135231481479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{"issue":{"subject":"Early arrival","project_id":79,"tracker_id":40,"status_id":1,"priority_id":2,"assigned_to_id":23,"start_date":"2016-09-28","description":"","custom_fields":[{"id":1,"name":"Subdivision","value":"EC"},{"id":4,"name":"Milepost","value":"10.9135"},{"id":17,"name":"Train ID","value":"226-28"},{"id":16,"name":"Locomotive ID","value":"4017"},{"id":130,"name":"Impact","value":""},{"id":150,"name":"Time of Event (Mountain Time)","value":"21:14:44"},{"id":151,"name":"Denver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"%USERPROFILE%\AppData\Local\Temp\OnboardLogs"\RTDC4017\*4017*201609290* | grep -SE "((Enforcement Ac)|(PRM))" -</v>
      </c>
    </row>
    <row r="16" spans="1:29" s="1" customFormat="1" x14ac:dyDescent="0.25">
      <c r="A16" s="38">
        <v>42641.303298611114</v>
      </c>
      <c r="B16" s="33" t="s">
        <v>164</v>
      </c>
      <c r="C16" s="33" t="s">
        <v>414</v>
      </c>
      <c r="D16" s="33" t="s">
        <v>105</v>
      </c>
      <c r="E16" s="33" t="s">
        <v>56</v>
      </c>
      <c r="F16" s="49">
        <v>150</v>
      </c>
      <c r="G16" s="49">
        <v>203</v>
      </c>
      <c r="H16" s="49">
        <v>2963</v>
      </c>
      <c r="I16" s="49">
        <v>3316</v>
      </c>
      <c r="J16" s="33" t="s">
        <v>57</v>
      </c>
      <c r="K16" s="49">
        <v>0</v>
      </c>
      <c r="L16" s="146" t="s">
        <v>52</v>
      </c>
      <c r="M16" s="149">
        <f t="shared" si="0"/>
        <v>-1750.848</v>
      </c>
      <c r="N16" s="88" t="str">
        <f>VLOOKUP(C16,'Trips&amp;Operators'!$C$1:$E$99999,3,FALSE)</f>
        <v>SANTIZO</v>
      </c>
      <c r="O16" s="170" t="s">
        <v>86</v>
      </c>
      <c r="P16" s="10"/>
      <c r="Q16" s="33"/>
      <c r="R16" s="104" t="str">
        <f>VLOOKUP(C16,'Train Runs'!$A$13:$AE$10005,31,0)</f>
        <v>aws s3 cp s3://rtdc.mdm.uploadarchive.raw/RTDC4020/ "%USERPROFILE%\AppData\Local\Temp\OnboardLogs"\RTDC4020\2016-09-28 --exclude "*" --recursive --include "*20160928*" &amp; "%USERPROFILE%\Documents\GitHub\mrs-test-scripts\Headless Mode &amp; Sideloading\WalkAndUnGZ.bat" "%USERPROFILE%\AppData\Local\Temp\OnboardLogs"\RTDC4020\2016-09-28 &amp; 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</v>
      </c>
      <c r="S16" s="107" t="str">
        <f>VLOOKUP(C16,'Train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06:09:14-0600',mode:absolute,to:'2016-09-28 08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6" s="109" t="str">
        <f t="shared" si="1"/>
        <v>"C:\Program Files (x86)\AstroGrep\AstroGrep.exe" /spath="%USERPROFILE%\AppData\Local\Temp\OnboardLogs" /stypes="*4020*201609281*" /stext=" 13:.+((SYSTEM_STATE.+slice.+state.+changed )|(ment ac)|(system.+state.+changed )|(\[timeout)|(PRM\|1\|D)|(kpr)|(kdp)|(\|lc)|(penalty))" /e /r /s</v>
      </c>
      <c r="U16" s="9" t="str">
        <f t="shared" si="2"/>
        <v>4020</v>
      </c>
      <c r="V16" s="38">
        <f t="shared" si="3"/>
        <v>42641.553298611114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{"issue":{"subject":"","project_id":79,"tracker_id":40,"status_id":1,"priority_id":2,"assigned_to_id":23,"start_date":"2016-09-28","description":"","custom_fields":[{"id":1,"name":"Subdivision","value":"EC"},{"id":4,"name":"Milepost","value":"0"},{"id":17,"name":"Train ID","value":"129-28"},{"id":16,"name":"Locomotive ID","value":"4020"},{"id":130,"name":"Impact","value":""},{"id":150,"name":"Time of Event (Mountain Time)","value":"07:16:45"},{"id":151,"name":"Denver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"%USERPROFILE%\AppData\Local\Temp\OnboardLogs"\RTDC4020\*4020*201609281* | grep -SE "((Enforcement Ac)|(PRM))" -</v>
      </c>
    </row>
    <row r="17" spans="1:29" s="1" customFormat="1" x14ac:dyDescent="0.25">
      <c r="A17" s="38">
        <v>42641.324918981481</v>
      </c>
      <c r="B17" s="33" t="s">
        <v>275</v>
      </c>
      <c r="C17" s="33" t="s">
        <v>421</v>
      </c>
      <c r="D17" s="33" t="s">
        <v>105</v>
      </c>
      <c r="E17" s="33" t="s">
        <v>56</v>
      </c>
      <c r="F17" s="49">
        <v>150</v>
      </c>
      <c r="G17" s="49">
        <v>204</v>
      </c>
      <c r="H17" s="49">
        <v>4723</v>
      </c>
      <c r="I17" s="49">
        <v>5139</v>
      </c>
      <c r="J17" s="33" t="s">
        <v>57</v>
      </c>
      <c r="K17" s="49">
        <v>0</v>
      </c>
      <c r="L17" s="146" t="s">
        <v>52</v>
      </c>
      <c r="M17" s="149">
        <f t="shared" si="0"/>
        <v>-2713.3919999999998</v>
      </c>
      <c r="N17" s="88" t="str">
        <f>VLOOKUP(C17,'Trips&amp;Operators'!$C$1:$E$99999,3,FALSE)</f>
        <v>STRICKLAND</v>
      </c>
      <c r="O17" s="170" t="s">
        <v>86</v>
      </c>
      <c r="P17" s="10"/>
      <c r="Q17" s="33"/>
      <c r="R17" s="104" t="str">
        <f>VLOOKUP(C17,'Train Runs'!$A$13:$AE$10005,31,0)</f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S17" s="107" t="str">
        <f>VLOOKUP(C17,'Train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06:41:03-0600',mode:absolute,to:'2016-09-28 09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7" s="109" t="str">
        <f t="shared" si="1"/>
        <v>"C:\Program Files (x86)\AstroGrep\AstroGrep.exe" /spath="%USERPROFILE%\AppData\Local\Temp\OnboardLogs" /stypes="*4018*201609281*" /stext=" 13:.+((SYSTEM_STATE.+slice.+state.+changed )|(ment ac)|(system.+state.+changed )|(\[timeout)|(PRM\|1\|D)|(kpr)|(kdp)|(\|lc)|(penalty))" /e /r /s</v>
      </c>
      <c r="U17" s="9" t="str">
        <f t="shared" si="2"/>
        <v>4018</v>
      </c>
      <c r="V17" s="38">
        <f t="shared" si="3"/>
        <v>42641.574918981481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{"issue":{"subject":"","project_id":79,"tracker_id":40,"status_id":1,"priority_id":2,"assigned_to_id":23,"start_date":"2016-09-28","description":"","custom_fields":[{"id":1,"name":"Subdivision","value":"EC"},{"id":4,"name":"Milepost","value":"0"},{"id":17,"name":"Train ID","value":"133-28"},{"id":16,"name":"Locomotive ID","value":"4018"},{"id":130,"name":"Impact","value":""},{"id":150,"name":"Time of Event (Mountain Time)","value":"07:47:53"},{"id":151,"name":"Denver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"%USERPROFILE%\AppData\Local\Temp\OnboardLogs"\RTDC4018\*4018*201609281* | grep -SE "((Enforcement Ac)|(PRM))" -</v>
      </c>
    </row>
    <row r="18" spans="1:29" s="1" customFormat="1" x14ac:dyDescent="0.25">
      <c r="A18" s="38">
        <v>42641.401863425926</v>
      </c>
      <c r="B18" s="33" t="s">
        <v>317</v>
      </c>
      <c r="C18" s="33" t="s">
        <v>436</v>
      </c>
      <c r="D18" s="33" t="s">
        <v>49</v>
      </c>
      <c r="E18" s="33" t="s">
        <v>56</v>
      </c>
      <c r="F18" s="49">
        <v>150</v>
      </c>
      <c r="G18" s="49">
        <v>205</v>
      </c>
      <c r="H18" s="49">
        <v>5532</v>
      </c>
      <c r="I18" s="49">
        <v>5106</v>
      </c>
      <c r="J18" s="33" t="s">
        <v>57</v>
      </c>
      <c r="K18" s="49">
        <v>4677</v>
      </c>
      <c r="L18" s="146" t="s">
        <v>53</v>
      </c>
      <c r="M18" s="149">
        <f t="shared" si="0"/>
        <v>226.512</v>
      </c>
      <c r="N18" s="88" t="str">
        <f>VLOOKUP(C18,'Trips&amp;Operators'!$C$1:$E$99999,3,FALSE)</f>
        <v>SPECTOR</v>
      </c>
      <c r="O18" s="170" t="s">
        <v>86</v>
      </c>
      <c r="P18" s="10"/>
      <c r="Q18" s="33"/>
      <c r="R18" s="104" t="str">
        <f>VLOOKUP(C18,'Train Runs'!$A$13:$AE$10005,31,0)</f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S18" s="107" t="str">
        <f>VLOOKUP(C18,'Train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07:54:59-0600',mode:absolute,to:'2016-09-28 10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8" s="109" t="str">
        <f t="shared" si="1"/>
        <v>"C:\Program Files (x86)\AstroGrep\AstroGrep.exe" /spath="%USERPROFILE%\AppData\Local\Temp\OnboardLogs" /stypes="*4013*201609281*" /stext=" 15:.+((SYSTEM_STATE.+slice.+state.+changed )|(ment ac)|(system.+state.+changed )|(\[timeout)|(PRM\|1\|D)|(kpr)|(kdp)|(\|lc)|(penalty))" /e /r /s</v>
      </c>
      <c r="U18" s="9" t="str">
        <f t="shared" si="2"/>
        <v>4013</v>
      </c>
      <c r="V18" s="38">
        <f t="shared" si="3"/>
        <v>42641.651863425926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{"issue":{"subject":"","project_id":79,"tracker_id":40,"status_id":1,"priority_id":2,"assigned_to_id":23,"start_date":"2016-09-28","description":"","custom_fields":[{"id":1,"name":"Subdivision","value":"EC"},{"id":4,"name":"Milepost","value":"0.4677"},{"id":17,"name":"Train ID","value":"136-28"},{"id":16,"name":"Locomotive ID","value":"4013"},{"id":130,"name":"Impact","value":""},{"id":150,"name":"Time of Event (Mountain Time)","value":"09:38:41"},{"id":151,"name":"Denver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"%USERPROFILE%\AppData\Local\Temp\OnboardLogs"\RTDC4013\*4013*201609281* | grep -SE "((Enforcement Ac)|(PRM))" -</v>
      </c>
    </row>
    <row r="19" spans="1:29" s="1" customFormat="1" x14ac:dyDescent="0.25">
      <c r="A19" s="38">
        <v>42641.401296296295</v>
      </c>
      <c r="B19" s="33" t="s">
        <v>317</v>
      </c>
      <c r="C19" s="33" t="s">
        <v>436</v>
      </c>
      <c r="D19" s="33" t="s">
        <v>49</v>
      </c>
      <c r="E19" s="33" t="s">
        <v>56</v>
      </c>
      <c r="F19" s="49">
        <v>200</v>
      </c>
      <c r="G19" s="49">
        <v>340</v>
      </c>
      <c r="H19" s="49">
        <v>6674</v>
      </c>
      <c r="I19" s="49">
        <v>5903</v>
      </c>
      <c r="J19" s="33" t="s">
        <v>57</v>
      </c>
      <c r="K19" s="49">
        <v>5457</v>
      </c>
      <c r="L19" s="146" t="s">
        <v>53</v>
      </c>
      <c r="M19" s="149">
        <f t="shared" si="0"/>
        <v>235.488</v>
      </c>
      <c r="N19" s="88" t="str">
        <f>VLOOKUP(C19,'Trips&amp;Operators'!$C$1:$E$99999,3,FALSE)</f>
        <v>SPECTOR</v>
      </c>
      <c r="O19" s="170" t="s">
        <v>86</v>
      </c>
      <c r="P19" s="10"/>
      <c r="Q19" s="33"/>
      <c r="R19" s="104" t="str">
        <f>VLOOKUP(C19,'Train Runs'!$A$13:$AE$10005,31,0)</f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S19" s="107" t="str">
        <f>VLOOKUP(C19,'Train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07:54:59-0600',mode:absolute,to:'2016-09-28 10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9" s="109" t="str">
        <f t="shared" si="1"/>
        <v>"C:\Program Files (x86)\AstroGrep\AstroGrep.exe" /spath="%USERPROFILE%\AppData\Local\Temp\OnboardLogs" /stypes="*4013*201609281*" /stext=" 15:.+((SYSTEM_STATE.+slice.+state.+changed )|(ment ac)|(system.+state.+changed )|(\[timeout)|(PRM\|1\|D)|(kpr)|(kdp)|(\|lc)|(penalty))" /e /r /s</v>
      </c>
      <c r="U19" s="9" t="str">
        <f t="shared" si="2"/>
        <v>4013</v>
      </c>
      <c r="V19" s="38">
        <f t="shared" si="3"/>
        <v>42641.651296296295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{"issue":{"subject":"","project_id":79,"tracker_id":40,"status_id":1,"priority_id":2,"assigned_to_id":23,"start_date":"2016-09-28","description":"","custom_fields":[{"id":1,"name":"Subdivision","value":"EC"},{"id":4,"name":"Milepost","value":"0.5457"},{"id":17,"name":"Train ID","value":"136-28"},{"id":16,"name":"Locomotive ID","value":"4013"},{"id":130,"name":"Impact","value":""},{"id":150,"name":"Time of Event (Mountain Time)","value":"09:37:52"},{"id":151,"name":"Denver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"%USERPROFILE%\AppData\Local\Temp\OnboardLogs"\RTDC4013\*4013*201609281* | grep -SE "((Enforcement Ac)|(PRM))" -</v>
      </c>
    </row>
    <row r="20" spans="1:29" x14ac:dyDescent="0.25">
      <c r="A20" s="38">
        <v>42641.346747685187</v>
      </c>
      <c r="B20" s="33" t="s">
        <v>180</v>
      </c>
      <c r="C20" s="33" t="s">
        <v>427</v>
      </c>
      <c r="D20" s="33" t="s">
        <v>49</v>
      </c>
      <c r="E20" s="33" t="s">
        <v>56</v>
      </c>
      <c r="F20" s="49">
        <v>400</v>
      </c>
      <c r="G20" s="49">
        <v>475</v>
      </c>
      <c r="H20" s="49">
        <v>16696</v>
      </c>
      <c r="I20" s="49">
        <v>17862</v>
      </c>
      <c r="J20" s="33" t="s">
        <v>57</v>
      </c>
      <c r="K20" s="49">
        <v>17867</v>
      </c>
      <c r="L20" s="146" t="s">
        <v>52</v>
      </c>
      <c r="M20" s="149">
        <f t="shared" si="0"/>
        <v>2.64</v>
      </c>
      <c r="N20" s="88" t="str">
        <f>VLOOKUP(C20,'Trips&amp;Operators'!$C$1:$E$99999,3,FALSE)</f>
        <v>KILLION</v>
      </c>
      <c r="O20" s="170" t="s">
        <v>86</v>
      </c>
      <c r="P20" s="10"/>
      <c r="Q20" s="33"/>
      <c r="R20" s="104" t="str">
        <f>VLOOKUP(C20,'Train Runs'!$A$13:$AE$10005,31,0)</f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S20" s="107" t="str">
        <f>VLOOKUP(C20,'Train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07:08:44-0600',mode:absolute,to:'2016-09-28 09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0" s="109" t="str">
        <f t="shared" si="1"/>
        <v>"C:\Program Files (x86)\AstroGrep\AstroGrep.exe" /spath="%USERPROFILE%\AppData\Local\Temp\OnboardLogs" /stypes="*4046*201609281*" /stext=" 14:.+((SYSTEM_STATE.+slice.+state.+changed )|(ment ac)|(system.+state.+changed )|(\[timeout)|(PRM\|1\|D)|(kpr)|(kdp)|(\|lc)|(penalty))" /e /r /s</v>
      </c>
      <c r="U20" s="9" t="str">
        <f t="shared" si="2"/>
        <v>4046</v>
      </c>
      <c r="V20" s="38">
        <f t="shared" si="3"/>
        <v>42641.596747685187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{"issue":{"subject":"","project_id":79,"tracker_id":40,"status_id":1,"priority_id":2,"assigned_to_id":23,"start_date":"2016-09-28","description":"","custom_fields":[{"id":1,"name":"Subdivision","value":"EC"},{"id":4,"name":"Milepost","value":"1.7867"},{"id":17,"name":"Train ID","value":"137-28"},{"id":16,"name":"Locomotive ID","value":"4046"},{"id":130,"name":"Impact","value":""},{"id":150,"name":"Time of Event (Mountain Time)","value":"08:19:19"},{"id":151,"name":"Denver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"%USERPROFILE%\AppData\Local\Temp\OnboardLogs"\RTDC4046\*4046*201609281* | grep -SE "((Enforcement Ac)|(PRM))" -</v>
      </c>
    </row>
    <row r="21" spans="1:29" s="1" customFormat="1" x14ac:dyDescent="0.25">
      <c r="A21" s="38">
        <v>42641.526631944442</v>
      </c>
      <c r="B21" s="33" t="s">
        <v>376</v>
      </c>
      <c r="C21" s="33" t="s">
        <v>471</v>
      </c>
      <c r="D21" s="33" t="s">
        <v>49</v>
      </c>
      <c r="E21" s="33" t="s">
        <v>56</v>
      </c>
      <c r="F21" s="49">
        <v>150</v>
      </c>
      <c r="G21" s="49">
        <v>292</v>
      </c>
      <c r="H21" s="49">
        <v>229488</v>
      </c>
      <c r="I21" s="49">
        <v>230006</v>
      </c>
      <c r="J21" s="33" t="s">
        <v>57</v>
      </c>
      <c r="K21" s="49">
        <v>230436</v>
      </c>
      <c r="L21" s="146" t="s">
        <v>52</v>
      </c>
      <c r="M21" s="149">
        <f t="shared" si="0"/>
        <v>227.04</v>
      </c>
      <c r="N21" s="88" t="str">
        <f>VLOOKUP(C21,'Trips&amp;Operators'!$C$1:$E$99999,3,FALSE)</f>
        <v>YOUNG</v>
      </c>
      <c r="O21" s="170" t="s">
        <v>86</v>
      </c>
      <c r="P21" s="10"/>
      <c r="Q21" s="33"/>
      <c r="R21" s="104" t="str">
        <f>VLOOKUP(C21,'Train Runs'!$A$13:$AE$10005,31,0)</f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S21" s="107" t="str">
        <f>VLOOKUP(C21,'Train Runs'!$A$13:$AE$10005,22,0)</f>
        <v>https://search-rtdc-monitor-bjffxe2xuh6vdkpspy63sjmuny.us-east-1.es.amazonaws.com/_plugin/kibana/#/discover/Steve-Slow-Train-Analysis-(2080s-and-2083s)?_g=(refreshInterval:(display:Off,section:0,value:0),time:(from:'2016-09-28 10:54:32-0600',mode:absolute,to:'2016-09-28 13:40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1" s="109" t="str">
        <f t="shared" si="1"/>
        <v>"C:\Program Files (x86)\AstroGrep\AstroGrep.exe" /spath="%USERPROFILE%\AppData\Local\Temp\OnboardLogs" /stypes="*4040*201609281*" /stext=" 18:.+((SYSTEM_STATE.+slice.+state.+changed )|(ment ac)|(system.+state.+changed )|(\[timeout)|(PRM\|1\|D)|(kpr)|(kdp)|(\|lc)|(penalty))" /e /r /s</v>
      </c>
      <c r="U21" s="9" t="str">
        <f t="shared" si="2"/>
        <v>4040</v>
      </c>
      <c r="V21" s="38">
        <f t="shared" si="3"/>
        <v>42641.776631944442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{"issue":{"subject":"","project_id":79,"tracker_id":40,"status_id":1,"priority_id":2,"assigned_to_id":23,"start_date":"2016-09-28","description":"","custom_fields":[{"id":1,"name":"Subdivision","value":"EC"},{"id":4,"name":"Milepost","value":"23.0436"},{"id":17,"name":"Train ID","value":"167-28"},{"id":16,"name":"Locomotive ID","value":"4040"},{"id":130,"name":"Impact","value":""},{"id":150,"name":"Time of Event (Mountain Time)","value":"12:38:21"},{"id":151,"name":"Denver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"%USERPROFILE%\AppData\Local\Temp\OnboardLogs"\RTDC4040\*4040*201609281* | grep -SE "((Enforcement Ac)|(PRM))" -</v>
      </c>
    </row>
    <row r="22" spans="1:29" x14ac:dyDescent="0.25">
      <c r="A22" s="38">
        <v>42641.642465277779</v>
      </c>
      <c r="B22" s="33" t="s">
        <v>163</v>
      </c>
      <c r="C22" s="33" t="s">
        <v>504</v>
      </c>
      <c r="D22" s="33" t="s">
        <v>49</v>
      </c>
      <c r="E22" s="33" t="s">
        <v>54</v>
      </c>
      <c r="F22" s="49">
        <v>0</v>
      </c>
      <c r="G22" s="49">
        <v>352</v>
      </c>
      <c r="H22" s="49">
        <v>128781</v>
      </c>
      <c r="I22" s="49">
        <v>127834</v>
      </c>
      <c r="J22" s="33" t="s">
        <v>55</v>
      </c>
      <c r="K22" s="49">
        <v>127587</v>
      </c>
      <c r="L22" s="146" t="s">
        <v>53</v>
      </c>
      <c r="M22" s="149">
        <f t="shared" si="0"/>
        <v>130.416</v>
      </c>
      <c r="N22" s="88" t="str">
        <f>VLOOKUP(C22,'Trips&amp;Operators'!$C$1:$E$99999,3,FALSE)</f>
        <v>STORY</v>
      </c>
      <c r="O22" s="170" t="s">
        <v>86</v>
      </c>
      <c r="P22" s="10" t="s">
        <v>770</v>
      </c>
      <c r="Q22" s="33"/>
      <c r="R22" s="104" t="str">
        <f>VLOOKUP(C22,'Train Runs'!$A$13:$AE$10005,31,0)</f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S22" s="107" t="str">
        <f>VLOOKUP(C22,'Train Runs'!$A$13:$AE$10005,22,0)</f>
        <v>https://search-rtdc-monitor-bjffxe2xuh6vdkpspy63sjmuny.us-east-1.es.amazonaws.com/_plugin/kibana/#/discover/Steve-Slow-Train-Analysis-(2080s-and-2083s)?_g=(refreshInterval:(display:Off,section:0,value:0),time:(from:'2016-09-28 14:02:29-0600',mode:absolute,to:'2016-09-28 16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2" s="109" t="str">
        <f t="shared" si="1"/>
        <v>"C:\Program Files (x86)\AstroGrep\AstroGrep.exe" /spath="%USERPROFILE%\AppData\Local\Temp\OnboardLogs" /stypes="*4019*201609282*" /stext=" 21:.+((SYSTEM_STATE.+slice.+state.+changed )|(ment ac)|(system.+state.+changed )|(\[timeout)|(PRM\|1\|D)|(kpr)|(kdp)|(\|lc)|(penalty))" /e /r /s</v>
      </c>
      <c r="U22" s="9" t="str">
        <f t="shared" si="2"/>
        <v>4019</v>
      </c>
      <c r="V22" s="38">
        <f t="shared" si="3"/>
        <v>42641.892465277779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{"issue":{"subject":"40th 4S STOP, cleared afterward","project_id":79,"tracker_id":40,"status_id":1,"priority_id":2,"assigned_to_id":23,"start_date":"2016-09-28","description":"","custom_fields":[{"id":1,"name":"Subdivision","value":"EC"},{"id":4,"name":"Milepost","value":"12.7587"},{"id":17,"name":"Train ID","value":"186-28"},{"id":16,"name":"Locomotive ID","value":"4019"},{"id":130,"name":"Impact","value":""},{"id":150,"name":"Time of Event (Mountain Time)","value":"15:25:09"},{"id":151,"name":"Denver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"%USERPROFILE%\AppData\Local\Temp\OnboardLogs"\RTDC4019\*4019*201609282* | grep -SE "((Enforcement Ac)|(PRM))" -</v>
      </c>
    </row>
    <row r="23" spans="1:29" x14ac:dyDescent="0.25">
      <c r="A23" s="38">
        <v>42641.245393518519</v>
      </c>
      <c r="B23" s="33" t="s">
        <v>175</v>
      </c>
      <c r="C23" s="33" t="s">
        <v>389</v>
      </c>
      <c r="D23" s="33" t="s">
        <v>49</v>
      </c>
      <c r="E23" s="33" t="s">
        <v>50</v>
      </c>
      <c r="F23" s="49">
        <v>0</v>
      </c>
      <c r="G23" s="49">
        <v>67</v>
      </c>
      <c r="H23" s="49">
        <v>254</v>
      </c>
      <c r="I23" s="49">
        <v>170</v>
      </c>
      <c r="J23" s="33" t="s">
        <v>51</v>
      </c>
      <c r="K23" s="49">
        <v>1</v>
      </c>
      <c r="L23" s="146" t="s">
        <v>53</v>
      </c>
      <c r="M23" s="149">
        <f t="shared" si="0"/>
        <v>89.231999999999985</v>
      </c>
      <c r="N23" s="88" t="str">
        <f>VLOOKUP(C23,'Trips&amp;Operators'!$C$1:$E$99999,3,FALSE)</f>
        <v>STRICKLAND</v>
      </c>
      <c r="O23" s="170" t="s">
        <v>86</v>
      </c>
      <c r="P23" s="10"/>
      <c r="Q23" s="33"/>
      <c r="R23" s="104" t="str">
        <f>VLOOKUP(C23,'Train Runs'!$A$13:$AE$10005,31,0)</f>
        <v>aws s3 cp s3://rtdc.mdm.uploadarchive.raw/RTDC4041/ "%USERPROFILE%\AppData\Local\Temp\OnboardLogs"\RTDC4041\2016-09-28 --exclude "*" --recursive --include "*20160928*" &amp; "%USERPROFILE%\Documents\GitHub\mrs-test-scripts\Headless Mode &amp; Sideloading\WalkAndUnGZ.bat" "%USERPROFILE%\AppData\Local\Temp\OnboardLogs"\RTDC4041\2016-09-28 &amp; 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</v>
      </c>
      <c r="S23" s="107" t="str">
        <f>VLOOKUP(C23,'Train Runs'!$A$13:$AE$10005,22,0)</f>
        <v>https://search-rtdc-monitor-bjffxe2xuh6vdkpspy63sjmuny.us-east-1.es.amazonaws.com/_plugin/kibana/#/discover/Steve-Slow-Train-Analysis-(2080s-and-2083s)?_g=(refreshInterval:(display:Off,section:0,value:0),time:(from:'2016-09-28 04:06:24-0600',mode:absolute,to:'2016-09-28 06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3" s="109" t="str">
        <f t="shared" si="1"/>
        <v>"C:\Program Files (x86)\AstroGrep\AstroGrep.exe" /spath="%USERPROFILE%\AppData\Local\Temp\OnboardLogs" /stypes="*4041*201609281*" /stext=" 11:.+((SYSTEM_STATE.+slice.+state.+changed )|(ment ac)|(system.+state.+changed )|(\[timeout)|(PRM\|1\|D)|(kpr)|(kdp)|(\|lc)|(penalty))" /e /r /s</v>
      </c>
      <c r="U23" s="9" t="str">
        <f t="shared" si="2"/>
        <v>4041</v>
      </c>
      <c r="V23" s="38">
        <f t="shared" si="3"/>
        <v>42641.495393518519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ID","value":"106-28"},{"id":16,"name":"Locomotive ID","value":"4041"},{"id":130,"name":"Impact","value":""},{"id":150,"name":"Time of Event (Mountain Time)","value":"05:53:22"},{"id":151,"name":"Denver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"%USERPROFILE%\AppData\Local\Temp\OnboardLogs"\RTDC4041\*4041*201609281* | grep -SE "((Enforcement Ac)|(PRM))" -</v>
      </c>
    </row>
    <row r="24" spans="1:29" x14ac:dyDescent="0.25">
      <c r="A24" s="38">
        <v>42641.306620370371</v>
      </c>
      <c r="B24" s="33" t="s">
        <v>386</v>
      </c>
      <c r="C24" s="33" t="s">
        <v>407</v>
      </c>
      <c r="D24" s="33" t="s">
        <v>49</v>
      </c>
      <c r="E24" s="33" t="s">
        <v>50</v>
      </c>
      <c r="F24" s="49">
        <v>0</v>
      </c>
      <c r="G24" s="49">
        <v>49</v>
      </c>
      <c r="H24" s="49">
        <v>149</v>
      </c>
      <c r="I24" s="49">
        <v>114</v>
      </c>
      <c r="J24" s="33" t="s">
        <v>51</v>
      </c>
      <c r="K24" s="49">
        <v>1</v>
      </c>
      <c r="L24" s="146" t="s">
        <v>53</v>
      </c>
      <c r="M24" s="149">
        <f t="shared" si="0"/>
        <v>59.664000000000001</v>
      </c>
      <c r="N24" s="88" t="str">
        <f>VLOOKUP(C24,'Trips&amp;Operators'!$C$1:$E$99999,3,FALSE)</f>
        <v>ACKERMAN</v>
      </c>
      <c r="O24" s="170" t="s">
        <v>86</v>
      </c>
      <c r="P24" s="10"/>
      <c r="Q24" s="33"/>
      <c r="R24" s="104" t="str">
        <f>VLOOKUP(C24,'Train Runs'!$A$13:$AE$10005,31,0)</f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S24" s="107" t="str">
        <f>VLOOKUP(C24,'Train Runs'!$A$13:$AE$10005,22,0)</f>
        <v>https://search-rtdc-monitor-bjffxe2xuh6vdkpspy63sjmuny.us-east-1.es.amazonaws.com/_plugin/kibana/#/discover/Steve-Slow-Train-Analysis-(2080s-and-2083s)?_g=(refreshInterval:(display:Off,section:0,value:0),time:(from:'2016-09-28 05:34:13-0600',mode:absolute,to:'2016-09-28 08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24" s="109" t="str">
        <f t="shared" si="1"/>
        <v>"C:\Program Files (x86)\AstroGrep\AstroGrep.exe" /spath="%USERPROFILE%\AppData\Local\Temp\OnboardLogs" /stypes="*4008*201609281*" /stext=" 13:.+((SYSTEM_STATE.+slice.+state.+changed )|(ment ac)|(system.+state.+changed )|(\[timeout)|(PRM\|1\|D)|(kpr)|(kdp)|(\|lc)|(penalty))" /e /r /s</v>
      </c>
      <c r="U24" s="9" t="str">
        <f t="shared" si="2"/>
        <v>4008</v>
      </c>
      <c r="V24" s="38">
        <f t="shared" si="3"/>
        <v>42641.556620370371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ID","value":"118-28"},{"id":16,"name":"Locomotive ID","value":"4008"},{"id":130,"name":"Impact","value":""},{"id":150,"name":"Time of Event (Mountain Time)","value":"07:21:32"},{"id":151,"name":"Denver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"%USERPROFILE%\AppData\Local\Temp\OnboardLogs"\RTDC4008\*4008*201609281* | grep -SE "((Enforcement Ac)|(PRM))" -</v>
      </c>
    </row>
    <row r="25" spans="1:29" ht="15" customHeight="1" x14ac:dyDescent="0.25">
      <c r="A25" s="38">
        <v>42641.326435185183</v>
      </c>
      <c r="B25" s="33" t="s">
        <v>317</v>
      </c>
      <c r="C25" s="33" t="s">
        <v>412</v>
      </c>
      <c r="D25" s="33" t="s">
        <v>49</v>
      </c>
      <c r="E25" s="33" t="s">
        <v>50</v>
      </c>
      <c r="F25" s="49">
        <v>0</v>
      </c>
      <c r="G25" s="49">
        <v>89</v>
      </c>
      <c r="H25" s="49">
        <v>298</v>
      </c>
      <c r="I25" s="49">
        <v>236</v>
      </c>
      <c r="J25" s="33" t="s">
        <v>51</v>
      </c>
      <c r="K25" s="49">
        <v>1</v>
      </c>
      <c r="L25" s="146" t="s">
        <v>53</v>
      </c>
      <c r="M25" s="149">
        <f t="shared" si="0"/>
        <v>124.08</v>
      </c>
      <c r="N25" s="88" t="str">
        <f>VLOOKUP(C25,'Trips&amp;Operators'!$C$1:$E$99999,3,FALSE)</f>
        <v>SPECTOR</v>
      </c>
      <c r="O25" s="170" t="s">
        <v>86</v>
      </c>
      <c r="P25" s="10"/>
      <c r="Q25" s="33"/>
      <c r="R25" s="104" t="str">
        <f>VLOOKUP(C25,'Train Runs'!$A$13:$AE$10005,31,0)</f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S25" s="107" t="str">
        <f>VLOOKUP(C25,'Train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06:03:41-0600',mode:absolute,to:'2016-09-28 08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5" s="109" t="str">
        <f t="shared" si="1"/>
        <v>"C:\Program Files (x86)\AstroGrep\AstroGrep.exe" /spath="%USERPROFILE%\AppData\Local\Temp\OnboardLogs" /stypes="*4013*201609281*" /stext=" 13:.+((SYSTEM_STATE.+slice.+state.+changed )|(ment ac)|(system.+state.+changed )|(\[timeout)|(PRM\|1\|D)|(kpr)|(kdp)|(\|lc)|(penalty))" /e /r /s</v>
      </c>
      <c r="U25" s="9" t="str">
        <f t="shared" si="2"/>
        <v>4013</v>
      </c>
      <c r="V25" s="38">
        <f t="shared" si="3"/>
        <v>42641.576435185183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ID","value":"122-28"},{"id":16,"name":"Locomotive ID","value":"4013"},{"id":130,"name":"Impact","value":""},{"id":150,"name":"Time of Event (Mountain Time)","value":"07:50:04"},{"id":151,"name":"Denver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"%USERPROFILE%\AppData\Local\Temp\OnboardLogs"\RTDC4013\*4013*201609281* | grep -SE "((Enforcement Ac)|(PRM))" -</v>
      </c>
    </row>
    <row r="26" spans="1:29" x14ac:dyDescent="0.25">
      <c r="A26" s="38">
        <v>42641.348333333335</v>
      </c>
      <c r="B26" s="33" t="s">
        <v>399</v>
      </c>
      <c r="C26" s="33" t="s">
        <v>419</v>
      </c>
      <c r="D26" s="33" t="s">
        <v>49</v>
      </c>
      <c r="E26" s="33" t="s">
        <v>50</v>
      </c>
      <c r="F26" s="49">
        <v>0</v>
      </c>
      <c r="G26" s="49">
        <v>64</v>
      </c>
      <c r="H26" s="49">
        <v>245</v>
      </c>
      <c r="I26" s="49">
        <v>205</v>
      </c>
      <c r="J26" s="33" t="s">
        <v>51</v>
      </c>
      <c r="K26" s="49">
        <v>1</v>
      </c>
      <c r="L26" s="146" t="s">
        <v>53</v>
      </c>
      <c r="M26" s="149">
        <f t="shared" si="0"/>
        <v>107.712</v>
      </c>
      <c r="N26" s="88" t="str">
        <f>VLOOKUP(C26,'Trips&amp;Operators'!$C$1:$E$99999,3,FALSE)</f>
        <v>ROCHA</v>
      </c>
      <c r="O26" s="170" t="s">
        <v>86</v>
      </c>
      <c r="P26" s="10"/>
      <c r="Q26" s="33"/>
      <c r="R26" s="104" t="str">
        <f>VLOOKUP(C26,'Train Runs'!$A$13:$AE$10005,31,0)</f>
        <v>aws s3 cp s3://rtdc.mdm.uploadarchive.raw/RTDC4039/ "%USERPROFILE%\AppData\Local\Temp\OnboardLogs"\RTDC4039\2016-09-28 --exclude "*" --recursive --include "*20160928*" &amp; "%USERPROFILE%\Documents\GitHub\mrs-test-scripts\Headless Mode &amp; Sideloading\WalkAndUnGZ.bat" "%USERPROFILE%\AppData\Local\Temp\OnboardLogs"\RTDC4039\2016-09-28 &amp; 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</v>
      </c>
      <c r="S26" s="107" t="str">
        <f>VLOOKUP(C26,'Train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06:27:03-0600',mode:absolute,to:'2016-09-28 09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6" s="109" t="str">
        <f t="shared" si="1"/>
        <v>"C:\Program Files (x86)\AstroGrep\AstroGrep.exe" /spath="%USERPROFILE%\AppData\Local\Temp\OnboardLogs" /stypes="*4039*201609281*" /stext=" 14:.+((SYSTEM_STATE.+slice.+state.+changed )|(ment ac)|(system.+state.+changed )|(\[timeout)|(PRM\|1\|D)|(kpr)|(kdp)|(\|lc)|(penalty))" /e /r /s</v>
      </c>
      <c r="U26" s="9" t="str">
        <f t="shared" si="2"/>
        <v>4039</v>
      </c>
      <c r="V26" s="38">
        <f t="shared" si="3"/>
        <v>42641.598333333335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ID","value":"126-28"},{"id":16,"name":"Locomotive ID","value":"4039"},{"id":130,"name":"Impact","value":""},{"id":150,"name":"Time of Event (Mountain Time)","value":"08:21:36"},{"id":151,"name":"Denver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"%USERPROFILE%\AppData\Local\Temp\OnboardLogs"\RTDC4039\*4039*201609281* | grep -SE "((Enforcement Ac)|(PRM))" -</v>
      </c>
    </row>
    <row r="27" spans="1:29" x14ac:dyDescent="0.25">
      <c r="A27" s="38">
        <v>42641.38144675926</v>
      </c>
      <c r="B27" s="33" t="s">
        <v>386</v>
      </c>
      <c r="C27" s="33" t="s">
        <v>429</v>
      </c>
      <c r="D27" s="33" t="s">
        <v>49</v>
      </c>
      <c r="E27" s="33" t="s">
        <v>50</v>
      </c>
      <c r="F27" s="49">
        <v>0</v>
      </c>
      <c r="G27" s="49">
        <v>45</v>
      </c>
      <c r="H27" s="49">
        <v>138</v>
      </c>
      <c r="I27" s="49">
        <v>114</v>
      </c>
      <c r="J27" s="33" t="s">
        <v>51</v>
      </c>
      <c r="K27" s="49">
        <v>1</v>
      </c>
      <c r="L27" s="146" t="s">
        <v>53</v>
      </c>
      <c r="M27" s="149">
        <f t="shared" si="0"/>
        <v>59.664000000000001</v>
      </c>
      <c r="N27" s="88" t="str">
        <f>VLOOKUP(C27,'Trips&amp;Operators'!$C$1:$E$99999,3,FALSE)</f>
        <v>ACKERMAN</v>
      </c>
      <c r="O27" s="170" t="s">
        <v>86</v>
      </c>
      <c r="P27" s="10"/>
      <c r="Q27" s="33"/>
      <c r="R27" s="104" t="str">
        <f>VLOOKUP(C27,'Train Runs'!$A$13:$AE$10005,31,0)</f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S27" s="107" t="str">
        <f>VLOOKUP(C27,'Train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07:17:56-0600',mode:absolute,to:'2016-09-28 10:09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27" s="109" t="str">
        <f t="shared" si="1"/>
        <v>"C:\Program Files (x86)\AstroGrep\AstroGrep.exe" /spath="%USERPROFILE%\AppData\Local\Temp\OnboardLogs" /stypes="*4008*201609281*" /stext=" 15:.+((SYSTEM_STATE.+slice.+state.+changed )|(ment ac)|(system.+state.+changed )|(\[timeout)|(PRM\|1\|D)|(kpr)|(kdp)|(\|lc)|(penalty))" /e /r /s</v>
      </c>
      <c r="U27" s="9" t="str">
        <f t="shared" si="2"/>
        <v>4008</v>
      </c>
      <c r="V27" s="38">
        <f t="shared" si="3"/>
        <v>42641.63144675926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ID","value":"132-28"},{"id":16,"name":"Locomotive ID","value":"4008"},{"id":130,"name":"Impact","value":""},{"id":150,"name":"Time of Event (Mountain Time)","value":"09:09:17"},{"id":151,"name":"Denver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"%USERPROFILE%\AppData\Local\Temp\OnboardLogs"\RTDC4008\*4008*201609281* | grep -SE "((Enforcement Ac)|(PRM))" -</v>
      </c>
    </row>
    <row r="28" spans="1:29" x14ac:dyDescent="0.25">
      <c r="A28" s="38">
        <v>42641.410821759258</v>
      </c>
      <c r="B28" s="33" t="s">
        <v>316</v>
      </c>
      <c r="C28" s="33" t="s">
        <v>437</v>
      </c>
      <c r="D28" s="33" t="s">
        <v>49</v>
      </c>
      <c r="E28" s="33" t="s">
        <v>50</v>
      </c>
      <c r="F28" s="49">
        <v>0</v>
      </c>
      <c r="G28" s="49">
        <v>41</v>
      </c>
      <c r="H28" s="49">
        <v>138</v>
      </c>
      <c r="I28" s="49">
        <v>109</v>
      </c>
      <c r="J28" s="33" t="s">
        <v>51</v>
      </c>
      <c r="K28" s="49">
        <v>1</v>
      </c>
      <c r="L28" s="146" t="s">
        <v>53</v>
      </c>
      <c r="M28" s="149">
        <f t="shared" si="0"/>
        <v>57.024000000000001</v>
      </c>
      <c r="N28" s="88" t="str">
        <f>VLOOKUP(C28,'Trips&amp;Operators'!$C$1:$E$99999,3,FALSE)</f>
        <v>KILLION</v>
      </c>
      <c r="O28" s="170" t="s">
        <v>86</v>
      </c>
      <c r="P28" s="10"/>
      <c r="Q28" s="33"/>
      <c r="R28" s="104" t="str">
        <f>VLOOKUP(C28,'Train Runs'!$A$13:$AE$10005,31,0)</f>
        <v>aws s3 cp s3://rtdc.mdm.uploadarchive.raw/RTDC4045/ "%USERPROFILE%\AppData\Local\Temp\OnboardLogs"\RTDC4045\2016-09-28 --exclude "*" --recursive --include "*20160928*" &amp; "%USERPROFILE%\Documents\GitHub\mrs-test-scripts\Headless Mode &amp; Sideloading\WalkAndUnGZ.bat" "%USERPROFILE%\AppData\Local\Temp\OnboardLogs"\RTDC4045\2016-09-28 &amp; 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</v>
      </c>
      <c r="S28" s="107" t="str">
        <f>VLOOKUP(C28,'Train Runs'!$A$13:$AE$10005,22,0)</f>
        <v>https://search-rtdc-monitor-bjffxe2xuh6vdkpspy63sjmuny.us-east-1.es.amazonaws.com/_plugin/kibana/#/discover/Steve-Slow-Train-Analysis-(2080s-and-2083s)?_g=(refreshInterval:(display:Off,section:0,value:0),time:(from:'2016-09-28 08:03:37-0600',mode:absolute,to:'2016-09-28 10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8" s="109" t="str">
        <f t="shared" si="1"/>
        <v>"C:\Program Files (x86)\AstroGrep\AstroGrep.exe" /spath="%USERPROFILE%\AppData\Local\Temp\OnboardLogs" /stypes="*4045*201609281*" /stext=" 15:.+((SYSTEM_STATE.+slice.+state.+changed )|(ment ac)|(system.+state.+changed )|(\[timeout)|(PRM\|1\|D)|(kpr)|(kdp)|(\|lc)|(penalty))" /e /r /s</v>
      </c>
      <c r="U28" s="9" t="str">
        <f t="shared" si="2"/>
        <v>4045</v>
      </c>
      <c r="V28" s="38">
        <f t="shared" si="3"/>
        <v>42641.660821759258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ID","value":"138-28"},{"id":16,"name":"Locomotive ID","value":"4045"},{"id":130,"name":"Impact","value":""},{"id":150,"name":"Time of Event (Mountain Time)","value":"09:51:35"},{"id":151,"name":"Denver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"%USERPROFILE%\AppData\Local\Temp\OnboardLogs"\RTDC4045\*4045*201609281* | grep -SE "((Enforcement Ac)|(PRM))" -</v>
      </c>
    </row>
    <row r="29" spans="1:29" x14ac:dyDescent="0.25">
      <c r="A29" s="38">
        <v>42641.431041666663</v>
      </c>
      <c r="B29" s="33" t="s">
        <v>380</v>
      </c>
      <c r="C29" s="33" t="s">
        <v>442</v>
      </c>
      <c r="D29" s="33" t="s">
        <v>49</v>
      </c>
      <c r="E29" s="33" t="s">
        <v>50</v>
      </c>
      <c r="F29" s="49">
        <v>0</v>
      </c>
      <c r="G29" s="49">
        <v>47</v>
      </c>
      <c r="H29" s="49">
        <v>150</v>
      </c>
      <c r="I29" s="49">
        <v>112</v>
      </c>
      <c r="J29" s="33" t="s">
        <v>51</v>
      </c>
      <c r="K29" s="49">
        <v>1</v>
      </c>
      <c r="L29" s="146" t="s">
        <v>53</v>
      </c>
      <c r="M29" s="149">
        <f t="shared" si="0"/>
        <v>58.607999999999997</v>
      </c>
      <c r="N29" s="88" t="str">
        <f>VLOOKUP(C29,'Trips&amp;Operators'!$C$1:$E$99999,3,FALSE)</f>
        <v>MAELZER</v>
      </c>
      <c r="O29" s="170" t="s">
        <v>86</v>
      </c>
      <c r="P29" s="10"/>
      <c r="Q29" s="33"/>
      <c r="R29" s="104" t="str">
        <f>VLOOKUP(C29,'Train Runs'!$A$13:$AE$10005,31,0)</f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S29" s="107" t="str">
        <f>VLOOKUP(C29,'Train Runs'!$A$13:$AE$10005,22,0)</f>
        <v>https://search-rtdc-monitor-bjffxe2xuh6vdkpspy63sjmuny.us-east-1.es.amazonaws.com/_plugin/kibana/#/discover/Steve-Slow-Train-Analysis-(2080s-and-2083s)?_g=(refreshInterval:(display:Off,section:0,value:0),time:(from:'2016-09-28 08:29:21-0600',mode:absolute,to:'2016-09-28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9" s="109" t="str">
        <f t="shared" si="1"/>
        <v>"C:\Program Files (x86)\AstroGrep\AstroGrep.exe" /spath="%USERPROFILE%\AppData\Local\Temp\OnboardLogs" /stypes="*4001*201609281*" /stext=" 16:.+((SYSTEM_STATE.+slice.+state.+changed )|(ment ac)|(system.+state.+changed )|(\[timeout)|(PRM\|1\|D)|(kpr)|(kdp)|(\|lc)|(penalty))" /e /r /s</v>
      </c>
      <c r="U29" s="9" t="str">
        <f t="shared" si="2"/>
        <v>4001</v>
      </c>
      <c r="V29" s="38">
        <f t="shared" si="3"/>
        <v>42641.681041666663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ID","value":"142-28"},{"id":16,"name":"Locomotive ID","value":"4001"},{"id":130,"name":"Impact","value":""},{"id":150,"name":"Time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"%USERPROFILE%\AppData\Local\Temp\OnboardLogs"\RTDC4001\*4001*201609281* | grep -SE "((Enforcement Ac)|(PRM))" -</v>
      </c>
    </row>
    <row r="30" spans="1:29" x14ac:dyDescent="0.25">
      <c r="A30" s="38">
        <v>42641.452789351853</v>
      </c>
      <c r="B30" s="33" t="s">
        <v>386</v>
      </c>
      <c r="C30" s="33" t="s">
        <v>447</v>
      </c>
      <c r="D30" s="33" t="s">
        <v>49</v>
      </c>
      <c r="E30" s="33" t="s">
        <v>50</v>
      </c>
      <c r="F30" s="49">
        <v>0</v>
      </c>
      <c r="G30" s="49">
        <v>71</v>
      </c>
      <c r="H30" s="49">
        <v>238</v>
      </c>
      <c r="I30" s="49">
        <v>161</v>
      </c>
      <c r="J30" s="33" t="s">
        <v>51</v>
      </c>
      <c r="K30" s="49">
        <v>1</v>
      </c>
      <c r="L30" s="146" t="s">
        <v>53</v>
      </c>
      <c r="M30" s="149">
        <f t="shared" si="0"/>
        <v>84.48</v>
      </c>
      <c r="N30" s="88" t="str">
        <f>VLOOKUP(C30,'Trips&amp;Operators'!$C$1:$E$99999,3,FALSE)</f>
        <v>ACKERMAN</v>
      </c>
      <c r="O30" s="170" t="s">
        <v>86</v>
      </c>
      <c r="P30" s="10"/>
      <c r="Q30" s="33"/>
      <c r="R30" s="104" t="str">
        <f>VLOOKUP(C30,'Train Runs'!$A$13:$AE$10005,31,0)</f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S30" s="107" t="str">
        <f>VLOOKUP(C30,'Train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09:01:16-0600',mode:absolute,to:'2016-09-28 11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0" s="109" t="str">
        <f t="shared" si="1"/>
        <v>"C:\Program Files (x86)\AstroGrep\AstroGrep.exe" /spath="%USERPROFILE%\AppData\Local\Temp\OnboardLogs" /stypes="*4008*201609281*" /stext=" 16:.+((SYSTEM_STATE.+slice.+state.+changed )|(ment ac)|(system.+state.+changed )|(\[timeout)|(PRM\|1\|D)|(kpr)|(kdp)|(\|lc)|(penalty))" /e /r /s</v>
      </c>
      <c r="U30" s="9" t="str">
        <f t="shared" si="2"/>
        <v>4008</v>
      </c>
      <c r="V30" s="38">
        <f t="shared" si="3"/>
        <v>42641.702789351853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ID","value":"146-28"},{"id":16,"name":"Locomotive ID","value":"4008"},{"id":130,"name":"Impact","value":""},{"id":150,"name":"Time of Event (Mountain Time)","value":"10:52:01"},{"id":151,"name":"Denver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"%USERPROFILE%\AppData\Local\Temp\OnboardLogs"\RTDC4008\*4008*201609281* | grep -SE "((Enforcement Ac)|(PRM))" -</v>
      </c>
    </row>
    <row r="31" spans="1:29" ht="15" customHeight="1" x14ac:dyDescent="0.25">
      <c r="A31" s="38">
        <v>42641.453136574077</v>
      </c>
      <c r="B31" s="33" t="s">
        <v>386</v>
      </c>
      <c r="C31" s="33" t="s">
        <v>447</v>
      </c>
      <c r="D31" s="33" t="s">
        <v>49</v>
      </c>
      <c r="E31" s="33" t="s">
        <v>50</v>
      </c>
      <c r="F31" s="49">
        <v>0</v>
      </c>
      <c r="G31" s="49">
        <v>38</v>
      </c>
      <c r="H31" s="49">
        <v>127</v>
      </c>
      <c r="I31" s="49">
        <v>114</v>
      </c>
      <c r="J31" s="33" t="s">
        <v>51</v>
      </c>
      <c r="K31" s="49">
        <v>1</v>
      </c>
      <c r="L31" s="146" t="s">
        <v>53</v>
      </c>
      <c r="M31" s="149">
        <f t="shared" si="0"/>
        <v>59.664000000000001</v>
      </c>
      <c r="N31" s="88" t="str">
        <f>VLOOKUP(C31,'Trips&amp;Operators'!$C$1:$E$99999,3,FALSE)</f>
        <v>ACKERMAN</v>
      </c>
      <c r="O31" s="170" t="s">
        <v>86</v>
      </c>
      <c r="P31" s="10"/>
      <c r="Q31" s="33"/>
      <c r="R31" s="104" t="str">
        <f>VLOOKUP(C31,'Train Runs'!$A$13:$AE$10005,31,0)</f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S31" s="107" t="str">
        <f>VLOOKUP(C31,'Train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09:01:16-0600',mode:absolute,to:'2016-09-28 11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1" s="109" t="str">
        <f t="shared" si="1"/>
        <v>"C:\Program Files (x86)\AstroGrep\AstroGrep.exe" /spath="%USERPROFILE%\AppData\Local\Temp\OnboardLogs" /stypes="*4008*201609281*" /stext=" 16:.+((SYSTEM_STATE.+slice.+state.+changed )|(ment ac)|(system.+state.+changed )|(\[timeout)|(PRM\|1\|D)|(kpr)|(kdp)|(\|lc)|(penalty))" /e /r /s</v>
      </c>
      <c r="U31" s="9" t="str">
        <f t="shared" si="2"/>
        <v>4008</v>
      </c>
      <c r="V31" s="38">
        <f t="shared" si="3"/>
        <v>42641.703136574077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ID","value":"146-28"},{"id":16,"name":"Locomotive ID","value":"4008"},{"id":130,"name":"Impact","value":""},{"id":150,"name":"Time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"%USERPROFILE%\AppData\Local\Temp\OnboardLogs"\RTDC4008\*4008*201609281* | grep -SE "((Enforcement Ac)|(PRM))" -</v>
      </c>
    </row>
    <row r="32" spans="1:29" x14ac:dyDescent="0.25">
      <c r="A32" s="38">
        <v>42641.547719907408</v>
      </c>
      <c r="B32" s="33" t="s">
        <v>317</v>
      </c>
      <c r="C32" s="33" t="s">
        <v>475</v>
      </c>
      <c r="D32" s="33" t="s">
        <v>49</v>
      </c>
      <c r="E32" s="33" t="s">
        <v>50</v>
      </c>
      <c r="F32" s="49">
        <v>0</v>
      </c>
      <c r="G32" s="49">
        <v>63</v>
      </c>
      <c r="H32" s="49">
        <v>209</v>
      </c>
      <c r="I32" s="49">
        <v>139</v>
      </c>
      <c r="J32" s="33" t="s">
        <v>51</v>
      </c>
      <c r="K32" s="49">
        <v>1</v>
      </c>
      <c r="L32" s="146" t="s">
        <v>53</v>
      </c>
      <c r="M32" s="149">
        <f t="shared" si="0"/>
        <v>72.864000000000004</v>
      </c>
      <c r="N32" s="88" t="str">
        <f>VLOOKUP(C32,'Trips&amp;Operators'!$C$1:$E$99999,3,FALSE)</f>
        <v>HELVIE</v>
      </c>
      <c r="O32" s="170" t="s">
        <v>86</v>
      </c>
      <c r="P32" s="10"/>
      <c r="Q32" s="33"/>
      <c r="R32" s="104" t="str">
        <f>VLOOKUP(C32,'Train Runs'!$A$13:$AE$10005,31,0)</f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S32" s="107" t="str">
        <f>VLOOKUP(C32,'Train Runs'!$A$13:$AE$10005,22,0)</f>
        <v>https://search-rtdc-monitor-bjffxe2xuh6vdkpspy63sjmuny.us-east-1.es.amazonaws.com/_plugin/kibana/#/discover/Steve-Slow-Train-Analysis-(2080s-and-2083s)?_g=(refreshInterval:(display:Off,section:0,value:0),time:(from:'2016-09-28 11:21:51-0600',mode:absolute,to:'2016-09-28 14:08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2" s="109" t="str">
        <f t="shared" si="1"/>
        <v>"C:\Program Files (x86)\AstroGrep\AstroGrep.exe" /spath="%USERPROFILE%\AppData\Local\Temp\OnboardLogs" /stypes="*4013*201609281*" /stext=" 19:.+((SYSTEM_STATE.+slice.+state.+changed )|(ment ac)|(system.+state.+changed )|(\[timeout)|(PRM\|1\|D)|(kpr)|(kdp)|(\|lc)|(penalty))" /e /r /s</v>
      </c>
      <c r="U32" s="9" t="str">
        <f t="shared" si="2"/>
        <v>4013</v>
      </c>
      <c r="V32" s="38">
        <f t="shared" si="3"/>
        <v>42641.797719907408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ID","value":"164-28"},{"id":16,"name":"Locomotive ID","value":"4013"},{"id":130,"name":"Impact","value":""},{"id":150,"name":"Time of Event (Mountain Time)","value":"13:08:43"},{"id":151,"name":"Denver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"%USERPROFILE%\AppData\Local\Temp\OnboardLogs"\RTDC4013\*4013*201609281* | grep -SE "((Enforcement Ac)|(PRM))" -</v>
      </c>
    </row>
    <row r="33" spans="1:29" ht="15" customHeight="1" x14ac:dyDescent="0.25">
      <c r="A33" s="38">
        <v>42641.660729166666</v>
      </c>
      <c r="B33" s="33" t="s">
        <v>163</v>
      </c>
      <c r="C33" s="33" t="s">
        <v>504</v>
      </c>
      <c r="D33" s="33" t="s">
        <v>49</v>
      </c>
      <c r="E33" s="33" t="s">
        <v>50</v>
      </c>
      <c r="F33" s="49">
        <v>0</v>
      </c>
      <c r="G33" s="49">
        <v>62</v>
      </c>
      <c r="H33" s="49">
        <v>198</v>
      </c>
      <c r="I33" s="49">
        <v>141</v>
      </c>
      <c r="J33" s="33" t="s">
        <v>51</v>
      </c>
      <c r="K33" s="49">
        <v>1</v>
      </c>
      <c r="L33" s="146" t="s">
        <v>53</v>
      </c>
      <c r="M33" s="149">
        <f t="shared" si="0"/>
        <v>73.92</v>
      </c>
      <c r="N33" s="88" t="str">
        <f>VLOOKUP(C33,'Trips&amp;Operators'!$C$1:$E$99999,3,FALSE)</f>
        <v>STORY</v>
      </c>
      <c r="O33" s="170" t="s">
        <v>86</v>
      </c>
      <c r="P33" s="10"/>
      <c r="Q33" s="33"/>
      <c r="R33" s="104" t="str">
        <f>VLOOKUP(C33,'Train Runs'!$A$13:$AE$10005,31,0)</f>
        <v>aws s3 cp s3://rtdc.mdm.uploadarchive.raw/RTDC4019/ "%USERPROFILE%\AppData\Local\Temp\OnboardLogs"\RTDC4019\2016-09-28 --exclude "*" --recursive --include "*20160928*" &amp; "%USERPROFILE%\Documents\GitHub\mrs-test-scripts\Headless Mode &amp; Sideloading\WalkAndUnGZ.bat" "%USERPROFILE%\AppData\Local\Temp\OnboardLogs"\RTDC4019\2016-09-28 &amp; 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</v>
      </c>
      <c r="S33" s="107" t="str">
        <f>VLOOKUP(C33,'Train Runs'!$A$13:$AE$10005,22,0)</f>
        <v>https://search-rtdc-monitor-bjffxe2xuh6vdkpspy63sjmuny.us-east-1.es.amazonaws.com/_plugin/kibana/#/discover/Steve-Slow-Train-Analysis-(2080s-and-2083s)?_g=(refreshInterval:(display:Off,section:0,value:0),time:(from:'2016-09-28 14:02:29-0600',mode:absolute,to:'2016-09-28 16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3" s="109" t="str">
        <f t="shared" si="1"/>
        <v>"C:\Program Files (x86)\AstroGrep\AstroGrep.exe" /spath="%USERPROFILE%\AppData\Local\Temp\OnboardLogs" /stypes="*4019*201609282*" /stext=" 21:.+((SYSTEM_STATE.+slice.+state.+changed )|(ment ac)|(system.+state.+changed )|(\[timeout)|(PRM\|1\|D)|(kpr)|(kdp)|(\|lc)|(penalty))" /e /r /s</v>
      </c>
      <c r="U33" s="9" t="str">
        <f t="shared" si="2"/>
        <v>4019</v>
      </c>
      <c r="V33" s="38">
        <f t="shared" si="3"/>
        <v>42641.910729166666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ID","value":"186-28"},{"id":16,"name":"Locomotive ID","value":"4019"},{"id":130,"name":"Impact","value":""},{"id":150,"name":"Time of Event (Mountain Time)","value":"15:51:27"},{"id":151,"name":"Denver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"%USERPROFILE%\AppData\Local\Temp\OnboardLogs"\RTDC4019\*4019*201609282* | grep -SE "((Enforcement Ac)|(PRM))" -</v>
      </c>
    </row>
    <row r="34" spans="1:29" x14ac:dyDescent="0.25">
      <c r="A34" s="38">
        <v>42641.797129629631</v>
      </c>
      <c r="B34" s="33" t="s">
        <v>380</v>
      </c>
      <c r="C34" s="33" t="s">
        <v>547</v>
      </c>
      <c r="D34" s="33" t="s">
        <v>49</v>
      </c>
      <c r="E34" s="33" t="s">
        <v>50</v>
      </c>
      <c r="F34" s="49">
        <v>0</v>
      </c>
      <c r="G34" s="49">
        <v>47</v>
      </c>
      <c r="H34" s="49">
        <v>170</v>
      </c>
      <c r="I34" s="49">
        <v>127</v>
      </c>
      <c r="J34" s="33" t="s">
        <v>51</v>
      </c>
      <c r="K34" s="49">
        <v>1</v>
      </c>
      <c r="L34" s="146" t="s">
        <v>53</v>
      </c>
      <c r="M34" s="149">
        <f t="shared" si="0"/>
        <v>66.528000000000006</v>
      </c>
      <c r="N34" s="88" t="str">
        <f>VLOOKUP(C34,'Trips&amp;Operators'!$C$1:$E$99999,3,FALSE)</f>
        <v>YOUNG</v>
      </c>
      <c r="O34" s="170" t="s">
        <v>86</v>
      </c>
      <c r="P34" s="10"/>
      <c r="Q34" s="33"/>
      <c r="R34" s="104" t="str">
        <f>VLOOKUP(C34,'Train Runs'!$A$13:$AE$10005,31,0)</f>
        <v>aws s3 cp s3://rtdc.mdm.uploadarchive.raw/RTDC4001/ "%USERPROFILE%\AppData\Local\Temp\OnboardLogs"\RTDC4001\2016-09-28 --exclude "*" --recursive --include "*20160928*" &amp; "%USERPROFILE%\Documents\GitHub\mrs-test-scripts\Headless Mode &amp; Sideloading\WalkAndUnGZ.bat" "%USERPROFILE%\AppData\Local\Temp\OnboardLogs"\RTDC4001\2016-09-28 &amp; 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</v>
      </c>
      <c r="S34" s="107" t="str">
        <f>VLOOKUP(C34,'Train Runs'!$A$13:$AE$10005,22,0)</f>
        <v>https://search-rtdc-monitor-bjffxe2xuh6vdkpspy63sjmuny.us-east-1.es.amazonaws.com/_plugin/kibana/#/discover/Steve-Slow-Train-Analysis-(2080s-and-2083s)?_g=(refreshInterval:(display:Off,section:0,value:0),time:(from:'2016-09-28 17:15:47-0600',mode:absolute,to:'2016-09-28 20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4" s="109" t="str">
        <f t="shared" si="1"/>
        <v>"C:\Program Files (x86)\AstroGrep\AstroGrep.exe" /spath="%USERPROFILE%\AppData\Local\Temp\OnboardLogs" /stypes="*4001*201609290*" /stext=" 01:.+((SYSTEM_STATE.+slice.+state.+changed )|(ment ac)|(system.+state.+changed )|(\[timeout)|(PRM\|1\|D)|(kpr)|(kdp)|(\|lc)|(penalty))" /e /r /s</v>
      </c>
      <c r="U34" s="9" t="str">
        <f t="shared" si="2"/>
        <v>4001</v>
      </c>
      <c r="V34" s="38">
        <f t="shared" si="3"/>
        <v>42642.047129629631</v>
      </c>
      <c r="W34" s="52" t="str">
        <f t="shared" si="4"/>
        <v>EC</v>
      </c>
      <c r="X34" s="52" t="str">
        <f t="shared" si="5"/>
        <v>KEEP</v>
      </c>
      <c r="Y34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ID","value":"212-28"},{"id":16,"name":"Locomotive ID","value":"4001"},{"id":130,"name":"Impact","value":""},{"id":150,"name":"Time of Event (Mountain Time)","value":"19:07:52"},{"id":151,"name":"Denver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"%USERPROFILE%\AppData\Local\Temp\OnboardLogs"\RTDC4001\*4001*201609290* | grep -SE "((Enforcement Ac)|(PRM))" -</v>
      </c>
    </row>
    <row r="35" spans="1:29" x14ac:dyDescent="0.25">
      <c r="A35" s="38">
        <v>42641.816481481481</v>
      </c>
      <c r="B35" s="33" t="s">
        <v>386</v>
      </c>
      <c r="C35" s="33" t="s">
        <v>554</v>
      </c>
      <c r="D35" s="33" t="s">
        <v>49</v>
      </c>
      <c r="E35" s="33" t="s">
        <v>50</v>
      </c>
      <c r="F35" s="49">
        <v>0</v>
      </c>
      <c r="G35" s="49">
        <v>86</v>
      </c>
      <c r="H35" s="49">
        <v>345</v>
      </c>
      <c r="I35" s="49">
        <v>254</v>
      </c>
      <c r="J35" s="33" t="s">
        <v>51</v>
      </c>
      <c r="K35" s="49">
        <v>1</v>
      </c>
      <c r="L35" s="146" t="s">
        <v>53</v>
      </c>
      <c r="M35" s="149">
        <f t="shared" si="0"/>
        <v>133.584</v>
      </c>
      <c r="N35" s="88" t="str">
        <f>VLOOKUP(C35,'Trips&amp;Operators'!$C$1:$E$99999,3,FALSE)</f>
        <v>STORY</v>
      </c>
      <c r="O35" s="170" t="s">
        <v>86</v>
      </c>
      <c r="P35" s="10"/>
      <c r="Q35" s="33"/>
      <c r="R35" s="104" t="str">
        <f>VLOOKUP(C35,'Train Runs'!$A$13:$AE$10005,31,0)</f>
        <v>aws s3 cp s3://rtdc.mdm.uploadarchive.raw/RTDC4008/ "%USERPROFILE%\AppData\Local\Temp\OnboardLogs"\RTDC4008\2016-09-28 --exclude "*" --recursive --include "*20160928*" &amp; "%USERPROFILE%\Documents\GitHub\mrs-test-scripts\Headless Mode &amp; Sideloading\WalkAndUnGZ.bat" "%USERPROFILE%\AppData\Local\Temp\OnboardLogs"\RTDC4008\2016-09-28 &amp; aws s3 cp s3://rtdc.mdm.uploadarchive.raw/RTDC4008/ "%USERPROFILE%\AppData\Local\Temp\OnboardLogs"\RTDC4008\2016-09-29 --exclude "*" --recursive --include "*20160929*" &amp; "%USERPROFILE%\Documents\GitHub\mrs-test-scripts\Headless Mode &amp; Sideloading\WalkAndUnGZ.bat" "%USERPROFILE%\AppData\Local\Temp\OnboardLogs"\RTDC4008\2016-09-29</v>
      </c>
      <c r="S35" s="107" t="str">
        <f>VLOOKUP(C35,'Train Runs'!$A$13:$AE$10005,22,0)</f>
        <v>https://search-rtdc-monitor-bjffxe2xuh6vdkpspy63sjmuny.us-east-1.es.amazonaws.com/_plugin/kibana/#/discover/Steve-Slow-Train-Analysis-(2080s-and-2083s)?_g=(refreshInterval:(display:Off,section:0,value:0),time:(from:'2016-09-28 17:50:28-0600',mode:absolute,to:'2016-09-28 20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5" s="109" t="str">
        <f t="shared" si="1"/>
        <v>"C:\Program Files (x86)\AstroGrep\AstroGrep.exe" /spath="%USERPROFILE%\AppData\Local\Temp\OnboardLogs" /stypes="*4008*201609290*" /stext=" 01:.+((SYSTEM_STATE.+slice.+state.+changed )|(ment ac)|(system.+state.+changed )|(\[timeout)|(PRM\|1\|D)|(kpr)|(kdp)|(\|lc)|(penalty))" /e /r /s</v>
      </c>
      <c r="U35" s="9" t="str">
        <f t="shared" si="2"/>
        <v>4008</v>
      </c>
      <c r="V35" s="38">
        <f t="shared" si="3"/>
        <v>42642.066481481481</v>
      </c>
      <c r="W35" s="52" t="str">
        <f t="shared" si="4"/>
        <v>EC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ID","value":"216-28"},{"id":16,"name":"Locomotive ID","value":"4008"},{"id":130,"name":"Impact","value":""},{"id":150,"name":"Time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"%USERPROFILE%\AppData\Local\Temp\OnboardLogs"\RTDC4008\*4008*201609290* | grep -SE "((Enforcement Ac)|(PRM))" -</v>
      </c>
    </row>
    <row r="36" spans="1:29" x14ac:dyDescent="0.25">
      <c r="A36" s="38">
        <v>42641.91915509259</v>
      </c>
      <c r="B36" s="33" t="s">
        <v>317</v>
      </c>
      <c r="C36" s="33" t="s">
        <v>575</v>
      </c>
      <c r="D36" s="33" t="s">
        <v>49</v>
      </c>
      <c r="E36" s="33" t="s">
        <v>50</v>
      </c>
      <c r="F36" s="49">
        <v>0</v>
      </c>
      <c r="G36" s="49">
        <v>69</v>
      </c>
      <c r="H36" s="49">
        <v>238</v>
      </c>
      <c r="I36" s="49">
        <v>178</v>
      </c>
      <c r="J36" s="33" t="s">
        <v>51</v>
      </c>
      <c r="K36" s="49">
        <v>1</v>
      </c>
      <c r="L36" s="146" t="s">
        <v>53</v>
      </c>
      <c r="M36" s="149">
        <f t="shared" si="0"/>
        <v>93.456000000000003</v>
      </c>
      <c r="N36" s="88" t="str">
        <f>VLOOKUP(C36,'Trips&amp;Operators'!$C$1:$E$99999,3,FALSE)</f>
        <v>COOLAHAN</v>
      </c>
      <c r="O36" s="170" t="s">
        <v>86</v>
      </c>
      <c r="P36" s="10"/>
      <c r="Q36" s="33"/>
      <c r="R36" s="104" t="str">
        <f>VLOOKUP(C36,'Train Runs'!$A$13:$AE$10005,31,0)</f>
        <v>aws s3 cp s3://rtdc.mdm.uploadarchive.raw/RTDC4013/ "%USERPROFILE%\AppData\Local\Temp\OnboardLogs"\RTDC4013\2016-09-28 --exclude "*" --recursive --include "*20160928*" &amp; "%USERPROFILE%\Documents\GitHub\mrs-test-scripts\Headless Mode &amp; Sideloading\WalkAndUnGZ.bat" "%USERPROFILE%\AppData\Local\Temp\OnboardLogs"\RTDC4013\2016-09-28 &amp; 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</v>
      </c>
      <c r="S36" s="107" t="str">
        <f>VLOOKUP(C36,'Train Runs'!$A$13:$AE$10005,22,0)</f>
        <v>https://search-rtdc-monitor-bjffxe2xuh6vdkpspy63sjmuny.us-east-1.es.amazonaws.com/_plugin/kibana/#/discover/Steve-Slow-Train-Analysis-(2080s-and-2083s)?_g=(refreshInterval:(display:Off,section:0,value:0),time:(from:'2016-09-28 20:20:05-0600',mode:absolute,to:'2016-09-28 23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6" s="109" t="str">
        <f t="shared" si="1"/>
        <v>"C:\Program Files (x86)\AstroGrep\AstroGrep.exe" /spath="%USERPROFILE%\AppData\Local\Temp\OnboardLogs" /stypes="*4013*201609290*" /stext=" 04:.+((SYSTEM_STATE.+slice.+state.+changed )|(ment ac)|(system.+state.+changed )|(\[timeout)|(PRM\|1\|D)|(kpr)|(kdp)|(\|lc)|(penalty))" /e /r /s</v>
      </c>
      <c r="U36" s="9" t="str">
        <f t="shared" si="2"/>
        <v>4013</v>
      </c>
      <c r="V36" s="38">
        <f t="shared" si="3"/>
        <v>42642.16915509259</v>
      </c>
      <c r="W36" s="52" t="str">
        <f t="shared" si="4"/>
        <v>EC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{"issue":{"subject":"","project_id":79,"tracker_id":40,"status_id":1,"priority_id":2,"assigned_to_id":23,"start_date":"2016-09-28","description":"","custom_fields":[{"id":1,"name":"Subdivision","value":"EC"},{"id":4,"name":"Milepost","value":"0.0001"},{"id":17,"name":"Train ID","value":"228-28"},{"id":16,"name":"Locomotive ID","value":"4013"},{"id":130,"name":"Impact","value":""},{"id":150,"name":"Time of Event (Mountain Time)","value":"22:03:35"},{"id":151,"name":"Denver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"%USERPROFILE%\AppData\Local\Temp\OnboardLogs"\RTDC4013\*4013*201609290* | grep -SE "((Enforcement Ac)|(PRM))" -</v>
      </c>
    </row>
    <row r="37" spans="1:29" ht="15" customHeight="1" x14ac:dyDescent="0.25">
      <c r="A37" s="38">
        <v>42641.204421296294</v>
      </c>
      <c r="B37" s="33" t="s">
        <v>275</v>
      </c>
      <c r="C37" s="33" t="s">
        <v>382</v>
      </c>
      <c r="D37" s="33" t="s">
        <v>49</v>
      </c>
      <c r="E37" s="33" t="s">
        <v>50</v>
      </c>
      <c r="F37" s="49">
        <v>0</v>
      </c>
      <c r="G37" s="49">
        <v>125</v>
      </c>
      <c r="H37" s="49">
        <v>232775</v>
      </c>
      <c r="I37" s="49">
        <v>232911</v>
      </c>
      <c r="J37" s="33" t="s">
        <v>51</v>
      </c>
      <c r="K37" s="49">
        <v>233491</v>
      </c>
      <c r="L37" s="146" t="s">
        <v>52</v>
      </c>
      <c r="M37" s="149">
        <f t="shared" si="0"/>
        <v>306.24</v>
      </c>
      <c r="N37" s="88" t="str">
        <f>VLOOKUP(C37,'Trips&amp;Operators'!$C$1:$E$99999,3,FALSE)</f>
        <v>STRICKLAND</v>
      </c>
      <c r="O37" s="170" t="s">
        <v>86</v>
      </c>
      <c r="P37" s="10"/>
      <c r="Q37" s="33"/>
      <c r="R37" s="104" t="str">
        <f>VLOOKUP(C37,'Train Runs'!$A$13:$AE$10005,31,0)</f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S37" s="107" t="str">
        <f>VLOOKUP(C37,'Train Runs'!$A$13:$AE$10005,22,0)</f>
        <v>https://search-rtdc-monitor-bjffxe2xuh6vdkpspy63sjmuny.us-east-1.es.amazonaws.com/_plugin/kibana/#/discover/Steve-Slow-Train-Analysis-(2080s-and-2083s)?_g=(refreshInterval:(display:Off,section:0,value:0),time:(from:'2016-09-28 03:10:04-0600',mode:absolute,to:'2016-09-28 05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7" s="109" t="str">
        <f t="shared" si="1"/>
        <v>"C:\Program Files (x86)\AstroGrep\AstroGrep.exe" /spath="%USERPROFILE%\AppData\Local\Temp\OnboardLogs" /stypes="*4018*201609281*" /stext=" 10:.+((SYSTEM_STATE.+slice.+state.+changed )|(ment ac)|(system.+state.+changed )|(\[timeout)|(PRM\|1\|D)|(kpr)|(kdp)|(\|lc)|(penalty))" /e /r /s</v>
      </c>
      <c r="U37" s="9" t="str">
        <f t="shared" si="2"/>
        <v>4018</v>
      </c>
      <c r="V37" s="38">
        <f t="shared" si="3"/>
        <v>42641.454421296294</v>
      </c>
      <c r="W37" s="52" t="str">
        <f t="shared" si="4"/>
        <v>EC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{"issue":{"subject":"","project_id":79,"tracker_id":40,"status_id":1,"priority_id":2,"assigned_to_id":23,"start_date":"2016-09-28","description":"","custom_fields":[{"id":1,"name":"Subdivision","value":"EC"},{"id":4,"name":"Milepost","value":"23.3491"},{"id":17,"name":"Train ID","value":"105-28"},{"id":16,"name":"Locomotive ID","value":"4018"},{"id":130,"name":"Impact","value":""},{"id":150,"name":"Time of Event (Mountain Time)","value":"04:54:22"},{"id":151,"name":"Denver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"%USERPROFILE%\AppData\Local\Temp\OnboardLogs"\RTDC4018\*4018*201609281* | grep -SE "((Enforcement Ac)|(PRM))" -</v>
      </c>
    </row>
    <row r="38" spans="1:29" x14ac:dyDescent="0.25">
      <c r="A38" s="38">
        <v>42641.20511574074</v>
      </c>
      <c r="B38" s="33" t="s">
        <v>275</v>
      </c>
      <c r="C38" s="33" t="s">
        <v>382</v>
      </c>
      <c r="D38" s="33" t="s">
        <v>49</v>
      </c>
      <c r="E38" s="33" t="s">
        <v>50</v>
      </c>
      <c r="F38" s="49">
        <v>0</v>
      </c>
      <c r="G38" s="49">
        <v>55</v>
      </c>
      <c r="H38" s="49">
        <v>233238</v>
      </c>
      <c r="I38" s="49">
        <v>233330</v>
      </c>
      <c r="J38" s="33" t="s">
        <v>51</v>
      </c>
      <c r="K38" s="49">
        <v>233491</v>
      </c>
      <c r="L38" s="146" t="s">
        <v>52</v>
      </c>
      <c r="M38" s="149">
        <f t="shared" si="0"/>
        <v>85.007999999999996</v>
      </c>
      <c r="N38" s="88" t="str">
        <f>VLOOKUP(C38,'Trips&amp;Operators'!$C$1:$E$99999,3,FALSE)</f>
        <v>STRICKLAND</v>
      </c>
      <c r="O38" s="170" t="s">
        <v>86</v>
      </c>
      <c r="P38" s="10"/>
      <c r="Q38" s="33"/>
      <c r="R38" s="104" t="str">
        <f>VLOOKUP(C38,'Train Runs'!$A$13:$AE$10005,31,0)</f>
        <v>aws s3 cp s3://rtdc.mdm.uploadarchive.raw/RTDC4018/ "%USERPROFILE%\AppData\Local\Temp\OnboardLogs"\RTDC4018\2016-09-28 --exclude "*" --recursive --include "*20160928*" &amp; "%USERPROFILE%\Documents\GitHub\mrs-test-scripts\Headless Mode &amp; Sideloading\WalkAndUnGZ.bat" "%USERPROFILE%\AppData\Local\Temp\OnboardLogs"\RTDC4018\2016-09-28 &amp; 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</v>
      </c>
      <c r="S38" s="107" t="str">
        <f>VLOOKUP(C38,'Train Runs'!$A$13:$AE$10005,22,0)</f>
        <v>https://search-rtdc-monitor-bjffxe2xuh6vdkpspy63sjmuny.us-east-1.es.amazonaws.com/_plugin/kibana/#/discover/Steve-Slow-Train-Analysis-(2080s-and-2083s)?_g=(refreshInterval:(display:Off,section:0,value:0),time:(from:'2016-09-28 03:10:04-0600',mode:absolute,to:'2016-09-28 05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8" s="109" t="str">
        <f t="shared" si="1"/>
        <v>"C:\Program Files (x86)\AstroGrep\AstroGrep.exe" /spath="%USERPROFILE%\AppData\Local\Temp\OnboardLogs" /stypes="*4018*201609281*" /stext=" 10:.+((SYSTEM_STATE.+slice.+state.+changed )|(ment ac)|(system.+state.+changed )|(\[timeout)|(PRM\|1\|D)|(kpr)|(kdp)|(\|lc)|(penalty))" /e /r /s</v>
      </c>
      <c r="U38" s="9" t="str">
        <f t="shared" si="2"/>
        <v>4018</v>
      </c>
      <c r="V38" s="38">
        <f t="shared" si="3"/>
        <v>42641.45511574074</v>
      </c>
      <c r="W38" s="52" t="str">
        <f t="shared" si="4"/>
        <v>EC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{"issue":{"subject":"","project_id":79,"tracker_id":40,"status_id":1,"priority_id":2,"assigned_to_id":23,"start_date":"2016-09-28","description":"","custom_fields":[{"id":1,"name":"Subdivision","value":"EC"},{"id":4,"name":"Milepost","value":"23.3491"},{"id":17,"name":"Train ID","value":"105-28"},{"id":16,"name":"Locomotive ID","value":"4018"},{"id":130,"name":"Impact","value":""},{"id":150,"name":"Time of Event (Mountain Time)","value":"04:55:22"},{"id":151,"name":"Denver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"%USERPROFILE%\AppData\Local\Temp\OnboardLogs"\RTDC4018\*4018*201609281* | grep -SE "((Enforcement Ac)|(PRM))" -</v>
      </c>
    </row>
    <row r="39" spans="1:29" x14ac:dyDescent="0.25">
      <c r="A39" s="38">
        <v>42641.358935185184</v>
      </c>
      <c r="B39" s="33" t="s">
        <v>251</v>
      </c>
      <c r="C39" s="33" t="s">
        <v>423</v>
      </c>
      <c r="D39" s="33" t="s">
        <v>49</v>
      </c>
      <c r="E39" s="33" t="s">
        <v>50</v>
      </c>
      <c r="F39" s="49">
        <v>0</v>
      </c>
      <c r="G39" s="49">
        <v>142</v>
      </c>
      <c r="H39" s="49">
        <v>232753</v>
      </c>
      <c r="I39" s="49">
        <v>232919</v>
      </c>
      <c r="J39" s="33" t="s">
        <v>51</v>
      </c>
      <c r="K39" s="49">
        <v>233491</v>
      </c>
      <c r="L39" s="146" t="s">
        <v>52</v>
      </c>
      <c r="M39" s="149">
        <f t="shared" ref="M39:M65" si="8">CONVERT((I39-K39)/10000,"mi","ft")*IF(L39="Increasing Mileposts (1)",-1,1)</f>
        <v>302.01600000000002</v>
      </c>
      <c r="N39" s="88" t="str">
        <f>VLOOKUP(C39,'Trips&amp;Operators'!$C$1:$E$99999,3,FALSE)</f>
        <v>SPECTOR</v>
      </c>
      <c r="O39" s="170" t="s">
        <v>86</v>
      </c>
      <c r="P39" s="10"/>
      <c r="Q39" s="33"/>
      <c r="R39" s="104" t="str">
        <f>VLOOKUP(C39,'Train Runs'!$A$13:$AE$10005,31,0)</f>
        <v>aws s3 cp s3://rtdc.mdm.uploadarchive.raw/RTDC4014/ "%USERPROFILE%\AppData\Local\Temp\OnboardLogs"\RTDC4014\2016-09-28 --exclude "*" --recursive --include "*20160928*" &amp; "%USERPROFILE%\Documents\GitHub\mrs-test-scripts\Headless Mode &amp; Sideloading\WalkAndUnGZ.bat" "%USERPROFILE%\AppData\Local\Temp\OnboardLogs"\RTDC4014\2016-09-28 &amp; 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</v>
      </c>
      <c r="S39" s="107" t="str">
        <f>VLOOKUP(C39,'Train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06:53:42-0600',mode:absolute,to:'2016-09-28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9" s="109" t="str">
        <f t="shared" ref="T39:T65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/stypes="*4014*201609281*" /stext=" 14:.+((SYSTEM_STATE.+slice.+state.+changed )|(ment ac)|(system.+state.+changed )|(\[timeout)|(PRM\|1\|D)|(kpr)|(kdp)|(\|lc)|(penalty))" /e /r /s</v>
      </c>
      <c r="U39" s="9" t="str">
        <f t="shared" ref="U39:U65" si="10">MID(B39,13,4)</f>
        <v>4014</v>
      </c>
      <c r="V39" s="38">
        <f t="shared" ref="V39:V65" si="11">A39+6/24</f>
        <v>42641.608935185184</v>
      </c>
      <c r="W39" s="52" t="str">
        <f t="shared" ref="W39:W65" si="12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5" si="13">IF(AND(E39="TRACK WARRANT AUTHORITY",G39&lt;10),"OMIT","KEEP")</f>
        <v>KEEP</v>
      </c>
      <c r="Y39" s="130" t="str">
        <f t="shared" ref="Y39:Y65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{"issue":{"subject":"","project_id":79,"tracker_id":40,"status_id":1,"priority_id":2,"assigned_to_id":23,"start_date":"2016-09-28","description":"","custom_fields":[{"id":1,"name":"Subdivision","value":"EC"},{"id":4,"name":"Milepost","value":"23.3491"},{"id":17,"name":"Train ID","value":"135-28"},{"id":16,"name":"Locomotive ID","value":"4014"},{"id":130,"name":"Impact","value":""},{"id":150,"name":"Time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ref="AC39:AC65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"%USERPROFILE%\AppData\Local\Temp\OnboardLogs"\RTDC4014\*4014*201609281* | grep -SE "((Enforcement Ac)|(PRM))" -</v>
      </c>
    </row>
    <row r="40" spans="1:29" x14ac:dyDescent="0.25">
      <c r="A40" s="38">
        <v>42641.370138888888</v>
      </c>
      <c r="B40" s="33" t="s">
        <v>180</v>
      </c>
      <c r="C40" s="33" t="s">
        <v>427</v>
      </c>
      <c r="D40" s="33" t="s">
        <v>49</v>
      </c>
      <c r="E40" s="33" t="s">
        <v>50</v>
      </c>
      <c r="F40" s="49">
        <v>0</v>
      </c>
      <c r="G40" s="49">
        <v>69</v>
      </c>
      <c r="H40" s="49">
        <v>233222</v>
      </c>
      <c r="I40" s="49">
        <v>233318</v>
      </c>
      <c r="J40" s="33" t="s">
        <v>51</v>
      </c>
      <c r="K40" s="49">
        <v>233491</v>
      </c>
      <c r="L40" s="146" t="s">
        <v>52</v>
      </c>
      <c r="M40" s="149">
        <f t="shared" si="8"/>
        <v>91.343999999999994</v>
      </c>
      <c r="N40" s="88" t="str">
        <f>VLOOKUP(C40,'Trips&amp;Operators'!$C$1:$E$99999,3,FALSE)</f>
        <v>KILLION</v>
      </c>
      <c r="O40" s="170" t="s">
        <v>86</v>
      </c>
      <c r="P40" s="10"/>
      <c r="Q40" s="33"/>
      <c r="R40" s="104" t="str">
        <f>VLOOKUP(C40,'Train Runs'!$A$13:$AE$10005,31,0)</f>
        <v>aws s3 cp s3://rtdc.mdm.uploadarchive.raw/RTDC4046/ "%USERPROFILE%\AppData\Local\Temp\OnboardLogs"\RTDC4046\2016-09-28 --exclude "*" --recursive --include "*20160928*" &amp; "%USERPROFILE%\Documents\GitHub\mrs-test-scripts\Headless Mode &amp; Sideloading\WalkAndUnGZ.bat" "%USERPROFILE%\AppData\Local\Temp\OnboardLogs"\RTDC4046\2016-09-28 &amp; 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</v>
      </c>
      <c r="S40" s="107" t="str">
        <f>VLOOKUP(C40,'Train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07:08:44-0600',mode:absolute,to:'2016-09-28 09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40" s="109" t="str">
        <f t="shared" si="9"/>
        <v>"C:\Program Files (x86)\AstroGrep\AstroGrep.exe" /spath="%USERPROFILE%\AppData\Local\Temp\OnboardLogs" /stypes="*4046*201609281*" /stext=" 14:.+((SYSTEM_STATE.+slice.+state.+changed )|(ment ac)|(system.+state.+changed )|(\[timeout)|(PRM\|1\|D)|(kpr)|(kdp)|(\|lc)|(penalty))" /e /r /s</v>
      </c>
      <c r="U40" s="9" t="str">
        <f t="shared" si="10"/>
        <v>4046</v>
      </c>
      <c r="V40" s="38">
        <f t="shared" si="11"/>
        <v>42641.620138888888</v>
      </c>
      <c r="W40" s="52" t="str">
        <f t="shared" si="12"/>
        <v>EC</v>
      </c>
      <c r="X40" s="52" t="str">
        <f t="shared" si="13"/>
        <v>KEEP</v>
      </c>
      <c r="Y40" s="130" t="str">
        <f t="shared" si="14"/>
        <v>echo {"issue":{"subject":"","project_id":79,"tracker_id":40,"status_id":1,"priority_id":2,"assigned_to_id":23,"start_date":"2016-09-28","description":"","custom_fields":[{"id":1,"name":"Subdivision","value":"EC"},{"id":4,"name":"Milepost","value":"23.3491"},{"id":17,"name":"Train ID","value":"137-28"},{"id":16,"name":"Locomotive ID","value":"4046"},{"id":130,"name":"Impact","value":""},{"id":150,"name":"Time of Event (Mountain Time)","value":"08:53:00"},{"id":151,"name":"Denver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15"/>
        <v>grep -hSE -A100 "Enforcement Action" "%USERPROFILE%\AppData\Local\Temp\OnboardLogs"\RTDC4046\*4046*201609281* | grep -SE "((Enforcement Ac)|(PRM))" -</v>
      </c>
    </row>
    <row r="41" spans="1:29" x14ac:dyDescent="0.25">
      <c r="A41" s="38">
        <v>42641.484791666669</v>
      </c>
      <c r="B41" s="33" t="s">
        <v>417</v>
      </c>
      <c r="C41" s="33" t="s">
        <v>459</v>
      </c>
      <c r="D41" s="33" t="s">
        <v>49</v>
      </c>
      <c r="E41" s="33" t="s">
        <v>50</v>
      </c>
      <c r="F41" s="49">
        <v>0</v>
      </c>
      <c r="G41" s="49">
        <v>86</v>
      </c>
      <c r="H41" s="49">
        <v>233136</v>
      </c>
      <c r="I41" s="49">
        <v>233238</v>
      </c>
      <c r="J41" s="33" t="s">
        <v>51</v>
      </c>
      <c r="K41" s="49">
        <v>233491</v>
      </c>
      <c r="L41" s="146" t="s">
        <v>52</v>
      </c>
      <c r="M41" s="149">
        <f t="shared" si="8"/>
        <v>133.584</v>
      </c>
      <c r="N41" s="88" t="str">
        <f>VLOOKUP(C41,'Trips&amp;Operators'!$C$1:$E$99999,3,FALSE)</f>
        <v>BONDS</v>
      </c>
      <c r="O41" s="170" t="s">
        <v>86</v>
      </c>
      <c r="P41" s="10"/>
      <c r="Q41" s="33"/>
      <c r="R41" s="104" t="str">
        <f>VLOOKUP(C41,'Train Runs'!$A$13:$AE$10005,31,0)</f>
        <v>aws s3 cp s3://rtdc.mdm.uploadarchive.raw/RTDC4007/ "%USERPROFILE%\AppData\Local\Temp\OnboardLogs"\RTDC4007\2016-09-28 --exclude "*" --recursive --include "*20160928*" &amp; "%USERPROFILE%\Documents\GitHub\mrs-test-scripts\Headless Mode &amp; Sideloading\WalkAndUnGZ.bat" "%USERPROFILE%\AppData\Local\Temp\OnboardLogs"\RTDC4007\2016-09-28 &amp; aws s3 cp s3://rtdc.mdm.uploadarchive.raw/RTDC4007/ "%USERPROFILE%\AppData\Local\Temp\OnboardLogs"\RTDC4007\2016-09-29 --exclude "*" --recursive --include "*20160929*" &amp; "%USERPROFILE%\Documents\GitHub\mrs-test-scripts\Headless Mode &amp; Sideloading\WalkAndUnGZ.bat" "%USERPROFILE%\AppData\Local\Temp\OnboardLogs"\RTDC4007\2016-09-29</v>
      </c>
      <c r="S41" s="107" t="str">
        <f>VLOOKUP(C41,'Train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09:55:11-0600',mode:absolute,to:'2016-09-28 12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41" s="109" t="str">
        <f t="shared" si="9"/>
        <v>"C:\Program Files (x86)\AstroGrep\AstroGrep.exe" /spath="%USERPROFILE%\AppData\Local\Temp\OnboardLogs" /stypes="*4007*201609281*" /stext=" 17:.+((SYSTEM_STATE.+slice.+state.+changed )|(ment ac)|(system.+state.+changed )|(\[timeout)|(PRM\|1\|D)|(kpr)|(kdp)|(\|lc)|(penalty))" /e /r /s</v>
      </c>
      <c r="U41" s="9" t="str">
        <f t="shared" si="10"/>
        <v>4007</v>
      </c>
      <c r="V41" s="38">
        <f t="shared" si="11"/>
        <v>42641.734791666669</v>
      </c>
      <c r="W41" s="52" t="str">
        <f t="shared" si="12"/>
        <v>EC</v>
      </c>
      <c r="X41" s="52" t="str">
        <f t="shared" si="13"/>
        <v>KEEP</v>
      </c>
      <c r="Y41" s="130" t="str">
        <f t="shared" si="14"/>
        <v>echo {"issue":{"subject":"","project_id":79,"tracker_id":40,"status_id":1,"priority_id":2,"assigned_to_id":23,"start_date":"2016-09-28","description":"","custom_fields":[{"id":1,"name":"Subdivision","value":"EC"},{"id":4,"name":"Milepost","value":"23.3491"},{"id":17,"name":"Train ID","value":"159-28"},{"id":16,"name":"Locomotive ID","value":"4007"},{"id":130,"name":"Impact","value":""},{"id":150,"name":"Time of Event (Mountain Time)","value":"11:38:06"},{"id":151,"name":"Denver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15"/>
        <v>grep -hSE -A100 "Enforcement Action" "%USERPROFILE%\AppData\Local\Temp\OnboardLogs"\RTDC4007\*4007*201609281* | grep -SE "((Enforcement Ac)|(PRM))" -</v>
      </c>
    </row>
    <row r="42" spans="1:29" x14ac:dyDescent="0.25">
      <c r="A42" s="38">
        <v>42641.6094212963</v>
      </c>
      <c r="B42" s="33" t="s">
        <v>391</v>
      </c>
      <c r="C42" s="33" t="s">
        <v>493</v>
      </c>
      <c r="D42" s="33" t="s">
        <v>49</v>
      </c>
      <c r="E42" s="33" t="s">
        <v>50</v>
      </c>
      <c r="F42" s="49">
        <v>0</v>
      </c>
      <c r="G42" s="49">
        <v>109</v>
      </c>
      <c r="H42" s="49">
        <v>233038</v>
      </c>
      <c r="I42" s="49">
        <v>233172</v>
      </c>
      <c r="J42" s="33" t="s">
        <v>51</v>
      </c>
      <c r="K42" s="49">
        <v>233491</v>
      </c>
      <c r="L42" s="146" t="s">
        <v>52</v>
      </c>
      <c r="M42" s="149">
        <f t="shared" si="8"/>
        <v>168.43199999999999</v>
      </c>
      <c r="N42" s="88" t="str">
        <f>VLOOKUP(C42,'Trips&amp;Operators'!$C$1:$E$99999,3,FALSE)</f>
        <v>BRUDER</v>
      </c>
      <c r="O42" s="170" t="s">
        <v>86</v>
      </c>
      <c r="P42" s="10"/>
      <c r="Q42" s="33"/>
      <c r="R42" s="104" t="str">
        <f>VLOOKUP(C42,'Train Runs'!$A$13:$AE$10005,31,0)</f>
        <v>aws s3 cp s3://rtdc.mdm.uploadarchive.raw/RTDC4002/ "%USERPROFILE%\AppData\Local\Temp\OnboardLogs"\RTDC4002\2016-09-28 --exclude "*" --recursive --include "*20160928*" &amp; "%USERPROFILE%\Documents\GitHub\mrs-test-scripts\Headless Mode &amp; Sideloading\WalkAndUnGZ.bat" "%USERPROFILE%\AppData\Local\Temp\OnboardLogs"\RTDC4002\2016-09-28 &amp; 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</v>
      </c>
      <c r="S42" s="107" t="str">
        <f>VLOOKUP(C42,'Train Runs'!$A$13:$AE$10005,22,0)</f>
        <v>https://search-rtdc-monitor-bjffxe2xuh6vdkpspy63sjmuny.us-east-1.es.amazonaws.com/_plugin/kibana/#/discover/Steve-Slow-Train-Analysis-(2080s-and-2083s)?_g=(refreshInterval:(display:Off,section:0,value:0),time:(from:'2016-09-28 12:52:45-0600',mode:absolute,to:'2016-09-28 15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42" s="109" t="str">
        <f t="shared" si="9"/>
        <v>"C:\Program Files (x86)\AstroGrep\AstroGrep.exe" /spath="%USERPROFILE%\AppData\Local\Temp\OnboardLogs" /stypes="*4002*201609282*" /stext=" 20:.+((SYSTEM_STATE.+slice.+state.+changed )|(ment ac)|(system.+state.+changed )|(\[timeout)|(PRM\|1\|D)|(kpr)|(kdp)|(\|lc)|(penalty))" /e /r /s</v>
      </c>
      <c r="U42" s="9" t="str">
        <f t="shared" si="10"/>
        <v>4002</v>
      </c>
      <c r="V42" s="38">
        <f t="shared" si="11"/>
        <v>42641.8594212963</v>
      </c>
      <c r="W42" s="52" t="str">
        <f t="shared" si="12"/>
        <v>EC</v>
      </c>
      <c r="X42" s="52" t="str">
        <f t="shared" si="13"/>
        <v>KEEP</v>
      </c>
      <c r="Y42" s="130" t="str">
        <f t="shared" si="14"/>
        <v>echo {"issue":{"subject":"","project_id":79,"tracker_id":40,"status_id":1,"priority_id":2,"assigned_to_id":23,"start_date":"2016-09-28","description":"","custom_fields":[{"id":1,"name":"Subdivision","value":"EC"},{"id":4,"name":"Milepost","value":"23.3491"},{"id":17,"name":"Train ID","value":"183-28"},{"id":16,"name":"Locomotive ID","value":"4002"},{"id":130,"name":"Impact","value":""},{"id":150,"name":"Time of Event (Mountain Time)","value":"14:37:34"},{"id":151,"name":"Denver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15"/>
        <v>grep -hSE -A100 "Enforcement Action" "%USERPROFILE%\AppData\Local\Temp\OnboardLogs"\RTDC4002\*4002*201609282* | grep -SE "((Enforcement Ac)|(PRM))" -</v>
      </c>
    </row>
    <row r="43" spans="1:29" x14ac:dyDescent="0.25">
      <c r="A43" s="38">
        <v>42641.81821759259</v>
      </c>
      <c r="B43" s="33" t="s">
        <v>376</v>
      </c>
      <c r="C43" s="33" t="s">
        <v>555</v>
      </c>
      <c r="D43" s="33" t="s">
        <v>49</v>
      </c>
      <c r="E43" s="33" t="s">
        <v>50</v>
      </c>
      <c r="F43" s="49">
        <v>0</v>
      </c>
      <c r="G43" s="49">
        <v>54</v>
      </c>
      <c r="H43" s="49">
        <v>233293</v>
      </c>
      <c r="I43" s="49">
        <v>233336</v>
      </c>
      <c r="J43" s="33" t="s">
        <v>51</v>
      </c>
      <c r="K43" s="49">
        <v>233491</v>
      </c>
      <c r="L43" s="146" t="s">
        <v>52</v>
      </c>
      <c r="M43" s="149">
        <f t="shared" si="8"/>
        <v>81.84</v>
      </c>
      <c r="N43" s="88" t="str">
        <f>VLOOKUP(C43,'Trips&amp;Operators'!$C$1:$E$99999,3,FALSE)</f>
        <v>STURGEON</v>
      </c>
      <c r="O43" s="170" t="s">
        <v>86</v>
      </c>
      <c r="P43" s="10"/>
      <c r="Q43" s="33"/>
      <c r="R43" s="104" t="str">
        <f>VLOOKUP(C43,'Train Runs'!$A$13:$AE$10005,31,0)</f>
        <v>aws s3 cp s3://rtdc.mdm.uploadarchive.raw/RTDC4040/ "%USERPROFILE%\AppData\Local\Temp\OnboardLogs"\RTDC4040\2016-09-28 --exclude "*" --recursive --include "*20160928*" &amp; "%USERPROFILE%\Documents\GitHub\mrs-test-scripts\Headless Mode &amp; Sideloading\WalkAndUnGZ.bat" "%USERPROFILE%\AppData\Local\Temp\OnboardLogs"\RTDC4040\2016-09-28 &amp; 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</v>
      </c>
      <c r="S43" s="107" t="str">
        <f>VLOOKUP(C43,'Train Runs'!$A$13:$AE$10005,22,0)</f>
        <v>https://search-rtdc-monitor-bjffxe2xuh6vdkpspy63sjmuny.us-east-1.es.amazonaws.com/_plugin/kibana/#/discover/Steve-Slow-Train-Analysis-(2080s-and-2083s)?_g=(refreshInterval:(display:Off,section:0,value:0),time:(from:'2016-09-28 17:53:10-0600',mode:absolute,to:'2016-09-28 20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43" s="109" t="str">
        <f t="shared" si="9"/>
        <v>"C:\Program Files (x86)\AstroGrep\AstroGrep.exe" /spath="%USERPROFILE%\AppData\Local\Temp\OnboardLogs" /stypes="*4040*201609290*" /stext=" 01:.+((SYSTEM_STATE.+slice.+state.+changed )|(ment ac)|(system.+state.+changed )|(\[timeout)|(PRM\|1\|D)|(kpr)|(kdp)|(\|lc)|(penalty))" /e /r /s</v>
      </c>
      <c r="U43" s="9" t="str">
        <f t="shared" si="10"/>
        <v>4040</v>
      </c>
      <c r="V43" s="38">
        <f t="shared" si="11"/>
        <v>42642.06821759259</v>
      </c>
      <c r="W43" s="52" t="str">
        <f t="shared" si="12"/>
        <v>EC</v>
      </c>
      <c r="X43" s="52" t="str">
        <f t="shared" si="13"/>
        <v>KEEP</v>
      </c>
      <c r="Y43" s="130" t="str">
        <f t="shared" si="14"/>
        <v>echo {"issue":{"subject":"","project_id":79,"tracker_id":40,"status_id":1,"priority_id":2,"assigned_to_id":23,"start_date":"2016-09-28","description":"","custom_fields":[{"id":1,"name":"Subdivision","value":"EC"},{"id":4,"name":"Milepost","value":"23.3491"},{"id":17,"name":"Train ID","value":"221-28"},{"id":16,"name":"Locomotive ID","value":"4040"},{"id":130,"name":"Impact","value":""},{"id":150,"name":"Time of Event (Mountain Time)","value":"19:38:14"},{"id":151,"name":"Denver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15"/>
        <v>grep -hSE -A100 "Enforcement Action" "%USERPROFILE%\AppData\Local\Temp\OnboardLogs"\RTDC4040\*4040*201609290* | grep -SE "((Enforcement Ac)|(PRM))" -</v>
      </c>
    </row>
    <row r="44" spans="1:29" x14ac:dyDescent="0.25">
      <c r="A44" s="38">
        <v>42641.410486111112</v>
      </c>
      <c r="B44" s="33" t="s">
        <v>274</v>
      </c>
      <c r="C44" s="33" t="s">
        <v>443</v>
      </c>
      <c r="D44" s="33" t="s">
        <v>49</v>
      </c>
      <c r="E44" s="33" t="s">
        <v>168</v>
      </c>
      <c r="F44" s="49">
        <v>340</v>
      </c>
      <c r="G44" s="49">
        <v>486</v>
      </c>
      <c r="H44" s="49">
        <v>17287</v>
      </c>
      <c r="I44" s="49">
        <v>15696</v>
      </c>
      <c r="J44" s="33" t="s">
        <v>167</v>
      </c>
      <c r="K44" s="49">
        <v>15777</v>
      </c>
      <c r="L44" s="146" t="s">
        <v>53</v>
      </c>
      <c r="M44" s="149">
        <f t="shared" si="8"/>
        <v>-42.768000000000001</v>
      </c>
      <c r="N44" s="88" t="str">
        <f>VLOOKUP(C44,'Trips&amp;Operators'!$C$1:$E$99999,3,FALSE)</f>
        <v>BEAM</v>
      </c>
      <c r="O44" s="170" t="s">
        <v>772</v>
      </c>
      <c r="P44" s="10" t="s">
        <v>771</v>
      </c>
      <c r="Q44" s="33"/>
      <c r="R44" s="104" t="str">
        <f>VLOOKUP(C44,'Train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44" s="107" t="str">
        <f>VLOOKUP(C44,'Train Runs'!$A$13:$AE$10005,22,0)</f>
        <v>https://search-rtdc-monitor-bjffxe2xuh6vdkpspy63sjmuny.us-east-1.es.amazonaws.com/_plugin/kibana/#/discover/Steve-Slow-Train-Analysis-(2080s-and-2083s)?_g=(refreshInterval:(display:Off,section:0,value:0),time:(from:'2016-09-28 08:37:00-0600',mode:absolute,to:'2016-09-28 10:59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44" s="109" t="str">
        <f t="shared" si="9"/>
        <v>"C:\Program Files (x86)\AstroGrep\AstroGrep.exe" /spath="%USERPROFILE%\AppData\Local\Temp\OnboardLogs" /stypes="*4015*201609281*" /stext=" 15:.+((SYSTEM_STATE.+slice.+state.+changed )|(ment ac)|(system.+state.+changed )|(\[timeout)|(PRM\|1\|D)|(kpr)|(kdp)|(\|lc)|(penalty))" /e /r /s</v>
      </c>
      <c r="U44" s="9" t="str">
        <f t="shared" si="10"/>
        <v>4015</v>
      </c>
      <c r="V44" s="38">
        <f t="shared" si="11"/>
        <v>42641.660486111112</v>
      </c>
      <c r="W44" s="52" t="str">
        <f t="shared" si="12"/>
        <v>NW</v>
      </c>
      <c r="X44" s="52" t="str">
        <f t="shared" si="13"/>
        <v>KEEP</v>
      </c>
      <c r="Y44" s="130" t="str">
        <f t="shared" si="14"/>
        <v>echo {"issue":{"subject":"Early arrival - but at ped xing?","project_id":79,"tracker_id":40,"status_id":1,"priority_id":2,"assigned_to_id":23,"start_date":"2016-09-28","description":"MP 1.5777 is 40th &amp; Fox PED XING. According to Customer, this XING shouldn't be warning/enforcing?","custom_fields":[{"id":1,"name":"Subdivision","value":"NW"},{"id":4,"name":"Milepost","value":"1.5777"},{"id":17,"name":"Train ID","value":"814-28"},{"id":16,"name":"Locomotive ID","value":"4015"},{"id":130,"name":"Impact","value":"Enforcement"},{"id":150,"name":"Time of Event (Mountain Time)","value":"09:51:06"},{"id":151,"name":"Denver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Z44" s="55" t="s">
        <v>773</v>
      </c>
      <c r="AA44" s="55" t="s">
        <v>137</v>
      </c>
      <c r="AB44" s="23" t="s">
        <v>144</v>
      </c>
      <c r="AC44" s="171" t="str">
        <f t="shared" si="15"/>
        <v>grep -hSE -A100 "Enforcement Action" "%USERPROFILE%\AppData\Local\Temp\OnboardLogs"\RTDC4015\*4015*201609281* | grep -SE "((Enforcement Ac)|(PRM))" -</v>
      </c>
    </row>
    <row r="45" spans="1:29" x14ac:dyDescent="0.25">
      <c r="A45" s="38">
        <v>42641.451747685183</v>
      </c>
      <c r="B45" s="33" t="s">
        <v>274</v>
      </c>
      <c r="C45" s="33" t="s">
        <v>456</v>
      </c>
      <c r="D45" s="33" t="s">
        <v>49</v>
      </c>
      <c r="E45" s="33" t="s">
        <v>56</v>
      </c>
      <c r="F45" s="49">
        <v>150</v>
      </c>
      <c r="G45" s="49">
        <v>337</v>
      </c>
      <c r="H45" s="49">
        <v>16566</v>
      </c>
      <c r="I45" s="49">
        <v>15556</v>
      </c>
      <c r="J45" s="33" t="s">
        <v>57</v>
      </c>
      <c r="K45" s="49">
        <v>14977</v>
      </c>
      <c r="L45" s="146" t="s">
        <v>53</v>
      </c>
      <c r="M45" s="149">
        <f t="shared" si="8"/>
        <v>305.71199999999999</v>
      </c>
      <c r="N45" s="88" t="str">
        <f>VLOOKUP(C45,'Trips&amp;Operators'!$C$1:$E$99999,3,FALSE)</f>
        <v>BEAM</v>
      </c>
      <c r="O45" s="170" t="s">
        <v>86</v>
      </c>
      <c r="P45" s="10"/>
      <c r="Q45" s="33"/>
      <c r="R45" s="104" t="str">
        <f>VLOOKUP(C45,'Train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45" s="107" t="str">
        <f>VLOOKUP(C45,'Train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09:37:42-0600',mode:absolute,to:'2016-09-28 12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45" s="109" t="str">
        <f t="shared" si="9"/>
        <v>"C:\Program Files (x86)\AstroGrep\AstroGrep.exe" /spath="%USERPROFILE%\AppData\Local\Temp\OnboardLogs" /stypes="*4015*201609281*" /stext=" 16:.+((SYSTEM_STATE.+slice.+state.+changed )|(ment ac)|(system.+state.+changed )|(\[timeout)|(PRM\|1\|D)|(kpr)|(kdp)|(\|lc)|(penalty))" /e /r /s</v>
      </c>
      <c r="U45" s="9" t="str">
        <f t="shared" si="10"/>
        <v>4015</v>
      </c>
      <c r="V45" s="38">
        <f t="shared" si="11"/>
        <v>42641.701747685183</v>
      </c>
      <c r="W45" s="52" t="str">
        <f t="shared" si="12"/>
        <v>NW</v>
      </c>
      <c r="X45" s="52" t="str">
        <f t="shared" si="13"/>
        <v>KEEP</v>
      </c>
      <c r="Y45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{"issue":{"subject":"","project_id":79,"tracker_id":40,"status_id":1,"priority_id":2,"assigned_to_id":23,"start_date":"2016-09-28","description":"","custom_fields":[{"id":1,"name":"Subdivision","value":"NW"},{"id":4,"name":"Milepost","value":"1.4977"},{"id":17,"name":"Train ID","value":"816-28"},{"id":16,"name":"Locomotive ID","value":"4015"},{"id":130,"name":"Impact","value":""},{"id":150,"name":"Time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15"/>
        <v>grep -hSE -A100 "Enforcement Action" "%USERPROFILE%\AppData\Local\Temp\OnboardLogs"\RTDC4015\*4015*201609281* | grep -SE "((Enforcement Ac)|(PRM))" -</v>
      </c>
    </row>
    <row r="46" spans="1:29" x14ac:dyDescent="0.25">
      <c r="A46" s="38">
        <v>42641.436689814815</v>
      </c>
      <c r="B46" s="33" t="s">
        <v>260</v>
      </c>
      <c r="C46" s="33" t="s">
        <v>450</v>
      </c>
      <c r="D46" s="33" t="s">
        <v>49</v>
      </c>
      <c r="E46" s="33" t="s">
        <v>56</v>
      </c>
      <c r="F46" s="49">
        <v>600</v>
      </c>
      <c r="G46" s="49">
        <v>651</v>
      </c>
      <c r="H46" s="49">
        <v>29596</v>
      </c>
      <c r="I46" s="49">
        <v>32278</v>
      </c>
      <c r="J46" s="33" t="s">
        <v>57</v>
      </c>
      <c r="K46" s="49">
        <v>30578</v>
      </c>
      <c r="L46" s="146" t="s">
        <v>52</v>
      </c>
      <c r="M46" s="149">
        <f t="shared" si="8"/>
        <v>-897.6</v>
      </c>
      <c r="N46" s="88" t="str">
        <f>VLOOKUP(C46,'Trips&amp;Operators'!$C$1:$E$99999,3,FALSE)</f>
        <v>BEAM</v>
      </c>
      <c r="O46" s="170" t="s">
        <v>86</v>
      </c>
      <c r="P46" s="10"/>
      <c r="Q46" s="33"/>
      <c r="R46" s="104" t="str">
        <f>VLOOKUP(C46,'Train Runs'!$A$13:$AE$10005,31,0)</f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S46" s="107" t="str">
        <f>VLOOKUP(C46,'Train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09:16:38-0600',mode:absolute,to:'2016-09-28 11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6" s="109" t="str">
        <f t="shared" si="9"/>
        <v>"C:\Program Files (x86)\AstroGrep\AstroGrep.exe" /spath="%USERPROFILE%\AppData\Local\Temp\OnboardLogs" /stypes="*4016*201609281*" /stext=" 16:.+((SYSTEM_STATE.+slice.+state.+changed )|(ment ac)|(system.+state.+changed )|(\[timeout)|(PRM\|1\|D)|(kpr)|(kdp)|(\|lc)|(penalty))" /e /r /s</v>
      </c>
      <c r="U46" s="9" t="str">
        <f t="shared" si="10"/>
        <v>4016</v>
      </c>
      <c r="V46" s="38">
        <f t="shared" si="11"/>
        <v>42641.686689814815</v>
      </c>
      <c r="W46" s="52" t="str">
        <f t="shared" si="12"/>
        <v>NW</v>
      </c>
      <c r="X46" s="52" t="str">
        <f t="shared" si="13"/>
        <v>KEEP</v>
      </c>
      <c r="Y46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{"issue":{"subject":"","project_id":79,"tracker_id":40,"status_id":1,"priority_id":2,"assigned_to_id":23,"start_date":"2016-09-28","description":"","custom_fields":[{"id":1,"name":"Subdivision","value":"NW"},{"id":4,"name":"Milepost","value":"3.0578"},{"id":17,"name":"Train ID","value":"815-28"},{"id":16,"name":"Locomotive ID","value":"4016"},{"id":130,"name":"Impact","value":""},{"id":150,"name":"Time of Event (Mountain Time)","value":"10:28:50"},{"id":151,"name":"Denver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15"/>
        <v>grep -hSE -A100 "Enforcement Action" "%USERPROFILE%\AppData\Local\Temp\OnboardLogs"\RTDC4016\*4016*201609281* | grep -SE "((Enforcement Ac)|(PRM))" -</v>
      </c>
    </row>
    <row r="47" spans="1:29" x14ac:dyDescent="0.25">
      <c r="A47" s="38">
        <v>42641.335601851853</v>
      </c>
      <c r="B47" s="33" t="s">
        <v>263</v>
      </c>
      <c r="C47" s="33" t="s">
        <v>422</v>
      </c>
      <c r="D47" s="33" t="s">
        <v>49</v>
      </c>
      <c r="E47" s="33" t="s">
        <v>56</v>
      </c>
      <c r="F47" s="49">
        <v>150</v>
      </c>
      <c r="G47" s="49">
        <v>284</v>
      </c>
      <c r="H47" s="49">
        <v>56046</v>
      </c>
      <c r="I47" s="49">
        <v>56547</v>
      </c>
      <c r="J47" s="33" t="s">
        <v>57</v>
      </c>
      <c r="K47" s="49">
        <v>57008</v>
      </c>
      <c r="L47" s="146" t="s">
        <v>52</v>
      </c>
      <c r="M47" s="149">
        <f t="shared" si="8"/>
        <v>243.40799999999999</v>
      </c>
      <c r="N47" s="88" t="str">
        <f>VLOOKUP(C47,'Trips&amp;Operators'!$C$1:$E$99999,3,FALSE)</f>
        <v>STARKS</v>
      </c>
      <c r="O47" s="170" t="s">
        <v>86</v>
      </c>
      <c r="P47" s="10"/>
      <c r="Q47" s="33"/>
      <c r="R47" s="104" t="str">
        <f>VLOOKUP(C47,'Train Runs'!$A$13:$AE$10005,31,0)</f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S47" s="107" t="str">
        <f>VLOOKUP(C47,'Train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06:42:23-0600',mode:absolute,to:'2016-09-28 09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7" s="109" t="str">
        <f t="shared" si="9"/>
        <v>"C:\Program Files (x86)\AstroGrep\AstroGrep.exe" /spath="%USERPROFILE%\AppData\Local\Temp\OnboardLogs" /stypes="*4029*201609281*" /stext=" 14:.+((SYSTEM_STATE.+slice.+state.+changed )|(ment ac)|(system.+state.+changed )|(\[timeout)|(PRM\|1\|D)|(kpr)|(kdp)|(\|lc)|(penalty))" /e /r /s</v>
      </c>
      <c r="U47" s="9" t="str">
        <f t="shared" si="10"/>
        <v>4029</v>
      </c>
      <c r="V47" s="38">
        <f t="shared" si="11"/>
        <v>42641.585601851853</v>
      </c>
      <c r="W47" s="52" t="str">
        <f t="shared" si="12"/>
        <v>NW</v>
      </c>
      <c r="X47" s="52" t="str">
        <f t="shared" si="13"/>
        <v>KEEP</v>
      </c>
      <c r="Y47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{"issue":{"subject":"","project_id":79,"tracker_id":40,"status_id":1,"priority_id":2,"assigned_to_id":23,"start_date":"2016-09-28","description":"","custom_fields":[{"id":1,"name":"Subdivision","value":"NW"},{"id":4,"name":"Milepost","value":"5.7008"},{"id":17,"name":"Train ID","value":"809-28"},{"id":16,"name":"Locomotive ID","value":"4029"},{"id":130,"name":"Impact","value":""},{"id":150,"name":"Time of Event (Mountain Time)","value":"08:03:16"},{"id":151,"name":"Denver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15"/>
        <v>grep -hSE -A100 "Enforcement Action" "%USERPROFILE%\AppData\Local\Temp\OnboardLogs"\RTDC4029\*4029*201609281* | grep -SE "((Enforcement Ac)|(PRM))" -</v>
      </c>
    </row>
    <row r="48" spans="1:29" x14ac:dyDescent="0.25">
      <c r="A48" s="38">
        <v>42641.523402777777</v>
      </c>
      <c r="B48" s="33" t="s">
        <v>260</v>
      </c>
      <c r="C48" s="33" t="s">
        <v>474</v>
      </c>
      <c r="D48" s="33" t="s">
        <v>49</v>
      </c>
      <c r="E48" s="33" t="s">
        <v>56</v>
      </c>
      <c r="F48" s="49">
        <v>150</v>
      </c>
      <c r="G48" s="49">
        <v>325</v>
      </c>
      <c r="H48" s="49">
        <v>56122</v>
      </c>
      <c r="I48" s="49">
        <v>56959</v>
      </c>
      <c r="J48" s="33" t="s">
        <v>57</v>
      </c>
      <c r="K48" s="49">
        <v>57008</v>
      </c>
      <c r="L48" s="146" t="s">
        <v>52</v>
      </c>
      <c r="M48" s="149">
        <f t="shared" si="8"/>
        <v>25.872</v>
      </c>
      <c r="N48" s="88" t="str">
        <f>VLOOKUP(C48,'Trips&amp;Operators'!$C$1:$E$99999,3,FALSE)</f>
        <v>BEAM</v>
      </c>
      <c r="O48" s="170" t="s">
        <v>86</v>
      </c>
      <c r="P48" s="10"/>
      <c r="Q48" s="33"/>
      <c r="R48" s="104" t="str">
        <f>VLOOKUP(C48,'Train Runs'!$A$13:$AE$10005,31,0)</f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S48" s="107" t="str">
        <f>VLOOKUP(C48,'Train Runs'!$A$13:$AE$10005,22,0)</f>
        <v>https://search-rtdc-monitor-bjffxe2xuh6vdkpspy63sjmuny.us-east-1.es.amazonaws.com/_plugin/kibana/#/discover/Steve-Slow-Train-Analysis-(2080s-and-2083s)?_g=(refreshInterval:(display:Off,section:0,value:0),time:(from:'2016-09-28 11:16:54-0600',mode:absolute,to:'2016-09-28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8" s="109" t="str">
        <f t="shared" si="9"/>
        <v>"C:\Program Files (x86)\AstroGrep\AstroGrep.exe" /spath="%USERPROFILE%\AppData\Local\Temp\OnboardLogs" /stypes="*4016*201609281*" /stext=" 18:.+((SYSTEM_STATE.+slice.+state.+changed )|(ment ac)|(system.+state.+changed )|(\[timeout)|(PRM\|1\|D)|(kpr)|(kdp)|(\|lc)|(penalty))" /e /r /s</v>
      </c>
      <c r="U48" s="9" t="str">
        <f t="shared" si="10"/>
        <v>4016</v>
      </c>
      <c r="V48" s="38">
        <f t="shared" si="11"/>
        <v>42641.773402777777</v>
      </c>
      <c r="W48" s="52" t="str">
        <f t="shared" si="12"/>
        <v>NW</v>
      </c>
      <c r="X48" s="52" t="str">
        <f t="shared" si="13"/>
        <v>KEEP</v>
      </c>
      <c r="Y48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{"issue":{"subject":"","project_id":79,"tracker_id":40,"status_id":1,"priority_id":2,"assigned_to_id":23,"start_date":"2016-09-28","description":"","custom_fields":[{"id":1,"name":"Subdivision","value":"NW"},{"id":4,"name":"Milepost","value":"5.7008"},{"id":17,"name":"Train ID","value":"819-28"},{"id":16,"name":"Locomotive ID","value":"4016"},{"id":130,"name":"Impact","value":""},{"id":150,"name":"Time of Event (Mountain Time)","value":"12:33:42"},{"id":151,"name":"Denver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1" t="str">
        <f t="shared" si="15"/>
        <v>grep -hSE -A100 "Enforcement Action" "%USERPROFILE%\AppData\Local\Temp\OnboardLogs"\RTDC4016\*4016*201609281* | grep -SE "((Enforcement Ac)|(PRM))" -</v>
      </c>
    </row>
    <row r="49" spans="1:29" x14ac:dyDescent="0.25">
      <c r="A49" s="38">
        <v>42641.606122685182</v>
      </c>
      <c r="B49" s="33" t="s">
        <v>260</v>
      </c>
      <c r="C49" s="33" t="s">
        <v>497</v>
      </c>
      <c r="D49" s="33" t="s">
        <v>49</v>
      </c>
      <c r="E49" s="33" t="s">
        <v>56</v>
      </c>
      <c r="F49" s="49">
        <v>150</v>
      </c>
      <c r="G49" s="49">
        <v>331</v>
      </c>
      <c r="H49" s="49">
        <v>56133</v>
      </c>
      <c r="I49" s="49">
        <v>56731</v>
      </c>
      <c r="J49" s="33" t="s">
        <v>57</v>
      </c>
      <c r="K49" s="49">
        <v>57008</v>
      </c>
      <c r="L49" s="146" t="s">
        <v>52</v>
      </c>
      <c r="M49" s="149">
        <f t="shared" si="8"/>
        <v>146.256</v>
      </c>
      <c r="N49" s="88" t="str">
        <f>VLOOKUP(C49,'Trips&amp;Operators'!$C$1:$E$99999,3,FALSE)</f>
        <v>MOSES</v>
      </c>
      <c r="O49" s="170" t="s">
        <v>86</v>
      </c>
      <c r="P49" s="10"/>
      <c r="Q49" s="33"/>
      <c r="R49" s="104" t="str">
        <f>VLOOKUP(C49,'Train Runs'!$A$13:$AE$10005,31,0)</f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S49" s="107" t="str">
        <f>VLOOKUP(C49,'Train Runs'!$A$13:$AE$10005,22,0)</f>
        <v>https://search-rtdc-monitor-bjffxe2xuh6vdkpspy63sjmuny.us-east-1.es.amazonaws.com/_plugin/kibana/#/discover/Steve-Slow-Train-Analysis-(2080s-and-2083s)?_g=(refreshInterval:(display:Off,section:0,value:0),time:(from:'2016-09-28 13:17:09-0600',mode:absolute,to:'2016-09-28 15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9" s="109" t="str">
        <f t="shared" si="9"/>
        <v>"C:\Program Files (x86)\AstroGrep\AstroGrep.exe" /spath="%USERPROFILE%\AppData\Local\Temp\OnboardLogs" /stypes="*4016*201609282*" /stext=" 20:.+((SYSTEM_STATE.+slice.+state.+changed )|(ment ac)|(system.+state.+changed )|(\[timeout)|(PRM\|1\|D)|(kpr)|(kdp)|(\|lc)|(penalty))" /e /r /s</v>
      </c>
      <c r="U49" s="9" t="str">
        <f t="shared" si="10"/>
        <v>4016</v>
      </c>
      <c r="V49" s="38">
        <f t="shared" si="11"/>
        <v>42641.856122685182</v>
      </c>
      <c r="W49" s="52" t="str">
        <f t="shared" si="12"/>
        <v>NW</v>
      </c>
      <c r="X49" s="52" t="str">
        <f t="shared" si="13"/>
        <v>KEEP</v>
      </c>
      <c r="Y49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{"issue":{"subject":"","project_id":79,"tracker_id":40,"status_id":1,"priority_id":2,"assigned_to_id":23,"start_date":"2016-09-28","description":"","custom_fields":[{"id":1,"name":"Subdivision","value":"NW"},{"id":4,"name":"Milepost","value":"5.7008"},{"id":17,"name":"Train ID","value":"823-28"},{"id":16,"name":"Locomotive ID","value":"4016"},{"id":130,"name":"Impact","value":""},{"id":150,"name":"Time of Event (Mountain Time)","value":"14:32:49"},{"id":151,"name":"Denver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 t="shared" si="15"/>
        <v>grep -hSE -A100 "Enforcement Action" "%USERPROFILE%\AppData\Local\Temp\OnboardLogs"\RTDC4016\*4016*201609282* | grep -SE "((Enforcement Ac)|(PRM))" -</v>
      </c>
    </row>
    <row r="50" spans="1:29" x14ac:dyDescent="0.25">
      <c r="A50" s="38">
        <v>42641.218287037038</v>
      </c>
      <c r="B50" s="33" t="s">
        <v>264</v>
      </c>
      <c r="C50" s="33" t="s">
        <v>390</v>
      </c>
      <c r="D50" s="33" t="s">
        <v>105</v>
      </c>
      <c r="E50" s="33" t="s">
        <v>56</v>
      </c>
      <c r="F50" s="49">
        <v>150</v>
      </c>
      <c r="G50" s="49">
        <v>200</v>
      </c>
      <c r="H50" s="49">
        <v>56902</v>
      </c>
      <c r="I50" s="49">
        <v>56644</v>
      </c>
      <c r="J50" s="33" t="s">
        <v>57</v>
      </c>
      <c r="K50" s="49">
        <v>59060</v>
      </c>
      <c r="L50" s="146" t="s">
        <v>53</v>
      </c>
      <c r="M50" s="149">
        <f t="shared" si="8"/>
        <v>-1275.6479999999999</v>
      </c>
      <c r="N50" s="88" t="str">
        <f>VLOOKUP(C50,'Trips&amp;Operators'!$C$1:$E$99999,3,FALSE)</f>
        <v>STARKS</v>
      </c>
      <c r="O50" s="170" t="s">
        <v>86</v>
      </c>
      <c r="P50" s="10"/>
      <c r="Q50" s="33"/>
      <c r="R50" s="104" t="str">
        <f>VLOOKUP(C50,'Train Runs'!$A$13:$AE$10005,31,0)</f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S50" s="107" t="str">
        <f>VLOOKUP(C50,'Train Runs'!$A$13:$AE$10005,22,0)</f>
        <v>https://search-rtdc-monitor-bjffxe2xuh6vdkpspy63sjmuny.us-east-1.es.amazonaws.com/_plugin/kibana/#/discover/Steve-Slow-Train-Analysis-(2080s-and-2083s)?_g=(refreshInterval:(display:Off,section:0,value:0),time:(from:'2016-09-28 04:10:18-0600',mode:absolute,to:'2016-09-28 06:26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50" s="109" t="str">
        <f t="shared" si="9"/>
        <v>"C:\Program Files (x86)\AstroGrep\AstroGrep.exe" /spath="%USERPROFILE%\AppData\Local\Temp\OnboardLogs" /stypes="*4030*201609281*" /stext=" 11:.+((SYSTEM_STATE.+slice.+state.+changed )|(ment ac)|(system.+state.+changed )|(\[timeout)|(PRM\|1\|D)|(kpr)|(kdp)|(\|lc)|(penalty))" /e /r /s</v>
      </c>
      <c r="U50" s="9" t="str">
        <f t="shared" si="10"/>
        <v>4030</v>
      </c>
      <c r="V50" s="38">
        <f t="shared" si="11"/>
        <v>42641.468287037038</v>
      </c>
      <c r="W50" s="52" t="str">
        <f t="shared" si="12"/>
        <v>NW</v>
      </c>
      <c r="X50" s="52" t="str">
        <f t="shared" si="13"/>
        <v>KEEP</v>
      </c>
      <c r="Y50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{"issue":{"subject":"","project_id":79,"tracker_id":40,"status_id":1,"priority_id":2,"assigned_to_id":23,"start_date":"2016-09-28","description":"","custom_fields":[{"id":1,"name":"Subdivision","value":"NW"},{"id":4,"name":"Milepost","value":"5.906"},{"id":17,"name":"Train ID","value":"800-28"},{"id":16,"name":"Locomotive ID","value":"4030"},{"id":130,"name":"Impact","value":""},{"id":150,"name":"Time of Event (Mountain Time)","value":"05:14:20"},{"id":151,"name":"Denver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 t="shared" si="15"/>
        <v>grep -hSE -A100 "Enforcement Action" "%USERPROFILE%\AppData\Local\Temp\OnboardLogs"\RTDC4030\*4030*201609281* | grep -SE "((Enforcement Ac)|(PRM))" -</v>
      </c>
    </row>
    <row r="51" spans="1:29" x14ac:dyDescent="0.25">
      <c r="A51" s="38">
        <v>42641.306909722225</v>
      </c>
      <c r="B51" s="33" t="s">
        <v>264</v>
      </c>
      <c r="C51" s="33" t="s">
        <v>413</v>
      </c>
      <c r="D51" s="33" t="s">
        <v>105</v>
      </c>
      <c r="E51" s="33" t="s">
        <v>54</v>
      </c>
      <c r="F51" s="49">
        <v>200</v>
      </c>
      <c r="G51" s="49">
        <v>251</v>
      </c>
      <c r="H51" s="49">
        <v>9271</v>
      </c>
      <c r="I51" s="49">
        <v>8733</v>
      </c>
      <c r="J51" s="33" t="s">
        <v>55</v>
      </c>
      <c r="K51" s="49">
        <v>9680</v>
      </c>
      <c r="L51" s="146" t="s">
        <v>53</v>
      </c>
      <c r="M51" s="149">
        <f t="shared" si="8"/>
        <v>-500.01600000000002</v>
      </c>
      <c r="N51" s="88" t="str">
        <f>VLOOKUP(C51,'Trips&amp;Operators'!$C$1:$E$99999,3,FALSE)</f>
        <v>STARKS</v>
      </c>
      <c r="O51" s="170" t="s">
        <v>86</v>
      </c>
      <c r="P51" s="10" t="s">
        <v>367</v>
      </c>
      <c r="Q51" s="33"/>
      <c r="R51" s="104" t="str">
        <f>VLOOKUP(C51,'Train Runs'!$A$13:$AE$10005,31,0)</f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S51" s="107" t="str">
        <f>VLOOKUP(C51,'Train Runs'!$A$13:$AE$10005,22,0)</f>
        <v>https://search-rtdc-monitor-bjffxe2xuh6vdkpspy63sjmuny.us-east-1.es.amazonaws.com/_plugin/kibana/#/discover/Steve-Slow-Train-Analysis-(2080s-and-2083s)?_g=(refreshInterval:(display:Off,section:0,value:0),time:(from:'2016-09-28 06:08:06-0600',mode:absolute,to:'2016-09-28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51" s="109" t="str">
        <f t="shared" si="9"/>
        <v>"C:\Program Files (x86)\AstroGrep\AstroGrep.exe" /spath="%USERPROFILE%\AppData\Local\Temp\OnboardLogs" /stypes="*4030*201609281*" /stext=" 13:.+((SYSTEM_STATE.+slice.+state.+changed )|(ment ac)|(system.+state.+changed )|(\[timeout)|(PRM\|1\|D)|(kpr)|(kdp)|(\|lc)|(penalty))" /e /r /s</v>
      </c>
      <c r="U51" s="9" t="str">
        <f t="shared" si="10"/>
        <v>4030</v>
      </c>
      <c r="V51" s="38">
        <f t="shared" si="11"/>
        <v>42641.556909722225</v>
      </c>
      <c r="W51" s="52" t="str">
        <f t="shared" si="12"/>
        <v>NW</v>
      </c>
      <c r="X51" s="52" t="str">
        <f t="shared" si="13"/>
        <v>KEEP</v>
      </c>
      <c r="Y51" s="130" t="str">
        <f t="shared" si="14"/>
        <v>echo {"issue":{"subject":"Overspeed","project_id":79,"tracker_id":40,"status_id":1,"priority_id":2,"assigned_to_id":23,"start_date":"2016-09-28","description":"","custom_fields":[{"id":1,"name":"Subdivision","value":"NW"},{"id":4,"name":"Milepost","value":"0.968"},{"id":17,"name":"Train ID","value":"806-28"},{"id":16,"name":"Locomotive ID","value":"4030"},{"id":130,"name":"Impact","value":""},{"id":150,"name":"Time of Event (Mountain Time)","value":"07:21:57"},{"id":151,"name":"Denver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1" t="str">
        <f t="shared" si="15"/>
        <v>grep -hSE -A100 "Enforcement Action" "%USERPROFILE%\AppData\Local\Temp\OnboardLogs"\RTDC4030\*4030*201609281* | grep -SE "((Enforcement Ac)|(PRM))" -</v>
      </c>
    </row>
    <row r="52" spans="1:29" x14ac:dyDescent="0.25">
      <c r="A52" s="38">
        <v>42641.264965277776</v>
      </c>
      <c r="B52" s="33" t="s">
        <v>264</v>
      </c>
      <c r="C52" s="33" t="s">
        <v>397</v>
      </c>
      <c r="D52" s="33" t="s">
        <v>49</v>
      </c>
      <c r="E52" s="33" t="s">
        <v>597</v>
      </c>
      <c r="F52" s="49">
        <v>100</v>
      </c>
      <c r="G52" s="49">
        <v>372</v>
      </c>
      <c r="H52" s="49">
        <v>13442</v>
      </c>
      <c r="I52" s="49">
        <v>12188</v>
      </c>
      <c r="J52" s="33" t="s">
        <v>167</v>
      </c>
      <c r="K52" s="49">
        <v>11000</v>
      </c>
      <c r="L52" s="146" t="s">
        <v>53</v>
      </c>
      <c r="M52" s="149">
        <f t="shared" si="8"/>
        <v>627.26400000000001</v>
      </c>
      <c r="N52" s="88" t="str">
        <f>VLOOKUP(C52,'Trips&amp;Operators'!$C$1:$E$99999,3,FALSE)</f>
        <v>STARKS</v>
      </c>
      <c r="O52" s="170" t="s">
        <v>86</v>
      </c>
      <c r="P52" s="10"/>
      <c r="Q52" s="33"/>
      <c r="R52" s="104" t="str">
        <f>VLOOKUP(C52,'Train Runs'!$A$13:$AE$10005,31,0)</f>
        <v>aws s3 cp s3://rtdc.mdm.uploadarchive.raw/RTDC4030/ "%USERPROFILE%\AppData\Local\Temp\OnboardLogs"\RTDC4030\2016-09-28 --exclude "*" --recursive --include "*20160928*" &amp; "%USERPROFILE%\Documents\GitHub\mrs-test-scripts\Headless Mode &amp; Sideloading\WalkAndUnGZ.bat" "%USERPROFILE%\AppData\Local\Temp\OnboardLogs"\RTDC4030\2016-09-28 &amp; 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</v>
      </c>
      <c r="S52" s="107" t="str">
        <f>VLOOKUP(C52,'Train Runs'!$A$13:$AE$10005,22,0)</f>
        <v>https://search-rtdc-monitor-bjffxe2xuh6vdkpspy63sjmuny.us-east-1.es.amazonaws.com/_plugin/kibana/#/discover/Steve-Slow-Train-Analysis-(2080s-and-2083s)?_g=(refreshInterval:(display:Off,section:0,value:0),time:(from:'2016-09-28 05:10:08-0600',mode:absolute,to:'2016-09-28 07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52" s="109" t="str">
        <f t="shared" si="9"/>
        <v>"C:\Program Files (x86)\AstroGrep\AstroGrep.exe" /spath="%USERPROFILE%\AppData\Local\Temp\OnboardLogs" /stypes="*4030*201609281*" /stext=" 12:.+((SYSTEM_STATE.+slice.+state.+changed )|(ment ac)|(system.+state.+changed )|(\[timeout)|(PRM\|1\|D)|(kpr)|(kdp)|(\|lc)|(penalty))" /e /r /s</v>
      </c>
      <c r="U52" s="9" t="str">
        <f t="shared" si="10"/>
        <v>4030</v>
      </c>
      <c r="V52" s="38">
        <f t="shared" si="11"/>
        <v>42641.514965277776</v>
      </c>
      <c r="W52" s="52" t="str">
        <f t="shared" si="12"/>
        <v>NW</v>
      </c>
      <c r="X52" s="52" t="str">
        <f t="shared" si="13"/>
        <v>KEEP</v>
      </c>
      <c r="Y52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{"issue":{"subject":"","project_id":79,"tracker_id":40,"status_id":1,"priority_id":2,"assigned_to_id":23,"start_date":"2016-09-28","description":"","custom_fields":[{"id":1,"name":"Subdivision","value":"NW"},{"id":4,"name":"Milepost","value":"1.1"},{"id":17,"name":"Train ID","value":"802-28"},{"id":16,"name":"Locomotive ID","value":"4030"},{"id":130,"name":"Impact","value":""},{"id":150,"name":"Time of Event (Mountain Time)","value":"06:21:33"},{"id":151,"name":"Denver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1" t="str">
        <f t="shared" si="15"/>
        <v>grep -hSE -A100 "Enforcement Action" "%USERPROFILE%\AppData\Local\Temp\OnboardLogs"\RTDC4030\*4030*201609281* | grep -SE "((Enforcement Ac)|(PRM))" -</v>
      </c>
    </row>
    <row r="53" spans="1:29" x14ac:dyDescent="0.25">
      <c r="A53" s="38">
        <v>42641.369363425925</v>
      </c>
      <c r="B53" s="33" t="s">
        <v>274</v>
      </c>
      <c r="C53" s="33" t="s">
        <v>433</v>
      </c>
      <c r="D53" s="33" t="s">
        <v>49</v>
      </c>
      <c r="E53" s="33" t="s">
        <v>597</v>
      </c>
      <c r="F53" s="49">
        <v>100</v>
      </c>
      <c r="G53" s="49">
        <v>336</v>
      </c>
      <c r="H53" s="49">
        <v>13274</v>
      </c>
      <c r="I53" s="49">
        <v>12384</v>
      </c>
      <c r="J53" s="33" t="s">
        <v>167</v>
      </c>
      <c r="K53" s="49">
        <v>11000</v>
      </c>
      <c r="L53" s="146" t="s">
        <v>53</v>
      </c>
      <c r="M53" s="149">
        <f t="shared" si="8"/>
        <v>730.75199999999995</v>
      </c>
      <c r="N53" s="88" t="str">
        <f>VLOOKUP(C53,'Trips&amp;Operators'!$C$1:$E$99999,3,FALSE)</f>
        <v>BEAM</v>
      </c>
      <c r="O53" s="170" t="s">
        <v>86</v>
      </c>
      <c r="P53" s="10"/>
      <c r="Q53" s="33"/>
      <c r="R53" s="104" t="str">
        <f>VLOOKUP(C53,'Train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53" s="107" t="str">
        <f>VLOOKUP(C53,'Train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07:37:58-0600',mode:absolute,to:'2016-09-28 09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3" s="109" t="str">
        <f t="shared" si="9"/>
        <v>"C:\Program Files (x86)\AstroGrep\AstroGrep.exe" /spath="%USERPROFILE%\AppData\Local\Temp\OnboardLogs" /stypes="*4015*201609281*" /stext=" 14:.+((SYSTEM_STATE.+slice.+state.+changed )|(ment ac)|(system.+state.+changed )|(\[timeout)|(PRM\|1\|D)|(kpr)|(kdp)|(\|lc)|(penalty))" /e /r /s</v>
      </c>
      <c r="U53" s="9" t="str">
        <f t="shared" si="10"/>
        <v>4015</v>
      </c>
      <c r="V53" s="38">
        <f t="shared" si="11"/>
        <v>42641.619363425925</v>
      </c>
      <c r="W53" s="52" t="str">
        <f t="shared" si="12"/>
        <v>NW</v>
      </c>
      <c r="X53" s="52" t="str">
        <f t="shared" si="13"/>
        <v>KEEP</v>
      </c>
      <c r="Y53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{"issue":{"subject":"","project_id":79,"tracker_id":40,"status_id":1,"priority_id":2,"assigned_to_id":23,"start_date":"2016-09-28","description":"","custom_fields":[{"id":1,"name":"Subdivision","value":"NW"},{"id":4,"name":"Milepost","value":"1.1"},{"id":17,"name":"Train ID","value":"812-28"},{"id":16,"name":"Locomotive ID","value":"4015"},{"id":130,"name":"Impact","value":""},{"id":150,"name":"Time of Event (Mountain Time)","value":"08:51:53"},{"id":151,"name":"Denver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1" t="str">
        <f t="shared" si="15"/>
        <v>grep -hSE -A100 "Enforcement Action" "%USERPROFILE%\AppData\Local\Temp\OnboardLogs"\RTDC4015\*4015*201609281* | grep -SE "((Enforcement Ac)|(PRM))" -</v>
      </c>
    </row>
    <row r="54" spans="1:29" x14ac:dyDescent="0.25">
      <c r="A54" s="38">
        <v>42641.369884259257</v>
      </c>
      <c r="B54" s="33" t="s">
        <v>274</v>
      </c>
      <c r="C54" s="33" t="s">
        <v>433</v>
      </c>
      <c r="D54" s="33" t="s">
        <v>49</v>
      </c>
      <c r="E54" s="33" t="s">
        <v>597</v>
      </c>
      <c r="F54" s="49">
        <v>100</v>
      </c>
      <c r="G54" s="49">
        <v>151</v>
      </c>
      <c r="H54" s="49">
        <v>12086</v>
      </c>
      <c r="I54" s="49">
        <v>11791</v>
      </c>
      <c r="J54" s="33" t="s">
        <v>167</v>
      </c>
      <c r="K54" s="49">
        <v>11000</v>
      </c>
      <c r="L54" s="146" t="s">
        <v>53</v>
      </c>
      <c r="M54" s="149">
        <f t="shared" si="8"/>
        <v>417.64800000000002</v>
      </c>
      <c r="N54" s="88" t="str">
        <f>VLOOKUP(C54,'Trips&amp;Operators'!$C$1:$E$99999,3,FALSE)</f>
        <v>BEAM</v>
      </c>
      <c r="O54" s="170" t="s">
        <v>86</v>
      </c>
      <c r="P54" s="10"/>
      <c r="Q54" s="33"/>
      <c r="R54" s="104" t="str">
        <f>VLOOKUP(C54,'Train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54" s="107" t="str">
        <f>VLOOKUP(C54,'Train Runs'!$A$13:$AE$10005,22,0)</f>
        <v>https://search-rtdc-monitor-bjffxe2xuh6vdkpspy63sjmuny.us-east-1.es.amazonaws.com/_plugin/kibana/#/discover/Steve-Slow-Train-Analysis-(2080s-and-2083s)?_g=(refreshInterval:(display:Off,section:0,value:0),time:(from:'2016-09-28 07:37:58-0600',mode:absolute,to:'2016-09-28 09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4" s="109" t="str">
        <f t="shared" si="9"/>
        <v>"C:\Program Files (x86)\AstroGrep\AstroGrep.exe" /spath="%USERPROFILE%\AppData\Local\Temp\OnboardLogs" /stypes="*4015*201609281*" /stext=" 14:.+((SYSTEM_STATE.+slice.+state.+changed )|(ment ac)|(system.+state.+changed )|(\[timeout)|(PRM\|1\|D)|(kpr)|(kdp)|(\|lc)|(penalty))" /e /r /s</v>
      </c>
      <c r="U54" s="9" t="str">
        <f t="shared" si="10"/>
        <v>4015</v>
      </c>
      <c r="V54" s="38">
        <f t="shared" si="11"/>
        <v>42641.619884259257</v>
      </c>
      <c r="W54" s="52" t="str">
        <f t="shared" si="12"/>
        <v>NW</v>
      </c>
      <c r="X54" s="52" t="str">
        <f t="shared" si="13"/>
        <v>KEEP</v>
      </c>
      <c r="Y54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{"issue":{"subject":"","project_id":79,"tracker_id":40,"status_id":1,"priority_id":2,"assigned_to_id":23,"start_date":"2016-09-28","description":"","custom_fields":[{"id":1,"name":"Subdivision","value":"NW"},{"id":4,"name":"Milepost","value":"1.1"},{"id":17,"name":"Train ID","value":"812-28"},{"id":16,"name":"Locomotive ID","value":"4015"},{"id":130,"name":"Impact","value":""},{"id":150,"name":"Time of Event (Mountain Time)","value":"08:52:38"},{"id":151,"name":"Denver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1" t="str">
        <f t="shared" si="15"/>
        <v>grep -hSE -A100 "Enforcement Action" "%USERPROFILE%\AppData\Local\Temp\OnboardLogs"\RTDC4015\*4015*201609281* | grep -SE "((Enforcement Ac)|(PRM))" -</v>
      </c>
    </row>
    <row r="55" spans="1:29" x14ac:dyDescent="0.25">
      <c r="A55" s="38">
        <v>42641.289710648147</v>
      </c>
      <c r="B55" s="33" t="s">
        <v>274</v>
      </c>
      <c r="C55" s="33" t="s">
        <v>408</v>
      </c>
      <c r="D55" s="33" t="s">
        <v>49</v>
      </c>
      <c r="E55" s="33" t="s">
        <v>50</v>
      </c>
      <c r="F55" s="49">
        <v>0</v>
      </c>
      <c r="G55" s="49">
        <v>136</v>
      </c>
      <c r="H55" s="49">
        <v>1102</v>
      </c>
      <c r="I55" s="49">
        <v>915</v>
      </c>
      <c r="J55" s="33" t="s">
        <v>51</v>
      </c>
      <c r="K55" s="49">
        <v>575</v>
      </c>
      <c r="L55" s="146" t="s">
        <v>53</v>
      </c>
      <c r="M55" s="149">
        <f t="shared" si="8"/>
        <v>179.52</v>
      </c>
      <c r="N55" s="88" t="str">
        <f>VLOOKUP(C55,'Trips&amp;Operators'!$C$1:$E$99999,3,FALSE)</f>
        <v>BEAM</v>
      </c>
      <c r="O55" s="170" t="s">
        <v>86</v>
      </c>
      <c r="P55" s="10"/>
      <c r="Q55" s="33"/>
      <c r="R55" s="104" t="str">
        <f>VLOOKUP(C55,'Train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55" s="107" t="str">
        <f>VLOOKUP(C55,'Train Runs'!$A$13:$AE$10005,22,0)</f>
        <v>https://search-rtdc-monitor-bjffxe2xuh6vdkpspy63sjmuny.us-east-1.es.amazonaws.com/_plugin/kibana/#/discover/Steve-Slow-Train-Analysis-(2080s-and-2083s)?_g=(refreshInterval:(display:Off,section:0,value:0),time:(from:'2016-09-28 05:42:27-0600',mode:absolute,to:'2016-09-28 07:57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5" s="109" t="str">
        <f t="shared" si="9"/>
        <v>"C:\Program Files (x86)\AstroGrep\AstroGrep.exe" /spath="%USERPROFILE%\AppData\Local\Temp\OnboardLogs" /stypes="*4015*201609281*" /stext=" 12:.+((SYSTEM_STATE.+slice.+state.+changed )|(ment ac)|(system.+state.+changed )|(\[timeout)|(PRM\|1\|D)|(kpr)|(kdp)|(\|lc)|(penalty))" /e /r /s</v>
      </c>
      <c r="U55" s="9" t="str">
        <f t="shared" si="10"/>
        <v>4015</v>
      </c>
      <c r="V55" s="38">
        <f t="shared" si="11"/>
        <v>42641.539710648147</v>
      </c>
      <c r="W55" s="52" t="str">
        <f t="shared" si="12"/>
        <v>NW</v>
      </c>
      <c r="X55" s="52" t="str">
        <f t="shared" si="13"/>
        <v>KEEP</v>
      </c>
      <c r="Y55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{"issue":{"subject":"","project_id":79,"tracker_id":40,"status_id":1,"priority_id":2,"assigned_to_id":23,"start_date":"2016-09-28","description":"","custom_fields":[{"id":1,"name":"Subdivision","value":"NW"},{"id":4,"name":"Milepost","value":"0.0575"},{"id":17,"name":"Train ID","value":"804-28"},{"id":16,"name":"Locomotive ID","value":"4015"},{"id":130,"name":"Impact","value":""},{"id":150,"name":"Time of Event (Mountain Time)","value":"06:57:11"},{"id":151,"name":"Denver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1" t="str">
        <f t="shared" si="15"/>
        <v>grep -hSE -A100 "Enforcement Action" "%USERPROFILE%\AppData\Local\Temp\OnboardLogs"\RTDC4015\*4015*201609281* | grep -SE "((Enforcement Ac)|(PRM))" -</v>
      </c>
    </row>
    <row r="56" spans="1:29" x14ac:dyDescent="0.25">
      <c r="A56" s="38">
        <v>42641.455682870372</v>
      </c>
      <c r="B56" s="33" t="s">
        <v>274</v>
      </c>
      <c r="C56" s="33" t="s">
        <v>456</v>
      </c>
      <c r="D56" s="33" t="s">
        <v>49</v>
      </c>
      <c r="E56" s="33" t="s">
        <v>50</v>
      </c>
      <c r="F56" s="49">
        <v>0</v>
      </c>
      <c r="G56" s="49">
        <v>170</v>
      </c>
      <c r="H56" s="49">
        <v>1410</v>
      </c>
      <c r="I56" s="49">
        <v>1167</v>
      </c>
      <c r="J56" s="33" t="s">
        <v>51</v>
      </c>
      <c r="K56" s="49">
        <v>575</v>
      </c>
      <c r="L56" s="146" t="s">
        <v>53</v>
      </c>
      <c r="M56" s="149">
        <f t="shared" si="8"/>
        <v>312.57600000000002</v>
      </c>
      <c r="N56" s="88" t="str">
        <f>VLOOKUP(C56,'Trips&amp;Operators'!$C$1:$E$99999,3,FALSE)</f>
        <v>BEAM</v>
      </c>
      <c r="O56" s="170" t="s">
        <v>86</v>
      </c>
      <c r="P56" s="10"/>
      <c r="Q56" s="33"/>
      <c r="R56" s="104" t="str">
        <f>VLOOKUP(C56,'Train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56" s="107" t="str">
        <f>VLOOKUP(C56,'Train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09:37:42-0600',mode:absolute,to:'2016-09-28 12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6" s="109" t="str">
        <f t="shared" si="9"/>
        <v>"C:\Program Files (x86)\AstroGrep\AstroGrep.exe" /spath="%USERPROFILE%\AppData\Local\Temp\OnboardLogs" /stypes="*4015*201609281*" /stext=" 16:.+((SYSTEM_STATE.+slice.+state.+changed )|(ment ac)|(system.+state.+changed )|(\[timeout)|(PRM\|1\|D)|(kpr)|(kdp)|(\|lc)|(penalty))" /e /r /s</v>
      </c>
      <c r="U56" s="9" t="str">
        <f t="shared" si="10"/>
        <v>4015</v>
      </c>
      <c r="V56" s="38">
        <f t="shared" si="11"/>
        <v>42641.705682870372</v>
      </c>
      <c r="W56" s="52" t="str">
        <f t="shared" si="12"/>
        <v>NW</v>
      </c>
      <c r="X56" s="52" t="str">
        <f t="shared" si="13"/>
        <v>KEEP</v>
      </c>
      <c r="Y56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{"issue":{"subject":"","project_id":79,"tracker_id":40,"status_id":1,"priority_id":2,"assigned_to_id":23,"start_date":"2016-09-28","description":"","custom_fields":[{"id":1,"name":"Subdivision","value":"NW"},{"id":4,"name":"Milepost","value":"0.0575"},{"id":17,"name":"Train ID","value":"816-28"},{"id":16,"name":"Locomotive ID","value":"4015"},{"id":130,"name":"Impact","value":""},{"id":150,"name":"Time of Event (Mountain Time)","value":"10:56:11"},{"id":151,"name":"Denver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1" t="str">
        <f t="shared" si="15"/>
        <v>grep -hSE -A100 "Enforcement Action" "%USERPROFILE%\AppData\Local\Temp\OnboardLogs"\RTDC4015\*4015*201609281* | grep -SE "((Enforcement Ac)|(PRM))" -</v>
      </c>
    </row>
    <row r="57" spans="1:29" x14ac:dyDescent="0.25">
      <c r="A57" s="38">
        <v>42641.456238425926</v>
      </c>
      <c r="B57" s="33" t="s">
        <v>274</v>
      </c>
      <c r="C57" s="33" t="s">
        <v>456</v>
      </c>
      <c r="D57" s="33" t="s">
        <v>49</v>
      </c>
      <c r="E57" s="33" t="s">
        <v>50</v>
      </c>
      <c r="F57" s="49">
        <v>0</v>
      </c>
      <c r="G57" s="49">
        <v>80</v>
      </c>
      <c r="H57" s="49">
        <v>1041</v>
      </c>
      <c r="I57" s="49">
        <v>958</v>
      </c>
      <c r="J57" s="33" t="s">
        <v>51</v>
      </c>
      <c r="K57" s="49">
        <v>575</v>
      </c>
      <c r="L57" s="146" t="s">
        <v>53</v>
      </c>
      <c r="M57" s="149">
        <f t="shared" si="8"/>
        <v>202.22399999999999</v>
      </c>
      <c r="N57" s="88" t="str">
        <f>VLOOKUP(C57,'Trips&amp;Operators'!$C$1:$E$99999,3,FALSE)</f>
        <v>BEAM</v>
      </c>
      <c r="O57" s="170" t="s">
        <v>86</v>
      </c>
      <c r="P57" s="10"/>
      <c r="Q57" s="33"/>
      <c r="R57" s="104" t="str">
        <f>VLOOKUP(C57,'Train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57" s="107" t="str">
        <f>VLOOKUP(C57,'Train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09:37:42-0600',mode:absolute,to:'2016-09-28 12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7" s="109" t="str">
        <f t="shared" si="9"/>
        <v>"C:\Program Files (x86)\AstroGrep\AstroGrep.exe" /spath="%USERPROFILE%\AppData\Local\Temp\OnboardLogs" /stypes="*4015*201609281*" /stext=" 16:.+((SYSTEM_STATE.+slice.+state.+changed )|(ment ac)|(system.+state.+changed )|(\[timeout)|(PRM\|1\|D)|(kpr)|(kdp)|(\|lc)|(penalty))" /e /r /s</v>
      </c>
      <c r="U57" s="9" t="str">
        <f t="shared" si="10"/>
        <v>4015</v>
      </c>
      <c r="V57" s="38">
        <f t="shared" si="11"/>
        <v>42641.706238425926</v>
      </c>
      <c r="W57" s="52" t="str">
        <f t="shared" si="12"/>
        <v>NW</v>
      </c>
      <c r="X57" s="52" t="str">
        <f t="shared" si="13"/>
        <v>KEEP</v>
      </c>
      <c r="Y57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{"issue":{"subject":"","project_id":79,"tracker_id":40,"status_id":1,"priority_id":2,"assigned_to_id":23,"start_date":"2016-09-28","description":"","custom_fields":[{"id":1,"name":"Subdivision","value":"NW"},{"id":4,"name":"Milepost","value":"0.0575"},{"id":17,"name":"Train ID","value":"816-28"},{"id":16,"name":"Locomotive ID","value":"4015"},{"id":130,"name":"Impact","value":""},{"id":150,"name":"Time of Event (Mountain Time)","value":"10:56:59"},{"id":151,"name":"Denver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1" t="str">
        <f t="shared" si="15"/>
        <v>grep -hSE -A100 "Enforcement Action" "%USERPROFILE%\AppData\Local\Temp\OnboardLogs"\RTDC4015\*4015*201609281* | grep -SE "((Enforcement Ac)|(PRM))" -</v>
      </c>
    </row>
    <row r="58" spans="1:29" x14ac:dyDescent="0.25">
      <c r="A58" s="38">
        <v>42641.664398148147</v>
      </c>
      <c r="B58" s="33" t="s">
        <v>274</v>
      </c>
      <c r="C58" s="33" t="s">
        <v>512</v>
      </c>
      <c r="D58" s="33" t="s">
        <v>49</v>
      </c>
      <c r="E58" s="33" t="s">
        <v>50</v>
      </c>
      <c r="F58" s="49">
        <v>0</v>
      </c>
      <c r="G58" s="49">
        <v>19</v>
      </c>
      <c r="H58" s="49">
        <v>619</v>
      </c>
      <c r="I58" s="49">
        <v>610</v>
      </c>
      <c r="J58" s="33" t="s">
        <v>51</v>
      </c>
      <c r="K58" s="49">
        <v>575</v>
      </c>
      <c r="L58" s="146" t="s">
        <v>53</v>
      </c>
      <c r="M58" s="149">
        <f t="shared" si="8"/>
        <v>18.48</v>
      </c>
      <c r="N58" s="88" t="str">
        <f>VLOOKUP(C58,'Trips&amp;Operators'!$C$1:$E$99999,3,FALSE)</f>
        <v>MOSES</v>
      </c>
      <c r="O58" s="170" t="s">
        <v>86</v>
      </c>
      <c r="P58" s="10"/>
      <c r="Q58" s="33"/>
      <c r="R58" s="104" t="str">
        <f>VLOOKUP(C58,'Train Runs'!$A$13:$AE$10005,31,0)</f>
        <v>aws s3 cp s3://rtdc.mdm.uploadarchive.raw/RTDC4015/ "%USERPROFILE%\AppData\Local\Temp\OnboardLogs"\RTDC4015\2016-09-28 --exclude "*" --recursive --include "*20160928*" &amp; "%USERPROFILE%\Documents\GitHub\mrs-test-scripts\Headless Mode &amp; Sideloading\WalkAndUnGZ.bat" "%USERPROFILE%\AppData\Local\Temp\OnboardLogs"\RTDC4015\2016-09-28 &amp; aws s3 cp s3://rtdc.mdm.uploadarchive.raw/RTDC4015/ "%USERPROFILE%\AppData\Local\Temp\OnboardLogs"\RTDC4015\2016-09-29 --exclude "*" --recursive --include "*20160929*" &amp; "%USERPROFILE%\Documents\GitHub\mrs-test-scripts\Headless Mode &amp; Sideloading\WalkAndUnGZ.bat" "%USERPROFILE%\AppData\Local\Temp\OnboardLogs"\RTDC4015\2016-09-29</v>
      </c>
      <c r="S58" s="107" t="str">
        <f>VLOOKUP(C58,'Train Runs'!$A$13:$AE$10005,22,0)</f>
        <v>https://search-rtdc-monitor-bjffxe2xuh6vdkpspy63sjmuny.us-east-1.es.amazonaws.com/_plugin/kibana/#/discover/Steve-Slow-Train-Analysis-(2080s-and-2083s)?_g=(refreshInterval:(display:Off,section:0,value:0),time:(from:'2016-09-28 14:38:46-0600',mode:absolute,to:'2016-09-28 16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8" s="109" t="str">
        <f t="shared" si="9"/>
        <v>"C:\Program Files (x86)\AstroGrep\AstroGrep.exe" /spath="%USERPROFILE%\AppData\Local\Temp\OnboardLogs" /stypes="*4015*201609282*" /stext=" 21:.+((SYSTEM_STATE.+slice.+state.+changed )|(ment ac)|(system.+state.+changed )|(\[timeout)|(PRM\|1\|D)|(kpr)|(kdp)|(\|lc)|(penalty))" /e /r /s</v>
      </c>
      <c r="U58" s="9" t="str">
        <f t="shared" si="10"/>
        <v>4015</v>
      </c>
      <c r="V58" s="38">
        <f t="shared" si="11"/>
        <v>42641.914398148147</v>
      </c>
      <c r="W58" s="52" t="str">
        <f t="shared" si="12"/>
        <v>NW</v>
      </c>
      <c r="X58" s="52" t="str">
        <f t="shared" si="13"/>
        <v>KEEP</v>
      </c>
      <c r="Y58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{"issue":{"subject":"","project_id":79,"tracker_id":40,"status_id":1,"priority_id":2,"assigned_to_id":23,"start_date":"2016-09-28","description":"","custom_fields":[{"id":1,"name":"Subdivision","value":"NW"},{"id":4,"name":"Milepost","value":"0.0575"},{"id":17,"name":"Train ID","value":"826-28"},{"id":16,"name":"Locomotive ID","value":"4015"},{"id":130,"name":"Impact","value":""},{"id":150,"name":"Time of Event (Mountain Time)","value":"15:56:44"},{"id":151,"name":"Denver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1" t="str">
        <f t="shared" si="15"/>
        <v>grep -hSE -A100 "Enforcement Action" "%USERPROFILE%\AppData\Local\Temp\OnboardLogs"\RTDC4015\*4015*201609282* | grep -SE "((Enforcement Ac)|(PRM))" -</v>
      </c>
    </row>
    <row r="59" spans="1:29" x14ac:dyDescent="0.25">
      <c r="A59" s="38">
        <v>42641.294942129629</v>
      </c>
      <c r="B59" s="33" t="s">
        <v>263</v>
      </c>
      <c r="C59" s="33" t="s">
        <v>398</v>
      </c>
      <c r="D59" s="33" t="s">
        <v>49</v>
      </c>
      <c r="E59" s="33" t="s">
        <v>50</v>
      </c>
      <c r="F59" s="49">
        <v>0</v>
      </c>
      <c r="G59" s="49">
        <v>53</v>
      </c>
      <c r="H59" s="49">
        <v>58815</v>
      </c>
      <c r="I59" s="49">
        <v>58860</v>
      </c>
      <c r="J59" s="33" t="s">
        <v>51</v>
      </c>
      <c r="K59" s="49">
        <v>59048</v>
      </c>
      <c r="L59" s="146" t="s">
        <v>52</v>
      </c>
      <c r="M59" s="149">
        <f t="shared" si="8"/>
        <v>99.263999999999996</v>
      </c>
      <c r="N59" s="88" t="str">
        <f>VLOOKUP(C59,'Trips&amp;Operators'!$C$1:$E$99999,3,FALSE)</f>
        <v>STARKS</v>
      </c>
      <c r="O59" s="170" t="s">
        <v>86</v>
      </c>
      <c r="P59" s="10"/>
      <c r="Q59" s="33"/>
      <c r="R59" s="104" t="str">
        <f>VLOOKUP(C59,'Train Runs'!$A$13:$AE$10005,31,0)</f>
        <v>aws s3 cp s3://rtdc.mdm.uploadarchive.raw/RTDC4029/ "%USERPROFILE%\AppData\Local\Temp\OnboardLogs"\RTDC4029\2016-09-28 --exclude "*" --recursive --include "*20160928*" &amp; "%USERPROFILE%\Documents\GitHub\mrs-test-scripts\Headless Mode &amp; Sideloading\WalkAndUnGZ.bat" "%USERPROFILE%\AppData\Local\Temp\OnboardLogs"\RTDC4029\2016-09-28 &amp; 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</v>
      </c>
      <c r="S59" s="107" t="str">
        <f>VLOOKUP(C59,'Train Runs'!$A$13:$AE$10005,22,0)</f>
        <v>https://search-rtdc-monitor-bjffxe2xuh6vdkpspy63sjmuny.us-east-1.es.amazonaws.com/_plugin/kibana/#/discover/Steve-Slow-Train-Analysis-(2080s-and-2083s)?_g=(refreshInterval:(display:Off,section:0,value:0),time:(from:'2016-09-28 04:47:40-0600',mode:absolute,to:'2016-09-28 07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9" s="109" t="str">
        <f t="shared" si="9"/>
        <v>"C:\Program Files (x86)\AstroGrep\AstroGrep.exe" /spath="%USERPROFILE%\AppData\Local\Temp\OnboardLogs" /stypes="*4029*201609281*" /stext=" 13:.+((SYSTEM_STATE.+slice.+state.+changed )|(ment ac)|(system.+state.+changed )|(\[timeout)|(PRM\|1\|D)|(kpr)|(kdp)|(\|lc)|(penalty))" /e /r /s</v>
      </c>
      <c r="U59" s="9" t="str">
        <f t="shared" si="10"/>
        <v>4029</v>
      </c>
      <c r="V59" s="38">
        <f t="shared" si="11"/>
        <v>42641.544942129629</v>
      </c>
      <c r="W59" s="52" t="str">
        <f t="shared" si="12"/>
        <v>NW</v>
      </c>
      <c r="X59" s="52" t="str">
        <f t="shared" si="13"/>
        <v>KEEP</v>
      </c>
      <c r="Y59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{"issue":{"subject":"","project_id":79,"tracker_id":40,"status_id":1,"priority_id":2,"assigned_to_id":23,"start_date":"2016-09-28","description":"","custom_fields":[{"id":1,"name":"Subdivision","value":"NW"},{"id":4,"name":"Milepost","value":"5.9048"},{"id":17,"name":"Train ID","value":"805-28"},{"id":16,"name":"Locomotive ID","value":"4029"},{"id":130,"name":"Impact","value":""},{"id":150,"name":"Time of Event (Mountain Time)","value":"07:04:43"},{"id":151,"name":"Denver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1" t="str">
        <f t="shared" si="15"/>
        <v>grep -hSE -A100 "Enforcement Action" "%USERPROFILE%\AppData\Local\Temp\OnboardLogs"\RTDC4029\*4029*201609281* | grep -SE "((Enforcement Ac)|(PRM))" -</v>
      </c>
    </row>
    <row r="60" spans="1:29" x14ac:dyDescent="0.25">
      <c r="A60" s="38">
        <v>42641.608229166668</v>
      </c>
      <c r="B60" s="33" t="s">
        <v>260</v>
      </c>
      <c r="C60" s="33" t="s">
        <v>497</v>
      </c>
      <c r="D60" s="33" t="s">
        <v>49</v>
      </c>
      <c r="E60" s="33" t="s">
        <v>50</v>
      </c>
      <c r="F60" s="49">
        <v>0</v>
      </c>
      <c r="G60" s="49">
        <v>45</v>
      </c>
      <c r="H60" s="49">
        <v>58969</v>
      </c>
      <c r="I60" s="49">
        <v>59010</v>
      </c>
      <c r="J60" s="33" t="s">
        <v>51</v>
      </c>
      <c r="K60" s="49">
        <v>59048</v>
      </c>
      <c r="L60" s="146" t="s">
        <v>52</v>
      </c>
      <c r="M60" s="149">
        <f t="shared" si="8"/>
        <v>20.064</v>
      </c>
      <c r="N60" s="88" t="str">
        <f>VLOOKUP(C60,'Trips&amp;Operators'!$C$1:$E$99999,3,FALSE)</f>
        <v>MOSES</v>
      </c>
      <c r="O60" s="170" t="s">
        <v>86</v>
      </c>
      <c r="P60" s="10"/>
      <c r="Q60" s="33"/>
      <c r="R60" s="104" t="str">
        <f>VLOOKUP(C60,'Train Runs'!$A$13:$AE$10005,31,0)</f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S60" s="107" t="str">
        <f>VLOOKUP(C60,'Train Runs'!$A$13:$AE$10005,22,0)</f>
        <v>https://search-rtdc-monitor-bjffxe2xuh6vdkpspy63sjmuny.us-east-1.es.amazonaws.com/_plugin/kibana/#/discover/Steve-Slow-Train-Analysis-(2080s-and-2083s)?_g=(refreshInterval:(display:Off,section:0,value:0),time:(from:'2016-09-28 13:17:09-0600',mode:absolute,to:'2016-09-28 15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60" s="109" t="str">
        <f t="shared" si="9"/>
        <v>"C:\Program Files (x86)\AstroGrep\AstroGrep.exe" /spath="%USERPROFILE%\AppData\Local\Temp\OnboardLogs" /stypes="*4016*201609282*" /stext=" 20:.+((SYSTEM_STATE.+slice.+state.+changed )|(ment ac)|(system.+state.+changed )|(\[timeout)|(PRM\|1\|D)|(kpr)|(kdp)|(\|lc)|(penalty))" /e /r /s</v>
      </c>
      <c r="U60" s="9" t="str">
        <f t="shared" si="10"/>
        <v>4016</v>
      </c>
      <c r="V60" s="38">
        <f t="shared" si="11"/>
        <v>42641.858229166668</v>
      </c>
      <c r="W60" s="52" t="str">
        <f t="shared" si="12"/>
        <v>NW</v>
      </c>
      <c r="X60" s="52" t="str">
        <f t="shared" si="13"/>
        <v>KEEP</v>
      </c>
      <c r="Y60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{"issue":{"subject":"","project_id":79,"tracker_id":40,"status_id":1,"priority_id":2,"assigned_to_id":23,"start_date":"2016-09-28","description":"","custom_fields":[{"id":1,"name":"Subdivision","value":"NW"},{"id":4,"name":"Milepost","value":"5.9048"},{"id":17,"name":"Train ID","value":"823-28"},{"id":16,"name":"Locomotive ID","value":"4016"},{"id":130,"name":"Impact","value":""},{"id":150,"name":"Time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1" t="str">
        <f t="shared" si="15"/>
        <v>grep -hSE -A100 "Enforcement Action" "%USERPROFILE%\AppData\Local\Temp\OnboardLogs"\RTDC4016\*4016*201609282* | grep -SE "((Enforcement Ac)|(PRM))" -</v>
      </c>
    </row>
    <row r="61" spans="1:29" x14ac:dyDescent="0.25">
      <c r="A61" s="38">
        <v>42641.692708333336</v>
      </c>
      <c r="B61" s="33" t="s">
        <v>260</v>
      </c>
      <c r="C61" s="33" t="s">
        <v>519</v>
      </c>
      <c r="D61" s="33" t="s">
        <v>49</v>
      </c>
      <c r="E61" s="33" t="s">
        <v>50</v>
      </c>
      <c r="F61" s="49">
        <v>0</v>
      </c>
      <c r="G61" s="49">
        <v>73</v>
      </c>
      <c r="H61" s="49">
        <v>58811</v>
      </c>
      <c r="I61" s="49">
        <v>58865</v>
      </c>
      <c r="J61" s="33" t="s">
        <v>51</v>
      </c>
      <c r="K61" s="49">
        <v>59048</v>
      </c>
      <c r="L61" s="146" t="s">
        <v>52</v>
      </c>
      <c r="M61" s="149">
        <f t="shared" si="8"/>
        <v>96.623999999999995</v>
      </c>
      <c r="N61" s="88" t="str">
        <f>VLOOKUP(C61,'Trips&amp;Operators'!$C$1:$E$99999,3,FALSE)</f>
        <v>MOSES</v>
      </c>
      <c r="O61" s="170" t="s">
        <v>86</v>
      </c>
      <c r="P61" s="10"/>
      <c r="Q61" s="33"/>
      <c r="R61" s="104" t="str">
        <f>VLOOKUP(C61,'Train Runs'!$A$13:$AE$10005,31,0)</f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S61" s="107" t="str">
        <f>VLOOKUP(C61,'Train Runs'!$A$13:$AE$10005,22,0)</f>
        <v>https://search-rtdc-monitor-bjffxe2xuh6vdkpspy63sjmuny.us-east-1.es.amazonaws.com/_plugin/kibana/#/discover/Steve-Slow-Train-Analysis-(2080s-and-2083s)?_g=(refreshInterval:(display:Off,section:0,value:0),time:(from:'2016-09-28 15:15:55-0600',mode:absolute,to:'2016-09-28 17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61" s="109" t="str">
        <f t="shared" si="9"/>
        <v>"C:\Program Files (x86)\AstroGrep\AstroGrep.exe" /spath="%USERPROFILE%\AppData\Local\Temp\OnboardLogs" /stypes="*4016*201609282*" /stext=" 22:.+((SYSTEM_STATE.+slice.+state.+changed )|(ment ac)|(system.+state.+changed )|(\[timeout)|(PRM\|1\|D)|(kpr)|(kdp)|(\|lc)|(penalty))" /e /r /s</v>
      </c>
      <c r="U61" s="9" t="str">
        <f t="shared" si="10"/>
        <v>4016</v>
      </c>
      <c r="V61" s="38">
        <f t="shared" si="11"/>
        <v>42641.942708333336</v>
      </c>
      <c r="W61" s="52" t="str">
        <f t="shared" si="12"/>
        <v>NW</v>
      </c>
      <c r="X61" s="52" t="str">
        <f t="shared" si="13"/>
        <v>KEEP</v>
      </c>
      <c r="Y61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{"issue":{"subject":"","project_id":79,"tracker_id":40,"status_id":1,"priority_id":2,"assigned_to_id":23,"start_date":"2016-09-28","description":"","custom_fields":[{"id":1,"name":"Subdivision","value":"NW"},{"id":4,"name":"Milepost","value":"5.9048"},{"id":17,"name":"Train ID","value":"829-28"},{"id":16,"name":"Locomotive ID","value":"4016"},{"id":130,"name":"Impact","value":""},{"id":150,"name":"Time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1" t="str">
        <f t="shared" si="15"/>
        <v>grep -hSE -A100 "Enforcement Action" "%USERPROFILE%\AppData\Local\Temp\OnboardLogs"\RTDC4016\*4016*201609282* | grep -SE "((Enforcement Ac)|(PRM))" -</v>
      </c>
    </row>
    <row r="62" spans="1:29" x14ac:dyDescent="0.25">
      <c r="A62" s="38">
        <v>42641.732974537037</v>
      </c>
      <c r="B62" s="33" t="s">
        <v>260</v>
      </c>
      <c r="C62" s="33" t="s">
        <v>534</v>
      </c>
      <c r="D62" s="33" t="s">
        <v>49</v>
      </c>
      <c r="E62" s="33" t="s">
        <v>50</v>
      </c>
      <c r="F62" s="49">
        <v>0</v>
      </c>
      <c r="G62" s="49">
        <v>31</v>
      </c>
      <c r="H62" s="49">
        <v>58984</v>
      </c>
      <c r="I62" s="49">
        <v>59003</v>
      </c>
      <c r="J62" s="33" t="s">
        <v>51</v>
      </c>
      <c r="K62" s="49">
        <v>59048</v>
      </c>
      <c r="L62" s="146" t="s">
        <v>52</v>
      </c>
      <c r="M62" s="149">
        <f t="shared" si="8"/>
        <v>23.76</v>
      </c>
      <c r="N62" s="88" t="str">
        <f>VLOOKUP(C62,'Trips&amp;Operators'!$C$1:$E$99999,3,FALSE)</f>
        <v>MOSES</v>
      </c>
      <c r="O62" s="170" t="s">
        <v>86</v>
      </c>
      <c r="P62" s="10"/>
      <c r="Q62" s="33"/>
      <c r="R62" s="104" t="str">
        <f>VLOOKUP(C62,'Train Runs'!$A$13:$AE$10005,31,0)</f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S62" s="107" t="str">
        <f>VLOOKUP(C62,'Train Runs'!$A$13:$AE$10005,22,0)</f>
        <v>https://search-rtdc-monitor-bjffxe2xuh6vdkpspy63sjmuny.us-east-1.es.amazonaws.com/_plugin/kibana/#/discover/Steve-Slow-Train-Analysis-(2080s-and-2083s)?_g=(refreshInterval:(display:Off,section:0,value:0),time:(from:'2016-09-28 16:16:02-0600',mode:absolute,to:'2016-09-28 18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62" s="109" t="str">
        <f t="shared" si="9"/>
        <v>"C:\Program Files (x86)\AstroGrep\AstroGrep.exe" /spath="%USERPROFILE%\AppData\Local\Temp\OnboardLogs" /stypes="*4016*201609282*" /stext=" 23:.+((SYSTEM_STATE.+slice.+state.+changed )|(ment ac)|(system.+state.+changed )|(\[timeout)|(PRM\|1\|D)|(kpr)|(kdp)|(\|lc)|(penalty))" /e /r /s</v>
      </c>
      <c r="U62" s="9" t="str">
        <f t="shared" si="10"/>
        <v>4016</v>
      </c>
      <c r="V62" s="38">
        <f t="shared" si="11"/>
        <v>42641.982974537037</v>
      </c>
      <c r="W62" s="52" t="str">
        <f t="shared" si="12"/>
        <v>NW</v>
      </c>
      <c r="X62" s="52" t="str">
        <f t="shared" si="13"/>
        <v>KEEP</v>
      </c>
      <c r="Y62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{"issue":{"subject":"","project_id":79,"tracker_id":40,"status_id":1,"priority_id":2,"assigned_to_id":23,"start_date":"2016-09-28","description":"","custom_fields":[{"id":1,"name":"Subdivision","value":"NW"},{"id":4,"name":"Milepost","value":"5.9048"},{"id":17,"name":"Train ID","value":"833-28"},{"id":16,"name":"Locomotive ID","value":"4016"},{"id":130,"name":"Impact","value":""},{"id":150,"name":"Time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1" t="str">
        <f t="shared" si="15"/>
        <v>grep -hSE -A100 "Enforcement Action" "%USERPROFILE%\AppData\Local\Temp\OnboardLogs"\RTDC4016\*4016*201609282* | grep -SE "((Enforcement Ac)|(PRM))" -</v>
      </c>
    </row>
    <row r="63" spans="1:29" x14ac:dyDescent="0.25">
      <c r="A63" s="38">
        <v>42641.858194444445</v>
      </c>
      <c r="B63" s="33" t="s">
        <v>260</v>
      </c>
      <c r="C63" s="33" t="s">
        <v>567</v>
      </c>
      <c r="D63" s="33" t="s">
        <v>49</v>
      </c>
      <c r="E63" s="33" t="s">
        <v>50</v>
      </c>
      <c r="F63" s="49">
        <v>0</v>
      </c>
      <c r="G63" s="49">
        <v>57</v>
      </c>
      <c r="H63" s="49">
        <v>58901</v>
      </c>
      <c r="I63" s="49">
        <v>58952</v>
      </c>
      <c r="J63" s="33" t="s">
        <v>51</v>
      </c>
      <c r="K63" s="49">
        <v>59048</v>
      </c>
      <c r="L63" s="146" t="s">
        <v>52</v>
      </c>
      <c r="M63" s="149">
        <f t="shared" si="8"/>
        <v>50.688000000000002</v>
      </c>
      <c r="N63" s="88" t="str">
        <f>VLOOKUP(C63,'Trips&amp;Operators'!$C$1:$E$99999,3,FALSE)</f>
        <v>MOSES</v>
      </c>
      <c r="O63" s="170" t="s">
        <v>86</v>
      </c>
      <c r="P63" s="10"/>
      <c r="Q63" s="33"/>
      <c r="R63" s="104" t="str">
        <f>VLOOKUP(C63,'Train Runs'!$A$13:$AE$10005,31,0)</f>
        <v>aws s3 cp s3://rtdc.mdm.uploadarchive.raw/RTDC4016/ "%USERPROFILE%\AppData\Local\Temp\OnboardLogs"\RTDC4016\2016-09-28 --exclude "*" --recursive --include "*20160928*" &amp; "%USERPROFILE%\Documents\GitHub\mrs-test-scripts\Headless Mode &amp; Sideloading\WalkAndUnGZ.bat" "%USERPROFILE%\AppData\Local\Temp\OnboardLogs"\RTDC4016\2016-09-28 &amp; aws s3 cp s3://rtdc.mdm.uploadarchive.raw/RTDC4016/ "%USERPROFILE%\AppData\Local\Temp\OnboardLogs"\RTDC4016\2016-09-29 --exclude "*" --recursive --include "*20160929*" &amp; "%USERPROFILE%\Documents\GitHub\mrs-test-scripts\Headless Mode &amp; Sideloading\WalkAndUnGZ.bat" "%USERPROFILE%\AppData\Local\Temp\OnboardLogs"\RTDC4016\2016-09-29</v>
      </c>
      <c r="S63" s="107" t="str">
        <f>VLOOKUP(C63,'Train Runs'!$A$13:$AE$10005,22,0)</f>
        <v>https://search-rtdc-monitor-bjffxe2xuh6vdkpspy63sjmuny.us-east-1.es.amazonaws.com/_plugin/kibana/#/discover/Steve-Slow-Train-Analysis-(2080s-and-2083s)?_g=(refreshInterval:(display:Off,section:0,value:0),time:(from:'2016-09-28 19:14:15-0600',mode:absolute,to:'2016-09-28 21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63" s="109" t="str">
        <f t="shared" si="9"/>
        <v>"C:\Program Files (x86)\AstroGrep\AstroGrep.exe" /spath="%USERPROFILE%\AppData\Local\Temp\OnboardLogs" /stypes="*4016*201609290*" /stext=" 02:.+((SYSTEM_STATE.+slice.+state.+changed )|(ment ac)|(system.+state.+changed )|(\[timeout)|(PRM\|1\|D)|(kpr)|(kdp)|(\|lc)|(penalty))" /e /r /s</v>
      </c>
      <c r="U63" s="9" t="str">
        <f t="shared" si="10"/>
        <v>4016</v>
      </c>
      <c r="V63" s="38">
        <f t="shared" si="11"/>
        <v>42642.108194444445</v>
      </c>
      <c r="W63" s="52" t="str">
        <f t="shared" si="12"/>
        <v>NW</v>
      </c>
      <c r="X63" s="52" t="str">
        <f t="shared" si="13"/>
        <v>KEEP</v>
      </c>
      <c r="Y63" s="130" t="str">
        <f t="shared" si="14"/>
        <v>echo {"issue":{"subject":"","project_id":79,"tracker_id":40,"status_id":1,"priority_id":2,"assigned_to_id":23,"start_date":"2016-09-28","description":"","custom_fields":[{"id":1,"name":"Subdivision","value":"NW"},{"id":4,"name":"Milepost","value":"5.9048"},{"id":17,"name":"Train ID","value":"843-28"},{"id":16,"name":"Locomotive ID","value":"4016"},{"id":130,"name":"Impact","value":""},{"id":150,"name":"Time of Event (Mountain Time)","value":"20:35:48"},{"id":151,"name":"Denver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1" t="str">
        <f t="shared" si="15"/>
        <v>grep -hSE -A100 "Enforcement Action" "%USERPROFILE%\AppData\Local\Temp\OnboardLogs"\RTDC4016\*4016*201609290* | grep -SE "((Enforcement Ac)|(PRM))" -</v>
      </c>
    </row>
    <row r="64" spans="1:29" x14ac:dyDescent="0.25">
      <c r="A64" s="38">
        <v>42641.43986111111</v>
      </c>
      <c r="B64" s="33" t="s">
        <v>326</v>
      </c>
      <c r="C64" s="33" t="s">
        <v>453</v>
      </c>
      <c r="D64" s="33" t="s">
        <v>49</v>
      </c>
      <c r="E64" s="33" t="s">
        <v>54</v>
      </c>
      <c r="F64" s="49">
        <v>0</v>
      </c>
      <c r="G64" s="49">
        <v>76</v>
      </c>
      <c r="H64" s="49">
        <v>19367</v>
      </c>
      <c r="I64" s="49">
        <v>19320</v>
      </c>
      <c r="J64" s="33" t="s">
        <v>55</v>
      </c>
      <c r="K64" s="49">
        <v>19000</v>
      </c>
      <c r="L64" s="146" t="s">
        <v>53</v>
      </c>
      <c r="M64" s="149">
        <f t="shared" si="8"/>
        <v>168.96</v>
      </c>
      <c r="N64" s="88" t="str">
        <f>VLOOKUP(C64,'Trips&amp;Operators'!$C$1:$E$99999,3,FALSE)</f>
        <v>BONDS</v>
      </c>
      <c r="O64" s="170" t="s">
        <v>86</v>
      </c>
      <c r="P64" s="10"/>
      <c r="Q64" s="33"/>
      <c r="R64" s="104" t="str">
        <f>VLOOKUP(C64,'Train Runs'!$A$13:$AE$10005,31,0)</f>
        <v>aws s3 cp s3://rtdc.mdm.uploadarchive.raw/RTDC4005/ "%USERPROFILE%\AppData\Local\Temp\OnboardLogs"\RTDC4005\2016-09-28 --exclude "*" --recursive --include "*20160928*" &amp; "%USERPROFILE%\Documents\GitHub\mrs-test-scripts\Headless Mode &amp; Sideloading\WalkAndUnGZ.bat" "%USERPROFILE%\AppData\Local\Temp\OnboardLogs"\RTDC4005\2016-09-28 &amp; 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</v>
      </c>
      <c r="S64" s="107" t="str">
        <f>VLOOKUP(C64,'Train Runs'!$A$13:$AE$10005,22,0)</f>
        <v>https://search-rtdc-monitor-bjffxe2xuh6vdkpspy63sjmuny.us-east-1.es.amazonaws.com/_plugin/kibana/#/discover/Steve-Slow-Train-Analysis-(2080s-and-2083s)?_g=(refreshInterval:(display:Off,section:0,value:0),time:(from:'2016-09-28 09:26:16-0600',mode:absolute,to:'2016-09-28 11:33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64" s="109" t="str">
        <f t="shared" si="9"/>
        <v>"C:\Program Files (x86)\AstroGrep\AstroGrep.exe" /spath="%USERPROFILE%\AppData\Local\Temp\OnboardLogs" /stypes="*4005*201609281*" /stext=" 16:.+((SYSTEM_STATE.+slice.+state.+changed )|(ment ac)|(system.+state.+changed )|(\[timeout)|(PRM\|1\|D)|(kpr)|(kdp)|(\|lc)|(penalty))" /e /r /s</v>
      </c>
      <c r="U64" s="9" t="str">
        <f t="shared" si="10"/>
        <v>4005</v>
      </c>
      <c r="V64" s="38">
        <f t="shared" si="11"/>
        <v>42641.68986111111</v>
      </c>
      <c r="W64" s="52" t="str">
        <f t="shared" si="12"/>
        <v>Other</v>
      </c>
      <c r="X64" s="52" t="str">
        <f t="shared" si="13"/>
        <v>KEEP</v>
      </c>
      <c r="Y64" s="130" t="str">
        <f t="shared" si="14"/>
        <v>echo {"issue":{"subject":"","project_id":79,"tracker_id":40,"status_id":1,"priority_id":2,"assigned_to_id":23,"start_date":"2016-09-28","description":"","custom_fields":[{"id":1,"name":"Subdivision","value":"Other"},{"id":4,"name":"Milepost","value":"1.9"},{"id":17,"name":"Train ID","value":"52-28"},{"id":16,"name":"Locomotive ID","value":"4005"},{"id":130,"name":"Impact","value":""},{"id":150,"name":"Time of Event (Mountain Time)","value":"10:33:24"},{"id":151,"name":"Denver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1" t="str">
        <f t="shared" si="15"/>
        <v>grep -hSE -A100 "Enforcement Action" "%USERPROFILE%\AppData\Local\Temp\OnboardLogs"\RTDC4005\*4005*201609281* | grep -SE "((Enforcement Ac)|(PRM))" -</v>
      </c>
    </row>
    <row r="65" spans="1:29" x14ac:dyDescent="0.25">
      <c r="A65" s="38">
        <v>42641.545995370368</v>
      </c>
      <c r="B65" s="33" t="s">
        <v>324</v>
      </c>
      <c r="C65" s="33" t="s">
        <v>482</v>
      </c>
      <c r="D65" s="33" t="s">
        <v>49</v>
      </c>
      <c r="E65" s="33" t="s">
        <v>50</v>
      </c>
      <c r="F65" s="49">
        <v>0</v>
      </c>
      <c r="G65" s="49">
        <v>39</v>
      </c>
      <c r="H65" s="49">
        <v>100</v>
      </c>
      <c r="I65" s="49">
        <v>66</v>
      </c>
      <c r="J65" s="33" t="s">
        <v>51</v>
      </c>
      <c r="K65" s="49">
        <v>1</v>
      </c>
      <c r="L65" s="146" t="s">
        <v>53</v>
      </c>
      <c r="M65" s="149">
        <f t="shared" si="8"/>
        <v>34.32</v>
      </c>
      <c r="N65" s="88" t="str">
        <f>VLOOKUP(C65,'Trips&amp;Operators'!$C$1:$E$99999,3,FALSE)</f>
        <v>MOSES</v>
      </c>
      <c r="O65" s="170" t="s">
        <v>86</v>
      </c>
      <c r="P65" s="10"/>
      <c r="Q65" s="33"/>
      <c r="R65" s="104" t="str">
        <f>VLOOKUP(C65,'Train Runs'!$A$13:$AE$10005,31,0)</f>
        <v>aws s3 cp s3://rtdc.mdm.uploadarchive.raw/RTDC4021/ "%USERPROFILE%\AppData\Local\Temp\OnboardLogs"\RTDC4021\2016-09-28 --exclude "*" --recursive --include "*20160928*" &amp; "%USERPROFILE%\Documents\GitHub\mrs-test-scripts\Headless Mode &amp; Sideloading\WalkAndUnGZ.bat" "%USERPROFILE%\AppData\Local\Temp\OnboardLogs"\RTDC4021\2016-09-28 &amp; aws s3 cp s3://rtdc.mdm.uploadarchive.raw/RTDC4021/ "%USERPROFILE%\AppData\Local\Temp\OnboardLogs"\RTDC4021\2016-09-29 --exclude "*" --recursive --include "*20160929*" &amp; "%USERPROFILE%\Documents\GitHub\mrs-test-scripts\Headless Mode &amp; Sideloading\WalkAndUnGZ.bat" "%USERPROFILE%\AppData\Local\Temp\OnboardLogs"\RTDC4021\2016-09-29</v>
      </c>
      <c r="S65" s="107" t="str">
        <f>VLOOKUP(C65,'Train Runs'!$A$13:$AE$10005,22,0)</f>
        <v>https://search-rtdc-monitor-bjffxe2xuh6vdkpspy63sjmuny.us-east-1.es.amazonaws.com/_plugin/kibana/#/discover/Steve-Slow-Train-Analysis-(2080s-and-2083s)?_g=(refreshInterval:(display:Off,section:0,value:0),time:(from:'2016-09-28 11:54:03-0600',mode:absolute,to:'2016-09-28 14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65" s="109" t="str">
        <f t="shared" si="9"/>
        <v>"C:\Program Files (x86)\AstroGrep\AstroGrep.exe" /spath="%USERPROFILE%\AppData\Local\Temp\OnboardLogs" /stypes="*4021*201609281*" /stext=" 19:.+((SYSTEM_STATE.+slice.+state.+changed )|(ment ac)|(system.+state.+changed )|(\[timeout)|(PRM\|1\|D)|(kpr)|(kdp)|(\|lc)|(penalty))" /e /r /s</v>
      </c>
      <c r="U65" s="9" t="str">
        <f t="shared" si="10"/>
        <v>4021</v>
      </c>
      <c r="V65" s="38">
        <f t="shared" si="11"/>
        <v>42641.795995370368</v>
      </c>
      <c r="W65" s="52" t="str">
        <f t="shared" si="12"/>
        <v>Other</v>
      </c>
      <c r="X65" s="52" t="str">
        <f t="shared" si="13"/>
        <v>KEEP</v>
      </c>
      <c r="Y65" s="130" t="str">
        <f t="shared" si="14"/>
        <v>echo {"issue":{"subject":"","project_id":79,"tracker_id":40,"status_id":1,"priority_id":2,"assigned_to_id":23,"start_date":"2016-09-28","description":"","custom_fields":[{"id":1,"name":"Subdivision","value":"Other"},{"id":4,"name":"Milepost","value":"0.0001"},{"id":17,"name":"Train ID","value":"56-28"},{"id":16,"name":"Locomotive ID","value":"4021"},{"id":130,"name":"Impact","value":""},{"id":150,"name":"Time of Event (Mountain Time)","value":"13:06:14"},{"id":151,"name":"Denver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5"/>
      <c r="AA65" s="55"/>
      <c r="AB65" s="23"/>
      <c r="AC65" s="171" t="str">
        <f t="shared" si="15"/>
        <v>grep -hSE -A100 "Enforcement Action" "%USERPROFILE%\AppData\Local\Temp\OnboardLogs"\RTDC4021\*4021*201609281* | grep -SE "((Enforcement Ac)|(PRM))" -</v>
      </c>
    </row>
    <row r="66" spans="1:29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9" x14ac:dyDescent="0.25">
      <c r="B74" s="23"/>
      <c r="C74" s="23"/>
      <c r="D74" s="23"/>
      <c r="E74" s="23"/>
      <c r="J74" s="23"/>
    </row>
  </sheetData>
  <autoFilter ref="A6:AC6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3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AB7:AB73</xm:sqref>
        </x14:dataValidation>
        <x14:dataValidation type="list" allowBlank="1" showInputMessage="1" showErrorMessage="1">
          <x14:formula1>
            <xm:f>'Redmine List Values'!$A$2:$A$7</xm:f>
          </x14:formula1>
          <xm:sqref>AA7:AA73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I3" sqref="I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0" t="str">
        <f>"Trips that did not appear in PTC Data "&amp;TEXT(Variables!$A$2,"YYYY-mm-dd")</f>
        <v>Trips that did not appear in PTC Data 2016-09-28</v>
      </c>
      <c r="C1" s="180"/>
      <c r="D1" s="180"/>
      <c r="E1" s="180"/>
      <c r="F1" s="180"/>
    </row>
    <row r="2" spans="1:11" s="26" customFormat="1" ht="45" x14ac:dyDescent="0.25">
      <c r="A2" s="166" t="s">
        <v>169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7">
        <v>117</v>
      </c>
      <c r="B3" s="2" t="str">
        <f>A3&amp;"-"&amp;IF(DAY(Variables!$A$2)&lt;10,0,"")&amp;DAY(Variables!$A$2)</f>
        <v>117-28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22117-28%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-28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-28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-28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-28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-28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-28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-28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-28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-28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-28</v>
      </c>
      <c r="C13" s="115"/>
      <c r="D13" s="115"/>
      <c r="E13" s="33"/>
      <c r="F13" s="24" t="e">
        <f>VLOOKUP(B13,'Trips&amp;Operators'!$C$2:$E$10000,3,FALSE)</f>
        <v>#N/A</v>
      </c>
      <c r="G13" s="24" t="e">
        <f>VLOOKUP(B13,'Trips&amp;Operators'!$C$1:$F$10000,4,FALSE)</f>
        <v>#N/A</v>
      </c>
      <c r="H13" s="32" t="e">
        <f>VLOOKUP(B13,'Trips&amp;Operators'!$C$1:$H$10000,5,FALSE)</f>
        <v>#N/A</v>
      </c>
      <c r="I13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3" s="23"/>
      <c r="K13" s="23"/>
    </row>
    <row r="14" spans="1:11" x14ac:dyDescent="0.25">
      <c r="B14" s="2" t="str">
        <f>A14&amp;"-"&amp;IF(DAY(Variables!$A$2)&lt;10,0,"")&amp;DAY(Variables!$A$2)</f>
        <v>-28</v>
      </c>
      <c r="C14" s="115"/>
      <c r="D14" s="115"/>
      <c r="E14" s="33"/>
      <c r="F14" s="24" t="e">
        <f>VLOOKUP(B14,'Trips&amp;Operators'!$C$2:$E$10000,3,FALSE)</f>
        <v>#N/A</v>
      </c>
      <c r="G14" s="24" t="e">
        <f>VLOOKUP(B14,'Trips&amp;Operators'!$C$1:$F$10000,4,FALSE)</f>
        <v>#N/A</v>
      </c>
      <c r="H14" s="32" t="e">
        <f>VLOOKUP(B14,'Trips&amp;Operators'!$C$1:$H$10000,5,FALSE)</f>
        <v>#N/A</v>
      </c>
      <c r="I14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C25" s="110"/>
      <c r="D25" s="110"/>
      <c r="I25" s="23"/>
      <c r="J25" s="23"/>
      <c r="K25" s="23"/>
    </row>
    <row r="26" spans="3:11" x14ac:dyDescent="0.25">
      <c r="C26" s="110"/>
      <c r="D26" s="110"/>
      <c r="I26" s="23"/>
      <c r="J26" s="23"/>
      <c r="K26" s="23"/>
    </row>
    <row r="27" spans="3:11" x14ac:dyDescent="0.25">
      <c r="C27" s="110"/>
      <c r="D27" s="110"/>
      <c r="I27" s="23"/>
      <c r="J27" s="23"/>
      <c r="K27" s="23"/>
    </row>
    <row r="28" spans="3:11" x14ac:dyDescent="0.25">
      <c r="C28" s="110"/>
      <c r="D28" s="110"/>
      <c r="I28" s="23"/>
      <c r="J28" s="23"/>
      <c r="K28" s="23"/>
    </row>
    <row r="29" spans="3:11" x14ac:dyDescent="0.25">
      <c r="C29" s="110"/>
      <c r="D29" s="110"/>
      <c r="I29" s="23"/>
      <c r="J29" s="23"/>
      <c r="K29" s="23"/>
    </row>
    <row r="30" spans="3:11" x14ac:dyDescent="0.25">
      <c r="C30" s="110"/>
      <c r="D30" s="110"/>
      <c r="I30" s="23"/>
      <c r="J30" s="23"/>
      <c r="K30" s="23"/>
    </row>
    <row r="31" spans="3:11" x14ac:dyDescent="0.25">
      <c r="C31" s="110"/>
      <c r="D31" s="110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256</v>
      </c>
      <c r="B1" s="23" t="s">
        <v>257</v>
      </c>
      <c r="C1" s="23" t="s">
        <v>0</v>
      </c>
      <c r="D1" s="23" t="s">
        <v>258</v>
      </c>
      <c r="E1" s="23" t="s">
        <v>259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42641.037395833337</v>
      </c>
      <c r="B2" s="23" t="s">
        <v>235</v>
      </c>
      <c r="C2" s="23" t="s">
        <v>329</v>
      </c>
      <c r="D2" s="23">
        <v>1230000</v>
      </c>
      <c r="E2" s="23" t="s">
        <v>239</v>
      </c>
      <c r="F2" s="23" t="str">
        <f t="shared" ref="F2:F65" si="0">B2</f>
        <v>rtdc.l.rtdc.4043:itc</v>
      </c>
      <c r="G2" s="8">
        <f t="shared" ref="G2:G65" si="1">A2</f>
        <v>42641.037395833337</v>
      </c>
    </row>
    <row r="3" spans="1:7" x14ac:dyDescent="0.25">
      <c r="A3" s="8">
        <v>42641.052303240744</v>
      </c>
      <c r="B3" s="23" t="s">
        <v>128</v>
      </c>
      <c r="C3" s="23" t="s">
        <v>330</v>
      </c>
      <c r="D3" s="23">
        <v>1290000</v>
      </c>
      <c r="E3" s="23" t="s">
        <v>172</v>
      </c>
      <c r="F3" s="23" t="str">
        <f t="shared" si="0"/>
        <v>rtdc.l.rtdc.4009:itc</v>
      </c>
      <c r="G3" s="8">
        <f t="shared" si="1"/>
        <v>42641.052303240744</v>
      </c>
    </row>
    <row r="4" spans="1:7" x14ac:dyDescent="0.25">
      <c r="A4" s="8">
        <v>42641.059062499997</v>
      </c>
      <c r="B4" s="23" t="s">
        <v>242</v>
      </c>
      <c r="C4" s="23" t="s">
        <v>331</v>
      </c>
      <c r="D4" s="23">
        <v>1800000</v>
      </c>
      <c r="E4" s="23" t="s">
        <v>240</v>
      </c>
      <c r="F4" s="23" t="str">
        <f t="shared" si="0"/>
        <v>rtdc.l.rtdc.4012:itc</v>
      </c>
      <c r="G4" s="8">
        <f t="shared" si="1"/>
        <v>42641.059062499997</v>
      </c>
    </row>
    <row r="5" spans="1:7" x14ac:dyDescent="0.25">
      <c r="A5" s="8">
        <v>42641.067083333335</v>
      </c>
      <c r="B5" s="23" t="s">
        <v>234</v>
      </c>
      <c r="C5" s="23" t="s">
        <v>332</v>
      </c>
      <c r="D5" s="23">
        <v>1230000</v>
      </c>
      <c r="E5" s="23" t="s">
        <v>239</v>
      </c>
      <c r="F5" s="23" t="str">
        <f t="shared" si="0"/>
        <v>rtdc.l.rtdc.4044:itc</v>
      </c>
      <c r="G5" s="8">
        <f t="shared" si="1"/>
        <v>42641.067083333335</v>
      </c>
    </row>
    <row r="6" spans="1:7" x14ac:dyDescent="0.25">
      <c r="A6" s="8">
        <v>42641.12841435185</v>
      </c>
      <c r="B6" s="23" t="s">
        <v>376</v>
      </c>
      <c r="C6" s="23" t="s">
        <v>377</v>
      </c>
      <c r="D6" s="23">
        <v>2010000</v>
      </c>
      <c r="E6" s="23" t="s">
        <v>378</v>
      </c>
      <c r="F6" s="23" t="str">
        <f t="shared" si="0"/>
        <v>rtdc.l.rtdc.4040:itc</v>
      </c>
      <c r="G6" s="8">
        <f t="shared" si="1"/>
        <v>42641.12841435185</v>
      </c>
    </row>
    <row r="7" spans="1:7" x14ac:dyDescent="0.25">
      <c r="A7" s="8">
        <v>42641.151562500003</v>
      </c>
      <c r="B7" s="23" t="s">
        <v>164</v>
      </c>
      <c r="C7" s="23" t="s">
        <v>379</v>
      </c>
      <c r="D7" s="23">
        <v>1260000</v>
      </c>
      <c r="E7" s="23" t="s">
        <v>279</v>
      </c>
      <c r="F7" s="23" t="str">
        <f t="shared" si="0"/>
        <v>rtdc.l.rtdc.4020:itc</v>
      </c>
      <c r="G7" s="8">
        <f t="shared" si="1"/>
        <v>42641.151562500003</v>
      </c>
    </row>
    <row r="8" spans="1:7" x14ac:dyDescent="0.25">
      <c r="A8" s="8">
        <v>42641.170914351853</v>
      </c>
      <c r="B8" s="23" t="s">
        <v>380</v>
      </c>
      <c r="C8" s="23" t="s">
        <v>381</v>
      </c>
      <c r="D8" s="23">
        <v>2010000</v>
      </c>
      <c r="E8" s="23" t="s">
        <v>378</v>
      </c>
      <c r="F8" s="23" t="str">
        <f t="shared" si="0"/>
        <v>rtdc.l.rtdc.4001:itc</v>
      </c>
      <c r="G8" s="8">
        <f t="shared" si="1"/>
        <v>42641.170914351853</v>
      </c>
    </row>
    <row r="9" spans="1:7" ht="15.75" thickBot="1" x14ac:dyDescent="0.3">
      <c r="A9" s="27">
        <v>42641.174583333333</v>
      </c>
      <c r="B9" s="23" t="s">
        <v>275</v>
      </c>
      <c r="C9" s="23" t="s">
        <v>382</v>
      </c>
      <c r="D9" s="23">
        <v>1760000</v>
      </c>
      <c r="E9" s="23" t="s">
        <v>383</v>
      </c>
      <c r="F9" s="23" t="str">
        <f t="shared" si="0"/>
        <v>rtdc.l.rtdc.4018:itc</v>
      </c>
      <c r="G9" s="8">
        <f t="shared" si="1"/>
        <v>42641.174583333333</v>
      </c>
    </row>
    <row r="10" spans="1:7" x14ac:dyDescent="0.25">
      <c r="A10" s="8">
        <v>42641.185057870367</v>
      </c>
      <c r="B10" s="23" t="s">
        <v>251</v>
      </c>
      <c r="C10" s="23" t="s">
        <v>384</v>
      </c>
      <c r="D10" s="23">
        <v>1090000</v>
      </c>
      <c r="E10" s="23" t="s">
        <v>318</v>
      </c>
      <c r="F10" s="23" t="str">
        <f t="shared" si="0"/>
        <v>rtdc.l.rtdc.4014:itc</v>
      </c>
      <c r="G10" s="8">
        <f t="shared" si="1"/>
        <v>42641.185057870367</v>
      </c>
    </row>
    <row r="11" spans="1:7" x14ac:dyDescent="0.25">
      <c r="A11" s="8">
        <v>42641.187372685185</v>
      </c>
      <c r="B11" s="23" t="s">
        <v>180</v>
      </c>
      <c r="C11" s="23" t="s">
        <v>385</v>
      </c>
      <c r="D11" s="23">
        <v>2030000</v>
      </c>
      <c r="E11" s="23" t="s">
        <v>293</v>
      </c>
      <c r="F11" s="23" t="str">
        <f t="shared" si="0"/>
        <v>rtdc.l.rtdc.4046:itc</v>
      </c>
      <c r="G11" s="8">
        <f t="shared" si="1"/>
        <v>42641.187372685185</v>
      </c>
    </row>
    <row r="12" spans="1:7" x14ac:dyDescent="0.25">
      <c r="A12" s="8">
        <v>42641.189930555556</v>
      </c>
      <c r="B12" s="23" t="s">
        <v>386</v>
      </c>
      <c r="C12" s="23" t="s">
        <v>387</v>
      </c>
      <c r="D12" s="23">
        <v>1260000</v>
      </c>
      <c r="E12" s="23" t="s">
        <v>279</v>
      </c>
      <c r="F12" s="23" t="str">
        <f t="shared" si="0"/>
        <v>rtdc.l.rtdc.4008:itc</v>
      </c>
      <c r="G12" s="8">
        <f t="shared" si="1"/>
        <v>42641.189930555556</v>
      </c>
    </row>
    <row r="13" spans="1:7" x14ac:dyDescent="0.25">
      <c r="A13" s="8">
        <v>42641.20652777778</v>
      </c>
      <c r="B13" s="23" t="s">
        <v>376</v>
      </c>
      <c r="C13" s="23" t="s">
        <v>388</v>
      </c>
      <c r="D13" s="23">
        <v>900000</v>
      </c>
      <c r="E13" s="23" t="s">
        <v>321</v>
      </c>
      <c r="F13" s="23" t="str">
        <f t="shared" si="0"/>
        <v>rtdc.l.rtdc.4040:itc</v>
      </c>
      <c r="G13" s="8">
        <f t="shared" si="1"/>
        <v>42641.20652777778</v>
      </c>
    </row>
    <row r="14" spans="1:7" x14ac:dyDescent="0.25">
      <c r="A14" s="8">
        <v>42641.213854166665</v>
      </c>
      <c r="B14" s="23" t="s">
        <v>175</v>
      </c>
      <c r="C14" s="23" t="s">
        <v>389</v>
      </c>
      <c r="D14" s="23">
        <v>1760000</v>
      </c>
      <c r="E14" s="23" t="s">
        <v>383</v>
      </c>
      <c r="F14" s="23" t="str">
        <f t="shared" si="0"/>
        <v>rtdc.l.rtdc.4041:itc</v>
      </c>
      <c r="G14" s="8">
        <f t="shared" si="1"/>
        <v>42641.213854166665</v>
      </c>
    </row>
    <row r="15" spans="1:7" x14ac:dyDescent="0.25">
      <c r="A15" s="8">
        <v>42641.214618055557</v>
      </c>
      <c r="B15" s="23" t="s">
        <v>264</v>
      </c>
      <c r="C15" s="23" t="s">
        <v>390</v>
      </c>
      <c r="D15" s="23">
        <v>1110000</v>
      </c>
      <c r="E15" s="23" t="s">
        <v>319</v>
      </c>
      <c r="F15" s="23" t="str">
        <f t="shared" si="0"/>
        <v>rtdc.l.rtdc.4030:itc</v>
      </c>
      <c r="G15" s="8">
        <f t="shared" si="1"/>
        <v>42641.214618055557</v>
      </c>
    </row>
    <row r="16" spans="1:7" x14ac:dyDescent="0.25">
      <c r="A16" s="8">
        <v>42641.215983796297</v>
      </c>
      <c r="B16" s="23" t="s">
        <v>264</v>
      </c>
      <c r="C16" s="23" t="s">
        <v>390</v>
      </c>
      <c r="D16" s="23">
        <v>1110000</v>
      </c>
      <c r="E16" s="23" t="s">
        <v>319</v>
      </c>
      <c r="F16" s="23" t="str">
        <f t="shared" si="0"/>
        <v>rtdc.l.rtdc.4030:itc</v>
      </c>
      <c r="G16" s="8">
        <f t="shared" si="1"/>
        <v>42641.215983796297</v>
      </c>
    </row>
    <row r="17" spans="1:7" x14ac:dyDescent="0.25">
      <c r="A17" s="8">
        <v>42641.216446759259</v>
      </c>
      <c r="B17" s="23" t="s">
        <v>391</v>
      </c>
      <c r="C17" s="23" t="s">
        <v>392</v>
      </c>
      <c r="D17" s="23">
        <v>2010000</v>
      </c>
      <c r="E17" s="23" t="s">
        <v>378</v>
      </c>
      <c r="F17" s="23" t="str">
        <f t="shared" si="0"/>
        <v>rtdc.l.rtdc.4002:itc</v>
      </c>
      <c r="G17" s="8">
        <f t="shared" si="1"/>
        <v>42641.216446759259</v>
      </c>
    </row>
    <row r="18" spans="1:7" x14ac:dyDescent="0.25">
      <c r="A18" s="8">
        <v>42641.220127314817</v>
      </c>
      <c r="B18" s="23" t="s">
        <v>317</v>
      </c>
      <c r="C18" s="23" t="s">
        <v>393</v>
      </c>
      <c r="D18" s="23">
        <v>1090000</v>
      </c>
      <c r="E18" s="23" t="s">
        <v>318</v>
      </c>
      <c r="F18" s="23" t="str">
        <f t="shared" si="0"/>
        <v>rtdc.l.rtdc.4013:itc</v>
      </c>
      <c r="G18" s="8">
        <f t="shared" si="1"/>
        <v>42641.220127314817</v>
      </c>
    </row>
    <row r="19" spans="1:7" x14ac:dyDescent="0.25">
      <c r="A19" s="8">
        <v>42641.227384259262</v>
      </c>
      <c r="B19" s="23" t="s">
        <v>164</v>
      </c>
      <c r="C19" s="23" t="s">
        <v>394</v>
      </c>
      <c r="D19" s="23">
        <v>1360000</v>
      </c>
      <c r="E19" s="23" t="s">
        <v>395</v>
      </c>
      <c r="F19" s="23" t="str">
        <f t="shared" si="0"/>
        <v>rtdc.l.rtdc.4020:itc</v>
      </c>
      <c r="G19" s="8">
        <f t="shared" si="1"/>
        <v>42641.227384259262</v>
      </c>
    </row>
    <row r="20" spans="1:7" x14ac:dyDescent="0.25">
      <c r="A20" s="8">
        <v>42641.23232638889</v>
      </c>
      <c r="B20" s="23" t="s">
        <v>316</v>
      </c>
      <c r="C20" s="23" t="s">
        <v>396</v>
      </c>
      <c r="D20" s="23">
        <v>2030000</v>
      </c>
      <c r="E20" s="23" t="s">
        <v>293</v>
      </c>
      <c r="F20" s="23" t="str">
        <f t="shared" si="0"/>
        <v>rtdc.l.rtdc.4045:itc</v>
      </c>
      <c r="G20" s="8">
        <f t="shared" si="1"/>
        <v>42641.23232638889</v>
      </c>
    </row>
    <row r="21" spans="1:7" x14ac:dyDescent="0.25">
      <c r="A21" s="8">
        <v>42641.240972222222</v>
      </c>
      <c r="B21" s="23" t="s">
        <v>263</v>
      </c>
      <c r="C21" s="23" t="s">
        <v>397</v>
      </c>
      <c r="D21" s="23">
        <v>1110000</v>
      </c>
      <c r="E21" s="23" t="s">
        <v>319</v>
      </c>
      <c r="F21" s="23" t="str">
        <f t="shared" si="0"/>
        <v>rtdc.l.rtdc.4029:itc</v>
      </c>
      <c r="G21" s="8">
        <f t="shared" si="1"/>
        <v>42641.240972222222</v>
      </c>
    </row>
    <row r="22" spans="1:7" x14ac:dyDescent="0.25">
      <c r="A22" s="29">
        <v>42641.241886574076</v>
      </c>
      <c r="B22" s="23" t="s">
        <v>263</v>
      </c>
      <c r="C22" s="23" t="s">
        <v>398</v>
      </c>
      <c r="D22" s="23">
        <v>1110000</v>
      </c>
      <c r="E22" s="23" t="s">
        <v>319</v>
      </c>
      <c r="F22" s="23" t="str">
        <f t="shared" si="0"/>
        <v>rtdc.l.rtdc.4029:itc</v>
      </c>
      <c r="G22" s="8">
        <f t="shared" si="1"/>
        <v>42641.241886574076</v>
      </c>
    </row>
    <row r="23" spans="1:7" x14ac:dyDescent="0.25">
      <c r="A23" s="8">
        <v>42641.247361111113</v>
      </c>
      <c r="B23" s="23" t="s">
        <v>399</v>
      </c>
      <c r="C23" s="23" t="s">
        <v>400</v>
      </c>
      <c r="D23" s="23">
        <v>900000</v>
      </c>
      <c r="E23" s="23" t="s">
        <v>321</v>
      </c>
      <c r="F23" s="23" t="str">
        <f t="shared" si="0"/>
        <v>rtdc.l.rtdc.4039:itc</v>
      </c>
      <c r="G23" s="8">
        <f t="shared" si="1"/>
        <v>42641.247361111113</v>
      </c>
    </row>
    <row r="24" spans="1:7" x14ac:dyDescent="0.25">
      <c r="A24" s="8">
        <v>42641.249768518515</v>
      </c>
      <c r="B24" s="23" t="s">
        <v>275</v>
      </c>
      <c r="C24" s="23" t="s">
        <v>401</v>
      </c>
      <c r="D24" s="23">
        <v>1760000</v>
      </c>
      <c r="E24" s="23" t="s">
        <v>383</v>
      </c>
      <c r="F24" s="23" t="str">
        <f t="shared" si="0"/>
        <v>rtdc.l.rtdc.4018:itc</v>
      </c>
      <c r="G24" s="8">
        <f t="shared" si="1"/>
        <v>42641.249768518515</v>
      </c>
    </row>
    <row r="25" spans="1:7" x14ac:dyDescent="0.25">
      <c r="A25" s="8">
        <v>42641.2502662037</v>
      </c>
      <c r="B25" s="23" t="s">
        <v>380</v>
      </c>
      <c r="C25" s="23" t="s">
        <v>402</v>
      </c>
      <c r="D25" s="23">
        <v>2010000</v>
      </c>
      <c r="E25" s="23" t="s">
        <v>378</v>
      </c>
      <c r="F25" s="23" t="str">
        <f t="shared" si="0"/>
        <v>rtdc.l.rtdc.4001:itc</v>
      </c>
      <c r="G25" s="8">
        <f t="shared" si="1"/>
        <v>42641.2502662037</v>
      </c>
    </row>
    <row r="26" spans="1:7" x14ac:dyDescent="0.25">
      <c r="A26" s="8">
        <v>42641.256284722222</v>
      </c>
      <c r="B26" s="23" t="s">
        <v>163</v>
      </c>
      <c r="C26" s="23" t="s">
        <v>403</v>
      </c>
      <c r="D26" s="23">
        <v>1360000</v>
      </c>
      <c r="E26" s="23" t="s">
        <v>395</v>
      </c>
      <c r="F26" s="23" t="str">
        <f t="shared" si="0"/>
        <v>rtdc.l.rtdc.4019:itc</v>
      </c>
      <c r="G26" s="8">
        <f t="shared" si="1"/>
        <v>42641.256284722222</v>
      </c>
    </row>
    <row r="27" spans="1:7" x14ac:dyDescent="0.25">
      <c r="A27" s="8">
        <v>42641.25744212963</v>
      </c>
      <c r="B27" s="23" t="s">
        <v>264</v>
      </c>
      <c r="C27" s="23" t="s">
        <v>397</v>
      </c>
      <c r="D27" s="23">
        <v>1110000</v>
      </c>
      <c r="E27" s="23" t="s">
        <v>319</v>
      </c>
      <c r="F27" s="23" t="str">
        <f t="shared" si="0"/>
        <v>rtdc.l.rtdc.4030:itc</v>
      </c>
      <c r="G27" s="8">
        <f t="shared" si="1"/>
        <v>42641.25744212963</v>
      </c>
    </row>
    <row r="28" spans="1:7" x14ac:dyDescent="0.25">
      <c r="A28" s="8">
        <v>42641.258703703701</v>
      </c>
      <c r="B28" s="23" t="s">
        <v>260</v>
      </c>
      <c r="C28" s="23" t="s">
        <v>404</v>
      </c>
      <c r="D28" s="23">
        <v>1340000</v>
      </c>
      <c r="E28" s="23" t="s">
        <v>320</v>
      </c>
      <c r="F28" s="23" t="str">
        <f t="shared" si="0"/>
        <v>rtdc.l.rtdc.4016:itc</v>
      </c>
      <c r="G28" s="8">
        <f t="shared" si="1"/>
        <v>42641.258703703701</v>
      </c>
    </row>
    <row r="29" spans="1:7" x14ac:dyDescent="0.25">
      <c r="A29" s="8">
        <v>42641.259421296294</v>
      </c>
      <c r="B29" s="23" t="s">
        <v>251</v>
      </c>
      <c r="C29" s="23" t="s">
        <v>405</v>
      </c>
      <c r="D29" s="23">
        <v>1090000</v>
      </c>
      <c r="E29" s="23" t="s">
        <v>318</v>
      </c>
      <c r="F29" s="23" t="str">
        <f t="shared" si="0"/>
        <v>rtdc.l.rtdc.4014:itc</v>
      </c>
      <c r="G29" s="8">
        <f t="shared" si="1"/>
        <v>42641.259421296294</v>
      </c>
    </row>
    <row r="30" spans="1:7" x14ac:dyDescent="0.25">
      <c r="A30" s="8">
        <v>42641.266412037039</v>
      </c>
      <c r="B30" s="23" t="s">
        <v>180</v>
      </c>
      <c r="C30" s="23" t="s">
        <v>406</v>
      </c>
      <c r="D30" s="23">
        <v>2030000</v>
      </c>
      <c r="E30" s="23" t="s">
        <v>293</v>
      </c>
      <c r="F30" s="23" t="str">
        <f t="shared" si="0"/>
        <v>rtdc.l.rtdc.4046:itc</v>
      </c>
      <c r="G30" s="8">
        <f t="shared" si="1"/>
        <v>42641.266412037039</v>
      </c>
    </row>
    <row r="31" spans="1:7" x14ac:dyDescent="0.25">
      <c r="A31" s="8">
        <v>42641.272766203707</v>
      </c>
      <c r="B31" s="23" t="s">
        <v>386</v>
      </c>
      <c r="C31" s="23" t="s">
        <v>407</v>
      </c>
      <c r="D31" s="23">
        <v>1260000</v>
      </c>
      <c r="E31" s="23" t="s">
        <v>279</v>
      </c>
      <c r="F31" s="23" t="str">
        <f t="shared" si="0"/>
        <v>rtdc.l.rtdc.4008:itc</v>
      </c>
      <c r="G31" s="8">
        <f t="shared" si="1"/>
        <v>42641.272766203707</v>
      </c>
    </row>
    <row r="32" spans="1:7" x14ac:dyDescent="0.25">
      <c r="A32" s="8">
        <v>42641.27412037037</v>
      </c>
      <c r="B32" s="23" t="s">
        <v>386</v>
      </c>
      <c r="C32" s="23" t="s">
        <v>407</v>
      </c>
      <c r="D32" s="23">
        <v>1260000</v>
      </c>
      <c r="E32" s="23" t="s">
        <v>279</v>
      </c>
      <c r="F32" s="23" t="str">
        <f t="shared" si="0"/>
        <v>rtdc.l.rtdc.4008:itc</v>
      </c>
      <c r="G32" s="8">
        <f t="shared" si="1"/>
        <v>42641.27412037037</v>
      </c>
    </row>
    <row r="33" spans="1:7" x14ac:dyDescent="0.25">
      <c r="A33" s="8">
        <v>42641.277638888889</v>
      </c>
      <c r="B33" s="23" t="s">
        <v>274</v>
      </c>
      <c r="C33" s="23" t="s">
        <v>408</v>
      </c>
      <c r="D33" s="23">
        <v>1340000</v>
      </c>
      <c r="E33" s="23" t="s">
        <v>320</v>
      </c>
      <c r="F33" s="23" t="str">
        <f t="shared" si="0"/>
        <v>rtdc.l.rtdc.4015:itc</v>
      </c>
      <c r="G33" s="8">
        <f t="shared" si="1"/>
        <v>42641.277638888889</v>
      </c>
    </row>
    <row r="34" spans="1:7" x14ac:dyDescent="0.25">
      <c r="A34" s="8">
        <v>42641.278287037036</v>
      </c>
      <c r="B34" s="23" t="s">
        <v>376</v>
      </c>
      <c r="C34" s="23" t="s">
        <v>409</v>
      </c>
      <c r="D34" s="23">
        <v>900000</v>
      </c>
      <c r="E34" s="23" t="s">
        <v>321</v>
      </c>
      <c r="F34" s="23" t="str">
        <f t="shared" si="0"/>
        <v>rtdc.l.rtdc.4040:itc</v>
      </c>
      <c r="G34" s="8">
        <f t="shared" si="1"/>
        <v>42641.278287037036</v>
      </c>
    </row>
    <row r="35" spans="1:7" x14ac:dyDescent="0.25">
      <c r="A35" s="8">
        <v>42641.279907407406</v>
      </c>
      <c r="B35" s="23" t="s">
        <v>274</v>
      </c>
      <c r="C35" s="23" t="s">
        <v>408</v>
      </c>
      <c r="D35" s="23">
        <v>1340000</v>
      </c>
      <c r="E35" s="23" t="s">
        <v>320</v>
      </c>
      <c r="F35" s="23" t="str">
        <f t="shared" si="0"/>
        <v>rtdc.l.rtdc.4015:itc</v>
      </c>
      <c r="G35" s="8">
        <f t="shared" si="1"/>
        <v>42641.279907407406</v>
      </c>
    </row>
    <row r="36" spans="1:7" x14ac:dyDescent="0.25">
      <c r="A36" s="8">
        <v>42641.281956018516</v>
      </c>
      <c r="B36" s="23" t="s">
        <v>263</v>
      </c>
      <c r="C36" s="23" t="s">
        <v>398</v>
      </c>
      <c r="D36" s="23">
        <v>1110000</v>
      </c>
      <c r="E36" s="23" t="s">
        <v>319</v>
      </c>
      <c r="F36" s="23" t="str">
        <f t="shared" si="0"/>
        <v>rtdc.l.rtdc.4029:itc</v>
      </c>
      <c r="G36" s="8">
        <f t="shared" si="1"/>
        <v>42641.281956018516</v>
      </c>
    </row>
    <row r="37" spans="1:7" x14ac:dyDescent="0.25">
      <c r="A37" s="8">
        <v>42641.287268518521</v>
      </c>
      <c r="B37" s="23" t="s">
        <v>273</v>
      </c>
      <c r="C37" s="23" t="s">
        <v>410</v>
      </c>
      <c r="D37" s="23">
        <v>1760000</v>
      </c>
      <c r="E37" s="23" t="s">
        <v>383</v>
      </c>
      <c r="F37" s="23" t="str">
        <f t="shared" si="0"/>
        <v>rtdc.l.rtdc.4017:itc</v>
      </c>
      <c r="G37" s="8">
        <f t="shared" si="1"/>
        <v>42641.287268518521</v>
      </c>
    </row>
    <row r="38" spans="1:7" x14ac:dyDescent="0.25">
      <c r="A38" s="8">
        <v>42641.287997685184</v>
      </c>
      <c r="B38" s="23" t="s">
        <v>391</v>
      </c>
      <c r="C38" s="23" t="s">
        <v>411</v>
      </c>
      <c r="D38" s="23">
        <v>2010000</v>
      </c>
      <c r="E38" s="23" t="s">
        <v>378</v>
      </c>
      <c r="F38" s="23" t="str">
        <f t="shared" si="0"/>
        <v>rtdc.l.rtdc.4002:itc</v>
      </c>
      <c r="G38" s="8">
        <f t="shared" si="1"/>
        <v>42641.287997685184</v>
      </c>
    </row>
    <row r="39" spans="1:7" x14ac:dyDescent="0.25">
      <c r="A39" s="8">
        <v>42641.294652777775</v>
      </c>
      <c r="B39" s="23" t="s">
        <v>317</v>
      </c>
      <c r="C39" s="23" t="s">
        <v>412</v>
      </c>
      <c r="D39" s="23">
        <v>1090000</v>
      </c>
      <c r="E39" s="23" t="s">
        <v>318</v>
      </c>
      <c r="F39" s="23" t="str">
        <f t="shared" si="0"/>
        <v>rtdc.l.rtdc.4013:itc</v>
      </c>
      <c r="G39" s="8">
        <f t="shared" si="1"/>
        <v>42641.294652777775</v>
      </c>
    </row>
    <row r="40" spans="1:7" x14ac:dyDescent="0.25">
      <c r="A40" s="8">
        <v>42641.297638888886</v>
      </c>
      <c r="B40" s="28" t="s">
        <v>264</v>
      </c>
      <c r="C40" s="23" t="s">
        <v>413</v>
      </c>
      <c r="D40" s="23">
        <v>1110000</v>
      </c>
      <c r="E40" s="23" t="s">
        <v>319</v>
      </c>
      <c r="F40" s="23" t="str">
        <f t="shared" si="0"/>
        <v>rtdc.l.rtdc.4030:itc</v>
      </c>
      <c r="G40" s="8">
        <f t="shared" si="1"/>
        <v>42641.297638888886</v>
      </c>
    </row>
    <row r="41" spans="1:7" x14ac:dyDescent="0.25">
      <c r="A41" s="8">
        <v>42641.29855324074</v>
      </c>
      <c r="B41" s="23" t="s">
        <v>164</v>
      </c>
      <c r="C41" s="23" t="s">
        <v>414</v>
      </c>
      <c r="D41" s="23">
        <v>1360000</v>
      </c>
      <c r="E41" s="23" t="s">
        <v>395</v>
      </c>
      <c r="F41" s="23" t="str">
        <f t="shared" si="0"/>
        <v>rtdc.l.rtdc.4020:itc</v>
      </c>
      <c r="G41" s="8">
        <f t="shared" si="1"/>
        <v>42641.29855324074</v>
      </c>
    </row>
    <row r="42" spans="1:7" x14ac:dyDescent="0.25">
      <c r="A42" s="8">
        <v>42641.303807870368</v>
      </c>
      <c r="B42" s="23" t="s">
        <v>316</v>
      </c>
      <c r="C42" s="23" t="s">
        <v>415</v>
      </c>
      <c r="D42" s="23">
        <v>2030000</v>
      </c>
      <c r="E42" s="23" t="s">
        <v>293</v>
      </c>
      <c r="F42" s="23" t="str">
        <f t="shared" si="0"/>
        <v>rtdc.l.rtdc.4045:itc</v>
      </c>
      <c r="G42" s="8">
        <f t="shared" si="1"/>
        <v>42641.303807870368</v>
      </c>
    </row>
    <row r="43" spans="1:7" x14ac:dyDescent="0.25">
      <c r="A43" s="8">
        <v>42641.305</v>
      </c>
      <c r="B43" s="23" t="s">
        <v>260</v>
      </c>
      <c r="C43" s="23" t="s">
        <v>416</v>
      </c>
      <c r="D43" s="23">
        <v>1340000</v>
      </c>
      <c r="E43" s="23" t="s">
        <v>320</v>
      </c>
      <c r="F43" s="23" t="str">
        <f t="shared" si="0"/>
        <v>rtdc.l.rtdc.4016:itc</v>
      </c>
      <c r="G43" s="8">
        <f t="shared" si="1"/>
        <v>42641.305</v>
      </c>
    </row>
    <row r="44" spans="1:7" x14ac:dyDescent="0.25">
      <c r="A44" s="8">
        <v>42641.309178240743</v>
      </c>
      <c r="B44" s="23" t="s">
        <v>417</v>
      </c>
      <c r="C44" s="23" t="s">
        <v>418</v>
      </c>
      <c r="D44" s="23">
        <v>1260000</v>
      </c>
      <c r="E44" s="23" t="s">
        <v>279</v>
      </c>
      <c r="F44" s="23" t="str">
        <f t="shared" si="0"/>
        <v>rtdc.l.rtdc.4007:itc</v>
      </c>
      <c r="G44" s="8">
        <f t="shared" si="1"/>
        <v>42641.309178240743</v>
      </c>
    </row>
    <row r="45" spans="1:7" x14ac:dyDescent="0.25">
      <c r="A45" s="8">
        <v>42641.310844907406</v>
      </c>
      <c r="B45" s="23" t="s">
        <v>399</v>
      </c>
      <c r="C45" s="23" t="s">
        <v>419</v>
      </c>
      <c r="D45" s="23">
        <v>900000</v>
      </c>
      <c r="E45" s="23" t="s">
        <v>321</v>
      </c>
      <c r="F45" s="23" t="str">
        <f t="shared" si="0"/>
        <v>rtdc.l.rtdc.4039:itc</v>
      </c>
      <c r="G45" s="8">
        <f t="shared" si="1"/>
        <v>42641.310844907406</v>
      </c>
    </row>
    <row r="46" spans="1:7" x14ac:dyDescent="0.25">
      <c r="A46" s="8">
        <v>42641.318206018521</v>
      </c>
      <c r="B46" s="23" t="s">
        <v>274</v>
      </c>
      <c r="C46" s="23" t="s">
        <v>420</v>
      </c>
      <c r="D46" s="23">
        <v>1340000</v>
      </c>
      <c r="E46" s="23" t="s">
        <v>320</v>
      </c>
      <c r="F46" s="23" t="str">
        <f t="shared" si="0"/>
        <v>rtdc.l.rtdc.4015:itc</v>
      </c>
      <c r="G46" s="8">
        <f t="shared" si="1"/>
        <v>42641.318206018521</v>
      </c>
    </row>
    <row r="47" spans="1:7" x14ac:dyDescent="0.25">
      <c r="A47" s="8">
        <v>42641.320613425924</v>
      </c>
      <c r="B47" s="23" t="s">
        <v>275</v>
      </c>
      <c r="C47" s="23" t="s">
        <v>421</v>
      </c>
      <c r="D47" s="23">
        <v>1760000</v>
      </c>
      <c r="E47" s="23" t="s">
        <v>383</v>
      </c>
      <c r="F47" s="23" t="str">
        <f t="shared" si="0"/>
        <v>rtdc.l.rtdc.4018:itc</v>
      </c>
      <c r="G47" s="8">
        <f t="shared" si="1"/>
        <v>42641.320613425924</v>
      </c>
    </row>
    <row r="48" spans="1:7" x14ac:dyDescent="0.25">
      <c r="A48" s="8">
        <v>42641.321527777778</v>
      </c>
      <c r="B48" s="23" t="s">
        <v>263</v>
      </c>
      <c r="C48" s="23" t="s">
        <v>422</v>
      </c>
      <c r="D48" s="23">
        <v>1110000</v>
      </c>
      <c r="E48" s="23" t="s">
        <v>319</v>
      </c>
      <c r="F48" s="23" t="str">
        <f t="shared" si="0"/>
        <v>rtdc.l.rtdc.4029:itc</v>
      </c>
      <c r="G48" s="8">
        <f t="shared" si="1"/>
        <v>42641.321527777778</v>
      </c>
    </row>
    <row r="49" spans="1:7" x14ac:dyDescent="0.25">
      <c r="A49" s="8">
        <v>42641.329386574071</v>
      </c>
      <c r="B49" s="23" t="s">
        <v>251</v>
      </c>
      <c r="C49" s="23" t="s">
        <v>423</v>
      </c>
      <c r="D49" s="23">
        <v>1090000</v>
      </c>
      <c r="E49" s="23" t="s">
        <v>318</v>
      </c>
      <c r="F49" s="23" t="str">
        <f t="shared" si="0"/>
        <v>rtdc.l.rtdc.4014:itc</v>
      </c>
      <c r="G49" s="8">
        <f t="shared" si="1"/>
        <v>42641.329386574071</v>
      </c>
    </row>
    <row r="50" spans="1:7" x14ac:dyDescent="0.25">
      <c r="A50" s="8">
        <v>42641.330034722225</v>
      </c>
      <c r="B50" s="23" t="s">
        <v>380</v>
      </c>
      <c r="C50" s="23" t="s">
        <v>424</v>
      </c>
      <c r="D50" s="23">
        <v>2010000</v>
      </c>
      <c r="E50" s="23" t="s">
        <v>378</v>
      </c>
      <c r="F50" s="23" t="str">
        <f t="shared" si="0"/>
        <v>rtdc.l.rtdc.4001:itc</v>
      </c>
      <c r="G50" s="8">
        <f t="shared" si="1"/>
        <v>42641.330034722225</v>
      </c>
    </row>
    <row r="51" spans="1:7" x14ac:dyDescent="0.25">
      <c r="A51" s="8">
        <v>42641.337222222224</v>
      </c>
      <c r="B51" s="23" t="s">
        <v>163</v>
      </c>
      <c r="C51" s="23" t="s">
        <v>425</v>
      </c>
      <c r="D51" s="23">
        <v>1360000</v>
      </c>
      <c r="E51" s="23" t="s">
        <v>395</v>
      </c>
      <c r="F51" s="23" t="str">
        <f t="shared" si="0"/>
        <v>rtdc.l.rtdc.4019:itc</v>
      </c>
      <c r="G51" s="8">
        <f t="shared" si="1"/>
        <v>42641.337222222224</v>
      </c>
    </row>
    <row r="52" spans="1:7" x14ac:dyDescent="0.25">
      <c r="A52" s="8">
        <v>42641.338784722226</v>
      </c>
      <c r="B52" s="23" t="s">
        <v>264</v>
      </c>
      <c r="C52" s="23" t="s">
        <v>426</v>
      </c>
      <c r="D52" s="23">
        <v>1110000</v>
      </c>
      <c r="E52" s="23" t="s">
        <v>319</v>
      </c>
      <c r="F52" s="23" t="str">
        <f t="shared" si="0"/>
        <v>rtdc.l.rtdc.4030:itc</v>
      </c>
      <c r="G52" s="8">
        <f t="shared" si="1"/>
        <v>42641.338784722226</v>
      </c>
    </row>
    <row r="53" spans="1:7" x14ac:dyDescent="0.25">
      <c r="A53" s="8">
        <v>42641.339965277781</v>
      </c>
      <c r="B53" s="23" t="s">
        <v>180</v>
      </c>
      <c r="C53" s="23" t="s">
        <v>427</v>
      </c>
      <c r="D53" s="23">
        <v>2030000</v>
      </c>
      <c r="E53" s="23" t="s">
        <v>293</v>
      </c>
      <c r="F53" s="23" t="str">
        <f t="shared" si="0"/>
        <v>rtdc.l.rtdc.4046:itc</v>
      </c>
      <c r="G53" s="8">
        <f t="shared" si="1"/>
        <v>42641.339965277781</v>
      </c>
    </row>
    <row r="54" spans="1:7" x14ac:dyDescent="0.25">
      <c r="A54" s="8">
        <v>42641.342256944445</v>
      </c>
      <c r="B54" s="23" t="s">
        <v>260</v>
      </c>
      <c r="C54" s="23" t="s">
        <v>428</v>
      </c>
      <c r="D54" s="23">
        <v>1340000</v>
      </c>
      <c r="E54" s="23" t="s">
        <v>320</v>
      </c>
      <c r="F54" s="23" t="str">
        <f t="shared" si="0"/>
        <v>rtdc.l.rtdc.4016:itc</v>
      </c>
      <c r="G54" s="8">
        <f t="shared" si="1"/>
        <v>42641.342256944445</v>
      </c>
    </row>
    <row r="55" spans="1:7" x14ac:dyDescent="0.25">
      <c r="A55" s="8">
        <v>42641.346180555556</v>
      </c>
      <c r="B55" s="23" t="s">
        <v>386</v>
      </c>
      <c r="C55" s="23" t="s">
        <v>429</v>
      </c>
      <c r="D55" s="23">
        <v>1260000</v>
      </c>
      <c r="E55" s="23" t="s">
        <v>279</v>
      </c>
      <c r="F55" s="23" t="str">
        <f t="shared" si="0"/>
        <v>rtdc.l.rtdc.4008:itc</v>
      </c>
      <c r="G55" s="8">
        <f t="shared" si="1"/>
        <v>42641.346180555556</v>
      </c>
    </row>
    <row r="56" spans="1:7" x14ac:dyDescent="0.25">
      <c r="A56" s="8">
        <v>42641.350810185184</v>
      </c>
      <c r="B56" s="23" t="s">
        <v>376</v>
      </c>
      <c r="C56" s="23" t="s">
        <v>430</v>
      </c>
      <c r="D56" s="23">
        <v>900000</v>
      </c>
      <c r="E56" s="23" t="s">
        <v>321</v>
      </c>
      <c r="F56" s="23" t="str">
        <f t="shared" si="0"/>
        <v>rtdc.l.rtdc.4040:itc</v>
      </c>
      <c r="G56" s="8">
        <f t="shared" si="1"/>
        <v>42641.350810185184</v>
      </c>
    </row>
    <row r="57" spans="1:7" x14ac:dyDescent="0.25">
      <c r="A57" s="8">
        <v>42641.355127314811</v>
      </c>
      <c r="B57" s="23" t="s">
        <v>263</v>
      </c>
      <c r="C57" s="23" t="s">
        <v>431</v>
      </c>
      <c r="D57" s="23">
        <v>1110000</v>
      </c>
      <c r="E57" s="23" t="s">
        <v>319</v>
      </c>
      <c r="F57" s="23" t="str">
        <f t="shared" si="0"/>
        <v>rtdc.l.rtdc.4029:itc</v>
      </c>
      <c r="G57" s="8">
        <f t="shared" si="1"/>
        <v>42641.355127314811</v>
      </c>
    </row>
    <row r="58" spans="1:7" x14ac:dyDescent="0.25">
      <c r="A58" s="8">
        <v>42641.359085648146</v>
      </c>
      <c r="B58" s="23" t="s">
        <v>273</v>
      </c>
      <c r="C58" s="23" t="s">
        <v>432</v>
      </c>
      <c r="D58" s="23">
        <v>1760000</v>
      </c>
      <c r="E58" s="23" t="s">
        <v>383</v>
      </c>
      <c r="F58" s="23" t="str">
        <f t="shared" si="0"/>
        <v>rtdc.l.rtdc.4017:itc</v>
      </c>
      <c r="G58" s="8">
        <f t="shared" si="1"/>
        <v>42641.359085648146</v>
      </c>
    </row>
    <row r="59" spans="1:7" x14ac:dyDescent="0.25">
      <c r="A59" s="8">
        <v>42641.360150462962</v>
      </c>
      <c r="B59" s="23" t="s">
        <v>274</v>
      </c>
      <c r="C59" s="23" t="s">
        <v>433</v>
      </c>
      <c r="D59" s="23">
        <v>1340000</v>
      </c>
      <c r="E59" s="23" t="s">
        <v>320</v>
      </c>
      <c r="F59" s="23" t="str">
        <f t="shared" si="0"/>
        <v>rtdc.l.rtdc.4015:itc</v>
      </c>
      <c r="G59" s="8">
        <f t="shared" si="1"/>
        <v>42641.360150462962</v>
      </c>
    </row>
    <row r="60" spans="1:7" x14ac:dyDescent="0.25">
      <c r="A60" s="8">
        <v>42641.36146990741</v>
      </c>
      <c r="B60" s="23" t="s">
        <v>391</v>
      </c>
      <c r="C60" s="23" t="s">
        <v>434</v>
      </c>
      <c r="D60" s="23">
        <v>2010000</v>
      </c>
      <c r="E60" s="23" t="s">
        <v>378</v>
      </c>
      <c r="F60" s="23" t="str">
        <f t="shared" si="0"/>
        <v>rtdc.l.rtdc.4002:itc</v>
      </c>
      <c r="G60" s="8">
        <f t="shared" si="1"/>
        <v>42641.36146990741</v>
      </c>
    </row>
    <row r="61" spans="1:7" x14ac:dyDescent="0.25">
      <c r="A61" s="8">
        <v>42641.37090277778</v>
      </c>
      <c r="B61" s="23" t="s">
        <v>164</v>
      </c>
      <c r="C61" s="23" t="s">
        <v>435</v>
      </c>
      <c r="D61" s="23">
        <v>1360000</v>
      </c>
      <c r="E61" s="23" t="s">
        <v>395</v>
      </c>
      <c r="F61" s="23" t="str">
        <f t="shared" si="0"/>
        <v>rtdc.l.rtdc.4020:itc</v>
      </c>
      <c r="G61" s="8">
        <f t="shared" si="1"/>
        <v>42641.37090277778</v>
      </c>
    </row>
    <row r="62" spans="1:7" x14ac:dyDescent="0.25">
      <c r="A62" s="8">
        <v>42641.372106481482</v>
      </c>
      <c r="B62" s="23" t="s">
        <v>317</v>
      </c>
      <c r="C62" s="23" t="s">
        <v>436</v>
      </c>
      <c r="D62" s="23">
        <v>1090000</v>
      </c>
      <c r="E62" s="23" t="s">
        <v>318</v>
      </c>
      <c r="F62" s="23" t="str">
        <f t="shared" si="0"/>
        <v>rtdc.l.rtdc.4013:itc</v>
      </c>
      <c r="G62" s="8">
        <f t="shared" si="1"/>
        <v>42641.372106481482</v>
      </c>
    </row>
    <row r="63" spans="1:7" x14ac:dyDescent="0.25">
      <c r="A63" s="8">
        <v>42641.378182870372</v>
      </c>
      <c r="B63" s="23" t="s">
        <v>316</v>
      </c>
      <c r="C63" s="23" t="s">
        <v>437</v>
      </c>
      <c r="D63" s="23">
        <v>2030000</v>
      </c>
      <c r="E63" s="23" t="s">
        <v>293</v>
      </c>
      <c r="F63" s="23" t="str">
        <f t="shared" si="0"/>
        <v>rtdc.l.rtdc.4045:itc</v>
      </c>
      <c r="G63" s="8">
        <f t="shared" si="1"/>
        <v>42641.378182870372</v>
      </c>
    </row>
    <row r="64" spans="1:7" x14ac:dyDescent="0.25">
      <c r="A64" s="29">
        <v>42641.383796296293</v>
      </c>
      <c r="B64" s="23" t="s">
        <v>417</v>
      </c>
      <c r="C64" s="23" t="s">
        <v>438</v>
      </c>
      <c r="D64" s="23">
        <v>1260000</v>
      </c>
      <c r="E64" s="23" t="s">
        <v>279</v>
      </c>
      <c r="F64" s="23" t="str">
        <f t="shared" si="0"/>
        <v>rtdc.l.rtdc.4007:itc</v>
      </c>
      <c r="G64" s="8">
        <f t="shared" si="1"/>
        <v>42641.383796296293</v>
      </c>
    </row>
    <row r="65" spans="1:7" x14ac:dyDescent="0.25">
      <c r="A65" s="8">
        <v>42641.386446759258</v>
      </c>
      <c r="B65" s="23" t="s">
        <v>260</v>
      </c>
      <c r="C65" s="23" t="s">
        <v>439</v>
      </c>
      <c r="D65" s="23">
        <v>1340000</v>
      </c>
      <c r="E65" s="23" t="s">
        <v>320</v>
      </c>
      <c r="F65" s="23" t="str">
        <f t="shared" si="0"/>
        <v>rtdc.l.rtdc.4016:itc</v>
      </c>
      <c r="G65" s="8">
        <f t="shared" si="1"/>
        <v>42641.386446759258</v>
      </c>
    </row>
    <row r="66" spans="1:7" x14ac:dyDescent="0.25">
      <c r="A66" s="8">
        <v>42641.389826388891</v>
      </c>
      <c r="B66" s="23" t="s">
        <v>399</v>
      </c>
      <c r="C66" s="23" t="s">
        <v>440</v>
      </c>
      <c r="D66" s="23">
        <v>900000</v>
      </c>
      <c r="E66" s="23" t="s">
        <v>321</v>
      </c>
      <c r="F66" s="23" t="str">
        <f t="shared" ref="F66:F129" si="2">B66</f>
        <v>rtdc.l.rtdc.4039:itc</v>
      </c>
      <c r="G66" s="8">
        <f t="shared" ref="G66:G129" si="3">A66</f>
        <v>42641.389826388891</v>
      </c>
    </row>
    <row r="67" spans="1:7" x14ac:dyDescent="0.25">
      <c r="A67" s="8">
        <v>42641.392847222225</v>
      </c>
      <c r="B67" s="23" t="s">
        <v>275</v>
      </c>
      <c r="C67" s="23" t="s">
        <v>441</v>
      </c>
      <c r="D67" s="23">
        <v>1760000</v>
      </c>
      <c r="E67" s="23" t="s">
        <v>383</v>
      </c>
      <c r="F67" s="23" t="str">
        <f t="shared" si="2"/>
        <v>rtdc.l.rtdc.4018:itc</v>
      </c>
      <c r="G67" s="8">
        <f t="shared" si="3"/>
        <v>42641.392847222225</v>
      </c>
    </row>
    <row r="68" spans="1:7" x14ac:dyDescent="0.25">
      <c r="A68" s="8">
        <v>42641.395694444444</v>
      </c>
      <c r="B68" s="23" t="s">
        <v>380</v>
      </c>
      <c r="C68" s="23" t="s">
        <v>442</v>
      </c>
      <c r="D68" s="23">
        <v>2010000</v>
      </c>
      <c r="E68" s="23" t="s">
        <v>378</v>
      </c>
      <c r="F68" s="23" t="str">
        <f t="shared" si="2"/>
        <v>rtdc.l.rtdc.4001:itc</v>
      </c>
      <c r="G68" s="8">
        <f t="shared" si="3"/>
        <v>42641.395694444444</v>
      </c>
    </row>
    <row r="69" spans="1:7" x14ac:dyDescent="0.25">
      <c r="A69" s="8">
        <v>42641.401493055557</v>
      </c>
      <c r="B69" s="23" t="s">
        <v>274</v>
      </c>
      <c r="C69" s="23" t="s">
        <v>443</v>
      </c>
      <c r="D69" s="23">
        <v>1340000</v>
      </c>
      <c r="E69" s="23" t="s">
        <v>320</v>
      </c>
      <c r="F69" s="23" t="str">
        <f t="shared" si="2"/>
        <v>rtdc.l.rtdc.4015:itc</v>
      </c>
      <c r="G69" s="8">
        <f t="shared" si="3"/>
        <v>42641.401493055557</v>
      </c>
    </row>
    <row r="70" spans="1:7" x14ac:dyDescent="0.25">
      <c r="A70" s="8">
        <v>42641.401932870373</v>
      </c>
      <c r="B70" s="23" t="s">
        <v>163</v>
      </c>
      <c r="C70" s="23" t="s">
        <v>444</v>
      </c>
      <c r="D70" s="23">
        <v>1360000</v>
      </c>
      <c r="E70" s="23" t="s">
        <v>395</v>
      </c>
      <c r="F70" s="23" t="str">
        <f t="shared" si="2"/>
        <v>rtdc.l.rtdc.4019:itc</v>
      </c>
      <c r="G70" s="8">
        <f t="shared" si="3"/>
        <v>42641.401932870373</v>
      </c>
    </row>
    <row r="71" spans="1:7" x14ac:dyDescent="0.25">
      <c r="A71" s="8">
        <v>42641.407233796293</v>
      </c>
      <c r="B71" s="23" t="s">
        <v>251</v>
      </c>
      <c r="C71" s="23" t="s">
        <v>445</v>
      </c>
      <c r="D71" s="23">
        <v>1090000</v>
      </c>
      <c r="E71" s="23" t="s">
        <v>318</v>
      </c>
      <c r="F71" s="23" t="str">
        <f t="shared" si="2"/>
        <v>rtdc.l.rtdc.4014:itc</v>
      </c>
      <c r="G71" s="8">
        <f t="shared" si="3"/>
        <v>42641.407233796293</v>
      </c>
    </row>
    <row r="72" spans="1:7" x14ac:dyDescent="0.25">
      <c r="A72" s="8">
        <v>42641.412928240738</v>
      </c>
      <c r="B72" s="23" t="s">
        <v>180</v>
      </c>
      <c r="C72" s="23" t="s">
        <v>446</v>
      </c>
      <c r="D72" s="23">
        <v>2030000</v>
      </c>
      <c r="E72" s="23" t="s">
        <v>293</v>
      </c>
      <c r="F72" s="23" t="str">
        <f t="shared" si="2"/>
        <v>rtdc.l.rtdc.4046:itc</v>
      </c>
      <c r="G72" s="8">
        <f t="shared" si="3"/>
        <v>42641.412928240738</v>
      </c>
    </row>
    <row r="73" spans="1:7" x14ac:dyDescent="0.25">
      <c r="A73" s="8">
        <v>42641.418136574073</v>
      </c>
      <c r="B73" s="23" t="s">
        <v>386</v>
      </c>
      <c r="C73" s="23" t="s">
        <v>447</v>
      </c>
      <c r="D73" s="23">
        <v>1260000</v>
      </c>
      <c r="E73" s="23" t="s">
        <v>279</v>
      </c>
      <c r="F73" s="23" t="str">
        <f t="shared" si="2"/>
        <v>rtdc.l.rtdc.4008:itc</v>
      </c>
      <c r="G73" s="8">
        <f t="shared" si="3"/>
        <v>42641.418136574073</v>
      </c>
    </row>
    <row r="74" spans="1:7" x14ac:dyDescent="0.25">
      <c r="A74" s="8">
        <v>42641.422546296293</v>
      </c>
      <c r="B74" s="23" t="s">
        <v>376</v>
      </c>
      <c r="C74" s="23" t="s">
        <v>448</v>
      </c>
      <c r="D74" s="23">
        <v>900000</v>
      </c>
      <c r="E74" s="23" t="s">
        <v>321</v>
      </c>
      <c r="F74" s="23" t="str">
        <f t="shared" si="2"/>
        <v>rtdc.l.rtdc.4040:itc</v>
      </c>
      <c r="G74" s="8">
        <f t="shared" si="3"/>
        <v>42641.422546296293</v>
      </c>
    </row>
    <row r="75" spans="1:7" x14ac:dyDescent="0.25">
      <c r="A75" s="8">
        <v>42641.427557870367</v>
      </c>
      <c r="B75" s="23" t="s">
        <v>176</v>
      </c>
      <c r="C75" s="23" t="s">
        <v>449</v>
      </c>
      <c r="D75" s="23">
        <v>2000000</v>
      </c>
      <c r="E75" s="23" t="s">
        <v>122</v>
      </c>
      <c r="F75" s="23" t="str">
        <f t="shared" si="2"/>
        <v>rtdc.l.rtdc.4010:itc</v>
      </c>
      <c r="G75" s="8">
        <f t="shared" si="3"/>
        <v>42641.427557870367</v>
      </c>
    </row>
    <row r="76" spans="1:7" x14ac:dyDescent="0.25">
      <c r="A76" s="8">
        <v>42641.428611111114</v>
      </c>
      <c r="B76" s="23" t="s">
        <v>260</v>
      </c>
      <c r="C76" s="23" t="s">
        <v>450</v>
      </c>
      <c r="D76" s="23">
        <v>1340000</v>
      </c>
      <c r="E76" s="23" t="s">
        <v>320</v>
      </c>
      <c r="F76" s="23" t="str">
        <f t="shared" si="2"/>
        <v>rtdc.l.rtdc.4016:itc</v>
      </c>
      <c r="G76" s="8">
        <f t="shared" si="3"/>
        <v>42641.428611111114</v>
      </c>
    </row>
    <row r="77" spans="1:7" x14ac:dyDescent="0.25">
      <c r="A77" s="8">
        <v>42641.430706018517</v>
      </c>
      <c r="B77" s="23" t="s">
        <v>273</v>
      </c>
      <c r="C77" s="23" t="s">
        <v>451</v>
      </c>
      <c r="D77" s="23">
        <v>1760000</v>
      </c>
      <c r="E77" s="23" t="s">
        <v>383</v>
      </c>
      <c r="F77" s="23" t="str">
        <f t="shared" si="2"/>
        <v>rtdc.l.rtdc.4017:itc</v>
      </c>
      <c r="G77" s="8">
        <f t="shared" si="3"/>
        <v>42641.430706018517</v>
      </c>
    </row>
    <row r="78" spans="1:7" x14ac:dyDescent="0.25">
      <c r="A78" s="8">
        <v>42641.433587962965</v>
      </c>
      <c r="B78" s="23" t="s">
        <v>391</v>
      </c>
      <c r="C78" s="23" t="s">
        <v>452</v>
      </c>
      <c r="D78" s="23">
        <v>1110000</v>
      </c>
      <c r="E78" s="23" t="s">
        <v>319</v>
      </c>
      <c r="F78" s="23" t="str">
        <f t="shared" si="2"/>
        <v>rtdc.l.rtdc.4002:itc</v>
      </c>
      <c r="G78" s="8">
        <f t="shared" si="3"/>
        <v>42641.433587962965</v>
      </c>
    </row>
    <row r="79" spans="1:7" x14ac:dyDescent="0.25">
      <c r="A79" s="8">
        <v>42641.435937499999</v>
      </c>
      <c r="B79" s="23" t="s">
        <v>326</v>
      </c>
      <c r="C79" s="23" t="s">
        <v>453</v>
      </c>
      <c r="D79" s="23">
        <v>940000</v>
      </c>
      <c r="E79" s="23" t="s">
        <v>276</v>
      </c>
      <c r="F79" s="23" t="str">
        <f t="shared" si="2"/>
        <v>rtdc.l.rtdc.4005:itc</v>
      </c>
      <c r="G79" s="8">
        <f t="shared" si="3"/>
        <v>42641.435937499999</v>
      </c>
    </row>
    <row r="80" spans="1:7" x14ac:dyDescent="0.25">
      <c r="A80" s="8">
        <v>42641.438310185185</v>
      </c>
      <c r="B80" s="23" t="s">
        <v>170</v>
      </c>
      <c r="C80" s="23" t="s">
        <v>454</v>
      </c>
      <c r="D80" s="23">
        <v>1240000</v>
      </c>
      <c r="E80" s="23" t="s">
        <v>322</v>
      </c>
      <c r="F80" s="23" t="str">
        <f t="shared" si="2"/>
        <v>rtdc.l.rtdc.4025:itc</v>
      </c>
      <c r="G80" s="8">
        <f t="shared" si="3"/>
        <v>42641.438310185185</v>
      </c>
    </row>
    <row r="81" spans="1:7" x14ac:dyDescent="0.25">
      <c r="A81" s="8">
        <v>42641.441805555558</v>
      </c>
      <c r="B81" s="23" t="s">
        <v>317</v>
      </c>
      <c r="C81" s="23" t="s">
        <v>455</v>
      </c>
      <c r="D81" s="23">
        <v>1090000</v>
      </c>
      <c r="E81" s="23" t="s">
        <v>318</v>
      </c>
      <c r="F81" s="23" t="str">
        <f t="shared" si="2"/>
        <v>rtdc.l.rtdc.4013:itc</v>
      </c>
      <c r="G81" s="8">
        <f t="shared" si="3"/>
        <v>42641.441805555558</v>
      </c>
    </row>
    <row r="82" spans="1:7" x14ac:dyDescent="0.25">
      <c r="A82" s="8">
        <v>42641.443287037036</v>
      </c>
      <c r="B82" s="23" t="s">
        <v>274</v>
      </c>
      <c r="C82" s="23" t="s">
        <v>456</v>
      </c>
      <c r="D82" s="23">
        <v>1340000</v>
      </c>
      <c r="E82" s="23" t="s">
        <v>320</v>
      </c>
      <c r="F82" s="23" t="str">
        <f t="shared" si="2"/>
        <v>rtdc.l.rtdc.4015:itc</v>
      </c>
      <c r="G82" s="8">
        <f t="shared" si="3"/>
        <v>42641.443287037036</v>
      </c>
    </row>
    <row r="83" spans="1:7" x14ac:dyDescent="0.25">
      <c r="A83" s="8">
        <v>42641.443414351852</v>
      </c>
      <c r="B83" s="23" t="s">
        <v>164</v>
      </c>
      <c r="C83" s="23" t="s">
        <v>457</v>
      </c>
      <c r="D83" s="23">
        <v>1360000</v>
      </c>
      <c r="E83" s="23" t="s">
        <v>395</v>
      </c>
      <c r="F83" s="23" t="str">
        <f t="shared" si="2"/>
        <v>rtdc.l.rtdc.4020:itc</v>
      </c>
      <c r="G83" s="8">
        <f t="shared" si="3"/>
        <v>42641.443414351852</v>
      </c>
    </row>
    <row r="84" spans="1:7" x14ac:dyDescent="0.25">
      <c r="A84" s="8">
        <v>42641.448773148149</v>
      </c>
      <c r="B84" s="23" t="s">
        <v>316</v>
      </c>
      <c r="C84" s="23" t="s">
        <v>458</v>
      </c>
      <c r="D84" s="23">
        <v>2030000</v>
      </c>
      <c r="E84" s="23" t="s">
        <v>293</v>
      </c>
      <c r="F84" s="23" t="str">
        <f t="shared" si="2"/>
        <v>rtdc.l.rtdc.4045:itc</v>
      </c>
      <c r="G84" s="8">
        <f t="shared" si="3"/>
        <v>42641.448773148149</v>
      </c>
    </row>
    <row r="85" spans="1:7" x14ac:dyDescent="0.25">
      <c r="A85" s="8">
        <v>42641.455659722225</v>
      </c>
      <c r="B85" s="23" t="s">
        <v>417</v>
      </c>
      <c r="C85" s="23" t="s">
        <v>459</v>
      </c>
      <c r="D85" s="23">
        <v>940000</v>
      </c>
      <c r="E85" s="23" t="s">
        <v>276</v>
      </c>
      <c r="F85" s="23" t="str">
        <f t="shared" si="2"/>
        <v>rtdc.l.rtdc.4007:itc</v>
      </c>
      <c r="G85" s="8">
        <f t="shared" si="3"/>
        <v>42641.455659722225</v>
      </c>
    </row>
    <row r="86" spans="1:7" x14ac:dyDescent="0.25">
      <c r="A86" s="8">
        <v>42641.457199074073</v>
      </c>
      <c r="B86" s="23" t="s">
        <v>324</v>
      </c>
      <c r="C86" s="23" t="s">
        <v>460</v>
      </c>
      <c r="D86" s="23">
        <v>1540000</v>
      </c>
      <c r="E86" s="23" t="s">
        <v>252</v>
      </c>
      <c r="F86" s="23" t="str">
        <f t="shared" si="2"/>
        <v>rtdc.l.rtdc.4021:itc</v>
      </c>
      <c r="G86" s="8">
        <f t="shared" si="3"/>
        <v>42641.457199074073</v>
      </c>
    </row>
    <row r="87" spans="1:7" x14ac:dyDescent="0.25">
      <c r="A87" s="8">
        <v>42641.464108796295</v>
      </c>
      <c r="B87" s="23" t="s">
        <v>399</v>
      </c>
      <c r="C87" s="23" t="s">
        <v>461</v>
      </c>
      <c r="D87" s="23">
        <v>900000</v>
      </c>
      <c r="E87" s="23" t="s">
        <v>321</v>
      </c>
      <c r="F87" s="23" t="str">
        <f t="shared" si="2"/>
        <v>rtdc.l.rtdc.4039:itc</v>
      </c>
      <c r="G87" s="8">
        <f t="shared" si="3"/>
        <v>42641.464108796295</v>
      </c>
    </row>
    <row r="88" spans="1:7" x14ac:dyDescent="0.25">
      <c r="A88" s="8">
        <v>42641.464965277781</v>
      </c>
      <c r="B88" s="23" t="s">
        <v>275</v>
      </c>
      <c r="C88" s="23" t="s">
        <v>462</v>
      </c>
      <c r="D88" s="23">
        <v>1280000</v>
      </c>
      <c r="E88" s="23" t="s">
        <v>280</v>
      </c>
      <c r="F88" s="23" t="str">
        <f t="shared" si="2"/>
        <v>rtdc.l.rtdc.4018:itc</v>
      </c>
      <c r="G88" s="8">
        <f t="shared" si="3"/>
        <v>42641.464965277781</v>
      </c>
    </row>
    <row r="89" spans="1:7" x14ac:dyDescent="0.25">
      <c r="A89" s="8">
        <v>42641.466331018521</v>
      </c>
      <c r="B89" s="23" t="s">
        <v>260</v>
      </c>
      <c r="C89" s="23" t="s">
        <v>463</v>
      </c>
      <c r="D89" s="23">
        <v>1340000</v>
      </c>
      <c r="E89" s="23" t="s">
        <v>320</v>
      </c>
      <c r="F89" s="23" t="str">
        <f t="shared" si="2"/>
        <v>rtdc.l.rtdc.4016:itc</v>
      </c>
      <c r="G89" s="8">
        <f t="shared" si="3"/>
        <v>42641.466331018521</v>
      </c>
    </row>
    <row r="90" spans="1:7" x14ac:dyDescent="0.25">
      <c r="A90" s="8">
        <v>42641.470196759263</v>
      </c>
      <c r="B90" s="23" t="s">
        <v>328</v>
      </c>
      <c r="C90" s="23" t="s">
        <v>464</v>
      </c>
      <c r="D90" s="23">
        <v>1760000</v>
      </c>
      <c r="E90" s="23" t="s">
        <v>383</v>
      </c>
      <c r="F90" s="23" t="str">
        <f t="shared" si="2"/>
        <v>rtdc.l.rtdc.4006:itc</v>
      </c>
      <c r="G90" s="8">
        <f t="shared" si="3"/>
        <v>42641.470196759263</v>
      </c>
    </row>
    <row r="91" spans="1:7" x14ac:dyDescent="0.25">
      <c r="A91" s="8">
        <v>42641.474062499998</v>
      </c>
      <c r="B91" s="23" t="s">
        <v>380</v>
      </c>
      <c r="C91" s="23" t="s">
        <v>465</v>
      </c>
      <c r="D91" s="23">
        <v>1110000</v>
      </c>
      <c r="E91" s="23" t="s">
        <v>319</v>
      </c>
      <c r="F91" s="23" t="str">
        <f t="shared" si="2"/>
        <v>rtdc.l.rtdc.4001:itc</v>
      </c>
      <c r="G91" s="8">
        <f t="shared" si="3"/>
        <v>42641.474062499998</v>
      </c>
    </row>
    <row r="92" spans="1:7" x14ac:dyDescent="0.25">
      <c r="A92" s="8">
        <v>42641.475914351853</v>
      </c>
      <c r="B92" s="23" t="s">
        <v>251</v>
      </c>
      <c r="C92" s="23" t="s">
        <v>466</v>
      </c>
      <c r="D92" s="23">
        <v>1540000</v>
      </c>
      <c r="E92" s="23" t="s">
        <v>252</v>
      </c>
      <c r="F92" s="23" t="str">
        <f t="shared" si="2"/>
        <v>rtdc.l.rtdc.4014:itc</v>
      </c>
      <c r="G92" s="8">
        <f t="shared" si="3"/>
        <v>42641.475914351853</v>
      </c>
    </row>
    <row r="93" spans="1:7" x14ac:dyDescent="0.25">
      <c r="A93" s="8">
        <v>42641.482094907406</v>
      </c>
      <c r="B93" s="23" t="s">
        <v>163</v>
      </c>
      <c r="C93" s="23" t="s">
        <v>467</v>
      </c>
      <c r="D93" s="23">
        <v>1360000</v>
      </c>
      <c r="E93" s="23" t="s">
        <v>395</v>
      </c>
      <c r="F93" s="23" t="str">
        <f t="shared" si="2"/>
        <v>rtdc.l.rtdc.4019:itc</v>
      </c>
      <c r="G93" s="8">
        <f t="shared" si="3"/>
        <v>42641.482094907406</v>
      </c>
    </row>
    <row r="94" spans="1:7" x14ac:dyDescent="0.25">
      <c r="A94" s="8">
        <v>42641.484629629631</v>
      </c>
      <c r="B94" s="23" t="s">
        <v>274</v>
      </c>
      <c r="C94" s="23" t="s">
        <v>468</v>
      </c>
      <c r="D94" s="23">
        <v>1340000</v>
      </c>
      <c r="E94" s="23" t="s">
        <v>320</v>
      </c>
      <c r="F94" s="23" t="str">
        <f t="shared" si="2"/>
        <v>rtdc.l.rtdc.4015:itc</v>
      </c>
      <c r="G94" s="8">
        <f t="shared" si="3"/>
        <v>42641.484629629631</v>
      </c>
    </row>
    <row r="95" spans="1:7" x14ac:dyDescent="0.25">
      <c r="A95" s="8">
        <v>42641.485925925925</v>
      </c>
      <c r="B95" s="23" t="s">
        <v>180</v>
      </c>
      <c r="C95" s="23" t="s">
        <v>469</v>
      </c>
      <c r="D95" s="23">
        <v>2220000</v>
      </c>
      <c r="E95" s="23" t="s">
        <v>325</v>
      </c>
      <c r="F95" s="23" t="str">
        <f t="shared" si="2"/>
        <v>rtdc.l.rtdc.4046:itc</v>
      </c>
      <c r="G95" s="8">
        <f t="shared" si="3"/>
        <v>42641.485925925925</v>
      </c>
    </row>
    <row r="96" spans="1:7" x14ac:dyDescent="0.25">
      <c r="A96" s="8">
        <v>42641.490231481483</v>
      </c>
      <c r="B96" s="23" t="s">
        <v>386</v>
      </c>
      <c r="C96" s="23" t="s">
        <v>470</v>
      </c>
      <c r="D96" s="23">
        <v>940000</v>
      </c>
      <c r="E96" s="23" t="s">
        <v>276</v>
      </c>
      <c r="F96" s="23" t="str">
        <f t="shared" si="2"/>
        <v>rtdc.l.rtdc.4008:itc</v>
      </c>
      <c r="G96" s="8">
        <f t="shared" si="3"/>
        <v>42641.490231481483</v>
      </c>
    </row>
    <row r="97" spans="1:7" x14ac:dyDescent="0.25">
      <c r="A97" s="8">
        <v>42641.491435185184</v>
      </c>
      <c r="B97" s="23" t="s">
        <v>327</v>
      </c>
      <c r="C97" s="23" t="s">
        <v>460</v>
      </c>
      <c r="D97" s="23">
        <v>1090000</v>
      </c>
      <c r="E97" s="23" t="s">
        <v>318</v>
      </c>
      <c r="F97" s="23" t="str">
        <f t="shared" si="2"/>
        <v>rtdc.l.rtdc.4022:itc</v>
      </c>
      <c r="G97" s="8">
        <f t="shared" si="3"/>
        <v>42641.491435185184</v>
      </c>
    </row>
    <row r="98" spans="1:7" x14ac:dyDescent="0.25">
      <c r="A98" s="8">
        <v>42641.497129629628</v>
      </c>
      <c r="B98" s="23" t="s">
        <v>376</v>
      </c>
      <c r="C98" s="23" t="s">
        <v>471</v>
      </c>
      <c r="D98" s="23">
        <v>1140000</v>
      </c>
      <c r="E98" s="23" t="s">
        <v>294</v>
      </c>
      <c r="F98" s="23" t="str">
        <f t="shared" si="2"/>
        <v>rtdc.l.rtdc.4040:itc</v>
      </c>
      <c r="G98" s="8">
        <f t="shared" si="3"/>
        <v>42641.497129629628</v>
      </c>
    </row>
    <row r="99" spans="1:7" x14ac:dyDescent="0.25">
      <c r="A99" s="8">
        <v>42641.49796296296</v>
      </c>
      <c r="B99" s="23" t="s">
        <v>273</v>
      </c>
      <c r="C99" s="23" t="s">
        <v>472</v>
      </c>
      <c r="D99" s="23">
        <v>1280000</v>
      </c>
      <c r="E99" s="23" t="s">
        <v>280</v>
      </c>
      <c r="F99" s="23" t="str">
        <f t="shared" si="2"/>
        <v>rtdc.l.rtdc.4017:itc</v>
      </c>
      <c r="G99" s="8">
        <f t="shared" si="3"/>
        <v>42641.49796296296</v>
      </c>
    </row>
    <row r="100" spans="1:7" x14ac:dyDescent="0.25">
      <c r="A100" s="8">
        <v>42641.508645833332</v>
      </c>
      <c r="B100" s="23" t="s">
        <v>391</v>
      </c>
      <c r="C100" s="23" t="s">
        <v>473</v>
      </c>
      <c r="D100" s="23">
        <v>1770000</v>
      </c>
      <c r="E100" s="23" t="s">
        <v>281</v>
      </c>
      <c r="F100" s="23" t="str">
        <f t="shared" si="2"/>
        <v>rtdc.l.rtdc.4002:itc</v>
      </c>
      <c r="G100" s="8">
        <f t="shared" si="3"/>
        <v>42641.508645833332</v>
      </c>
    </row>
    <row r="101" spans="1:7" x14ac:dyDescent="0.25">
      <c r="A101" s="8">
        <v>42641.512152777781</v>
      </c>
      <c r="B101" s="23" t="s">
        <v>260</v>
      </c>
      <c r="C101" s="23" t="s">
        <v>474</v>
      </c>
      <c r="D101" s="23">
        <v>1340000</v>
      </c>
      <c r="E101" s="23" t="s">
        <v>320</v>
      </c>
      <c r="F101" s="23" t="str">
        <f t="shared" si="2"/>
        <v>rtdc.l.rtdc.4016:itc</v>
      </c>
      <c r="G101" s="8">
        <f t="shared" si="3"/>
        <v>42641.512152777781</v>
      </c>
    </row>
    <row r="102" spans="1:7" x14ac:dyDescent="0.25">
      <c r="A102" s="8">
        <v>42641.515879629631</v>
      </c>
      <c r="B102" s="23" t="s">
        <v>317</v>
      </c>
      <c r="C102" s="23" t="s">
        <v>475</v>
      </c>
      <c r="D102" s="23">
        <v>1540000</v>
      </c>
      <c r="E102" s="23" t="s">
        <v>252</v>
      </c>
      <c r="F102" s="23" t="str">
        <f t="shared" si="2"/>
        <v>rtdc.l.rtdc.4013:itc</v>
      </c>
      <c r="G102" s="8">
        <f t="shared" si="3"/>
        <v>42641.515879629631</v>
      </c>
    </row>
    <row r="103" spans="1:7" x14ac:dyDescent="0.25">
      <c r="A103" s="8">
        <v>42641.516805555555</v>
      </c>
      <c r="B103" s="23" t="s">
        <v>164</v>
      </c>
      <c r="C103" s="23" t="s">
        <v>476</v>
      </c>
      <c r="D103" s="23">
        <v>1740000</v>
      </c>
      <c r="E103" s="23" t="s">
        <v>323</v>
      </c>
      <c r="F103" s="23" t="str">
        <f t="shared" si="2"/>
        <v>rtdc.l.rtdc.4020:itc</v>
      </c>
      <c r="G103" s="8">
        <f t="shared" si="3"/>
        <v>42641.516805555555</v>
      </c>
    </row>
    <row r="104" spans="1:7" x14ac:dyDescent="0.25">
      <c r="A104" s="8">
        <v>42641.517777777779</v>
      </c>
      <c r="B104" s="23" t="s">
        <v>316</v>
      </c>
      <c r="C104" s="23" t="s">
        <v>477</v>
      </c>
      <c r="D104" s="23">
        <v>2220000</v>
      </c>
      <c r="E104" s="23" t="s">
        <v>325</v>
      </c>
      <c r="F104" s="23" t="str">
        <f t="shared" si="2"/>
        <v>rtdc.l.rtdc.4045:itc</v>
      </c>
      <c r="G104" s="8">
        <f t="shared" si="3"/>
        <v>42641.517777777779</v>
      </c>
    </row>
    <row r="105" spans="1:7" x14ac:dyDescent="0.25">
      <c r="A105" s="8">
        <v>42641.526261574072</v>
      </c>
      <c r="B105" s="23" t="s">
        <v>417</v>
      </c>
      <c r="C105" s="23" t="s">
        <v>478</v>
      </c>
      <c r="D105" s="23">
        <v>940000</v>
      </c>
      <c r="E105" s="23" t="s">
        <v>276</v>
      </c>
      <c r="F105" s="23" t="str">
        <f t="shared" si="2"/>
        <v>rtdc.l.rtdc.4007:itc</v>
      </c>
      <c r="G105" s="8">
        <f t="shared" si="3"/>
        <v>42641.526261574072</v>
      </c>
    </row>
    <row r="106" spans="1:7" x14ac:dyDescent="0.25">
      <c r="A106" s="8">
        <v>42641.52783564815</v>
      </c>
      <c r="B106" s="23" t="s">
        <v>274</v>
      </c>
      <c r="C106" s="23" t="s">
        <v>479</v>
      </c>
      <c r="D106" s="23">
        <v>1340000</v>
      </c>
      <c r="E106" s="23" t="s">
        <v>320</v>
      </c>
      <c r="F106" s="23" t="str">
        <f t="shared" si="2"/>
        <v>rtdc.l.rtdc.4015:itc</v>
      </c>
      <c r="G106" s="8">
        <f t="shared" si="3"/>
        <v>42641.52783564815</v>
      </c>
    </row>
    <row r="107" spans="1:7" x14ac:dyDescent="0.25">
      <c r="A107" s="8">
        <v>42641.530624999999</v>
      </c>
      <c r="B107" s="23" t="s">
        <v>399</v>
      </c>
      <c r="C107" s="23" t="s">
        <v>480</v>
      </c>
      <c r="D107" s="23">
        <v>1140000</v>
      </c>
      <c r="E107" s="23" t="s">
        <v>294</v>
      </c>
      <c r="F107" s="23" t="str">
        <f t="shared" si="2"/>
        <v>rtdc.l.rtdc.4039:itc</v>
      </c>
      <c r="G107" s="8">
        <f t="shared" si="3"/>
        <v>42641.530624999999</v>
      </c>
    </row>
    <row r="108" spans="1:7" x14ac:dyDescent="0.25">
      <c r="A108" s="8">
        <v>42641.537638888891</v>
      </c>
      <c r="B108" s="23" t="s">
        <v>275</v>
      </c>
      <c r="C108" s="23" t="s">
        <v>481</v>
      </c>
      <c r="D108" s="23">
        <v>1280000</v>
      </c>
      <c r="E108" s="23" t="s">
        <v>280</v>
      </c>
      <c r="F108" s="23" t="str">
        <f t="shared" si="2"/>
        <v>rtdc.l.rtdc.4018:itc</v>
      </c>
      <c r="G108" s="8">
        <f t="shared" si="3"/>
        <v>42641.537638888891</v>
      </c>
    </row>
    <row r="109" spans="1:7" x14ac:dyDescent="0.25">
      <c r="A109" s="8">
        <v>42641.538912037038</v>
      </c>
      <c r="B109" s="23" t="s">
        <v>324</v>
      </c>
      <c r="C109" s="23" t="s">
        <v>482</v>
      </c>
      <c r="D109" s="23">
        <v>2040000</v>
      </c>
      <c r="E109" s="23" t="s">
        <v>483</v>
      </c>
      <c r="F109" s="23" t="str">
        <f t="shared" si="2"/>
        <v>rtdc.l.rtdc.4021:itc</v>
      </c>
      <c r="G109" s="8">
        <f t="shared" si="3"/>
        <v>42641.538912037038</v>
      </c>
    </row>
    <row r="110" spans="1:7" x14ac:dyDescent="0.25">
      <c r="A110" s="8">
        <v>42641.544293981482</v>
      </c>
      <c r="B110" s="23" t="s">
        <v>380</v>
      </c>
      <c r="C110" s="23" t="s">
        <v>484</v>
      </c>
      <c r="D110" s="23">
        <v>1770000</v>
      </c>
      <c r="E110" s="23" t="s">
        <v>281</v>
      </c>
      <c r="F110" s="23" t="str">
        <f t="shared" si="2"/>
        <v>rtdc.l.rtdc.4001:itc</v>
      </c>
      <c r="G110" s="8">
        <f t="shared" si="3"/>
        <v>42641.544293981482</v>
      </c>
    </row>
    <row r="111" spans="1:7" x14ac:dyDescent="0.25">
      <c r="A111" s="8">
        <v>42641.548229166663</v>
      </c>
      <c r="B111" s="23" t="s">
        <v>327</v>
      </c>
      <c r="C111" s="23" t="s">
        <v>482</v>
      </c>
      <c r="D111" s="23">
        <v>1340000</v>
      </c>
      <c r="E111" s="23" t="s">
        <v>320</v>
      </c>
      <c r="F111" s="23" t="str">
        <f t="shared" si="2"/>
        <v>rtdc.l.rtdc.4022:itc</v>
      </c>
      <c r="G111" s="8">
        <f t="shared" si="3"/>
        <v>42641.548229166663</v>
      </c>
    </row>
    <row r="112" spans="1:7" x14ac:dyDescent="0.25">
      <c r="A112" s="8">
        <v>42641.550023148149</v>
      </c>
      <c r="B112" s="23" t="s">
        <v>251</v>
      </c>
      <c r="C112" s="23" t="s">
        <v>485</v>
      </c>
      <c r="D112" s="23">
        <v>1540000</v>
      </c>
      <c r="E112" s="23" t="s">
        <v>252</v>
      </c>
      <c r="F112" s="23" t="str">
        <f t="shared" si="2"/>
        <v>rtdc.l.rtdc.4014:itc</v>
      </c>
      <c r="G112" s="8">
        <f t="shared" si="3"/>
        <v>42641.550023148149</v>
      </c>
    </row>
    <row r="113" spans="1:7" x14ac:dyDescent="0.25">
      <c r="A113" s="8">
        <v>42641.552685185183</v>
      </c>
      <c r="B113" s="23" t="s">
        <v>260</v>
      </c>
      <c r="C113" s="23" t="s">
        <v>486</v>
      </c>
      <c r="D113" s="23">
        <v>2040000</v>
      </c>
      <c r="E113" s="23" t="s">
        <v>483</v>
      </c>
      <c r="F113" s="23" t="str">
        <f t="shared" si="2"/>
        <v>rtdc.l.rtdc.4016:itc</v>
      </c>
      <c r="G113" s="8">
        <f t="shared" si="3"/>
        <v>42641.552685185183</v>
      </c>
    </row>
    <row r="114" spans="1:7" x14ac:dyDescent="0.25">
      <c r="A114" s="8">
        <v>42641.555752314816</v>
      </c>
      <c r="B114" s="23" t="s">
        <v>163</v>
      </c>
      <c r="C114" s="23" t="s">
        <v>487</v>
      </c>
      <c r="D114" s="23">
        <v>1740000</v>
      </c>
      <c r="E114" s="23" t="s">
        <v>323</v>
      </c>
      <c r="F114" s="23" t="str">
        <f t="shared" si="2"/>
        <v>rtdc.l.rtdc.4019:itc</v>
      </c>
      <c r="G114" s="8">
        <f t="shared" si="3"/>
        <v>42641.555752314816</v>
      </c>
    </row>
    <row r="115" spans="1:7" x14ac:dyDescent="0.25">
      <c r="A115" s="8">
        <v>42641.557395833333</v>
      </c>
      <c r="B115" s="23" t="s">
        <v>180</v>
      </c>
      <c r="C115" s="23" t="s">
        <v>488</v>
      </c>
      <c r="D115" s="23">
        <v>2220000</v>
      </c>
      <c r="E115" s="23" t="s">
        <v>325</v>
      </c>
      <c r="F115" s="23" t="str">
        <f t="shared" si="2"/>
        <v>rtdc.l.rtdc.4046:itc</v>
      </c>
      <c r="G115" s="8">
        <f t="shared" si="3"/>
        <v>42641.557395833333</v>
      </c>
    </row>
    <row r="116" spans="1:7" x14ac:dyDescent="0.25">
      <c r="A116" s="8">
        <v>42641.561435185184</v>
      </c>
      <c r="B116" s="23" t="s">
        <v>386</v>
      </c>
      <c r="C116" s="23" t="s">
        <v>489</v>
      </c>
      <c r="D116" s="23">
        <v>940000</v>
      </c>
      <c r="E116" s="23" t="s">
        <v>276</v>
      </c>
      <c r="F116" s="23" t="str">
        <f t="shared" si="2"/>
        <v>rtdc.l.rtdc.4008:itc</v>
      </c>
      <c r="G116" s="8">
        <f t="shared" si="3"/>
        <v>42641.561435185184</v>
      </c>
    </row>
    <row r="117" spans="1:7" x14ac:dyDescent="0.25">
      <c r="A117" s="8">
        <v>42641.569166666668</v>
      </c>
      <c r="B117" s="23" t="s">
        <v>274</v>
      </c>
      <c r="C117" s="23" t="s">
        <v>490</v>
      </c>
      <c r="D117" s="23">
        <v>2040000</v>
      </c>
      <c r="E117" s="23" t="s">
        <v>483</v>
      </c>
      <c r="F117" s="23" t="str">
        <f t="shared" si="2"/>
        <v>rtdc.l.rtdc.4015:itc</v>
      </c>
      <c r="G117" s="8">
        <f t="shared" si="3"/>
        <v>42641.569166666668</v>
      </c>
    </row>
    <row r="118" spans="1:7" x14ac:dyDescent="0.25">
      <c r="A118" s="8">
        <v>42641.569803240738</v>
      </c>
      <c r="B118" s="23" t="s">
        <v>376</v>
      </c>
      <c r="C118" s="23" t="s">
        <v>491</v>
      </c>
      <c r="D118" s="23">
        <v>1140000</v>
      </c>
      <c r="E118" s="23" t="s">
        <v>294</v>
      </c>
      <c r="F118" s="23" t="str">
        <f t="shared" si="2"/>
        <v>rtdc.l.rtdc.4040:itc</v>
      </c>
      <c r="G118" s="8">
        <f t="shared" si="3"/>
        <v>42641.569803240738</v>
      </c>
    </row>
    <row r="119" spans="1:7" x14ac:dyDescent="0.25">
      <c r="A119" s="8">
        <v>42641.578321759262</v>
      </c>
      <c r="B119" s="23" t="s">
        <v>273</v>
      </c>
      <c r="C119" s="23" t="s">
        <v>492</v>
      </c>
      <c r="D119" s="23">
        <v>1280000</v>
      </c>
      <c r="E119" s="23" t="s">
        <v>280</v>
      </c>
      <c r="F119" s="23" t="str">
        <f t="shared" si="2"/>
        <v>rtdc.l.rtdc.4017:itc</v>
      </c>
      <c r="G119" s="8">
        <f t="shared" si="3"/>
        <v>42641.578321759262</v>
      </c>
    </row>
    <row r="120" spans="1:7" x14ac:dyDescent="0.25">
      <c r="A120" s="8">
        <v>42641.578969907408</v>
      </c>
      <c r="B120" s="23" t="s">
        <v>391</v>
      </c>
      <c r="C120" s="23" t="s">
        <v>493</v>
      </c>
      <c r="D120" s="23">
        <v>1770000</v>
      </c>
      <c r="E120" s="23" t="s">
        <v>281</v>
      </c>
      <c r="F120" s="23" t="str">
        <f t="shared" si="2"/>
        <v>rtdc.l.rtdc.4002:itc</v>
      </c>
      <c r="G120" s="8">
        <f t="shared" si="3"/>
        <v>42641.578969907408</v>
      </c>
    </row>
    <row r="121" spans="1:7" x14ac:dyDescent="0.25">
      <c r="A121" s="8">
        <v>42641.58666666667</v>
      </c>
      <c r="B121" s="23" t="s">
        <v>317</v>
      </c>
      <c r="C121" s="23" t="s">
        <v>494</v>
      </c>
      <c r="D121" s="23">
        <v>1540000</v>
      </c>
      <c r="E121" s="23" t="s">
        <v>252</v>
      </c>
      <c r="F121" s="23" t="str">
        <f t="shared" si="2"/>
        <v>rtdc.l.rtdc.4013:itc</v>
      </c>
      <c r="G121" s="8">
        <f t="shared" si="3"/>
        <v>42641.58666666667</v>
      </c>
    </row>
    <row r="122" spans="1:7" x14ac:dyDescent="0.25">
      <c r="A122" s="8">
        <v>42641.589224537034</v>
      </c>
      <c r="B122" s="28" t="s">
        <v>164</v>
      </c>
      <c r="C122" s="23" t="s">
        <v>495</v>
      </c>
      <c r="D122" s="23">
        <v>1740000</v>
      </c>
      <c r="E122" s="23" t="s">
        <v>323</v>
      </c>
      <c r="F122" s="23" t="str">
        <f t="shared" si="2"/>
        <v>rtdc.l.rtdc.4020:itc</v>
      </c>
      <c r="G122" s="8">
        <f t="shared" si="3"/>
        <v>42641.589224537034</v>
      </c>
    </row>
    <row r="123" spans="1:7" x14ac:dyDescent="0.25">
      <c r="A123" s="8">
        <v>42641.592893518522</v>
      </c>
      <c r="B123" s="23" t="s">
        <v>316</v>
      </c>
      <c r="C123" s="23" t="s">
        <v>496</v>
      </c>
      <c r="D123" s="23">
        <v>2220000</v>
      </c>
      <c r="E123" s="23" t="s">
        <v>325</v>
      </c>
      <c r="F123" s="23" t="str">
        <f t="shared" si="2"/>
        <v>rtdc.l.rtdc.4045:itc</v>
      </c>
      <c r="G123" s="8">
        <f t="shared" si="3"/>
        <v>42641.592893518522</v>
      </c>
    </row>
    <row r="124" spans="1:7" x14ac:dyDescent="0.25">
      <c r="A124" s="8">
        <v>42641.595682870371</v>
      </c>
      <c r="B124" s="23" t="s">
        <v>260</v>
      </c>
      <c r="C124" s="23" t="s">
        <v>497</v>
      </c>
      <c r="D124" s="23">
        <v>2040000</v>
      </c>
      <c r="E124" s="23" t="s">
        <v>483</v>
      </c>
      <c r="F124" s="23" t="str">
        <f t="shared" si="2"/>
        <v>rtdc.l.rtdc.4016:itc</v>
      </c>
      <c r="G124" s="8">
        <f t="shared" si="3"/>
        <v>42641.595682870371</v>
      </c>
    </row>
    <row r="125" spans="1:7" x14ac:dyDescent="0.25">
      <c r="A125" s="8">
        <v>42641.599768518521</v>
      </c>
      <c r="B125" s="23" t="s">
        <v>417</v>
      </c>
      <c r="C125" s="23" t="s">
        <v>498</v>
      </c>
      <c r="D125" s="23">
        <v>940000</v>
      </c>
      <c r="E125" s="23" t="s">
        <v>276</v>
      </c>
      <c r="F125" s="23" t="str">
        <f t="shared" si="2"/>
        <v>rtdc.l.rtdc.4007:itc</v>
      </c>
      <c r="G125" s="8">
        <f t="shared" si="3"/>
        <v>42641.599768518521</v>
      </c>
    </row>
    <row r="126" spans="1:7" x14ac:dyDescent="0.25">
      <c r="A126" s="8">
        <v>42641.608912037038</v>
      </c>
      <c r="B126" s="23" t="s">
        <v>399</v>
      </c>
      <c r="C126" s="23" t="s">
        <v>499</v>
      </c>
      <c r="D126" s="23">
        <v>1140000</v>
      </c>
      <c r="E126" s="23" t="s">
        <v>294</v>
      </c>
      <c r="F126" s="23" t="str">
        <f t="shared" si="2"/>
        <v>rtdc.l.rtdc.4039:itc</v>
      </c>
      <c r="G126" s="8">
        <f t="shared" si="3"/>
        <v>42641.608912037038</v>
      </c>
    </row>
    <row r="127" spans="1:7" x14ac:dyDescent="0.25">
      <c r="A127" s="8">
        <v>42641.609942129631</v>
      </c>
      <c r="B127" s="23" t="s">
        <v>274</v>
      </c>
      <c r="C127" s="23" t="s">
        <v>500</v>
      </c>
      <c r="D127" s="23">
        <v>2040000</v>
      </c>
      <c r="E127" s="23" t="s">
        <v>483</v>
      </c>
      <c r="F127" s="23" t="str">
        <f t="shared" si="2"/>
        <v>rtdc.l.rtdc.4015:itc</v>
      </c>
      <c r="G127" s="8">
        <f t="shared" si="3"/>
        <v>42641.609942129631</v>
      </c>
    </row>
    <row r="128" spans="1:7" x14ac:dyDescent="0.25">
      <c r="A128" s="8">
        <v>42641.61078703704</v>
      </c>
      <c r="B128" s="23" t="s">
        <v>275</v>
      </c>
      <c r="C128" s="23" t="s">
        <v>501</v>
      </c>
      <c r="D128" s="23">
        <v>1280000</v>
      </c>
      <c r="E128" s="23" t="s">
        <v>280</v>
      </c>
      <c r="F128" s="23" t="str">
        <f t="shared" si="2"/>
        <v>rtdc.l.rtdc.4018:itc</v>
      </c>
      <c r="G128" s="8">
        <f t="shared" si="3"/>
        <v>42641.61078703704</v>
      </c>
    </row>
    <row r="129" spans="1:7" x14ac:dyDescent="0.25">
      <c r="A129" s="8">
        <v>42641.613240740742</v>
      </c>
      <c r="B129" s="23" t="s">
        <v>380</v>
      </c>
      <c r="C129" s="23" t="s">
        <v>502</v>
      </c>
      <c r="D129" s="23">
        <v>1770000</v>
      </c>
      <c r="E129" s="23" t="s">
        <v>281</v>
      </c>
      <c r="F129" s="23" t="str">
        <f t="shared" si="2"/>
        <v>rtdc.l.rtdc.4001:itc</v>
      </c>
      <c r="G129" s="8">
        <f t="shared" si="3"/>
        <v>42641.613240740742</v>
      </c>
    </row>
    <row r="130" spans="1:7" x14ac:dyDescent="0.25">
      <c r="A130" s="8">
        <v>42641.621157407404</v>
      </c>
      <c r="B130" s="23" t="s">
        <v>251</v>
      </c>
      <c r="C130" s="23" t="s">
        <v>503</v>
      </c>
      <c r="D130" s="23">
        <v>1540000</v>
      </c>
      <c r="E130" s="23" t="s">
        <v>252</v>
      </c>
      <c r="F130" s="23" t="str">
        <f t="shared" ref="F130:F193" si="4">B130</f>
        <v>rtdc.l.rtdc.4014:itc</v>
      </c>
      <c r="G130" s="8">
        <f t="shared" ref="G130:G193" si="5">A130</f>
        <v>42641.621157407404</v>
      </c>
    </row>
    <row r="131" spans="1:7" x14ac:dyDescent="0.25">
      <c r="A131" s="8">
        <v>42641.627141203702</v>
      </c>
      <c r="B131" s="23" t="s">
        <v>163</v>
      </c>
      <c r="C131" s="23" t="s">
        <v>504</v>
      </c>
      <c r="D131" s="23">
        <v>1740000</v>
      </c>
      <c r="E131" s="23" t="s">
        <v>323</v>
      </c>
      <c r="F131" s="23" t="str">
        <f t="shared" si="4"/>
        <v>rtdc.l.rtdc.4019:itc</v>
      </c>
      <c r="G131" s="8">
        <f t="shared" si="5"/>
        <v>42641.627141203702</v>
      </c>
    </row>
    <row r="132" spans="1:7" x14ac:dyDescent="0.25">
      <c r="A132" s="8">
        <v>42641.631539351853</v>
      </c>
      <c r="B132" s="23" t="s">
        <v>180</v>
      </c>
      <c r="C132" s="23" t="s">
        <v>505</v>
      </c>
      <c r="D132" s="23">
        <v>2220000</v>
      </c>
      <c r="E132" s="23" t="s">
        <v>325</v>
      </c>
      <c r="F132" s="23" t="str">
        <f t="shared" si="4"/>
        <v>rtdc.l.rtdc.4046:itc</v>
      </c>
      <c r="G132" s="8">
        <f t="shared" si="5"/>
        <v>42641.631539351853</v>
      </c>
    </row>
    <row r="133" spans="1:7" x14ac:dyDescent="0.25">
      <c r="A133" s="8">
        <v>42641.635891203703</v>
      </c>
      <c r="B133" s="23" t="s">
        <v>260</v>
      </c>
      <c r="C133" s="23" t="s">
        <v>506</v>
      </c>
      <c r="D133" s="23">
        <v>2040000</v>
      </c>
      <c r="E133" s="23" t="s">
        <v>483</v>
      </c>
      <c r="F133" s="23" t="str">
        <f t="shared" si="4"/>
        <v>rtdc.l.rtdc.4016:itc</v>
      </c>
      <c r="G133" s="8">
        <f t="shared" si="5"/>
        <v>42641.635891203703</v>
      </c>
    </row>
    <row r="134" spans="1:7" x14ac:dyDescent="0.25">
      <c r="A134" s="8">
        <v>42641.636064814818</v>
      </c>
      <c r="B134" s="23" t="s">
        <v>386</v>
      </c>
      <c r="C134" s="23" t="s">
        <v>507</v>
      </c>
      <c r="D134" s="23">
        <v>940000</v>
      </c>
      <c r="E134" s="23" t="s">
        <v>276</v>
      </c>
      <c r="F134" s="23" t="str">
        <f t="shared" si="4"/>
        <v>rtdc.l.rtdc.4008:itc</v>
      </c>
      <c r="G134" s="8">
        <f t="shared" si="5"/>
        <v>42641.636064814818</v>
      </c>
    </row>
    <row r="135" spans="1:7" x14ac:dyDescent="0.25">
      <c r="A135" s="8">
        <v>42641.640648148146</v>
      </c>
      <c r="B135" s="23" t="s">
        <v>264</v>
      </c>
      <c r="C135" s="23" t="s">
        <v>508</v>
      </c>
      <c r="D135" s="23">
        <v>1180000</v>
      </c>
      <c r="E135" s="23" t="s">
        <v>295</v>
      </c>
      <c r="F135" s="23" t="str">
        <f t="shared" si="4"/>
        <v>rtdc.l.rtdc.4030:itc</v>
      </c>
      <c r="G135" s="8">
        <f t="shared" si="5"/>
        <v>42641.640648148146</v>
      </c>
    </row>
    <row r="136" spans="1:7" x14ac:dyDescent="0.25">
      <c r="A136" s="8">
        <v>42641.643067129633</v>
      </c>
      <c r="B136" s="23" t="s">
        <v>264</v>
      </c>
      <c r="C136" s="23" t="s">
        <v>508</v>
      </c>
      <c r="D136" s="23">
        <v>1180000</v>
      </c>
      <c r="E136" s="23" t="s">
        <v>295</v>
      </c>
      <c r="F136" s="23" t="str">
        <f t="shared" si="4"/>
        <v>rtdc.l.rtdc.4030:itc</v>
      </c>
      <c r="G136" s="8">
        <f t="shared" si="5"/>
        <v>42641.643067129633</v>
      </c>
    </row>
    <row r="137" spans="1:7" x14ac:dyDescent="0.25">
      <c r="A137" s="8">
        <v>42641.643680555557</v>
      </c>
      <c r="B137" s="23" t="s">
        <v>376</v>
      </c>
      <c r="C137" s="23" t="s">
        <v>509</v>
      </c>
      <c r="D137" s="23">
        <v>1140000</v>
      </c>
      <c r="E137" s="23" t="s">
        <v>294</v>
      </c>
      <c r="F137" s="23" t="str">
        <f t="shared" si="4"/>
        <v>rtdc.l.rtdc.4040:itc</v>
      </c>
      <c r="G137" s="8">
        <f t="shared" si="5"/>
        <v>42641.643680555557</v>
      </c>
    </row>
    <row r="138" spans="1:7" x14ac:dyDescent="0.25">
      <c r="A138" s="8">
        <v>42641.643831018519</v>
      </c>
      <c r="B138" s="23" t="s">
        <v>273</v>
      </c>
      <c r="C138" s="23" t="s">
        <v>510</v>
      </c>
      <c r="D138" s="23">
        <v>1280000</v>
      </c>
      <c r="E138" s="23" t="s">
        <v>280</v>
      </c>
      <c r="F138" s="23" t="str">
        <f t="shared" si="4"/>
        <v>rtdc.l.rtdc.4017:itc</v>
      </c>
      <c r="G138" s="8">
        <f t="shared" si="5"/>
        <v>42641.643831018519</v>
      </c>
    </row>
    <row r="139" spans="1:7" x14ac:dyDescent="0.25">
      <c r="A139" s="8">
        <v>42641.652025462965</v>
      </c>
      <c r="B139" s="23" t="s">
        <v>263</v>
      </c>
      <c r="C139" s="23" t="s">
        <v>511</v>
      </c>
      <c r="D139" s="23">
        <v>1180000</v>
      </c>
      <c r="E139" s="23" t="s">
        <v>295</v>
      </c>
      <c r="F139" s="23" t="str">
        <f t="shared" si="4"/>
        <v>rtdc.l.rtdc.4029:itc</v>
      </c>
      <c r="G139" s="8">
        <f t="shared" si="5"/>
        <v>42641.652025462965</v>
      </c>
    </row>
    <row r="140" spans="1:7" x14ac:dyDescent="0.25">
      <c r="A140" s="8">
        <v>42641.652569444443</v>
      </c>
      <c r="B140" s="23" t="s">
        <v>274</v>
      </c>
      <c r="C140" s="23" t="s">
        <v>512</v>
      </c>
      <c r="D140" s="23">
        <v>2040000</v>
      </c>
      <c r="E140" s="23" t="s">
        <v>483</v>
      </c>
      <c r="F140" s="23" t="str">
        <f t="shared" si="4"/>
        <v>rtdc.l.rtdc.4015:itc</v>
      </c>
      <c r="G140" s="8">
        <f t="shared" si="5"/>
        <v>42641.652569444443</v>
      </c>
    </row>
    <row r="141" spans="1:7" x14ac:dyDescent="0.25">
      <c r="A141" s="8">
        <v>42641.653055555558</v>
      </c>
      <c r="B141" s="23" t="s">
        <v>391</v>
      </c>
      <c r="C141" s="23" t="s">
        <v>513</v>
      </c>
      <c r="D141" s="23">
        <v>1770000</v>
      </c>
      <c r="E141" s="23" t="s">
        <v>281</v>
      </c>
      <c r="F141" s="23" t="str">
        <f t="shared" si="4"/>
        <v>rtdc.l.rtdc.4002:itc</v>
      </c>
      <c r="G141" s="8">
        <f t="shared" si="5"/>
        <v>42641.653055555558</v>
      </c>
    </row>
    <row r="142" spans="1:7" x14ac:dyDescent="0.25">
      <c r="A142" s="8">
        <v>42641.660312499997</v>
      </c>
      <c r="B142" s="23" t="s">
        <v>317</v>
      </c>
      <c r="C142" s="23" t="s">
        <v>514</v>
      </c>
      <c r="D142" s="23">
        <v>1540000</v>
      </c>
      <c r="E142" s="23" t="s">
        <v>252</v>
      </c>
      <c r="F142" s="23" t="str">
        <f t="shared" si="4"/>
        <v>rtdc.l.rtdc.4013:itc</v>
      </c>
      <c r="G142" s="8">
        <f t="shared" si="5"/>
        <v>42641.660312499997</v>
      </c>
    </row>
    <row r="143" spans="1:7" x14ac:dyDescent="0.25">
      <c r="A143" s="8">
        <v>42641.662523148145</v>
      </c>
      <c r="B143" s="23" t="s">
        <v>164</v>
      </c>
      <c r="C143" s="23" t="s">
        <v>515</v>
      </c>
      <c r="D143" s="23">
        <v>1740000</v>
      </c>
      <c r="E143" s="23" t="s">
        <v>323</v>
      </c>
      <c r="F143" s="23" t="str">
        <f t="shared" si="4"/>
        <v>rtdc.l.rtdc.4020:itc</v>
      </c>
      <c r="G143" s="8">
        <f t="shared" si="5"/>
        <v>42641.662523148145</v>
      </c>
    </row>
    <row r="144" spans="1:7" x14ac:dyDescent="0.25">
      <c r="A144" s="8">
        <v>42641.666192129633</v>
      </c>
      <c r="B144" s="23" t="s">
        <v>316</v>
      </c>
      <c r="C144" s="23" t="s">
        <v>516</v>
      </c>
      <c r="D144" s="23">
        <v>2220000</v>
      </c>
      <c r="E144" s="23" t="s">
        <v>325</v>
      </c>
      <c r="F144" s="23" t="str">
        <f t="shared" si="4"/>
        <v>rtdc.l.rtdc.4045:itc</v>
      </c>
      <c r="G144" s="8">
        <f t="shared" si="5"/>
        <v>42641.666192129633</v>
      </c>
    </row>
    <row r="145" spans="1:7" x14ac:dyDescent="0.25">
      <c r="A145" s="8">
        <v>42641.672152777777</v>
      </c>
      <c r="B145" s="23" t="s">
        <v>264</v>
      </c>
      <c r="C145" s="23" t="s">
        <v>517</v>
      </c>
      <c r="D145" s="23">
        <v>1180000</v>
      </c>
      <c r="E145" s="23" t="s">
        <v>295</v>
      </c>
      <c r="F145" s="23" t="str">
        <f t="shared" si="4"/>
        <v>rtdc.l.rtdc.4030:itc</v>
      </c>
      <c r="G145" s="8">
        <f t="shared" si="5"/>
        <v>42641.672152777777</v>
      </c>
    </row>
    <row r="146" spans="1:7" x14ac:dyDescent="0.25">
      <c r="A146" s="8">
        <v>42641.673622685186</v>
      </c>
      <c r="B146" s="23" t="s">
        <v>417</v>
      </c>
      <c r="C146" s="23" t="s">
        <v>518</v>
      </c>
      <c r="D146" s="23">
        <v>940000</v>
      </c>
      <c r="E146" s="23" t="s">
        <v>276</v>
      </c>
      <c r="F146" s="23" t="str">
        <f t="shared" si="4"/>
        <v>rtdc.l.rtdc.4007:itc</v>
      </c>
      <c r="G146" s="8">
        <f t="shared" si="5"/>
        <v>42641.673622685186</v>
      </c>
    </row>
    <row r="147" spans="1:7" x14ac:dyDescent="0.25">
      <c r="A147" s="8">
        <v>42641.678622685184</v>
      </c>
      <c r="B147" s="23" t="s">
        <v>260</v>
      </c>
      <c r="C147" s="23" t="s">
        <v>519</v>
      </c>
      <c r="D147" s="23">
        <v>2040000</v>
      </c>
      <c r="E147" s="23" t="s">
        <v>483</v>
      </c>
      <c r="F147" s="23" t="str">
        <f t="shared" si="4"/>
        <v>rtdc.l.rtdc.4016:itc</v>
      </c>
      <c r="G147" s="8">
        <f t="shared" si="5"/>
        <v>42641.678622685184</v>
      </c>
    </row>
    <row r="148" spans="1:7" x14ac:dyDescent="0.25">
      <c r="A148" s="8">
        <v>42641.679849537039</v>
      </c>
      <c r="B148" s="23" t="s">
        <v>399</v>
      </c>
      <c r="C148" s="23" t="s">
        <v>520</v>
      </c>
      <c r="D148" s="23">
        <v>1140000</v>
      </c>
      <c r="E148" s="23" t="s">
        <v>294</v>
      </c>
      <c r="F148" s="23" t="str">
        <f t="shared" si="4"/>
        <v>rtdc.l.rtdc.4039:itc</v>
      </c>
      <c r="G148" s="8">
        <f t="shared" si="5"/>
        <v>42641.679849537039</v>
      </c>
    </row>
    <row r="149" spans="1:7" x14ac:dyDescent="0.25">
      <c r="A149" s="8">
        <v>42641.685219907406</v>
      </c>
      <c r="B149" s="23" t="s">
        <v>275</v>
      </c>
      <c r="C149" s="23" t="s">
        <v>521</v>
      </c>
      <c r="D149" s="23">
        <v>1280000</v>
      </c>
      <c r="E149" s="23" t="s">
        <v>280</v>
      </c>
      <c r="F149" s="23" t="str">
        <f t="shared" si="4"/>
        <v>rtdc.l.rtdc.4018:itc</v>
      </c>
      <c r="G149" s="8">
        <f t="shared" si="5"/>
        <v>42641.685219907406</v>
      </c>
    </row>
    <row r="150" spans="1:7" x14ac:dyDescent="0.25">
      <c r="A150" s="8">
        <v>42641.689618055556</v>
      </c>
      <c r="B150" s="23" t="s">
        <v>380</v>
      </c>
      <c r="C150" s="23" t="s">
        <v>522</v>
      </c>
      <c r="D150" s="23">
        <v>1770000</v>
      </c>
      <c r="E150" s="23" t="s">
        <v>281</v>
      </c>
      <c r="F150" s="23" t="str">
        <f t="shared" si="4"/>
        <v>rtdc.l.rtdc.4001:itc</v>
      </c>
      <c r="G150" s="8">
        <f t="shared" si="5"/>
        <v>42641.689618055556</v>
      </c>
    </row>
    <row r="151" spans="1:7" x14ac:dyDescent="0.25">
      <c r="A151" s="8">
        <v>42641.695706018516</v>
      </c>
      <c r="B151" s="23" t="s">
        <v>274</v>
      </c>
      <c r="C151" s="23" t="s">
        <v>523</v>
      </c>
      <c r="D151" s="23">
        <v>2040000</v>
      </c>
      <c r="E151" s="23" t="s">
        <v>483</v>
      </c>
      <c r="F151" s="23" t="str">
        <f t="shared" si="4"/>
        <v>rtdc.l.rtdc.4015:itc</v>
      </c>
      <c r="G151" s="8">
        <f t="shared" si="5"/>
        <v>42641.695706018516</v>
      </c>
    </row>
    <row r="152" spans="1:7" x14ac:dyDescent="0.25">
      <c r="A152" s="8">
        <v>42641.696435185186</v>
      </c>
      <c r="B152" s="23" t="s">
        <v>251</v>
      </c>
      <c r="C152" s="23" t="s">
        <v>524</v>
      </c>
      <c r="D152" s="23">
        <v>1540000</v>
      </c>
      <c r="E152" s="23" t="s">
        <v>252</v>
      </c>
      <c r="F152" s="23" t="str">
        <f t="shared" si="4"/>
        <v>rtdc.l.rtdc.4014:itc</v>
      </c>
      <c r="G152" s="8">
        <f t="shared" si="5"/>
        <v>42641.696435185186</v>
      </c>
    </row>
    <row r="153" spans="1:7" x14ac:dyDescent="0.25">
      <c r="A153" s="8">
        <v>42641.697962962964</v>
      </c>
      <c r="B153" s="23" t="s">
        <v>263</v>
      </c>
      <c r="C153" s="23" t="s">
        <v>525</v>
      </c>
      <c r="D153" s="23">
        <v>1180000</v>
      </c>
      <c r="E153" s="23" t="s">
        <v>295</v>
      </c>
      <c r="F153" s="23" t="str">
        <f t="shared" si="4"/>
        <v>rtdc.l.rtdc.4029:itc</v>
      </c>
      <c r="G153" s="8">
        <f t="shared" si="5"/>
        <v>42641.697962962964</v>
      </c>
    </row>
    <row r="154" spans="1:7" x14ac:dyDescent="0.25">
      <c r="A154" s="8">
        <v>42641.69803240741</v>
      </c>
      <c r="B154" s="23" t="s">
        <v>163</v>
      </c>
      <c r="C154" s="23" t="s">
        <v>526</v>
      </c>
      <c r="D154" s="23">
        <v>1740000</v>
      </c>
      <c r="E154" s="23" t="s">
        <v>323</v>
      </c>
      <c r="F154" s="23" t="str">
        <f t="shared" si="4"/>
        <v>rtdc.l.rtdc.4019:itc</v>
      </c>
      <c r="G154" s="8">
        <f t="shared" si="5"/>
        <v>42641.69803240741</v>
      </c>
    </row>
    <row r="155" spans="1:7" x14ac:dyDescent="0.25">
      <c r="A155" s="8">
        <v>42641.699687499997</v>
      </c>
      <c r="B155" s="23" t="s">
        <v>326</v>
      </c>
      <c r="C155" s="23" t="s">
        <v>527</v>
      </c>
      <c r="D155" s="23">
        <v>1480000</v>
      </c>
      <c r="E155" s="23" t="s">
        <v>528</v>
      </c>
      <c r="F155" s="23" t="str">
        <f t="shared" si="4"/>
        <v>rtdc.l.rtdc.4005:itc</v>
      </c>
      <c r="G155" s="8">
        <f t="shared" si="5"/>
        <v>42641.699687499997</v>
      </c>
    </row>
    <row r="156" spans="1:7" x14ac:dyDescent="0.25">
      <c r="A156" s="8">
        <v>42641.703425925924</v>
      </c>
      <c r="B156" s="23" t="s">
        <v>180</v>
      </c>
      <c r="C156" s="23" t="s">
        <v>529</v>
      </c>
      <c r="D156" s="23">
        <v>2220000</v>
      </c>
      <c r="E156" s="23" t="s">
        <v>325</v>
      </c>
      <c r="F156" s="23" t="str">
        <f t="shared" si="4"/>
        <v>rtdc.l.rtdc.4046:itc</v>
      </c>
      <c r="G156" s="8">
        <f t="shared" si="5"/>
        <v>42641.703425925924</v>
      </c>
    </row>
    <row r="157" spans="1:7" x14ac:dyDescent="0.25">
      <c r="A157" s="8">
        <v>42641.709629629629</v>
      </c>
      <c r="B157" s="23" t="s">
        <v>386</v>
      </c>
      <c r="C157" s="23" t="s">
        <v>530</v>
      </c>
      <c r="D157" s="23">
        <v>940000</v>
      </c>
      <c r="E157" s="23" t="s">
        <v>276</v>
      </c>
      <c r="F157" s="23" t="str">
        <f t="shared" si="4"/>
        <v>rtdc.l.rtdc.4008:itc</v>
      </c>
      <c r="G157" s="8">
        <f t="shared" si="5"/>
        <v>42641.709629629629</v>
      </c>
    </row>
    <row r="158" spans="1:7" x14ac:dyDescent="0.25">
      <c r="A158" s="8">
        <v>42641.713460648149</v>
      </c>
      <c r="B158" s="23" t="s">
        <v>264</v>
      </c>
      <c r="C158" s="23" t="s">
        <v>531</v>
      </c>
      <c r="D158" s="23">
        <v>1180000</v>
      </c>
      <c r="E158" s="23" t="s">
        <v>295</v>
      </c>
      <c r="F158" s="23" t="str">
        <f t="shared" si="4"/>
        <v>rtdc.l.rtdc.4030:itc</v>
      </c>
      <c r="G158" s="8">
        <f t="shared" si="5"/>
        <v>42641.713460648149</v>
      </c>
    </row>
    <row r="159" spans="1:7" x14ac:dyDescent="0.25">
      <c r="A159" s="8">
        <v>42641.715590277781</v>
      </c>
      <c r="B159" s="23" t="s">
        <v>273</v>
      </c>
      <c r="C159" s="23" t="s">
        <v>532</v>
      </c>
      <c r="D159" s="23">
        <v>1280000</v>
      </c>
      <c r="E159" s="23" t="s">
        <v>280</v>
      </c>
      <c r="F159" s="23" t="str">
        <f t="shared" si="4"/>
        <v>rtdc.l.rtdc.4017:itc</v>
      </c>
      <c r="G159" s="8">
        <f t="shared" si="5"/>
        <v>42641.715590277781</v>
      </c>
    </row>
    <row r="160" spans="1:7" x14ac:dyDescent="0.25">
      <c r="A160" s="8">
        <v>42641.715798611112</v>
      </c>
      <c r="B160" s="23" t="s">
        <v>376</v>
      </c>
      <c r="C160" s="23" t="s">
        <v>533</v>
      </c>
      <c r="D160" s="23">
        <v>1480000</v>
      </c>
      <c r="E160" s="23" t="s">
        <v>528</v>
      </c>
      <c r="F160" s="23" t="str">
        <f t="shared" si="4"/>
        <v>rtdc.l.rtdc.4040:itc</v>
      </c>
      <c r="G160" s="8">
        <f t="shared" si="5"/>
        <v>42641.715798611112</v>
      </c>
    </row>
    <row r="161" spans="1:7" x14ac:dyDescent="0.25">
      <c r="A161" s="8">
        <v>42641.719837962963</v>
      </c>
      <c r="B161" s="23" t="s">
        <v>260</v>
      </c>
      <c r="C161" s="23" t="s">
        <v>534</v>
      </c>
      <c r="D161" s="23">
        <v>2040000</v>
      </c>
      <c r="E161" s="23" t="s">
        <v>483</v>
      </c>
      <c r="F161" s="23" t="str">
        <f t="shared" si="4"/>
        <v>rtdc.l.rtdc.4016:itc</v>
      </c>
      <c r="G161" s="8">
        <f t="shared" si="5"/>
        <v>42641.719837962963</v>
      </c>
    </row>
    <row r="162" spans="1:7" x14ac:dyDescent="0.25">
      <c r="A162" s="8">
        <v>42641.72315972222</v>
      </c>
      <c r="B162" s="23" t="s">
        <v>177</v>
      </c>
      <c r="C162" s="23" t="s">
        <v>535</v>
      </c>
      <c r="D162" s="23">
        <v>2000000</v>
      </c>
      <c r="E162" s="23" t="s">
        <v>122</v>
      </c>
      <c r="F162" s="23" t="str">
        <f t="shared" si="4"/>
        <v>rtdc.l.rtdc.4042:itc</v>
      </c>
      <c r="G162" s="8">
        <f t="shared" si="5"/>
        <v>42641.72315972222</v>
      </c>
    </row>
    <row r="163" spans="1:7" x14ac:dyDescent="0.25">
      <c r="A163" s="8">
        <v>42641.723923611113</v>
      </c>
      <c r="B163" s="23" t="s">
        <v>177</v>
      </c>
      <c r="C163" s="23" t="s">
        <v>535</v>
      </c>
      <c r="D163" s="23">
        <v>2000000</v>
      </c>
      <c r="E163" s="23" t="s">
        <v>122</v>
      </c>
      <c r="F163" s="23" t="str">
        <f t="shared" si="4"/>
        <v>rtdc.l.rtdc.4042:itc</v>
      </c>
      <c r="G163" s="8">
        <f t="shared" si="5"/>
        <v>42641.723923611113</v>
      </c>
    </row>
    <row r="164" spans="1:7" x14ac:dyDescent="0.25">
      <c r="A164" s="8">
        <v>42641.724699074075</v>
      </c>
      <c r="B164" s="23" t="s">
        <v>177</v>
      </c>
      <c r="C164" s="23" t="s">
        <v>535</v>
      </c>
      <c r="D164" s="23">
        <v>2000000</v>
      </c>
      <c r="E164" s="23" t="s">
        <v>122</v>
      </c>
      <c r="F164" s="23" t="str">
        <f t="shared" si="4"/>
        <v>rtdc.l.rtdc.4042:itc</v>
      </c>
      <c r="G164" s="8">
        <f t="shared" si="5"/>
        <v>42641.724699074075</v>
      </c>
    </row>
    <row r="165" spans="1:7" x14ac:dyDescent="0.25">
      <c r="A165" s="8">
        <v>42641.726331018515</v>
      </c>
      <c r="B165" s="23" t="s">
        <v>391</v>
      </c>
      <c r="C165" s="23" t="s">
        <v>536</v>
      </c>
      <c r="D165" s="23">
        <v>1140000</v>
      </c>
      <c r="E165" s="23" t="s">
        <v>294</v>
      </c>
      <c r="F165" s="23" t="str">
        <f t="shared" si="4"/>
        <v>rtdc.l.rtdc.4002:itc</v>
      </c>
      <c r="G165" s="8">
        <f t="shared" si="5"/>
        <v>42641.726331018515</v>
      </c>
    </row>
    <row r="166" spans="1:7" x14ac:dyDescent="0.25">
      <c r="A166" s="8">
        <v>42641.731145833335</v>
      </c>
      <c r="B166" s="23" t="s">
        <v>328</v>
      </c>
      <c r="C166" s="23" t="s">
        <v>537</v>
      </c>
      <c r="D166" s="23">
        <v>1770000</v>
      </c>
      <c r="E166" s="23" t="s">
        <v>281</v>
      </c>
      <c r="F166" s="23" t="str">
        <f t="shared" si="4"/>
        <v>rtdc.l.rtdc.4006:itc</v>
      </c>
      <c r="G166" s="8">
        <f t="shared" si="5"/>
        <v>42641.731145833335</v>
      </c>
    </row>
    <row r="167" spans="1:7" x14ac:dyDescent="0.25">
      <c r="A167" s="8">
        <v>42641.731412037036</v>
      </c>
      <c r="B167" s="23" t="s">
        <v>317</v>
      </c>
      <c r="C167" s="23" t="s">
        <v>538</v>
      </c>
      <c r="D167" s="23">
        <v>1540000</v>
      </c>
      <c r="E167" s="23" t="s">
        <v>252</v>
      </c>
      <c r="F167" s="23" t="str">
        <f t="shared" si="4"/>
        <v>rtdc.l.rtdc.4013:itc</v>
      </c>
      <c r="G167" s="8">
        <f t="shared" si="5"/>
        <v>42641.731412037036</v>
      </c>
    </row>
    <row r="168" spans="1:7" x14ac:dyDescent="0.25">
      <c r="A168" s="8">
        <v>42641.735856481479</v>
      </c>
      <c r="B168" s="23" t="s">
        <v>274</v>
      </c>
      <c r="C168" s="23" t="s">
        <v>539</v>
      </c>
      <c r="D168" s="23">
        <v>2040000</v>
      </c>
      <c r="E168" s="23" t="s">
        <v>483</v>
      </c>
      <c r="F168" s="23" t="str">
        <f t="shared" si="4"/>
        <v>rtdc.l.rtdc.4015:itc</v>
      </c>
      <c r="G168" s="8">
        <f t="shared" si="5"/>
        <v>42641.735856481479</v>
      </c>
    </row>
    <row r="169" spans="1:7" x14ac:dyDescent="0.25">
      <c r="A169" s="8">
        <v>42641.736145833333</v>
      </c>
      <c r="B169" s="23" t="s">
        <v>316</v>
      </c>
      <c r="C169" s="23" t="s">
        <v>540</v>
      </c>
      <c r="D169" s="23">
        <v>2220000</v>
      </c>
      <c r="E169" s="23" t="s">
        <v>325</v>
      </c>
      <c r="F169" s="23" t="str">
        <f t="shared" si="4"/>
        <v>rtdc.l.rtdc.4045:itc</v>
      </c>
      <c r="G169" s="8">
        <f t="shared" si="5"/>
        <v>42641.736145833333</v>
      </c>
    </row>
    <row r="170" spans="1:7" x14ac:dyDescent="0.25">
      <c r="A170" s="8">
        <v>42641.736400462964</v>
      </c>
      <c r="B170" s="23" t="s">
        <v>164</v>
      </c>
      <c r="C170" s="23" t="s">
        <v>541</v>
      </c>
      <c r="D170" s="23">
        <v>1230000</v>
      </c>
      <c r="E170" s="23" t="s">
        <v>239</v>
      </c>
      <c r="F170" s="23" t="str">
        <f t="shared" si="4"/>
        <v>rtdc.l.rtdc.4020:itc</v>
      </c>
      <c r="G170" s="8">
        <f t="shared" si="5"/>
        <v>42641.736400462964</v>
      </c>
    </row>
    <row r="171" spans="1:7" x14ac:dyDescent="0.25">
      <c r="A171" s="8">
        <v>42641.740717592591</v>
      </c>
      <c r="B171" s="23" t="s">
        <v>263</v>
      </c>
      <c r="C171" s="23" t="s">
        <v>542</v>
      </c>
      <c r="D171" s="23">
        <v>1180000</v>
      </c>
      <c r="E171" s="23" t="s">
        <v>295</v>
      </c>
      <c r="F171" s="23" t="str">
        <f t="shared" si="4"/>
        <v>rtdc.l.rtdc.4029:itc</v>
      </c>
      <c r="G171" s="8">
        <f t="shared" si="5"/>
        <v>42641.740717592591</v>
      </c>
    </row>
    <row r="172" spans="1:7" x14ac:dyDescent="0.25">
      <c r="A172" s="8">
        <v>42641.745567129627</v>
      </c>
      <c r="B172" s="23" t="s">
        <v>417</v>
      </c>
      <c r="C172" s="23" t="s">
        <v>543</v>
      </c>
      <c r="D172" s="23">
        <v>1740000</v>
      </c>
      <c r="E172" s="23" t="s">
        <v>323</v>
      </c>
      <c r="F172" s="23" t="str">
        <f t="shared" si="4"/>
        <v>rtdc.l.rtdc.4007:itc</v>
      </c>
      <c r="G172" s="8">
        <f t="shared" si="5"/>
        <v>42641.745567129627</v>
      </c>
    </row>
    <row r="173" spans="1:7" x14ac:dyDescent="0.25">
      <c r="A173" s="8">
        <v>42641.747662037036</v>
      </c>
      <c r="B173" s="23" t="s">
        <v>417</v>
      </c>
      <c r="C173" s="23" t="s">
        <v>543</v>
      </c>
      <c r="D173" s="23">
        <v>1740000</v>
      </c>
      <c r="E173" s="23" t="s">
        <v>323</v>
      </c>
      <c r="F173" s="23" t="str">
        <f t="shared" si="4"/>
        <v>rtdc.l.rtdc.4007:itc</v>
      </c>
      <c r="G173" s="8">
        <f t="shared" si="5"/>
        <v>42641.747662037036</v>
      </c>
    </row>
    <row r="174" spans="1:7" x14ac:dyDescent="0.25">
      <c r="A174" s="8">
        <v>42641.749722222223</v>
      </c>
      <c r="B174" s="23" t="s">
        <v>399</v>
      </c>
      <c r="C174" s="23" t="s">
        <v>544</v>
      </c>
      <c r="D174" s="23">
        <v>1480000</v>
      </c>
      <c r="E174" s="23" t="s">
        <v>528</v>
      </c>
      <c r="F174" s="23" t="str">
        <f t="shared" si="4"/>
        <v>rtdc.l.rtdc.4039:itc</v>
      </c>
      <c r="G174" s="8">
        <f t="shared" si="5"/>
        <v>42641.749722222223</v>
      </c>
    </row>
    <row r="175" spans="1:7" x14ac:dyDescent="0.25">
      <c r="A175" s="8">
        <v>42641.755543981482</v>
      </c>
      <c r="B175" s="23" t="s">
        <v>264</v>
      </c>
      <c r="C175" s="23" t="s">
        <v>545</v>
      </c>
      <c r="D175" s="23">
        <v>1180000</v>
      </c>
      <c r="E175" s="23" t="s">
        <v>295</v>
      </c>
      <c r="F175" s="23" t="str">
        <f t="shared" si="4"/>
        <v>rtdc.l.rtdc.4030:itc</v>
      </c>
      <c r="G175" s="8">
        <f t="shared" si="5"/>
        <v>42641.755543981482</v>
      </c>
    </row>
    <row r="176" spans="1:7" x14ac:dyDescent="0.25">
      <c r="A176" s="8">
        <v>42641.757268518515</v>
      </c>
      <c r="B176" s="23" t="s">
        <v>275</v>
      </c>
      <c r="C176" s="23" t="s">
        <v>546</v>
      </c>
      <c r="D176" s="23">
        <v>1300000</v>
      </c>
      <c r="E176" s="23" t="s">
        <v>121</v>
      </c>
      <c r="F176" s="23" t="str">
        <f t="shared" si="4"/>
        <v>rtdc.l.rtdc.4018:itc</v>
      </c>
      <c r="G176" s="8">
        <f t="shared" si="5"/>
        <v>42641.757268518515</v>
      </c>
    </row>
    <row r="177" spans="1:7" x14ac:dyDescent="0.25">
      <c r="A177" s="8">
        <v>42641.761412037034</v>
      </c>
      <c r="B177" s="23" t="s">
        <v>380</v>
      </c>
      <c r="C177" s="23" t="s">
        <v>547</v>
      </c>
      <c r="D177" s="23">
        <v>1140000</v>
      </c>
      <c r="E177" s="23" t="s">
        <v>294</v>
      </c>
      <c r="F177" s="23" t="str">
        <f t="shared" si="4"/>
        <v>rtdc.l.rtdc.4001:itc</v>
      </c>
      <c r="G177" s="8">
        <f t="shared" si="5"/>
        <v>42641.761412037034</v>
      </c>
    </row>
    <row r="178" spans="1:7" x14ac:dyDescent="0.25">
      <c r="A178" s="8">
        <v>42641.761828703704</v>
      </c>
      <c r="B178" s="23" t="s">
        <v>260</v>
      </c>
      <c r="C178" s="23" t="s">
        <v>548</v>
      </c>
      <c r="D178" s="23">
        <v>2040000</v>
      </c>
      <c r="E178" s="23" t="s">
        <v>483</v>
      </c>
      <c r="F178" s="23" t="str">
        <f t="shared" si="4"/>
        <v>rtdc.l.rtdc.4016:itc</v>
      </c>
      <c r="G178" s="8">
        <f t="shared" si="5"/>
        <v>42641.761828703704</v>
      </c>
    </row>
    <row r="179" spans="1:7" x14ac:dyDescent="0.25">
      <c r="A179" s="8">
        <v>42641.77002314815</v>
      </c>
      <c r="B179" s="23" t="s">
        <v>251</v>
      </c>
      <c r="C179" s="23" t="s">
        <v>549</v>
      </c>
      <c r="D179" s="23">
        <v>1290000</v>
      </c>
      <c r="E179" s="23" t="s">
        <v>172</v>
      </c>
      <c r="F179" s="23" t="str">
        <f t="shared" si="4"/>
        <v>rtdc.l.rtdc.4014:itc</v>
      </c>
      <c r="G179" s="8">
        <f t="shared" si="5"/>
        <v>42641.77002314815</v>
      </c>
    </row>
    <row r="180" spans="1:7" x14ac:dyDescent="0.25">
      <c r="A180" s="8">
        <v>42641.771493055552</v>
      </c>
      <c r="B180" s="23" t="s">
        <v>163</v>
      </c>
      <c r="C180" s="23" t="s">
        <v>550</v>
      </c>
      <c r="D180" s="23">
        <v>1230000</v>
      </c>
      <c r="E180" s="23" t="s">
        <v>239</v>
      </c>
      <c r="F180" s="23" t="str">
        <f t="shared" si="4"/>
        <v>rtdc.l.rtdc.4019:itc</v>
      </c>
      <c r="G180" s="8">
        <f t="shared" si="5"/>
        <v>42641.771493055552</v>
      </c>
    </row>
    <row r="181" spans="1:7" x14ac:dyDescent="0.25">
      <c r="A181" s="8">
        <v>42641.777719907404</v>
      </c>
      <c r="B181" s="23" t="s">
        <v>180</v>
      </c>
      <c r="C181" s="23" t="s">
        <v>551</v>
      </c>
      <c r="D181" s="23">
        <v>2220000</v>
      </c>
      <c r="E181" s="23" t="s">
        <v>325</v>
      </c>
      <c r="F181" s="23" t="str">
        <f t="shared" si="4"/>
        <v>rtdc.l.rtdc.4046:itc</v>
      </c>
      <c r="G181" s="8">
        <f t="shared" si="5"/>
        <v>42641.777719907404</v>
      </c>
    </row>
    <row r="182" spans="1:7" x14ac:dyDescent="0.25">
      <c r="A182" s="8">
        <v>42641.777939814812</v>
      </c>
      <c r="B182" s="23" t="s">
        <v>274</v>
      </c>
      <c r="C182" s="23" t="s">
        <v>552</v>
      </c>
      <c r="D182" s="23">
        <v>2040000</v>
      </c>
      <c r="E182" s="23" t="s">
        <v>483</v>
      </c>
      <c r="F182" s="23" t="str">
        <f t="shared" si="4"/>
        <v>rtdc.l.rtdc.4015:itc</v>
      </c>
      <c r="G182" s="8">
        <f t="shared" si="5"/>
        <v>42641.777939814812</v>
      </c>
    </row>
    <row r="183" spans="1:7" x14ac:dyDescent="0.25">
      <c r="A183" s="8">
        <v>42641.782986111109</v>
      </c>
      <c r="B183" s="23" t="s">
        <v>263</v>
      </c>
      <c r="C183" s="23" t="s">
        <v>553</v>
      </c>
      <c r="D183" s="23">
        <v>1180000</v>
      </c>
      <c r="E183" s="23" t="s">
        <v>295</v>
      </c>
      <c r="F183" s="23" t="str">
        <f t="shared" si="4"/>
        <v>rtdc.l.rtdc.4029:itc</v>
      </c>
      <c r="G183" s="8">
        <f t="shared" si="5"/>
        <v>42641.782986111109</v>
      </c>
    </row>
    <row r="184" spans="1:7" x14ac:dyDescent="0.25">
      <c r="A184" s="8">
        <v>42641.785601851851</v>
      </c>
      <c r="B184" s="23" t="s">
        <v>386</v>
      </c>
      <c r="C184" s="23" t="s">
        <v>554</v>
      </c>
      <c r="D184" s="23">
        <v>1740000</v>
      </c>
      <c r="E184" s="23" t="s">
        <v>323</v>
      </c>
      <c r="F184" s="23" t="str">
        <f t="shared" si="4"/>
        <v>rtdc.l.rtdc.4008:itc</v>
      </c>
      <c r="G184" s="8">
        <f t="shared" si="5"/>
        <v>42641.785601851851</v>
      </c>
    </row>
    <row r="185" spans="1:7" x14ac:dyDescent="0.25">
      <c r="A185" s="8">
        <v>42641.787442129629</v>
      </c>
      <c r="B185" s="23" t="s">
        <v>376</v>
      </c>
      <c r="C185" s="23" t="s">
        <v>555</v>
      </c>
      <c r="D185" s="23">
        <v>1480000</v>
      </c>
      <c r="E185" s="23" t="s">
        <v>528</v>
      </c>
      <c r="F185" s="23" t="str">
        <f t="shared" si="4"/>
        <v>rtdc.l.rtdc.4040:itc</v>
      </c>
      <c r="G185" s="8">
        <f t="shared" si="5"/>
        <v>42641.787442129629</v>
      </c>
    </row>
    <row r="186" spans="1:7" x14ac:dyDescent="0.25">
      <c r="A186" s="8">
        <v>42641.796539351853</v>
      </c>
      <c r="B186" s="23" t="s">
        <v>273</v>
      </c>
      <c r="C186" s="23" t="s">
        <v>556</v>
      </c>
      <c r="D186" s="23">
        <v>1300000</v>
      </c>
      <c r="E186" s="23" t="s">
        <v>121</v>
      </c>
      <c r="F186" s="23" t="str">
        <f t="shared" si="4"/>
        <v>rtdc.l.rtdc.4017:itc</v>
      </c>
      <c r="G186" s="8">
        <f t="shared" si="5"/>
        <v>42641.796539351853</v>
      </c>
    </row>
    <row r="187" spans="1:7" x14ac:dyDescent="0.25">
      <c r="A187" s="8">
        <v>42641.797569444447</v>
      </c>
      <c r="B187" s="23" t="s">
        <v>264</v>
      </c>
      <c r="C187" s="23" t="s">
        <v>557</v>
      </c>
      <c r="D187" s="23">
        <v>1180000</v>
      </c>
      <c r="E187" s="23" t="s">
        <v>295</v>
      </c>
      <c r="F187" s="23" t="str">
        <f t="shared" si="4"/>
        <v>rtdc.l.rtdc.4030:itc</v>
      </c>
      <c r="G187" s="8">
        <f t="shared" si="5"/>
        <v>42641.797569444447</v>
      </c>
    </row>
    <row r="188" spans="1:7" x14ac:dyDescent="0.25">
      <c r="A188" s="8">
        <v>42641.79991898148</v>
      </c>
      <c r="B188" s="23" t="s">
        <v>324</v>
      </c>
      <c r="C188" s="23" t="s">
        <v>558</v>
      </c>
      <c r="D188" s="23">
        <v>2280000</v>
      </c>
      <c r="E188" s="23" t="s">
        <v>559</v>
      </c>
      <c r="F188" s="23" t="str">
        <f t="shared" si="4"/>
        <v>rtdc.l.rtdc.4021:itc</v>
      </c>
      <c r="G188" s="8">
        <f t="shared" si="5"/>
        <v>42641.79991898148</v>
      </c>
    </row>
    <row r="189" spans="1:7" x14ac:dyDescent="0.25">
      <c r="A189" s="8">
        <v>42641.802881944444</v>
      </c>
      <c r="B189" s="23" t="s">
        <v>260</v>
      </c>
      <c r="C189" s="23" t="s">
        <v>560</v>
      </c>
      <c r="D189" s="23">
        <v>2040000</v>
      </c>
      <c r="E189" s="23" t="s">
        <v>483</v>
      </c>
      <c r="F189" s="23" t="str">
        <f t="shared" si="4"/>
        <v>rtdc.l.rtdc.4016:itc</v>
      </c>
      <c r="G189" s="8">
        <f t="shared" si="5"/>
        <v>42641.802881944444</v>
      </c>
    </row>
    <row r="190" spans="1:7" x14ac:dyDescent="0.25">
      <c r="A190" s="8">
        <v>42641.807326388887</v>
      </c>
      <c r="B190" s="23" t="s">
        <v>317</v>
      </c>
      <c r="C190" s="23" t="s">
        <v>561</v>
      </c>
      <c r="D190" s="23">
        <v>1290000</v>
      </c>
      <c r="E190" s="23" t="s">
        <v>172</v>
      </c>
      <c r="F190" s="23" t="str">
        <f t="shared" si="4"/>
        <v>rtdc.l.rtdc.4013:itc</v>
      </c>
      <c r="G190" s="8">
        <f t="shared" si="5"/>
        <v>42641.807326388887</v>
      </c>
    </row>
    <row r="191" spans="1:7" x14ac:dyDescent="0.25">
      <c r="A191" s="8">
        <v>42641.808738425927</v>
      </c>
      <c r="B191" s="23" t="s">
        <v>164</v>
      </c>
      <c r="C191" s="23" t="s">
        <v>562</v>
      </c>
      <c r="D191" s="23">
        <v>1230000</v>
      </c>
      <c r="E191" s="23" t="s">
        <v>239</v>
      </c>
      <c r="F191" s="23" t="str">
        <f t="shared" si="4"/>
        <v>rtdc.l.rtdc.4020:itc</v>
      </c>
      <c r="G191" s="8">
        <f t="shared" si="5"/>
        <v>42641.808738425927</v>
      </c>
    </row>
    <row r="192" spans="1:7" x14ac:dyDescent="0.25">
      <c r="A192" s="8">
        <v>42641.819062499999</v>
      </c>
      <c r="B192" s="23" t="s">
        <v>417</v>
      </c>
      <c r="C192" s="23" t="s">
        <v>563</v>
      </c>
      <c r="D192" s="23">
        <v>1740000</v>
      </c>
      <c r="E192" s="23" t="s">
        <v>323</v>
      </c>
      <c r="F192" s="23" t="str">
        <f t="shared" si="4"/>
        <v>rtdc.l.rtdc.4007:itc</v>
      </c>
      <c r="G192" s="8">
        <f t="shared" si="5"/>
        <v>42641.819062499999</v>
      </c>
    </row>
    <row r="193" spans="1:7" x14ac:dyDescent="0.25">
      <c r="A193" s="8">
        <v>42641.819247685184</v>
      </c>
      <c r="B193" s="23" t="s">
        <v>274</v>
      </c>
      <c r="C193" s="23" t="s">
        <v>564</v>
      </c>
      <c r="D193" s="23">
        <v>2040000</v>
      </c>
      <c r="E193" s="23" t="s">
        <v>483</v>
      </c>
      <c r="F193" s="23" t="str">
        <f t="shared" si="4"/>
        <v>rtdc.l.rtdc.4015:itc</v>
      </c>
      <c r="G193" s="8">
        <f t="shared" si="5"/>
        <v>42641.819247685184</v>
      </c>
    </row>
    <row r="194" spans="1:7" x14ac:dyDescent="0.25">
      <c r="A194" s="8">
        <v>42641.823680555557</v>
      </c>
      <c r="B194" s="23" t="s">
        <v>327</v>
      </c>
      <c r="C194" s="23" t="s">
        <v>558</v>
      </c>
      <c r="D194" s="23">
        <v>2280000</v>
      </c>
      <c r="E194" s="23" t="s">
        <v>559</v>
      </c>
      <c r="F194" s="23" t="str">
        <f t="shared" ref="F194:F235" si="6">B194</f>
        <v>rtdc.l.rtdc.4022:itc</v>
      </c>
      <c r="G194" s="8">
        <f t="shared" ref="G194:G235" si="7">A194</f>
        <v>42641.823680555557</v>
      </c>
    </row>
    <row r="195" spans="1:7" x14ac:dyDescent="0.25">
      <c r="A195" s="8">
        <v>42641.824247685188</v>
      </c>
      <c r="B195" s="23" t="s">
        <v>399</v>
      </c>
      <c r="C195" s="23" t="s">
        <v>565</v>
      </c>
      <c r="D195" s="23">
        <v>1480000</v>
      </c>
      <c r="E195" s="23" t="s">
        <v>528</v>
      </c>
      <c r="F195" s="23" t="str">
        <f t="shared" si="6"/>
        <v>rtdc.l.rtdc.4039:itc</v>
      </c>
      <c r="G195" s="8">
        <f t="shared" si="7"/>
        <v>42641.824247685188</v>
      </c>
    </row>
    <row r="196" spans="1:7" x14ac:dyDescent="0.25">
      <c r="A196" s="8">
        <v>42641.831678240742</v>
      </c>
      <c r="B196" s="23" t="s">
        <v>275</v>
      </c>
      <c r="C196" s="23" t="s">
        <v>566</v>
      </c>
      <c r="D196" s="23">
        <v>1300000</v>
      </c>
      <c r="E196" s="23" t="s">
        <v>121</v>
      </c>
      <c r="F196" s="23" t="str">
        <f t="shared" si="6"/>
        <v>rtdc.l.rtdc.4018:itc</v>
      </c>
      <c r="G196" s="8">
        <f t="shared" si="7"/>
        <v>42641.831678240742</v>
      </c>
    </row>
    <row r="197" spans="1:7" x14ac:dyDescent="0.25">
      <c r="A197" s="8">
        <v>42641.843715277777</v>
      </c>
      <c r="B197" s="23" t="s">
        <v>260</v>
      </c>
      <c r="C197" s="23" t="s">
        <v>567</v>
      </c>
      <c r="D197" s="23">
        <v>2040000</v>
      </c>
      <c r="E197" s="23" t="s">
        <v>483</v>
      </c>
      <c r="F197" s="23" t="str">
        <f t="shared" si="6"/>
        <v>rtdc.l.rtdc.4016:itc</v>
      </c>
      <c r="G197" s="8">
        <f t="shared" si="7"/>
        <v>42641.843715277777</v>
      </c>
    </row>
    <row r="198" spans="1:7" x14ac:dyDescent="0.25">
      <c r="A198" s="8">
        <v>42641.847337962965</v>
      </c>
      <c r="B198" s="23" t="s">
        <v>163</v>
      </c>
      <c r="C198" s="23" t="s">
        <v>568</v>
      </c>
      <c r="D198" s="23">
        <v>1230000</v>
      </c>
      <c r="E198" s="23" t="s">
        <v>239</v>
      </c>
      <c r="F198" s="23" t="str">
        <f t="shared" si="6"/>
        <v>rtdc.l.rtdc.4019:itc</v>
      </c>
      <c r="G198" s="8">
        <f t="shared" si="7"/>
        <v>42641.847337962965</v>
      </c>
    </row>
    <row r="199" spans="1:7" x14ac:dyDescent="0.25">
      <c r="A199" s="8">
        <v>42641.851840277777</v>
      </c>
      <c r="B199" s="23" t="s">
        <v>324</v>
      </c>
      <c r="C199" s="23" t="s">
        <v>558</v>
      </c>
      <c r="D199" s="23">
        <v>2280000</v>
      </c>
      <c r="E199" s="23" t="s">
        <v>559</v>
      </c>
      <c r="F199" s="23" t="str">
        <f t="shared" si="6"/>
        <v>rtdc.l.rtdc.4021:itc</v>
      </c>
      <c r="G199" s="8">
        <f t="shared" si="7"/>
        <v>42641.851840277777</v>
      </c>
    </row>
    <row r="200" spans="1:7" x14ac:dyDescent="0.25">
      <c r="A200" s="8">
        <v>42641.852858796294</v>
      </c>
      <c r="B200" s="23" t="s">
        <v>251</v>
      </c>
      <c r="C200" s="23" t="s">
        <v>569</v>
      </c>
      <c r="D200" s="23">
        <v>1290000</v>
      </c>
      <c r="E200" s="23" t="s">
        <v>172</v>
      </c>
      <c r="F200" s="23" t="str">
        <f t="shared" si="6"/>
        <v>rtdc.l.rtdc.4014:itc</v>
      </c>
      <c r="G200" s="8">
        <f t="shared" si="7"/>
        <v>42641.852858796294</v>
      </c>
    </row>
    <row r="201" spans="1:7" x14ac:dyDescent="0.25">
      <c r="A201" s="8">
        <v>42641.860081018516</v>
      </c>
      <c r="B201" s="23" t="s">
        <v>274</v>
      </c>
      <c r="C201" s="23" t="s">
        <v>570</v>
      </c>
      <c r="D201" s="23">
        <v>2040000</v>
      </c>
      <c r="E201" s="23" t="s">
        <v>483</v>
      </c>
      <c r="F201" s="23" t="str">
        <f t="shared" si="6"/>
        <v>rtdc.l.rtdc.4015:itc</v>
      </c>
      <c r="G201" s="8">
        <f t="shared" si="7"/>
        <v>42641.860081018516</v>
      </c>
    </row>
    <row r="202" spans="1:7" x14ac:dyDescent="0.25">
      <c r="A202" s="29">
        <v>42641.86650462963</v>
      </c>
      <c r="B202" s="23" t="s">
        <v>273</v>
      </c>
      <c r="C202" s="23" t="s">
        <v>571</v>
      </c>
      <c r="D202" s="23">
        <v>1300000</v>
      </c>
      <c r="E202" s="23" t="s">
        <v>121</v>
      </c>
      <c r="F202" s="23" t="str">
        <f t="shared" si="6"/>
        <v>rtdc.l.rtdc.4017:itc</v>
      </c>
      <c r="G202" s="8">
        <f t="shared" si="7"/>
        <v>42641.86650462963</v>
      </c>
    </row>
    <row r="203" spans="1:7" x14ac:dyDescent="0.25">
      <c r="A203" s="8">
        <v>42641.8674537037</v>
      </c>
      <c r="B203" s="23" t="s">
        <v>376</v>
      </c>
      <c r="C203" s="23" t="s">
        <v>572</v>
      </c>
      <c r="D203" s="23">
        <v>1480000</v>
      </c>
      <c r="E203" s="23" t="s">
        <v>528</v>
      </c>
      <c r="F203" s="23" t="str">
        <f t="shared" si="6"/>
        <v>rtdc.l.rtdc.4040:itc</v>
      </c>
      <c r="G203" s="8">
        <f t="shared" si="7"/>
        <v>42641.8674537037</v>
      </c>
    </row>
    <row r="204" spans="1:7" x14ac:dyDescent="0.25">
      <c r="A204" s="8">
        <v>42641.878518518519</v>
      </c>
      <c r="B204" s="23" t="s">
        <v>260</v>
      </c>
      <c r="C204" s="23" t="s">
        <v>573</v>
      </c>
      <c r="D204" s="23">
        <v>1180000</v>
      </c>
      <c r="E204" s="23" t="s">
        <v>295</v>
      </c>
      <c r="F204" s="23" t="str">
        <f t="shared" si="6"/>
        <v>rtdc.l.rtdc.4016:itc</v>
      </c>
      <c r="G204" s="8">
        <f t="shared" si="7"/>
        <v>42641.878518518519</v>
      </c>
    </row>
    <row r="205" spans="1:7" x14ac:dyDescent="0.25">
      <c r="A205" s="8">
        <v>42641.880937499998</v>
      </c>
      <c r="B205" s="23" t="s">
        <v>164</v>
      </c>
      <c r="C205" s="23" t="s">
        <v>574</v>
      </c>
      <c r="D205" s="23">
        <v>1230000</v>
      </c>
      <c r="E205" s="23" t="s">
        <v>239</v>
      </c>
      <c r="F205" s="23" t="str">
        <f t="shared" si="6"/>
        <v>rtdc.l.rtdc.4020:itc</v>
      </c>
      <c r="G205" s="8">
        <f t="shared" si="7"/>
        <v>42641.880937499998</v>
      </c>
    </row>
    <row r="206" spans="1:7" x14ac:dyDescent="0.25">
      <c r="A206" s="8">
        <v>42641.886157407411</v>
      </c>
      <c r="B206" s="23" t="s">
        <v>327</v>
      </c>
      <c r="C206" s="23" t="s">
        <v>558</v>
      </c>
      <c r="D206" s="23">
        <v>2280000</v>
      </c>
      <c r="E206" s="23" t="s">
        <v>559</v>
      </c>
      <c r="F206" s="23" t="str">
        <f t="shared" si="6"/>
        <v>rtdc.l.rtdc.4022:itc</v>
      </c>
      <c r="G206" s="8">
        <f t="shared" si="7"/>
        <v>42641.886157407411</v>
      </c>
    </row>
    <row r="207" spans="1:7" x14ac:dyDescent="0.25">
      <c r="A207" s="8">
        <v>42641.889768518522</v>
      </c>
      <c r="B207" s="23" t="s">
        <v>317</v>
      </c>
      <c r="C207" s="23" t="s">
        <v>575</v>
      </c>
      <c r="D207" s="23">
        <v>1290000</v>
      </c>
      <c r="E207" s="23" t="s">
        <v>172</v>
      </c>
      <c r="F207" s="23" t="str">
        <f t="shared" si="6"/>
        <v>rtdc.l.rtdc.4013:itc</v>
      </c>
      <c r="G207" s="8">
        <f t="shared" si="7"/>
        <v>42641.889768518522</v>
      </c>
    </row>
    <row r="208" spans="1:7" x14ac:dyDescent="0.25">
      <c r="A208" s="8">
        <v>42641.901863425926</v>
      </c>
      <c r="B208" s="23" t="s">
        <v>274</v>
      </c>
      <c r="C208" s="23" t="s">
        <v>576</v>
      </c>
      <c r="D208" s="23">
        <v>1180000</v>
      </c>
      <c r="E208" s="23" t="s">
        <v>295</v>
      </c>
      <c r="F208" s="23" t="str">
        <f t="shared" si="6"/>
        <v>rtdc.l.rtdc.4015:itc</v>
      </c>
      <c r="G208" s="8">
        <f t="shared" si="7"/>
        <v>42641.901863425926</v>
      </c>
    </row>
    <row r="209" spans="1:7" x14ac:dyDescent="0.25">
      <c r="A209" s="8">
        <v>42641.90724537037</v>
      </c>
      <c r="B209" s="23" t="s">
        <v>399</v>
      </c>
      <c r="C209" s="23" t="s">
        <v>577</v>
      </c>
      <c r="D209" s="23">
        <v>1480000</v>
      </c>
      <c r="E209" s="23" t="s">
        <v>528</v>
      </c>
      <c r="F209" s="23" t="str">
        <f t="shared" si="6"/>
        <v>rtdc.l.rtdc.4039:itc</v>
      </c>
      <c r="G209" s="8">
        <f t="shared" si="7"/>
        <v>42641.90724537037</v>
      </c>
    </row>
    <row r="210" spans="1:7" x14ac:dyDescent="0.25">
      <c r="A210" s="8">
        <v>42641.913252314815</v>
      </c>
      <c r="B210" s="23" t="s">
        <v>275</v>
      </c>
      <c r="C210" s="23" t="s">
        <v>578</v>
      </c>
      <c r="D210" s="23">
        <v>1300000</v>
      </c>
      <c r="E210" s="23" t="s">
        <v>121</v>
      </c>
      <c r="F210" s="23" t="str">
        <f t="shared" si="6"/>
        <v>rtdc.l.rtdc.4018:itc</v>
      </c>
      <c r="G210" s="8">
        <f t="shared" si="7"/>
        <v>42641.913252314815</v>
      </c>
    </row>
    <row r="211" spans="1:7" x14ac:dyDescent="0.25">
      <c r="A211" s="8">
        <v>42641.928703703707</v>
      </c>
      <c r="B211" s="23" t="s">
        <v>260</v>
      </c>
      <c r="C211" s="23" t="s">
        <v>579</v>
      </c>
      <c r="D211" s="23">
        <v>1180000</v>
      </c>
      <c r="E211" s="23" t="s">
        <v>295</v>
      </c>
      <c r="F211" s="23" t="str">
        <f t="shared" si="6"/>
        <v>rtdc.l.rtdc.4016:itc</v>
      </c>
      <c r="G211" s="8">
        <f t="shared" si="7"/>
        <v>42641.928703703707</v>
      </c>
    </row>
    <row r="212" spans="1:7" x14ac:dyDescent="0.25">
      <c r="A212" s="8">
        <v>42641.931956018518</v>
      </c>
      <c r="B212" s="23" t="s">
        <v>163</v>
      </c>
      <c r="C212" s="23" t="s">
        <v>580</v>
      </c>
      <c r="D212" s="23">
        <v>1230000</v>
      </c>
      <c r="E212" s="23" t="s">
        <v>239</v>
      </c>
      <c r="F212" s="23" t="str">
        <f t="shared" si="6"/>
        <v>rtdc.l.rtdc.4019:itc</v>
      </c>
      <c r="G212" s="8">
        <f t="shared" si="7"/>
        <v>42641.931956018518</v>
      </c>
    </row>
    <row r="213" spans="1:7" x14ac:dyDescent="0.25">
      <c r="A213" s="8">
        <v>42641.93550925926</v>
      </c>
      <c r="B213" s="23" t="s">
        <v>251</v>
      </c>
      <c r="C213" s="23" t="s">
        <v>581</v>
      </c>
      <c r="D213" s="23">
        <v>1290000</v>
      </c>
      <c r="E213" s="23" t="s">
        <v>172</v>
      </c>
      <c r="F213" s="23" t="str">
        <f t="shared" si="6"/>
        <v>rtdc.l.rtdc.4014:itc</v>
      </c>
      <c r="G213" s="8">
        <f t="shared" si="7"/>
        <v>42641.93550925926</v>
      </c>
    </row>
    <row r="214" spans="1:7" x14ac:dyDescent="0.25">
      <c r="A214" s="8">
        <v>42641.943067129629</v>
      </c>
      <c r="B214" s="23" t="s">
        <v>274</v>
      </c>
      <c r="C214" s="23" t="s">
        <v>582</v>
      </c>
      <c r="D214" s="23">
        <v>1180000</v>
      </c>
      <c r="E214" s="23" t="s">
        <v>295</v>
      </c>
      <c r="F214" s="23" t="str">
        <f t="shared" si="6"/>
        <v>rtdc.l.rtdc.4015:itc</v>
      </c>
      <c r="G214" s="8">
        <f t="shared" si="7"/>
        <v>42641.943067129629</v>
      </c>
    </row>
    <row r="215" spans="1:7" x14ac:dyDescent="0.25">
      <c r="A215" s="8">
        <v>42641.94568287037</v>
      </c>
      <c r="B215" s="23" t="s">
        <v>376</v>
      </c>
      <c r="C215" s="23" t="s">
        <v>583</v>
      </c>
      <c r="D215" s="23">
        <v>1480000</v>
      </c>
      <c r="E215" s="23" t="s">
        <v>528</v>
      </c>
      <c r="F215" s="23" t="str">
        <f t="shared" si="6"/>
        <v>rtdc.l.rtdc.4040:itc</v>
      </c>
      <c r="G215" s="8">
        <f t="shared" si="7"/>
        <v>42641.94568287037</v>
      </c>
    </row>
    <row r="216" spans="1:7" x14ac:dyDescent="0.25">
      <c r="A216" s="8">
        <v>42641.952361111114</v>
      </c>
      <c r="B216" s="23" t="s">
        <v>273</v>
      </c>
      <c r="C216" s="23" t="s">
        <v>584</v>
      </c>
      <c r="D216" s="23">
        <v>1300000</v>
      </c>
      <c r="E216" s="23" t="s">
        <v>121</v>
      </c>
      <c r="F216" s="23" t="str">
        <f t="shared" si="6"/>
        <v>rtdc.l.rtdc.4017:itc</v>
      </c>
      <c r="G216" s="8">
        <f t="shared" si="7"/>
        <v>42641.952361111114</v>
      </c>
    </row>
    <row r="217" spans="1:7" x14ac:dyDescent="0.25">
      <c r="A217" s="8">
        <v>42641.963194444441</v>
      </c>
      <c r="B217" s="23" t="s">
        <v>164</v>
      </c>
      <c r="C217" s="23" t="s">
        <v>585</v>
      </c>
      <c r="D217" s="23">
        <v>1230000</v>
      </c>
      <c r="E217" s="23" t="s">
        <v>239</v>
      </c>
      <c r="F217" s="23" t="str">
        <f t="shared" si="6"/>
        <v>rtdc.l.rtdc.4020:itc</v>
      </c>
      <c r="G217" s="8">
        <f t="shared" si="7"/>
        <v>42641.963194444441</v>
      </c>
    </row>
    <row r="218" spans="1:7" x14ac:dyDescent="0.25">
      <c r="A218" s="8">
        <v>42641.973622685182</v>
      </c>
      <c r="B218" s="23" t="s">
        <v>317</v>
      </c>
      <c r="C218" s="23" t="s">
        <v>586</v>
      </c>
      <c r="D218" s="23">
        <v>1290000</v>
      </c>
      <c r="E218" s="23" t="s">
        <v>172</v>
      </c>
      <c r="F218" s="23" t="str">
        <f t="shared" si="6"/>
        <v>rtdc.l.rtdc.4013:itc</v>
      </c>
      <c r="G218" s="8">
        <f t="shared" si="7"/>
        <v>42641.973622685182</v>
      </c>
    </row>
    <row r="219" spans="1:7" x14ac:dyDescent="0.25">
      <c r="A219" s="8">
        <v>42641.991053240738</v>
      </c>
      <c r="B219" s="23" t="s">
        <v>399</v>
      </c>
      <c r="C219" s="23" t="s">
        <v>587</v>
      </c>
      <c r="D219" s="23">
        <v>1480000</v>
      </c>
      <c r="E219" s="23" t="s">
        <v>528</v>
      </c>
      <c r="F219" s="23" t="str">
        <f t="shared" si="6"/>
        <v>rtdc.l.rtdc.4039:itc</v>
      </c>
      <c r="G219" s="8">
        <f t="shared" si="7"/>
        <v>42641.991053240738</v>
      </c>
    </row>
    <row r="220" spans="1:7" x14ac:dyDescent="0.25">
      <c r="A220" s="8">
        <v>42641.996319444443</v>
      </c>
      <c r="B220" s="23" t="s">
        <v>275</v>
      </c>
      <c r="C220" s="23" t="s">
        <v>588</v>
      </c>
      <c r="D220" s="23">
        <v>1300000</v>
      </c>
      <c r="E220" s="23" t="s">
        <v>121</v>
      </c>
      <c r="F220" s="23" t="str">
        <f t="shared" si="6"/>
        <v>rtdc.l.rtdc.4018:itc</v>
      </c>
      <c r="G220" s="8">
        <f t="shared" si="7"/>
        <v>42641.996319444443</v>
      </c>
    </row>
    <row r="221" spans="1:7" x14ac:dyDescent="0.25">
      <c r="A221" s="8">
        <v>42642.015648148146</v>
      </c>
      <c r="B221" s="23" t="s">
        <v>163</v>
      </c>
      <c r="C221" s="23" t="s">
        <v>589</v>
      </c>
      <c r="D221" s="23">
        <v>1230000</v>
      </c>
      <c r="E221" s="23" t="s">
        <v>239</v>
      </c>
      <c r="F221" s="23" t="str">
        <f t="shared" si="6"/>
        <v>rtdc.l.rtdc.4019:itc</v>
      </c>
      <c r="G221" s="8">
        <f t="shared" si="7"/>
        <v>42642.015648148146</v>
      </c>
    </row>
    <row r="222" spans="1:7" x14ac:dyDescent="0.25">
      <c r="A222" s="8">
        <v>42642.01866898148</v>
      </c>
      <c r="B222" s="23" t="s">
        <v>251</v>
      </c>
      <c r="C222" s="23" t="s">
        <v>590</v>
      </c>
      <c r="D222" s="23">
        <v>1290000</v>
      </c>
      <c r="E222" s="23" t="s">
        <v>172</v>
      </c>
      <c r="F222" s="23" t="str">
        <f t="shared" si="6"/>
        <v>rtdc.l.rtdc.4014:itc</v>
      </c>
      <c r="G222" s="8">
        <f t="shared" si="7"/>
        <v>42642.01866898148</v>
      </c>
    </row>
    <row r="223" spans="1:7" x14ac:dyDescent="0.25">
      <c r="A223" s="8">
        <v>42642.026805555557</v>
      </c>
      <c r="B223" s="23" t="s">
        <v>376</v>
      </c>
      <c r="C223" s="23" t="s">
        <v>591</v>
      </c>
      <c r="D223" s="23">
        <v>1480000</v>
      </c>
      <c r="E223" s="23" t="s">
        <v>528</v>
      </c>
      <c r="F223" s="23" t="str">
        <f t="shared" si="6"/>
        <v>rtdc.l.rtdc.4040:itc</v>
      </c>
      <c r="G223" s="8">
        <f t="shared" si="7"/>
        <v>42642.026805555557</v>
      </c>
    </row>
    <row r="224" spans="1:7" x14ac:dyDescent="0.25">
      <c r="A224" s="8">
        <v>42642.028449074074</v>
      </c>
      <c r="B224" t="s">
        <v>376</v>
      </c>
      <c r="C224" t="s">
        <v>591</v>
      </c>
      <c r="D224">
        <v>1480000</v>
      </c>
      <c r="E224" t="s">
        <v>528</v>
      </c>
      <c r="F224" s="23" t="str">
        <f t="shared" si="6"/>
        <v>rtdc.l.rtdc.4040:itc</v>
      </c>
      <c r="G224" s="8">
        <f t="shared" si="7"/>
        <v>42642.028449074074</v>
      </c>
    </row>
    <row r="225" spans="1:7" x14ac:dyDescent="0.25">
      <c r="A225" s="8">
        <v>42642.029606481483</v>
      </c>
      <c r="B225" t="s">
        <v>376</v>
      </c>
      <c r="C225" t="s">
        <v>591</v>
      </c>
      <c r="D225">
        <v>1480000</v>
      </c>
      <c r="E225" t="s">
        <v>528</v>
      </c>
      <c r="F225" s="23" t="str">
        <f t="shared" si="6"/>
        <v>rtdc.l.rtdc.4040:itc</v>
      </c>
      <c r="G225" s="8">
        <f t="shared" si="7"/>
        <v>42642.029606481483</v>
      </c>
    </row>
    <row r="226" spans="1:7" x14ac:dyDescent="0.25">
      <c r="A226" s="8">
        <v>42642.035254629627</v>
      </c>
      <c r="B226" t="s">
        <v>273</v>
      </c>
      <c r="C226" t="s">
        <v>592</v>
      </c>
      <c r="D226">
        <v>1300000</v>
      </c>
      <c r="E226" t="s">
        <v>121</v>
      </c>
      <c r="F226" s="23" t="str">
        <f t="shared" si="6"/>
        <v>rtdc.l.rtdc.4017:itc</v>
      </c>
      <c r="G226" s="8">
        <f t="shared" si="7"/>
        <v>42642.035254629627</v>
      </c>
    </row>
    <row r="227" spans="1:7" x14ac:dyDescent="0.25">
      <c r="A227" s="8">
        <v>42642.045960648145</v>
      </c>
      <c r="B227" t="s">
        <v>164</v>
      </c>
      <c r="C227" t="s">
        <v>593</v>
      </c>
      <c r="D227">
        <v>1230000</v>
      </c>
      <c r="E227" t="s">
        <v>239</v>
      </c>
      <c r="F227" s="23" t="str">
        <f t="shared" si="6"/>
        <v>rtdc.l.rtdc.4020:itc</v>
      </c>
      <c r="G227" s="8">
        <f t="shared" si="7"/>
        <v>42642.045960648145</v>
      </c>
    </row>
    <row r="228" spans="1:7" x14ac:dyDescent="0.25">
      <c r="A228" s="8">
        <v>42642.046655092592</v>
      </c>
      <c r="B228" t="s">
        <v>164</v>
      </c>
      <c r="C228" t="s">
        <v>593</v>
      </c>
      <c r="D228">
        <v>1230000</v>
      </c>
      <c r="E228" t="s">
        <v>239</v>
      </c>
      <c r="F228" s="23" t="str">
        <f t="shared" si="6"/>
        <v>rtdc.l.rtdc.4020:itc</v>
      </c>
      <c r="G228" s="8">
        <f t="shared" si="7"/>
        <v>42642.046655092592</v>
      </c>
    </row>
    <row r="229" spans="1:7" x14ac:dyDescent="0.25">
      <c r="A229" s="8">
        <v>42642.0471875</v>
      </c>
      <c r="B229" t="s">
        <v>164</v>
      </c>
      <c r="C229" t="s">
        <v>593</v>
      </c>
      <c r="D229">
        <v>1230000</v>
      </c>
      <c r="E229" t="s">
        <v>239</v>
      </c>
      <c r="F229" s="23" t="str">
        <f t="shared" si="6"/>
        <v>rtdc.l.rtdc.4020:itc</v>
      </c>
      <c r="G229" s="8">
        <f t="shared" si="7"/>
        <v>42642.0471875</v>
      </c>
    </row>
    <row r="230" spans="1:7" x14ac:dyDescent="0.25">
      <c r="A230" s="8">
        <v>42642.057245370372</v>
      </c>
      <c r="B230" t="s">
        <v>317</v>
      </c>
      <c r="C230" t="s">
        <v>594</v>
      </c>
      <c r="D230">
        <v>1290000</v>
      </c>
      <c r="E230" t="s">
        <v>172</v>
      </c>
      <c r="F230" s="23" t="str">
        <f t="shared" si="6"/>
        <v>rtdc.l.rtdc.4013:itc</v>
      </c>
      <c r="G230" s="8">
        <f t="shared" si="7"/>
        <v>42642.057245370372</v>
      </c>
    </row>
    <row r="231" spans="1:7" x14ac:dyDescent="0.25">
      <c r="A231" s="8">
        <v>42642.067013888889</v>
      </c>
      <c r="B231" t="s">
        <v>275</v>
      </c>
      <c r="C231" t="s">
        <v>595</v>
      </c>
      <c r="D231">
        <v>1300000</v>
      </c>
      <c r="E231" t="s">
        <v>121</v>
      </c>
      <c r="F231" s="23" t="str">
        <f t="shared" si="6"/>
        <v>rtdc.l.rtdc.4018:itc</v>
      </c>
      <c r="G231" s="8">
        <f t="shared" si="7"/>
        <v>42642.067013888889</v>
      </c>
    </row>
    <row r="232" spans="1:7" x14ac:dyDescent="0.25">
      <c r="A232" s="8">
        <v>42642.067986111113</v>
      </c>
      <c r="B232" t="s">
        <v>275</v>
      </c>
      <c r="C232" t="s">
        <v>595</v>
      </c>
      <c r="D232">
        <v>1300000</v>
      </c>
      <c r="E232" t="s">
        <v>121</v>
      </c>
      <c r="F232" s="23" t="str">
        <f t="shared" si="6"/>
        <v>rtdc.l.rtdc.4018:itc</v>
      </c>
      <c r="G232" s="8">
        <f t="shared" si="7"/>
        <v>42642.067986111113</v>
      </c>
    </row>
    <row r="233" spans="1:7" x14ac:dyDescent="0.25">
      <c r="A233" s="8">
        <v>42642.088518518518</v>
      </c>
      <c r="B233" t="s">
        <v>251</v>
      </c>
      <c r="C233" t="s">
        <v>596</v>
      </c>
      <c r="D233">
        <v>1290000</v>
      </c>
      <c r="E233" t="s">
        <v>172</v>
      </c>
      <c r="F233" s="23" t="str">
        <f t="shared" si="6"/>
        <v>rtdc.l.rtdc.4014:itc</v>
      </c>
      <c r="G233" s="8">
        <f t="shared" si="7"/>
        <v>42642.088518518518</v>
      </c>
    </row>
    <row r="234" spans="1:7" x14ac:dyDescent="0.25">
      <c r="F234" s="23">
        <f t="shared" si="6"/>
        <v>0</v>
      </c>
      <c r="G234" s="8">
        <f t="shared" si="7"/>
        <v>0</v>
      </c>
    </row>
    <row r="235" spans="1:7" x14ac:dyDescent="0.25">
      <c r="A235" s="8">
        <v>42641.037395833337</v>
      </c>
      <c r="B235" t="s">
        <v>235</v>
      </c>
      <c r="C235" t="s">
        <v>329</v>
      </c>
      <c r="D235">
        <v>1230000</v>
      </c>
      <c r="E235" t="s">
        <v>239</v>
      </c>
      <c r="F235" s="23" t="str">
        <f t="shared" si="6"/>
        <v>rtdc.l.rtdc.4043:itc</v>
      </c>
      <c r="G235" s="8">
        <f t="shared" si="7"/>
        <v>42641.037395833337</v>
      </c>
    </row>
    <row r="236" spans="1:7" x14ac:dyDescent="0.25">
      <c r="A236" s="8">
        <v>42641.052303240744</v>
      </c>
      <c r="B236" t="s">
        <v>128</v>
      </c>
      <c r="C236" t="s">
        <v>330</v>
      </c>
      <c r="D236">
        <v>1290000</v>
      </c>
      <c r="E236" t="s">
        <v>172</v>
      </c>
      <c r="F236" s="23" t="str">
        <f t="shared" ref="F236:F265" si="8">B236</f>
        <v>rtdc.l.rtdc.4009:itc</v>
      </c>
      <c r="G236" s="8">
        <f t="shared" ref="G236:G265" si="9">A236</f>
        <v>42641.052303240744</v>
      </c>
    </row>
    <row r="237" spans="1:7" x14ac:dyDescent="0.25">
      <c r="A237" s="8">
        <v>42641.059062499997</v>
      </c>
      <c r="B237" t="s">
        <v>242</v>
      </c>
      <c r="C237" t="s">
        <v>331</v>
      </c>
      <c r="D237">
        <v>1800000</v>
      </c>
      <c r="E237" t="s">
        <v>240</v>
      </c>
      <c r="F237" s="23" t="str">
        <f t="shared" si="8"/>
        <v>rtdc.l.rtdc.4012:itc</v>
      </c>
      <c r="G237" s="8">
        <f t="shared" si="9"/>
        <v>42641.059062499997</v>
      </c>
    </row>
    <row r="238" spans="1:7" x14ac:dyDescent="0.25">
      <c r="A238" s="8">
        <v>42641.067083333335</v>
      </c>
      <c r="B238" t="s">
        <v>234</v>
      </c>
      <c r="C238" t="s">
        <v>332</v>
      </c>
      <c r="D238">
        <v>1230000</v>
      </c>
      <c r="E238" t="s">
        <v>239</v>
      </c>
      <c r="F238" s="23" t="str">
        <f t="shared" si="8"/>
        <v>rtdc.l.rtdc.4044:itc</v>
      </c>
      <c r="G238" s="8">
        <f t="shared" si="9"/>
        <v>42641.067083333335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163</v>
      </c>
      <c r="C240" t="s">
        <v>182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183</v>
      </c>
      <c r="D241">
        <v>2260000</v>
      </c>
      <c r="E241" t="s">
        <v>129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175</v>
      </c>
      <c r="C242" t="s">
        <v>184</v>
      </c>
      <c r="D242">
        <v>1200000</v>
      </c>
      <c r="E242" t="s">
        <v>181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170</v>
      </c>
      <c r="C243" t="s">
        <v>185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164</v>
      </c>
      <c r="C244" t="s">
        <v>186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176</v>
      </c>
      <c r="C245" t="s">
        <v>187</v>
      </c>
      <c r="D245">
        <v>2260000</v>
      </c>
      <c r="E245" t="s">
        <v>129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171</v>
      </c>
      <c r="C246" t="s">
        <v>188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177</v>
      </c>
      <c r="C247" t="s">
        <v>189</v>
      </c>
      <c r="D247">
        <v>1290000</v>
      </c>
      <c r="E247" t="s">
        <v>172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190</v>
      </c>
      <c r="D248">
        <v>2260000</v>
      </c>
      <c r="E248" t="s">
        <v>129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190</v>
      </c>
      <c r="D249">
        <v>2260000</v>
      </c>
      <c r="E249" t="s">
        <v>129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163</v>
      </c>
      <c r="C250" t="s">
        <v>191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190</v>
      </c>
      <c r="D251">
        <v>2260000</v>
      </c>
      <c r="E251" t="s">
        <v>129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173</v>
      </c>
      <c r="C252" t="s">
        <v>192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170</v>
      </c>
      <c r="C253" t="s">
        <v>188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175</v>
      </c>
      <c r="C254" t="s">
        <v>193</v>
      </c>
      <c r="D254">
        <v>1290000</v>
      </c>
      <c r="E254" t="s">
        <v>172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174</v>
      </c>
      <c r="C255" t="s">
        <v>194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173</v>
      </c>
      <c r="C256" t="s">
        <v>192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180</v>
      </c>
      <c r="C257" t="s">
        <v>195</v>
      </c>
      <c r="D257">
        <v>1290000</v>
      </c>
      <c r="E257" t="s">
        <v>172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174</v>
      </c>
      <c r="C258" t="s">
        <v>194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A13" sqref="A1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203</v>
      </c>
      <c r="B1" s="151" t="s">
        <v>206</v>
      </c>
      <c r="C1" s="151" t="s">
        <v>199</v>
      </c>
      <c r="D1" s="151" t="s">
        <v>230</v>
      </c>
      <c r="E1" s="151" t="s">
        <v>200</v>
      </c>
      <c r="F1" s="151" t="s">
        <v>198</v>
      </c>
      <c r="G1" s="151" t="s">
        <v>196</v>
      </c>
      <c r="H1" s="151" t="s">
        <v>209</v>
      </c>
      <c r="I1" s="151" t="s">
        <v>210</v>
      </c>
      <c r="J1" s="151" t="s">
        <v>204</v>
      </c>
      <c r="K1" s="151" t="s">
        <v>202</v>
      </c>
      <c r="L1" s="151" t="s">
        <v>197</v>
      </c>
      <c r="M1" s="151" t="s">
        <v>207</v>
      </c>
      <c r="N1" s="151" t="s">
        <v>201</v>
      </c>
      <c r="O1" s="151" t="s">
        <v>208</v>
      </c>
      <c r="P1" s="151" t="s">
        <v>205</v>
      </c>
      <c r="Q1" s="151" t="s">
        <v>205</v>
      </c>
    </row>
    <row r="2" spans="1:17" x14ac:dyDescent="0.25">
      <c r="A2" s="150">
        <v>57.35</v>
      </c>
      <c r="B2" s="150">
        <v>0.1</v>
      </c>
      <c r="C2" s="150">
        <v>37.68</v>
      </c>
      <c r="D2" s="165">
        <v>42641</v>
      </c>
      <c r="E2" s="150">
        <v>0.48</v>
      </c>
      <c r="F2" s="150" t="s">
        <v>371</v>
      </c>
      <c r="G2" s="150">
        <v>268.11</v>
      </c>
      <c r="H2" s="150">
        <v>0</v>
      </c>
      <c r="I2" s="150">
        <v>0</v>
      </c>
      <c r="J2" s="150">
        <v>1018.61</v>
      </c>
      <c r="K2" s="150" t="s">
        <v>372</v>
      </c>
      <c r="L2" s="150">
        <v>57.35</v>
      </c>
      <c r="M2" s="150">
        <v>1475042400</v>
      </c>
      <c r="N2" s="150">
        <v>1.24</v>
      </c>
      <c r="O2" s="150">
        <v>191</v>
      </c>
      <c r="P2" s="150">
        <v>0.51</v>
      </c>
      <c r="Q2" s="150">
        <v>2.77</v>
      </c>
    </row>
    <row r="3" spans="1:17" x14ac:dyDescent="0.25">
      <c r="A3" s="150">
        <v>56.26</v>
      </c>
      <c r="B3" s="150">
        <v>0.02</v>
      </c>
      <c r="C3" s="150">
        <v>37.74</v>
      </c>
      <c r="D3" s="165">
        <v>42641.041666666664</v>
      </c>
      <c r="E3" s="150">
        <v>0.5</v>
      </c>
      <c r="F3" s="150" t="s">
        <v>371</v>
      </c>
      <c r="G3" s="150">
        <v>268.17</v>
      </c>
      <c r="H3" s="150">
        <v>0</v>
      </c>
      <c r="I3" s="150">
        <v>0</v>
      </c>
      <c r="J3" s="150">
        <v>1019.06</v>
      </c>
      <c r="K3" s="150" t="s">
        <v>372</v>
      </c>
      <c r="L3" s="150">
        <v>56.26</v>
      </c>
      <c r="M3" s="150">
        <v>1475046000</v>
      </c>
      <c r="N3" s="150">
        <v>1.24</v>
      </c>
      <c r="O3" s="150">
        <v>256</v>
      </c>
      <c r="P3" s="150">
        <v>0.8</v>
      </c>
      <c r="Q3" s="150">
        <v>2.39</v>
      </c>
    </row>
    <row r="4" spans="1:17" x14ac:dyDescent="0.25">
      <c r="A4" s="150">
        <v>55.6</v>
      </c>
      <c r="B4" s="150">
        <v>0.02</v>
      </c>
      <c r="C4" s="150">
        <v>37.96</v>
      </c>
      <c r="D4" s="165">
        <v>42641.083333333336</v>
      </c>
      <c r="E4" s="150">
        <v>0.51</v>
      </c>
      <c r="F4" s="150" t="s">
        <v>371</v>
      </c>
      <c r="G4" s="150">
        <v>268.24</v>
      </c>
      <c r="H4" s="150">
        <v>0</v>
      </c>
      <c r="I4" s="150">
        <v>0</v>
      </c>
      <c r="J4" s="150">
        <v>1019.5</v>
      </c>
      <c r="K4" s="150" t="s">
        <v>372</v>
      </c>
      <c r="L4" s="150">
        <v>55.6</v>
      </c>
      <c r="M4" s="150">
        <v>1475049600</v>
      </c>
      <c r="N4" s="150">
        <v>1.24</v>
      </c>
      <c r="O4" s="150">
        <v>174</v>
      </c>
      <c r="P4" s="150">
        <v>0.37</v>
      </c>
      <c r="Q4" s="150">
        <v>0.41</v>
      </c>
    </row>
    <row r="5" spans="1:17" x14ac:dyDescent="0.25">
      <c r="A5" s="150">
        <v>54.11</v>
      </c>
      <c r="B5" s="150">
        <v>0.02</v>
      </c>
      <c r="C5" s="150">
        <v>37.67</v>
      </c>
      <c r="D5" s="165">
        <v>42641.125</v>
      </c>
      <c r="E5" s="150">
        <v>0.54</v>
      </c>
      <c r="F5" s="150" t="s">
        <v>371</v>
      </c>
      <c r="G5" s="150">
        <v>268.3</v>
      </c>
      <c r="H5" s="150">
        <v>0</v>
      </c>
      <c r="I5" s="150">
        <v>0</v>
      </c>
      <c r="J5" s="150">
        <v>1019.93</v>
      </c>
      <c r="K5" s="150" t="s">
        <v>372</v>
      </c>
      <c r="L5" s="150">
        <v>54.11</v>
      </c>
      <c r="M5" s="150">
        <v>1475053200</v>
      </c>
      <c r="N5" s="150">
        <v>1.24</v>
      </c>
      <c r="O5" s="150">
        <v>206</v>
      </c>
      <c r="P5" s="150">
        <v>0.27</v>
      </c>
      <c r="Q5" s="150">
        <v>1.75</v>
      </c>
    </row>
    <row r="6" spans="1:17" x14ac:dyDescent="0.25">
      <c r="A6" s="150">
        <v>52.7</v>
      </c>
      <c r="B6" s="150">
        <v>0.04</v>
      </c>
      <c r="C6" s="150">
        <v>37.21</v>
      </c>
      <c r="D6" s="165">
        <v>42641.166666666664</v>
      </c>
      <c r="E6" s="150">
        <v>0.55000000000000004</v>
      </c>
      <c r="F6" s="150" t="s">
        <v>371</v>
      </c>
      <c r="G6" s="150">
        <v>268.42</v>
      </c>
      <c r="H6" s="150">
        <v>0</v>
      </c>
      <c r="I6" s="150">
        <v>0</v>
      </c>
      <c r="J6" s="150">
        <v>1020.5</v>
      </c>
      <c r="K6" s="150" t="s">
        <v>372</v>
      </c>
      <c r="L6" s="150">
        <v>52.7</v>
      </c>
      <c r="M6" s="150">
        <v>1475056800</v>
      </c>
      <c r="N6" s="150">
        <v>1.24</v>
      </c>
      <c r="O6" s="150">
        <v>270</v>
      </c>
      <c r="P6" s="150">
        <v>0.28999999999999998</v>
      </c>
      <c r="Q6" s="150">
        <v>2.42</v>
      </c>
    </row>
    <row r="7" spans="1:17" x14ac:dyDescent="0.25">
      <c r="A7" s="150">
        <v>51.59</v>
      </c>
      <c r="B7" s="150">
        <v>0.06</v>
      </c>
      <c r="C7" s="150">
        <v>36.29</v>
      </c>
      <c r="D7" s="165">
        <v>42641.208333333336</v>
      </c>
      <c r="E7" s="150">
        <v>0.56000000000000005</v>
      </c>
      <c r="F7" s="150" t="s">
        <v>371</v>
      </c>
      <c r="G7" s="150">
        <v>268.56</v>
      </c>
      <c r="H7" s="150">
        <v>0</v>
      </c>
      <c r="I7" s="150">
        <v>0</v>
      </c>
      <c r="J7" s="150">
        <v>1021.09</v>
      </c>
      <c r="K7" s="150" t="s">
        <v>372</v>
      </c>
      <c r="L7" s="150">
        <v>51.59</v>
      </c>
      <c r="M7" s="150">
        <v>1475060400</v>
      </c>
      <c r="N7" s="150">
        <v>1.24</v>
      </c>
      <c r="O7" s="150">
        <v>219</v>
      </c>
      <c r="P7" s="150">
        <v>1.1299999999999999</v>
      </c>
      <c r="Q7" s="150">
        <v>1.79</v>
      </c>
    </row>
    <row r="8" spans="1:17" x14ac:dyDescent="0.25">
      <c r="A8" s="150">
        <v>50.45</v>
      </c>
      <c r="B8" s="150">
        <v>0.13</v>
      </c>
      <c r="C8" s="150">
        <v>35.270000000000003</v>
      </c>
      <c r="D8" s="165">
        <v>42641.25</v>
      </c>
      <c r="E8" s="150">
        <v>0.56000000000000005</v>
      </c>
      <c r="F8" s="150" t="s">
        <v>371</v>
      </c>
      <c r="G8" s="150">
        <v>268.69</v>
      </c>
      <c r="H8" s="150">
        <v>0</v>
      </c>
      <c r="I8" s="150">
        <v>0</v>
      </c>
      <c r="J8" s="150">
        <v>1021.55</v>
      </c>
      <c r="K8" s="150" t="s">
        <v>372</v>
      </c>
      <c r="L8" s="150">
        <v>50.45</v>
      </c>
      <c r="M8" s="150">
        <v>1475064000</v>
      </c>
      <c r="N8" s="150">
        <v>1.24</v>
      </c>
      <c r="O8" s="150">
        <v>235</v>
      </c>
      <c r="P8" s="150">
        <v>0.83</v>
      </c>
      <c r="Q8" s="150">
        <v>1.99</v>
      </c>
    </row>
    <row r="9" spans="1:17" x14ac:dyDescent="0.25">
      <c r="A9" s="150">
        <v>52.03</v>
      </c>
      <c r="B9" s="150">
        <v>0.16</v>
      </c>
      <c r="C9" s="150">
        <v>37.049999999999997</v>
      </c>
      <c r="D9" s="165">
        <v>42641.291666666664</v>
      </c>
      <c r="E9" s="150">
        <v>0.56999999999999995</v>
      </c>
      <c r="F9" s="150" t="s">
        <v>371</v>
      </c>
      <c r="G9" s="150">
        <v>268.86</v>
      </c>
      <c r="H9" s="150">
        <v>0</v>
      </c>
      <c r="I9" s="150">
        <v>0</v>
      </c>
      <c r="J9" s="150">
        <v>1021.79</v>
      </c>
      <c r="K9" s="150" t="s">
        <v>372</v>
      </c>
      <c r="L9" s="150">
        <v>52.03</v>
      </c>
      <c r="M9" s="150">
        <v>1475067600</v>
      </c>
      <c r="N9" s="150">
        <v>1.24</v>
      </c>
      <c r="O9" s="150">
        <v>260</v>
      </c>
      <c r="P9" s="150">
        <v>1.1100000000000001</v>
      </c>
      <c r="Q9" s="150">
        <v>2.11</v>
      </c>
    </row>
    <row r="10" spans="1:17" x14ac:dyDescent="0.25">
      <c r="A10" s="150">
        <v>55.84</v>
      </c>
      <c r="B10" s="150">
        <v>0.19</v>
      </c>
      <c r="C10" s="150">
        <v>38.799999999999997</v>
      </c>
      <c r="D10" s="165">
        <v>42641.333333333336</v>
      </c>
      <c r="E10" s="150">
        <v>0.53</v>
      </c>
      <c r="F10" s="150" t="s">
        <v>371</v>
      </c>
      <c r="G10" s="150">
        <v>269.01</v>
      </c>
      <c r="H10" s="150">
        <v>0</v>
      </c>
      <c r="I10" s="150">
        <v>0</v>
      </c>
      <c r="J10" s="150">
        <v>1021.84</v>
      </c>
      <c r="K10" s="150" t="s">
        <v>372</v>
      </c>
      <c r="L10" s="150">
        <v>55.84</v>
      </c>
      <c r="M10" s="150">
        <v>1475071200</v>
      </c>
      <c r="N10" s="150">
        <v>1.24</v>
      </c>
      <c r="O10" s="150">
        <v>227</v>
      </c>
      <c r="P10" s="150">
        <v>0.66</v>
      </c>
      <c r="Q10" s="150">
        <v>2.5499999999999998</v>
      </c>
    </row>
    <row r="11" spans="1:17" x14ac:dyDescent="0.25">
      <c r="A11" s="150">
        <v>60.79</v>
      </c>
      <c r="B11" s="150">
        <v>0.26</v>
      </c>
      <c r="C11" s="150">
        <v>36.99</v>
      </c>
      <c r="D11" s="165">
        <v>42641.375</v>
      </c>
      <c r="E11" s="150">
        <v>0.41</v>
      </c>
      <c r="F11" s="150" t="s">
        <v>371</v>
      </c>
      <c r="G11" s="150">
        <v>269</v>
      </c>
      <c r="H11" s="150">
        <v>0</v>
      </c>
      <c r="I11" s="150">
        <v>0</v>
      </c>
      <c r="J11" s="150">
        <v>1021.76</v>
      </c>
      <c r="K11" s="150" t="s">
        <v>372</v>
      </c>
      <c r="L11" s="150">
        <v>60.79</v>
      </c>
      <c r="M11" s="150">
        <v>1475074800</v>
      </c>
      <c r="N11" s="150">
        <v>1.24</v>
      </c>
      <c r="O11" s="150">
        <v>101</v>
      </c>
      <c r="P11" s="150">
        <v>0.28000000000000003</v>
      </c>
      <c r="Q11" s="150">
        <v>3.14</v>
      </c>
    </row>
    <row r="12" spans="1:17" x14ac:dyDescent="0.25">
      <c r="A12" s="150">
        <v>67.06</v>
      </c>
      <c r="B12" s="150">
        <v>0.33</v>
      </c>
      <c r="C12" s="150">
        <v>36.79</v>
      </c>
      <c r="D12" s="165">
        <v>42641.416666666664</v>
      </c>
      <c r="E12" s="150">
        <v>0.33</v>
      </c>
      <c r="F12" s="150" t="s">
        <v>371</v>
      </c>
      <c r="G12" s="150">
        <v>268.64999999999998</v>
      </c>
      <c r="H12" s="150">
        <v>0</v>
      </c>
      <c r="I12" s="150">
        <v>0</v>
      </c>
      <c r="J12" s="150">
        <v>1021.53</v>
      </c>
      <c r="K12" s="150" t="s">
        <v>372</v>
      </c>
      <c r="L12" s="150">
        <v>67.06</v>
      </c>
      <c r="M12" s="150">
        <v>1475078400</v>
      </c>
      <c r="N12" s="150">
        <v>1.24</v>
      </c>
      <c r="O12" s="150">
        <v>92</v>
      </c>
      <c r="P12" s="150">
        <v>0.94</v>
      </c>
      <c r="Q12" s="150">
        <v>3.74</v>
      </c>
    </row>
    <row r="13" spans="1:17" x14ac:dyDescent="0.25">
      <c r="A13" s="150">
        <v>70.790000000000006</v>
      </c>
      <c r="B13" s="150">
        <v>0.3</v>
      </c>
      <c r="C13" s="150">
        <v>35.75</v>
      </c>
      <c r="D13" s="165">
        <v>42641.458333333336</v>
      </c>
      <c r="E13" s="150">
        <v>0.28000000000000003</v>
      </c>
      <c r="F13" s="150" t="s">
        <v>371</v>
      </c>
      <c r="G13" s="150">
        <v>268.14999999999998</v>
      </c>
      <c r="H13" s="150">
        <v>0</v>
      </c>
      <c r="I13" s="150">
        <v>0</v>
      </c>
      <c r="J13" s="150">
        <v>1021.13</v>
      </c>
      <c r="K13" s="150" t="s">
        <v>372</v>
      </c>
      <c r="L13" s="150">
        <v>70.790000000000006</v>
      </c>
      <c r="M13" s="150">
        <v>1475082000</v>
      </c>
      <c r="N13" s="150">
        <v>1.24</v>
      </c>
      <c r="O13" s="150">
        <v>33</v>
      </c>
      <c r="P13" s="150">
        <v>1.78</v>
      </c>
      <c r="Q13" s="150">
        <v>3.07</v>
      </c>
    </row>
    <row r="14" spans="1:17" x14ac:dyDescent="0.25">
      <c r="A14" s="150">
        <v>73.84</v>
      </c>
      <c r="B14" s="150">
        <v>0.33</v>
      </c>
      <c r="C14" s="150">
        <v>35.32</v>
      </c>
      <c r="D14" s="165">
        <v>42641.5</v>
      </c>
      <c r="E14" s="150">
        <v>0.25</v>
      </c>
      <c r="F14" s="150" t="s">
        <v>371</v>
      </c>
      <c r="G14" s="150">
        <v>267.91000000000003</v>
      </c>
      <c r="H14" s="150">
        <v>0</v>
      </c>
      <c r="I14" s="150">
        <v>0</v>
      </c>
      <c r="J14" s="150">
        <v>1020.55</v>
      </c>
      <c r="K14" s="150" t="s">
        <v>372</v>
      </c>
      <c r="L14" s="150">
        <v>73.84</v>
      </c>
      <c r="M14" s="150">
        <v>1475085600</v>
      </c>
      <c r="N14" s="150">
        <v>1.24</v>
      </c>
      <c r="O14" s="150">
        <v>57</v>
      </c>
      <c r="P14" s="150">
        <v>2.31</v>
      </c>
      <c r="Q14" s="150">
        <v>1.36</v>
      </c>
    </row>
    <row r="15" spans="1:17" x14ac:dyDescent="0.25">
      <c r="A15" s="150">
        <v>76.94</v>
      </c>
      <c r="B15" s="150">
        <v>0.33</v>
      </c>
      <c r="C15" s="150">
        <v>35.15</v>
      </c>
      <c r="D15" s="165">
        <v>42641.541666666664</v>
      </c>
      <c r="E15" s="150">
        <v>0.22</v>
      </c>
      <c r="F15" s="150" t="s">
        <v>371</v>
      </c>
      <c r="G15" s="150">
        <v>268.13</v>
      </c>
      <c r="H15" s="150">
        <v>0</v>
      </c>
      <c r="I15" s="150">
        <v>0</v>
      </c>
      <c r="J15" s="150">
        <v>1019.69</v>
      </c>
      <c r="K15" s="150" t="s">
        <v>372</v>
      </c>
      <c r="L15" s="150">
        <v>76.94</v>
      </c>
      <c r="M15" s="150">
        <v>1475089200</v>
      </c>
      <c r="N15" s="150">
        <v>1.24</v>
      </c>
      <c r="O15" s="150">
        <v>83</v>
      </c>
      <c r="P15" s="150">
        <v>2.93</v>
      </c>
      <c r="Q15" s="150">
        <v>0.36</v>
      </c>
    </row>
    <row r="16" spans="1:17" x14ac:dyDescent="0.25">
      <c r="A16" s="150">
        <v>78.760000000000005</v>
      </c>
      <c r="B16" s="150">
        <v>0.33</v>
      </c>
      <c r="C16" s="150">
        <v>33.83</v>
      </c>
      <c r="D16" s="165">
        <v>42641.583333333336</v>
      </c>
      <c r="E16" s="150">
        <v>0.2</v>
      </c>
      <c r="F16" s="150" t="s">
        <v>371</v>
      </c>
      <c r="G16" s="150">
        <v>268.62</v>
      </c>
      <c r="H16" s="150">
        <v>0</v>
      </c>
      <c r="I16" s="150">
        <v>0</v>
      </c>
      <c r="J16" s="150">
        <v>1018.7</v>
      </c>
      <c r="K16" s="150" t="s">
        <v>372</v>
      </c>
      <c r="L16" s="150">
        <v>78.760000000000005</v>
      </c>
      <c r="M16" s="150">
        <v>1475092800</v>
      </c>
      <c r="N16" s="150">
        <v>1.24</v>
      </c>
      <c r="O16" s="150">
        <v>77</v>
      </c>
      <c r="P16" s="150">
        <v>2.42</v>
      </c>
      <c r="Q16" s="150">
        <v>1.69</v>
      </c>
    </row>
    <row r="17" spans="1:17" x14ac:dyDescent="0.25">
      <c r="A17" s="150">
        <v>79.97</v>
      </c>
      <c r="B17" s="150">
        <v>0.24</v>
      </c>
      <c r="C17" s="150">
        <v>33.11</v>
      </c>
      <c r="D17" s="165">
        <v>42641.625</v>
      </c>
      <c r="E17" s="150">
        <v>0.18</v>
      </c>
      <c r="F17" s="150" t="s">
        <v>272</v>
      </c>
      <c r="G17" s="150">
        <v>269.24</v>
      </c>
      <c r="H17" s="150">
        <v>0</v>
      </c>
      <c r="I17" s="150">
        <v>0</v>
      </c>
      <c r="J17" s="150">
        <v>1018.01</v>
      </c>
      <c r="K17" s="150" t="s">
        <v>271</v>
      </c>
      <c r="L17" s="150">
        <v>79.97</v>
      </c>
      <c r="M17" s="150">
        <v>1475096400</v>
      </c>
      <c r="N17" s="150">
        <v>3.14</v>
      </c>
      <c r="O17" s="150">
        <v>77</v>
      </c>
      <c r="P17" s="150">
        <v>3.48</v>
      </c>
      <c r="Q17" s="150">
        <v>3.87</v>
      </c>
    </row>
    <row r="18" spans="1:17" x14ac:dyDescent="0.25">
      <c r="A18" s="150">
        <v>79.72</v>
      </c>
      <c r="B18" s="150">
        <v>0.27</v>
      </c>
      <c r="C18" s="150">
        <v>31.99</v>
      </c>
      <c r="D18" s="165">
        <v>42641.666666666664</v>
      </c>
      <c r="E18" s="150">
        <v>0.18</v>
      </c>
      <c r="F18" s="150" t="s">
        <v>373</v>
      </c>
      <c r="G18" s="150">
        <v>270.08999999999997</v>
      </c>
      <c r="H18" s="150">
        <v>0</v>
      </c>
      <c r="I18" s="150">
        <v>0</v>
      </c>
      <c r="J18" s="150">
        <v>1017.72</v>
      </c>
      <c r="K18" s="150" t="s">
        <v>374</v>
      </c>
      <c r="L18" s="150">
        <v>79.72</v>
      </c>
      <c r="M18" s="150">
        <v>1475100000</v>
      </c>
      <c r="N18" s="150">
        <v>3.37</v>
      </c>
      <c r="O18" s="150">
        <v>69</v>
      </c>
      <c r="P18" s="150">
        <v>4.22</v>
      </c>
      <c r="Q18" s="150">
        <v>5.81</v>
      </c>
    </row>
    <row r="19" spans="1:17" x14ac:dyDescent="0.25">
      <c r="A19" s="150">
        <v>79.78</v>
      </c>
      <c r="B19" s="150">
        <v>0.27</v>
      </c>
      <c r="C19" s="150">
        <v>32.130000000000003</v>
      </c>
      <c r="D19" s="165">
        <v>42641.708333333336</v>
      </c>
      <c r="E19" s="150">
        <v>0.18</v>
      </c>
      <c r="F19" s="150" t="s">
        <v>373</v>
      </c>
      <c r="G19" s="150">
        <v>271.07</v>
      </c>
      <c r="H19" s="150">
        <v>0</v>
      </c>
      <c r="I19" s="150">
        <v>0</v>
      </c>
      <c r="J19" s="150">
        <v>1017.78</v>
      </c>
      <c r="K19" s="150" t="s">
        <v>374</v>
      </c>
      <c r="L19" s="150">
        <v>79.78</v>
      </c>
      <c r="M19" s="150">
        <v>1475103600</v>
      </c>
      <c r="N19" s="150">
        <v>4.95</v>
      </c>
      <c r="O19" s="150">
        <v>71</v>
      </c>
      <c r="P19" s="150">
        <v>5.12</v>
      </c>
      <c r="Q19" s="150">
        <v>9.5500000000000007</v>
      </c>
    </row>
    <row r="20" spans="1:17" x14ac:dyDescent="0.25">
      <c r="A20" s="150">
        <v>76.209999999999994</v>
      </c>
      <c r="B20" s="150">
        <v>0.21</v>
      </c>
      <c r="C20" s="150">
        <v>31.81</v>
      </c>
      <c r="D20" s="165">
        <v>42641.75</v>
      </c>
      <c r="E20" s="150">
        <v>0.2</v>
      </c>
      <c r="F20" s="150" t="s">
        <v>272</v>
      </c>
      <c r="G20" s="150">
        <v>271.81</v>
      </c>
      <c r="H20" s="150">
        <v>0</v>
      </c>
      <c r="I20" s="150">
        <v>0</v>
      </c>
      <c r="J20" s="150">
        <v>1018.3</v>
      </c>
      <c r="K20" s="150" t="s">
        <v>271</v>
      </c>
      <c r="L20" s="150">
        <v>76.209999999999994</v>
      </c>
      <c r="M20" s="150">
        <v>1475107200</v>
      </c>
      <c r="N20" s="150">
        <v>6.09</v>
      </c>
      <c r="O20" s="150">
        <v>79</v>
      </c>
      <c r="P20" s="150">
        <v>5.86</v>
      </c>
      <c r="Q20" s="150">
        <v>10.68</v>
      </c>
    </row>
    <row r="21" spans="1:17" x14ac:dyDescent="0.25">
      <c r="A21" s="150">
        <v>72.150000000000006</v>
      </c>
      <c r="B21" s="150">
        <v>0.06</v>
      </c>
      <c r="C21" s="150">
        <v>32.32</v>
      </c>
      <c r="D21" s="165">
        <v>42641.791666666664</v>
      </c>
      <c r="E21" s="150">
        <v>0.23</v>
      </c>
      <c r="F21" s="150" t="s">
        <v>270</v>
      </c>
      <c r="G21" s="150">
        <v>271.98</v>
      </c>
      <c r="H21" s="150">
        <v>0</v>
      </c>
      <c r="I21" s="150">
        <v>0</v>
      </c>
      <c r="J21" s="150">
        <v>1019.35</v>
      </c>
      <c r="K21" s="150" t="s">
        <v>271</v>
      </c>
      <c r="L21" s="150">
        <v>72.150000000000006</v>
      </c>
      <c r="M21" s="150">
        <v>1475110800</v>
      </c>
      <c r="N21" s="150">
        <v>7.19</v>
      </c>
      <c r="O21" s="150">
        <v>75</v>
      </c>
      <c r="P21" s="150">
        <v>4.49</v>
      </c>
      <c r="Q21" s="150">
        <v>7.21</v>
      </c>
    </row>
    <row r="22" spans="1:17" x14ac:dyDescent="0.25">
      <c r="A22" s="150">
        <v>67.150000000000006</v>
      </c>
      <c r="B22" s="150">
        <v>0.06</v>
      </c>
      <c r="C22" s="150">
        <v>32.770000000000003</v>
      </c>
      <c r="D22" s="165">
        <v>42641.833333333336</v>
      </c>
      <c r="E22" s="150">
        <v>0.28000000000000003</v>
      </c>
      <c r="F22" s="150" t="s">
        <v>270</v>
      </c>
      <c r="G22" s="150">
        <v>271.91000000000003</v>
      </c>
      <c r="H22" s="150">
        <v>0</v>
      </c>
      <c r="I22" s="150">
        <v>0</v>
      </c>
      <c r="J22" s="150">
        <v>1020.9</v>
      </c>
      <c r="K22" s="150" t="s">
        <v>271</v>
      </c>
      <c r="L22" s="150">
        <v>67.150000000000006</v>
      </c>
      <c r="M22" s="150">
        <v>1475114400</v>
      </c>
      <c r="N22" s="150">
        <v>7.9</v>
      </c>
      <c r="O22" s="150">
        <v>74</v>
      </c>
      <c r="P22" s="150">
        <v>3.27</v>
      </c>
      <c r="Q22" s="150">
        <v>4.58</v>
      </c>
    </row>
    <row r="23" spans="1:17" x14ac:dyDescent="0.25">
      <c r="A23" s="150">
        <v>63.31</v>
      </c>
      <c r="B23" s="150">
        <v>0.06</v>
      </c>
      <c r="C23" s="150">
        <v>33.49</v>
      </c>
      <c r="D23" s="165">
        <v>42641.875</v>
      </c>
      <c r="E23" s="150">
        <v>0.33</v>
      </c>
      <c r="F23" s="150" t="s">
        <v>270</v>
      </c>
      <c r="G23" s="150">
        <v>272.16000000000003</v>
      </c>
      <c r="H23" s="150">
        <v>0</v>
      </c>
      <c r="I23" s="150">
        <v>0</v>
      </c>
      <c r="J23" s="150">
        <v>1022.17</v>
      </c>
      <c r="K23" s="150" t="s">
        <v>271</v>
      </c>
      <c r="L23" s="150">
        <v>63.31</v>
      </c>
      <c r="M23" s="150">
        <v>1475118000</v>
      </c>
      <c r="N23" s="150">
        <v>8.6</v>
      </c>
      <c r="O23" s="150">
        <v>57</v>
      </c>
      <c r="P23" s="150">
        <v>2.0699999999999998</v>
      </c>
      <c r="Q23" s="150">
        <v>2.89</v>
      </c>
    </row>
    <row r="24" spans="1:17" x14ac:dyDescent="0.25">
      <c r="A24" s="150">
        <v>60.98</v>
      </c>
      <c r="B24" s="150">
        <v>0.08</v>
      </c>
      <c r="C24" s="150">
        <v>35</v>
      </c>
      <c r="D24" s="165">
        <v>42641.916666666664</v>
      </c>
      <c r="E24" s="150">
        <v>0.38</v>
      </c>
      <c r="F24" s="150" t="s">
        <v>270</v>
      </c>
      <c r="G24" s="150">
        <v>273.02</v>
      </c>
      <c r="H24" s="150">
        <v>0</v>
      </c>
      <c r="I24" s="150">
        <v>0</v>
      </c>
      <c r="J24" s="150">
        <v>1022.85</v>
      </c>
      <c r="K24" s="150" t="s">
        <v>271</v>
      </c>
      <c r="L24" s="150">
        <v>60.98</v>
      </c>
      <c r="M24" s="150">
        <v>1475121600</v>
      </c>
      <c r="N24" s="150">
        <v>8.94</v>
      </c>
      <c r="O24" s="150">
        <v>7</v>
      </c>
      <c r="P24" s="150">
        <v>1.03</v>
      </c>
      <c r="Q24" s="150">
        <v>1.62</v>
      </c>
    </row>
    <row r="25" spans="1:17" x14ac:dyDescent="0.25">
      <c r="A25" s="150">
        <v>59.15</v>
      </c>
      <c r="B25" s="150">
        <v>0.09</v>
      </c>
      <c r="C25" s="150">
        <v>36.369999999999997</v>
      </c>
      <c r="D25" s="165">
        <v>42641.958333333336</v>
      </c>
      <c r="E25" s="150">
        <v>0.42</v>
      </c>
      <c r="F25" s="150" t="s">
        <v>270</v>
      </c>
      <c r="G25" s="150">
        <v>274.20999999999998</v>
      </c>
      <c r="H25" s="150">
        <v>0</v>
      </c>
      <c r="I25" s="150">
        <v>0</v>
      </c>
      <c r="J25" s="150">
        <v>1023.22</v>
      </c>
      <c r="K25" s="150" t="s">
        <v>271</v>
      </c>
      <c r="L25" s="150">
        <v>59.15</v>
      </c>
      <c r="M25" s="150">
        <v>1475125200</v>
      </c>
      <c r="N25" s="150">
        <v>8.74</v>
      </c>
      <c r="O25" s="150">
        <v>232</v>
      </c>
      <c r="P25" s="150">
        <v>0.28999999999999998</v>
      </c>
      <c r="Q25" s="150">
        <v>1.98</v>
      </c>
    </row>
    <row r="26" spans="1:17" x14ac:dyDescent="0.25">
      <c r="A26" s="150">
        <v>57.62</v>
      </c>
      <c r="B26" s="150">
        <v>7.0000000000000007E-2</v>
      </c>
      <c r="C26" s="150">
        <v>36.99</v>
      </c>
      <c r="D26" s="165">
        <v>42642</v>
      </c>
      <c r="E26" s="150">
        <v>0.46</v>
      </c>
      <c r="F26" s="150" t="s">
        <v>270</v>
      </c>
      <c r="G26" s="150">
        <v>275.39</v>
      </c>
      <c r="H26" s="150">
        <v>0</v>
      </c>
      <c r="I26" s="150">
        <v>0</v>
      </c>
      <c r="J26" s="150">
        <v>1023.58</v>
      </c>
      <c r="K26" s="150" t="s">
        <v>271</v>
      </c>
      <c r="L26" s="150">
        <v>57.62</v>
      </c>
      <c r="M26" s="150">
        <v>1475128800</v>
      </c>
      <c r="N26" s="150">
        <v>8.9</v>
      </c>
      <c r="O26" s="150">
        <v>227</v>
      </c>
      <c r="P26" s="150">
        <v>1.17</v>
      </c>
      <c r="Q26" s="150">
        <v>1.56</v>
      </c>
    </row>
    <row r="27" spans="1:17" x14ac:dyDescent="0.25">
      <c r="A27" s="150">
        <v>54.79</v>
      </c>
      <c r="B27" s="150">
        <v>0.06</v>
      </c>
      <c r="C27" s="150">
        <v>36.26</v>
      </c>
      <c r="D27" s="165">
        <v>42642.041666666664</v>
      </c>
      <c r="E27" s="150">
        <v>0.49</v>
      </c>
      <c r="F27" s="150" t="s">
        <v>270</v>
      </c>
      <c r="G27" s="150">
        <v>276.48</v>
      </c>
      <c r="H27" s="150">
        <v>0</v>
      </c>
      <c r="I27" s="150">
        <v>0</v>
      </c>
      <c r="J27" s="150">
        <v>1024.03</v>
      </c>
      <c r="K27" s="150" t="s">
        <v>271</v>
      </c>
      <c r="L27" s="150">
        <v>54.79</v>
      </c>
      <c r="M27" s="150">
        <v>1475132400</v>
      </c>
      <c r="N27" s="150">
        <v>8.98</v>
      </c>
      <c r="O27" s="150">
        <v>174</v>
      </c>
      <c r="P27" s="150">
        <v>1.7</v>
      </c>
      <c r="Q27" s="150">
        <v>1.31</v>
      </c>
    </row>
    <row r="28" spans="1:17" x14ac:dyDescent="0.25">
      <c r="A28" s="150">
        <v>53.25</v>
      </c>
      <c r="B28" s="150">
        <v>0.08</v>
      </c>
      <c r="C28" s="150">
        <v>35.93</v>
      </c>
      <c r="D28" s="165">
        <v>42642.083333333336</v>
      </c>
      <c r="E28" s="150">
        <v>0.52</v>
      </c>
      <c r="F28" s="150" t="s">
        <v>270</v>
      </c>
      <c r="G28" s="150">
        <v>277.56</v>
      </c>
      <c r="H28" s="150">
        <v>0</v>
      </c>
      <c r="I28" s="150">
        <v>0</v>
      </c>
      <c r="J28" s="150">
        <v>1024.45</v>
      </c>
      <c r="K28" s="150" t="s">
        <v>271</v>
      </c>
      <c r="L28" s="150">
        <v>53.25</v>
      </c>
      <c r="M28" s="150">
        <v>1475136000</v>
      </c>
      <c r="N28" s="150">
        <v>9.01</v>
      </c>
      <c r="O28" s="150">
        <v>197</v>
      </c>
      <c r="P28" s="150">
        <v>2.4500000000000002</v>
      </c>
      <c r="Q28" s="150">
        <v>1.38</v>
      </c>
    </row>
    <row r="29" spans="1:17" x14ac:dyDescent="0.25">
      <c r="A29" s="150">
        <v>51.51</v>
      </c>
      <c r="B29" s="150">
        <v>0.08</v>
      </c>
      <c r="C29" s="150">
        <v>36</v>
      </c>
      <c r="D29" s="165">
        <v>42642.125</v>
      </c>
      <c r="E29" s="150">
        <v>0.55000000000000004</v>
      </c>
      <c r="F29" s="150" t="s">
        <v>270</v>
      </c>
      <c r="G29" s="150">
        <v>278.64999999999998</v>
      </c>
      <c r="H29" s="150">
        <v>0</v>
      </c>
      <c r="I29" s="150">
        <v>0</v>
      </c>
      <c r="J29" s="150">
        <v>1024.82</v>
      </c>
      <c r="K29" s="150" t="s">
        <v>271</v>
      </c>
      <c r="L29" s="150">
        <v>51.51</v>
      </c>
      <c r="M29" s="150">
        <v>1475139600</v>
      </c>
      <c r="N29" s="150">
        <v>8.1</v>
      </c>
      <c r="O29" s="150">
        <v>183</v>
      </c>
      <c r="P29" s="150">
        <v>1.37</v>
      </c>
      <c r="Q29" s="150">
        <v>2.41</v>
      </c>
    </row>
    <row r="31" spans="1:17" x14ac:dyDescent="0.25">
      <c r="A31" s="150" t="s">
        <v>375</v>
      </c>
    </row>
    <row r="33" spans="1:1" x14ac:dyDescent="0.25">
      <c r="A33" s="150" t="s">
        <v>211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42641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368</v>
      </c>
    </row>
    <row r="21" spans="10:13" x14ac:dyDescent="0.25">
      <c r="J21" s="23" t="s">
        <v>97</v>
      </c>
      <c r="K21" s="23" t="s">
        <v>98</v>
      </c>
      <c r="M21" s="70" t="s">
        <v>766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165</v>
      </c>
      <c r="M25" s="70" t="b">
        <v>1</v>
      </c>
    </row>
    <row r="26" spans="10:13" x14ac:dyDescent="0.25">
      <c r="J26" t="s">
        <v>166</v>
      </c>
      <c r="M26" s="70" t="str">
        <f>"C:\Users\stu\Documents\GitHub\eaglep3-reporting\EC\"&amp;TEXT(A2,"yyyy-mm-dd")&amp;"-refined-times.txt"</f>
        <v>C:\Users\stu\Documents\GitHub\eaglep3-reporting\EC\2016-09-28-refined-times.txt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134</v>
      </c>
      <c r="B1" s="123" t="s">
        <v>135</v>
      </c>
      <c r="C1" s="124" t="s">
        <v>136</v>
      </c>
      <c r="H1" t="s">
        <v>130</v>
      </c>
      <c r="I1" s="125" t="s">
        <v>132</v>
      </c>
      <c r="J1"/>
    </row>
    <row r="2" spans="1:11" x14ac:dyDescent="0.25">
      <c r="A2" s="124" t="s">
        <v>137</v>
      </c>
      <c r="B2" s="124" t="s">
        <v>138</v>
      </c>
      <c r="C2" s="124" t="s">
        <v>139</v>
      </c>
      <c r="H2" t="s">
        <v>131</v>
      </c>
      <c r="I2" s="110" t="s">
        <v>133</v>
      </c>
      <c r="J2"/>
    </row>
    <row r="3" spans="1:11" x14ac:dyDescent="0.25">
      <c r="A3" s="124" t="s">
        <v>140</v>
      </c>
      <c r="B3" s="124" t="s">
        <v>141</v>
      </c>
      <c r="C3" s="124" t="s">
        <v>142</v>
      </c>
      <c r="H3" t="s">
        <v>156</v>
      </c>
      <c r="I3" s="110">
        <v>1</v>
      </c>
      <c r="J3"/>
      <c r="K3" s="70"/>
    </row>
    <row r="4" spans="1:11" x14ac:dyDescent="0.25">
      <c r="A4" s="124" t="s">
        <v>143</v>
      </c>
      <c r="C4" s="124" t="s">
        <v>144</v>
      </c>
      <c r="H4" t="s">
        <v>157</v>
      </c>
      <c r="I4" s="110">
        <v>2</v>
      </c>
      <c r="J4"/>
      <c r="K4" s="70"/>
    </row>
    <row r="5" spans="1:11" x14ac:dyDescent="0.25">
      <c r="A5" s="124" t="s">
        <v>145</v>
      </c>
      <c r="C5" s="124" t="s">
        <v>146</v>
      </c>
      <c r="H5" t="s">
        <v>158</v>
      </c>
      <c r="I5" s="110">
        <v>23</v>
      </c>
      <c r="J5"/>
      <c r="K5" s="70"/>
    </row>
    <row r="6" spans="1:11" x14ac:dyDescent="0.25">
      <c r="A6" s="124" t="s">
        <v>147</v>
      </c>
      <c r="C6" s="124" t="s">
        <v>148</v>
      </c>
      <c r="H6" s="127" t="s">
        <v>159</v>
      </c>
      <c r="I6" s="128" t="s">
        <v>138</v>
      </c>
    </row>
    <row r="7" spans="1:11" x14ac:dyDescent="0.25">
      <c r="A7" s="124" t="s">
        <v>149</v>
      </c>
      <c r="C7" s="124" t="s">
        <v>150</v>
      </c>
    </row>
    <row r="8" spans="1:11" x14ac:dyDescent="0.25">
      <c r="C8" s="124" t="s">
        <v>151</v>
      </c>
    </row>
    <row r="9" spans="1:11" x14ac:dyDescent="0.25">
      <c r="C9" s="127" t="s">
        <v>236</v>
      </c>
    </row>
    <row r="10" spans="1:11" x14ac:dyDescent="0.25">
      <c r="C10" s="124" t="s">
        <v>152</v>
      </c>
    </row>
    <row r="11" spans="1:11" x14ac:dyDescent="0.25">
      <c r="C11" s="124" t="s">
        <v>153</v>
      </c>
    </row>
    <row r="12" spans="1:11" x14ac:dyDescent="0.25">
      <c r="C12" s="124" t="s">
        <v>154</v>
      </c>
    </row>
    <row r="13" spans="1:11" x14ac:dyDescent="0.25">
      <c r="C13" s="124" t="s">
        <v>155</v>
      </c>
    </row>
    <row r="14" spans="1:11" x14ac:dyDescent="0.25">
      <c r="C14" s="127" t="s">
        <v>237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2016-09-29T20:10:11Z</dcterms:modified>
</cp:coreProperties>
</file>