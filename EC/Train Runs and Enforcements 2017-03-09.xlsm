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Trips'!$A$2:$J$100</definedName>
    <definedName name="_xlnm._FilterDatabase" localSheetId="0" hidden="1">'Train Runs'!$A$12:$AG$258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Runs'!$A$12:$J$59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4" i="3" l="1"/>
  <c r="AC25" i="3"/>
  <c r="AC23" i="3"/>
  <c r="X105" i="1"/>
  <c r="X106" i="1"/>
  <c r="X107" i="1"/>
  <c r="X108" i="1"/>
  <c r="K104" i="1"/>
  <c r="L104" i="1"/>
  <c r="M104" i="1"/>
  <c r="V104" i="1"/>
  <c r="Y104" i="1"/>
  <c r="Z104" i="1"/>
  <c r="AA104" i="1" s="1"/>
  <c r="AB104" i="1"/>
  <c r="AC104" i="1"/>
  <c r="AD104" i="1"/>
  <c r="T104" i="1" s="1"/>
  <c r="AE104" i="1"/>
  <c r="AF104" i="1"/>
  <c r="AH104" i="1"/>
  <c r="AM104" i="1"/>
  <c r="AN104" i="1"/>
  <c r="P142" i="1"/>
  <c r="AG104" i="1" l="1"/>
  <c r="X104" i="1"/>
  <c r="K14" i="1"/>
  <c r="L14" i="1"/>
  <c r="M14" i="1"/>
  <c r="N14" i="1" s="1"/>
  <c r="V14" i="1"/>
  <c r="S27" i="3" s="1"/>
  <c r="Y14" i="1"/>
  <c r="Z14" i="1"/>
  <c r="AB14" i="1"/>
  <c r="AC14" i="1"/>
  <c r="AD14" i="1"/>
  <c r="T14" i="1" s="1"/>
  <c r="AE14" i="1"/>
  <c r="AF14" i="1"/>
  <c r="AG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W16" i="1" s="1"/>
  <c r="AB16" i="1"/>
  <c r="AC16" i="1"/>
  <c r="AD16" i="1"/>
  <c r="AG16" i="1" s="1"/>
  <c r="AE16" i="1"/>
  <c r="AF16" i="1"/>
  <c r="AH16" i="1"/>
  <c r="AM16" i="1"/>
  <c r="AN16" i="1"/>
  <c r="K17" i="1"/>
  <c r="L17" i="1"/>
  <c r="M17" i="1"/>
  <c r="N17" i="1" s="1"/>
  <c r="V17" i="1"/>
  <c r="Y17" i="1"/>
  <c r="AA17" i="1" s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 s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S22" i="3" s="1"/>
  <c r="Y22" i="1"/>
  <c r="Z22" i="1"/>
  <c r="AB22" i="1"/>
  <c r="AC22" i="1"/>
  <c r="AD22" i="1"/>
  <c r="AE22" i="1"/>
  <c r="R22" i="3" s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I24" i="1" s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S18" i="3" s="1"/>
  <c r="Y28" i="1"/>
  <c r="AA28" i="1" s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A30" i="1" s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A31" i="1" s="1"/>
  <c r="AB31" i="1"/>
  <c r="AC31" i="1"/>
  <c r="AD31" i="1"/>
  <c r="AE31" i="1"/>
  <c r="AF31" i="1"/>
  <c r="AH31" i="1"/>
  <c r="AM31" i="1"/>
  <c r="AN31" i="1"/>
  <c r="K32" i="1"/>
  <c r="L32" i="1"/>
  <c r="M32" i="1"/>
  <c r="N32" i="1"/>
  <c r="V32" i="1"/>
  <c r="Y32" i="1"/>
  <c r="Z32" i="1"/>
  <c r="AA32" i="1" s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A34" i="1" s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A36" i="1" s="1"/>
  <c r="W36" i="1" s="1"/>
  <c r="AB36" i="1"/>
  <c r="AC36" i="1"/>
  <c r="AD36" i="1"/>
  <c r="AG36" i="1" s="1"/>
  <c r="AE36" i="1"/>
  <c r="AF36" i="1"/>
  <c r="AH36" i="1"/>
  <c r="AI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 s="1"/>
  <c r="AB39" i="1"/>
  <c r="AC39" i="1"/>
  <c r="AD39" i="1"/>
  <c r="AE39" i="1"/>
  <c r="AF39" i="1"/>
  <c r="AH39" i="1"/>
  <c r="AM39" i="1"/>
  <c r="AN39" i="1"/>
  <c r="K40" i="1"/>
  <c r="L40" i="1"/>
  <c r="M40" i="1"/>
  <c r="N40" i="1"/>
  <c r="V40" i="1"/>
  <c r="Y40" i="1"/>
  <c r="Z40" i="1"/>
  <c r="AA40" i="1" s="1"/>
  <c r="AB40" i="1"/>
  <c r="AC40" i="1"/>
  <c r="AD40" i="1"/>
  <c r="AG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A44" i="1" s="1"/>
  <c r="W44" i="1" s="1"/>
  <c r="AB44" i="1"/>
  <c r="AC44" i="1"/>
  <c r="AD44" i="1"/>
  <c r="AG44" i="1" s="1"/>
  <c r="AE44" i="1"/>
  <c r="AF44" i="1"/>
  <c r="AH44" i="1"/>
  <c r="AM44" i="1"/>
  <c r="AN44" i="1"/>
  <c r="K45" i="1"/>
  <c r="L45" i="1"/>
  <c r="M45" i="1"/>
  <c r="N45" i="1" s="1"/>
  <c r="T45" i="1"/>
  <c r="V45" i="1"/>
  <c r="Y45" i="1"/>
  <c r="Z45" i="1"/>
  <c r="AA45" i="1" s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 s="1"/>
  <c r="V47" i="1"/>
  <c r="Y47" i="1"/>
  <c r="Z47" i="1"/>
  <c r="AA47" i="1" s="1"/>
  <c r="AB47" i="1"/>
  <c r="AC47" i="1"/>
  <c r="AD47" i="1"/>
  <c r="AE47" i="1"/>
  <c r="AF47" i="1"/>
  <c r="AH47" i="1"/>
  <c r="AM47" i="1"/>
  <c r="AN47" i="1"/>
  <c r="K48" i="1"/>
  <c r="L48" i="1"/>
  <c r="M48" i="1"/>
  <c r="N48" i="1"/>
  <c r="V48" i="1"/>
  <c r="Y48" i="1"/>
  <c r="Z48" i="1"/>
  <c r="AA48" i="1"/>
  <c r="AB48" i="1"/>
  <c r="AC48" i="1"/>
  <c r="AD48" i="1"/>
  <c r="AG48" i="1" s="1"/>
  <c r="AE48" i="1"/>
  <c r="AF48" i="1"/>
  <c r="AH48" i="1"/>
  <c r="AI48" i="1"/>
  <c r="AM48" i="1"/>
  <c r="AN48" i="1"/>
  <c r="K49" i="1"/>
  <c r="L49" i="1"/>
  <c r="M49" i="1"/>
  <c r="N49" i="1" s="1"/>
  <c r="V49" i="1"/>
  <c r="Y49" i="1"/>
  <c r="Z49" i="1"/>
  <c r="AA49" i="1" s="1"/>
  <c r="AB49" i="1"/>
  <c r="AC49" i="1"/>
  <c r="AD49" i="1"/>
  <c r="T49" i="1" s="1"/>
  <c r="AE49" i="1"/>
  <c r="AF49" i="1"/>
  <c r="AG49" i="1"/>
  <c r="AI49" i="1" s="1"/>
  <c r="AH49" i="1"/>
  <c r="AM49" i="1"/>
  <c r="AN49" i="1"/>
  <c r="K50" i="1"/>
  <c r="L50" i="1"/>
  <c r="M50" i="1"/>
  <c r="N50" i="1" s="1"/>
  <c r="T50" i="1"/>
  <c r="V50" i="1"/>
  <c r="Y50" i="1"/>
  <c r="Z50" i="1"/>
  <c r="AA50" i="1" s="1"/>
  <c r="AB50" i="1"/>
  <c r="AC50" i="1"/>
  <c r="AD50" i="1"/>
  <c r="AE50" i="1"/>
  <c r="AF50" i="1"/>
  <c r="AG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AA52" i="1" s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A54" i="1" s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X55" i="1"/>
  <c r="Y55" i="1"/>
  <c r="AA55" i="1" s="1"/>
  <c r="Z55" i="1"/>
  <c r="AB55" i="1"/>
  <c r="AC55" i="1"/>
  <c r="AD55" i="1"/>
  <c r="AG55" i="1" s="1"/>
  <c r="AE55" i="1"/>
  <c r="AF55" i="1"/>
  <c r="AH55" i="1"/>
  <c r="AM55" i="1"/>
  <c r="AN55" i="1"/>
  <c r="K56" i="1"/>
  <c r="L56" i="1"/>
  <c r="M56" i="1"/>
  <c r="N56" i="1" s="1"/>
  <c r="T56" i="1"/>
  <c r="V56" i="1"/>
  <c r="S11" i="3" s="1"/>
  <c r="X56" i="1"/>
  <c r="Y56" i="1"/>
  <c r="Z56" i="1"/>
  <c r="AB56" i="1"/>
  <c r="AC56" i="1"/>
  <c r="AD56" i="1"/>
  <c r="AE56" i="1"/>
  <c r="R11" i="3" s="1"/>
  <c r="AF56" i="1"/>
  <c r="AG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A58" i="1" s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A67" i="1" s="1"/>
  <c r="AB67" i="1"/>
  <c r="AC67" i="1"/>
  <c r="AD67" i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K70" i="1"/>
  <c r="L70" i="1"/>
  <c r="M70" i="1"/>
  <c r="N70" i="1" s="1"/>
  <c r="V70" i="1"/>
  <c r="Y70" i="1"/>
  <c r="Z70" i="1"/>
  <c r="AA70" i="1" s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A73" i="1" s="1"/>
  <c r="AB73" i="1"/>
  <c r="AC73" i="1"/>
  <c r="AD73" i="1"/>
  <c r="AE73" i="1"/>
  <c r="AF73" i="1"/>
  <c r="AH73" i="1"/>
  <c r="AM73" i="1"/>
  <c r="AN73" i="1"/>
  <c r="K74" i="1"/>
  <c r="L74" i="1"/>
  <c r="M74" i="1"/>
  <c r="N74" i="1"/>
  <c r="V74" i="1"/>
  <c r="Y74" i="1"/>
  <c r="AA74" i="1" s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/>
  <c r="V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AA76" i="1" s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I79" i="1"/>
  <c r="AM79" i="1"/>
  <c r="AN79" i="1"/>
  <c r="K80" i="1"/>
  <c r="L80" i="1"/>
  <c r="M80" i="1"/>
  <c r="N80" i="1" s="1"/>
  <c r="V80" i="1"/>
  <c r="Y80" i="1"/>
  <c r="AA80" i="1" s="1"/>
  <c r="Z80" i="1"/>
  <c r="AB80" i="1"/>
  <c r="AC80" i="1"/>
  <c r="AD80" i="1"/>
  <c r="T80" i="1" s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Y83" i="1"/>
  <c r="AA83" i="1" s="1"/>
  <c r="Z83" i="1"/>
  <c r="AB83" i="1"/>
  <c r="AC83" i="1"/>
  <c r="AD83" i="1"/>
  <c r="T83" i="1" s="1"/>
  <c r="AE83" i="1"/>
  <c r="AF83" i="1"/>
  <c r="AH83" i="1"/>
  <c r="AM83" i="1"/>
  <c r="AN83" i="1"/>
  <c r="K84" i="1"/>
  <c r="L84" i="1"/>
  <c r="M84" i="1"/>
  <c r="N84" i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S24" i="3" s="1"/>
  <c r="Y87" i="1"/>
  <c r="Z87" i="1"/>
  <c r="AB87" i="1"/>
  <c r="AC87" i="1"/>
  <c r="AD87" i="1"/>
  <c r="T87" i="1" s="1"/>
  <c r="AE87" i="1"/>
  <c r="R24" i="3" s="1"/>
  <c r="AF87" i="1"/>
  <c r="AG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A89" i="1" s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S28" i="3" s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T94" i="1"/>
  <c r="V94" i="1"/>
  <c r="Y94" i="1"/>
  <c r="Z94" i="1"/>
  <c r="AA94" i="1" s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AA95" i="1" s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R17" i="3" s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G101" i="1"/>
  <c r="AI101" i="1" s="1"/>
  <c r="AH101" i="1"/>
  <c r="AM101" i="1"/>
  <c r="AN101" i="1"/>
  <c r="K102" i="1"/>
  <c r="L102" i="1"/>
  <c r="M102" i="1"/>
  <c r="N102" i="1" s="1"/>
  <c r="V102" i="1"/>
  <c r="X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5" i="1"/>
  <c r="L105" i="1"/>
  <c r="M105" i="1"/>
  <c r="N105" i="1" s="1"/>
  <c r="V105" i="1"/>
  <c r="Y105" i="1"/>
  <c r="Z105" i="1"/>
  <c r="AA105" i="1" s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V106" i="1"/>
  <c r="Y106" i="1"/>
  <c r="AA106" i="1" s="1"/>
  <c r="Z106" i="1"/>
  <c r="AB106" i="1"/>
  <c r="AC106" i="1"/>
  <c r="AD106" i="1"/>
  <c r="T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R7" i="3" s="1"/>
  <c r="AF107" i="1"/>
  <c r="AH107" i="1"/>
  <c r="AM107" i="1"/>
  <c r="AN107" i="1"/>
  <c r="K108" i="1"/>
  <c r="L108" i="1"/>
  <c r="M108" i="1"/>
  <c r="N108" i="1" s="1"/>
  <c r="V108" i="1"/>
  <c r="Y108" i="1"/>
  <c r="AA108" i="1" s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G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/>
  <c r="V117" i="1"/>
  <c r="Y117" i="1"/>
  <c r="Z117" i="1"/>
  <c r="AB117" i="1"/>
  <c r="AC117" i="1"/>
  <c r="AD117" i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A125" i="1" s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T126" i="1"/>
  <c r="V126" i="1"/>
  <c r="Y126" i="1"/>
  <c r="AA126" i="1" s="1"/>
  <c r="Z126" i="1"/>
  <c r="AB126" i="1"/>
  <c r="AC126" i="1"/>
  <c r="AD126" i="1"/>
  <c r="AG126" i="1" s="1"/>
  <c r="AE126" i="1"/>
  <c r="AF126" i="1"/>
  <c r="AH126" i="1"/>
  <c r="AI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AM128" i="1"/>
  <c r="AN128" i="1"/>
  <c r="K129" i="1"/>
  <c r="L129" i="1"/>
  <c r="M129" i="1"/>
  <c r="N129" i="1" s="1"/>
  <c r="V129" i="1"/>
  <c r="X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A132" i="1" s="1"/>
  <c r="AB132" i="1"/>
  <c r="AC132" i="1"/>
  <c r="AD132" i="1"/>
  <c r="T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A136" i="1" s="1"/>
  <c r="AB136" i="1"/>
  <c r="AC136" i="1"/>
  <c r="AD136" i="1"/>
  <c r="T136" i="1" s="1"/>
  <c r="AE136" i="1"/>
  <c r="AF136" i="1"/>
  <c r="AG136" i="1"/>
  <c r="AI136" i="1" s="1"/>
  <c r="AH136" i="1"/>
  <c r="AM136" i="1"/>
  <c r="AN136" i="1"/>
  <c r="K137" i="1"/>
  <c r="L137" i="1"/>
  <c r="M137" i="1"/>
  <c r="N137" i="1" s="1"/>
  <c r="V137" i="1"/>
  <c r="X137" i="1"/>
  <c r="Y137" i="1"/>
  <c r="Z137" i="1"/>
  <c r="AB137" i="1"/>
  <c r="AC137" i="1"/>
  <c r="AD137" i="1"/>
  <c r="AG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AA138" i="1" s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/>
  <c r="V139" i="1"/>
  <c r="Y139" i="1"/>
  <c r="Z139" i="1"/>
  <c r="AB139" i="1"/>
  <c r="AC139" i="1"/>
  <c r="AD139" i="1"/>
  <c r="AG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A140" i="1" s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V142" i="1"/>
  <c r="Y142" i="1"/>
  <c r="AA142" i="1" s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A147" i="1" s="1"/>
  <c r="W147" i="1" s="1"/>
  <c r="AB147" i="1"/>
  <c r="AC147" i="1"/>
  <c r="AD147" i="1"/>
  <c r="AG147" i="1" s="1"/>
  <c r="AE147" i="1"/>
  <c r="AF147" i="1"/>
  <c r="AH147" i="1"/>
  <c r="AM147" i="1"/>
  <c r="AN147" i="1"/>
  <c r="K148" i="1"/>
  <c r="L148" i="1"/>
  <c r="M148" i="1"/>
  <c r="N148" i="1" s="1"/>
  <c r="T148" i="1"/>
  <c r="V148" i="1"/>
  <c r="Y148" i="1"/>
  <c r="Z148" i="1"/>
  <c r="AA148" i="1"/>
  <c r="W148" i="1" s="1"/>
  <c r="AB148" i="1"/>
  <c r="AC148" i="1"/>
  <c r="AD148" i="1"/>
  <c r="AG148" i="1" s="1"/>
  <c r="AE148" i="1"/>
  <c r="AF148" i="1"/>
  <c r="AH148" i="1"/>
  <c r="AI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T152" i="1"/>
  <c r="V152" i="1"/>
  <c r="Y152" i="1"/>
  <c r="Z152" i="1"/>
  <c r="AB152" i="1"/>
  <c r="AC152" i="1"/>
  <c r="AD152" i="1"/>
  <c r="AG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V154" i="1"/>
  <c r="X154" i="1"/>
  <c r="Y154" i="1"/>
  <c r="Z154" i="1"/>
  <c r="AB154" i="1"/>
  <c r="AC154" i="1"/>
  <c r="AD154" i="1"/>
  <c r="T154" i="1" s="1"/>
  <c r="AE154" i="1"/>
  <c r="AF154" i="1"/>
  <c r="AG154" i="1"/>
  <c r="AH154" i="1"/>
  <c r="AM154" i="1"/>
  <c r="AN154" i="1"/>
  <c r="K155" i="1"/>
  <c r="L155" i="1"/>
  <c r="M155" i="1"/>
  <c r="N155" i="1"/>
  <c r="V155" i="1"/>
  <c r="Y155" i="1"/>
  <c r="Z155" i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AG204" i="1" s="1"/>
  <c r="AE204" i="1"/>
  <c r="AF204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A207" i="1" s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AA209" i="1" s="1"/>
  <c r="Z209" i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A211" i="1" s="1"/>
  <c r="AB211" i="1"/>
  <c r="AC211" i="1"/>
  <c r="AD211" i="1"/>
  <c r="T211" i="1" s="1"/>
  <c r="AE211" i="1"/>
  <c r="AF211" i="1"/>
  <c r="AG211" i="1"/>
  <c r="AH164" i="1"/>
  <c r="AM164" i="1"/>
  <c r="AN164" i="1"/>
  <c r="K212" i="1"/>
  <c r="L212" i="1"/>
  <c r="M212" i="1"/>
  <c r="N212" i="1" s="1"/>
  <c r="V212" i="1"/>
  <c r="X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AA213" i="1" s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168" i="1"/>
  <c r="AM168" i="1"/>
  <c r="AN168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169" i="1"/>
  <c r="AM169" i="1"/>
  <c r="AN16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G223" i="1"/>
  <c r="AH170" i="1"/>
  <c r="AM170" i="1"/>
  <c r="AN170" i="1"/>
  <c r="K224" i="1"/>
  <c r="L224" i="1"/>
  <c r="M224" i="1"/>
  <c r="N224" i="1"/>
  <c r="V224" i="1"/>
  <c r="Y224" i="1"/>
  <c r="Z224" i="1"/>
  <c r="AB224" i="1"/>
  <c r="AC224" i="1"/>
  <c r="AD224" i="1"/>
  <c r="AE224" i="1"/>
  <c r="AF224" i="1"/>
  <c r="AH171" i="1"/>
  <c r="AM171" i="1"/>
  <c r="AN171" i="1"/>
  <c r="K225" i="1"/>
  <c r="L225" i="1"/>
  <c r="M225" i="1"/>
  <c r="N225" i="1" s="1"/>
  <c r="V225" i="1"/>
  <c r="Y225" i="1"/>
  <c r="AA225" i="1" s="1"/>
  <c r="Z225" i="1"/>
  <c r="AB225" i="1"/>
  <c r="AC225" i="1"/>
  <c r="AD225" i="1"/>
  <c r="T225" i="1" s="1"/>
  <c r="AE225" i="1"/>
  <c r="AF225" i="1"/>
  <c r="AG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A227" i="1" s="1"/>
  <c r="AB227" i="1"/>
  <c r="AC227" i="1"/>
  <c r="AD227" i="1"/>
  <c r="AG227" i="1" s="1"/>
  <c r="AE227" i="1"/>
  <c r="AF227" i="1"/>
  <c r="AH174" i="1"/>
  <c r="AM174" i="1"/>
  <c r="AN174" i="1"/>
  <c r="K228" i="1"/>
  <c r="L228" i="1"/>
  <c r="M228" i="1"/>
  <c r="N228" i="1" s="1"/>
  <c r="T228" i="1"/>
  <c r="V228" i="1"/>
  <c r="Y228" i="1"/>
  <c r="AA228" i="1" s="1"/>
  <c r="Z228" i="1"/>
  <c r="AB228" i="1"/>
  <c r="AC228" i="1"/>
  <c r="AD228" i="1"/>
  <c r="AG228" i="1" s="1"/>
  <c r="AE228" i="1"/>
  <c r="AF228" i="1"/>
  <c r="AH175" i="1"/>
  <c r="AM175" i="1"/>
  <c r="AN175" i="1"/>
  <c r="K229" i="1"/>
  <c r="L229" i="1"/>
  <c r="M229" i="1"/>
  <c r="N229" i="1" s="1"/>
  <c r="T229" i="1"/>
  <c r="V229" i="1"/>
  <c r="X229" i="1"/>
  <c r="Y229" i="1"/>
  <c r="Z229" i="1"/>
  <c r="AB229" i="1"/>
  <c r="AC229" i="1"/>
  <c r="AD229" i="1"/>
  <c r="AE229" i="1"/>
  <c r="AF229" i="1"/>
  <c r="AG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G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A232" i="1" s="1"/>
  <c r="AB232" i="1"/>
  <c r="AC232" i="1"/>
  <c r="AD232" i="1"/>
  <c r="AG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X233" i="1" s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182" i="1"/>
  <c r="AM182" i="1"/>
  <c r="AN182" i="1"/>
  <c r="K236" i="1"/>
  <c r="L236" i="1"/>
  <c r="M236" i="1"/>
  <c r="N236" i="1" s="1"/>
  <c r="T236" i="1"/>
  <c r="V236" i="1"/>
  <c r="Y236" i="1"/>
  <c r="Z236" i="1"/>
  <c r="AB236" i="1"/>
  <c r="AC236" i="1"/>
  <c r="AD236" i="1"/>
  <c r="AG236" i="1" s="1"/>
  <c r="AE236" i="1"/>
  <c r="AF236" i="1"/>
  <c r="AH183" i="1"/>
  <c r="AM183" i="1"/>
  <c r="AN183" i="1"/>
  <c r="K237" i="1"/>
  <c r="L237" i="1"/>
  <c r="M237" i="1"/>
  <c r="N237" i="1" s="1"/>
  <c r="T237" i="1"/>
  <c r="V237" i="1"/>
  <c r="X237" i="1"/>
  <c r="Y237" i="1"/>
  <c r="Z237" i="1"/>
  <c r="AB237" i="1"/>
  <c r="AC237" i="1"/>
  <c r="AD237" i="1"/>
  <c r="AE237" i="1"/>
  <c r="AF237" i="1"/>
  <c r="AG237" i="1"/>
  <c r="AH184" i="1"/>
  <c r="AM184" i="1"/>
  <c r="AN184" i="1"/>
  <c r="K238" i="1"/>
  <c r="L238" i="1"/>
  <c r="M238" i="1"/>
  <c r="N238" i="1" s="1"/>
  <c r="T238" i="1"/>
  <c r="V238" i="1"/>
  <c r="Y238" i="1"/>
  <c r="Z238" i="1"/>
  <c r="AA238" i="1" s="1"/>
  <c r="AB238" i="1"/>
  <c r="AC238" i="1"/>
  <c r="AD238" i="1"/>
  <c r="AE238" i="1"/>
  <c r="AF238" i="1"/>
  <c r="AH185" i="1"/>
  <c r="AM185" i="1"/>
  <c r="AN185" i="1"/>
  <c r="K239" i="1"/>
  <c r="L239" i="1"/>
  <c r="M239" i="1"/>
  <c r="N239" i="1"/>
  <c r="V239" i="1"/>
  <c r="Y239" i="1"/>
  <c r="Z239" i="1"/>
  <c r="AA239" i="1" s="1"/>
  <c r="AB239" i="1"/>
  <c r="AC239" i="1"/>
  <c r="AD239" i="1"/>
  <c r="AG239" i="1" s="1"/>
  <c r="AE239" i="1"/>
  <c r="AF239" i="1"/>
  <c r="AH186" i="1"/>
  <c r="AM186" i="1"/>
  <c r="AN186" i="1"/>
  <c r="K157" i="1"/>
  <c r="L157" i="1"/>
  <c r="M157" i="1"/>
  <c r="N157" i="1"/>
  <c r="T157" i="1"/>
  <c r="V157" i="1"/>
  <c r="Y157" i="1"/>
  <c r="Z157" i="1"/>
  <c r="AA157" i="1"/>
  <c r="AB157" i="1"/>
  <c r="AC157" i="1"/>
  <c r="AD157" i="1"/>
  <c r="AG157" i="1" s="1"/>
  <c r="AE157" i="1"/>
  <c r="AF157" i="1"/>
  <c r="AH187" i="1"/>
  <c r="AM187" i="1"/>
  <c r="AN187" i="1"/>
  <c r="K158" i="1"/>
  <c r="L158" i="1"/>
  <c r="M158" i="1"/>
  <c r="N158" i="1" s="1"/>
  <c r="T158" i="1"/>
  <c r="V158" i="1"/>
  <c r="Y158" i="1"/>
  <c r="Z158" i="1"/>
  <c r="AA158" i="1" s="1"/>
  <c r="AB158" i="1"/>
  <c r="AC158" i="1"/>
  <c r="AD158" i="1"/>
  <c r="AE158" i="1"/>
  <c r="AF158" i="1"/>
  <c r="AH188" i="1"/>
  <c r="AM188" i="1"/>
  <c r="AN188" i="1"/>
  <c r="K159" i="1"/>
  <c r="L159" i="1"/>
  <c r="M159" i="1"/>
  <c r="N159" i="1" s="1"/>
  <c r="T159" i="1"/>
  <c r="V159" i="1"/>
  <c r="Y159" i="1"/>
  <c r="Z159" i="1"/>
  <c r="AA159" i="1" s="1"/>
  <c r="AB159" i="1"/>
  <c r="AC159" i="1"/>
  <c r="AD159" i="1"/>
  <c r="AE159" i="1"/>
  <c r="AF159" i="1"/>
  <c r="AG159" i="1"/>
  <c r="AH189" i="1"/>
  <c r="AM189" i="1"/>
  <c r="AN189" i="1"/>
  <c r="K160" i="1"/>
  <c r="L160" i="1"/>
  <c r="M160" i="1"/>
  <c r="N160" i="1"/>
  <c r="V160" i="1"/>
  <c r="Y160" i="1"/>
  <c r="Z160" i="1"/>
  <c r="AA160" i="1" s="1"/>
  <c r="AB160" i="1"/>
  <c r="AC160" i="1"/>
  <c r="AD160" i="1"/>
  <c r="AG160" i="1" s="1"/>
  <c r="AE160" i="1"/>
  <c r="AF160" i="1"/>
  <c r="AH190" i="1"/>
  <c r="AM190" i="1"/>
  <c r="AN190" i="1"/>
  <c r="K161" i="1"/>
  <c r="L161" i="1"/>
  <c r="M161" i="1"/>
  <c r="N161" i="1"/>
  <c r="T161" i="1"/>
  <c r="V161" i="1"/>
  <c r="Y161" i="1"/>
  <c r="Z161" i="1"/>
  <c r="AA161" i="1"/>
  <c r="AB161" i="1"/>
  <c r="AC161" i="1"/>
  <c r="AD161" i="1"/>
  <c r="AG161" i="1" s="1"/>
  <c r="AE161" i="1"/>
  <c r="AF161" i="1"/>
  <c r="AH191" i="1"/>
  <c r="AM191" i="1"/>
  <c r="AN191" i="1"/>
  <c r="K162" i="1"/>
  <c r="L162" i="1"/>
  <c r="M162" i="1"/>
  <c r="N162" i="1" s="1"/>
  <c r="T162" i="1"/>
  <c r="V162" i="1"/>
  <c r="Y162" i="1"/>
  <c r="Z162" i="1"/>
  <c r="AA162" i="1" s="1"/>
  <c r="AB162" i="1"/>
  <c r="AC162" i="1"/>
  <c r="AD162" i="1"/>
  <c r="AE162" i="1"/>
  <c r="AF162" i="1"/>
  <c r="AH192" i="1"/>
  <c r="AM192" i="1"/>
  <c r="AN192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93" i="1"/>
  <c r="AM193" i="1"/>
  <c r="AN193" i="1"/>
  <c r="K164" i="1"/>
  <c r="L164" i="1"/>
  <c r="M164" i="1"/>
  <c r="N164" i="1"/>
  <c r="V164" i="1"/>
  <c r="Y164" i="1"/>
  <c r="Z164" i="1"/>
  <c r="AB164" i="1"/>
  <c r="AC164" i="1"/>
  <c r="AD164" i="1"/>
  <c r="AG164" i="1" s="1"/>
  <c r="AI164" i="1" s="1"/>
  <c r="AE164" i="1"/>
  <c r="AF164" i="1"/>
  <c r="AH194" i="1"/>
  <c r="AM194" i="1"/>
  <c r="AN194" i="1"/>
  <c r="K165" i="1"/>
  <c r="L165" i="1"/>
  <c r="M165" i="1"/>
  <c r="N165" i="1" s="1"/>
  <c r="T165" i="1"/>
  <c r="V165" i="1"/>
  <c r="Y165" i="1"/>
  <c r="AA165" i="1" s="1"/>
  <c r="Z165" i="1"/>
  <c r="AB165" i="1"/>
  <c r="AC165" i="1"/>
  <c r="AD165" i="1"/>
  <c r="AG165" i="1" s="1"/>
  <c r="AE165" i="1"/>
  <c r="AF165" i="1"/>
  <c r="AH195" i="1"/>
  <c r="AM195" i="1"/>
  <c r="AN195" i="1"/>
  <c r="K166" i="1"/>
  <c r="L166" i="1"/>
  <c r="M166" i="1"/>
  <c r="N166" i="1" s="1"/>
  <c r="V166" i="1"/>
  <c r="Y166" i="1"/>
  <c r="Z166" i="1"/>
  <c r="AA166" i="1" s="1"/>
  <c r="AB166" i="1"/>
  <c r="AC166" i="1"/>
  <c r="AD166" i="1"/>
  <c r="T166" i="1" s="1"/>
  <c r="AE166" i="1"/>
  <c r="AF166" i="1"/>
  <c r="AH196" i="1"/>
  <c r="AM196" i="1"/>
  <c r="AN196" i="1"/>
  <c r="K240" i="1"/>
  <c r="L240" i="1"/>
  <c r="M240" i="1"/>
  <c r="N240" i="1" s="1"/>
  <c r="T240" i="1"/>
  <c r="V240" i="1"/>
  <c r="X240" i="1"/>
  <c r="Y240" i="1"/>
  <c r="Z240" i="1"/>
  <c r="AA240" i="1" s="1"/>
  <c r="W240" i="1" s="1"/>
  <c r="AB240" i="1"/>
  <c r="AC240" i="1"/>
  <c r="AD240" i="1"/>
  <c r="AE240" i="1"/>
  <c r="AF240" i="1"/>
  <c r="AG240" i="1"/>
  <c r="AH197" i="1"/>
  <c r="AM197" i="1"/>
  <c r="AN197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98" i="1"/>
  <c r="AM198" i="1"/>
  <c r="AN198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F168" i="1"/>
  <c r="AH199" i="1"/>
  <c r="AM199" i="1"/>
  <c r="AN199" i="1"/>
  <c r="K169" i="1"/>
  <c r="L169" i="1"/>
  <c r="M169" i="1"/>
  <c r="N169" i="1" s="1"/>
  <c r="V169" i="1"/>
  <c r="Y169" i="1"/>
  <c r="Z169" i="1"/>
  <c r="AA169" i="1" s="1"/>
  <c r="AB169" i="1"/>
  <c r="AC169" i="1"/>
  <c r="AD169" i="1"/>
  <c r="T169" i="1" s="1"/>
  <c r="AE169" i="1"/>
  <c r="AF169" i="1"/>
  <c r="AH200" i="1"/>
  <c r="AM200" i="1"/>
  <c r="AN200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G170" i="1"/>
  <c r="AH201" i="1"/>
  <c r="AM201" i="1"/>
  <c r="AN201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202" i="1"/>
  <c r="AM202" i="1"/>
  <c r="AN202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03" i="1"/>
  <c r="AM203" i="1"/>
  <c r="AN203" i="1"/>
  <c r="K173" i="1"/>
  <c r="L173" i="1"/>
  <c r="M173" i="1"/>
  <c r="N173" i="1" s="1"/>
  <c r="V173" i="1"/>
  <c r="Y173" i="1"/>
  <c r="Z173" i="1"/>
  <c r="AA173" i="1" s="1"/>
  <c r="AB173" i="1"/>
  <c r="AC173" i="1"/>
  <c r="AD173" i="1"/>
  <c r="AE173" i="1"/>
  <c r="AF173" i="1"/>
  <c r="AH204" i="1"/>
  <c r="AI204" i="1"/>
  <c r="AM204" i="1"/>
  <c r="AN204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205" i="1"/>
  <c r="AM205" i="1"/>
  <c r="AN205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206" i="1"/>
  <c r="AM206" i="1"/>
  <c r="AN206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7" i="1"/>
  <c r="AM207" i="1"/>
  <c r="AN207" i="1"/>
  <c r="K177" i="1"/>
  <c r="L177" i="1"/>
  <c r="M177" i="1"/>
  <c r="N177" i="1" s="1"/>
  <c r="V177" i="1"/>
  <c r="Y177" i="1"/>
  <c r="Z177" i="1"/>
  <c r="AA177" i="1" s="1"/>
  <c r="AB177" i="1"/>
  <c r="AC177" i="1"/>
  <c r="AD177" i="1"/>
  <c r="T177" i="1" s="1"/>
  <c r="AE177" i="1"/>
  <c r="AF177" i="1"/>
  <c r="AG177" i="1"/>
  <c r="U177" i="1" s="1"/>
  <c r="S177" i="1" s="1"/>
  <c r="AH208" i="1"/>
  <c r="AM208" i="1"/>
  <c r="AN208" i="1"/>
  <c r="K178" i="1"/>
  <c r="L178" i="1"/>
  <c r="M178" i="1"/>
  <c r="N178" i="1" s="1"/>
  <c r="T178" i="1"/>
  <c r="V178" i="1"/>
  <c r="Y178" i="1"/>
  <c r="Z178" i="1"/>
  <c r="AA178" i="1" s="1"/>
  <c r="AB178" i="1"/>
  <c r="AC178" i="1"/>
  <c r="AD178" i="1"/>
  <c r="X178" i="1" s="1"/>
  <c r="AE178" i="1"/>
  <c r="AF178" i="1"/>
  <c r="AH209" i="1"/>
  <c r="AM209" i="1"/>
  <c r="AN209" i="1"/>
  <c r="K179" i="1"/>
  <c r="L179" i="1"/>
  <c r="M179" i="1"/>
  <c r="N179" i="1" s="1"/>
  <c r="V179" i="1"/>
  <c r="Y179" i="1"/>
  <c r="Z179" i="1"/>
  <c r="AA179" i="1" s="1"/>
  <c r="AB179" i="1"/>
  <c r="AC179" i="1"/>
  <c r="AD179" i="1"/>
  <c r="AG179" i="1" s="1"/>
  <c r="AE179" i="1"/>
  <c r="AF179" i="1"/>
  <c r="AH210" i="1"/>
  <c r="AM210" i="1"/>
  <c r="AN210" i="1"/>
  <c r="K180" i="1"/>
  <c r="L180" i="1"/>
  <c r="M180" i="1"/>
  <c r="N180" i="1"/>
  <c r="V180" i="1"/>
  <c r="Y180" i="1"/>
  <c r="Z180" i="1"/>
  <c r="AA180" i="1"/>
  <c r="AB180" i="1"/>
  <c r="AC180" i="1"/>
  <c r="AD180" i="1"/>
  <c r="T180" i="1" s="1"/>
  <c r="AE180" i="1"/>
  <c r="AF180" i="1"/>
  <c r="AH211" i="1"/>
  <c r="AM211" i="1"/>
  <c r="AN211" i="1"/>
  <c r="K181" i="1"/>
  <c r="L181" i="1"/>
  <c r="M181" i="1"/>
  <c r="N181" i="1" s="1"/>
  <c r="T181" i="1"/>
  <c r="V181" i="1"/>
  <c r="Y181" i="1"/>
  <c r="Z181" i="1"/>
  <c r="AB181" i="1"/>
  <c r="AC181" i="1"/>
  <c r="AD181" i="1"/>
  <c r="AE181" i="1"/>
  <c r="AF181" i="1"/>
  <c r="AH212" i="1"/>
  <c r="AM212" i="1"/>
  <c r="AN212" i="1"/>
  <c r="K182" i="1"/>
  <c r="L182" i="1"/>
  <c r="M182" i="1"/>
  <c r="N182" i="1" s="1"/>
  <c r="T182" i="1"/>
  <c r="V182" i="1"/>
  <c r="Y182" i="1"/>
  <c r="Z182" i="1"/>
  <c r="AA182" i="1" s="1"/>
  <c r="AB182" i="1"/>
  <c r="AC182" i="1"/>
  <c r="AD182" i="1"/>
  <c r="AE182" i="1"/>
  <c r="AF182" i="1"/>
  <c r="AG182" i="1"/>
  <c r="AH213" i="1"/>
  <c r="AM213" i="1"/>
  <c r="AN213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14" i="1"/>
  <c r="AM214" i="1"/>
  <c r="AN214" i="1"/>
  <c r="K184" i="1"/>
  <c r="L184" i="1"/>
  <c r="M184" i="1"/>
  <c r="N184" i="1" s="1"/>
  <c r="V184" i="1"/>
  <c r="Y184" i="1"/>
  <c r="Z184" i="1"/>
  <c r="AA184" i="1" s="1"/>
  <c r="AB184" i="1"/>
  <c r="AC184" i="1"/>
  <c r="AD184" i="1"/>
  <c r="T184" i="1" s="1"/>
  <c r="AE184" i="1"/>
  <c r="AF184" i="1"/>
  <c r="AH215" i="1"/>
  <c r="AM215" i="1"/>
  <c r="AN215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216" i="1"/>
  <c r="AM216" i="1"/>
  <c r="AN216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7" i="1"/>
  <c r="AM217" i="1"/>
  <c r="AN217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18" i="1"/>
  <c r="AM218" i="1"/>
  <c r="AN218" i="1"/>
  <c r="K188" i="1"/>
  <c r="L188" i="1"/>
  <c r="M188" i="1"/>
  <c r="N188" i="1" s="1"/>
  <c r="V188" i="1"/>
  <c r="Y188" i="1"/>
  <c r="Z188" i="1"/>
  <c r="AA188" i="1" s="1"/>
  <c r="AB188" i="1"/>
  <c r="AC188" i="1"/>
  <c r="AD188" i="1"/>
  <c r="T188" i="1" s="1"/>
  <c r="AE188" i="1"/>
  <c r="AF188" i="1"/>
  <c r="AH219" i="1"/>
  <c r="AM219" i="1"/>
  <c r="AN219" i="1"/>
  <c r="K189" i="1"/>
  <c r="L189" i="1"/>
  <c r="M189" i="1"/>
  <c r="N189" i="1" s="1"/>
  <c r="V189" i="1"/>
  <c r="Y189" i="1"/>
  <c r="AA189" i="1" s="1"/>
  <c r="Z189" i="1"/>
  <c r="AB189" i="1"/>
  <c r="AC189" i="1"/>
  <c r="AD189" i="1"/>
  <c r="T189" i="1" s="1"/>
  <c r="AE189" i="1"/>
  <c r="AF189" i="1"/>
  <c r="AH220" i="1"/>
  <c r="AM220" i="1"/>
  <c r="AN220" i="1"/>
  <c r="K190" i="1"/>
  <c r="L190" i="1"/>
  <c r="M190" i="1"/>
  <c r="N190" i="1" s="1"/>
  <c r="T190" i="1"/>
  <c r="V190" i="1"/>
  <c r="X190" i="1"/>
  <c r="Y190" i="1"/>
  <c r="Z190" i="1"/>
  <c r="AA190" i="1" s="1"/>
  <c r="AB190" i="1"/>
  <c r="AC190" i="1"/>
  <c r="AD190" i="1"/>
  <c r="AE190" i="1"/>
  <c r="AF190" i="1"/>
  <c r="AG190" i="1"/>
  <c r="AH221" i="1"/>
  <c r="AM221" i="1"/>
  <c r="AN221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22" i="1"/>
  <c r="AM222" i="1"/>
  <c r="AN222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3" i="1"/>
  <c r="AM223" i="1"/>
  <c r="AN223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4" i="1"/>
  <c r="AM224" i="1"/>
  <c r="AN224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5" i="1"/>
  <c r="AM225" i="1"/>
  <c r="AN225" i="1"/>
  <c r="K195" i="1"/>
  <c r="L195" i="1"/>
  <c r="M195" i="1"/>
  <c r="N195" i="1" s="1"/>
  <c r="V195" i="1"/>
  <c r="Y195" i="1"/>
  <c r="Z195" i="1"/>
  <c r="AA195" i="1" s="1"/>
  <c r="AB195" i="1"/>
  <c r="AC195" i="1"/>
  <c r="AD195" i="1"/>
  <c r="AG195" i="1" s="1"/>
  <c r="AE195" i="1"/>
  <c r="AF195" i="1"/>
  <c r="AH226" i="1"/>
  <c r="AM226" i="1"/>
  <c r="AN226" i="1"/>
  <c r="K196" i="1"/>
  <c r="L196" i="1"/>
  <c r="M196" i="1"/>
  <c r="N196" i="1"/>
  <c r="V196" i="1"/>
  <c r="Y196" i="1"/>
  <c r="Z196" i="1"/>
  <c r="AA196" i="1"/>
  <c r="AB196" i="1"/>
  <c r="AC196" i="1"/>
  <c r="AD196" i="1"/>
  <c r="T196" i="1" s="1"/>
  <c r="AE196" i="1"/>
  <c r="AF196" i="1"/>
  <c r="AH227" i="1"/>
  <c r="AM227" i="1"/>
  <c r="AN227" i="1"/>
  <c r="K197" i="1"/>
  <c r="L197" i="1"/>
  <c r="M197" i="1"/>
  <c r="N197" i="1" s="1"/>
  <c r="T197" i="1"/>
  <c r="V197" i="1"/>
  <c r="Y197" i="1"/>
  <c r="Z197" i="1"/>
  <c r="AA197" i="1"/>
  <c r="W197" i="1" s="1"/>
  <c r="AB197" i="1"/>
  <c r="AC197" i="1"/>
  <c r="AD197" i="1"/>
  <c r="X197" i="1" s="1"/>
  <c r="AE197" i="1"/>
  <c r="AF197" i="1"/>
  <c r="AG197" i="1"/>
  <c r="AH228" i="1"/>
  <c r="AI228" i="1"/>
  <c r="AM228" i="1"/>
  <c r="AN228" i="1"/>
  <c r="K198" i="1"/>
  <c r="L198" i="1"/>
  <c r="M198" i="1"/>
  <c r="N198" i="1" s="1"/>
  <c r="V198" i="1"/>
  <c r="X198" i="1"/>
  <c r="Y198" i="1"/>
  <c r="Z198" i="1"/>
  <c r="AB198" i="1"/>
  <c r="AC198" i="1"/>
  <c r="AD198" i="1"/>
  <c r="T198" i="1" s="1"/>
  <c r="AE198" i="1"/>
  <c r="AF198" i="1"/>
  <c r="AG198" i="1"/>
  <c r="AH229" i="1"/>
  <c r="AM229" i="1"/>
  <c r="AN229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30" i="1"/>
  <c r="AM230" i="1"/>
  <c r="AN230" i="1"/>
  <c r="K200" i="1"/>
  <c r="L200" i="1"/>
  <c r="M200" i="1"/>
  <c r="N200" i="1"/>
  <c r="V200" i="1"/>
  <c r="Y200" i="1"/>
  <c r="Z200" i="1"/>
  <c r="AB200" i="1"/>
  <c r="AC200" i="1"/>
  <c r="AD200" i="1"/>
  <c r="T200" i="1" s="1"/>
  <c r="AE200" i="1"/>
  <c r="AF200" i="1"/>
  <c r="AH231" i="1"/>
  <c r="AM231" i="1"/>
  <c r="AN231" i="1"/>
  <c r="K201" i="1"/>
  <c r="L201" i="1"/>
  <c r="M201" i="1"/>
  <c r="N201" i="1" s="1"/>
  <c r="V201" i="1"/>
  <c r="X201" i="1"/>
  <c r="Y201" i="1"/>
  <c r="Z201" i="1"/>
  <c r="AB201" i="1"/>
  <c r="AC201" i="1"/>
  <c r="AD201" i="1"/>
  <c r="AG201" i="1" s="1"/>
  <c r="AE201" i="1"/>
  <c r="AF201" i="1"/>
  <c r="AH232" i="1"/>
  <c r="AI232" i="1"/>
  <c r="AM232" i="1"/>
  <c r="AN232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33" i="1"/>
  <c r="AM233" i="1"/>
  <c r="AN233" i="1"/>
  <c r="K203" i="1"/>
  <c r="L203" i="1"/>
  <c r="M203" i="1"/>
  <c r="N203" i="1"/>
  <c r="V203" i="1"/>
  <c r="Y203" i="1"/>
  <c r="Z203" i="1"/>
  <c r="AB203" i="1"/>
  <c r="AC203" i="1"/>
  <c r="AD203" i="1"/>
  <c r="AG203" i="1" s="1"/>
  <c r="AE203" i="1"/>
  <c r="AF203" i="1"/>
  <c r="AH234" i="1"/>
  <c r="AM234" i="1"/>
  <c r="AN234" i="1"/>
  <c r="K241" i="1"/>
  <c r="L241" i="1"/>
  <c r="M241" i="1"/>
  <c r="N241" i="1" s="1"/>
  <c r="V241" i="1"/>
  <c r="Y241" i="1"/>
  <c r="Z241" i="1"/>
  <c r="AA241" i="1" s="1"/>
  <c r="AB241" i="1"/>
  <c r="AC241" i="1"/>
  <c r="AD241" i="1"/>
  <c r="T241" i="1" s="1"/>
  <c r="AE241" i="1"/>
  <c r="AF241" i="1"/>
  <c r="AH235" i="1"/>
  <c r="AM235" i="1"/>
  <c r="AN235" i="1"/>
  <c r="K242" i="1"/>
  <c r="L242" i="1"/>
  <c r="M242" i="1"/>
  <c r="N242" i="1" s="1"/>
  <c r="V242" i="1"/>
  <c r="Y242" i="1"/>
  <c r="Z242" i="1"/>
  <c r="AA242" i="1" s="1"/>
  <c r="AB242" i="1"/>
  <c r="AC242" i="1"/>
  <c r="AD242" i="1"/>
  <c r="T242" i="1" s="1"/>
  <c r="AE242" i="1"/>
  <c r="AF242" i="1"/>
  <c r="AH236" i="1"/>
  <c r="AI236" i="1"/>
  <c r="AM236" i="1"/>
  <c r="AN236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237" i="1"/>
  <c r="AM237" i="1"/>
  <c r="AN237" i="1"/>
  <c r="K216" i="1"/>
  <c r="L216" i="1"/>
  <c r="M216" i="1"/>
  <c r="N216" i="1" s="1"/>
  <c r="V216" i="1"/>
  <c r="Y216" i="1"/>
  <c r="Z216" i="1"/>
  <c r="AA216" i="1" s="1"/>
  <c r="W216" i="1" s="1"/>
  <c r="AB216" i="1"/>
  <c r="AC216" i="1"/>
  <c r="AD216" i="1"/>
  <c r="AG216" i="1" s="1"/>
  <c r="AE216" i="1"/>
  <c r="AF216" i="1"/>
  <c r="AH238" i="1"/>
  <c r="AM238" i="1"/>
  <c r="AN238" i="1"/>
  <c r="K217" i="1"/>
  <c r="L217" i="1"/>
  <c r="M217" i="1"/>
  <c r="N217" i="1"/>
  <c r="V217" i="1"/>
  <c r="Y217" i="1"/>
  <c r="AA217" i="1" s="1"/>
  <c r="Z217" i="1"/>
  <c r="AB217" i="1"/>
  <c r="AC217" i="1"/>
  <c r="AD217" i="1"/>
  <c r="T217" i="1" s="1"/>
  <c r="AE217" i="1"/>
  <c r="AF217" i="1"/>
  <c r="AH239" i="1"/>
  <c r="AM239" i="1"/>
  <c r="AN239" i="1"/>
  <c r="K218" i="1"/>
  <c r="L218" i="1"/>
  <c r="M218" i="1"/>
  <c r="N218" i="1" s="1"/>
  <c r="V218" i="1"/>
  <c r="Y218" i="1"/>
  <c r="Z218" i="1"/>
  <c r="AA218" i="1" s="1"/>
  <c r="AB218" i="1"/>
  <c r="AC218" i="1"/>
  <c r="AD218" i="1"/>
  <c r="T218" i="1" s="1"/>
  <c r="AE218" i="1"/>
  <c r="AF218" i="1"/>
  <c r="AH240" i="1"/>
  <c r="AI240" i="1"/>
  <c r="AM240" i="1"/>
  <c r="AN240" i="1"/>
  <c r="K219" i="1"/>
  <c r="L219" i="1"/>
  <c r="M219" i="1"/>
  <c r="N219" i="1" s="1"/>
  <c r="V219" i="1"/>
  <c r="Y219" i="1"/>
  <c r="Z219" i="1"/>
  <c r="AB219" i="1"/>
  <c r="AC219" i="1"/>
  <c r="AD219" i="1"/>
  <c r="X219" i="1" s="1"/>
  <c r="AE219" i="1"/>
  <c r="AF219" i="1"/>
  <c r="AH241" i="1"/>
  <c r="AM241" i="1"/>
  <c r="AN241" i="1"/>
  <c r="K220" i="1"/>
  <c r="L220" i="1"/>
  <c r="M220" i="1"/>
  <c r="N220" i="1"/>
  <c r="V220" i="1"/>
  <c r="S40" i="3" s="1"/>
  <c r="Y220" i="1"/>
  <c r="Z220" i="1"/>
  <c r="AB220" i="1"/>
  <c r="AC220" i="1"/>
  <c r="AD220" i="1"/>
  <c r="AE220" i="1"/>
  <c r="R40" i="3" s="1"/>
  <c r="AF220" i="1"/>
  <c r="AH242" i="1"/>
  <c r="AM242" i="1"/>
  <c r="AN242" i="1"/>
  <c r="K221" i="1"/>
  <c r="L221" i="1"/>
  <c r="M221" i="1"/>
  <c r="N221" i="1" s="1"/>
  <c r="V221" i="1"/>
  <c r="Y221" i="1"/>
  <c r="Z221" i="1"/>
  <c r="AA221" i="1" s="1"/>
  <c r="AB221" i="1"/>
  <c r="AC221" i="1"/>
  <c r="AD221" i="1"/>
  <c r="T221" i="1" s="1"/>
  <c r="AE221" i="1"/>
  <c r="AF221" i="1"/>
  <c r="AH243" i="1"/>
  <c r="AM243" i="1"/>
  <c r="AN243" i="1"/>
  <c r="M27" i="3"/>
  <c r="R27" i="3"/>
  <c r="U27" i="3"/>
  <c r="T27" i="3" s="1"/>
  <c r="V27" i="3"/>
  <c r="W27" i="3"/>
  <c r="Y27" i="3" s="1"/>
  <c r="X27" i="3"/>
  <c r="M22" i="3"/>
  <c r="U22" i="3"/>
  <c r="AC22" i="3" s="1"/>
  <c r="V22" i="3"/>
  <c r="W22" i="3"/>
  <c r="X22" i="3"/>
  <c r="M10" i="3"/>
  <c r="R10" i="3"/>
  <c r="S10" i="3"/>
  <c r="U10" i="3"/>
  <c r="T10" i="3" s="1"/>
  <c r="V10" i="3"/>
  <c r="W10" i="3"/>
  <c r="X10" i="3"/>
  <c r="AC10" i="3"/>
  <c r="M18" i="3"/>
  <c r="R18" i="3"/>
  <c r="U18" i="3"/>
  <c r="V18" i="3"/>
  <c r="W18" i="3"/>
  <c r="X18" i="3"/>
  <c r="AC18" i="3"/>
  <c r="M12" i="3"/>
  <c r="R12" i="3"/>
  <c r="S12" i="3"/>
  <c r="U12" i="3"/>
  <c r="T12" i="3" s="1"/>
  <c r="V12" i="3"/>
  <c r="W12" i="3"/>
  <c r="X12" i="3"/>
  <c r="M21" i="3"/>
  <c r="R21" i="3"/>
  <c r="S21" i="3"/>
  <c r="U21" i="3"/>
  <c r="AC21" i="3" s="1"/>
  <c r="V21" i="3"/>
  <c r="W21" i="3"/>
  <c r="X21" i="3"/>
  <c r="M33" i="3"/>
  <c r="R33" i="3"/>
  <c r="S33" i="3"/>
  <c r="U33" i="3"/>
  <c r="T33" i="3" s="1"/>
  <c r="V33" i="3"/>
  <c r="W33" i="3"/>
  <c r="X33" i="3"/>
  <c r="AC33" i="3"/>
  <c r="M9" i="3"/>
  <c r="R9" i="3"/>
  <c r="S9" i="3"/>
  <c r="U9" i="3"/>
  <c r="AD9" i="3" s="1"/>
  <c r="V9" i="3"/>
  <c r="W9" i="3"/>
  <c r="Y9" i="3" s="1"/>
  <c r="X9" i="3"/>
  <c r="M11" i="3"/>
  <c r="U11" i="3"/>
  <c r="T11" i="3" s="1"/>
  <c r="V11" i="3"/>
  <c r="W11" i="3"/>
  <c r="Y11" i="3" s="1"/>
  <c r="X11" i="3"/>
  <c r="M31" i="3"/>
  <c r="R31" i="3"/>
  <c r="S31" i="3"/>
  <c r="U31" i="3"/>
  <c r="AC31" i="3" s="1"/>
  <c r="V31" i="3"/>
  <c r="W31" i="3"/>
  <c r="X31" i="3"/>
  <c r="M42" i="3"/>
  <c r="R42" i="3"/>
  <c r="S42" i="3"/>
  <c r="U42" i="3"/>
  <c r="AD42" i="3" s="1"/>
  <c r="V42" i="3"/>
  <c r="W42" i="3"/>
  <c r="X42" i="3"/>
  <c r="AC42" i="3"/>
  <c r="M34" i="3"/>
  <c r="R34" i="3"/>
  <c r="S34" i="3"/>
  <c r="U34" i="3"/>
  <c r="V34" i="3"/>
  <c r="W34" i="3"/>
  <c r="X34" i="3"/>
  <c r="AC34" i="3"/>
  <c r="M16" i="3"/>
  <c r="R16" i="3"/>
  <c r="S16" i="3"/>
  <c r="U16" i="3"/>
  <c r="T16" i="3" s="1"/>
  <c r="V16" i="3"/>
  <c r="W16" i="3"/>
  <c r="X16" i="3"/>
  <c r="Y16" i="3"/>
  <c r="M19" i="3"/>
  <c r="R19" i="3"/>
  <c r="S19" i="3"/>
  <c r="U19" i="3"/>
  <c r="AC19" i="3" s="1"/>
  <c r="V19" i="3"/>
  <c r="W19" i="3"/>
  <c r="X19" i="3"/>
  <c r="AD21" i="3"/>
  <c r="M14" i="3"/>
  <c r="R14" i="3"/>
  <c r="S14" i="3"/>
  <c r="U14" i="3"/>
  <c r="AD22" i="3" s="1"/>
  <c r="V14" i="3"/>
  <c r="W14" i="3"/>
  <c r="X14" i="3"/>
  <c r="AC14" i="3"/>
  <c r="M13" i="3"/>
  <c r="R13" i="3"/>
  <c r="S13" i="3"/>
  <c r="U13" i="3"/>
  <c r="AD13" i="3" s="1"/>
  <c r="V13" i="3"/>
  <c r="W13" i="3"/>
  <c r="X13" i="3"/>
  <c r="M23" i="3"/>
  <c r="R23" i="3"/>
  <c r="U23" i="3"/>
  <c r="V23" i="3"/>
  <c r="W23" i="3"/>
  <c r="Y23" i="3" s="1"/>
  <c r="X23" i="3"/>
  <c r="M24" i="3"/>
  <c r="U24" i="3"/>
  <c r="V24" i="3"/>
  <c r="W24" i="3"/>
  <c r="Y24" i="3" s="1"/>
  <c r="X24" i="3"/>
  <c r="M35" i="3"/>
  <c r="R35" i="3"/>
  <c r="S35" i="3"/>
  <c r="U35" i="3"/>
  <c r="T35" i="3" s="1"/>
  <c r="V35" i="3"/>
  <c r="W35" i="3"/>
  <c r="X35" i="3"/>
  <c r="AC35" i="3"/>
  <c r="M28" i="3"/>
  <c r="R28" i="3"/>
  <c r="U28" i="3"/>
  <c r="AD27" i="3" s="1"/>
  <c r="V28" i="3"/>
  <c r="W28" i="3"/>
  <c r="X28" i="3"/>
  <c r="M41" i="3"/>
  <c r="R41" i="3"/>
  <c r="S41" i="3"/>
  <c r="U41" i="3"/>
  <c r="T41" i="3" s="1"/>
  <c r="V41" i="3"/>
  <c r="W41" i="3"/>
  <c r="X41" i="3"/>
  <c r="M7" i="3"/>
  <c r="S7" i="3"/>
  <c r="U7" i="3"/>
  <c r="AC7" i="3" s="1"/>
  <c r="V7" i="3"/>
  <c r="W7" i="3"/>
  <c r="X7" i="3"/>
  <c r="M17" i="3"/>
  <c r="S17" i="3"/>
  <c r="U17" i="3"/>
  <c r="T17" i="3" s="1"/>
  <c r="V17" i="3"/>
  <c r="W17" i="3"/>
  <c r="X17" i="3"/>
  <c r="AC17" i="3"/>
  <c r="M36" i="3"/>
  <c r="R36" i="3"/>
  <c r="S36" i="3"/>
  <c r="U36" i="3"/>
  <c r="V36" i="3"/>
  <c r="W36" i="3"/>
  <c r="Y36" i="3" s="1"/>
  <c r="X36" i="3"/>
  <c r="M38" i="3"/>
  <c r="R38" i="3"/>
  <c r="S38" i="3"/>
  <c r="U38" i="3"/>
  <c r="AC38" i="3" s="1"/>
  <c r="V38" i="3"/>
  <c r="W38" i="3"/>
  <c r="X38" i="3"/>
  <c r="M29" i="3"/>
  <c r="R29" i="3"/>
  <c r="S29" i="3"/>
  <c r="U29" i="3"/>
  <c r="AC29" i="3" s="1"/>
  <c r="V29" i="3"/>
  <c r="W29" i="3"/>
  <c r="X29" i="3"/>
  <c r="AD33" i="3"/>
  <c r="M20" i="3"/>
  <c r="R20" i="3"/>
  <c r="S20" i="3"/>
  <c r="U20" i="3"/>
  <c r="AD34" i="3" s="1"/>
  <c r="V20" i="3"/>
  <c r="W20" i="3"/>
  <c r="X20" i="3"/>
  <c r="AC20" i="3"/>
  <c r="M30" i="3"/>
  <c r="R30" i="3"/>
  <c r="S30" i="3"/>
  <c r="U30" i="3"/>
  <c r="V30" i="3"/>
  <c r="W30" i="3"/>
  <c r="X30" i="3"/>
  <c r="AC30" i="3"/>
  <c r="M32" i="3"/>
  <c r="R32" i="3"/>
  <c r="S32" i="3"/>
  <c r="U32" i="3"/>
  <c r="T32" i="3" s="1"/>
  <c r="V32" i="3"/>
  <c r="W32" i="3"/>
  <c r="X32" i="3"/>
  <c r="Y32" i="3"/>
  <c r="M25" i="3"/>
  <c r="R25" i="3"/>
  <c r="S25" i="3"/>
  <c r="U25" i="3"/>
  <c r="V25" i="3"/>
  <c r="W25" i="3"/>
  <c r="X25" i="3"/>
  <c r="M40" i="3"/>
  <c r="U40" i="3"/>
  <c r="V40" i="3"/>
  <c r="W40" i="3"/>
  <c r="X40" i="3"/>
  <c r="AC40" i="3"/>
  <c r="M39" i="3"/>
  <c r="R39" i="3"/>
  <c r="S39" i="3"/>
  <c r="U39" i="3"/>
  <c r="AD39" i="3" s="1"/>
  <c r="V39" i="3"/>
  <c r="W39" i="3"/>
  <c r="Y39" i="3" s="1"/>
  <c r="X39" i="3"/>
  <c r="AC39" i="3"/>
  <c r="M37" i="3"/>
  <c r="R37" i="3"/>
  <c r="S37" i="3"/>
  <c r="U37" i="3"/>
  <c r="AC37" i="3" s="1"/>
  <c r="V37" i="3"/>
  <c r="W37" i="3"/>
  <c r="Y37" i="3" s="1"/>
  <c r="X37" i="3"/>
  <c r="M8" i="3"/>
  <c r="R8" i="3"/>
  <c r="S8" i="3"/>
  <c r="U8" i="3"/>
  <c r="AC8" i="3" s="1"/>
  <c r="V8" i="3"/>
  <c r="W8" i="3"/>
  <c r="X8" i="3"/>
  <c r="M26" i="3"/>
  <c r="R26" i="3"/>
  <c r="S26" i="3"/>
  <c r="U26" i="3"/>
  <c r="AD26" i="3" s="1"/>
  <c r="V26" i="3"/>
  <c r="W26" i="3"/>
  <c r="X26" i="3"/>
  <c r="AC26" i="3"/>
  <c r="M15" i="3"/>
  <c r="R15" i="3"/>
  <c r="S15" i="3"/>
  <c r="U15" i="3"/>
  <c r="V15" i="3"/>
  <c r="W15" i="3"/>
  <c r="X15" i="3"/>
  <c r="AC15" i="3"/>
  <c r="AI104" i="1" l="1"/>
  <c r="U104" i="1"/>
  <c r="S104" i="1" s="1"/>
  <c r="W104" i="1"/>
  <c r="AG120" i="1"/>
  <c r="AG106" i="1"/>
  <c r="AI106" i="1" s="1"/>
  <c r="S23" i="3"/>
  <c r="AG138" i="1"/>
  <c r="X138" i="1"/>
  <c r="AG134" i="1"/>
  <c r="AI134" i="1" s="1"/>
  <c r="W136" i="1"/>
  <c r="AG97" i="1"/>
  <c r="AG83" i="1"/>
  <c r="AG80" i="1"/>
  <c r="AI80" i="1" s="1"/>
  <c r="X79" i="1"/>
  <c r="X34" i="1"/>
  <c r="AG26" i="1"/>
  <c r="X26" i="1"/>
  <c r="T25" i="1"/>
  <c r="X134" i="1"/>
  <c r="W126" i="1"/>
  <c r="X123" i="1"/>
  <c r="AG122" i="1"/>
  <c r="AI122" i="1" s="1"/>
  <c r="AG116" i="1"/>
  <c r="W55" i="1"/>
  <c r="AG42" i="1"/>
  <c r="AI42" i="1" s="1"/>
  <c r="X42" i="1"/>
  <c r="AG41" i="1"/>
  <c r="AI41" i="1" s="1"/>
  <c r="AG21" i="1"/>
  <c r="AI21" i="1" s="1"/>
  <c r="X21" i="1"/>
  <c r="AD31" i="3"/>
  <c r="T25" i="3"/>
  <c r="AD35" i="3"/>
  <c r="AE42" i="3"/>
  <c r="AE21" i="3"/>
  <c r="AD10" i="3"/>
  <c r="AE10" i="3"/>
  <c r="Y15" i="3"/>
  <c r="Y31" i="3"/>
  <c r="Y26" i="3"/>
  <c r="AD38" i="3"/>
  <c r="Y13" i="3"/>
  <c r="T26" i="3"/>
  <c r="AE41" i="3"/>
  <c r="AD18" i="3"/>
  <c r="T31" i="3"/>
  <c r="Y22" i="3"/>
  <c r="Y25" i="3"/>
  <c r="Y38" i="3"/>
  <c r="Y28" i="3"/>
  <c r="Y19" i="3"/>
  <c r="Y30" i="3"/>
  <c r="T14" i="3"/>
  <c r="Y18" i="3"/>
  <c r="X218" i="1"/>
  <c r="AA201" i="1"/>
  <c r="W201" i="1" s="1"/>
  <c r="AA200" i="1"/>
  <c r="AA183" i="1"/>
  <c r="W183" i="1" s="1"/>
  <c r="AA172" i="1"/>
  <c r="U170" i="1"/>
  <c r="X170" i="1"/>
  <c r="AA167" i="1"/>
  <c r="W167" i="1" s="1"/>
  <c r="T163" i="1"/>
  <c r="W159" i="1"/>
  <c r="T233" i="1"/>
  <c r="T232" i="1"/>
  <c r="AA231" i="1"/>
  <c r="U225" i="1"/>
  <c r="AG145" i="1"/>
  <c r="T145" i="1"/>
  <c r="T89" i="1"/>
  <c r="AG89" i="1"/>
  <c r="AI89" i="1" s="1"/>
  <c r="T52" i="1"/>
  <c r="X52" i="1"/>
  <c r="AG52" i="1"/>
  <c r="AI216" i="1"/>
  <c r="AG243" i="1"/>
  <c r="U243" i="1" s="1"/>
  <c r="X243" i="1"/>
  <c r="AA198" i="1"/>
  <c r="X193" i="1"/>
  <c r="U190" i="1"/>
  <c r="AA176" i="1"/>
  <c r="T215" i="1"/>
  <c r="AG215" i="1"/>
  <c r="AG149" i="1"/>
  <c r="X149" i="1"/>
  <c r="T118" i="1"/>
  <c r="AG118" i="1"/>
  <c r="T37" i="1"/>
  <c r="AG37" i="1"/>
  <c r="AI37" i="1" s="1"/>
  <c r="AG32" i="1"/>
  <c r="AI32" i="1" s="1"/>
  <c r="T32" i="1"/>
  <c r="AA199" i="1"/>
  <c r="W199" i="1" s="1"/>
  <c r="AA192" i="1"/>
  <c r="AG189" i="1"/>
  <c r="U189" i="1" s="1"/>
  <c r="S189" i="1" s="1"/>
  <c r="X189" i="1"/>
  <c r="AA181" i="1"/>
  <c r="T173" i="1"/>
  <c r="X173" i="1"/>
  <c r="AG234" i="1"/>
  <c r="X234" i="1"/>
  <c r="AG233" i="1"/>
  <c r="U152" i="1"/>
  <c r="S152" i="1" s="1"/>
  <c r="T146" i="1"/>
  <c r="X146" i="1"/>
  <c r="AG146" i="1"/>
  <c r="AA122" i="1"/>
  <c r="W122" i="1" s="1"/>
  <c r="AG111" i="1"/>
  <c r="T111" i="1"/>
  <c r="T95" i="1"/>
  <c r="U95" i="1" s="1"/>
  <c r="S95" i="1" s="1"/>
  <c r="AG95" i="1"/>
  <c r="X90" i="1"/>
  <c r="T76" i="1"/>
  <c r="X76" i="1"/>
  <c r="AG76" i="1"/>
  <c r="AG67" i="1"/>
  <c r="X67" i="1"/>
  <c r="T46" i="1"/>
  <c r="U46" i="1" s="1"/>
  <c r="S46" i="1" s="1"/>
  <c r="AG46" i="1"/>
  <c r="AA243" i="1"/>
  <c r="AG242" i="1"/>
  <c r="W242" i="1" s="1"/>
  <c r="U198" i="1"/>
  <c r="S198" i="1" s="1"/>
  <c r="AG186" i="1"/>
  <c r="U186" i="1" s="1"/>
  <c r="X186" i="1"/>
  <c r="W182" i="1"/>
  <c r="W177" i="1"/>
  <c r="AG173" i="1"/>
  <c r="AI173" i="1" s="1"/>
  <c r="X238" i="1"/>
  <c r="AG238" i="1"/>
  <c r="W238" i="1" s="1"/>
  <c r="T209" i="1"/>
  <c r="AG209" i="1"/>
  <c r="T156" i="1"/>
  <c r="AG156" i="1"/>
  <c r="AI156" i="1" s="1"/>
  <c r="T150" i="1"/>
  <c r="X150" i="1"/>
  <c r="AG150" i="1"/>
  <c r="U150" i="1" s="1"/>
  <c r="W89" i="1"/>
  <c r="T38" i="1"/>
  <c r="AG38" i="1"/>
  <c r="AG28" i="1"/>
  <c r="AI28" i="1" s="1"/>
  <c r="T28" i="1"/>
  <c r="W211" i="1"/>
  <c r="AA152" i="1"/>
  <c r="W152" i="1" s="1"/>
  <c r="AA130" i="1"/>
  <c r="X119" i="1"/>
  <c r="X110" i="1"/>
  <c r="AA99" i="1"/>
  <c r="AA91" i="1"/>
  <c r="AA64" i="1"/>
  <c r="AA60" i="1"/>
  <c r="W49" i="1"/>
  <c r="AA164" i="1"/>
  <c r="W164" i="1" s="1"/>
  <c r="AA163" i="1"/>
  <c r="W163" i="1" s="1"/>
  <c r="AI160" i="1"/>
  <c r="AA236" i="1"/>
  <c r="AA230" i="1"/>
  <c r="W230" i="1" s="1"/>
  <c r="AA223" i="1"/>
  <c r="AA208" i="1"/>
  <c r="AA205" i="1"/>
  <c r="AA154" i="1"/>
  <c r="X153" i="1"/>
  <c r="AA144" i="1"/>
  <c r="X141" i="1"/>
  <c r="AG140" i="1"/>
  <c r="AI140" i="1" s="1"/>
  <c r="AA135" i="1"/>
  <c r="W135" i="1" s="1"/>
  <c r="AG132" i="1"/>
  <c r="U132" i="1" s="1"/>
  <c r="AA129" i="1"/>
  <c r="AG128" i="1"/>
  <c r="AI128" i="1" s="1"/>
  <c r="AA121" i="1"/>
  <c r="AA116" i="1"/>
  <c r="AG114" i="1"/>
  <c r="AA112" i="1"/>
  <c r="AA110" i="1"/>
  <c r="AG103" i="1"/>
  <c r="AA101" i="1"/>
  <c r="W101" i="1" s="1"/>
  <c r="AG99" i="1"/>
  <c r="AA97" i="1"/>
  <c r="W97" i="1" s="1"/>
  <c r="X86" i="1"/>
  <c r="AG85" i="1"/>
  <c r="AI85" i="1" s="1"/>
  <c r="AG81" i="1"/>
  <c r="AI81" i="1" s="1"/>
  <c r="X81" i="1"/>
  <c r="AA75" i="1"/>
  <c r="AG72" i="1"/>
  <c r="U72" i="1" s="1"/>
  <c r="S72" i="1" s="1"/>
  <c r="X72" i="1"/>
  <c r="AA68" i="1"/>
  <c r="AG64" i="1"/>
  <c r="X64" i="1"/>
  <c r="AA62" i="1"/>
  <c r="AG60" i="1"/>
  <c r="W60" i="1" s="1"/>
  <c r="X60" i="1"/>
  <c r="AA57" i="1"/>
  <c r="AI44" i="1"/>
  <c r="AA41" i="1"/>
  <c r="W41" i="1" s="1"/>
  <c r="AI40" i="1"/>
  <c r="AA35" i="1"/>
  <c r="AG33" i="1"/>
  <c r="AI33" i="1" s="1"/>
  <c r="AG30" i="1"/>
  <c r="AA24" i="1"/>
  <c r="W24" i="1" s="1"/>
  <c r="AA21" i="1"/>
  <c r="AA226" i="1"/>
  <c r="W225" i="1"/>
  <c r="AA215" i="1"/>
  <c r="W215" i="1" s="1"/>
  <c r="AA156" i="1"/>
  <c r="W156" i="1" s="1"/>
  <c r="AA151" i="1"/>
  <c r="W151" i="1" s="1"/>
  <c r="AA145" i="1"/>
  <c r="W145" i="1" s="1"/>
  <c r="AA118" i="1"/>
  <c r="W118" i="1" s="1"/>
  <c r="AA115" i="1"/>
  <c r="AA111" i="1"/>
  <c r="AA88" i="1"/>
  <c r="AA71" i="1"/>
  <c r="AA66" i="1"/>
  <c r="AA63" i="1"/>
  <c r="AA46" i="1"/>
  <c r="W46" i="1" s="1"/>
  <c r="AA37" i="1"/>
  <c r="T34" i="1"/>
  <c r="AA29" i="1"/>
  <c r="AA15" i="1"/>
  <c r="AA220" i="1"/>
  <c r="AA219" i="1"/>
  <c r="T219" i="1"/>
  <c r="AG218" i="1"/>
  <c r="W218" i="1" s="1"/>
  <c r="X242" i="1"/>
  <c r="AG202" i="1"/>
  <c r="U202" i="1" s="1"/>
  <c r="X202" i="1"/>
  <c r="AA194" i="1"/>
  <c r="AA193" i="1"/>
  <c r="T193" i="1"/>
  <c r="AA191" i="1"/>
  <c r="W191" i="1" s="1"/>
  <c r="X185" i="1"/>
  <c r="AG185" i="1"/>
  <c r="U185" i="1" s="1"/>
  <c r="S185" i="1" s="1"/>
  <c r="X194" i="1"/>
  <c r="AG194" i="1"/>
  <c r="U194" i="1" s="1"/>
  <c r="AG158" i="1"/>
  <c r="U158" i="1" s="1"/>
  <c r="S158" i="1" s="1"/>
  <c r="X159" i="1"/>
  <c r="X158" i="1"/>
  <c r="AG219" i="1"/>
  <c r="U219" i="1" s="1"/>
  <c r="AA203" i="1"/>
  <c r="W203" i="1" s="1"/>
  <c r="AA202" i="1"/>
  <c r="AG193" i="1"/>
  <c r="U193" i="1" s="1"/>
  <c r="S193" i="1" s="1"/>
  <c r="T176" i="1"/>
  <c r="X177" i="1"/>
  <c r="X174" i="1"/>
  <c r="AG174" i="1"/>
  <c r="U174" i="1" s="1"/>
  <c r="T174" i="1"/>
  <c r="AG162" i="1"/>
  <c r="U162" i="1" s="1"/>
  <c r="S162" i="1" s="1"/>
  <c r="X163" i="1"/>
  <c r="X162" i="1"/>
  <c r="W243" i="1"/>
  <c r="U242" i="1"/>
  <c r="S242" i="1" s="1"/>
  <c r="T201" i="1"/>
  <c r="U201" i="1" s="1"/>
  <c r="S201" i="1" s="1"/>
  <c r="W198" i="1"/>
  <c r="U197" i="1"/>
  <c r="S197" i="1" s="1"/>
  <c r="W190" i="1"/>
  <c r="W185" i="1"/>
  <c r="AG181" i="1"/>
  <c r="U181" i="1" s="1"/>
  <c r="S181" i="1" s="1"/>
  <c r="X182" i="1"/>
  <c r="X181" i="1"/>
  <c r="AG166" i="1"/>
  <c r="U166" i="1" s="1"/>
  <c r="S166" i="1" s="1"/>
  <c r="X166" i="1"/>
  <c r="AA187" i="1"/>
  <c r="W187" i="1" s="1"/>
  <c r="AA186" i="1"/>
  <c r="W186" i="1" s="1"/>
  <c r="AG178" i="1"/>
  <c r="U178" i="1" s="1"/>
  <c r="AA171" i="1"/>
  <c r="W171" i="1" s="1"/>
  <c r="AA170" i="1"/>
  <c r="W170" i="1" s="1"/>
  <c r="AG169" i="1"/>
  <c r="U169" i="1" s="1"/>
  <c r="S169" i="1" s="1"/>
  <c r="AA233" i="1"/>
  <c r="W233" i="1" s="1"/>
  <c r="AA229" i="1"/>
  <c r="W229" i="1" s="1"/>
  <c r="AA224" i="1"/>
  <c r="X222" i="1"/>
  <c r="AG213" i="1"/>
  <c r="U213" i="1" s="1"/>
  <c r="AA210" i="1"/>
  <c r="W210" i="1" s="1"/>
  <c r="X209" i="1"/>
  <c r="AG207" i="1"/>
  <c r="U207" i="1" s="1"/>
  <c r="S207" i="1" s="1"/>
  <c r="AG205" i="1"/>
  <c r="U205" i="1" s="1"/>
  <c r="X205" i="1"/>
  <c r="X204" i="1"/>
  <c r="AI152" i="1"/>
  <c r="AA149" i="1"/>
  <c r="W149" i="1" s="1"/>
  <c r="T149" i="1"/>
  <c r="AA146" i="1"/>
  <c r="W146" i="1" s="1"/>
  <c r="AG144" i="1"/>
  <c r="AG142" i="1"/>
  <c r="U142" i="1" s="1"/>
  <c r="AA139" i="1"/>
  <c r="W139" i="1" s="1"/>
  <c r="AA137" i="1"/>
  <c r="W137" i="1" s="1"/>
  <c r="T137" i="1"/>
  <c r="U137" i="1" s="1"/>
  <c r="S137" i="1" s="1"/>
  <c r="AA134" i="1"/>
  <c r="X133" i="1"/>
  <c r="AA131" i="1"/>
  <c r="W131" i="1" s="1"/>
  <c r="T131" i="1"/>
  <c r="AG130" i="1"/>
  <c r="AA127" i="1"/>
  <c r="U126" i="1"/>
  <c r="AG115" i="1"/>
  <c r="W115" i="1" s="1"/>
  <c r="X115" i="1"/>
  <c r="AA114" i="1"/>
  <c r="W114" i="1" s="1"/>
  <c r="T110" i="1"/>
  <c r="X111" i="1"/>
  <c r="AG110" i="1"/>
  <c r="T108" i="1"/>
  <c r="AG108" i="1"/>
  <c r="W108" i="1"/>
  <c r="AG98" i="1"/>
  <c r="T98" i="1"/>
  <c r="X98" i="1"/>
  <c r="X93" i="1"/>
  <c r="AG63" i="1"/>
  <c r="X63" i="1"/>
  <c r="W40" i="1"/>
  <c r="U37" i="1"/>
  <c r="S37" i="1" s="1"/>
  <c r="X22" i="1"/>
  <c r="AG22" i="1"/>
  <c r="AG20" i="1"/>
  <c r="W20" i="1" s="1"/>
  <c r="T20" i="1"/>
  <c r="U182" i="1"/>
  <c r="AA175" i="1"/>
  <c r="W175" i="1" s="1"/>
  <c r="AA174" i="1"/>
  <c r="U173" i="1"/>
  <c r="S173" i="1" s="1"/>
  <c r="X169" i="1"/>
  <c r="U240" i="1"/>
  <c r="U163" i="1"/>
  <c r="S163" i="1" s="1"/>
  <c r="U159" i="1"/>
  <c r="U238" i="1"/>
  <c r="AA235" i="1"/>
  <c r="AA234" i="1"/>
  <c r="W234" i="1" s="1"/>
  <c r="AA212" i="1"/>
  <c r="W209" i="1"/>
  <c r="X208" i="1"/>
  <c r="AA155" i="1"/>
  <c r="W155" i="1" s="1"/>
  <c r="AA153" i="1"/>
  <c r="W153" i="1" s="1"/>
  <c r="T153" i="1"/>
  <c r="AA150" i="1"/>
  <c r="W150" i="1" s="1"/>
  <c r="U148" i="1"/>
  <c r="S148" i="1" s="1"/>
  <c r="U146" i="1"/>
  <c r="X145" i="1"/>
  <c r="AA141" i="1"/>
  <c r="W138" i="1"/>
  <c r="U136" i="1"/>
  <c r="S136" i="1" s="1"/>
  <c r="U118" i="1"/>
  <c r="S118" i="1" s="1"/>
  <c r="AI118" i="1"/>
  <c r="U97" i="1"/>
  <c r="S97" i="1" s="1"/>
  <c r="AI97" i="1"/>
  <c r="X68" i="1"/>
  <c r="AG68" i="1"/>
  <c r="T18" i="1"/>
  <c r="AG18" i="1"/>
  <c r="AI16" i="1"/>
  <c r="AA237" i="1"/>
  <c r="W237" i="1" s="1"/>
  <c r="AA222" i="1"/>
  <c r="T222" i="1"/>
  <c r="AA214" i="1"/>
  <c r="X213" i="1"/>
  <c r="U211" i="1"/>
  <c r="S211" i="1" s="1"/>
  <c r="U209" i="1"/>
  <c r="AA206" i="1"/>
  <c r="AA204" i="1"/>
  <c r="T204" i="1"/>
  <c r="W154" i="1"/>
  <c r="AA143" i="1"/>
  <c r="X142" i="1"/>
  <c r="U140" i="1"/>
  <c r="S140" i="1" s="1"/>
  <c r="U138" i="1"/>
  <c r="AA133" i="1"/>
  <c r="T133" i="1"/>
  <c r="X131" i="1"/>
  <c r="T124" i="1"/>
  <c r="AG124" i="1"/>
  <c r="AI124" i="1" s="1"/>
  <c r="AA124" i="1"/>
  <c r="U114" i="1"/>
  <c r="S114" i="1" s="1"/>
  <c r="AI114" i="1"/>
  <c r="W112" i="1"/>
  <c r="T93" i="1"/>
  <c r="X94" i="1"/>
  <c r="AG93" i="1"/>
  <c r="T91" i="1"/>
  <c r="AG91" i="1"/>
  <c r="W91" i="1"/>
  <c r="AG82" i="1"/>
  <c r="T82" i="1"/>
  <c r="U82" i="1" s="1"/>
  <c r="S82" i="1" s="1"/>
  <c r="X82" i="1"/>
  <c r="U76" i="1"/>
  <c r="U64" i="1"/>
  <c r="U60" i="1"/>
  <c r="AA51" i="1"/>
  <c r="U42" i="1"/>
  <c r="X41" i="1"/>
  <c r="T22" i="1"/>
  <c r="U234" i="1"/>
  <c r="U215" i="1"/>
  <c r="S215" i="1" s="1"/>
  <c r="W213" i="1"/>
  <c r="W205" i="1"/>
  <c r="U156" i="1"/>
  <c r="S156" i="1" s="1"/>
  <c r="U154" i="1"/>
  <c r="S154" i="1" s="1"/>
  <c r="W142" i="1"/>
  <c r="W130" i="1"/>
  <c r="AG119" i="1"/>
  <c r="T119" i="1"/>
  <c r="U119" i="1" s="1"/>
  <c r="S119" i="1" s="1"/>
  <c r="X114" i="1"/>
  <c r="W110" i="1"/>
  <c r="X71" i="1"/>
  <c r="T68" i="1"/>
  <c r="AA59" i="1"/>
  <c r="W59" i="1" s="1"/>
  <c r="X45" i="1"/>
  <c r="X46" i="1"/>
  <c r="AG45" i="1"/>
  <c r="AI45" i="1" s="1"/>
  <c r="AA33" i="1"/>
  <c r="W33" i="1" s="1"/>
  <c r="X30" i="1"/>
  <c r="X29" i="1"/>
  <c r="AG29" i="1"/>
  <c r="AI29" i="1" s="1"/>
  <c r="T17" i="1"/>
  <c r="X17" i="1"/>
  <c r="AG17" i="1"/>
  <c r="AI17" i="1" s="1"/>
  <c r="U128" i="1"/>
  <c r="AA128" i="1"/>
  <c r="W128" i="1" s="1"/>
  <c r="AA123" i="1"/>
  <c r="W123" i="1" s="1"/>
  <c r="T123" i="1"/>
  <c r="AA120" i="1"/>
  <c r="W120" i="1" s="1"/>
  <c r="AA117" i="1"/>
  <c r="AA107" i="1"/>
  <c r="T107" i="1"/>
  <c r="AA103" i="1"/>
  <c r="W103" i="1" s="1"/>
  <c r="AA100" i="1"/>
  <c r="AA90" i="1"/>
  <c r="T90" i="1"/>
  <c r="X89" i="1"/>
  <c r="AA87" i="1"/>
  <c r="W87" i="1" s="1"/>
  <c r="AA84" i="1"/>
  <c r="AA79" i="1"/>
  <c r="W79" i="1" s="1"/>
  <c r="AA77" i="1"/>
  <c r="X75" i="1"/>
  <c r="AA72" i="1"/>
  <c r="T67" i="1"/>
  <c r="AA61" i="1"/>
  <c r="X59" i="1"/>
  <c r="AA56" i="1"/>
  <c r="W56" i="1" s="1"/>
  <c r="T55" i="1"/>
  <c r="AA53" i="1"/>
  <c r="X51" i="1"/>
  <c r="X49" i="1"/>
  <c r="X37" i="1"/>
  <c r="X33" i="1"/>
  <c r="AA25" i="1"/>
  <c r="W25" i="1" s="1"/>
  <c r="U122" i="1"/>
  <c r="S122" i="1" s="1"/>
  <c r="AA119" i="1"/>
  <c r="X118" i="1"/>
  <c r="W116" i="1"/>
  <c r="AA113" i="1"/>
  <c r="U106" i="1"/>
  <c r="S106" i="1" s="1"/>
  <c r="AA102" i="1"/>
  <c r="T102" i="1"/>
  <c r="X101" i="1"/>
  <c r="W99" i="1"/>
  <c r="AA96" i="1"/>
  <c r="U89" i="1"/>
  <c r="S89" i="1" s="1"/>
  <c r="AA86" i="1"/>
  <c r="T86" i="1"/>
  <c r="X85" i="1"/>
  <c r="W83" i="1"/>
  <c r="AA81" i="1"/>
  <c r="W81" i="1" s="1"/>
  <c r="T71" i="1"/>
  <c r="U71" i="1" s="1"/>
  <c r="S71" i="1" s="1"/>
  <c r="AA65" i="1"/>
  <c r="W52" i="1"/>
  <c r="X50" i="1"/>
  <c r="AA43" i="1"/>
  <c r="AA42" i="1"/>
  <c r="X38" i="1"/>
  <c r="AG34" i="1"/>
  <c r="U34" i="1" s="1"/>
  <c r="S34" i="1" s="1"/>
  <c r="AA27" i="1"/>
  <c r="AA26" i="1"/>
  <c r="AG25" i="1"/>
  <c r="AI25" i="1" s="1"/>
  <c r="T24" i="1"/>
  <c r="U24" i="1" s="1"/>
  <c r="S24" i="1" s="1"/>
  <c r="T16" i="1"/>
  <c r="U16" i="1" s="1"/>
  <c r="S16" i="1" s="1"/>
  <c r="AA109" i="1"/>
  <c r="U101" i="1"/>
  <c r="S101" i="1" s="1"/>
  <c r="AA98" i="1"/>
  <c r="W98" i="1" s="1"/>
  <c r="X97" i="1"/>
  <c r="W95" i="1"/>
  <c r="AA92" i="1"/>
  <c r="U85" i="1"/>
  <c r="S85" i="1" s="1"/>
  <c r="AA82" i="1"/>
  <c r="W82" i="1" s="1"/>
  <c r="U81" i="1"/>
  <c r="T75" i="1"/>
  <c r="AA69" i="1"/>
  <c r="T59" i="1"/>
  <c r="AA23" i="1"/>
  <c r="AA22" i="1"/>
  <c r="W22" i="1" s="1"/>
  <c r="W21" i="1"/>
  <c r="AA19" i="1"/>
  <c r="AA18" i="1"/>
  <c r="AI238" i="1"/>
  <c r="W195" i="1"/>
  <c r="AI222" i="1"/>
  <c r="W179" i="1"/>
  <c r="AI206" i="1"/>
  <c r="W165" i="1"/>
  <c r="W161" i="1"/>
  <c r="W157" i="1"/>
  <c r="AI183" i="1"/>
  <c r="U236" i="1"/>
  <c r="S236" i="1" s="1"/>
  <c r="AI182" i="1"/>
  <c r="AI226" i="1"/>
  <c r="AI210" i="1"/>
  <c r="AI195" i="1"/>
  <c r="U165" i="1"/>
  <c r="S165" i="1" s="1"/>
  <c r="AI191" i="1"/>
  <c r="U161" i="1"/>
  <c r="S161" i="1" s="1"/>
  <c r="W160" i="1"/>
  <c r="AI187" i="1"/>
  <c r="U157" i="1"/>
  <c r="S157" i="1" s="1"/>
  <c r="W239" i="1"/>
  <c r="W232" i="1"/>
  <c r="W231" i="1"/>
  <c r="W228" i="1"/>
  <c r="W227" i="1"/>
  <c r="W219" i="1"/>
  <c r="AI230" i="1"/>
  <c r="AI214" i="1"/>
  <c r="AI198" i="1"/>
  <c r="AI194" i="1"/>
  <c r="AI190" i="1"/>
  <c r="AI186" i="1"/>
  <c r="AI179" i="1"/>
  <c r="U232" i="1"/>
  <c r="S232" i="1" s="1"/>
  <c r="AI178" i="1"/>
  <c r="AI175" i="1"/>
  <c r="U228" i="1"/>
  <c r="S228" i="1" s="1"/>
  <c r="AI174" i="1"/>
  <c r="S219" i="1"/>
  <c r="AG220" i="1"/>
  <c r="AI220" i="1" s="1"/>
  <c r="T220" i="1"/>
  <c r="X220" i="1"/>
  <c r="U218" i="1"/>
  <c r="S218" i="1" s="1"/>
  <c r="AI234" i="1"/>
  <c r="AI218" i="1"/>
  <c r="AI202" i="1"/>
  <c r="W236" i="1"/>
  <c r="W235" i="1"/>
  <c r="U230" i="1"/>
  <c r="S230" i="1" s="1"/>
  <c r="AG221" i="1"/>
  <c r="AG217" i="1"/>
  <c r="W217" i="1" s="1"/>
  <c r="X216" i="1"/>
  <c r="T216" i="1"/>
  <c r="U216" i="1" s="1"/>
  <c r="S216" i="1" s="1"/>
  <c r="AI237" i="1"/>
  <c r="S243" i="1"/>
  <c r="AG241" i="1"/>
  <c r="W241" i="1" s="1"/>
  <c r="X203" i="1"/>
  <c r="T203" i="1"/>
  <c r="U203" i="1" s="1"/>
  <c r="S203" i="1" s="1"/>
  <c r="AI233" i="1"/>
  <c r="S202" i="1"/>
  <c r="AG200" i="1"/>
  <c r="X199" i="1"/>
  <c r="T199" i="1"/>
  <c r="U199" i="1" s="1"/>
  <c r="S199" i="1" s="1"/>
  <c r="AI229" i="1"/>
  <c r="AG196" i="1"/>
  <c r="AI196" i="1" s="1"/>
  <c r="X195" i="1"/>
  <c r="T195" i="1"/>
  <c r="U195" i="1" s="1"/>
  <c r="S195" i="1" s="1"/>
  <c r="AI225" i="1"/>
  <c r="S194" i="1"/>
  <c r="AG192" i="1"/>
  <c r="AI192" i="1" s="1"/>
  <c r="X191" i="1"/>
  <c r="T191" i="1"/>
  <c r="U191" i="1" s="1"/>
  <c r="S191" i="1" s="1"/>
  <c r="AI221" i="1"/>
  <c r="S190" i="1"/>
  <c r="AG188" i="1"/>
  <c r="X187" i="1"/>
  <c r="T187" i="1"/>
  <c r="U187" i="1" s="1"/>
  <c r="S187" i="1" s="1"/>
  <c r="AI217" i="1"/>
  <c r="S186" i="1"/>
  <c r="AG184" i="1"/>
  <c r="X183" i="1"/>
  <c r="T183" i="1"/>
  <c r="U183" i="1" s="1"/>
  <c r="S183" i="1" s="1"/>
  <c r="AI213" i="1"/>
  <c r="S182" i="1"/>
  <c r="AG180" i="1"/>
  <c r="AI180" i="1" s="1"/>
  <c r="X179" i="1"/>
  <c r="T179" i="1"/>
  <c r="U179" i="1" s="1"/>
  <c r="S179" i="1" s="1"/>
  <c r="AI209" i="1"/>
  <c r="S178" i="1"/>
  <c r="AG176" i="1"/>
  <c r="AI176" i="1" s="1"/>
  <c r="X175" i="1"/>
  <c r="T175" i="1"/>
  <c r="U175" i="1" s="1"/>
  <c r="S175" i="1" s="1"/>
  <c r="AI205" i="1"/>
  <c r="S174" i="1"/>
  <c r="AG172" i="1"/>
  <c r="X171" i="1"/>
  <c r="T171" i="1"/>
  <c r="U171" i="1" s="1"/>
  <c r="S171" i="1" s="1"/>
  <c r="AI201" i="1"/>
  <c r="S170" i="1"/>
  <c r="AG168" i="1"/>
  <c r="X167" i="1"/>
  <c r="T167" i="1"/>
  <c r="U167" i="1" s="1"/>
  <c r="S167" i="1" s="1"/>
  <c r="AI197" i="1"/>
  <c r="S240" i="1"/>
  <c r="X164" i="1"/>
  <c r="T164" i="1"/>
  <c r="U164" i="1" s="1"/>
  <c r="S164" i="1" s="1"/>
  <c r="AI193" i="1"/>
  <c r="X160" i="1"/>
  <c r="T160" i="1"/>
  <c r="U160" i="1" s="1"/>
  <c r="S160" i="1" s="1"/>
  <c r="AI189" i="1"/>
  <c r="S159" i="1"/>
  <c r="X239" i="1"/>
  <c r="T239" i="1"/>
  <c r="U239" i="1" s="1"/>
  <c r="S239" i="1" s="1"/>
  <c r="AI185" i="1"/>
  <c r="S238" i="1"/>
  <c r="X235" i="1"/>
  <c r="T235" i="1"/>
  <c r="U235" i="1" s="1"/>
  <c r="S235" i="1" s="1"/>
  <c r="AI181" i="1"/>
  <c r="S234" i="1"/>
  <c r="X231" i="1"/>
  <c r="T231" i="1"/>
  <c r="U231" i="1" s="1"/>
  <c r="S231" i="1" s="1"/>
  <c r="AI177" i="1"/>
  <c r="X227" i="1"/>
  <c r="T227" i="1"/>
  <c r="U227" i="1" s="1"/>
  <c r="S227" i="1" s="1"/>
  <c r="S225" i="1"/>
  <c r="AI169" i="1"/>
  <c r="U222" i="1"/>
  <c r="S222" i="1" s="1"/>
  <c r="W214" i="1"/>
  <c r="W206" i="1"/>
  <c r="W204" i="1"/>
  <c r="AI155" i="1"/>
  <c r="S153" i="1"/>
  <c r="AI153" i="1"/>
  <c r="U153" i="1"/>
  <c r="W143" i="1"/>
  <c r="X221" i="1"/>
  <c r="X217" i="1"/>
  <c r="X241" i="1"/>
  <c r="X200" i="1"/>
  <c r="X196" i="1"/>
  <c r="X192" i="1"/>
  <c r="X188" i="1"/>
  <c r="X184" i="1"/>
  <c r="X180" i="1"/>
  <c r="X176" i="1"/>
  <c r="X172" i="1"/>
  <c r="X168" i="1"/>
  <c r="X165" i="1"/>
  <c r="X161" i="1"/>
  <c r="X157" i="1"/>
  <c r="U237" i="1"/>
  <c r="S237" i="1" s="1"/>
  <c r="X236" i="1"/>
  <c r="U233" i="1"/>
  <c r="S233" i="1" s="1"/>
  <c r="X232" i="1"/>
  <c r="U229" i="1"/>
  <c r="S229" i="1" s="1"/>
  <c r="X228" i="1"/>
  <c r="X226" i="1"/>
  <c r="AG224" i="1"/>
  <c r="X225" i="1"/>
  <c r="T224" i="1"/>
  <c r="X224" i="1"/>
  <c r="W223" i="1"/>
  <c r="AI167" i="1"/>
  <c r="AI159" i="1"/>
  <c r="AI157" i="1"/>
  <c r="U204" i="1"/>
  <c r="S204" i="1" s="1"/>
  <c r="AI143" i="1"/>
  <c r="AI170" i="1"/>
  <c r="AI147" i="1"/>
  <c r="AI145" i="1"/>
  <c r="U145" i="1"/>
  <c r="S145" i="1" s="1"/>
  <c r="AI135" i="1"/>
  <c r="S128" i="1"/>
  <c r="X230" i="1"/>
  <c r="W226" i="1"/>
  <c r="T226" i="1"/>
  <c r="U226" i="1" s="1"/>
  <c r="S226" i="1" s="1"/>
  <c r="U223" i="1"/>
  <c r="S223" i="1" s="1"/>
  <c r="W222" i="1"/>
  <c r="AI163" i="1"/>
  <c r="AI151" i="1"/>
  <c r="AI149" i="1"/>
  <c r="U149" i="1"/>
  <c r="S149" i="1" s="1"/>
  <c r="AI139" i="1"/>
  <c r="AI137" i="1"/>
  <c r="X214" i="1"/>
  <c r="T214" i="1"/>
  <c r="U214" i="1" s="1"/>
  <c r="S214" i="1" s="1"/>
  <c r="AI166" i="1"/>
  <c r="S213" i="1"/>
  <c r="X210" i="1"/>
  <c r="T210" i="1"/>
  <c r="U210" i="1" s="1"/>
  <c r="S210" i="1" s="1"/>
  <c r="AI162" i="1"/>
  <c r="S209" i="1"/>
  <c r="X206" i="1"/>
  <c r="T206" i="1"/>
  <c r="U206" i="1" s="1"/>
  <c r="S206" i="1" s="1"/>
  <c r="AI158" i="1"/>
  <c r="S205" i="1"/>
  <c r="X155" i="1"/>
  <c r="T155" i="1"/>
  <c r="U155" i="1" s="1"/>
  <c r="S155" i="1" s="1"/>
  <c r="AI154" i="1"/>
  <c r="X151" i="1"/>
  <c r="T151" i="1"/>
  <c r="U151" i="1" s="1"/>
  <c r="S151" i="1" s="1"/>
  <c r="AI150" i="1"/>
  <c r="S150" i="1"/>
  <c r="X147" i="1"/>
  <c r="T147" i="1"/>
  <c r="U147" i="1" s="1"/>
  <c r="S147" i="1" s="1"/>
  <c r="AI146" i="1"/>
  <c r="S146" i="1"/>
  <c r="X143" i="1"/>
  <c r="T143" i="1"/>
  <c r="U143" i="1" s="1"/>
  <c r="S143" i="1" s="1"/>
  <c r="AI142" i="1"/>
  <c r="S142" i="1"/>
  <c r="X139" i="1"/>
  <c r="T139" i="1"/>
  <c r="U139" i="1" s="1"/>
  <c r="S139" i="1" s="1"/>
  <c r="AI138" i="1"/>
  <c r="S138" i="1"/>
  <c r="X135" i="1"/>
  <c r="T135" i="1"/>
  <c r="U135" i="1" s="1"/>
  <c r="S135" i="1" s="1"/>
  <c r="AI127" i="1"/>
  <c r="U123" i="1"/>
  <c r="S123" i="1" s="1"/>
  <c r="AI123" i="1"/>
  <c r="AI115" i="1"/>
  <c r="W111" i="1"/>
  <c r="U98" i="1"/>
  <c r="S98" i="1" s="1"/>
  <c r="AI98" i="1"/>
  <c r="W94" i="1"/>
  <c r="AI82" i="1"/>
  <c r="X215" i="1"/>
  <c r="AG212" i="1"/>
  <c r="X211" i="1"/>
  <c r="AG208" i="1"/>
  <c r="AI208" i="1" s="1"/>
  <c r="X207" i="1"/>
  <c r="X156" i="1"/>
  <c r="X152" i="1"/>
  <c r="X148" i="1"/>
  <c r="X144" i="1"/>
  <c r="AG141" i="1"/>
  <c r="X140" i="1"/>
  <c r="X136" i="1"/>
  <c r="AG133" i="1"/>
  <c r="U131" i="1"/>
  <c r="S131" i="1" s="1"/>
  <c r="AI131" i="1"/>
  <c r="X127" i="1"/>
  <c r="S126" i="1"/>
  <c r="W124" i="1"/>
  <c r="X122" i="1"/>
  <c r="T121" i="1"/>
  <c r="X121" i="1"/>
  <c r="AG121" i="1"/>
  <c r="W121" i="1" s="1"/>
  <c r="U111" i="1"/>
  <c r="S111" i="1" s="1"/>
  <c r="AI111" i="1"/>
  <c r="W107" i="1"/>
  <c r="U94" i="1"/>
  <c r="S94" i="1" s="1"/>
  <c r="AI94" i="1"/>
  <c r="W90" i="1"/>
  <c r="X126" i="1"/>
  <c r="AG125" i="1"/>
  <c r="W125" i="1" s="1"/>
  <c r="W119" i="1"/>
  <c r="U107" i="1"/>
  <c r="S107" i="1" s="1"/>
  <c r="AI107" i="1"/>
  <c r="W102" i="1"/>
  <c r="U90" i="1"/>
  <c r="S90" i="1" s="1"/>
  <c r="AI90" i="1"/>
  <c r="W86" i="1"/>
  <c r="X223" i="1"/>
  <c r="X130" i="1"/>
  <c r="AG129" i="1"/>
  <c r="W129" i="1" s="1"/>
  <c r="W127" i="1"/>
  <c r="T127" i="1"/>
  <c r="U127" i="1" s="1"/>
  <c r="S127" i="1" s="1"/>
  <c r="X125" i="1"/>
  <c r="AI119" i="1"/>
  <c r="U102" i="1"/>
  <c r="S102" i="1" s="1"/>
  <c r="AI102" i="1"/>
  <c r="U86" i="1"/>
  <c r="S86" i="1" s="1"/>
  <c r="AI86" i="1"/>
  <c r="U120" i="1"/>
  <c r="S120" i="1" s="1"/>
  <c r="U116" i="1"/>
  <c r="S116" i="1" s="1"/>
  <c r="U112" i="1"/>
  <c r="S112" i="1" s="1"/>
  <c r="U108" i="1"/>
  <c r="S108" i="1" s="1"/>
  <c r="U103" i="1"/>
  <c r="S103" i="1" s="1"/>
  <c r="U99" i="1"/>
  <c r="S99" i="1" s="1"/>
  <c r="U91" i="1"/>
  <c r="S91" i="1" s="1"/>
  <c r="U87" i="1"/>
  <c r="S87" i="1" s="1"/>
  <c r="U83" i="1"/>
  <c r="S83" i="1" s="1"/>
  <c r="AI72" i="1"/>
  <c r="AI71" i="1"/>
  <c r="S64" i="1"/>
  <c r="AI64" i="1"/>
  <c r="AI63" i="1"/>
  <c r="U63" i="1"/>
  <c r="S63" i="1" s="1"/>
  <c r="AI56" i="1"/>
  <c r="AI55" i="1"/>
  <c r="U55" i="1"/>
  <c r="S55" i="1" s="1"/>
  <c r="AG53" i="1"/>
  <c r="T53" i="1"/>
  <c r="X53" i="1"/>
  <c r="W48" i="1"/>
  <c r="AI26" i="1"/>
  <c r="U26" i="1"/>
  <c r="S26" i="1" s="1"/>
  <c r="U14" i="1"/>
  <c r="S14" i="1" s="1"/>
  <c r="X132" i="1"/>
  <c r="X128" i="1"/>
  <c r="X124" i="1"/>
  <c r="X120" i="1"/>
  <c r="AG117" i="1"/>
  <c r="X116" i="1"/>
  <c r="AG113" i="1"/>
  <c r="W113" i="1" s="1"/>
  <c r="X112" i="1"/>
  <c r="AG109" i="1"/>
  <c r="W109" i="1" s="1"/>
  <c r="AG105" i="1"/>
  <c r="X103" i="1"/>
  <c r="AG100" i="1"/>
  <c r="X99" i="1"/>
  <c r="AG96" i="1"/>
  <c r="W96" i="1" s="1"/>
  <c r="X95" i="1"/>
  <c r="AG92" i="1"/>
  <c r="X91" i="1"/>
  <c r="AG88" i="1"/>
  <c r="W88" i="1" s="1"/>
  <c r="X87" i="1"/>
  <c r="AG84" i="1"/>
  <c r="X83" i="1"/>
  <c r="AG77" i="1"/>
  <c r="W77" i="1" s="1"/>
  <c r="T77" i="1"/>
  <c r="X77" i="1"/>
  <c r="W76" i="1"/>
  <c r="W75" i="1"/>
  <c r="AG69" i="1"/>
  <c r="T69" i="1"/>
  <c r="X69" i="1"/>
  <c r="W68" i="1"/>
  <c r="W67" i="1"/>
  <c r="AG61" i="1"/>
  <c r="T61" i="1"/>
  <c r="X61" i="1"/>
  <c r="AI52" i="1"/>
  <c r="AI50" i="1"/>
  <c r="U50" i="1"/>
  <c r="S50" i="1" s="1"/>
  <c r="T39" i="1"/>
  <c r="X39" i="1"/>
  <c r="AG39" i="1"/>
  <c r="W39" i="1" s="1"/>
  <c r="U32" i="1"/>
  <c r="S32" i="1" s="1"/>
  <c r="W32" i="1"/>
  <c r="AI18" i="1"/>
  <c r="U18" i="1"/>
  <c r="S18" i="1" s="1"/>
  <c r="AI120" i="1"/>
  <c r="X117" i="1"/>
  <c r="T117" i="1"/>
  <c r="AI116" i="1"/>
  <c r="X113" i="1"/>
  <c r="T113" i="1"/>
  <c r="AI112" i="1"/>
  <c r="X109" i="1"/>
  <c r="T109" i="1"/>
  <c r="AI108" i="1"/>
  <c r="T105" i="1"/>
  <c r="AI103" i="1"/>
  <c r="X100" i="1"/>
  <c r="T100" i="1"/>
  <c r="AI99" i="1"/>
  <c r="X96" i="1"/>
  <c r="T96" i="1"/>
  <c r="AI95" i="1"/>
  <c r="X92" i="1"/>
  <c r="T92" i="1"/>
  <c r="AI91" i="1"/>
  <c r="X88" i="1"/>
  <c r="T88" i="1"/>
  <c r="AI87" i="1"/>
  <c r="X84" i="1"/>
  <c r="T84" i="1"/>
  <c r="AI83" i="1"/>
  <c r="S81" i="1"/>
  <c r="S76" i="1"/>
  <c r="AI76" i="1"/>
  <c r="AI75" i="1"/>
  <c r="U75" i="1"/>
  <c r="S75" i="1" s="1"/>
  <c r="AI68" i="1"/>
  <c r="S67" i="1"/>
  <c r="AI67" i="1"/>
  <c r="U67" i="1"/>
  <c r="AI60" i="1"/>
  <c r="AI59" i="1"/>
  <c r="U59" i="1"/>
  <c r="S59" i="1" s="1"/>
  <c r="U56" i="1"/>
  <c r="S56" i="1" s="1"/>
  <c r="U38" i="1"/>
  <c r="S38" i="1" s="1"/>
  <c r="AI34" i="1"/>
  <c r="U28" i="1"/>
  <c r="S28" i="1" s="1"/>
  <c r="W28" i="1"/>
  <c r="X80" i="1"/>
  <c r="T79" i="1"/>
  <c r="U79" i="1" s="1"/>
  <c r="S79" i="1" s="1"/>
  <c r="T78" i="1"/>
  <c r="X78" i="1"/>
  <c r="AG78" i="1"/>
  <c r="W78" i="1" s="1"/>
  <c r="AG73" i="1"/>
  <c r="W73" i="1" s="1"/>
  <c r="T73" i="1"/>
  <c r="X73" i="1"/>
  <c r="W72" i="1"/>
  <c r="W71" i="1"/>
  <c r="AG65" i="1"/>
  <c r="T65" i="1"/>
  <c r="X65" i="1"/>
  <c r="W64" i="1"/>
  <c r="W63" i="1"/>
  <c r="AG57" i="1"/>
  <c r="W57" i="1" s="1"/>
  <c r="T57" i="1"/>
  <c r="X57" i="1"/>
  <c r="W53" i="1"/>
  <c r="AI30" i="1"/>
  <c r="U30" i="1"/>
  <c r="S30" i="1" s="1"/>
  <c r="T15" i="1"/>
  <c r="X15" i="1"/>
  <c r="AG15" i="1"/>
  <c r="W15" i="1" s="1"/>
  <c r="X16" i="1"/>
  <c r="AG74" i="1"/>
  <c r="W74" i="1" s="1"/>
  <c r="AG70" i="1"/>
  <c r="W70" i="1" s="1"/>
  <c r="AG66" i="1"/>
  <c r="AG62" i="1"/>
  <c r="AG58" i="1"/>
  <c r="AG54" i="1"/>
  <c r="W50" i="1"/>
  <c r="T47" i="1"/>
  <c r="X47" i="1"/>
  <c r="AG47" i="1"/>
  <c r="W47" i="1" s="1"/>
  <c r="U45" i="1"/>
  <c r="S45" i="1" s="1"/>
  <c r="S42" i="1"/>
  <c r="W30" i="1"/>
  <c r="W26" i="1"/>
  <c r="AI22" i="1"/>
  <c r="W18" i="1"/>
  <c r="X74" i="1"/>
  <c r="X70" i="1"/>
  <c r="X66" i="1"/>
  <c r="X62" i="1"/>
  <c r="X58" i="1"/>
  <c r="X54" i="1"/>
  <c r="AG51" i="1"/>
  <c r="U49" i="1"/>
  <c r="S49" i="1" s="1"/>
  <c r="AI46" i="1"/>
  <c r="AA38" i="1"/>
  <c r="W38" i="1" s="1"/>
  <c r="T35" i="1"/>
  <c r="X35" i="1"/>
  <c r="AG35" i="1"/>
  <c r="U33" i="1"/>
  <c r="S33" i="1" s="1"/>
  <c r="T31" i="1"/>
  <c r="X31" i="1"/>
  <c r="AG31" i="1"/>
  <c r="X32" i="1"/>
  <c r="U29" i="1"/>
  <c r="S29" i="1" s="1"/>
  <c r="T27" i="1"/>
  <c r="X27" i="1"/>
  <c r="AG27" i="1"/>
  <c r="X28" i="1"/>
  <c r="T19" i="1"/>
  <c r="X19" i="1"/>
  <c r="AG19" i="1"/>
  <c r="X20" i="1"/>
  <c r="AA14" i="1"/>
  <c r="W14" i="1" s="1"/>
  <c r="T43" i="1"/>
  <c r="X43" i="1"/>
  <c r="AG43" i="1"/>
  <c r="U41" i="1"/>
  <c r="S41" i="1" s="1"/>
  <c r="AI38" i="1"/>
  <c r="T23" i="1"/>
  <c r="X23" i="1"/>
  <c r="AG23" i="1"/>
  <c r="X24" i="1"/>
  <c r="AI14" i="1"/>
  <c r="X48" i="1"/>
  <c r="T48" i="1"/>
  <c r="U48" i="1" s="1"/>
  <c r="S48" i="1" s="1"/>
  <c r="X44" i="1"/>
  <c r="T44" i="1"/>
  <c r="U44" i="1" s="1"/>
  <c r="S44" i="1" s="1"/>
  <c r="X40" i="1"/>
  <c r="T40" i="1"/>
  <c r="U40" i="1" s="1"/>
  <c r="S40" i="1" s="1"/>
  <c r="X36" i="1"/>
  <c r="T36" i="1"/>
  <c r="U36" i="1" s="1"/>
  <c r="S36" i="1" s="1"/>
  <c r="U25" i="1"/>
  <c r="S25" i="1" s="1"/>
  <c r="U21" i="1"/>
  <c r="S21" i="1" s="1"/>
  <c r="U17" i="1"/>
  <c r="S17" i="1" s="1"/>
  <c r="X18" i="1"/>
  <c r="AE37" i="3"/>
  <c r="Y8" i="3"/>
  <c r="AD37" i="3"/>
  <c r="AD30" i="3"/>
  <c r="AE30" i="3"/>
  <c r="Y41" i="3"/>
  <c r="AE26" i="3"/>
  <c r="AD25" i="3"/>
  <c r="T19" i="3"/>
  <c r="Y34" i="3"/>
  <c r="AD17" i="3"/>
  <c r="AD14" i="3"/>
  <c r="AE14" i="3"/>
  <c r="Y12" i="3"/>
  <c r="AD11" i="3"/>
  <c r="Y10" i="3"/>
  <c r="AE9" i="3"/>
  <c r="T40" i="3"/>
  <c r="T29" i="3"/>
  <c r="AD29" i="3"/>
  <c r="AC13" i="3"/>
  <c r="AD19" i="3"/>
  <c r="AE8" i="3"/>
  <c r="Y29" i="3"/>
  <c r="Y35" i="3"/>
  <c r="AE25" i="3"/>
  <c r="AD23" i="3"/>
  <c r="AD15" i="3"/>
  <c r="T20" i="3"/>
  <c r="T7" i="3"/>
  <c r="Y14" i="3"/>
  <c r="T42" i="3"/>
  <c r="T21" i="3"/>
  <c r="AD41" i="3"/>
  <c r="Y40" i="3"/>
  <c r="T8" i="3"/>
  <c r="AE38" i="3"/>
  <c r="Y20" i="3"/>
  <c r="AE33" i="3"/>
  <c r="AC36" i="3"/>
  <c r="Y7" i="3"/>
  <c r="T24" i="3"/>
  <c r="AE22" i="3"/>
  <c r="Y42" i="3"/>
  <c r="AE17" i="3"/>
  <c r="AC9" i="3"/>
  <c r="Y21" i="3"/>
  <c r="T22" i="3"/>
  <c r="AE34" i="3"/>
  <c r="Y17" i="3"/>
  <c r="AE29" i="3"/>
  <c r="AC28" i="3"/>
  <c r="AE18" i="3"/>
  <c r="Y33" i="3"/>
  <c r="AE13" i="3"/>
  <c r="AE32" i="3"/>
  <c r="T38" i="3"/>
  <c r="AE24" i="3"/>
  <c r="T23" i="3"/>
  <c r="T15" i="3"/>
  <c r="AD40" i="3"/>
  <c r="AE39" i="3"/>
  <c r="T39" i="3"/>
  <c r="AD36" i="3"/>
  <c r="AE35" i="3"/>
  <c r="T30" i="3"/>
  <c r="AD32" i="3"/>
  <c r="AE31" i="3"/>
  <c r="T36" i="3"/>
  <c r="AD28" i="3"/>
  <c r="AE27" i="3"/>
  <c r="T28" i="3"/>
  <c r="AD24" i="3"/>
  <c r="AE23" i="3"/>
  <c r="T13" i="3"/>
  <c r="AD20" i="3"/>
  <c r="AE19" i="3"/>
  <c r="T34" i="3"/>
  <c r="AD16" i="3"/>
  <c r="AE15" i="3"/>
  <c r="T9" i="3"/>
  <c r="AD12" i="3"/>
  <c r="AE11" i="3"/>
  <c r="T18" i="3"/>
  <c r="AD8" i="3"/>
  <c r="AE40" i="3"/>
  <c r="T37" i="3"/>
  <c r="AC32" i="3"/>
  <c r="AC41" i="3"/>
  <c r="AC16" i="3"/>
  <c r="AC11" i="3"/>
  <c r="AC12" i="3"/>
  <c r="AC27" i="3"/>
  <c r="AE36" i="3"/>
  <c r="AE28" i="3"/>
  <c r="AE20" i="3"/>
  <c r="AE16" i="3"/>
  <c r="AE12" i="3"/>
  <c r="R43" i="3"/>
  <c r="M43" i="3"/>
  <c r="S43" i="3"/>
  <c r="U43" i="3"/>
  <c r="AD43" i="3" s="1"/>
  <c r="V43" i="3"/>
  <c r="W43" i="3"/>
  <c r="X43" i="3"/>
  <c r="W80" i="1" l="1"/>
  <c r="W34" i="1"/>
  <c r="S60" i="1"/>
  <c r="U115" i="1"/>
  <c r="S115" i="1" s="1"/>
  <c r="S132" i="1"/>
  <c r="U80" i="1"/>
  <c r="S80" i="1" s="1"/>
  <c r="W45" i="1"/>
  <c r="AI132" i="1"/>
  <c r="U124" i="1"/>
  <c r="S124" i="1" s="1"/>
  <c r="S134" i="1"/>
  <c r="W42" i="1"/>
  <c r="W17" i="1"/>
  <c r="U134" i="1"/>
  <c r="W134" i="1"/>
  <c r="W37" i="1"/>
  <c r="U52" i="1"/>
  <c r="S52" i="1" s="1"/>
  <c r="W106" i="1"/>
  <c r="W174" i="1"/>
  <c r="W189" i="1"/>
  <c r="W132" i="1"/>
  <c r="W140" i="1"/>
  <c r="W85" i="1"/>
  <c r="W202" i="1"/>
  <c r="W173" i="1"/>
  <c r="W192" i="1"/>
  <c r="U68" i="1"/>
  <c r="S68" i="1" s="1"/>
  <c r="U93" i="1"/>
  <c r="S93" i="1" s="1"/>
  <c r="AI93" i="1"/>
  <c r="U110" i="1"/>
  <c r="S110" i="1" s="1"/>
  <c r="AI110" i="1"/>
  <c r="AI130" i="1"/>
  <c r="S130" i="1"/>
  <c r="U130" i="1"/>
  <c r="W181" i="1"/>
  <c r="W158" i="1"/>
  <c r="W212" i="1"/>
  <c r="AI212" i="1"/>
  <c r="W224" i="1"/>
  <c r="AI224" i="1"/>
  <c r="W168" i="1"/>
  <c r="AI168" i="1"/>
  <c r="W184" i="1"/>
  <c r="AI184" i="1"/>
  <c r="W200" i="1"/>
  <c r="AI200" i="1"/>
  <c r="W176" i="1"/>
  <c r="W29" i="1"/>
  <c r="W93" i="1"/>
  <c r="U20" i="1"/>
  <c r="S20" i="1" s="1"/>
  <c r="AI20" i="1"/>
  <c r="U144" i="1"/>
  <c r="S144" i="1" s="1"/>
  <c r="AI144" i="1"/>
  <c r="W169" i="1"/>
  <c r="W207" i="1"/>
  <c r="W162" i="1"/>
  <c r="W193" i="1"/>
  <c r="W172" i="1"/>
  <c r="AI172" i="1"/>
  <c r="W188" i="1"/>
  <c r="AI188" i="1"/>
  <c r="AI241" i="1"/>
  <c r="U22" i="1"/>
  <c r="S22" i="1" s="1"/>
  <c r="W178" i="1"/>
  <c r="W144" i="1"/>
  <c r="W166" i="1"/>
  <c r="W194" i="1"/>
  <c r="U35" i="1"/>
  <c r="S35" i="1" s="1"/>
  <c r="AI35" i="1"/>
  <c r="U19" i="1"/>
  <c r="S19" i="1" s="1"/>
  <c r="AI19" i="1"/>
  <c r="AI51" i="1"/>
  <c r="U51" i="1"/>
  <c r="S51" i="1" s="1"/>
  <c r="W19" i="1"/>
  <c r="W51" i="1"/>
  <c r="U23" i="1"/>
  <c r="S23" i="1" s="1"/>
  <c r="AI23" i="1"/>
  <c r="U43" i="1"/>
  <c r="S43" i="1" s="1"/>
  <c r="AI43" i="1"/>
  <c r="U27" i="1"/>
  <c r="S27" i="1"/>
  <c r="AI27" i="1"/>
  <c r="W27" i="1"/>
  <c r="W35" i="1"/>
  <c r="U62" i="1"/>
  <c r="S62" i="1" s="1"/>
  <c r="AI62" i="1"/>
  <c r="W23" i="1"/>
  <c r="U65" i="1"/>
  <c r="S65" i="1" s="1"/>
  <c r="AI65" i="1"/>
  <c r="U61" i="1"/>
  <c r="S61" i="1" s="1"/>
  <c r="AI61" i="1"/>
  <c r="AI84" i="1"/>
  <c r="U84" i="1"/>
  <c r="S84" i="1" s="1"/>
  <c r="AI92" i="1"/>
  <c r="U92" i="1"/>
  <c r="S92" i="1" s="1"/>
  <c r="AI100" i="1"/>
  <c r="U100" i="1"/>
  <c r="S100" i="1" s="1"/>
  <c r="AI109" i="1"/>
  <c r="U109" i="1"/>
  <c r="S109" i="1" s="1"/>
  <c r="AI117" i="1"/>
  <c r="U117" i="1"/>
  <c r="S117" i="1" s="1"/>
  <c r="W61" i="1"/>
  <c r="W92" i="1"/>
  <c r="W62" i="1"/>
  <c r="W100" i="1"/>
  <c r="AI207" i="1"/>
  <c r="U176" i="1"/>
  <c r="S176" i="1" s="1"/>
  <c r="AI223" i="1"/>
  <c r="U192" i="1"/>
  <c r="S192" i="1" s="1"/>
  <c r="U217" i="1"/>
  <c r="S217" i="1" s="1"/>
  <c r="AI239" i="1"/>
  <c r="U66" i="1"/>
  <c r="S66" i="1" s="1"/>
  <c r="AI66" i="1"/>
  <c r="U15" i="1"/>
  <c r="S15" i="1" s="1"/>
  <c r="AI15" i="1"/>
  <c r="U73" i="1"/>
  <c r="S73" i="1" s="1"/>
  <c r="AI73" i="1"/>
  <c r="AI141" i="1"/>
  <c r="U141" i="1"/>
  <c r="S141" i="1" s="1"/>
  <c r="AI165" i="1"/>
  <c r="U212" i="1"/>
  <c r="S212" i="1" s="1"/>
  <c r="AI211" i="1"/>
  <c r="U180" i="1"/>
  <c r="S180" i="1" s="1"/>
  <c r="AI227" i="1"/>
  <c r="U196" i="1"/>
  <c r="S196" i="1" s="1"/>
  <c r="U221" i="1"/>
  <c r="S221" i="1" s="1"/>
  <c r="AI243" i="1"/>
  <c r="U31" i="1"/>
  <c r="S31" i="1" s="1"/>
  <c r="AI31" i="1"/>
  <c r="U69" i="1"/>
  <c r="S69" i="1" s="1"/>
  <c r="AI69" i="1"/>
  <c r="W66" i="1"/>
  <c r="AI125" i="1"/>
  <c r="U125" i="1"/>
  <c r="S125" i="1" s="1"/>
  <c r="W31" i="1"/>
  <c r="U47" i="1"/>
  <c r="S47" i="1" s="1"/>
  <c r="AI47" i="1"/>
  <c r="U54" i="1"/>
  <c r="S54" i="1" s="1"/>
  <c r="AI54" i="1"/>
  <c r="W54" i="1"/>
  <c r="U70" i="1"/>
  <c r="S70" i="1" s="1"/>
  <c r="AI70" i="1"/>
  <c r="U78" i="1"/>
  <c r="S78" i="1" s="1"/>
  <c r="AI78" i="1"/>
  <c r="W43" i="1"/>
  <c r="W65" i="1"/>
  <c r="U39" i="1"/>
  <c r="S39" i="1" s="1"/>
  <c r="AI39" i="1"/>
  <c r="U77" i="1"/>
  <c r="S77" i="1" s="1"/>
  <c r="AI77" i="1"/>
  <c r="AI88" i="1"/>
  <c r="U88" i="1"/>
  <c r="S88" i="1" s="1"/>
  <c r="AI96" i="1"/>
  <c r="U96" i="1"/>
  <c r="S96" i="1" s="1"/>
  <c r="AI105" i="1"/>
  <c r="U105" i="1"/>
  <c r="S105" i="1" s="1"/>
  <c r="AI113" i="1"/>
  <c r="U113" i="1"/>
  <c r="S113" i="1" s="1"/>
  <c r="U53" i="1"/>
  <c r="S53" i="1" s="1"/>
  <c r="AI53" i="1"/>
  <c r="W69" i="1"/>
  <c r="AI129" i="1"/>
  <c r="U129" i="1"/>
  <c r="S129" i="1" s="1"/>
  <c r="W84" i="1"/>
  <c r="W117" i="1"/>
  <c r="AI133" i="1"/>
  <c r="U133" i="1"/>
  <c r="S133" i="1" s="1"/>
  <c r="W105" i="1"/>
  <c r="W141" i="1"/>
  <c r="W133" i="1"/>
  <c r="AI199" i="1"/>
  <c r="U168" i="1"/>
  <c r="S168" i="1" s="1"/>
  <c r="AI215" i="1"/>
  <c r="U184" i="1"/>
  <c r="S184" i="1" s="1"/>
  <c r="AI231" i="1"/>
  <c r="U200" i="1"/>
  <c r="S200" i="1" s="1"/>
  <c r="AI242" i="1"/>
  <c r="U220" i="1"/>
  <c r="S220" i="1" s="1"/>
  <c r="W180" i="1"/>
  <c r="U58" i="1"/>
  <c r="S58" i="1" s="1"/>
  <c r="AI58" i="1"/>
  <c r="U74" i="1"/>
  <c r="S74" i="1" s="1"/>
  <c r="AI74" i="1"/>
  <c r="U57" i="1"/>
  <c r="S57" i="1" s="1"/>
  <c r="AI57" i="1"/>
  <c r="AI121" i="1"/>
  <c r="U121" i="1"/>
  <c r="S121" i="1" s="1"/>
  <c r="AI161" i="1"/>
  <c r="U208" i="1"/>
  <c r="S208" i="1" s="1"/>
  <c r="W58" i="1"/>
  <c r="W208" i="1"/>
  <c r="U224" i="1"/>
  <c r="S224" i="1" s="1"/>
  <c r="AI171" i="1"/>
  <c r="AI203" i="1"/>
  <c r="U172" i="1"/>
  <c r="S172" i="1" s="1"/>
  <c r="AI219" i="1"/>
  <c r="U188" i="1"/>
  <c r="S188" i="1" s="1"/>
  <c r="AI235" i="1"/>
  <c r="U241" i="1"/>
  <c r="S241" i="1" s="1"/>
  <c r="W220" i="1"/>
  <c r="W196" i="1"/>
  <c r="W221" i="1"/>
  <c r="AE43" i="3"/>
  <c r="Y43" i="3"/>
  <c r="T43" i="3"/>
  <c r="AC43" i="3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22" i="10"/>
  <c r="L22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AF13" i="1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3" i="10" l="1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G34" i="10" s="1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G35" i="10" s="1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G4" i="10"/>
  <c r="I23" i="10"/>
  <c r="G20" i="10"/>
  <c r="D25" i="10"/>
  <c r="K24" i="10"/>
  <c r="L24" i="10" s="1"/>
  <c r="G24" i="10" s="1"/>
  <c r="I34" i="10"/>
  <c r="I22" i="10"/>
  <c r="I18" i="10"/>
  <c r="I16" i="10"/>
  <c r="I14" i="10"/>
  <c r="G3" i="10"/>
  <c r="H34" i="10"/>
  <c r="G2" i="10"/>
  <c r="G19" i="10"/>
  <c r="H35" i="10"/>
  <c r="G16" i="10"/>
  <c r="G22" i="10"/>
  <c r="G6" i="10"/>
  <c r="G12" i="10"/>
  <c r="K7" i="10"/>
  <c r="L7" i="10" s="1"/>
  <c r="H7" i="10" s="1"/>
  <c r="D8" i="10"/>
  <c r="G15" i="10"/>
  <c r="G14" i="10"/>
  <c r="G17" i="10"/>
  <c r="G13" i="10"/>
  <c r="G23" i="10"/>
  <c r="G18" i="10"/>
  <c r="G5" i="10"/>
  <c r="G21" i="10"/>
  <c r="K13" i="1"/>
  <c r="M13" i="1"/>
  <c r="N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G7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C94" i="9" s="1"/>
  <c r="B95" i="9"/>
  <c r="B96" i="9"/>
  <c r="C96" i="9" s="1"/>
  <c r="B97" i="9"/>
  <c r="B98" i="9"/>
  <c r="C98" i="9" s="1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C114" i="9"/>
  <c r="B115" i="9"/>
  <c r="B116" i="9"/>
  <c r="B117" i="9"/>
  <c r="B118" i="9"/>
  <c r="C118" i="9" s="1"/>
  <c r="B119" i="9"/>
  <c r="B120" i="9"/>
  <c r="C120" i="9" s="1"/>
  <c r="B121" i="9"/>
  <c r="B122" i="9"/>
  <c r="C122" i="9" s="1"/>
  <c r="B123" i="9"/>
  <c r="B124" i="9"/>
  <c r="B125" i="9"/>
  <c r="B126" i="9"/>
  <c r="B127" i="9"/>
  <c r="B128" i="9"/>
  <c r="C128" i="9" s="1"/>
  <c r="B129" i="9"/>
  <c r="B130" i="9"/>
  <c r="G25" i="10" l="1"/>
  <c r="H25" i="10"/>
  <c r="L9" i="10"/>
  <c r="H9" i="10" s="1"/>
  <c r="I9" i="10"/>
  <c r="L26" i="10"/>
  <c r="I26" i="10"/>
  <c r="G8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G9" i="10"/>
  <c r="L10" i="10"/>
  <c r="H10" i="10" s="1"/>
  <c r="I10" i="10"/>
  <c r="L27" i="10"/>
  <c r="I27" i="10"/>
  <c r="G26" i="10"/>
  <c r="H26" i="10"/>
  <c r="B87" i="9"/>
  <c r="B88" i="9"/>
  <c r="B89" i="9"/>
  <c r="B90" i="9"/>
  <c r="B91" i="9"/>
  <c r="B92" i="9"/>
  <c r="G11" i="10" l="1"/>
  <c r="G10" i="10"/>
  <c r="H27" i="10"/>
  <c r="G27" i="10"/>
  <c r="D30" i="10"/>
  <c r="K29" i="10"/>
  <c r="L28" i="10"/>
  <c r="I28" i="10"/>
  <c r="C88" i="9"/>
  <c r="C92" i="9"/>
  <c r="C93" i="9"/>
  <c r="C90" i="9"/>
  <c r="C89" i="9"/>
  <c r="C91" i="9"/>
  <c r="H28" i="10" l="1"/>
  <c r="G28" i="10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G29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G30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G31" i="10"/>
  <c r="H31" i="10"/>
  <c r="L32" i="10"/>
  <c r="I32" i="10"/>
  <c r="C61" i="9"/>
  <c r="C57" i="9"/>
  <c r="C59" i="9"/>
  <c r="C62" i="9"/>
  <c r="C60" i="9"/>
  <c r="C58" i="9"/>
  <c r="C56" i="9"/>
  <c r="H32" i="10" l="1"/>
  <c r="G32" i="10"/>
  <c r="G33" i="10"/>
  <c r="H33" i="10"/>
  <c r="B50" i="9"/>
  <c r="B51" i="9"/>
  <c r="B52" i="9"/>
  <c r="B53" i="9"/>
  <c r="B54" i="9"/>
  <c r="C52" i="9" l="1"/>
  <c r="C54" i="9"/>
  <c r="C55" i="9"/>
  <c r="C53" i="9"/>
  <c r="C51" i="9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V13" i="1" l="1"/>
  <c r="AN13" i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N27" i="3" s="1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N22" i="3" s="1"/>
  <c r="G38" i="4"/>
  <c r="G39" i="4"/>
  <c r="G40" i="4"/>
  <c r="N10" i="3" s="1"/>
  <c r="G41" i="4"/>
  <c r="G42" i="4"/>
  <c r="G43" i="4"/>
  <c r="G44" i="4"/>
  <c r="G45" i="4"/>
  <c r="N18" i="3" s="1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N12" i="3" s="1"/>
  <c r="G63" i="4"/>
  <c r="G64" i="4"/>
  <c r="G65" i="4"/>
  <c r="N21" i="3" s="1"/>
  <c r="G66" i="4"/>
  <c r="G67" i="4"/>
  <c r="G68" i="4"/>
  <c r="N33" i="3" s="1"/>
  <c r="G69" i="4"/>
  <c r="G70" i="4"/>
  <c r="G71" i="4"/>
  <c r="G72" i="4"/>
  <c r="G73" i="4"/>
  <c r="G74" i="4"/>
  <c r="G75" i="4"/>
  <c r="G76" i="4"/>
  <c r="G77" i="4"/>
  <c r="N9" i="3" s="1"/>
  <c r="G78" i="4"/>
  <c r="G79" i="4"/>
  <c r="G80" i="4"/>
  <c r="G81" i="4"/>
  <c r="G82" i="4"/>
  <c r="N31" i="3" s="1"/>
  <c r="G83" i="4"/>
  <c r="G84" i="4"/>
  <c r="G85" i="4"/>
  <c r="N11" i="3" s="1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N42" i="3" s="1"/>
  <c r="G102" i="4"/>
  <c r="G103" i="4"/>
  <c r="G104" i="4"/>
  <c r="G105" i="4"/>
  <c r="G106" i="4"/>
  <c r="G107" i="4"/>
  <c r="G108" i="4"/>
  <c r="G109" i="4"/>
  <c r="G110" i="4"/>
  <c r="N34" i="3" s="1"/>
  <c r="G111" i="4"/>
  <c r="G112" i="4"/>
  <c r="G113" i="4"/>
  <c r="G114" i="4"/>
  <c r="G115" i="4"/>
  <c r="G116" i="4"/>
  <c r="G117" i="4"/>
  <c r="G118" i="4"/>
  <c r="G119" i="4"/>
  <c r="G120" i="4"/>
  <c r="G121" i="4"/>
  <c r="N16" i="3" s="1"/>
  <c r="G122" i="4"/>
  <c r="G123" i="4"/>
  <c r="N19" i="3" s="1"/>
  <c r="G124" i="4"/>
  <c r="G125" i="4"/>
  <c r="G126" i="4"/>
  <c r="G127" i="4"/>
  <c r="G128" i="4"/>
  <c r="G129" i="4"/>
  <c r="G130" i="4"/>
  <c r="G131" i="4"/>
  <c r="N35" i="3" s="1"/>
  <c r="G132" i="4"/>
  <c r="G133" i="4"/>
  <c r="G134" i="4"/>
  <c r="G135" i="4"/>
  <c r="G136" i="4"/>
  <c r="G137" i="4"/>
  <c r="G138" i="4"/>
  <c r="G139" i="4"/>
  <c r="G140" i="4"/>
  <c r="N28" i="3" s="1"/>
  <c r="G141" i="4"/>
  <c r="G142" i="4"/>
  <c r="G143" i="4"/>
  <c r="G144" i="4"/>
  <c r="G145" i="4"/>
  <c r="G146" i="4"/>
  <c r="G147" i="4"/>
  <c r="G148" i="4"/>
  <c r="G149" i="4"/>
  <c r="N41" i="3" s="1"/>
  <c r="G150" i="4"/>
  <c r="N17" i="3" s="1"/>
  <c r="G151" i="4"/>
  <c r="N7" i="3" s="1"/>
  <c r="G152" i="4"/>
  <c r="G153" i="4"/>
  <c r="G154" i="4"/>
  <c r="G155" i="4"/>
  <c r="N36" i="3" s="1"/>
  <c r="G156" i="4"/>
  <c r="G157" i="4"/>
  <c r="G158" i="4"/>
  <c r="G159" i="4"/>
  <c r="G160" i="4"/>
  <c r="G161" i="4"/>
  <c r="G162" i="4"/>
  <c r="N29" i="3" s="1"/>
  <c r="G163" i="4"/>
  <c r="G164" i="4"/>
  <c r="N20" i="3" s="1"/>
  <c r="G165" i="4"/>
  <c r="G166" i="4"/>
  <c r="N30" i="3" s="1"/>
  <c r="G167" i="4"/>
  <c r="N38" i="3" s="1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N32" i="3" s="1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N25" i="3" s="1"/>
  <c r="G196" i="4"/>
  <c r="G197" i="4"/>
  <c r="G198" i="4"/>
  <c r="G199" i="4"/>
  <c r="G200" i="4"/>
  <c r="G201" i="4"/>
  <c r="G202" i="4"/>
  <c r="G203" i="4"/>
  <c r="N40" i="3" s="1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N39" i="3" s="1"/>
  <c r="G219" i="4"/>
  <c r="G220" i="4"/>
  <c r="G221" i="4"/>
  <c r="N37" i="3" s="1"/>
  <c r="G222" i="4"/>
  <c r="G223" i="4"/>
  <c r="G224" i="4"/>
  <c r="N8" i="3" s="1"/>
  <c r="G225" i="4"/>
  <c r="G226" i="4"/>
  <c r="G227" i="4"/>
  <c r="G228" i="4"/>
  <c r="G229" i="4"/>
  <c r="N26" i="3" s="1"/>
  <c r="G230" i="4"/>
  <c r="G231" i="4"/>
  <c r="G232" i="4"/>
  <c r="G233" i="4"/>
  <c r="G234" i="4"/>
  <c r="G235" i="4"/>
  <c r="G236" i="4"/>
  <c r="G237" i="4"/>
  <c r="G238" i="4"/>
  <c r="N15" i="3" s="1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3" i="3" l="1"/>
  <c r="N23" i="3"/>
  <c r="N24" i="3"/>
  <c r="N14" i="3"/>
  <c r="N43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B4" i="6"/>
  <c r="H3" i="6"/>
  <c r="J3" i="6"/>
  <c r="G3" i="6"/>
  <c r="I4" i="6" l="1"/>
  <c r="F4" i="6"/>
  <c r="H4" i="6"/>
  <c r="J4" i="6"/>
  <c r="G4" i="6"/>
  <c r="B5" i="6"/>
  <c r="I5" i="6" l="1"/>
  <c r="F5" i="6"/>
  <c r="J5" i="6"/>
  <c r="H5" i="6"/>
  <c r="G5" i="6"/>
  <c r="B6" i="6"/>
  <c r="I6" i="6" l="1"/>
  <c r="F6" i="6"/>
  <c r="B7" i="6"/>
  <c r="G6" i="6"/>
  <c r="H6" i="6"/>
  <c r="J6" i="6"/>
  <c r="I7" i="6" l="1"/>
  <c r="F7" i="6"/>
  <c r="B8" i="6"/>
  <c r="H7" i="6"/>
  <c r="J7" i="6"/>
  <c r="G7" i="6"/>
  <c r="I8" i="6" l="1"/>
  <c r="F8" i="6"/>
  <c r="B9" i="6"/>
  <c r="H8" i="6"/>
  <c r="J8" i="6"/>
  <c r="G8" i="6"/>
  <c r="I9" i="6" l="1"/>
  <c r="F9" i="6"/>
  <c r="G9" i="6"/>
  <c r="J9" i="6"/>
  <c r="H9" i="6"/>
  <c r="B10" i="6"/>
  <c r="I10" i="6" l="1"/>
  <c r="F10" i="6"/>
  <c r="J10" i="6"/>
  <c r="H10" i="6"/>
  <c r="G10" i="6"/>
  <c r="B11" i="6"/>
  <c r="I11" i="6" l="1"/>
  <c r="F11" i="6"/>
  <c r="H11" i="6"/>
  <c r="G11" i="6"/>
  <c r="J11" i="6"/>
  <c r="B12" i="6"/>
  <c r="I12" i="6" l="1"/>
  <c r="F12" i="6"/>
  <c r="B13" i="6"/>
  <c r="G12" i="6"/>
  <c r="H12" i="6"/>
  <c r="J12" i="6"/>
  <c r="I13" i="6" l="1"/>
  <c r="F13" i="6"/>
  <c r="J13" i="6"/>
  <c r="H13" i="6"/>
  <c r="G13" i="6"/>
  <c r="B14" i="6"/>
  <c r="I14" i="6" l="1"/>
  <c r="F14" i="6"/>
  <c r="H14" i="6"/>
  <c r="J14" i="6"/>
  <c r="G14" i="6"/>
  <c r="B15" i="6"/>
  <c r="I15" i="6" l="1"/>
  <c r="F15" i="6"/>
  <c r="H15" i="6"/>
  <c r="J15" i="6"/>
  <c r="G15" i="6"/>
  <c r="B16" i="6"/>
  <c r="I16" i="6" l="1"/>
  <c r="F16" i="6"/>
  <c r="H16" i="6"/>
  <c r="J16" i="6"/>
  <c r="G16" i="6"/>
  <c r="B17" i="6"/>
  <c r="I17" i="6" l="1"/>
  <c r="F17" i="6"/>
  <c r="G17" i="6"/>
  <c r="H17" i="6"/>
  <c r="J17" i="6"/>
  <c r="B18" i="6"/>
  <c r="I18" i="6" l="1"/>
  <c r="F18" i="6"/>
  <c r="B19" i="6"/>
  <c r="J18" i="6"/>
  <c r="G18" i="6"/>
  <c r="H18" i="6"/>
  <c r="I19" i="6" l="1"/>
  <c r="F19" i="6"/>
  <c r="B20" i="6"/>
  <c r="J19" i="6"/>
  <c r="G19" i="6"/>
  <c r="H19" i="6"/>
  <c r="I20" i="6" l="1"/>
  <c r="F20" i="6"/>
  <c r="H20" i="6"/>
  <c r="J20" i="6"/>
  <c r="G20" i="6"/>
  <c r="B21" i="6"/>
  <c r="I21" i="6" l="1"/>
  <c r="F21" i="6"/>
  <c r="B22" i="6"/>
  <c r="G21" i="6"/>
  <c r="J21" i="6"/>
  <c r="H21" i="6"/>
  <c r="I22" i="6" l="1"/>
  <c r="F22" i="6"/>
  <c r="G22" i="6"/>
  <c r="H22" i="6"/>
  <c r="J22" i="6"/>
  <c r="B23" i="6"/>
  <c r="I23" i="6" l="1"/>
  <c r="F23" i="6"/>
  <c r="J23" i="6"/>
  <c r="G23" i="6"/>
  <c r="H23" i="6"/>
  <c r="B24" i="6"/>
  <c r="I24" i="6" l="1"/>
  <c r="F24" i="6"/>
  <c r="G24" i="6"/>
  <c r="H24" i="6"/>
  <c r="J24" i="6"/>
  <c r="B25" i="6"/>
  <c r="I25" i="6" l="1"/>
  <c r="F25" i="6"/>
  <c r="B26" i="6"/>
  <c r="J25" i="6"/>
  <c r="H25" i="6"/>
  <c r="G25" i="6"/>
  <c r="I26" i="6" l="1"/>
  <c r="F26" i="6"/>
  <c r="J26" i="6"/>
  <c r="G26" i="6"/>
  <c r="H26" i="6"/>
  <c r="B27" i="6"/>
  <c r="I27" i="6" l="1"/>
  <c r="F27" i="6"/>
  <c r="B28" i="6"/>
  <c r="G27" i="6"/>
  <c r="J27" i="6"/>
  <c r="H27" i="6"/>
  <c r="I28" i="6" l="1"/>
  <c r="F28" i="6"/>
  <c r="G28" i="6"/>
  <c r="J28" i="6"/>
  <c r="H28" i="6"/>
  <c r="B29" i="6"/>
  <c r="I29" i="6" l="1"/>
  <c r="F29" i="6"/>
  <c r="B30" i="6"/>
  <c r="G29" i="6"/>
  <c r="J29" i="6"/>
  <c r="H29" i="6"/>
  <c r="I30" i="6" l="1"/>
  <c r="F30" i="6"/>
  <c r="G30" i="6"/>
  <c r="H30" i="6"/>
  <c r="J30" i="6"/>
  <c r="B31" i="6"/>
  <c r="I31" i="6" l="1"/>
  <c r="F31" i="6"/>
  <c r="B32" i="6"/>
  <c r="G31" i="6"/>
  <c r="H31" i="6"/>
  <c r="J31" i="6"/>
  <c r="I32" i="6" l="1"/>
  <c r="F32" i="6"/>
  <c r="G32" i="6"/>
  <c r="H32" i="6"/>
  <c r="J32" i="6"/>
  <c r="B33" i="6"/>
  <c r="I33" i="6" l="1"/>
  <c r="F33" i="6"/>
  <c r="G33" i="6"/>
  <c r="H33" i="6"/>
  <c r="J33" i="6"/>
  <c r="B34" i="6"/>
  <c r="I34" i="6" l="1"/>
  <c r="F34" i="6"/>
  <c r="B35" i="6"/>
  <c r="J34" i="6"/>
  <c r="G34" i="6"/>
  <c r="H34" i="6"/>
  <c r="I35" i="6" l="1"/>
  <c r="F35" i="6"/>
  <c r="B36" i="6"/>
  <c r="J35" i="6"/>
  <c r="G35" i="6"/>
  <c r="H35" i="6"/>
  <c r="I36" i="6" l="1"/>
  <c r="F36" i="6"/>
  <c r="H36" i="6"/>
  <c r="G36" i="6"/>
  <c r="J36" i="6"/>
  <c r="B37" i="6"/>
  <c r="I37" i="6" l="1"/>
  <c r="F37" i="6"/>
  <c r="B38" i="6"/>
  <c r="G37" i="6"/>
  <c r="J37" i="6"/>
  <c r="H37" i="6"/>
  <c r="I38" i="6" l="1"/>
  <c r="F38" i="6"/>
  <c r="B39" i="6"/>
  <c r="J38" i="6"/>
  <c r="G38" i="6"/>
  <c r="H38" i="6"/>
  <c r="I39" i="6" l="1"/>
  <c r="F39" i="6"/>
  <c r="J39" i="6"/>
  <c r="G39" i="6"/>
  <c r="H39" i="6"/>
  <c r="B40" i="6"/>
  <c r="I40" i="6" l="1"/>
  <c r="F40" i="6"/>
  <c r="H40" i="6"/>
  <c r="J40" i="6"/>
  <c r="G40" i="6"/>
  <c r="B41" i="6"/>
  <c r="I41" i="6" l="1"/>
  <c r="F41" i="6"/>
  <c r="B42" i="6"/>
  <c r="J41" i="6"/>
  <c r="H41" i="6"/>
  <c r="G41" i="6"/>
  <c r="I42" i="6" l="1"/>
  <c r="F42" i="6"/>
  <c r="J42" i="6"/>
  <c r="G42" i="6"/>
  <c r="H42" i="6"/>
  <c r="B43" i="6"/>
  <c r="I43" i="6" l="1"/>
  <c r="F43" i="6"/>
  <c r="G43" i="6"/>
  <c r="H43" i="6"/>
  <c r="J43" i="6"/>
  <c r="B44" i="6"/>
  <c r="I44" i="6" l="1"/>
  <c r="F44" i="6"/>
  <c r="G44" i="6"/>
  <c r="H44" i="6"/>
  <c r="J44" i="6"/>
  <c r="B45" i="6"/>
  <c r="I45" i="6" l="1"/>
  <c r="F45" i="6"/>
  <c r="B46" i="6"/>
  <c r="J45" i="6"/>
  <c r="H45" i="6"/>
  <c r="G45" i="6"/>
  <c r="I46" i="6" l="1"/>
  <c r="F46" i="6"/>
  <c r="B47" i="6"/>
  <c r="J46" i="6"/>
  <c r="G46" i="6"/>
  <c r="H46" i="6"/>
  <c r="I47" i="6" l="1"/>
  <c r="F47" i="6"/>
  <c r="H47" i="6"/>
  <c r="G47" i="6"/>
  <c r="J47" i="6"/>
  <c r="B48" i="6"/>
  <c r="I48" i="6" l="1"/>
  <c r="F48" i="6"/>
  <c r="G48" i="6"/>
  <c r="H48" i="6"/>
  <c r="J48" i="6"/>
  <c r="B49" i="6"/>
  <c r="I49" i="6" l="1"/>
  <c r="F49" i="6"/>
  <c r="B50" i="6"/>
  <c r="J49" i="6"/>
  <c r="H49" i="6"/>
  <c r="G49" i="6"/>
  <c r="I50" i="6" l="1"/>
  <c r="F50" i="6"/>
  <c r="B51" i="6"/>
  <c r="J50" i="6"/>
  <c r="G50" i="6"/>
  <c r="H50" i="6"/>
  <c r="I51" i="6" l="1"/>
  <c r="F51" i="6"/>
  <c r="B52" i="6"/>
  <c r="J51" i="6"/>
  <c r="G51" i="6"/>
  <c r="H51" i="6"/>
  <c r="I52" i="6" l="1"/>
  <c r="F52" i="6"/>
  <c r="J52" i="6"/>
  <c r="H52" i="6"/>
  <c r="G52" i="6"/>
  <c r="B53" i="6"/>
  <c r="I53" i="6" l="1"/>
  <c r="F53" i="6"/>
  <c r="J53" i="6"/>
  <c r="H53" i="6"/>
  <c r="G53" i="6"/>
  <c r="B54" i="6"/>
  <c r="I54" i="6" l="1"/>
  <c r="F54" i="6"/>
  <c r="J54" i="6"/>
  <c r="G54" i="6"/>
  <c r="H54" i="6"/>
  <c r="B55" i="6"/>
  <c r="I55" i="6" l="1"/>
  <c r="F55" i="6"/>
  <c r="B56" i="6"/>
  <c r="G55" i="6"/>
  <c r="H55" i="6"/>
  <c r="J55" i="6"/>
  <c r="I56" i="6" l="1"/>
  <c r="F56" i="6"/>
  <c r="G56" i="6"/>
  <c r="H56" i="6"/>
  <c r="J56" i="6"/>
  <c r="B57" i="6"/>
  <c r="I57" i="6" l="1"/>
  <c r="F57" i="6"/>
  <c r="B58" i="6"/>
  <c r="J57" i="6"/>
  <c r="G57" i="6"/>
  <c r="H57" i="6"/>
  <c r="I58" i="6" l="1"/>
  <c r="F58" i="6"/>
  <c r="H58" i="6"/>
  <c r="G58" i="6"/>
  <c r="J58" i="6"/>
  <c r="B59" i="6"/>
  <c r="I59" i="6" l="1"/>
  <c r="F59" i="6"/>
  <c r="B60" i="6"/>
  <c r="H59" i="6"/>
  <c r="G59" i="6"/>
  <c r="J59" i="6"/>
  <c r="I60" i="6" l="1"/>
  <c r="F60" i="6"/>
  <c r="B61" i="6"/>
  <c r="J60" i="6"/>
  <c r="H60" i="6"/>
  <c r="G60" i="6"/>
  <c r="I61" i="6" l="1"/>
  <c r="F61" i="6"/>
  <c r="J61" i="6"/>
  <c r="H61" i="6"/>
  <c r="G61" i="6"/>
  <c r="B62" i="6"/>
  <c r="I62" i="6" l="1"/>
  <c r="F62" i="6"/>
  <c r="J62" i="6"/>
  <c r="H62" i="6"/>
  <c r="G62" i="6"/>
  <c r="B63" i="6"/>
  <c r="I63" i="6" l="1"/>
  <c r="F63" i="6"/>
  <c r="B64" i="6"/>
  <c r="J63" i="6"/>
  <c r="G63" i="6"/>
  <c r="H63" i="6"/>
  <c r="I64" i="6" l="1"/>
  <c r="F64" i="6"/>
  <c r="B65" i="6"/>
  <c r="G64" i="6"/>
  <c r="H64" i="6"/>
  <c r="J64" i="6"/>
  <c r="I65" i="6" l="1"/>
  <c r="F65" i="6"/>
  <c r="B66" i="6"/>
  <c r="J65" i="6"/>
  <c r="H65" i="6"/>
  <c r="G65" i="6"/>
  <c r="I66" i="6" l="1"/>
  <c r="F66" i="6"/>
  <c r="B67" i="6"/>
  <c r="H66" i="6"/>
  <c r="J66" i="6"/>
  <c r="G66" i="6"/>
  <c r="I67" i="6" l="1"/>
  <c r="F67" i="6"/>
  <c r="G67" i="6"/>
  <c r="H67" i="6"/>
  <c r="J67" i="6"/>
  <c r="B68" i="6"/>
  <c r="I68" i="6" l="1"/>
  <c r="F68" i="6"/>
  <c r="B69" i="6"/>
  <c r="G68" i="6"/>
  <c r="J68" i="6"/>
  <c r="H68" i="6"/>
  <c r="I69" i="6" l="1"/>
  <c r="F69" i="6"/>
  <c r="H69" i="6"/>
  <c r="J69" i="6"/>
  <c r="G69" i="6"/>
  <c r="B70" i="6"/>
  <c r="I70" i="6" l="1"/>
  <c r="F70" i="6"/>
  <c r="H70" i="6"/>
  <c r="G70" i="6"/>
  <c r="J70" i="6"/>
  <c r="B71" i="6"/>
  <c r="I71" i="6" l="1"/>
  <c r="F71" i="6"/>
  <c r="H71" i="6"/>
  <c r="G71" i="6"/>
  <c r="J71" i="6"/>
  <c r="B72" i="6"/>
  <c r="I72" i="6" l="1"/>
  <c r="F72" i="6"/>
  <c r="H72" i="6"/>
  <c r="J72" i="6"/>
  <c r="G72" i="6"/>
  <c r="B73" i="6"/>
  <c r="I73" i="6" l="1"/>
  <c r="F73" i="6"/>
  <c r="J73" i="6"/>
  <c r="G73" i="6"/>
  <c r="H73" i="6"/>
  <c r="B74" i="6"/>
  <c r="I74" i="6" l="1"/>
  <c r="F74" i="6"/>
  <c r="J74" i="6"/>
  <c r="H74" i="6"/>
  <c r="G74" i="6"/>
  <c r="B75" i="6"/>
  <c r="I75" i="6" l="1"/>
  <c r="F75" i="6"/>
  <c r="G75" i="6"/>
  <c r="H75" i="6"/>
  <c r="J75" i="6"/>
  <c r="B76" i="6"/>
  <c r="I76" i="6" l="1"/>
  <c r="F76" i="6"/>
  <c r="B77" i="6"/>
  <c r="J76" i="6"/>
  <c r="G76" i="6"/>
  <c r="H76" i="6"/>
  <c r="I77" i="6" l="1"/>
  <c r="F77" i="6"/>
  <c r="J77" i="6"/>
  <c r="H77" i="6"/>
  <c r="G77" i="6"/>
  <c r="B78" i="6"/>
  <c r="I78" i="6" l="1"/>
  <c r="F78" i="6"/>
  <c r="B79" i="6"/>
  <c r="J78" i="6"/>
  <c r="G78" i="6"/>
  <c r="H78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B82" i="6"/>
  <c r="J81" i="6"/>
  <c r="H81" i="6"/>
  <c r="G81" i="6"/>
  <c r="I82" i="6" l="1"/>
  <c r="F82" i="6"/>
  <c r="G82" i="6"/>
  <c r="H82" i="6"/>
  <c r="J82" i="6"/>
  <c r="B83" i="6"/>
  <c r="I83" i="6" l="1"/>
  <c r="F83" i="6"/>
  <c r="B84" i="6"/>
  <c r="J83" i="6"/>
  <c r="G83" i="6"/>
  <c r="H83" i="6"/>
  <c r="I84" i="6" l="1"/>
  <c r="F84" i="6"/>
  <c r="G84" i="6"/>
  <c r="H84" i="6"/>
  <c r="J84" i="6"/>
  <c r="B85" i="6"/>
  <c r="I85" i="6" l="1"/>
  <c r="F85" i="6"/>
  <c r="H85" i="6"/>
  <c r="G85" i="6"/>
  <c r="J85" i="6"/>
  <c r="B86" i="6"/>
  <c r="I86" i="6" l="1"/>
  <c r="F86" i="6"/>
  <c r="J86" i="6"/>
  <c r="H86" i="6"/>
  <c r="G86" i="6"/>
  <c r="B87" i="6"/>
  <c r="I87" i="6" l="1"/>
  <c r="F87" i="6"/>
  <c r="H87" i="6"/>
  <c r="G87" i="6"/>
  <c r="J87" i="6"/>
  <c r="B88" i="6"/>
  <c r="I88" i="6" l="1"/>
  <c r="F88" i="6"/>
  <c r="H88" i="6"/>
  <c r="G88" i="6"/>
  <c r="J88" i="6"/>
  <c r="B89" i="6"/>
  <c r="I89" i="6" l="1"/>
  <c r="F89" i="6"/>
  <c r="J89" i="6"/>
  <c r="G89" i="6"/>
  <c r="H89" i="6"/>
  <c r="B90" i="6"/>
  <c r="I90" i="6" l="1"/>
  <c r="F90" i="6"/>
  <c r="G90" i="6"/>
  <c r="H90" i="6"/>
  <c r="J90" i="6"/>
  <c r="B91" i="6"/>
  <c r="I91" i="6" l="1"/>
  <c r="F91" i="6"/>
  <c r="B92" i="6"/>
  <c r="H91" i="6"/>
  <c r="G91" i="6"/>
  <c r="J91" i="6"/>
  <c r="I92" i="6" l="1"/>
  <c r="F92" i="6"/>
  <c r="B93" i="6"/>
  <c r="J92" i="6"/>
  <c r="G92" i="6"/>
  <c r="H92" i="6"/>
  <c r="I93" i="6" l="1"/>
  <c r="F93" i="6"/>
  <c r="H93" i="6"/>
  <c r="G93" i="6"/>
  <c r="J93" i="6"/>
  <c r="B94" i="6"/>
  <c r="I94" i="6" l="1"/>
  <c r="F94" i="6"/>
  <c r="H94" i="6"/>
  <c r="J94" i="6"/>
  <c r="G94" i="6"/>
  <c r="B95" i="6"/>
  <c r="I95" i="6" l="1"/>
  <c r="F95" i="6"/>
  <c r="G95" i="6"/>
  <c r="J95" i="6"/>
  <c r="H95" i="6"/>
  <c r="B96" i="6"/>
  <c r="I96" i="6" l="1"/>
  <c r="F96" i="6"/>
  <c r="B97" i="6"/>
  <c r="H96" i="6"/>
  <c r="J96" i="6"/>
  <c r="G96" i="6"/>
  <c r="I97" i="6" l="1"/>
  <c r="F97" i="6"/>
  <c r="B98" i="6"/>
  <c r="J97" i="6"/>
  <c r="H97" i="6"/>
  <c r="G97" i="6"/>
  <c r="I98" i="6" l="1"/>
  <c r="F98" i="6"/>
  <c r="B100" i="6"/>
  <c r="B99" i="6"/>
  <c r="G98" i="6"/>
  <c r="H98" i="6"/>
  <c r="J98" i="6"/>
  <c r="I99" i="6" l="1"/>
  <c r="F99" i="6"/>
  <c r="I100" i="6"/>
  <c r="F100" i="6"/>
  <c r="G99" i="6"/>
  <c r="H99" i="6"/>
  <c r="J99" i="6"/>
  <c r="J100" i="6"/>
  <c r="G100" i="6"/>
  <c r="H10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<sst xmlns="http://schemas.openxmlformats.org/spreadsheetml/2006/main" count="2857" uniqueCount="1022">
  <si>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</si>
  <si>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</si>
  <si>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</si>
  <si>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</si>
  <si>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</si>
  <si>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</si>
  <si>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</si>
  <si>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</si>
  <si>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</si>
  <si>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</si>
  <si>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</si>
  <si>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</si>
  <si>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</si>
  <si>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</si>
  <si>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</si>
  <si>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</si>
  <si>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</si>
  <si>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</si>
  <si>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</si>
  <si>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</si>
  <si>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</si>
  <si>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</si>
  <si>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</si>
  <si>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</si>
  <si>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</si>
  <si>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</si>
  <si>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</si>
  <si>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</si>
  <si>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</si>
  <si>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</si>
  <si>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</si>
  <si>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</si>
  <si>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</si>
  <si>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</si>
  <si>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</si>
  <si>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</si>
  <si>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</si>
  <si>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</si>
  <si>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</si>
  <si>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</si>
  <si>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</si>
  <si>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</si>
  <si>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</si>
  <si>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</si>
  <si>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</si>
  <si>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</si>
  <si>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</si>
  <si>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</si>
  <si>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</si>
  <si>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</si>
  <si>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</si>
  <si>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</si>
  <si>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</si>
  <si>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</si>
  <si>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</si>
  <si>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</si>
  <si>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</si>
  <si>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</si>
  <si>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</si>
  <si>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</si>
  <si>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</si>
  <si>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</si>
  <si>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</si>
  <si>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</si>
  <si>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</si>
  <si>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</si>
  <si>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</si>
  <si>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</si>
  <si>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</si>
  <si>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</si>
  <si>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</si>
  <si>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</si>
  <si>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</si>
  <si>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</si>
  <si>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</si>
  <si>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</si>
  <si>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</si>
  <si>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</si>
  <si>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</si>
  <si>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</si>
  <si>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</si>
  <si>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</si>
  <si>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</si>
  <si>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</si>
  <si>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</si>
  <si>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</si>
  <si>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</si>
  <si>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</si>
  <si>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</si>
  <si>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</si>
  <si>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</si>
  <si>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</si>
  <si>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</si>
  <si>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</si>
  <si>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</si>
  <si>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</si>
  <si>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</si>
  <si>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</si>
  <si>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</si>
  <si>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</si>
  <si>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</si>
  <si>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</si>
  <si>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</si>
  <si>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</si>
  <si>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</si>
  <si>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</si>
  <si>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</si>
  <si>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</si>
  <si>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</si>
  <si>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</si>
  <si>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</si>
  <si>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</si>
  <si>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</si>
  <si>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</si>
  <si>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</si>
  <si>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</si>
  <si>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</si>
  <si>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</si>
  <si>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</si>
  <si>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</si>
  <si>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</si>
  <si>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</si>
  <si>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</si>
  <si>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</si>
  <si>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</si>
  <si>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</si>
  <si>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</si>
  <si>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</si>
  <si>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</si>
  <si>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</si>
  <si>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</si>
  <si>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</si>
  <si>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</si>
  <si>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</si>
  <si>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</si>
  <si>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</si>
  <si>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</si>
  <si>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</si>
  <si>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</si>
  <si>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</si>
  <si>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</si>
  <si>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</si>
  <si>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</si>
  <si>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</si>
  <si>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</si>
  <si>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</si>
  <si>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</si>
  <si>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</si>
  <si>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</si>
  <si>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</si>
  <si>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</si>
  <si>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</si>
  <si>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</si>
  <si>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</si>
  <si>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</si>
  <si>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</si>
  <si>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</si>
  <si>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</si>
  <si>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</si>
  <si>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</si>
  <si>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</si>
  <si>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</si>
  <si>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</si>
  <si>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</si>
  <si>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</si>
  <si>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</si>
  <si>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</si>
  <si>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</si>
  <si>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</si>
  <si>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</si>
  <si>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</si>
  <si>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</si>
  <si>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</si>
  <si>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</si>
  <si>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</si>
  <si>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</si>
  <si>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</si>
  <si>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</si>
  <si>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</si>
  <si>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</si>
  <si>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</si>
  <si>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</si>
  <si>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</si>
  <si>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</si>
  <si>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</si>
  <si>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</si>
  <si>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</si>
  <si>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</si>
  <si>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</si>
  <si>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</si>
  <si>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</si>
  <si>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</si>
  <si>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</si>
  <si>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</si>
  <si>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</si>
  <si>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</si>
  <si>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</si>
  <si>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</si>
  <si>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</si>
  <si>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</si>
  <si>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</si>
  <si>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</si>
  <si>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</si>
  <si>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</si>
  <si>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</si>
  <si>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</si>
  <si>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</si>
  <si>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</si>
  <si>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</si>
  <si>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HILLS</t>
  </si>
  <si>
    <t>DUSTIN</t>
  </si>
  <si>
    <t>rtdc.l.rtdc.4046:itc</t>
  </si>
  <si>
    <t>rtdc.l.rtdc.4045:itc</t>
  </si>
  <si>
    <t>Uncaught Wi-MAX GREP</t>
  </si>
  <si>
    <t>MCREYNOLDS</t>
  </si>
  <si>
    <t>KYLE</t>
  </si>
  <si>
    <t>204:451</t>
  </si>
  <si>
    <t>204:457</t>
  </si>
  <si>
    <t>204:460</t>
  </si>
  <si>
    <t>BROWN</t>
  </si>
  <si>
    <t>JACOB</t>
  </si>
  <si>
    <t>COMELLA</t>
  </si>
  <si>
    <t>JUSTIN</t>
  </si>
  <si>
    <t>204:453</t>
  </si>
  <si>
    <t>CHANDLER</t>
  </si>
  <si>
    <t>KELVIN</t>
  </si>
  <si>
    <t>204:446</t>
  </si>
  <si>
    <t>204:455</t>
  </si>
  <si>
    <t>204:139</t>
  </si>
  <si>
    <t>204:141</t>
  </si>
  <si>
    <t>204:440</t>
  </si>
  <si>
    <t>rtdc.l.rtdc.4012:itc</t>
  </si>
  <si>
    <t>204:156</t>
  </si>
  <si>
    <t>204:233310</t>
  </si>
  <si>
    <t>204:444</t>
  </si>
  <si>
    <t>204:147</t>
  </si>
  <si>
    <t>204:447</t>
  </si>
  <si>
    <t>204:466</t>
  </si>
  <si>
    <t>PERMANENT SPEED RESTRICTION</t>
  </si>
  <si>
    <t>Speed (6)</t>
  </si>
  <si>
    <t>YANG</t>
  </si>
  <si>
    <t>JAN</t>
  </si>
  <si>
    <t>DE.1.0.9.0</t>
  </si>
  <si>
    <t>204:458</t>
  </si>
  <si>
    <t>204:232994</t>
  </si>
  <si>
    <t>rtdc.l.rtdc.4050:itc</t>
  </si>
  <si>
    <t>rtdc.l.rtdc.4049:itc</t>
  </si>
  <si>
    <t>204:233314</t>
  </si>
  <si>
    <t>204:233297</t>
  </si>
  <si>
    <t>204:233289</t>
  </si>
  <si>
    <t>204:233304</t>
  </si>
  <si>
    <t>204:233299</t>
  </si>
  <si>
    <t>rtdc.l.rtdc.4013:itc</t>
  </si>
  <si>
    <t>242-23</t>
  </si>
  <si>
    <t>rtdc.l.rtdc.4014:itc</t>
  </si>
  <si>
    <t>60-23</t>
  </si>
  <si>
    <t>81-23</t>
  </si>
  <si>
    <t>309-23</t>
  </si>
  <si>
    <t>244-23</t>
  </si>
  <si>
    <t>311-23</t>
  </si>
  <si>
    <t>313-23</t>
  </si>
  <si>
    <t>204:233312</t>
  </si>
  <si>
    <t>204:467</t>
  </si>
  <si>
    <t>204:473</t>
  </si>
  <si>
    <t>204:233000</t>
  </si>
  <si>
    <t>LOCKLEAR</t>
  </si>
  <si>
    <t>TRAVIS</t>
  </si>
  <si>
    <t>204:134</t>
  </si>
  <si>
    <t>204:233004</t>
  </si>
  <si>
    <t>204:442</t>
  </si>
  <si>
    <t>204:161</t>
  </si>
  <si>
    <t>rtdc.l.rtdc.4016:itc</t>
  </si>
  <si>
    <t>rtdc.l.rtdc.4015:itc</t>
  </si>
  <si>
    <t>204:233295</t>
  </si>
  <si>
    <t>204:232991</t>
  </si>
  <si>
    <t>204:449</t>
  </si>
  <si>
    <t>204:232971</t>
  </si>
  <si>
    <t>204:477</t>
  </si>
  <si>
    <t>rtdc.l.rtdc.4020:itc</t>
  </si>
  <si>
    <t>MOSES</t>
  </si>
  <si>
    <t>BRADLEY</t>
  </si>
  <si>
    <t>204:478</t>
  </si>
  <si>
    <t>204:232988</t>
  </si>
  <si>
    <t>204:232978</t>
  </si>
  <si>
    <t>204:469</t>
  </si>
  <si>
    <t>204:233303</t>
  </si>
  <si>
    <t>204:233291</t>
  </si>
  <si>
    <t>204:233006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</si>
  <si>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</si>
  <si>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</si>
  <si>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</si>
  <si>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</si>
  <si>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</si>
  <si>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</si>
  <si>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</si>
  <si>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</si>
  <si>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</si>
  <si>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</si>
  <si>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</si>
  <si>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</si>
  <si>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</si>
  <si>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</si>
  <si>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</si>
  <si>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</si>
  <si>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</si>
  <si>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</si>
  <si>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</si>
  <si>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</si>
  <si>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</si>
  <si>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</si>
  <si>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</si>
  <si>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</si>
  <si>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</si>
  <si>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</si>
  <si>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</si>
  <si>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</si>
  <si>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</si>
  <si>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</si>
  <si>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</si>
  <si>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</si>
  <si>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</si>
  <si>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</si>
  <si>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</si>
  <si>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</si>
  <si>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</si>
  <si>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</si>
  <si>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</si>
  <si>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</si>
  <si>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</si>
  <si>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</si>
  <si>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</si>
  <si>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</si>
  <si>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</si>
  <si>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</si>
  <si>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</si>
  <si>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</si>
  <si>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</si>
  <si>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</si>
  <si>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</si>
  <si>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</si>
  <si>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</si>
  <si>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</si>
  <si>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</si>
  <si>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</si>
  <si>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</si>
  <si>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</si>
  <si>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</si>
  <si>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</si>
  <si>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</si>
  <si>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</si>
  <si>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</si>
  <si>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</si>
  <si>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</si>
  <si>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</si>
  <si>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</si>
  <si>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</si>
  <si>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</si>
  <si>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</si>
  <si>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</si>
  <si>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</si>
  <si>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</si>
  <si>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</si>
  <si>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</si>
  <si>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</si>
  <si>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</si>
  <si>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</si>
  <si>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</si>
  <si>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</si>
  <si>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</si>
  <si>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</si>
  <si>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</si>
  <si>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</si>
  <si>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</si>
  <si>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</si>
  <si>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</si>
  <si>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</si>
  <si>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</si>
  <si>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</si>
  <si>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</si>
  <si>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</si>
  <si>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</si>
  <si>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</si>
  <si>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</si>
  <si>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</si>
  <si>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</si>
  <si>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</si>
  <si>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</si>
  <si>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</si>
  <si>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</si>
  <si>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</si>
  <si>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</si>
  <si>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</si>
  <si>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</si>
  <si>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</si>
  <si>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</si>
  <si>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</si>
  <si>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</si>
  <si>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</si>
  <si>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</si>
  <si>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</si>
  <si>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</si>
  <si>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</si>
  <si>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</si>
  <si>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</si>
  <si>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</si>
  <si>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</si>
  <si>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</si>
  <si>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</si>
  <si>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</si>
  <si>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</si>
  <si>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</si>
  <si>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</si>
  <si>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</si>
  <si>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</si>
  <si>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</si>
  <si>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</si>
  <si>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</si>
  <si>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</si>
  <si>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rtdc.l.rtdc.4019:itc</t>
  </si>
  <si>
    <t>rtdc.l.rtdc.4004:itc</t>
  </si>
  <si>
    <t>rtdc.l.rtdc.4003:itc</t>
  </si>
  <si>
    <t>JOHN</t>
  </si>
  <si>
    <t>204:232982</t>
  </si>
  <si>
    <t>204:143</t>
  </si>
  <si>
    <t>204:484</t>
  </si>
  <si>
    <t>rtdc.l.rtdc.4029:itc</t>
  </si>
  <si>
    <t>rtdc.l.rtdc.4010:itc</t>
  </si>
  <si>
    <t>rtdc.l.rtdc.4009:itc</t>
  </si>
  <si>
    <t>partly-cloudy-night</t>
  </si>
  <si>
    <t>Partly Cloudy</t>
  </si>
  <si>
    <t>partly-cloudy-day</t>
  </si>
  <si>
    <t>204:741</t>
  </si>
  <si>
    <t>204:160</t>
  </si>
  <si>
    <t>204:232993</t>
  </si>
  <si>
    <t>204:233013</t>
  </si>
  <si>
    <t>204:233300</t>
  </si>
  <si>
    <t>204:437</t>
  </si>
  <si>
    <t>204:232980</t>
  </si>
  <si>
    <t>204:232989</t>
  </si>
  <si>
    <t>300:58954</t>
  </si>
  <si>
    <t>204:232976</t>
  </si>
  <si>
    <t>204:471</t>
  </si>
  <si>
    <t>SIGNAL</t>
  </si>
  <si>
    <t>Signal based authority (5)</t>
  </si>
  <si>
    <t>rtdc.l.rtdc.4051:itc</t>
  </si>
  <si>
    <t>Y</t>
  </si>
  <si>
    <t>STARKS</t>
  </si>
  <si>
    <t>ANGELINA</t>
  </si>
  <si>
    <t>BONDS</t>
  </si>
  <si>
    <t>REYNALDO</t>
  </si>
  <si>
    <t>YORK</t>
  </si>
  <si>
    <t>EDGAR</t>
  </si>
  <si>
    <t>ROCHA</t>
  </si>
  <si>
    <t>YAOTL</t>
  </si>
  <si>
    <t>CLARK</t>
  </si>
  <si>
    <t>KATHLEEN</t>
  </si>
  <si>
    <t>LEVERE</t>
  </si>
  <si>
    <t>CRAIG</t>
  </si>
  <si>
    <t>STORY</t>
  </si>
  <si>
    <t>SAMANTHA</t>
  </si>
  <si>
    <t>204:233307</t>
  </si>
  <si>
    <t>204:475</t>
  </si>
  <si>
    <t>204:232981</t>
  </si>
  <si>
    <t>204:233308</t>
  </si>
  <si>
    <t>204:232974</t>
  </si>
  <si>
    <t>204:233019</t>
  </si>
  <si>
    <t>204:233336</t>
  </si>
  <si>
    <t>204:233030</t>
  </si>
  <si>
    <t>300:23302</t>
  </si>
  <si>
    <t>300:23310</t>
  </si>
  <si>
    <t>300:58598</t>
  </si>
  <si>
    <t>204:682</t>
  </si>
  <si>
    <t>204:960</t>
  </si>
  <si>
    <t>300:58950</t>
  </si>
  <si>
    <t>:.+((SYSTEM_STATE.+slice.+state.+changed )|(ment ac)|(multiple cpu faults)|(system.+state.+changed )|(\[timeout)|(PRM\|1\|D)|(kpr)|(kdp)|(\|lc)|(penalty))</t>
  </si>
  <si>
    <t>204:678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</si>
  <si>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</si>
  <si>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</si>
  <si>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</si>
  <si>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</si>
  <si>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</si>
  <si>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</si>
  <si>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</si>
  <si>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</si>
  <si>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</si>
  <si>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</si>
  <si>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</si>
  <si>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</si>
  <si>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</si>
  <si>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</si>
  <si>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</si>
  <si>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</si>
  <si>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</si>
  <si>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</si>
  <si>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</si>
  <si>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</si>
  <si>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</si>
  <si>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</si>
  <si>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</si>
  <si>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rtdc.l.rtdc.4064:itc</t>
  </si>
  <si>
    <t>rtdc.l.rtdc.4041:itc</t>
  </si>
  <si>
    <t>rtdc.l.rtdc.4042:itc</t>
  </si>
  <si>
    <t>rtdc.l.rtdc.4039:itc</t>
  </si>
  <si>
    <t>rtdc.l.rtdc.4023:itc</t>
  </si>
  <si>
    <t>rtdc.l.rtdc.4063:itc</t>
  </si>
  <si>
    <t>YOUNG</t>
  </si>
  <si>
    <t>ELIZABETH</t>
  </si>
  <si>
    <t>GEBRETEKLE</t>
  </si>
  <si>
    <t>DAGNEW</t>
  </si>
  <si>
    <t>COOLAHAN</t>
  </si>
  <si>
    <t>rtdc.l.rtdc.4040:itc</t>
  </si>
  <si>
    <t>YANAI</t>
  </si>
  <si>
    <t>IAN</t>
  </si>
  <si>
    <t>LOZA</t>
  </si>
  <si>
    <t>FIDEL</t>
  </si>
  <si>
    <t>BEAM</t>
  </si>
  <si>
    <t>ROSS</t>
  </si>
  <si>
    <t>DE LA ROSA</t>
  </si>
  <si>
    <t>ALEX</t>
  </si>
  <si>
    <t>HELVIE</t>
  </si>
  <si>
    <t>ADAM</t>
  </si>
  <si>
    <t>rtdc.l.rtdc.4024:itc</t>
  </si>
  <si>
    <t>STRICKLAND</t>
  </si>
  <si>
    <t>EVAN</t>
  </si>
  <si>
    <t>BRUDER</t>
  </si>
  <si>
    <t>RICHARD</t>
  </si>
  <si>
    <t>SWANSON</t>
  </si>
  <si>
    <t>BRYCE</t>
  </si>
  <si>
    <t>NELSON</t>
  </si>
  <si>
    <t>ARIANE</t>
  </si>
  <si>
    <t>WHITED</t>
  </si>
  <si>
    <t>80-08</t>
  </si>
  <si>
    <t>81-08</t>
  </si>
  <si>
    <t>315-08</t>
  </si>
  <si>
    <t>242-08</t>
  </si>
  <si>
    <t>244-08</t>
  </si>
  <si>
    <t>309-08</t>
  </si>
  <si>
    <t>311-08</t>
  </si>
  <si>
    <t>313-08</t>
  </si>
  <si>
    <t>204:464</t>
  </si>
  <si>
    <t>204:233306</t>
  </si>
  <si>
    <t>204:233002</t>
  </si>
  <si>
    <t>204:232996</t>
  </si>
  <si>
    <t>204:232984</t>
  </si>
  <si>
    <t>204:233293</t>
  </si>
  <si>
    <t>204:233288</t>
  </si>
  <si>
    <t>204:165</t>
  </si>
  <si>
    <t>204:438</t>
  </si>
  <si>
    <t>204:233316</t>
  </si>
  <si>
    <t>204:170</t>
  </si>
  <si>
    <t>204:486</t>
  </si>
  <si>
    <t>204:489</t>
  </si>
  <si>
    <t>204:233281</t>
  </si>
  <si>
    <t>204:233284</t>
  </si>
  <si>
    <t>300:23304</t>
  </si>
  <si>
    <t>204:1002</t>
  </si>
  <si>
    <t>204:680</t>
  </si>
  <si>
    <t>204:1027</t>
  </si>
  <si>
    <t>204:761</t>
  </si>
  <si>
    <t>204:974</t>
  </si>
  <si>
    <t>300:58958</t>
  </si>
  <si>
    <t>300:58640</t>
  </si>
  <si>
    <t>204:699</t>
  </si>
  <si>
    <t>204:1422</t>
  </si>
  <si>
    <t>204:685</t>
  </si>
  <si>
    <t>300:58645</t>
  </si>
  <si>
    <t>300:58626</t>
  </si>
  <si>
    <t>204:675</t>
  </si>
  <si>
    <t>204:694</t>
  </si>
  <si>
    <t>204:971</t>
  </si>
  <si>
    <t>204:687</t>
  </si>
  <si>
    <t>204:972</t>
  </si>
  <si>
    <t>start /low /b %USERPROFILE%\Documents\GitHub\eaglep3\Utilities\DownloadLogsFromS3.py --loco 4016 --day 2017-03-09</t>
  </si>
  <si>
    <t>start /low /b %USERPROFILE%\Documents\GitHub\eaglep3\Utilities\DownloadLogsFromS3.py --loco 4039 --day 2017-03-09</t>
  </si>
  <si>
    <t>52-09</t>
  </si>
  <si>
    <t>rtdc.l.rtdc.4021:itc</t>
  </si>
  <si>
    <t>102-09</t>
  </si>
  <si>
    <t>110-09</t>
  </si>
  <si>
    <t>114-09</t>
  </si>
  <si>
    <t>116-09</t>
  </si>
  <si>
    <t>133-09</t>
  </si>
  <si>
    <t>130-09</t>
  </si>
  <si>
    <t>811-09</t>
  </si>
  <si>
    <t>143-09</t>
  </si>
  <si>
    <t>144-09</t>
  </si>
  <si>
    <t>142-09</t>
  </si>
  <si>
    <t>50-09</t>
  </si>
  <si>
    <t>818-09</t>
  </si>
  <si>
    <t>166-09</t>
  </si>
  <si>
    <t>rtdc.l.rtdc.4018:itc</t>
  </si>
  <si>
    <t>173-09</t>
  </si>
  <si>
    <t>175-09</t>
  </si>
  <si>
    <t>822-09</t>
  </si>
  <si>
    <t>180-09</t>
  </si>
  <si>
    <t>rtdc.l.rtdc.4008:itc</t>
  </si>
  <si>
    <t>904-09</t>
  </si>
  <si>
    <t>rtdc.l.rtdc.4044:itc</t>
  </si>
  <si>
    <t>195-09</t>
  </si>
  <si>
    <t>188-09</t>
  </si>
  <si>
    <t>826-09</t>
  </si>
  <si>
    <t>rtdc.l.rtdc.4007:itc</t>
  </si>
  <si>
    <t>831-09</t>
  </si>
  <si>
    <t>rtdc.l.rtdc.4043:itc</t>
  </si>
  <si>
    <t>196-09</t>
  </si>
  <si>
    <t>205-09</t>
  </si>
  <si>
    <t>198-09</t>
  </si>
  <si>
    <t>835-09</t>
  </si>
  <si>
    <t>214-09</t>
  </si>
  <si>
    <t>906-09</t>
  </si>
  <si>
    <t>845-09</t>
  </si>
  <si>
    <t>844-09</t>
  </si>
  <si>
    <t>232-09</t>
  </si>
  <si>
    <t>237-09</t>
  </si>
  <si>
    <t>238-09</t>
  </si>
  <si>
    <t>302-09</t>
  </si>
  <si>
    <t>51-09</t>
  </si>
  <si>
    <t>SPECTOR</t>
  </si>
  <si>
    <t>101-09</t>
  </si>
  <si>
    <t>rtdc.l.rtdc.4017:itc</t>
  </si>
  <si>
    <t>304-09</t>
  </si>
  <si>
    <t>103-09</t>
  </si>
  <si>
    <t>306-09</t>
  </si>
  <si>
    <t>ROBINSON</t>
  </si>
  <si>
    <t>KADDIBA</t>
  </si>
  <si>
    <t>105-09</t>
  </si>
  <si>
    <t>308-09</t>
  </si>
  <si>
    <t>107-09</t>
  </si>
  <si>
    <t>310-09</t>
  </si>
  <si>
    <t>104-09</t>
  </si>
  <si>
    <t>109-09</t>
  </si>
  <si>
    <t>901-09</t>
  </si>
  <si>
    <t>SHOOK</t>
  </si>
  <si>
    <t>111-09</t>
  </si>
  <si>
    <t>106-09</t>
  </si>
  <si>
    <t>800-09</t>
  </si>
  <si>
    <t>rtdc.l.rtdc.4022:itc</t>
  </si>
  <si>
    <t>113-09</t>
  </si>
  <si>
    <t>108-09</t>
  </si>
  <si>
    <t>115-09</t>
  </si>
  <si>
    <t>801-09</t>
  </si>
  <si>
    <t>117-09</t>
  </si>
  <si>
    <t>112-09</t>
  </si>
  <si>
    <t>119-09</t>
  </si>
  <si>
    <t>902-09</t>
  </si>
  <si>
    <t>121-09</t>
  </si>
  <si>
    <t>802-09</t>
  </si>
  <si>
    <t>803-09</t>
  </si>
  <si>
    <t>123-09</t>
  </si>
  <si>
    <t>805-09</t>
  </si>
  <si>
    <t>118-09</t>
  </si>
  <si>
    <t>804-09</t>
  </si>
  <si>
    <t>125-09</t>
  </si>
  <si>
    <t>120-09</t>
  </si>
  <si>
    <t>127-09</t>
  </si>
  <si>
    <t>122-09</t>
  </si>
  <si>
    <t>806-09</t>
  </si>
  <si>
    <t>129-09</t>
  </si>
  <si>
    <t>807-09</t>
  </si>
  <si>
    <t>124-09</t>
  </si>
  <si>
    <t>131-09</t>
  </si>
  <si>
    <t>126-09</t>
  </si>
  <si>
    <t>809-09</t>
  </si>
  <si>
    <t>808-09</t>
  </si>
  <si>
    <t>128-09</t>
  </si>
  <si>
    <t>135-09</t>
  </si>
  <si>
    <t>810-09</t>
  </si>
  <si>
    <t>137-09</t>
  </si>
  <si>
    <t>132-09</t>
  </si>
  <si>
    <t>139-09</t>
  </si>
  <si>
    <t>134-09</t>
  </si>
  <si>
    <t>903-09</t>
  </si>
  <si>
    <t>812-09</t>
  </si>
  <si>
    <t>141-09</t>
  </si>
  <si>
    <t>136-09</t>
  </si>
  <si>
    <t>138-09</t>
  </si>
  <si>
    <t>140-09</t>
  </si>
  <si>
    <t>145-09</t>
  </si>
  <si>
    <t>813-09</t>
  </si>
  <si>
    <t>147-09</t>
  </si>
  <si>
    <t>814-09</t>
  </si>
  <si>
    <t>149-09</t>
  </si>
  <si>
    <t>151-09</t>
  </si>
  <si>
    <t>88-09</t>
  </si>
  <si>
    <t>153-09</t>
  </si>
  <si>
    <t>146-09</t>
  </si>
  <si>
    <t>815-09</t>
  </si>
  <si>
    <t>148-09</t>
  </si>
  <si>
    <t>150-09</t>
  </si>
  <si>
    <t>155-09</t>
  </si>
  <si>
    <t>816-09</t>
  </si>
  <si>
    <t>157-09</t>
  </si>
  <si>
    <t>152-09</t>
  </si>
  <si>
    <t>154-09</t>
  </si>
  <si>
    <t>159-09</t>
  </si>
  <si>
    <t>161-09</t>
  </si>
  <si>
    <t>156-09</t>
  </si>
  <si>
    <t>817-09</t>
  </si>
  <si>
    <t>163-09</t>
  </si>
  <si>
    <t>54-09</t>
  </si>
  <si>
    <t>158-09</t>
  </si>
  <si>
    <t>165-09</t>
  </si>
  <si>
    <t>SMITH</t>
  </si>
  <si>
    <t>53-09</t>
  </si>
  <si>
    <t>160-09</t>
  </si>
  <si>
    <t>167-09</t>
  </si>
  <si>
    <t>162-09</t>
  </si>
  <si>
    <t>169-09</t>
  </si>
  <si>
    <t>55-09</t>
  </si>
  <si>
    <t>819-09</t>
  </si>
  <si>
    <t>164-09</t>
  </si>
  <si>
    <t>171-09</t>
  </si>
  <si>
    <t>BRANDNER</t>
  </si>
  <si>
    <t>MELINDA</t>
  </si>
  <si>
    <t>820-09</t>
  </si>
  <si>
    <t>168-09</t>
  </si>
  <si>
    <t>170-09</t>
  </si>
  <si>
    <t>177-09</t>
  </si>
  <si>
    <t>821-09</t>
  </si>
  <si>
    <t>172-09</t>
  </si>
  <si>
    <t>179-09</t>
  </si>
  <si>
    <t>174-09</t>
  </si>
  <si>
    <t>181-09</t>
  </si>
  <si>
    <t>176-09</t>
  </si>
  <si>
    <t>183-09</t>
  </si>
  <si>
    <t>823-09</t>
  </si>
  <si>
    <t>178-09</t>
  </si>
  <si>
    <t>185-09</t>
  </si>
  <si>
    <t>187-09</t>
  </si>
  <si>
    <t>824-09</t>
  </si>
  <si>
    <t>182-09</t>
  </si>
  <si>
    <t>189-09</t>
  </si>
  <si>
    <t>184-09</t>
  </si>
  <si>
    <t>191-09</t>
  </si>
  <si>
    <t>186-09</t>
  </si>
  <si>
    <t>825-09</t>
  </si>
  <si>
    <t>193-09</t>
  </si>
  <si>
    <t>190-09</t>
  </si>
  <si>
    <t>827-09</t>
  </si>
  <si>
    <t>197-09</t>
  </si>
  <si>
    <t>192-09</t>
  </si>
  <si>
    <t>199-09</t>
  </si>
  <si>
    <t>194-09</t>
  </si>
  <si>
    <t>828-09</t>
  </si>
  <si>
    <t>829-09</t>
  </si>
  <si>
    <t>201-09</t>
  </si>
  <si>
    <t>203-09</t>
  </si>
  <si>
    <t>830-09</t>
  </si>
  <si>
    <t>200-09</t>
  </si>
  <si>
    <t>207-09</t>
  </si>
  <si>
    <t>202-09</t>
  </si>
  <si>
    <t>832-09</t>
  </si>
  <si>
    <t>833-09</t>
  </si>
  <si>
    <t>209-09</t>
  </si>
  <si>
    <t>204-09</t>
  </si>
  <si>
    <t>77-09</t>
  </si>
  <si>
    <t>211-09</t>
  </si>
  <si>
    <t>75-09</t>
  </si>
  <si>
    <t>206-09</t>
  </si>
  <si>
    <t>86-09</t>
  </si>
  <si>
    <t>834-09</t>
  </si>
  <si>
    <t>213-09</t>
  </si>
  <si>
    <t>72-09</t>
  </si>
  <si>
    <t>PERKINS</t>
  </si>
  <si>
    <t>DARREN</t>
  </si>
  <si>
    <t>208-09</t>
  </si>
  <si>
    <t>217-09</t>
  </si>
  <si>
    <t>210-09</t>
  </si>
  <si>
    <t>215-09</t>
  </si>
  <si>
    <t>837-09</t>
  </si>
  <si>
    <t>836-09</t>
  </si>
  <si>
    <t>71-09</t>
  </si>
  <si>
    <t>212-09</t>
  </si>
  <si>
    <t>219-09</t>
  </si>
  <si>
    <t>838-09</t>
  </si>
  <si>
    <t>303-09</t>
  </si>
  <si>
    <t>839-09</t>
  </si>
  <si>
    <t>221-09</t>
  </si>
  <si>
    <t>216-09</t>
  </si>
  <si>
    <t>218-09</t>
  </si>
  <si>
    <t>305-09</t>
  </si>
  <si>
    <t>220-09</t>
  </si>
  <si>
    <t>841-09</t>
  </si>
  <si>
    <t>LOPES</t>
  </si>
  <si>
    <t>KIMBERLY</t>
  </si>
  <si>
    <t>223-09</t>
  </si>
  <si>
    <t>840-09</t>
  </si>
  <si>
    <t>307-09</t>
  </si>
  <si>
    <t>222-09</t>
  </si>
  <si>
    <t>225-09</t>
  </si>
  <si>
    <t>843-09</t>
  </si>
  <si>
    <t>227-09</t>
  </si>
  <si>
    <t>224-09</t>
  </si>
  <si>
    <t>842-09</t>
  </si>
  <si>
    <t>226-09</t>
  </si>
  <si>
    <t>229-09</t>
  </si>
  <si>
    <t>231-09</t>
  </si>
  <si>
    <t>228-09</t>
  </si>
  <si>
    <t>230-09</t>
  </si>
  <si>
    <t>233-09</t>
  </si>
  <si>
    <t>847-09</t>
  </si>
  <si>
    <t>235-09</t>
  </si>
  <si>
    <t>58-09</t>
  </si>
  <si>
    <t>908-09</t>
  </si>
  <si>
    <t>57-09</t>
  </si>
  <si>
    <t>234-09</t>
  </si>
  <si>
    <t>236-09</t>
  </si>
  <si>
    <t>239-09</t>
  </si>
  <si>
    <t>241-09</t>
  </si>
  <si>
    <t>240-09</t>
  </si>
  <si>
    <t>243-09</t>
  </si>
  <si>
    <t>242-09</t>
  </si>
  <si>
    <t>309-09</t>
  </si>
  <si>
    <t>244-09</t>
  </si>
  <si>
    <t>311-09</t>
  </si>
  <si>
    <t>313-09</t>
  </si>
  <si>
    <t>Mostly Cloudy</t>
  </si>
  <si>
    <t>204:233332</t>
  </si>
  <si>
    <t>204:232683</t>
  </si>
  <si>
    <t>204:739</t>
  </si>
  <si>
    <t>204:232644</t>
  </si>
  <si>
    <t>204:735</t>
  </si>
  <si>
    <t>204:233389</t>
  </si>
  <si>
    <t>204:232752</t>
  </si>
  <si>
    <t>204:797</t>
  </si>
  <si>
    <t>204:233287</t>
  </si>
  <si>
    <t>204:232972</t>
  </si>
  <si>
    <t>204:130</t>
  </si>
  <si>
    <t>204:746</t>
  </si>
  <si>
    <t>204:426</t>
  </si>
  <si>
    <t>204:233276</t>
  </si>
  <si>
    <t>204:232986</t>
  </si>
  <si>
    <t>204:806</t>
  </si>
  <si>
    <t>204:233010</t>
  </si>
  <si>
    <t>204:233320</t>
  </si>
  <si>
    <t>204:233280</t>
  </si>
  <si>
    <t>204:232967</t>
  </si>
  <si>
    <t>204:1171</t>
  </si>
  <si>
    <t>204:232985</t>
  </si>
  <si>
    <t>204:233323</t>
  </si>
  <si>
    <t>204:918</t>
  </si>
  <si>
    <t>204:232992</t>
  </si>
  <si>
    <t>204:233315</t>
  </si>
  <si>
    <t>204:488</t>
  </si>
  <si>
    <t>204:233001</t>
  </si>
  <si>
    <t>204:429</t>
  </si>
  <si>
    <t>204:232959</t>
  </si>
  <si>
    <t>204:209</t>
  </si>
  <si>
    <t>204:480</t>
  </si>
  <si>
    <t>204:233317</t>
  </si>
  <si>
    <t>204:233305</t>
  </si>
  <si>
    <t>204:233053</t>
  </si>
  <si>
    <t>204:233309</t>
  </si>
  <si>
    <t>204:232983</t>
  </si>
  <si>
    <t>204:511</t>
  </si>
  <si>
    <t>204:233264</t>
  </si>
  <si>
    <t>204:232930</t>
  </si>
  <si>
    <t>204:1173</t>
  </si>
  <si>
    <t>204:129</t>
  </si>
  <si>
    <t>204:233342</t>
  </si>
  <si>
    <t>204:214</t>
  </si>
  <si>
    <t>204:233337</t>
  </si>
  <si>
    <t>204:198</t>
  </si>
  <si>
    <t>204:233005</t>
  </si>
  <si>
    <t>204:233331</t>
  </si>
  <si>
    <t>204:233322</t>
  </si>
  <si>
    <t>204:497</t>
  </si>
  <si>
    <t>204:233278</t>
  </si>
  <si>
    <t>204:232955</t>
  </si>
  <si>
    <t>204:303</t>
  </si>
  <si>
    <t>204:233229</t>
  </si>
  <si>
    <t>204:185</t>
  </si>
  <si>
    <t>204:462</t>
  </si>
  <si>
    <t>204:233319</t>
  </si>
  <si>
    <t>204:36742</t>
  </si>
  <si>
    <t>204:232968</t>
  </si>
  <si>
    <t>204:191</t>
  </si>
  <si>
    <t>204:228114</t>
  </si>
  <si>
    <t>204:647</t>
  </si>
  <si>
    <t>204:227339</t>
  </si>
  <si>
    <t>204:142</t>
  </si>
  <si>
    <t>204:228293</t>
  </si>
  <si>
    <t>204:233034</t>
  </si>
  <si>
    <t>204:133</t>
  </si>
  <si>
    <t>300:22497</t>
  </si>
  <si>
    <t>300:25128</t>
  </si>
  <si>
    <t>300:24407</t>
  </si>
  <si>
    <t>300:22992</t>
  </si>
  <si>
    <t>300:22062</t>
  </si>
  <si>
    <t>300:23136</t>
  </si>
  <si>
    <t>300:21971</t>
  </si>
  <si>
    <t>300:23295</t>
  </si>
  <si>
    <t>300:23506</t>
  </si>
  <si>
    <t>204:176</t>
  </si>
  <si>
    <t>204:953</t>
  </si>
  <si>
    <t>300:23314</t>
  </si>
  <si>
    <t>300:23510</t>
  </si>
  <si>
    <t>300:23346</t>
  </si>
  <si>
    <t>300:21926</t>
  </si>
  <si>
    <t>204:859</t>
  </si>
  <si>
    <t>204:1167</t>
  </si>
  <si>
    <t>204:107429</t>
  </si>
  <si>
    <t>204:107103</t>
  </si>
  <si>
    <t>204:877</t>
  </si>
  <si>
    <t>204:1181</t>
  </si>
  <si>
    <t>300:24248</t>
  </si>
  <si>
    <t>300:23022</t>
  </si>
  <si>
    <t>204:117</t>
  </si>
  <si>
    <t>204:417</t>
  </si>
  <si>
    <t>300:24241</t>
  </si>
  <si>
    <t>300:58929</t>
  </si>
  <si>
    <t>204:1021</t>
  </si>
  <si>
    <t>300:58928</t>
  </si>
  <si>
    <t>204:1477</t>
  </si>
  <si>
    <t>300:58918</t>
  </si>
  <si>
    <t>204:138</t>
  </si>
  <si>
    <t>300:23154</t>
  </si>
  <si>
    <t>204:1165</t>
  </si>
  <si>
    <t>204:719</t>
  </si>
  <si>
    <t>300:58611</t>
  </si>
  <si>
    <t>204:733</t>
  </si>
  <si>
    <t>300:28782</t>
  </si>
  <si>
    <t>204:1209</t>
  </si>
  <si>
    <t>300:23190</t>
  </si>
  <si>
    <t>204:1138</t>
  </si>
  <si>
    <t>300:58679</t>
  </si>
  <si>
    <t>300:58995</t>
  </si>
  <si>
    <t>204:748</t>
  </si>
  <si>
    <t>204:976</t>
  </si>
  <si>
    <t>300:58641</t>
  </si>
  <si>
    <t>204:673</t>
  </si>
  <si>
    <t>300:58992</t>
  </si>
  <si>
    <t>204:731</t>
  </si>
  <si>
    <t>204:983</t>
  </si>
  <si>
    <t>300:58638</t>
  </si>
  <si>
    <t>204:1016</t>
  </si>
  <si>
    <t>300:58997</t>
  </si>
  <si>
    <t>300:58675</t>
  </si>
  <si>
    <t>204:969</t>
  </si>
  <si>
    <t>300:58943</t>
  </si>
  <si>
    <t>300:58630</t>
  </si>
  <si>
    <t>204:985</t>
  </si>
  <si>
    <t>300:58956</t>
  </si>
  <si>
    <t>300:58634</t>
  </si>
  <si>
    <t>204:668</t>
  </si>
  <si>
    <t>300:58946</t>
  </si>
  <si>
    <t>204:717</t>
  </si>
  <si>
    <t>204:997</t>
  </si>
  <si>
    <t>300:58628</t>
  </si>
  <si>
    <t>300:58961</t>
  </si>
  <si>
    <t>300:58653</t>
  </si>
  <si>
    <t>204:750</t>
  </si>
  <si>
    <t>204:1044</t>
  </si>
  <si>
    <t>300:58967</t>
  </si>
  <si>
    <t>300:58647</t>
  </si>
  <si>
    <t>300:57599</t>
  </si>
  <si>
    <t>204:740</t>
  </si>
  <si>
    <t>204:990</t>
  </si>
  <si>
    <t>300:59016</t>
  </si>
  <si>
    <t>300:58704</t>
  </si>
  <si>
    <t>204:789</t>
  </si>
  <si>
    <t>300:58969</t>
  </si>
  <si>
    <t>300:58642</t>
  </si>
  <si>
    <t>204:703</t>
  </si>
  <si>
    <t>204:1088</t>
  </si>
  <si>
    <t>300:58088</t>
  </si>
  <si>
    <t>300:57339</t>
  </si>
  <si>
    <t>204:631</t>
  </si>
  <si>
    <t>204:979</t>
  </si>
  <si>
    <t>300:58965</t>
  </si>
  <si>
    <t>204:908</t>
  </si>
  <si>
    <t>300:58984</t>
  </si>
  <si>
    <t>300:58664</t>
  </si>
  <si>
    <t>204:698</t>
  </si>
  <si>
    <t>204:1000</t>
  </si>
  <si>
    <t>300:58986</t>
  </si>
  <si>
    <t>300:58649</t>
  </si>
  <si>
    <t>204:1004</t>
  </si>
  <si>
    <t>300:58687</t>
  </si>
  <si>
    <t>204:986</t>
  </si>
  <si>
    <t>300:59005</t>
  </si>
  <si>
    <t>300:58978</t>
  </si>
  <si>
    <t>300:23493</t>
  </si>
  <si>
    <t>204:891</t>
  </si>
  <si>
    <t>300:30991</t>
  </si>
  <si>
    <t>204:1688</t>
  </si>
  <si>
    <t>204:1488</t>
  </si>
  <si>
    <t>300:31305</t>
  </si>
  <si>
    <t>300:30161</t>
  </si>
  <si>
    <t>300:23474</t>
  </si>
  <si>
    <t>204:450</t>
  </si>
  <si>
    <t>300:24263</t>
  </si>
  <si>
    <t>300:23243</t>
  </si>
  <si>
    <t>300:58674</t>
  </si>
  <si>
    <t>300:28795</t>
  </si>
  <si>
    <t>300:58668</t>
  </si>
  <si>
    <t>300:21608</t>
  </si>
  <si>
    <t>start /low /b %USERPROFILE%\Documents\GitHub\eaglep3\Utilities\DownloadLogsFromS3.py --loco 4043 --day 2017-03-09</t>
  </si>
  <si>
    <t>start /low /b %USERPROFILE%\Documents\GitHub\eaglep3\Utilities\DownloadLogsFromS3.py --loco 4020 --day 2017-03-09</t>
  </si>
  <si>
    <t>start /low /b %USERPROFILE%\Documents\GitHub\eaglep3\Utilities\DownloadLogsFromS3.py --loco 4003 --day 2017-03-10</t>
  </si>
  <si>
    <t>start /low /b %USERPROFILE%\Documents\GitHub\eaglep3\Utilities\DownloadLogsFromS3.py --loco 4018 --day 2017-03-10</t>
  </si>
  <si>
    <t>start /low /b %USERPROFILE%\Documents\GitHub\eaglep3\Utilities\DownloadLogsFromS3.py --loco 4044 --day 2017-03-09</t>
  </si>
  <si>
    <t>start /low /b %USERPROFILE%\Documents\GitHub\eaglep3\Utilities\DownloadLogsFromS3.py --loco 4019 --day 2017-03-10</t>
  </si>
  <si>
    <t>start /low /b %USERPROFILE%\Documents\GitHub\eaglep3\Utilities\DownloadLogsFromS3.py --loco 4021 --day 2017-03-09</t>
  </si>
  <si>
    <t>start /low /b %USERPROFILE%\Documents\GitHub\eaglep3\Utilities\DownloadLogsFromS3.py --loco 4015 --day 2017-03-09</t>
  </si>
  <si>
    <t>start /low /b %USERPROFILE%\Documents\GitHub\eaglep3\Utilities\DownloadLogsFromS3.py --loco 4003 --day 2017-03-09</t>
  </si>
  <si>
    <t>start /low /b %USERPROFILE%\Documents\GitHub\eaglep3\Utilities\DownloadLogsFromS3.py --loco 4043 --day 2017-03-10</t>
  </si>
  <si>
    <t>start /low /b %USERPROFILE%\Documents\GitHub\eaglep3\Utilities\DownloadLogsFromS3.py --loco 4018 --day 2017-03-09</t>
  </si>
  <si>
    <t>start /low /b %USERPROFILE%\Documents\GitHub\eaglep3\Utilities\DownloadLogsFromS3.py --loco 4044 --day 2017-03-10</t>
  </si>
  <si>
    <t>start /low /b %USERPROFILE%\Documents\GitHub\eaglep3\Utilities\DownloadLogsFromS3.py --loco 4013 --day 2017-03-10</t>
  </si>
  <si>
    <t>start /low /b %USERPROFILE%\Documents\GitHub\eaglep3\Utilities\DownloadLogsFromS3.py --loco 4007 --day 2017-03-10</t>
  </si>
  <si>
    <t>start /low /b %USERPROFILE%\Documents\GitHub\eaglep3\Utilities\DownloadLogsFromS3.py --loco 4011 --day 2017-03-09</t>
  </si>
  <si>
    <t>start /low /b %USERPROFILE%\Documents\GitHub\eaglep3\Utilities\DownloadLogsFromS3.py --loco 4012 --day 2017-03-09</t>
  </si>
  <si>
    <t>start /low /b %USERPROFILE%\Documents\GitHub\eaglep3\Utilities\DownloadLogsFromS3.py --loco 4012 --day 2017-03-10</t>
  </si>
  <si>
    <t>start /low /b %USERPROFILE%\Documents\GitHub\eaglep3\Utilities\DownloadLogsFromS3.py --loco 4011 --day 2017-03-10</t>
  </si>
  <si>
    <t>Onboard in-route failure</t>
  </si>
  <si>
    <t>DTO Efficiency test</t>
  </si>
  <si>
    <t>Early arrival</t>
  </si>
  <si>
    <t>DTO Efficiency Test</t>
  </si>
  <si>
    <t>Form C</t>
  </si>
  <si>
    <t>Pena 4S STOP</t>
  </si>
  <si>
    <t>CP Pena ELXS dropped into standby</t>
  </si>
  <si>
    <t>At roughly 16:31:47, EC1752RH 167-1T 1N and EC1827RH 175-1T 1N dropped from 270 to 0. Customer incident reports also indicate CP Pena dropping to standby around this time. Do logs tell us anything notable?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</si>
</sst>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6"/>
  <sheetViews>
    <sheetView tabSelected="1" workbookViewId="0"/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4.85546875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710937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42803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42803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COUNTIFS($N$13:$N$9335,"&gt;0",$AG$13:$AG$9335,I1)</f>
        <v>142</v>
      </c>
      <c r="K5" s="40"/>
      <c r="L5" s="40"/>
      <c r="M5" s="41">
        <f>AVERAGEIFS($N$13:$N$9335,$AG$13:$AG$9335,I1)</f>
        <v>40.205633802713272</v>
      </c>
      <c r="N5" s="39">
        <f t="array" ref="N5">MIN(IF($AG$13:$AG$9335=I1,IF(ISNUMBER($N$13:$N$9335),IF($N$13:$N$9335&gt;0,$N$13:$N$9335))))</f>
        <v>34.299999992363155</v>
      </c>
      <c r="O5" s="3">
        <f t="array" ref="O5">MAX(IF($AG$13:$AG$9335=I1,IF(ISNUMBER($N$13:$N$9335),IF($N$13:$N$9335&gt;0,$N$13:$N$9335))))</f>
        <v>51.966666660737246</v>
      </c>
      <c r="P5" s="2"/>
      <c r="R5" s="74" t="s">
        <v>17</v>
      </c>
      <c r="S5" s="50">
        <f>COUNTIFS($N$13:$N$9335,"&gt;0",$AG$13:$AG$9335,R1)</f>
        <v>47</v>
      </c>
      <c r="T5" s="40"/>
      <c r="U5" s="177"/>
      <c r="V5" s="174">
        <f>AVERAGEIFS($N$13:$N$9335,$AG$13:$AG$9335,R1)</f>
        <v>15.018794326696227</v>
      </c>
      <c r="W5" s="175">
        <f t="array" ref="W5">MIN(IF($AG$13:$AG$9335=R1,IF(ISNUMBER($N$13:$N$9335),IF($N$13:$N$9335&gt;0,$N$13:$N$9335))))</f>
        <v>12.633333342382684</v>
      </c>
      <c r="X5" s="176">
        <f t="array" ref="X5">MAX(IF($AG$13:$AG$9335=R1,IF(ISNUMBER($N$13:$N$9335),IF($N$13:$N$9335&gt;0,$N$13:$N$9335))))</f>
        <v>21.883333335863426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COUNT($O$13:$O$113)</f>
        <v>0</v>
      </c>
      <c r="K6" s="40"/>
      <c r="L6" s="40"/>
      <c r="M6" s="41">
        <f>IFERROR(AVERAGE($O$13:$O$113),0)</f>
        <v>0</v>
      </c>
      <c r="N6" s="39">
        <f>MIN($O$13:$O$113)</f>
        <v>0</v>
      </c>
      <c r="O6" s="3">
        <f>MAX($O$13:$O$113)</f>
        <v>0</v>
      </c>
      <c r="P6" s="2"/>
      <c r="R6" s="75" t="s">
        <v>43</v>
      </c>
      <c r="S6" s="50">
        <f>COUNT($O$13:$O$113)</f>
        <v>0</v>
      </c>
      <c r="T6" s="40"/>
      <c r="U6" s="177"/>
      <c r="V6" s="174">
        <f>IFERROR(AVERAGE($O$13:$O$113),0)</f>
        <v>0</v>
      </c>
      <c r="W6" s="175">
        <f>MIN($O$13:$O$113)</f>
        <v>0</v>
      </c>
      <c r="X6" s="176">
        <f>MAX($O$13:$O$113)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COUNTIFS($P$13:$P$9335,"&gt;0",$AG$13:$AG$9335,I1)</f>
        <v>2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COUNTIFS($P$13:$P$9335,"&gt;0",$AG$13:$AG$9335,R1)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142</v>
      </c>
      <c r="K8" s="40"/>
      <c r="L8" s="40"/>
      <c r="M8" s="41">
        <f>M5</f>
        <v>40.205633802713272</v>
      </c>
      <c r="N8" s="39">
        <f>N5</f>
        <v>34.299999992363155</v>
      </c>
      <c r="O8" s="3">
        <f>O5</f>
        <v>51.966666660737246</v>
      </c>
      <c r="P8" s="2"/>
      <c r="R8" s="74" t="s">
        <v>16</v>
      </c>
      <c r="S8" s="50">
        <f>S5</f>
        <v>47</v>
      </c>
      <c r="T8" s="40"/>
      <c r="U8" s="177"/>
      <c r="V8" s="174">
        <f>V5</f>
        <v>15.018794326696227</v>
      </c>
      <c r="W8" s="175">
        <f>W5</f>
        <v>12.633333342382684</v>
      </c>
      <c r="X8" s="176">
        <f>X5</f>
        <v>21.883333335863426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0.98611111111111116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220" t="str">
        <f>"Eagle P3 System Performance - "&amp;TEXT(Variables!A2,"yyyy-mm-dd")</f>
        <v>Eagle P3 System Performance - 2017-03-09</v>
      </c>
      <c r="B11" s="220"/>
      <c r="C11" s="220"/>
      <c r="D11" s="220"/>
      <c r="E11" s="220"/>
      <c r="F11" s="220"/>
      <c r="G11" s="220"/>
      <c r="H11" s="220"/>
      <c r="I11" s="220"/>
      <c r="J11" s="220"/>
      <c r="K11" s="220"/>
      <c r="L11" s="220"/>
      <c r="M11" s="220"/>
      <c r="N11" s="220"/>
      <c r="O11" s="220"/>
      <c r="P11" s="220"/>
      <c r="S11" s="64">
        <f>AVERAGE(S13:S82)</f>
        <v>1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205</v>
      </c>
      <c r="AN12" s="47" t="s">
        <v>213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617</v>
      </c>
      <c r="B13" s="7">
        <v>4020</v>
      </c>
      <c r="C13" s="21" t="s">
        <v>242</v>
      </c>
      <c r="D13" s="21" t="s">
        <v>558</v>
      </c>
      <c r="E13" s="13">
        <v>42803.133113425924</v>
      </c>
      <c r="F13" s="13">
        <v>42803.136250000003</v>
      </c>
      <c r="G13" s="7">
        <v>1</v>
      </c>
      <c r="H13" s="21" t="s">
        <v>816</v>
      </c>
      <c r="I13" s="13">
        <v>42803.164375</v>
      </c>
      <c r="J13" s="7">
        <v>0</v>
      </c>
      <c r="K13" s="98" t="str">
        <f t="shared" ref="K13:K76" si="0">IF(ISEVEN(B13),(B13-1)&amp;"/"&amp;B13,B13&amp;"/"&amp;(B13+1))</f>
        <v>4019/4020</v>
      </c>
      <c r="L13" s="21" t="str">
        <f>VLOOKUP(A13,'Trips&amp;Operators'!$C$1:$G$99999,5,FALSE)</f>
        <v>YOUNG ELIZABETH</v>
      </c>
      <c r="M13" s="6">
        <f t="shared" ref="M13:M76" si="1">I13-F13</f>
        <v>2.8124999997089617E-2</v>
      </c>
      <c r="N13" s="7">
        <f t="shared" ref="N13:N76" si="2">24*60*SUM($M13:$M13)</f>
        <v>40.499999995809048</v>
      </c>
      <c r="O13" s="7"/>
      <c r="P13" s="7"/>
      <c r="Q13" s="22"/>
      <c r="R13" s="22"/>
      <c r="S13" s="31">
        <f t="shared" ref="S13:S76" si="3">SUM(U13:U13)/IF(AG13="EC",12,1)</f>
        <v>1</v>
      </c>
      <c r="T13" s="46" t="str">
        <f t="shared" ref="T13:T76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-09T02:11:41-0700',mode:absolute,to:'2017-03-09T04:56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" s="187" t="str">
        <f t="shared" ref="W13:W76" si="6">IF(AA13&lt;IF(AG13="EC",23,5.65),"Y","N")</f>
        <v>N</v>
      </c>
      <c r="X13" s="187" t="e">
        <f t="shared" ref="X13:X76" si="7">VALUE(LEFT(AD13,4))-VALUE(LEFT(AD12,4))</f>
        <v>#VALUE!</v>
      </c>
      <c r="Y13" s="62">
        <f t="shared" ref="Y13:Y76" si="8">RIGHT(D13,LEN(D13)-4)/10000</f>
        <v>7.6100000000000001E-2</v>
      </c>
      <c r="Z13" s="62">
        <f t="shared" ref="Z13:Z76" si="9">RIGHT(H13,LEN(H13)-4)/10000</f>
        <v>23.333200000000001</v>
      </c>
      <c r="AA13" s="62">
        <f t="shared" ref="AA13:AA76" si="10">ABS(Z13-Y13)</f>
        <v>23.257100000000001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0101-09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s3://rtdc.mdm.uploadarchive.raw/RTDC4020/ "%USERPROFILE%\AppData\Local\Temp\OnboardLogs"\RTDC4020\2017-03-09 --exclude "*" --recursive --include "*20170309*" &amp; "%USERPROFILE%\Documents\GitHub\mrs-test-scripts\Headless Mode &amp; Sideloading\WalkAndUnGZ.bat" "%USERPROFILE%\AppData\Local\Temp\OnboardLogs"\RTDC4020\2017-03-09 &amp; 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</v>
      </c>
      <c r="AF13" s="82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/stypes="app*4020*20170309*" /stext=" 10:.+((SYSTEM_STATE.+slice.+state.+changed )|(ment ac)|(multiple cpu faults)|(system.+state.+changed )|(\[timeout)|(PRM\|1\|D)|(kpr)|(kdp)|(\|lc)|(penalty))"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101-09 --locoid 4020 --swversion DE.1.0.9.0 --startMP 204:761 --initTime 2017-03-09T03:11:41 --startdatetime 2017-03-09T03:16:12 --delay 1 --endMP 204:233332 --enddatetime 2017-03-09T03:56:42 --enforcementcount 0 &gt;&gt;C:\Users\stu\Documents\GitHub\eaglep3-reporting\EC\2017-03-09-refined-times.txt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{"issue":{"subject":"","project_id":79,"tracker_id":40,"status_id":1,"priority_id":2,"assigned_to_id":23,"start_date":"2017-03-09","description":"","custom_fields":[{"id":1,"name":"Subdivision","value":"EC"},{"id":4,"name":"Milepost","value":"23.3332"},{"id":17,"name":"Train ID","value":"101-09"},{"id":16,"name":"Locomotive ID","value":"4020"},{"id":130,"name":"Impact","value":""},{"id":150,"name":"Time of Event (Mountain Time)","value":"03:56:42"},{"id":151,"name":"Denver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4020 --day 2017-03-09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"%USERPROFILE%\AppData\Local\Temp\OnboardLogs"\RTDC4020\*4020*20170309* | grep -SE "(Enforcement Action)|(\[TIMEOUT)|(CHR.+\|PRM\|1\|D.+(SWITCH|SIGNAL).+UNKNOWN)" - &gt;&gt; 2017-03-09-UncaughtWiMAX.txt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576</v>
      </c>
      <c r="B14" s="7">
        <v>4021</v>
      </c>
      <c r="C14" s="21" t="s">
        <v>242</v>
      </c>
      <c r="D14" s="21" t="s">
        <v>817</v>
      </c>
      <c r="E14" s="13">
        <v>42803.167581018519</v>
      </c>
      <c r="F14" s="13">
        <v>42803.17459490741</v>
      </c>
      <c r="G14" s="7">
        <v>2</v>
      </c>
      <c r="H14" s="21" t="s">
        <v>423</v>
      </c>
      <c r="I14" s="13">
        <v>42803.205231481479</v>
      </c>
      <c r="J14" s="7">
        <v>0</v>
      </c>
      <c r="K14" s="98" t="str">
        <f t="shared" si="0"/>
        <v>4021/4022</v>
      </c>
      <c r="L14" s="21" t="str">
        <f>VLOOKUP(A14,'Trips&amp;Operators'!$C$1:$G$99999,5,FALSE)</f>
        <v>YOUNG ELIZABETH</v>
      </c>
      <c r="M14" s="6">
        <f t="shared" si="1"/>
        <v>3.0636574068921618E-2</v>
      </c>
      <c r="N14" s="7">
        <f t="shared" si="2"/>
        <v>44.11666665924713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-03-09T03:01:19-0700',mode:absolute,to:'2017-03-09T05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" s="187" t="str">
        <f t="shared" si="6"/>
        <v>N</v>
      </c>
      <c r="X14" s="187">
        <f t="shared" si="7"/>
        <v>1</v>
      </c>
      <c r="Y14" s="62">
        <f t="shared" si="8"/>
        <v>23.2683</v>
      </c>
      <c r="Z14" s="62">
        <f t="shared" si="9"/>
        <v>1.43E-2</v>
      </c>
      <c r="AA14" s="62">
        <f t="shared" si="10"/>
        <v>23.254000000000001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0102-09</v>
      </c>
      <c r="AE14" s="85" t="str">
        <f t="shared" si="12"/>
        <v>aws s3 cp s3://rtdc.mdm.uploadarchive.raw/RTDC4021/ "%USERPROFILE%\AppData\Local\Temp\OnboardLogs"\RTDC4021\2017-03-09 --exclude "*" --recursive --include "*20170309*" &amp; "%USERPROFILE%\Documents\GitHub\mrs-test-scripts\Headless Mode &amp; Sideloading\WalkAndUnGZ.bat" "%USERPROFILE%\AppData\Local\Temp\OnboardLogs"\RTDC4021\2017-03-09 &amp; aws s3 cp s3://rtdc.mdm.uploadarchive.raw/RTDC4021/ "%USERPROFILE%\AppData\Local\Temp\OnboardLogs"\RTDC4021\2017-03-10 --exclude "*" --recursive --include "*20170310*" &amp; "%USERPROFILE%\Documents\GitHub\mrs-test-scripts\Headless Mode &amp; Sideloading\WalkAndUnGZ.bat" "%USERPROFILE%\AppData\Local\Temp\OnboardLogs"\RTDC4021\2017-03-10</v>
      </c>
      <c r="AF14" s="82" t="str">
        <f t="shared" si="13"/>
        <v>"C:\Program Files (x86)\AstroGrep\AstroGrep.exe" /e /r /s /spath="%USERPROFILE%\AppData\Local\Temp\OnboardLogs" /stypes="app*4021*20170309*" /stext=" 11:.+((SYSTEM_STATE.+slice.+state.+changed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102-09 --locoid 4021 --swversion DE.1.0.9.0 --startMP 204:232683 --initTime 2017-03-09T04:01:19 --startdatetime 2017-03-09T04:11:25 --delay 2 --endMP 204:143 --enddatetime 2017-03-09T04:55:32 --enforcementcount 0 &gt;&gt;C:\Users\stu\Documents\GitHub\eaglep3-reporting\EC\2017-03-09-refined-times.txt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{"issue":{"subject":"","project_id":79,"tracker_id":40,"status_id":1,"priority_id":2,"assigned_to_id":23,"start_date":"2017-03-09","description":"","custom_fields":[{"id":1,"name":"Subdivision","value":"EC"},{"id":4,"name":"Milepost","value":"0.0143"},{"id":17,"name":"Train ID","value":"102-09"},{"id":16,"name":"Locomotive ID","value":"4021"},{"id":130,"name":"Impact","value":""},{"id":150,"name":"Time of Event (Mountain Time)","value":"04:55:32"},{"id":151,"name":"Denver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20">"start /low /b "&amp;dls3logs&amp;" --loco "&amp;B14&amp;" --day "&amp;TEXT(F14,"YYYY-MM-DD")</f>
        <v>start /low /b %USERPROFILE%\Documents\GitHub\eaglep3\Utilities\DownloadLogsFromS3.py --loco 4021 --day 2017-03-09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"%USERPROFILE%\AppData\Local\Temp\OnboardLogs"\RTDC4021\*4021*20170309* | grep -SE "(Enforcement Action)|(\[TIMEOUT)|(CHR.+\|PRM\|1\|D.+(SWITCH|SIGNAL).+UNKNOWN)" - &gt;&gt; 2017-03-09-UncaughtWiMAX.txt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620</v>
      </c>
      <c r="B15" s="7">
        <v>4016</v>
      </c>
      <c r="C15" s="21" t="s">
        <v>242</v>
      </c>
      <c r="D15" s="21" t="s">
        <v>818</v>
      </c>
      <c r="E15" s="13">
        <v>42803.152951388889</v>
      </c>
      <c r="F15" s="13">
        <v>42803.156481481485</v>
      </c>
      <c r="G15" s="7">
        <v>1</v>
      </c>
      <c r="H15" s="21" t="s">
        <v>249</v>
      </c>
      <c r="I15" s="13">
        <v>42803.183506944442</v>
      </c>
      <c r="J15" s="7">
        <v>0</v>
      </c>
      <c r="K15" s="98" t="str">
        <f t="shared" si="0"/>
        <v>4015/4016</v>
      </c>
      <c r="L15" s="21" t="str">
        <f>VLOOKUP(A15,'Trips&amp;Operators'!$C$1:$G$99999,5,FALSE)</f>
        <v>BONDS REYNALDO</v>
      </c>
      <c r="M15" s="6">
        <f t="shared" si="1"/>
        <v>2.7025462957681157E-2</v>
      </c>
      <c r="N15" s="7">
        <f t="shared" si="2"/>
        <v>38.916666659060866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5"/>
        <v>https://d0f6bd738d7f1b3e5a7ca70fe4ff75f0.us-east-1.aws.found.io/app/kibana#/discover/Steve-Slow-Train-Analysis-(2080s-and-2083s)?_g=(refreshInterval:(display:Off,pause:!f,section:0,value:0),time:(from:'2017-03-09T02:40:15-0700',mode:absolute,to:'2017-03-09T05:24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" s="187" t="str">
        <f t="shared" si="6"/>
        <v>N</v>
      </c>
      <c r="X15" s="187">
        <f t="shared" si="7"/>
        <v>1</v>
      </c>
      <c r="Y15" s="62">
        <f t="shared" si="8"/>
        <v>7.3899999999999993E-2</v>
      </c>
      <c r="Z15" s="62">
        <f t="shared" si="9"/>
        <v>23.328900000000001</v>
      </c>
      <c r="AA15" s="62">
        <f t="shared" si="10"/>
        <v>23.255000000000003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0103-09</v>
      </c>
      <c r="AE15" s="85" t="str">
        <f t="shared" si="12"/>
        <v>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 &amp; aws s3 cp s3://rtdc.mdm.uploadarchive.raw/RTDC4016/ "%USERPROFILE%\AppData\Local\Temp\OnboardLogs"\RTDC4016\2017-03-10 --exclude "*" --recursive --include "*20170310*" &amp; "%USERPROFILE%\Documents\GitHub\mrs-test-scripts\Headless Mode &amp; Sideloading\WalkAndUnGZ.bat" "%USERPROFILE%\AppData\Local\Temp\OnboardLogs"\RTDC4016\2017-03-10</v>
      </c>
      <c r="AF15" s="82" t="str">
        <f t="shared" si="13"/>
        <v>"C:\Program Files (x86)\AstroGrep\AstroGrep.exe" /e /r /s /spath="%USERPROFILE%\AppData\Local\Temp\OnboardLogs" /stypes="app*4016*20170309*" /stext=" 11:.+((SYSTEM_STATE.+slice.+state.+changed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8"/>
        <v>"%USERPROFILE%\Documents\GitHub\eaglep3\Utilities\RefineRTDCRunTimes.py" --tripid 103-09 --locoid 4016 --swversion DE.1.0.9.0 --startMP 204:739 --initTime 2017-03-09T03:40:15 --startdatetime 2017-03-09T03:45:20 --delay 1 --endMP 204:233289 --enddatetime 2017-03-09T04:24:15 --enforcementcount 0 &gt;&gt;C:\Users\stu\Documents\GitHub\eaglep3-reporting\EC\2017-03-09-refined-times.txt</v>
      </c>
      <c r="AI15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{"issue":{"subject":"","project_id":79,"tracker_id":40,"status_id":1,"priority_id":2,"assigned_to_id":23,"start_date":"2017-03-09","description":"","custom_fields":[{"id":1,"name":"Subdivision","value":"EC"},{"id":4,"name":"Milepost","value":"23.3289"},{"id":17,"name":"Train ID","value":"103-09"},{"id":16,"name":"Locomotive ID","value":"4016"},{"id":130,"name":"Impact","value":""},{"id":150,"name":"Time of Event (Mountain Time)","value":"04:24:15"},{"id":151,"name":"Denver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4016 --day 2017-03-09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"%USERPROFILE%\AppData\Local\Temp\OnboardLogs"\RTDC4016\*4016*20170309* | grep -SE "(Enforcement Action)|(\[TIMEOUT)|(CHR.+\|PRM\|1\|D.+(SWITCH|SIGNAL).+UNKNOWN)" - &gt;&gt; 2017-03-09-UncaughtWiMAX.txt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628</v>
      </c>
      <c r="B16" s="7">
        <v>4017</v>
      </c>
      <c r="C16" s="21" t="s">
        <v>242</v>
      </c>
      <c r="D16" s="21" t="s">
        <v>819</v>
      </c>
      <c r="E16" s="13">
        <v>42803.191365740742</v>
      </c>
      <c r="F16" s="13">
        <v>42803.195381944446</v>
      </c>
      <c r="G16" s="7">
        <v>1</v>
      </c>
      <c r="H16" s="21" t="s">
        <v>267</v>
      </c>
      <c r="I16" s="13">
        <v>42803.224502314813</v>
      </c>
      <c r="J16" s="7">
        <v>0</v>
      </c>
      <c r="K16" s="98" t="str">
        <f t="shared" si="0"/>
        <v>4017/4018</v>
      </c>
      <c r="L16" s="21" t="str">
        <f>VLOOKUP(A16,'Trips&amp;Operators'!$C$1:$G$99999,5,FALSE)</f>
        <v>BONDS REYNALDO</v>
      </c>
      <c r="M16" s="6">
        <f t="shared" si="1"/>
        <v>2.9120370367309079E-2</v>
      </c>
      <c r="N16" s="7">
        <f t="shared" si="2"/>
        <v>41.933333328925073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5"/>
        <v>https://d0f6bd738d7f1b3e5a7ca70fe4ff75f0.us-east-1.aws.found.io/app/kibana#/discover/Steve-Slow-Train-Analysis-(2080s-and-2083s)?_g=(refreshInterval:(display:Off,pause:!f,section:0,value:0),time:(from:'2017-03-09T03:35:34-0700',mode:absolute,to:'2017-03-09T06:23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" s="187" t="str">
        <f t="shared" si="6"/>
        <v>N</v>
      </c>
      <c r="X16" s="187">
        <f t="shared" si="7"/>
        <v>1</v>
      </c>
      <c r="Y16" s="62">
        <f t="shared" si="8"/>
        <v>23.264399999999998</v>
      </c>
      <c r="Z16" s="62">
        <f t="shared" si="9"/>
        <v>1.34E-2</v>
      </c>
      <c r="AA16" s="62">
        <f t="shared" si="10"/>
        <v>23.250999999999998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0104-09</v>
      </c>
      <c r="AE16" s="85" t="str">
        <f t="shared" si="12"/>
        <v>aws s3 cp s3://rtdc.mdm.uploadarchive.raw/RTDC4017/ "%USERPROFILE%\AppData\Local\Temp\OnboardLogs"\RTDC4017\2017-03-09 --exclude "*" --recursive --include "*20170309*" &amp; "%USERPROFILE%\Documents\GitHub\mrs-test-scripts\Headless Mode &amp; Sideloading\WalkAndUnGZ.bat" "%USERPROFILE%\AppData\Local\Temp\OnboardLogs"\RTDC4017\2017-03-09 &amp; aws s3 cp s3://rtdc.mdm.uploadarchive.raw/RTDC4017/ "%USERPROFILE%\AppData\Local\Temp\OnboardLogs"\RTDC4017\2017-03-10 --exclude "*" --recursive --include "*20170310*" &amp; "%USERPROFILE%\Documents\GitHub\mrs-test-scripts\Headless Mode &amp; Sideloading\WalkAndUnGZ.bat" "%USERPROFILE%\AppData\Local\Temp\OnboardLogs"\RTDC4017\2017-03-10</v>
      </c>
      <c r="AF16" s="82" t="str">
        <f t="shared" si="13"/>
        <v>"C:\Program Files (x86)\AstroGrep\AstroGrep.exe" /e /r /s /spath="%USERPROFILE%\AppData\Local\Temp\OnboardLogs" /stypes="app*4017*20170309*" /stext=" 12:.+((SYSTEM_STATE.+slice.+state.+changed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8"/>
        <v>"%USERPROFILE%\Documents\GitHub\eaglep3\Utilities\RefineRTDCRunTimes.py" --tripid 104-09 --locoid 4017 --swversion DE.1.0.9.0 --startMP 204:232644 --initTime 2017-03-09T04:35:34 --startdatetime 2017-03-09T04:41:21 --delay 1 --endMP 204:134 --enddatetime 2017-03-09T05:23:17 --enforcementcount 0 &gt;&gt;C:\Users\stu\Documents\GitHub\eaglep3-reporting\EC\2017-03-09-refined-times.txt</v>
      </c>
      <c r="AI16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{"issue":{"subject":"","project_id":79,"tracker_id":40,"status_id":1,"priority_id":2,"assigned_to_id":23,"start_date":"2017-03-09","description":"","custom_fields":[{"id":1,"name":"Subdivision","value":"EC"},{"id":4,"name":"Milepost","value":"0.0134"},{"id":17,"name":"Train ID","value":"104-09"},{"id":16,"name":"Locomotive ID","value":"4017"},{"id":130,"name":"Impact","value":""},{"id":150,"name":"Time of Event (Mountain Time)","value":"05:23:17"},{"id":151,"name":"Denver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4017 --day 2017-03-09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"%USERPROFILE%\AppData\Local\Temp\OnboardLogs"\RTDC4017\*4017*20170309* | grep -SE "(Enforcement Action)|(\[TIMEOUT)|(CHR.+\|PRM\|1\|D.+(SWITCH|SIGNAL).+UNKNOWN)" - &gt;&gt; 2017-03-09-UncaughtWiMAX.txt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624</v>
      </c>
      <c r="B17" s="7">
        <v>4003</v>
      </c>
      <c r="C17" s="21" t="s">
        <v>242</v>
      </c>
      <c r="D17" s="21" t="s">
        <v>820</v>
      </c>
      <c r="E17" s="13">
        <v>42803.167696759258</v>
      </c>
      <c r="F17" s="13">
        <v>42803.177245370367</v>
      </c>
      <c r="G17" s="7">
        <v>1</v>
      </c>
      <c r="H17" s="21" t="s">
        <v>821</v>
      </c>
      <c r="I17" s="13">
        <v>42803.202893518515</v>
      </c>
      <c r="J17" s="7">
        <v>0</v>
      </c>
      <c r="K17" s="98" t="str">
        <f t="shared" si="0"/>
        <v>4003/4004</v>
      </c>
      <c r="L17" s="21" t="str">
        <f>VLOOKUP(A17,'Trips&amp;Operators'!$C$1:$G$99999,5,FALSE)</f>
        <v>ROBINSON KADDIBA</v>
      </c>
      <c r="M17" s="6">
        <f t="shared" si="1"/>
        <v>2.5648148148320615E-2</v>
      </c>
      <c r="N17" s="7">
        <f t="shared" si="2"/>
        <v>36.933333333581686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5"/>
        <v>https://d0f6bd738d7f1b3e5a7ca70fe4ff75f0.us-east-1.aws.found.io/app/kibana#/discover/Steve-Slow-Train-Analysis-(2080s-and-2083s)?_g=(refreshInterval:(display:Off,pause:!f,section:0,value:0),time:(from:'2017-03-09T03:01:29-0700',mode:absolute,to:'2017-03-09T05:52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7" s="187" t="str">
        <f t="shared" si="6"/>
        <v>N</v>
      </c>
      <c r="X17" s="187">
        <f t="shared" si="7"/>
        <v>1</v>
      </c>
      <c r="Y17" s="62">
        <f t="shared" si="8"/>
        <v>7.3499999999999996E-2</v>
      </c>
      <c r="Z17" s="62">
        <f t="shared" si="9"/>
        <v>23.338899999999999</v>
      </c>
      <c r="AA17" s="62">
        <f t="shared" si="10"/>
        <v>23.2654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0105-09</v>
      </c>
      <c r="AE17" s="85" t="str">
        <f t="shared" si="12"/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AF17" s="82" t="str">
        <f t="shared" si="13"/>
        <v>"C:\Program Files (x86)\AstroGrep\AstroGrep.exe" /e /r /s /spath="%USERPROFILE%\AppData\Local\Temp\OnboardLogs" /stypes="app*4003*20170309*" /stext=" 11:.+((SYSTEM_STATE.+slice.+state.+changed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8"/>
        <v>"%USERPROFILE%\Documents\GitHub\eaglep3\Utilities\RefineRTDCRunTimes.py" --tripid 105-09 --locoid 4003 --swversion DE.1.0.9.0 --startMP 204:735 --initTime 2017-03-09T04:01:29 --startdatetime 2017-03-09T04:15:14 --delay 1 --endMP 204:233389 --enddatetime 2017-03-09T04:52:10 --enforcementcount 0 &gt;&gt;C:\Users\stu\Documents\GitHub\eaglep3-reporting\EC\2017-03-09-refined-times.txt</v>
      </c>
      <c r="AI17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{"issue":{"subject":"","project_id":79,"tracker_id":40,"status_id":1,"priority_id":2,"assigned_to_id":23,"start_date":"2017-03-09","description":"","custom_fields":[{"id":1,"name":"Subdivision","value":"EC"},{"id":4,"name":"Milepost","value":"23.3389"},{"id":17,"name":"Train ID","value":"105-09"},{"id":16,"name":"Locomotive ID","value":"4003"},{"id":130,"name":"Impact","value":""},{"id":150,"name":"Time of Event (Mountain Time)","value":"04:52:10"},{"id":151,"name":"Denver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4003 --day 2017-03-09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"%USERPROFILE%\AppData\Local\Temp\OnboardLogs"\RTDC4003\*4003*20170309* | grep -SE "(Enforcement Action)|(\[TIMEOUT)|(CHR.+\|PRM\|1\|D.+(SWITCH|SIGNAL).+UNKNOWN)" - &gt;&gt; 2017-03-09-UncaughtWiMAX.txt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633</v>
      </c>
      <c r="B18" s="7">
        <v>4043</v>
      </c>
      <c r="C18" s="21" t="s">
        <v>242</v>
      </c>
      <c r="D18" s="21" t="s">
        <v>822</v>
      </c>
      <c r="E18" s="13">
        <v>42803.209918981483</v>
      </c>
      <c r="F18" s="13">
        <v>42803.216134259259</v>
      </c>
      <c r="G18" s="7">
        <v>1</v>
      </c>
      <c r="H18" s="21" t="s">
        <v>203</v>
      </c>
      <c r="I18" s="13">
        <v>42803.244756944441</v>
      </c>
      <c r="J18" s="7">
        <v>0</v>
      </c>
      <c r="K18" s="98" t="str">
        <f t="shared" si="0"/>
        <v>4043/4044</v>
      </c>
      <c r="L18" s="21" t="str">
        <f>VLOOKUP(A18,'Trips&amp;Operators'!$C$1:$G$99999,5,FALSE)</f>
        <v>ROBINSON KADDIBA</v>
      </c>
      <c r="M18" s="6">
        <f t="shared" si="1"/>
        <v>2.8622685182199348E-2</v>
      </c>
      <c r="N18" s="7">
        <f t="shared" si="2"/>
        <v>41.216666662367061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5"/>
        <v>https://d0f6bd738d7f1b3e5a7ca70fe4ff75f0.us-east-1.aws.found.io/app/kibana#/discover/Steve-Slow-Train-Analysis-(2080s-and-2083s)?_g=(refreshInterval:(display:Off,pause:!f,section:0,value:0),time:(from:'2017-03-09T04:02:17-0700',mode:absolute,to:'2017-03-09T06:52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8" s="187" t="str">
        <f t="shared" si="6"/>
        <v>N</v>
      </c>
      <c r="X18" s="187">
        <f t="shared" si="7"/>
        <v>1</v>
      </c>
      <c r="Y18" s="62">
        <f t="shared" si="8"/>
        <v>23.275200000000002</v>
      </c>
      <c r="Z18" s="62">
        <f t="shared" si="9"/>
        <v>1.5800000000000002E-2</v>
      </c>
      <c r="AA18" s="62">
        <f t="shared" si="10"/>
        <v>23.259400000000003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0106-09</v>
      </c>
      <c r="AE18" s="85" t="str">
        <f t="shared" si="12"/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AF18" s="82" t="str">
        <f t="shared" si="13"/>
        <v>"C:\Program Files (x86)\AstroGrep\AstroGrep.exe" /e /r /s /spath="%USERPROFILE%\AppData\Local\Temp\OnboardLogs" /stypes="app*4043*20170309*" /stext=" 12:.+((SYSTEM_STATE.+slice.+state.+changed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8"/>
        <v>"%USERPROFILE%\Documents\GitHub\eaglep3\Utilities\RefineRTDCRunTimes.py" --tripid 106-09 --locoid 4043 --swversion DE.1.0.9.0 --startMP 204:232752 --initTime 2017-03-09T05:02:17 --startdatetime 2017-03-09T05:11:14 --delay 1 --endMP 204:158 --enddatetime 2017-03-09T05:52:27 --enforcementcount 0 &gt;&gt;C:\Users\stu\Documents\GitHub\eaglep3-reporting\EC\2017-03-09-refined-times.txt</v>
      </c>
      <c r="AI18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{"issue":{"subject":"","project_id":79,"tracker_id":40,"status_id":1,"priority_id":2,"assigned_to_id":23,"start_date":"2017-03-09","description":"","custom_fields":[{"id":1,"name":"Subdivision","value":"EC"},{"id":4,"name":"Milepost","value":"0.0158"},{"id":17,"name":"Train ID","value":"106-09"},{"id":16,"name":"Locomotive ID","value":"4043"},{"id":130,"name":"Impact","value":""},{"id":150,"name":"Time of Event (Mountain Time)","value":"05:52:27"},{"id":151,"name":"Denver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4043 --day 2017-03-09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"%USERPROFILE%\AppData\Local\Temp\OnboardLogs"\RTDC4043\*4043*20170309* | grep -SE "(Enforcement Action)|(\[TIMEOUT)|(CHR.+\|PRM\|1\|D.+(SWITCH|SIGNAL).+UNKNOWN)" - &gt;&gt; 2017-03-09-UncaughtWiMAX.txt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626</v>
      </c>
      <c r="B19" s="7">
        <v>4029</v>
      </c>
      <c r="C19" s="21" t="s">
        <v>242</v>
      </c>
      <c r="D19" s="21" t="s">
        <v>217</v>
      </c>
      <c r="E19" s="13">
        <v>42803.183692129627</v>
      </c>
      <c r="F19" s="13">
        <v>42803.187685185185</v>
      </c>
      <c r="G19" s="7">
        <v>1</v>
      </c>
      <c r="H19" s="21" t="s">
        <v>816</v>
      </c>
      <c r="I19" s="13">
        <v>42803.213125000002</v>
      </c>
      <c r="J19" s="7">
        <v>0</v>
      </c>
      <c r="K19" s="98" t="str">
        <f t="shared" si="0"/>
        <v>4029/4030</v>
      </c>
      <c r="L19" s="21" t="str">
        <f>VLOOKUP(A19,'Trips&amp;Operators'!$C$1:$G$99999,5,FALSE)</f>
        <v>GEBRETEKLE DAGNEW</v>
      </c>
      <c r="M19" s="6">
        <f t="shared" si="1"/>
        <v>2.5439814817218576E-2</v>
      </c>
      <c r="N19" s="7">
        <f t="shared" si="2"/>
        <v>36.633333336794749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-03-09T03:24:31-0700',mode:absolute,to:'2017-03-09T06:06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9" s="187" t="str">
        <f t="shared" si="6"/>
        <v>N</v>
      </c>
      <c r="X19" s="187">
        <f t="shared" si="7"/>
        <v>1</v>
      </c>
      <c r="Y19" s="62">
        <f t="shared" si="8"/>
        <v>4.5699999999999998E-2</v>
      </c>
      <c r="Z19" s="62">
        <f t="shared" si="9"/>
        <v>23.333200000000001</v>
      </c>
      <c r="AA19" s="62">
        <f t="shared" si="10"/>
        <v>23.287500000000001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0107-09</v>
      </c>
      <c r="AE19" s="85" t="str">
        <f t="shared" si="12"/>
        <v>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 &amp; 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</v>
      </c>
      <c r="AF19" s="82" t="str">
        <f t="shared" si="13"/>
        <v>"C:\Program Files (x86)\AstroGrep\AstroGrep.exe" /e /r /s /spath="%USERPROFILE%\AppData\Local\Temp\OnboardLogs" /stypes="app*4029*20170309*" /stext=" 12:.+((SYSTEM_STATE.+slice.+state.+changed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8"/>
        <v>"%USERPROFILE%\Documents\GitHub\eaglep3\Utilities\RefineRTDCRunTimes.py" --tripid 107-09 --locoid 4029 --swversion DE.1.0.9.0 --startMP 204:457 --initTime 2017-03-09T04:24:31 --startdatetime 2017-03-09T04:30:16 --delay 1 --endMP 204:233332 --enddatetime 2017-03-09T05:06:54 --enforcementcount 0 &gt;&gt;C:\Users\stu\Documents\GitHub\eaglep3-reporting\EC\2017-03-09-refined-times.txt</v>
      </c>
      <c r="AI19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{"issue":{"subject":"","project_id":79,"tracker_id":40,"status_id":1,"priority_id":2,"assigned_to_id":23,"start_date":"2017-03-09","description":"","custom_fields":[{"id":1,"name":"Subdivision","value":"EC"},{"id":4,"name":"Milepost","value":"23.3332"},{"id":17,"name":"Train ID","value":"107-09"},{"id":16,"name":"Locomotive ID","value":"4029"},{"id":130,"name":"Impact","value":""},{"id":150,"name":"Time of Event (Mountain Time)","value":"05:06:54"},{"id":151,"name":"Denver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4029 --day 2017-03-09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"%USERPROFILE%\AppData\Local\Temp\OnboardLogs"\RTDC4029\*4029*20170309* | grep -SE "(Enforcement Action)|(\[TIMEOUT)|(CHR.+\|PRM\|1\|D.+(SWITCH|SIGNAL).+UNKNOWN)" - &gt;&gt; 2017-03-09-UncaughtWiMAX.txt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637</v>
      </c>
      <c r="B20" s="7">
        <v>4030</v>
      </c>
      <c r="C20" s="21" t="s">
        <v>242</v>
      </c>
      <c r="D20" s="21" t="s">
        <v>465</v>
      </c>
      <c r="E20" s="13">
        <v>42803.223946759259</v>
      </c>
      <c r="F20" s="13">
        <v>42803.226574074077</v>
      </c>
      <c r="G20" s="7">
        <v>1</v>
      </c>
      <c r="H20" s="21" t="s">
        <v>192</v>
      </c>
      <c r="I20" s="13">
        <v>42803.253761574073</v>
      </c>
      <c r="J20" s="7">
        <v>0</v>
      </c>
      <c r="K20" s="98" t="str">
        <f t="shared" si="0"/>
        <v>4029/4030</v>
      </c>
      <c r="L20" s="21" t="str">
        <f>VLOOKUP(A20,'Trips&amp;Operators'!$C$1:$G$99999,5,FALSE)</f>
        <v>GEBRETEKLE DAGNEW</v>
      </c>
      <c r="M20" s="6">
        <f t="shared" si="1"/>
        <v>2.7187499996216502E-2</v>
      </c>
      <c r="N20" s="7">
        <f t="shared" si="2"/>
        <v>39.149999994551763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-03-09T04:22:29-0700',mode:absolute,to:'2017-03-09T07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" s="187" t="str">
        <f t="shared" si="6"/>
        <v>N</v>
      </c>
      <c r="X20" s="187">
        <f t="shared" si="7"/>
        <v>1</v>
      </c>
      <c r="Y20" s="62">
        <f t="shared" si="8"/>
        <v>23.3019</v>
      </c>
      <c r="Z20" s="62">
        <f t="shared" si="9"/>
        <v>1.4999999999999999E-2</v>
      </c>
      <c r="AA20" s="62">
        <f t="shared" si="10"/>
        <v>23.286899999999999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0108-09</v>
      </c>
      <c r="AE20" s="85" t="str">
        <f t="shared" si="12"/>
        <v>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 &amp; 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</v>
      </c>
      <c r="AF20" s="82" t="str">
        <f t="shared" si="13"/>
        <v>"C:\Program Files (x86)\AstroGrep\AstroGrep.exe" /e /r /s /spath="%USERPROFILE%\AppData\Local\Temp\OnboardLogs" /stypes="app*4030*20170309*" /stext=" 13:.+((SYSTEM_STATE.+slice.+state.+changed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8"/>
        <v>"%USERPROFILE%\Documents\GitHub\eaglep3\Utilities\RefineRTDCRunTimes.py" --tripid 108-09 --locoid 4030 --swversion DE.1.0.9.0 --startMP 204:233019 --initTime 2017-03-09T05:22:29 --startdatetime 2017-03-09T05:26:16 --delay 1 --endMP 204:150 --enddatetime 2017-03-09T06:05:25 --enforcementcount 0 &gt;&gt;C:\Users\stu\Documents\GitHub\eaglep3-reporting\EC\2017-03-09-refined-times.txt</v>
      </c>
      <c r="AI20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{"issue":{"subject":"","project_id":79,"tracker_id":40,"status_id":1,"priority_id":2,"assigned_to_id":23,"start_date":"2017-03-09","description":"","custom_fields":[{"id":1,"name":"Subdivision","value":"EC"},{"id":4,"name":"Milepost","value":"0.015"},{"id":17,"name":"Train ID","value":"108-09"},{"id":16,"name":"Locomotive ID","value":"4030"},{"id":130,"name":"Impact","value":""},{"id":150,"name":"Time of Event (Mountain Time)","value":"06:05:25"},{"id":151,"name":"Denver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4030 --day 2017-03-09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"%USERPROFILE%\AppData\Local\Temp\OnboardLogs"\RTDC4030\*4030*20170309* | grep -SE "(Enforcement Action)|(\[TIMEOUT)|(CHR.+\|PRM\|1\|D.+(SWITCH|SIGNAL).+UNKNOWN)" - &gt;&gt; 2017-03-09-UncaughtWiMAX.txt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629</v>
      </c>
      <c r="B21" s="7">
        <v>4040</v>
      </c>
      <c r="C21" s="21" t="s">
        <v>242</v>
      </c>
      <c r="D21" s="21" t="s">
        <v>227</v>
      </c>
      <c r="E21" s="13">
        <v>42803.195613425924</v>
      </c>
      <c r="F21" s="13">
        <v>42803.198136574072</v>
      </c>
      <c r="G21" s="7">
        <v>1</v>
      </c>
      <c r="H21" s="21" t="s">
        <v>273</v>
      </c>
      <c r="I21" s="13">
        <v>42803.222905092596</v>
      </c>
      <c r="J21" s="7">
        <v>0</v>
      </c>
      <c r="K21" s="98" t="str">
        <f t="shared" si="0"/>
        <v>4039/4040</v>
      </c>
      <c r="L21" s="21" t="str">
        <f>VLOOKUP(A21,'Trips&amp;Operators'!$C$1:$G$99999,5,FALSE)</f>
        <v>ROCHA YAOTL</v>
      </c>
      <c r="M21" s="6">
        <f t="shared" si="1"/>
        <v>2.4768518524069805E-2</v>
      </c>
      <c r="N21" s="7">
        <f t="shared" si="2"/>
        <v>35.666666674660519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-03-09T03:41:41-0700',mode:absolute,to:'2017-03-09T06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" s="187" t="str">
        <f t="shared" si="6"/>
        <v>N</v>
      </c>
      <c r="X21" s="187">
        <f t="shared" si="7"/>
        <v>1</v>
      </c>
      <c r="Y21" s="62">
        <f t="shared" si="8"/>
        <v>4.5499999999999999E-2</v>
      </c>
      <c r="Z21" s="62">
        <f t="shared" si="9"/>
        <v>23.329499999999999</v>
      </c>
      <c r="AA21" s="62">
        <f t="shared" si="10"/>
        <v>23.283999999999999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0109-09</v>
      </c>
      <c r="AE21" s="85" t="str">
        <f t="shared" si="12"/>
        <v>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 &amp; 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</v>
      </c>
      <c r="AF21" s="82" t="str">
        <f t="shared" si="13"/>
        <v>"C:\Program Files (x86)\AstroGrep\AstroGrep.exe" /e /r /s /spath="%USERPROFILE%\AppData\Local\Temp\OnboardLogs" /stypes="app*4040*20170309*" /stext=" 12:.+((SYSTEM_STATE.+slice.+state.+changed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8"/>
        <v>"%USERPROFILE%\Documents\GitHub\eaglep3\Utilities\RefineRTDCRunTimes.py" --tripid 109-09 --locoid 4040 --swversion DE.1.0.9.0 --startMP 204:455 --initTime 2017-03-09T04:41:41 --startdatetime 2017-03-09T04:45:19 --delay 1 --endMP 204:233295 --enddatetime 2017-03-09T05:20:59 --enforcementcount 0 &gt;&gt;C:\Users\stu\Documents\GitHub\eaglep3-reporting\EC\2017-03-09-refined-times.txt</v>
      </c>
      <c r="AI21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{"issue":{"subject":"","project_id":79,"tracker_id":40,"status_id":1,"priority_id":2,"assigned_to_id":23,"start_date":"2017-03-09","description":"","custom_fields":[{"id":1,"name":"Subdivision","value":"EC"},{"id":4,"name":"Milepost","value":"23.3295"},{"id":17,"name":"Train ID","value":"109-09"},{"id":16,"name":"Locomotive ID","value":"4040"},{"id":130,"name":"Impact","value":""},{"id":150,"name":"Time of Event (Mountain Time)","value":"05:20:59"},{"id":151,"name":"Denver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4040 --day 2017-03-09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"%USERPROFILE%\AppData\Local\Temp\OnboardLogs"\RTDC4040\*4040*20170309* | grep -SE "(Enforcement Action)|(\[TIMEOUT)|(CHR.+\|PRM\|1\|D.+(SWITCH|SIGNAL).+UNKNOWN)" - &gt;&gt; 2017-03-09-UncaughtWiMAX.txt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577</v>
      </c>
      <c r="B22" s="7">
        <v>4039</v>
      </c>
      <c r="C22" s="21" t="s">
        <v>242</v>
      </c>
      <c r="D22" s="21" t="s">
        <v>543</v>
      </c>
      <c r="E22" s="13">
        <v>42803.235358796293</v>
      </c>
      <c r="F22" s="13">
        <v>42803.236956018518</v>
      </c>
      <c r="G22" s="7">
        <v>1</v>
      </c>
      <c r="H22" s="21" t="s">
        <v>235</v>
      </c>
      <c r="I22" s="13">
        <v>42803.264803240738</v>
      </c>
      <c r="J22" s="7">
        <v>0</v>
      </c>
      <c r="K22" s="98" t="str">
        <f t="shared" si="0"/>
        <v>4039/4040</v>
      </c>
      <c r="L22" s="21" t="str">
        <f>VLOOKUP(A22,'Trips&amp;Operators'!$C$1:$G$99999,5,FALSE)</f>
        <v>ROCHA YAOTL</v>
      </c>
      <c r="M22" s="6">
        <f t="shared" si="1"/>
        <v>2.7847222219861578E-2</v>
      </c>
      <c r="N22" s="7">
        <f t="shared" si="2"/>
        <v>40.099999996600673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-03-09T04:38:55-0700',mode:absolute,to:'2017-03-09T07:21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23.298400000000001</v>
      </c>
      <c r="Z22" s="62">
        <f t="shared" si="9"/>
        <v>1.47E-2</v>
      </c>
      <c r="AA22" s="62">
        <f t="shared" si="10"/>
        <v>23.2837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0110-09</v>
      </c>
      <c r="AE22" s="85" t="str">
        <f t="shared" si="12"/>
        <v>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 &amp; 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</v>
      </c>
      <c r="AF22" s="82" t="str">
        <f t="shared" si="13"/>
        <v>"C:\Program Files (x86)\AstroGrep\AstroGrep.exe" /e /r /s /spath="%USERPROFILE%\AppData\Local\Temp\OnboardLogs" /stypes="app*4039*20170309*" /stext=" 13:.+((SYSTEM_STATE.+slice.+state.+changed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8"/>
        <v>"%USERPROFILE%\Documents\GitHub\eaglep3\Utilities\RefineRTDCRunTimes.py" --tripid 110-09 --locoid 4039 --swversion DE.1.0.9.0 --startMP 204:232984 --initTime 2017-03-09T05:38:55 --startdatetime 2017-03-09T05:41:13 --delay 1 --endMP 204:147 --enddatetime 2017-03-09T06:21:19 --enforcementcount 0 &gt;&gt;C:\Users\stu\Documents\GitHub\eaglep3-reporting\EC\2017-03-09-refined-times.txt</v>
      </c>
      <c r="AI22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{"issue":{"subject":"","project_id":79,"tracker_id":40,"status_id":1,"priority_id":2,"assigned_to_id":23,"start_date":"2017-03-09","description":"","custom_fields":[{"id":1,"name":"Subdivision","value":"EC"},{"id":4,"name":"Milepost","value":"0.0147"},{"id":17,"name":"Train ID","value":"110-09"},{"id":16,"name":"Locomotive ID","value":"4039"},{"id":130,"name":"Impact","value":""},{"id":150,"name":"Time of Event (Mountain Time)","value":"06:21:19"},{"id":151,"name":"Denver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4039 --day 2017-03-09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"%USERPROFILE%\AppData\Local\Temp\OnboardLogs"\RTDC4039\*4039*20170309* | grep -SE "(Enforcement Action)|(\[TIMEOUT)|(CHR.+\|PRM\|1\|D.+(SWITCH|SIGNAL).+UNKNOWN)" - &gt;&gt; 2017-03-09-UncaughtWiMAX.txt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632</v>
      </c>
      <c r="B23" s="7">
        <v>4020</v>
      </c>
      <c r="C23" s="21" t="s">
        <v>242</v>
      </c>
      <c r="D23" s="21" t="s">
        <v>823</v>
      </c>
      <c r="E23" s="13">
        <v>42803.207442129627</v>
      </c>
      <c r="F23" s="13">
        <v>42803.208958333336</v>
      </c>
      <c r="G23" s="7">
        <v>1</v>
      </c>
      <c r="H23" s="21" t="s">
        <v>824</v>
      </c>
      <c r="I23" s="13">
        <v>42803.233657407407</v>
      </c>
      <c r="J23" s="7">
        <v>0</v>
      </c>
      <c r="K23" s="98" t="str">
        <f t="shared" si="0"/>
        <v>4019/4020</v>
      </c>
      <c r="L23" s="21" t="str">
        <f>VLOOKUP(A23,'Trips&amp;Operators'!$C$1:$G$99999,5,FALSE)</f>
        <v>YORK EDGAR</v>
      </c>
      <c r="M23" s="6">
        <f t="shared" si="1"/>
        <v>2.4699074070667848E-2</v>
      </c>
      <c r="N23" s="7">
        <f t="shared" si="2"/>
        <v>35.566666661761701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-03-09T03:58:43-0700',mode:absolute,to:'2017-03-09T06:36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" s="187" t="str">
        <f t="shared" si="6"/>
        <v>N</v>
      </c>
      <c r="X23" s="187">
        <f t="shared" si="7"/>
        <v>1</v>
      </c>
      <c r="Y23" s="62">
        <f t="shared" si="8"/>
        <v>7.9699999999999993E-2</v>
      </c>
      <c r="Z23" s="62">
        <f t="shared" si="9"/>
        <v>23.328700000000001</v>
      </c>
      <c r="AA23" s="62">
        <f t="shared" si="10"/>
        <v>23.249000000000002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0111-09</v>
      </c>
      <c r="AE23" s="85" t="str">
        <f t="shared" si="12"/>
        <v>aws s3 cp s3://rtdc.mdm.uploadarchive.raw/RTDC4020/ "%USERPROFILE%\AppData\Local\Temp\OnboardLogs"\RTDC4020\2017-03-09 --exclude "*" --recursive --include "*20170309*" &amp; "%USERPROFILE%\Documents\GitHub\mrs-test-scripts\Headless Mode &amp; Sideloading\WalkAndUnGZ.bat" "%USERPROFILE%\AppData\Local\Temp\OnboardLogs"\RTDC4020\2017-03-09 &amp; 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</v>
      </c>
      <c r="AF23" s="82" t="str">
        <f t="shared" si="13"/>
        <v>"C:\Program Files (x86)\AstroGrep\AstroGrep.exe" /e /r /s /spath="%USERPROFILE%\AppData\Local\Temp\OnboardLogs" /stypes="app*4020*20170309*" /stext=" 12:.+((SYSTEM_STATE.+slice.+state.+changed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8"/>
        <v>"%USERPROFILE%\Documents\GitHub\eaglep3\Utilities\RefineRTDCRunTimes.py" --tripid 111-09 --locoid 4020 --swversion DE.1.0.9.0 --startMP 204:797 --initTime 2017-03-09T04:58:43 --startdatetime 2017-03-09T05:00:54 --delay 1 --endMP 204:233287 --enddatetime 2017-03-09T05:36:28 --enforcementcount 0 &gt;&gt;C:\Users\stu\Documents\GitHub\eaglep3-reporting\EC\2017-03-09-refined-times.txt</v>
      </c>
      <c r="AI23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{"issue":{"subject":"","project_id":79,"tracker_id":40,"status_id":1,"priority_id":2,"assigned_to_id":23,"start_date":"2017-03-09","description":"","custom_fields":[{"id":1,"name":"Subdivision","value":"EC"},{"id":4,"name":"Milepost","value":"23.3287"},{"id":17,"name":"Train ID","value":"111-09"},{"id":16,"name":"Locomotive ID","value":"4020"},{"id":130,"name":"Impact","value":""},{"id":150,"name":"Time of Event (Mountain Time)","value":"05:36:28"},{"id":151,"name":"Denver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4020 --day 2017-03-09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"%USERPROFILE%\AppData\Local\Temp\OnboardLogs"\RTDC4020\*4020*20170309* | grep -SE "(Enforcement Action)|(\[TIMEOUT)|(CHR.+\|PRM\|1\|D.+(SWITCH|SIGNAL).+UNKNOWN)" - &gt;&gt; 2017-03-09-UncaughtWiMAX.txt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641</v>
      </c>
      <c r="B24" s="7">
        <v>4019</v>
      </c>
      <c r="C24" s="21" t="s">
        <v>242</v>
      </c>
      <c r="D24" s="21" t="s">
        <v>825</v>
      </c>
      <c r="E24" s="13">
        <v>42803.246111111112</v>
      </c>
      <c r="F24" s="13">
        <v>42803.247858796298</v>
      </c>
      <c r="G24" s="7">
        <v>1</v>
      </c>
      <c r="H24" s="21" t="s">
        <v>826</v>
      </c>
      <c r="I24" s="13">
        <v>42803.274837962963</v>
      </c>
      <c r="J24" s="7">
        <v>0</v>
      </c>
      <c r="K24" s="98" t="str">
        <f t="shared" si="0"/>
        <v>4019/4020</v>
      </c>
      <c r="L24" s="21" t="str">
        <f>VLOOKUP(A24,'Trips&amp;Operators'!$C$1:$G$99999,5,FALSE)</f>
        <v>YORK EDGAR</v>
      </c>
      <c r="M24" s="6">
        <f t="shared" si="1"/>
        <v>2.6979166665114462E-2</v>
      </c>
      <c r="N24" s="7">
        <f t="shared" si="2"/>
        <v>38.849999997764826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5"/>
        <v>https://d0f6bd738d7f1b3e5a7ca70fe4ff75f0.us-east-1.aws.found.io/app/kibana#/discover/Steve-Slow-Train-Analysis-(2080s-and-2083s)?_g=(refreshInterval:(display:Off,pause:!f,section:0,value:0),time:(from:'2017-03-09T04:54:24-0700',mode:absolute,to:'2017-03-09T07:35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" s="187" t="str">
        <f t="shared" si="6"/>
        <v>N</v>
      </c>
      <c r="X24" s="187">
        <f t="shared" si="7"/>
        <v>1</v>
      </c>
      <c r="Y24" s="62">
        <f t="shared" si="8"/>
        <v>23.2972</v>
      </c>
      <c r="Z24" s="62">
        <f t="shared" si="9"/>
        <v>1.2999999999999999E-2</v>
      </c>
      <c r="AA24" s="62">
        <f t="shared" si="10"/>
        <v>23.284199999999998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0112-09</v>
      </c>
      <c r="AE24" s="85" t="str">
        <f t="shared" si="12"/>
        <v>aws s3 cp s3://rtdc.mdm.uploadarchive.raw/RTDC4019/ "%USERPROFILE%\AppData\Local\Temp\OnboardLogs"\RTDC4019\2017-03-09 --exclude "*" --recursive --include "*20170309*" &amp; "%USERPROFILE%\Documents\GitHub\mrs-test-scripts\Headless Mode &amp; Sideloading\WalkAndUnGZ.bat" "%USERPROFILE%\AppData\Local\Temp\OnboardLogs"\RTDC4019\2017-03-09 &amp; 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</v>
      </c>
      <c r="AF24" s="82" t="str">
        <f t="shared" si="13"/>
        <v>"C:\Program Files (x86)\AstroGrep\AstroGrep.exe" /e /r /s /spath="%USERPROFILE%\AppData\Local\Temp\OnboardLogs" /stypes="app*4019*20170309*" /stext=" 13:.+((SYSTEM_STATE.+slice.+state.+changed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8"/>
        <v>"%USERPROFILE%\Documents\GitHub\eaglep3\Utilities\RefineRTDCRunTimes.py" --tripid 112-09 --locoid 4019 --swversion DE.1.0.9.0 --startMP 204:232972 --initTime 2017-03-09T05:54:24 --startdatetime 2017-03-09T05:56:55 --delay 1 --endMP 204:130 --enddatetime 2017-03-09T06:35:46 --enforcementcount 0 &gt;&gt;C:\Users\stu\Documents\GitHub\eaglep3-reporting\EC\2017-03-09-refined-times.txt</v>
      </c>
      <c r="AI24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{"issue":{"subject":"","project_id":79,"tracker_id":40,"status_id":1,"priority_id":2,"assigned_to_id":23,"start_date":"2017-03-09","description":"","custom_fields":[{"id":1,"name":"Subdivision","value":"EC"},{"id":4,"name":"Milepost","value":"0.013"},{"id":17,"name":"Train ID","value":"112-09"},{"id":16,"name":"Locomotive ID","value":"4019"},{"id":130,"name":"Impact","value":""},{"id":150,"name":"Time of Event (Mountain Time)","value":"06:35:46"},{"id":151,"name":"Denver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4019 --day 2017-03-09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"%USERPROFILE%\AppData\Local\Temp\OnboardLogs"\RTDC4019\*4019*20170309* | grep -SE "(Enforcement Action)|(\[TIMEOUT)|(CHR.+\|PRM\|1\|D.+(SWITCH|SIGNAL).+UNKNOWN)" - &gt;&gt; 2017-03-09-UncaughtWiMAX.txt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636</v>
      </c>
      <c r="B25" s="7">
        <v>4022</v>
      </c>
      <c r="C25" s="21" t="s">
        <v>242</v>
      </c>
      <c r="D25" s="21" t="s">
        <v>269</v>
      </c>
      <c r="E25" s="13">
        <v>42803.211331018516</v>
      </c>
      <c r="F25" s="13">
        <v>42803.219178240739</v>
      </c>
      <c r="G25" s="7">
        <v>2</v>
      </c>
      <c r="H25" s="21" t="s">
        <v>460</v>
      </c>
      <c r="I25" s="13">
        <v>42803.245520833334</v>
      </c>
      <c r="J25" s="7">
        <v>0</v>
      </c>
      <c r="K25" s="98" t="str">
        <f t="shared" si="0"/>
        <v>4021/4022</v>
      </c>
      <c r="L25" s="21" t="str">
        <f>VLOOKUP(A25,'Trips&amp;Operators'!$C$1:$G$99999,5,FALSE)</f>
        <v>YOUNG ELIZABETH</v>
      </c>
      <c r="M25" s="6">
        <f t="shared" si="1"/>
        <v>2.6342592595028691E-2</v>
      </c>
      <c r="N25" s="7">
        <f t="shared" si="2"/>
        <v>37.933333336841315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-03-09T04:04:19-0700',mode:absolute,to:'2017-03-09T06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5" s="187" t="str">
        <f t="shared" si="6"/>
        <v>N</v>
      </c>
      <c r="X25" s="187">
        <f t="shared" si="7"/>
        <v>1</v>
      </c>
      <c r="Y25" s="62">
        <f t="shared" si="8"/>
        <v>4.4200000000000003E-2</v>
      </c>
      <c r="Z25" s="62">
        <f t="shared" si="9"/>
        <v>23.3307</v>
      </c>
      <c r="AA25" s="62">
        <f t="shared" si="10"/>
        <v>23.2865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0113-09</v>
      </c>
      <c r="AE25" s="85" t="str">
        <f t="shared" si="12"/>
        <v>aws s3 cp s3://rtdc.mdm.uploadarchive.raw/RTDC4022/ "%USERPROFILE%\AppData\Local\Temp\OnboardLogs"\RTDC4022\2017-03-09 --exclude "*" --recursive --include "*20170309*" &amp; "%USERPROFILE%\Documents\GitHub\mrs-test-scripts\Headless Mode &amp; Sideloading\WalkAndUnGZ.bat" "%USERPROFILE%\AppData\Local\Temp\OnboardLogs"\RTDC4022\2017-03-09 &amp; aws s3 cp s3://rtdc.mdm.uploadarchive.raw/RTDC4022/ "%USERPROFILE%\AppData\Local\Temp\OnboardLogs"\RTDC4022\2017-03-10 --exclude "*" --recursive --include "*20170310*" &amp; "%USERPROFILE%\Documents\GitHub\mrs-test-scripts\Headless Mode &amp; Sideloading\WalkAndUnGZ.bat" "%USERPROFILE%\AppData\Local\Temp\OnboardLogs"\RTDC4022\2017-03-10</v>
      </c>
      <c r="AF25" s="82" t="str">
        <f t="shared" si="13"/>
        <v>"C:\Program Files (x86)\AstroGrep\AstroGrep.exe" /e /r /s /spath="%USERPROFILE%\AppData\Local\Temp\OnboardLogs" /stypes="app*4022*20170309*" /stext=" 12:.+((SYSTEM_STATE.+slice.+state.+changed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8"/>
        <v>"%USERPROFILE%\Documents\GitHub\eaglep3\Utilities\RefineRTDCRunTimes.py" --tripid 113-09 --locoid 4022 --swversion DE.1.0.9.0 --startMP 204:442 --initTime 2017-03-09T05:04:19 --startdatetime 2017-03-09T05:15:37 --delay 2 --endMP 204:233307 --enddatetime 2017-03-09T05:53:33 --enforcementcount 0 &gt;&gt;C:\Users\stu\Documents\GitHub\eaglep3-reporting\EC\2017-03-09-refined-times.txt</v>
      </c>
      <c r="AI25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{"issue":{"subject":"","project_id":79,"tracker_id":40,"status_id":1,"priority_id":2,"assigned_to_id":23,"start_date":"2017-03-09","description":"","custom_fields":[{"id":1,"name":"Subdivision","value":"EC"},{"id":4,"name":"Milepost","value":"23.3307"},{"id":17,"name":"Train ID","value":"113-09"},{"id":16,"name":"Locomotive ID","value":"4022"},{"id":130,"name":"Impact","value":""},{"id":150,"name":"Time of Event (Mountain Time)","value":"05:53:33"},{"id":151,"name":"Denver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4022 --day 2017-03-09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"%USERPROFILE%\AppData\Local\Temp\OnboardLogs"\RTDC4022\*4022*20170309* | grep -SE "(Enforcement Action)|(\[TIMEOUT)|(CHR.+\|PRM\|1\|D.+(SWITCH|SIGNAL).+UNKNOWN)" - &gt;&gt; 2017-03-09-UncaughtWiMAX.txt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578</v>
      </c>
      <c r="B26" s="7">
        <v>4021</v>
      </c>
      <c r="C26" s="21" t="s">
        <v>242</v>
      </c>
      <c r="D26" s="21" t="s">
        <v>283</v>
      </c>
      <c r="E26" s="13">
        <v>42803.248263888891</v>
      </c>
      <c r="F26" s="13">
        <v>42803.257939814815</v>
      </c>
      <c r="G26" s="7">
        <v>1</v>
      </c>
      <c r="H26" s="21" t="s">
        <v>432</v>
      </c>
      <c r="I26" s="13">
        <v>42803.288946759261</v>
      </c>
      <c r="J26" s="7">
        <v>0</v>
      </c>
      <c r="K26" s="98" t="str">
        <f t="shared" si="0"/>
        <v>4021/4022</v>
      </c>
      <c r="L26" s="21" t="str">
        <f>VLOOKUP(A26,'Trips&amp;Operators'!$C$1:$G$99999,5,FALSE)</f>
        <v>YOUNG ELIZABETH</v>
      </c>
      <c r="M26" s="6">
        <f t="shared" si="1"/>
        <v>3.1006944445834961E-2</v>
      </c>
      <c r="N26" s="7">
        <f t="shared" si="2"/>
        <v>44.650000002002344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-03-09T04:57:30-0700',mode:absolute,to:'2017-03-09T07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23.297799999999999</v>
      </c>
      <c r="Z26" s="62">
        <f t="shared" si="9"/>
        <v>1.6E-2</v>
      </c>
      <c r="AA26" s="62">
        <f t="shared" si="10"/>
        <v>23.2818</v>
      </c>
      <c r="AB26" s="59" t="str">
        <f>VLOOKUP(A26,Enforcements!$C$7:$K$13,8,0)</f>
        <v>Bulletin (2)</v>
      </c>
      <c r="AC26" s="55" t="str">
        <f>VLOOKUP(A26,Enforcements!$C$7:$E$13,3,0)</f>
        <v>GRADE CROSSING</v>
      </c>
      <c r="AD26" s="56" t="str">
        <f t="shared" si="11"/>
        <v>0114-09</v>
      </c>
      <c r="AE26" s="85" t="str">
        <f t="shared" si="12"/>
        <v>aws s3 cp s3://rtdc.mdm.uploadarchive.raw/RTDC4021/ "%USERPROFILE%\AppData\Local\Temp\OnboardLogs"\RTDC4021\2017-03-09 --exclude "*" --recursive --include "*20170309*" &amp; "%USERPROFILE%\Documents\GitHub\mrs-test-scripts\Headless Mode &amp; Sideloading\WalkAndUnGZ.bat" "%USERPROFILE%\AppData\Local\Temp\OnboardLogs"\RTDC4021\2017-03-09 &amp; aws s3 cp s3://rtdc.mdm.uploadarchive.raw/RTDC4021/ "%USERPROFILE%\AppData\Local\Temp\OnboardLogs"\RTDC4021\2017-03-10 --exclude "*" --recursive --include "*20170310*" &amp; "%USERPROFILE%\Documents\GitHub\mrs-test-scripts\Headless Mode &amp; Sideloading\WalkAndUnGZ.bat" "%USERPROFILE%\AppData\Local\Temp\OnboardLogs"\RTDC4021\2017-03-10</v>
      </c>
      <c r="AF26" s="82" t="str">
        <f t="shared" si="13"/>
        <v>"C:\Program Files (x86)\AstroGrep\AstroGrep.exe" /e /r /s /spath="%USERPROFILE%\AppData\Local\Temp\OnboardLogs" /stypes="app*4021*20170309*" /stext=" 13:.+((SYSTEM_STATE.+slice.+state.+changed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8"/>
        <v>"%USERPROFILE%\Documents\GitHub\eaglep3\Utilities\RefineRTDCRunTimes.py" --tripid 114-09 --locoid 4021 --swversion DE.1.0.9.0 --startMP 204:232978 --initTime 2017-03-09T05:57:30 --startdatetime 2017-03-09T06:11:26 --delay 1 --endMP 204:160 --enddatetime 2017-03-09T06:56:05 --enforcementcount 0 &gt;&gt;C:\Users\stu\Documents\GitHub\eaglep3-reporting\EC\2017-03-09-refined-times.txt</v>
      </c>
      <c r="AI26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{"issue":{"subject":"","project_id":79,"tracker_id":40,"status_id":1,"priority_id":2,"assigned_to_id":23,"start_date":"2017-03-09","description":"","custom_fields":[{"id":1,"name":"Subdivision","value":"EC"},{"id":4,"name":"Milepost","value":"0.016"},{"id":17,"name":"Train ID","value":"114-09"},{"id":16,"name":"Locomotive ID","value":"4021"},{"id":130,"name":"Impact","value":""},{"id":150,"name":"Time of Event (Mountain Time)","value":"06:56:05"},{"id":151,"name":"Denver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4021 --day 2017-03-09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"%USERPROFILE%\AppData\Local\Temp\OnboardLogs"\RTDC4021\*4021*20170309* | grep -SE "(Enforcement Action)|(\[TIMEOUT)|(CHR.+\|PRM\|1\|D.+(SWITCH|SIGNAL).+UNKNOWN)" - &gt;&gt; 2017-03-09-UncaughtWiMAX.txt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638</v>
      </c>
      <c r="B27" s="7">
        <v>4016</v>
      </c>
      <c r="C27" s="21" t="s">
        <v>242</v>
      </c>
      <c r="D27" s="21" t="s">
        <v>827</v>
      </c>
      <c r="E27" s="13">
        <v>42803.22693287037</v>
      </c>
      <c r="F27" s="13">
        <v>42803.229351851849</v>
      </c>
      <c r="G27" s="7">
        <v>2</v>
      </c>
      <c r="H27" s="21" t="s">
        <v>273</v>
      </c>
      <c r="I27" s="13">
        <v>42803.25509259259</v>
      </c>
      <c r="J27" s="7">
        <v>0</v>
      </c>
      <c r="K27" s="98" t="str">
        <f t="shared" si="0"/>
        <v>4015/4016</v>
      </c>
      <c r="L27" s="21" t="str">
        <f>VLOOKUP(A27,'Trips&amp;Operators'!$C$1:$G$99999,5,FALSE)</f>
        <v>STARKS ANGELINA</v>
      </c>
      <c r="M27" s="6">
        <f t="shared" si="1"/>
        <v>2.5740740740729962E-2</v>
      </c>
      <c r="N27" s="7">
        <f t="shared" si="2"/>
        <v>37.066666666651145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5"/>
        <v>https://d0f6bd738d7f1b3e5a7ca70fe4ff75f0.us-east-1.aws.found.io/app/kibana#/discover/Steve-Slow-Train-Analysis-(2080s-and-2083s)?_g=(refreshInterval:(display:Off,pause:!f,section:0,value:0),time:(from:'2017-03-09T04:26:47-0700',mode:absolute,to:'2017-03-09T07:07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7" s="187" t="str">
        <f t="shared" si="6"/>
        <v>N</v>
      </c>
      <c r="X27" s="187">
        <f t="shared" si="7"/>
        <v>1</v>
      </c>
      <c r="Y27" s="62">
        <f t="shared" si="8"/>
        <v>7.46E-2</v>
      </c>
      <c r="Z27" s="62">
        <f t="shared" si="9"/>
        <v>23.329499999999999</v>
      </c>
      <c r="AA27" s="62">
        <f t="shared" si="10"/>
        <v>23.254899999999999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0115-09</v>
      </c>
      <c r="AE27" s="85" t="str">
        <f t="shared" si="12"/>
        <v>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 &amp; aws s3 cp s3://rtdc.mdm.uploadarchive.raw/RTDC4016/ "%USERPROFILE%\AppData\Local\Temp\OnboardLogs"\RTDC4016\2017-03-10 --exclude "*" --recursive --include "*20170310*" &amp; "%USERPROFILE%\Documents\GitHub\mrs-test-scripts\Headless Mode &amp; Sideloading\WalkAndUnGZ.bat" "%USERPROFILE%\AppData\Local\Temp\OnboardLogs"\RTDC4016\2017-03-10</v>
      </c>
      <c r="AF27" s="82" t="str">
        <f t="shared" si="13"/>
        <v>"C:\Program Files (x86)\AstroGrep\AstroGrep.exe" /e /r /s /spath="%USERPROFILE%\AppData\Local\Temp\OnboardLogs" /stypes="app*4016*20170309*" /stext=" 13:.+((SYSTEM_STATE.+slice.+state.+changed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8"/>
        <v>"%USERPROFILE%\Documents\GitHub\eaglep3\Utilities\RefineRTDCRunTimes.py" --tripid 115-09 --locoid 4016 --swversion DE.1.0.9.0 --startMP 204:746 --initTime 2017-03-09T05:26:47 --startdatetime 2017-03-09T05:30:16 --delay 2 --endMP 204:233295 --enddatetime 2017-03-09T06:07:20 --enforcementcount 0 &gt;&gt;C:\Users\stu\Documents\GitHub\eaglep3-reporting\EC\2017-03-09-refined-times.txt</v>
      </c>
      <c r="AI27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{"issue":{"subject":"","project_id":79,"tracker_id":40,"status_id":1,"priority_id":2,"assigned_to_id":23,"start_date":"2017-03-09","description":"","custom_fields":[{"id":1,"name":"Subdivision","value":"EC"},{"id":4,"name":"Milepost","value":"23.3295"},{"id":17,"name":"Train ID","value":"115-09"},{"id":16,"name":"Locomotive ID","value":"4016"},{"id":130,"name":"Impact","value":""},{"id":150,"name":"Time of Event (Mountain Time)","value":"06:07:20"},{"id":151,"name":"Denver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4016 --day 2017-03-09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"%USERPROFILE%\AppData\Local\Temp\OnboardLogs"\RTDC4016\*4016*20170309* | grep -SE "(Enforcement Action)|(\[TIMEOUT)|(CHR.+\|PRM\|1\|D.+(SWITCH|SIGNAL).+UNKNOWN)" - &gt;&gt; 2017-03-09-UncaughtWiMAX.txt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579</v>
      </c>
      <c r="B28" s="7">
        <v>4015</v>
      </c>
      <c r="C28" s="21" t="s">
        <v>242</v>
      </c>
      <c r="D28" s="21" t="s">
        <v>825</v>
      </c>
      <c r="E28" s="13">
        <v>42803.265416666669</v>
      </c>
      <c r="F28" s="13">
        <v>42803.268240740741</v>
      </c>
      <c r="G28" s="7">
        <v>1</v>
      </c>
      <c r="H28" s="21" t="s">
        <v>184</v>
      </c>
      <c r="I28" s="13">
        <v>42803.2969212963</v>
      </c>
      <c r="J28" s="7">
        <v>0</v>
      </c>
      <c r="K28" s="98" t="str">
        <f t="shared" si="0"/>
        <v>4015/4016</v>
      </c>
      <c r="L28" s="21" t="str">
        <f>VLOOKUP(A28,'Trips&amp;Operators'!$C$1:$G$99999,5,FALSE)</f>
        <v>STARKS ANGELINA</v>
      </c>
      <c r="M28" s="6">
        <f t="shared" si="1"/>
        <v>2.8680555558821652E-2</v>
      </c>
      <c r="N28" s="7">
        <f t="shared" si="2"/>
        <v>41.300000004703179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-03-09T05:22:12-0700',mode:absolute,to:'2017-03-09T08:07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23.2972</v>
      </c>
      <c r="Z28" s="62">
        <f t="shared" si="9"/>
        <v>1.49E-2</v>
      </c>
      <c r="AA28" s="62">
        <f t="shared" si="10"/>
        <v>23.282299999999999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0116-09</v>
      </c>
      <c r="AE28" s="85" t="str">
        <f t="shared" si="12"/>
        <v>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 &amp; aws s3 cp s3://rtdc.mdm.uploadarchive.raw/RTDC4015/ "%USERPROFILE%\AppData\Local\Temp\OnboardLogs"\RTDC4015\2017-03-10 --exclude "*" --recursive --include "*20170310*" &amp; "%USERPROFILE%\Documents\GitHub\mrs-test-scripts\Headless Mode &amp; Sideloading\WalkAndUnGZ.bat" "%USERPROFILE%\AppData\Local\Temp\OnboardLogs"\RTDC4015\2017-03-10</v>
      </c>
      <c r="AF28" s="82" t="str">
        <f t="shared" si="13"/>
        <v>"C:\Program Files (x86)\AstroGrep\AstroGrep.exe" /e /r /s /spath="%USERPROFILE%\AppData\Local\Temp\OnboardLogs" /stypes="app*4015*20170309*" /stext=" 14:.+((SYSTEM_STATE.+slice.+state.+changed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8"/>
        <v>"%USERPROFILE%\Documents\GitHub\eaglep3\Utilities\RefineRTDCRunTimes.py" --tripid 116-09 --locoid 4015 --swversion DE.1.0.9.0 --startMP 204:232972 --initTime 2017-03-09T06:22:12 --startdatetime 2017-03-09T06:26:16 --delay 1 --endMP 204:149 --enddatetime 2017-03-09T07:07:34 --enforcementcount 0 &gt;&gt;C:\Users\stu\Documents\GitHub\eaglep3-reporting\EC\2017-03-09-refined-times.txt</v>
      </c>
      <c r="AI28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{"issue":{"subject":"","project_id":79,"tracker_id":40,"status_id":1,"priority_id":2,"assigned_to_id":23,"start_date":"2017-03-09","description":"","custom_fields":[{"id":1,"name":"Subdivision","value":"EC"},{"id":4,"name":"Milepost","value":"0.0149"},{"id":17,"name":"Train ID","value":"116-09"},{"id":16,"name":"Locomotive ID","value":"4015"},{"id":130,"name":"Impact","value":""},{"id":150,"name":"Time of Event (Mountain Time)","value":"07:07:34"},{"id":151,"name":"Denver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4015 --day 2017-03-09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"%USERPROFILE%\AppData\Local\Temp\OnboardLogs"\RTDC4015\*4015*20170309* | grep -SE "(Enforcement Action)|(\[TIMEOUT)|(CHR.+\|PRM\|1\|D.+(SWITCH|SIGNAL).+UNKNOWN)" - &gt;&gt; 2017-03-09-UncaughtWiMAX.txt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640</v>
      </c>
      <c r="B29" s="7">
        <v>4018</v>
      </c>
      <c r="C29" s="21" t="s">
        <v>242</v>
      </c>
      <c r="D29" s="21" t="s">
        <v>828</v>
      </c>
      <c r="E29" s="13">
        <v>42803.232870370368</v>
      </c>
      <c r="F29" s="13">
        <v>42803.240023148152</v>
      </c>
      <c r="G29" s="7">
        <v>0</v>
      </c>
      <c r="H29" s="21" t="s">
        <v>829</v>
      </c>
      <c r="I29" s="13">
        <v>42803.266319444447</v>
      </c>
      <c r="J29" s="7">
        <v>0</v>
      </c>
      <c r="K29" s="98" t="str">
        <f t="shared" si="0"/>
        <v>4017/4018</v>
      </c>
      <c r="L29" s="21" t="str">
        <f>VLOOKUP(A29,'Trips&amp;Operators'!$C$1:$G$99999,5,FALSE)</f>
        <v>BONDS REYNALDO</v>
      </c>
      <c r="M29" s="6">
        <f t="shared" si="1"/>
        <v>2.6296296295186039E-2</v>
      </c>
      <c r="N29" s="7">
        <f t="shared" si="2"/>
        <v>37.866666665067896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-03-09T04:35:20-0700',mode:absolute,to:'2017-03-09T07:23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9" s="187" t="str">
        <f t="shared" si="6"/>
        <v>N</v>
      </c>
      <c r="X29" s="187">
        <f t="shared" si="7"/>
        <v>1</v>
      </c>
      <c r="Y29" s="62">
        <f t="shared" si="8"/>
        <v>4.2599999999999999E-2</v>
      </c>
      <c r="Z29" s="62">
        <f t="shared" si="9"/>
        <v>23.3276</v>
      </c>
      <c r="AA29" s="62">
        <f t="shared" si="10"/>
        <v>23.285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0117-09</v>
      </c>
      <c r="AE29" s="85" t="str">
        <f t="shared" si="12"/>
        <v>aws s3 cp s3://rtdc.mdm.uploadarchive.raw/RTDC4018/ "%USERPROFILE%\AppData\Local\Temp\OnboardLogs"\RTDC4018\2017-03-09 --exclude "*" --recursive --include "*20170309*" &amp; "%USERPROFILE%\Documents\GitHub\mrs-test-scripts\Headless Mode &amp; Sideloading\WalkAndUnGZ.bat" "%USERPROFILE%\AppData\Local\Temp\OnboardLogs"\RTDC4018\2017-03-09 &amp; 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</v>
      </c>
      <c r="AF29" s="82" t="str">
        <f t="shared" si="13"/>
        <v>"C:\Program Files (x86)\AstroGrep\AstroGrep.exe" /e /r /s /spath="%USERPROFILE%\AppData\Local\Temp\OnboardLogs" /stypes="app*4018*20170309*" /stext=" 13:.+((SYSTEM_STATE.+slice.+state.+changed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8"/>
        <v>"%USERPROFILE%\Documents\GitHub\eaglep3\Utilities\RefineRTDCRunTimes.py" --tripid 117-09 --locoid 4018 --swversion DE.1.0.9.0 --startMP 204:426 --initTime 2017-03-09T05:35:20 --startdatetime 2017-03-09T05:45:38 --delay 0 --endMP 204:233276 --enddatetime 2017-03-09T06:23:30 --enforcementcount 0 &gt;&gt;C:\Users\stu\Documents\GitHub\eaglep3-reporting\EC\2017-03-09-refined-times.txt</v>
      </c>
      <c r="AI29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{"issue":{"subject":"","project_id":79,"tracker_id":40,"status_id":1,"priority_id":2,"assigned_to_id":23,"start_date":"2017-03-09","description":"","custom_fields":[{"id":1,"name":"Subdivision","value":"EC"},{"id":4,"name":"Milepost","value":"23.3276"},{"id":17,"name":"Train ID","value":"117-09"},{"id":16,"name":"Locomotive ID","value":"4018"},{"id":130,"name":"Impact","value":""},{"id":150,"name":"Time of Event (Mountain Time)","value":"06:23:30"},{"id":151,"name":"Denver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4018 --day 2017-03-09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"%USERPROFILE%\AppData\Local\Temp\OnboardLogs"\RTDC4018\*4018*20170309* | grep -SE "(Enforcement Action)|(\[TIMEOUT)|(CHR.+\|PRM\|1\|D.+(SWITCH|SIGNAL).+UNKNOWN)" - &gt;&gt; 2017-03-09-UncaughtWiMAX.txt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649</v>
      </c>
      <c r="B30" s="7">
        <v>4017</v>
      </c>
      <c r="C30" s="21" t="s">
        <v>242</v>
      </c>
      <c r="D30" s="21" t="s">
        <v>830</v>
      </c>
      <c r="E30" s="13">
        <v>42803.275590277779</v>
      </c>
      <c r="F30" s="13">
        <v>42803.278981481482</v>
      </c>
      <c r="G30" s="7">
        <v>0</v>
      </c>
      <c r="H30" s="21" t="s">
        <v>270</v>
      </c>
      <c r="I30" s="13">
        <v>42803.30704861111</v>
      </c>
      <c r="J30" s="7">
        <v>0</v>
      </c>
      <c r="K30" s="98" t="str">
        <f t="shared" si="0"/>
        <v>4017/4018</v>
      </c>
      <c r="L30" s="21" t="str">
        <f>VLOOKUP(A30,'Trips&amp;Operators'!$C$1:$G$99999,5,FALSE)</f>
        <v>BONDS REYNALDO</v>
      </c>
      <c r="M30" s="6">
        <f t="shared" si="1"/>
        <v>2.806712962774327E-2</v>
      </c>
      <c r="N30" s="7">
        <f t="shared" si="2"/>
        <v>40.416666663950309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-03-09T05:36:51-0700',mode:absolute,to:'2017-03-09T08:22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0" s="187" t="str">
        <f t="shared" si="6"/>
        <v>N</v>
      </c>
      <c r="X30" s="187">
        <f t="shared" si="7"/>
        <v>1</v>
      </c>
      <c r="Y30" s="62">
        <f t="shared" si="8"/>
        <v>23.2986</v>
      </c>
      <c r="Z30" s="62">
        <f t="shared" si="9"/>
        <v>1.61E-2</v>
      </c>
      <c r="AA30" s="62">
        <f t="shared" si="10"/>
        <v>23.282499999999999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0118-09</v>
      </c>
      <c r="AE30" s="85" t="str">
        <f t="shared" si="12"/>
        <v>aws s3 cp s3://rtdc.mdm.uploadarchive.raw/RTDC4017/ "%USERPROFILE%\AppData\Local\Temp\OnboardLogs"\RTDC4017\2017-03-09 --exclude "*" --recursive --include "*20170309*" &amp; "%USERPROFILE%\Documents\GitHub\mrs-test-scripts\Headless Mode &amp; Sideloading\WalkAndUnGZ.bat" "%USERPROFILE%\AppData\Local\Temp\OnboardLogs"\RTDC4017\2017-03-09 &amp; aws s3 cp s3://rtdc.mdm.uploadarchive.raw/RTDC4017/ "%USERPROFILE%\AppData\Local\Temp\OnboardLogs"\RTDC4017\2017-03-10 --exclude "*" --recursive --include "*20170310*" &amp; "%USERPROFILE%\Documents\GitHub\mrs-test-scripts\Headless Mode &amp; Sideloading\WalkAndUnGZ.bat" "%USERPROFILE%\AppData\Local\Temp\OnboardLogs"\RTDC4017\2017-03-10</v>
      </c>
      <c r="AF30" s="82" t="str">
        <f t="shared" si="13"/>
        <v>"C:\Program Files (x86)\AstroGrep\AstroGrep.exe" /e /r /s /spath="%USERPROFILE%\AppData\Local\Temp\OnboardLogs" /stypes="app*4017*20170309*" /stext=" 14:.+((SYSTEM_STATE.+slice.+state.+changed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8"/>
        <v>"%USERPROFILE%\Documents\GitHub\eaglep3\Utilities\RefineRTDCRunTimes.py" --tripid 118-09 --locoid 4017 --swversion DE.1.0.9.0 --startMP 204:232986 --initTime 2017-03-09T06:36:51 --startdatetime 2017-03-09T06:41:44 --delay 0 --endMP 204:161 --enddatetime 2017-03-09T07:22:09 --enforcementcount 0 &gt;&gt;C:\Users\stu\Documents\GitHub\eaglep3-reporting\EC\2017-03-09-refined-times.txt</v>
      </c>
      <c r="AI30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{"issue":{"subject":"","project_id":79,"tracker_id":40,"status_id":1,"priority_id":2,"assigned_to_id":23,"start_date":"2017-03-09","description":"","custom_fields":[{"id":1,"name":"Subdivision","value":"EC"},{"id":4,"name":"Milepost","value":"0.0161"},{"id":17,"name":"Train ID","value":"118-09"},{"id":16,"name":"Locomotive ID","value":"4017"},{"id":130,"name":"Impact","value":""},{"id":150,"name":"Time of Event (Mountain Time)","value":"07:22:09"},{"id":151,"name":"Denver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4017 --day 2017-03-09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"%USERPROFILE%\AppData\Local\Temp\OnboardLogs"\RTDC4017\*4017*20170309* | grep -SE "(Enforcement Action)|(\[TIMEOUT)|(CHR.+\|PRM\|1\|D.+(SWITCH|SIGNAL).+UNKNOWN)" - &gt;&gt; 2017-03-09-UncaughtWiMAX.txt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642</v>
      </c>
      <c r="B31" s="7">
        <v>4003</v>
      </c>
      <c r="C31" s="21" t="s">
        <v>242</v>
      </c>
      <c r="D31" s="21" t="s">
        <v>831</v>
      </c>
      <c r="E31" s="13">
        <v>42803.246562499997</v>
      </c>
      <c r="F31" s="13">
        <v>42803.2502662037</v>
      </c>
      <c r="G31" s="7">
        <v>2</v>
      </c>
      <c r="H31" s="21" t="s">
        <v>261</v>
      </c>
      <c r="I31" s="13">
        <v>42803.276064814818</v>
      </c>
      <c r="J31" s="7">
        <v>0</v>
      </c>
      <c r="K31" s="98" t="str">
        <f t="shared" si="0"/>
        <v>4003/4004</v>
      </c>
      <c r="L31" s="21" t="str">
        <f>VLOOKUP(A31,'Trips&amp;Operators'!$C$1:$G$99999,5,FALSE)</f>
        <v>COOLAHAN JOHN</v>
      </c>
      <c r="M31" s="6">
        <f t="shared" si="1"/>
        <v>2.5798611117352266E-2</v>
      </c>
      <c r="N31" s="7">
        <f t="shared" si="2"/>
        <v>37.150000008987263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-03-09T04:55:03-0700',mode:absolute,to:'2017-03-09T07:37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1" s="187" t="str">
        <f t="shared" si="6"/>
        <v>N</v>
      </c>
      <c r="X31" s="187">
        <f t="shared" si="7"/>
        <v>1</v>
      </c>
      <c r="Y31" s="62">
        <f t="shared" si="8"/>
        <v>8.0600000000000005E-2</v>
      </c>
      <c r="Z31" s="62">
        <f t="shared" si="9"/>
        <v>23.331199999999999</v>
      </c>
      <c r="AA31" s="62">
        <f t="shared" si="10"/>
        <v>23.250599999999999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0119-09</v>
      </c>
      <c r="AE31" s="85" t="str">
        <f t="shared" si="12"/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AF31" s="82" t="str">
        <f t="shared" si="13"/>
        <v>"C:\Program Files (x86)\AstroGrep\AstroGrep.exe" /e /r /s /spath="%USERPROFILE%\AppData\Local\Temp\OnboardLogs" /stypes="app*4003*20170309*" /stext=" 13:.+((SYSTEM_STATE.+slice.+state.+changed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8"/>
        <v>"%USERPROFILE%\Documents\GitHub\eaglep3\Utilities\RefineRTDCRunTimes.py" --tripid 119-09 --locoid 4003 --swversion DE.1.0.9.0 --startMP 204:806 --initTime 2017-03-09T05:55:03 --startdatetime 2017-03-09T06:00:23 --delay 2 --endMP 204:233312 --enddatetime 2017-03-09T06:37:32 --enforcementcount 0 &gt;&gt;C:\Users\stu\Documents\GitHub\eaglep3-reporting\EC\2017-03-09-refined-times.txt</v>
      </c>
      <c r="AI31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{"issue":{"subject":"","project_id":79,"tracker_id":40,"status_id":1,"priority_id":2,"assigned_to_id":23,"start_date":"2017-03-09","description":"","custom_fields":[{"id":1,"name":"Subdivision","value":"EC"},{"id":4,"name":"Milepost","value":"23.3312"},{"id":17,"name":"Train ID","value":"119-09"},{"id":16,"name":"Locomotive ID","value":"4003"},{"id":130,"name":"Impact","value":""},{"id":150,"name":"Time of Event (Mountain Time)","value":"06:37:32"},{"id":151,"name":"Denver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4003 --day 2017-03-09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"%USERPROFILE%\AppData\Local\Temp\OnboardLogs"\RTDC4003\*4003*20170309* | grep -SE "(Enforcement Action)|(\[TIMEOUT)|(CHR.+\|PRM\|1\|D.+(SWITCH|SIGNAL).+UNKNOWN)" - &gt;&gt; 2017-03-09-UncaughtWiMAX.txt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652</v>
      </c>
      <c r="B32" s="7">
        <v>4004</v>
      </c>
      <c r="C32" s="21" t="s">
        <v>242</v>
      </c>
      <c r="D32" s="21" t="s">
        <v>832</v>
      </c>
      <c r="E32" s="13">
        <v>42803.282754629632</v>
      </c>
      <c r="F32" s="13">
        <v>42803.289189814815</v>
      </c>
      <c r="G32" s="7">
        <v>2</v>
      </c>
      <c r="H32" s="21" t="s">
        <v>235</v>
      </c>
      <c r="I32" s="13">
        <v>42803.316689814812</v>
      </c>
      <c r="J32" s="7">
        <v>0</v>
      </c>
      <c r="K32" s="98" t="str">
        <f t="shared" si="0"/>
        <v>4003/4004</v>
      </c>
      <c r="L32" s="21" t="str">
        <f>VLOOKUP(A32,'Trips&amp;Operators'!$C$1:$G$99999,5,FALSE)</f>
        <v>COOLAHAN JOHN</v>
      </c>
      <c r="M32" s="6">
        <f t="shared" si="1"/>
        <v>2.749999999650754E-2</v>
      </c>
      <c r="N32" s="7">
        <f t="shared" si="2"/>
        <v>39.599999994970858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-03-09T05:47:10-0700',mode:absolute,to:'2017-03-09T08:36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2" s="187" t="str">
        <f t="shared" si="6"/>
        <v>N</v>
      </c>
      <c r="X32" s="187">
        <f t="shared" si="7"/>
        <v>1</v>
      </c>
      <c r="Y32" s="62">
        <f t="shared" si="8"/>
        <v>23.300999999999998</v>
      </c>
      <c r="Z32" s="62">
        <f t="shared" si="9"/>
        <v>1.47E-2</v>
      </c>
      <c r="AA32" s="62">
        <f t="shared" si="10"/>
        <v>23.286299999999997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0120-09</v>
      </c>
      <c r="AE32" s="85" t="str">
        <f t="shared" si="12"/>
        <v>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 &amp; 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</v>
      </c>
      <c r="AF32" s="82" t="str">
        <f t="shared" si="13"/>
        <v>"C:\Program Files (x86)\AstroGrep\AstroGrep.exe" /e /r /s /spath="%USERPROFILE%\AppData\Local\Temp\OnboardLogs" /stypes="app*4004*20170309*" /stext=" 14:.+((SYSTEM_STATE.+slice.+state.+changed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8"/>
        <v>"%USERPROFILE%\Documents\GitHub\eaglep3\Utilities\RefineRTDCRunTimes.py" --tripid 120-09 --locoid 4004 --swversion DE.1.0.9.0 --startMP 204:233010 --initTime 2017-03-09T06:47:10 --startdatetime 2017-03-09T06:56:26 --delay 2 --endMP 204:147 --enddatetime 2017-03-09T07:36:02 --enforcementcount 0 &gt;&gt;C:\Users\stu\Documents\GitHub\eaglep3-reporting\EC\2017-03-09-refined-times.txt</v>
      </c>
      <c r="AI32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{"issue":{"subject":"","project_id":79,"tracker_id":40,"status_id":1,"priority_id":2,"assigned_to_id":23,"start_date":"2017-03-09","description":"","custom_fields":[{"id":1,"name":"Subdivision","value":"EC"},{"id":4,"name":"Milepost","value":"0.0147"},{"id":17,"name":"Train ID","value":"120-09"},{"id":16,"name":"Locomotive ID","value":"4004"},{"id":130,"name":"Impact","value":""},{"id":150,"name":"Time of Event (Mountain Time)","value":"07:36:02"},{"id":151,"name":"Denver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4004 --day 2017-03-09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"%USERPROFILE%\AppData\Local\Temp\OnboardLogs"\RTDC4004\*4004*20170309* | grep -SE "(Enforcement Action)|(\[TIMEOUT)|(CHR.+\|PRM\|1\|D.+(SWITCH|SIGNAL).+UNKNOWN)" - &gt;&gt; 2017-03-09-UncaughtWiMAX.txt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644</v>
      </c>
      <c r="B33" s="7">
        <v>4029</v>
      </c>
      <c r="C33" s="21" t="s">
        <v>242</v>
      </c>
      <c r="D33" s="21" t="s">
        <v>227</v>
      </c>
      <c r="E33" s="13">
        <v>42803.255960648145</v>
      </c>
      <c r="F33" s="13">
        <v>42803.260648148149</v>
      </c>
      <c r="G33" s="7">
        <v>2</v>
      </c>
      <c r="H33" s="21" t="s">
        <v>833</v>
      </c>
      <c r="I33" s="13">
        <v>42803.285624999997</v>
      </c>
      <c r="J33" s="7">
        <v>0</v>
      </c>
      <c r="K33" s="98" t="str">
        <f t="shared" si="0"/>
        <v>4029/4030</v>
      </c>
      <c r="L33" s="21" t="str">
        <f>VLOOKUP(A33,'Trips&amp;Operators'!$C$1:$G$99999,5,FALSE)</f>
        <v>GEBRETEKLE DAGNEW</v>
      </c>
      <c r="M33" s="6">
        <f t="shared" si="1"/>
        <v>2.4976851847895887E-2</v>
      </c>
      <c r="N33" s="7">
        <f t="shared" si="2"/>
        <v>35.966666660970077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-03-09T05:08:35-0700',mode:absolute,to:'2017-03-09T07:51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3" s="187" t="str">
        <f t="shared" si="6"/>
        <v>N</v>
      </c>
      <c r="X33" s="187">
        <f t="shared" si="7"/>
        <v>1</v>
      </c>
      <c r="Y33" s="62">
        <f t="shared" si="8"/>
        <v>4.5499999999999999E-2</v>
      </c>
      <c r="Z33" s="62">
        <f t="shared" si="9"/>
        <v>23.332000000000001</v>
      </c>
      <c r="AA33" s="62">
        <f t="shared" si="10"/>
        <v>23.2865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0121-09</v>
      </c>
      <c r="AE33" s="85" t="str">
        <f t="shared" si="12"/>
        <v>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 &amp; 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</v>
      </c>
      <c r="AF33" s="82" t="str">
        <f t="shared" si="13"/>
        <v>"C:\Program Files (x86)\AstroGrep\AstroGrep.exe" /e /r /s /spath="%USERPROFILE%\AppData\Local\Temp\OnboardLogs" /stypes="app*4029*20170309*" /stext=" 13:.+((SYSTEM_STATE.+slice.+state.+changed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8"/>
        <v>"%USERPROFILE%\Documents\GitHub\eaglep3\Utilities\RefineRTDCRunTimes.py" --tripid 121-09 --locoid 4029 --swversion DE.1.0.9.0 --startMP 204:455 --initTime 2017-03-09T06:08:35 --startdatetime 2017-03-09T06:15:20 --delay 2 --endMP 204:233320 --enddatetime 2017-03-09T06:51:18 --enforcementcount 0 &gt;&gt;C:\Users\stu\Documents\GitHub\eaglep3-reporting\EC\2017-03-09-refined-times.txt</v>
      </c>
      <c r="AI33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{"issue":{"subject":"","project_id":79,"tracker_id":40,"status_id":1,"priority_id":2,"assigned_to_id":23,"start_date":"2017-03-09","description":"","custom_fields":[{"id":1,"name":"Subdivision","value":"EC"},{"id":4,"name":"Milepost","value":"23.332"},{"id":17,"name":"Train ID","value":"121-09"},{"id":16,"name":"Locomotive ID","value":"4029"},{"id":130,"name":"Impact","value":""},{"id":150,"name":"Time of Event (Mountain Time)","value":"06:51:18"},{"id":151,"name":"Denver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4029 --day 2017-03-09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"%USERPROFILE%\AppData\Local\Temp\OnboardLogs"\RTDC4029\*4029*20170309* | grep -SE "(Enforcement Action)|(\[TIMEOUT)|(CHR.+\|PRM\|1\|D.+(SWITCH|SIGNAL).+UNKNOWN)" - &gt;&gt; 2017-03-09-UncaughtWiMAX.txt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654</v>
      </c>
      <c r="B34" s="7">
        <v>4030</v>
      </c>
      <c r="C34" s="21" t="s">
        <v>242</v>
      </c>
      <c r="D34" s="21" t="s">
        <v>543</v>
      </c>
      <c r="E34" s="13">
        <v>42803.296400462961</v>
      </c>
      <c r="F34" s="13">
        <v>42803.299490740741</v>
      </c>
      <c r="G34" s="7">
        <v>1</v>
      </c>
      <c r="H34" s="21" t="s">
        <v>235</v>
      </c>
      <c r="I34" s="13">
        <v>42803.32707175926</v>
      </c>
      <c r="J34" s="7">
        <v>0</v>
      </c>
      <c r="K34" s="98" t="str">
        <f t="shared" si="0"/>
        <v>4029/4030</v>
      </c>
      <c r="L34" s="21" t="str">
        <f>VLOOKUP(A34,'Trips&amp;Operators'!$C$1:$G$99999,5,FALSE)</f>
        <v>GEBRETEKLE DAGNEW</v>
      </c>
      <c r="M34" s="6">
        <f t="shared" si="1"/>
        <v>2.7581018519413192E-2</v>
      </c>
      <c r="N34" s="7">
        <f t="shared" si="2"/>
        <v>39.716666667954996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5"/>
        <v>https://d0f6bd738d7f1b3e5a7ca70fe4ff75f0.us-east-1.aws.found.io/app/kibana#/discover/Steve-Slow-Train-Analysis-(2080s-and-2083s)?_g=(refreshInterval:(display:Off,pause:!f,section:0,value:0),time:(from:'2017-03-09T06:06:49-0700',mode:absolute,to:'2017-03-09T08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4" s="187" t="str">
        <f t="shared" si="6"/>
        <v>N</v>
      </c>
      <c r="X34" s="187">
        <f t="shared" si="7"/>
        <v>1</v>
      </c>
      <c r="Y34" s="62">
        <f t="shared" si="8"/>
        <v>23.298400000000001</v>
      </c>
      <c r="Z34" s="62">
        <f t="shared" si="9"/>
        <v>1.47E-2</v>
      </c>
      <c r="AA34" s="62">
        <f t="shared" si="10"/>
        <v>23.2837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0122-09</v>
      </c>
      <c r="AE34" s="85" t="str">
        <f t="shared" si="12"/>
        <v>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 &amp; 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</v>
      </c>
      <c r="AF34" s="82" t="str">
        <f t="shared" si="13"/>
        <v>"C:\Program Files (x86)\AstroGrep\AstroGrep.exe" /e /r /s /spath="%USERPROFILE%\AppData\Local\Temp\OnboardLogs" /stypes="app*4030*20170309*" /stext=" 14:.+((SYSTEM_STATE.+slice.+state.+changed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8"/>
        <v>"%USERPROFILE%\Documents\GitHub\eaglep3\Utilities\RefineRTDCRunTimes.py" --tripid 122-09 --locoid 4030 --swversion DE.1.0.9.0 --startMP 204:232984 --initTime 2017-03-09T07:06:49 --startdatetime 2017-03-09T07:11:16 --delay 1 --endMP 204:147 --enddatetime 2017-03-09T07:50:59 --enforcementcount 0 &gt;&gt;C:\Users\stu\Documents\GitHub\eaglep3-reporting\EC\2017-03-09-refined-times.txt</v>
      </c>
      <c r="AI34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{"issue":{"subject":"","project_id":79,"tracker_id":40,"status_id":1,"priority_id":2,"assigned_to_id":23,"start_date":"2017-03-09","description":"","custom_fields":[{"id":1,"name":"Subdivision","value":"EC"},{"id":4,"name":"Milepost","value":"0.0147"},{"id":17,"name":"Train ID","value":"122-09"},{"id":16,"name":"Locomotive ID","value":"4030"},{"id":130,"name":"Impact","value":""},{"id":150,"name":"Time of Event (Mountain Time)","value":"07:50:59"},{"id":151,"name":"Denver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4030 --day 2017-03-09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"%USERPROFILE%\AppData\Local\Temp\OnboardLogs"\RTDC4030\*4030*20170309* | grep -SE "(Enforcement Action)|(\[TIMEOUT)|(CHR.+\|PRM\|1\|D.+(SWITCH|SIGNAL).+UNKNOWN)" - &gt;&gt; 2017-03-09-UncaughtWiMAX.txt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647</v>
      </c>
      <c r="B35" s="7">
        <v>4040</v>
      </c>
      <c r="C35" s="21" t="s">
        <v>242</v>
      </c>
      <c r="D35" s="21" t="s">
        <v>547</v>
      </c>
      <c r="E35" s="13">
        <v>42803.265983796293</v>
      </c>
      <c r="F35" s="13">
        <v>42803.27107638889</v>
      </c>
      <c r="G35" s="7">
        <v>1</v>
      </c>
      <c r="H35" s="21" t="s">
        <v>233</v>
      </c>
      <c r="I35" s="13">
        <v>42803.295752314814</v>
      </c>
      <c r="J35" s="7">
        <v>0</v>
      </c>
      <c r="K35" s="98" t="str">
        <f t="shared" si="0"/>
        <v>4039/4040</v>
      </c>
      <c r="L35" s="21" t="str">
        <f>VLOOKUP(A35,'Trips&amp;Operators'!$C$1:$G$99999,5,FALSE)</f>
        <v>ROCHA YAOTL</v>
      </c>
      <c r="M35" s="6">
        <f t="shared" si="1"/>
        <v>2.4675925924384501E-2</v>
      </c>
      <c r="N35" s="7">
        <f t="shared" si="2"/>
        <v>35.533333331113681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5"/>
        <v>https://d0f6bd738d7f1b3e5a7ca70fe4ff75f0.us-east-1.aws.found.io/app/kibana#/discover/Steve-Slow-Train-Analysis-(2080s-and-2083s)?_g=(refreshInterval:(display:Off,pause:!f,section:0,value:0),time:(from:'2017-03-09T05:23:01-0700',mode:absolute,to:'2017-03-09T08:05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5" s="187" t="str">
        <f t="shared" si="6"/>
        <v>N</v>
      </c>
      <c r="X35" s="187">
        <f t="shared" si="7"/>
        <v>1</v>
      </c>
      <c r="Y35" s="62">
        <f t="shared" si="8"/>
        <v>4.3799999999999999E-2</v>
      </c>
      <c r="Z35" s="62">
        <f t="shared" si="9"/>
        <v>23.331</v>
      </c>
      <c r="AA35" s="62">
        <f t="shared" si="10"/>
        <v>23.287199999999999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0123-09</v>
      </c>
      <c r="AE35" s="85" t="str">
        <f t="shared" si="12"/>
        <v>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 &amp; 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</v>
      </c>
      <c r="AF35" s="82" t="str">
        <f t="shared" si="13"/>
        <v>"C:\Program Files (x86)\AstroGrep\AstroGrep.exe" /e /r /s /spath="%USERPROFILE%\AppData\Local\Temp\OnboardLogs" /stypes="app*4040*20170309*" /stext=" 14:.+((SYSTEM_STATE.+slice.+state.+changed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8"/>
        <v>"%USERPROFILE%\Documents\GitHub\eaglep3\Utilities\RefineRTDCRunTimes.py" --tripid 123-09 --locoid 4040 --swversion DE.1.0.9.0 --startMP 204:438 --initTime 2017-03-09T06:23:01 --startdatetime 2017-03-09T06:30:21 --delay 1 --endMP 204:233310 --enddatetime 2017-03-09T07:05:53 --enforcementcount 0 &gt;&gt;C:\Users\stu\Documents\GitHub\eaglep3-reporting\EC\2017-03-09-refined-times.txt</v>
      </c>
      <c r="AI35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{"issue":{"subject":"","project_id":79,"tracker_id":40,"status_id":1,"priority_id":2,"assigned_to_id":23,"start_date":"2017-03-09","description":"","custom_fields":[{"id":1,"name":"Subdivision","value":"EC"},{"id":4,"name":"Milepost","value":"23.331"},{"id":17,"name":"Train ID","value":"123-09"},{"id":16,"name":"Locomotive ID","value":"4040"},{"id":130,"name":"Impact","value":""},{"id":150,"name":"Time of Event (Mountain Time)","value":"07:05:53"},{"id":151,"name":"Denver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4040 --day 2017-03-09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"%USERPROFILE%\AppData\Local\Temp\OnboardLogs"\RTDC4040\*4040*20170309* | grep -SE "(Enforcement Action)|(\[TIMEOUT)|(CHR.+\|PRM\|1\|D.+(SWITCH|SIGNAL).+UNKNOWN)" - &gt;&gt; 2017-03-09-UncaughtWiMAX.txt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658</v>
      </c>
      <c r="B36" s="7">
        <v>4039</v>
      </c>
      <c r="C36" s="21" t="s">
        <v>242</v>
      </c>
      <c r="D36" s="21" t="s">
        <v>274</v>
      </c>
      <c r="E36" s="13">
        <v>42803.309004629627</v>
      </c>
      <c r="F36" s="13">
        <v>42803.310081018521</v>
      </c>
      <c r="G36" s="7">
        <v>0</v>
      </c>
      <c r="H36" s="21" t="s">
        <v>232</v>
      </c>
      <c r="I36" s="13">
        <v>42803.337337962963</v>
      </c>
      <c r="J36" s="7">
        <v>0</v>
      </c>
      <c r="K36" s="98" t="str">
        <f t="shared" si="0"/>
        <v>4039/4040</v>
      </c>
      <c r="L36" s="21" t="str">
        <f>VLOOKUP(A36,'Trips&amp;Operators'!$C$1:$G$99999,5,FALSE)</f>
        <v>ROCHA YAOTL</v>
      </c>
      <c r="M36" s="6">
        <f t="shared" si="1"/>
        <v>2.7256944442342501E-2</v>
      </c>
      <c r="N36" s="7">
        <f t="shared" si="2"/>
        <v>39.249999996973202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-03-09T06:24:58-0700',mode:absolute,to:'2017-03-09T09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6" s="187" t="str">
        <f t="shared" si="6"/>
        <v>N</v>
      </c>
      <c r="X36" s="187">
        <f t="shared" si="7"/>
        <v>1</v>
      </c>
      <c r="Y36" s="62">
        <f t="shared" si="8"/>
        <v>23.299099999999999</v>
      </c>
      <c r="Z36" s="62">
        <f t="shared" si="9"/>
        <v>1.5599999999999999E-2</v>
      </c>
      <c r="AA36" s="62">
        <f t="shared" si="10"/>
        <v>23.2835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0124-09</v>
      </c>
      <c r="AE36" s="85" t="str">
        <f t="shared" si="12"/>
        <v>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 &amp; 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</v>
      </c>
      <c r="AF36" s="82" t="str">
        <f t="shared" si="13"/>
        <v>"C:\Program Files (x86)\AstroGrep\AstroGrep.exe" /e /r /s /spath="%USERPROFILE%\AppData\Local\Temp\OnboardLogs" /stypes="app*4039*20170309*" /stext=" 15:.+((SYSTEM_STATE.+slice.+state.+changed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8"/>
        <v>"%USERPROFILE%\Documents\GitHub\eaglep3\Utilities\RefineRTDCRunTimes.py" --tripid 124-09 --locoid 4039 --swversion DE.1.0.9.0 --startMP 204:232991 --initTime 2017-03-09T07:24:58 --startdatetime 2017-03-09T07:26:31 --delay 0 --endMP 204:156 --enddatetime 2017-03-09T08:05:46 --enforcementcount 0 &gt;&gt;C:\Users\stu\Documents\GitHub\eaglep3-reporting\EC\2017-03-09-refined-times.txt</v>
      </c>
      <c r="AI36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{"issue":{"subject":"","project_id":79,"tracker_id":40,"status_id":1,"priority_id":2,"assigned_to_id":23,"start_date":"2017-03-09","description":"","custom_fields":[{"id":1,"name":"Subdivision","value":"EC"},{"id":4,"name":"Milepost","value":"0.0156"},{"id":17,"name":"Train ID","value":"124-09"},{"id":16,"name":"Locomotive ID","value":"4039"},{"id":130,"name":"Impact","value":""},{"id":150,"name":"Time of Event (Mountain Time)","value":"08:05:46"},{"id":151,"name":"Denver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4039 --day 2017-03-09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"%USERPROFILE%\AppData\Local\Temp\OnboardLogs"\RTDC4039\*4039*20170309* | grep -SE "(Enforcement Action)|(\[TIMEOUT)|(CHR.+\|PRM\|1\|D.+(SWITCH|SIGNAL).+UNKNOWN)" - &gt;&gt; 2017-03-09-UncaughtWiMAX.txt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651</v>
      </c>
      <c r="B37" s="7">
        <v>4020</v>
      </c>
      <c r="C37" s="21" t="s">
        <v>242</v>
      </c>
      <c r="D37" s="21" t="s">
        <v>243</v>
      </c>
      <c r="E37" s="13">
        <v>42803.276944444442</v>
      </c>
      <c r="F37" s="13">
        <v>42803.28197916667</v>
      </c>
      <c r="G37" s="7">
        <v>1</v>
      </c>
      <c r="H37" s="21" t="s">
        <v>834</v>
      </c>
      <c r="I37" s="13">
        <v>42803.306041666663</v>
      </c>
      <c r="J37" s="7">
        <v>0</v>
      </c>
      <c r="K37" s="98" t="str">
        <f t="shared" si="0"/>
        <v>4019/4020</v>
      </c>
      <c r="L37" s="21" t="str">
        <f>VLOOKUP(A37,'Trips&amp;Operators'!$C$1:$G$99999,5,FALSE)</f>
        <v>YORK EDGAR</v>
      </c>
      <c r="M37" s="6">
        <f t="shared" si="1"/>
        <v>2.4062499993306119E-2</v>
      </c>
      <c r="N37" s="7">
        <f t="shared" si="2"/>
        <v>34.649999990360811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-03-09T05:38:48-0700',mode:absolute,to:'2017-03-09T08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37" s="187" t="str">
        <f t="shared" si="6"/>
        <v>N</v>
      </c>
      <c r="X37" s="187">
        <f t="shared" si="7"/>
        <v>1</v>
      </c>
      <c r="Y37" s="62">
        <f t="shared" si="8"/>
        <v>4.58E-2</v>
      </c>
      <c r="Z37" s="62">
        <f t="shared" si="9"/>
        <v>23.327999999999999</v>
      </c>
      <c r="AA37" s="62">
        <f t="shared" si="10"/>
        <v>23.2822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0125-09</v>
      </c>
      <c r="AE37" s="85" t="str">
        <f t="shared" si="12"/>
        <v>aws s3 cp s3://rtdc.mdm.uploadarchive.raw/RTDC4020/ "%USERPROFILE%\AppData\Local\Temp\OnboardLogs"\RTDC4020\2017-03-09 --exclude "*" --recursive --include "*20170309*" &amp; "%USERPROFILE%\Documents\GitHub\mrs-test-scripts\Headless Mode &amp; Sideloading\WalkAndUnGZ.bat" "%USERPROFILE%\AppData\Local\Temp\OnboardLogs"\RTDC4020\2017-03-09 &amp; 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</v>
      </c>
      <c r="AF37" s="82" t="str">
        <f t="shared" si="13"/>
        <v>"C:\Program Files (x86)\AstroGrep\AstroGrep.exe" /e /r /s /spath="%USERPROFILE%\AppData\Local\Temp\OnboardLogs" /stypes="app*4020*20170309*" /stext=" 14:.+((SYSTEM_STATE.+slice.+state.+changed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8"/>
        <v>"%USERPROFILE%\Documents\GitHub\eaglep3\Utilities\RefineRTDCRunTimes.py" --tripid 125-09 --locoid 4020 --swversion DE.1.0.9.0 --startMP 204:458 --initTime 2017-03-09T06:38:48 --startdatetime 2017-03-09T06:46:03 --delay 1 --endMP 204:233280 --enddatetime 2017-03-09T07:20:42 --enforcementcount 0 &gt;&gt;C:\Users\stu\Documents\GitHub\eaglep3-reporting\EC\2017-03-09-refined-times.txt</v>
      </c>
      <c r="AI37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{"issue":{"subject":"","project_id":79,"tracker_id":40,"status_id":1,"priority_id":2,"assigned_to_id":23,"start_date":"2017-03-09","description":"","custom_fields":[{"id":1,"name":"Subdivision","value":"EC"},{"id":4,"name":"Milepost","value":"23.328"},{"id":17,"name":"Train ID","value":"125-09"},{"id":16,"name":"Locomotive ID","value":"4020"},{"id":130,"name":"Impact","value":""},{"id":150,"name":"Time of Event (Mountain Time)","value":"07:20:42"},{"id":151,"name":"Denver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4020 --day 2017-03-09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"%USERPROFILE%\AppData\Local\Temp\OnboardLogs"\RTDC4020\*4020*20170309* | grep -SE "(Enforcement Action)|(\[TIMEOUT)|(CHR.+\|PRM\|1\|D.+(SWITCH|SIGNAL).+UNKNOWN)" - &gt;&gt; 2017-03-09-UncaughtWiMAX.txt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660</v>
      </c>
      <c r="B38" s="7">
        <v>4019</v>
      </c>
      <c r="C38" s="21" t="s">
        <v>242</v>
      </c>
      <c r="D38" s="21" t="s">
        <v>835</v>
      </c>
      <c r="E38" s="13">
        <v>42803.310983796298</v>
      </c>
      <c r="F38" s="13">
        <v>42803.320289351854</v>
      </c>
      <c r="G38" s="7">
        <v>0</v>
      </c>
      <c r="H38" s="21" t="s">
        <v>836</v>
      </c>
      <c r="I38" s="13">
        <v>42803.347048611111</v>
      </c>
      <c r="J38" s="7">
        <v>0</v>
      </c>
      <c r="K38" s="98" t="str">
        <f t="shared" si="0"/>
        <v>4019/4020</v>
      </c>
      <c r="L38" s="21" t="str">
        <f>VLOOKUP(A38,'Trips&amp;Operators'!$C$1:$G$99999,5,FALSE)</f>
        <v>YORK EDGAR</v>
      </c>
      <c r="M38" s="6">
        <f t="shared" si="1"/>
        <v>2.675925925723277E-2</v>
      </c>
      <c r="N38" s="7">
        <f t="shared" si="2"/>
        <v>38.533333330415189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-03-09T06:27:49-0700',mode:absolute,to:'2017-03-09T09:19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8" s="187" t="str">
        <f t="shared" si="6"/>
        <v>N</v>
      </c>
      <c r="X38" s="187">
        <f t="shared" si="7"/>
        <v>1</v>
      </c>
      <c r="Y38" s="62">
        <f t="shared" si="8"/>
        <v>23.296700000000001</v>
      </c>
      <c r="Z38" s="62">
        <f t="shared" si="9"/>
        <v>0.1171</v>
      </c>
      <c r="AA38" s="62">
        <f t="shared" si="10"/>
        <v>23.179600000000001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0126-09</v>
      </c>
      <c r="AE38" s="85" t="str">
        <f t="shared" si="12"/>
        <v>aws s3 cp s3://rtdc.mdm.uploadarchive.raw/RTDC4019/ "%USERPROFILE%\AppData\Local\Temp\OnboardLogs"\RTDC4019\2017-03-09 --exclude "*" --recursive --include "*20170309*" &amp; "%USERPROFILE%\Documents\GitHub\mrs-test-scripts\Headless Mode &amp; Sideloading\WalkAndUnGZ.bat" "%USERPROFILE%\AppData\Local\Temp\OnboardLogs"\RTDC4019\2017-03-09 &amp; 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</v>
      </c>
      <c r="AF38" s="82" t="str">
        <f t="shared" si="13"/>
        <v>"C:\Program Files (x86)\AstroGrep\AstroGrep.exe" /e /r /s /spath="%USERPROFILE%\AppData\Local\Temp\OnboardLogs" /stypes="app*4019*20170309*" /stext=" 15:.+((SYSTEM_STATE.+slice.+state.+changed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8"/>
        <v>"%USERPROFILE%\Documents\GitHub\eaglep3\Utilities\RefineRTDCRunTimes.py" --tripid 126-09 --locoid 4019 --swversion DE.1.0.9.0 --startMP 204:232967 --initTime 2017-03-09T07:27:49 --startdatetime 2017-03-09T07:41:13 --delay 0 --endMP 204:1171 --enddatetime 2017-03-09T08:19:45 --enforcementcount 0 &gt;&gt;C:\Users\stu\Documents\GitHub\eaglep3-reporting\EC\2017-03-09-refined-times.txt</v>
      </c>
      <c r="AI38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{"issue":{"subject":"","project_id":79,"tracker_id":40,"status_id":1,"priority_id":2,"assigned_to_id":23,"start_date":"2017-03-09","description":"","custom_fields":[{"id":1,"name":"Subdivision","value":"EC"},{"id":4,"name":"Milepost","value":"0.1171"},{"id":17,"name":"Train ID","value":"126-09"},{"id":16,"name":"Locomotive ID","value":"4019"},{"id":130,"name":"Impact","value":""},{"id":150,"name":"Time of Event (Mountain Time)","value":"08:19:45"},{"id":151,"name":"Denver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4019 --day 2017-03-09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"%USERPROFILE%\AppData\Local\Temp\OnboardLogs"\RTDC4019\*4019*20170309* | grep -SE "(Enforcement Action)|(\[TIMEOUT)|(CHR.+\|PRM\|1\|D.+(SWITCH|SIGNAL).+UNKNOWN)" - &gt;&gt; 2017-03-09-UncaughtWiMAX.txt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653</v>
      </c>
      <c r="B39" s="7">
        <v>4022</v>
      </c>
      <c r="C39" s="21" t="s">
        <v>242</v>
      </c>
      <c r="D39" s="21" t="s">
        <v>550</v>
      </c>
      <c r="E39" s="13">
        <v>42803.290081018517</v>
      </c>
      <c r="F39" s="13">
        <v>42803.292071759257</v>
      </c>
      <c r="G39" s="7">
        <v>1</v>
      </c>
      <c r="H39" s="21" t="s">
        <v>261</v>
      </c>
      <c r="I39" s="13">
        <v>42803.318599537037</v>
      </c>
      <c r="J39" s="7">
        <v>0</v>
      </c>
      <c r="K39" s="98" t="str">
        <f t="shared" si="0"/>
        <v>4021/4022</v>
      </c>
      <c r="L39" s="21" t="str">
        <f>VLOOKUP(A39,'Trips&amp;Operators'!$C$1:$G$99999,5,FALSE)</f>
        <v>YOUNG ELIZABETH</v>
      </c>
      <c r="M39" s="6">
        <f t="shared" si="1"/>
        <v>2.6527777779847383E-2</v>
      </c>
      <c r="N39" s="7">
        <f t="shared" si="2"/>
        <v>38.200000002980232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-03-09T05:57:43-0700',mode:absolute,to:'2017-03-09T08:38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9" s="187" t="str">
        <f t="shared" si="6"/>
        <v>N</v>
      </c>
      <c r="X39" s="187">
        <f t="shared" si="7"/>
        <v>1</v>
      </c>
      <c r="Y39" s="62">
        <f t="shared" si="8"/>
        <v>4.8599999999999997E-2</v>
      </c>
      <c r="Z39" s="62">
        <f t="shared" si="9"/>
        <v>23.331199999999999</v>
      </c>
      <c r="AA39" s="62">
        <f t="shared" si="10"/>
        <v>23.282599999999999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0127-09</v>
      </c>
      <c r="AE39" s="85" t="str">
        <f t="shared" si="12"/>
        <v>aws s3 cp s3://rtdc.mdm.uploadarchive.raw/RTDC4022/ "%USERPROFILE%\AppData\Local\Temp\OnboardLogs"\RTDC4022\2017-03-09 --exclude "*" --recursive --include "*20170309*" &amp; "%USERPROFILE%\Documents\GitHub\mrs-test-scripts\Headless Mode &amp; Sideloading\WalkAndUnGZ.bat" "%USERPROFILE%\AppData\Local\Temp\OnboardLogs"\RTDC4022\2017-03-09 &amp; aws s3 cp s3://rtdc.mdm.uploadarchive.raw/RTDC4022/ "%USERPROFILE%\AppData\Local\Temp\OnboardLogs"\RTDC4022\2017-03-10 --exclude "*" --recursive --include "*20170310*" &amp; "%USERPROFILE%\Documents\GitHub\mrs-test-scripts\Headless Mode &amp; Sideloading\WalkAndUnGZ.bat" "%USERPROFILE%\AppData\Local\Temp\OnboardLogs"\RTDC4022\2017-03-10</v>
      </c>
      <c r="AF39" s="82" t="str">
        <f t="shared" si="13"/>
        <v>"C:\Program Files (x86)\AstroGrep\AstroGrep.exe" /e /r /s /spath="%USERPROFILE%\AppData\Local\Temp\OnboardLogs" /stypes="app*4022*20170309*" /stext=" 14:.+((SYSTEM_STATE.+slice.+state.+changed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8"/>
        <v>"%USERPROFILE%\Documents\GitHub\eaglep3\Utilities\RefineRTDCRunTimes.py" --tripid 127-09 --locoid 4022 --swversion DE.1.0.9.0 --startMP 204:486 --initTime 2017-03-09T06:57:43 --startdatetime 2017-03-09T07:00:35 --delay 1 --endMP 204:233312 --enddatetime 2017-03-09T07:38:47 --enforcementcount 0 &gt;&gt;C:\Users\stu\Documents\GitHub\eaglep3-reporting\EC\2017-03-09-refined-times.txt</v>
      </c>
      <c r="AI39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{"issue":{"subject":"","project_id":79,"tracker_id":40,"status_id":1,"priority_id":2,"assigned_to_id":23,"start_date":"2017-03-09","description":"","custom_fields":[{"id":1,"name":"Subdivision","value":"EC"},{"id":4,"name":"Milepost","value":"23.3312"},{"id":17,"name":"Train ID","value":"127-09"},{"id":16,"name":"Locomotive ID","value":"4022"},{"id":130,"name":"Impact","value":""},{"id":150,"name":"Time of Event (Mountain Time)","value":"07:38:47"},{"id":151,"name":"Denver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4022 --day 2017-03-09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"%USERPROFILE%\AppData\Local\Temp\OnboardLogs"\RTDC4022\*4022*20170309* | grep -SE "(Enforcement Action)|(\[TIMEOUT)|(CHR.+\|PRM\|1\|D.+(SWITCH|SIGNAL).+UNKNOWN)" - &gt;&gt; 2017-03-09-UncaughtWiMAX.txt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663</v>
      </c>
      <c r="B40" s="7">
        <v>4021</v>
      </c>
      <c r="C40" s="21" t="s">
        <v>242</v>
      </c>
      <c r="D40" s="21" t="s">
        <v>837</v>
      </c>
      <c r="E40" s="13">
        <v>42803.321574074071</v>
      </c>
      <c r="F40" s="13">
        <v>42803.330879629626</v>
      </c>
      <c r="G40" s="7">
        <v>1</v>
      </c>
      <c r="H40" s="21" t="s">
        <v>546</v>
      </c>
      <c r="I40" s="13">
        <v>42803.360844907409</v>
      </c>
      <c r="J40" s="7">
        <v>0</v>
      </c>
      <c r="K40" s="98" t="str">
        <f t="shared" si="0"/>
        <v>4021/4022</v>
      </c>
      <c r="L40" s="21" t="str">
        <f>VLOOKUP(A40,'Trips&amp;Operators'!$C$1:$G$99999,5,FALSE)</f>
        <v>YOUNG ELIZABETH</v>
      </c>
      <c r="M40" s="6">
        <f t="shared" si="1"/>
        <v>2.9965277783048805E-2</v>
      </c>
      <c r="N40" s="7">
        <f t="shared" si="2"/>
        <v>43.150000007590279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-03-09T06:43:04-0700',mode:absolute,to:'2017-03-09T09:39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0" s="187" t="str">
        <f t="shared" si="6"/>
        <v>N</v>
      </c>
      <c r="X40" s="187">
        <f t="shared" si="7"/>
        <v>1</v>
      </c>
      <c r="Y40" s="62">
        <f t="shared" si="8"/>
        <v>23.298500000000001</v>
      </c>
      <c r="Z40" s="62">
        <f t="shared" si="9"/>
        <v>1.6500000000000001E-2</v>
      </c>
      <c r="AA40" s="62">
        <f t="shared" si="10"/>
        <v>23.282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0128-09</v>
      </c>
      <c r="AE40" s="85" t="str">
        <f t="shared" si="12"/>
        <v>aws s3 cp s3://rtdc.mdm.uploadarchive.raw/RTDC4021/ "%USERPROFILE%\AppData\Local\Temp\OnboardLogs"\RTDC4021\2017-03-09 --exclude "*" --recursive --include "*20170309*" &amp; "%USERPROFILE%\Documents\GitHub\mrs-test-scripts\Headless Mode &amp; Sideloading\WalkAndUnGZ.bat" "%USERPROFILE%\AppData\Local\Temp\OnboardLogs"\RTDC4021\2017-03-09 &amp; aws s3 cp s3://rtdc.mdm.uploadarchive.raw/RTDC4021/ "%USERPROFILE%\AppData\Local\Temp\OnboardLogs"\RTDC4021\2017-03-10 --exclude "*" --recursive --include "*20170310*" &amp; "%USERPROFILE%\Documents\GitHub\mrs-test-scripts\Headless Mode &amp; Sideloading\WalkAndUnGZ.bat" "%USERPROFILE%\AppData\Local\Temp\OnboardLogs"\RTDC4021\2017-03-10</v>
      </c>
      <c r="AF40" s="82" t="str">
        <f t="shared" si="13"/>
        <v>"C:\Program Files (x86)\AstroGrep\AstroGrep.exe" /e /r /s /spath="%USERPROFILE%\AppData\Local\Temp\OnboardLogs" /stypes="app*4021*20170309*" /stext=" 15:.+((SYSTEM_STATE.+slice.+state.+changed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8"/>
        <v>"%USERPROFILE%\Documents\GitHub\eaglep3\Utilities\RefineRTDCRunTimes.py" --tripid 128-09 --locoid 4021 --swversion DE.1.0.9.0 --startMP 204:232985 --initTime 2017-03-09T07:43:04 --startdatetime 2017-03-09T07:56:28 --delay 1 --endMP 204:165 --enddatetime 2017-03-09T08:39:37 --enforcementcount 0 &gt;&gt;C:\Users\stu\Documents\GitHub\eaglep3-reporting\EC\2017-03-09-refined-times.txt</v>
      </c>
      <c r="AI40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{"issue":{"subject":"","project_id":79,"tracker_id":40,"status_id":1,"priority_id":2,"assigned_to_id":23,"start_date":"2017-03-09","description":"","custom_fields":[{"id":1,"name":"Subdivision","value":"EC"},{"id":4,"name":"Milepost","value":"0.0165"},{"id":17,"name":"Train ID","value":"128-09"},{"id":16,"name":"Locomotive ID","value":"4021"},{"id":130,"name":"Impact","value":""},{"id":150,"name":"Time of Event (Mountain Time)","value":"08:39:37"},{"id":151,"name":"Denver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4021 --day 2017-03-09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"%USERPROFILE%\AppData\Local\Temp\OnboardLogs"\RTDC4021\*4021*20170309* | grep -SE "(Enforcement Action)|(\[TIMEOUT)|(CHR.+\|PRM\|1\|D.+(SWITCH|SIGNAL).+UNKNOWN)" - &gt;&gt; 2017-03-09-UncaughtWiMAX.txt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656</v>
      </c>
      <c r="B41" s="7">
        <v>4016</v>
      </c>
      <c r="C41" s="21" t="s">
        <v>242</v>
      </c>
      <c r="D41" s="21" t="s">
        <v>227</v>
      </c>
      <c r="E41" s="13">
        <v>42803.300266203703</v>
      </c>
      <c r="F41" s="13">
        <v>42803.302291666667</v>
      </c>
      <c r="G41" s="7">
        <v>1</v>
      </c>
      <c r="H41" s="21" t="s">
        <v>249</v>
      </c>
      <c r="I41" s="13">
        <v>42803.327407407407</v>
      </c>
      <c r="J41" s="7">
        <v>0</v>
      </c>
      <c r="K41" s="98" t="str">
        <f t="shared" si="0"/>
        <v>4015/4016</v>
      </c>
      <c r="L41" s="21" t="str">
        <f>VLOOKUP(A41,'Trips&amp;Operators'!$C$1:$G$99999,5,FALSE)</f>
        <v>STARKS ANGELINA</v>
      </c>
      <c r="M41" s="6">
        <f t="shared" si="1"/>
        <v>2.5115740740147885E-2</v>
      </c>
      <c r="N41" s="7">
        <f t="shared" si="2"/>
        <v>36.166666665812954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5"/>
        <v>https://d0f6bd738d7f1b3e5a7ca70fe4ff75f0.us-east-1.aws.found.io/app/kibana#/discover/Steve-Slow-Train-Analysis-(2080s-and-2083s)?_g=(refreshInterval:(display:Off,pause:!f,section:0,value:0),time:(from:'2017-03-09T06:12:23-0700',mode:absolute,to:'2017-03-09T08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1" s="187" t="str">
        <f t="shared" si="6"/>
        <v>N</v>
      </c>
      <c r="X41" s="187">
        <f t="shared" si="7"/>
        <v>1</v>
      </c>
      <c r="Y41" s="62">
        <f t="shared" si="8"/>
        <v>4.5499999999999999E-2</v>
      </c>
      <c r="Z41" s="62">
        <f t="shared" si="9"/>
        <v>23.328900000000001</v>
      </c>
      <c r="AA41" s="62">
        <f t="shared" si="10"/>
        <v>23.2834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0129-09</v>
      </c>
      <c r="AE41" s="85" t="str">
        <f t="shared" si="12"/>
        <v>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 &amp; aws s3 cp s3://rtdc.mdm.uploadarchive.raw/RTDC4016/ "%USERPROFILE%\AppData\Local\Temp\OnboardLogs"\RTDC4016\2017-03-10 --exclude "*" --recursive --include "*20170310*" &amp; "%USERPROFILE%\Documents\GitHub\mrs-test-scripts\Headless Mode &amp; Sideloading\WalkAndUnGZ.bat" "%USERPROFILE%\AppData\Local\Temp\OnboardLogs"\RTDC4016\2017-03-10</v>
      </c>
      <c r="AF41" s="82" t="str">
        <f t="shared" si="13"/>
        <v>"C:\Program Files (x86)\AstroGrep\AstroGrep.exe" /e /r /s /spath="%USERPROFILE%\AppData\Local\Temp\OnboardLogs" /stypes="app*4016*20170309*" /stext=" 14:.+((SYSTEM_STATE.+slice.+state.+changed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8"/>
        <v>"%USERPROFILE%\Documents\GitHub\eaglep3\Utilities\RefineRTDCRunTimes.py" --tripid 129-09 --locoid 4016 --swversion DE.1.0.9.0 --startMP 204:455 --initTime 2017-03-09T07:12:23 --startdatetime 2017-03-09T07:15:18 --delay 1 --endMP 204:233289 --enddatetime 2017-03-09T07:51:28 --enforcementcount 0 &gt;&gt;C:\Users\stu\Documents\GitHub\eaglep3-reporting\EC\2017-03-09-refined-times.txt</v>
      </c>
      <c r="AI41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{"issue":{"subject":"","project_id":79,"tracker_id":40,"status_id":1,"priority_id":2,"assigned_to_id":23,"start_date":"2017-03-09","description":"","custom_fields":[{"id":1,"name":"Subdivision","value":"EC"},{"id":4,"name":"Milepost","value":"23.3289"},{"id":17,"name":"Train ID","value":"129-09"},{"id":16,"name":"Locomotive ID","value":"4016"},{"id":130,"name":"Impact","value":""},{"id":150,"name":"Time of Event (Mountain Time)","value":"07:51:28"},{"id":151,"name":"Denver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4016 --day 2017-03-09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"%USERPROFILE%\AppData\Local\Temp\OnboardLogs"\RTDC4016\*4016*20170309* | grep -SE "(Enforcement Action)|(\[TIMEOUT)|(CHR.+\|PRM\|1\|D.+(SWITCH|SIGNAL).+UNKNOWN)" - &gt;&gt; 2017-03-09-UncaughtWiMAX.txt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581</v>
      </c>
      <c r="B42" s="7">
        <v>4015</v>
      </c>
      <c r="C42" s="21" t="s">
        <v>242</v>
      </c>
      <c r="D42" s="21" t="s">
        <v>543</v>
      </c>
      <c r="E42" s="13">
        <v>42803.337627314817</v>
      </c>
      <c r="F42" s="13">
        <v>42803.341145833336</v>
      </c>
      <c r="G42" s="7">
        <v>1</v>
      </c>
      <c r="H42" s="21" t="s">
        <v>194</v>
      </c>
      <c r="I42" s="13">
        <v>42803.36990740741</v>
      </c>
      <c r="J42" s="7">
        <v>0</v>
      </c>
      <c r="K42" s="98" t="str">
        <f t="shared" si="0"/>
        <v>4015/4016</v>
      </c>
      <c r="L42" s="21" t="str">
        <f>VLOOKUP(A42,'Trips&amp;Operators'!$C$1:$G$99999,5,FALSE)</f>
        <v>STARKS ANGELINA</v>
      </c>
      <c r="M42" s="6">
        <f t="shared" si="1"/>
        <v>2.8761574074451346E-2</v>
      </c>
      <c r="N42" s="7">
        <f t="shared" si="2"/>
        <v>41.416666667209938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-03-09T07:06:11-0700',mode:absolute,to:'2017-03-09T09:52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2" s="187" t="str">
        <f t="shared" si="6"/>
        <v>N</v>
      </c>
      <c r="X42" s="187">
        <f t="shared" si="7"/>
        <v>1</v>
      </c>
      <c r="Y42" s="62">
        <f t="shared" si="8"/>
        <v>23.298400000000001</v>
      </c>
      <c r="Z42" s="62">
        <f t="shared" si="9"/>
        <v>1.4500000000000001E-2</v>
      </c>
      <c r="AA42" s="62">
        <f t="shared" si="10"/>
        <v>23.283899999999999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0130-09</v>
      </c>
      <c r="AE42" s="85" t="str">
        <f t="shared" si="12"/>
        <v>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 &amp; aws s3 cp s3://rtdc.mdm.uploadarchive.raw/RTDC4015/ "%USERPROFILE%\AppData\Local\Temp\OnboardLogs"\RTDC4015\2017-03-10 --exclude "*" --recursive --include "*20170310*" &amp; "%USERPROFILE%\Documents\GitHub\mrs-test-scripts\Headless Mode &amp; Sideloading\WalkAndUnGZ.bat" "%USERPROFILE%\AppData\Local\Temp\OnboardLogs"\RTDC4015\2017-03-10</v>
      </c>
      <c r="AF42" s="82" t="str">
        <f t="shared" si="13"/>
        <v>"C:\Program Files (x86)\AstroGrep\AstroGrep.exe" /e /r /s /spath="%USERPROFILE%\AppData\Local\Temp\OnboardLogs" /stypes="app*4015*20170309*" /stext=" 15:.+((SYSTEM_STATE.+slice.+state.+changed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8"/>
        <v>"%USERPROFILE%\Documents\GitHub\eaglep3\Utilities\RefineRTDCRunTimes.py" --tripid 130-09 --locoid 4015 --swversion DE.1.0.9.0 --startMP 204:232984 --initTime 2017-03-09T08:06:11 --startdatetime 2017-03-09T08:11:15 --delay 1 --endMP 204:145 --enddatetime 2017-03-09T08:52:40 --enforcementcount 0 &gt;&gt;C:\Users\stu\Documents\GitHub\eaglep3-reporting\EC\2017-03-09-refined-times.txt</v>
      </c>
      <c r="AI42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{"issue":{"subject":"","project_id":79,"tracker_id":40,"status_id":1,"priority_id":2,"assigned_to_id":23,"start_date":"2017-03-09","description":"","custom_fields":[{"id":1,"name":"Subdivision","value":"EC"},{"id":4,"name":"Milepost","value":"0.0145"},{"id":17,"name":"Train ID","value":"130-09"},{"id":16,"name":"Locomotive ID","value":"4015"},{"id":130,"name":"Impact","value":""},{"id":150,"name":"Time of Event (Mountain Time)","value":"08:52:40"},{"id":151,"name":"Denver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4015 --day 2017-03-09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"%USERPROFILE%\AppData\Local\Temp\OnboardLogs"\RTDC4015\*4015*20170309* | grep -SE "(Enforcement Action)|(\[TIMEOUT)|(CHR.+\|PRM\|1\|D.+(SWITCH|SIGNAL).+UNKNOWN)" - &gt;&gt; 2017-03-09-UncaughtWiMAX.txt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659</v>
      </c>
      <c r="B43" s="7">
        <v>4018</v>
      </c>
      <c r="C43" s="21" t="s">
        <v>242</v>
      </c>
      <c r="D43" s="21" t="s">
        <v>441</v>
      </c>
      <c r="E43" s="13">
        <v>42803.308900462966</v>
      </c>
      <c r="F43" s="13">
        <v>42803.312905092593</v>
      </c>
      <c r="G43" s="7">
        <v>1</v>
      </c>
      <c r="H43" s="21" t="s">
        <v>540</v>
      </c>
      <c r="I43" s="13">
        <v>42803.339259259257</v>
      </c>
      <c r="J43" s="7">
        <v>0</v>
      </c>
      <c r="K43" s="98" t="str">
        <f t="shared" si="0"/>
        <v>4017/4018</v>
      </c>
      <c r="L43" s="21" t="str">
        <f>VLOOKUP(A43,'Trips&amp;Operators'!$C$1:$G$99999,5,FALSE)</f>
        <v>BONDS REYNALDO</v>
      </c>
      <c r="M43" s="6">
        <f t="shared" si="1"/>
        <v>2.6354166664532386E-2</v>
      </c>
      <c r="N43" s="7">
        <f t="shared" si="2"/>
        <v>37.949999996926636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-03-09T06:24:49-0700',mode:absolute,to:'2017-03-09T09:08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3" s="187" t="str">
        <f t="shared" si="6"/>
        <v>N</v>
      </c>
      <c r="X43" s="187">
        <f t="shared" si="7"/>
        <v>1</v>
      </c>
      <c r="Y43" s="62">
        <f t="shared" si="8"/>
        <v>4.7100000000000003E-2</v>
      </c>
      <c r="Z43" s="62">
        <f t="shared" si="9"/>
        <v>23.3306</v>
      </c>
      <c r="AA43" s="62">
        <f t="shared" si="10"/>
        <v>23.2835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0131-09</v>
      </c>
      <c r="AE43" s="85" t="str">
        <f t="shared" si="12"/>
        <v>aws s3 cp s3://rtdc.mdm.uploadarchive.raw/RTDC4018/ "%USERPROFILE%\AppData\Local\Temp\OnboardLogs"\RTDC4018\2017-03-09 --exclude "*" --recursive --include "*20170309*" &amp; "%USERPROFILE%\Documents\GitHub\mrs-test-scripts\Headless Mode &amp; Sideloading\WalkAndUnGZ.bat" "%USERPROFILE%\AppData\Local\Temp\OnboardLogs"\RTDC4018\2017-03-09 &amp; 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</v>
      </c>
      <c r="AF43" s="82" t="str">
        <f t="shared" si="13"/>
        <v>"C:\Program Files (x86)\AstroGrep\AstroGrep.exe" /e /r /s /spath="%USERPROFILE%\AppData\Local\Temp\OnboardLogs" /stypes="app*4018*20170309*" /stext=" 15:.+((SYSTEM_STATE.+slice.+state.+changed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8"/>
        <v>"%USERPROFILE%\Documents\GitHub\eaglep3\Utilities\RefineRTDCRunTimes.py" --tripid 131-09 --locoid 4018 --swversion DE.1.0.9.0 --startMP 204:471 --initTime 2017-03-09T07:24:49 --startdatetime 2017-03-09T07:30:35 --delay 1 --endMP 204:233306 --enddatetime 2017-03-09T08:08:32 --enforcementcount 0 &gt;&gt;C:\Users\stu\Documents\GitHub\eaglep3-reporting\EC\2017-03-09-refined-times.txt</v>
      </c>
      <c r="AI43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{"issue":{"subject":"","project_id":79,"tracker_id":40,"status_id":1,"priority_id":2,"assigned_to_id":23,"start_date":"2017-03-09","description":"","custom_fields":[{"id":1,"name":"Subdivision","value":"EC"},{"id":4,"name":"Milepost","value":"23.3306"},{"id":17,"name":"Train ID","value":"131-09"},{"id":16,"name":"Locomotive ID","value":"4018"},{"id":130,"name":"Impact","value":""},{"id":150,"name":"Time of Event (Mountain Time)","value":"08:08:32"},{"id":151,"name":"Denver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4018 --day 2017-03-09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"%USERPROFILE%\AppData\Local\Temp\OnboardLogs"\RTDC4018\*4018*20170309* | grep -SE "(Enforcement Action)|(\[TIMEOUT)|(CHR.+\|PRM\|1\|D.+(SWITCH|SIGNAL).+UNKNOWN)" - &gt;&gt; 2017-03-09-UncaughtWiMAX.txt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667</v>
      </c>
      <c r="B44" s="7">
        <v>4017</v>
      </c>
      <c r="C44" s="21" t="s">
        <v>242</v>
      </c>
      <c r="D44" s="21" t="s">
        <v>438</v>
      </c>
      <c r="E44" s="13">
        <v>42803.346770833334</v>
      </c>
      <c r="F44" s="13">
        <v>42803.351550925923</v>
      </c>
      <c r="G44" s="7">
        <v>1</v>
      </c>
      <c r="H44" s="21" t="s">
        <v>432</v>
      </c>
      <c r="I44" s="13">
        <v>42803.379918981482</v>
      </c>
      <c r="J44" s="7">
        <v>0</v>
      </c>
      <c r="K44" s="98" t="str">
        <f t="shared" si="0"/>
        <v>4017/4018</v>
      </c>
      <c r="L44" s="21" t="str">
        <f>VLOOKUP(A44,'Trips&amp;Operators'!$C$1:$G$99999,5,FALSE)</f>
        <v>BONDS REYNALDO</v>
      </c>
      <c r="M44" s="6">
        <f t="shared" si="1"/>
        <v>2.8368055558530614E-2</v>
      </c>
      <c r="N44" s="7">
        <f t="shared" si="2"/>
        <v>40.850000004284084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-03-09T07:19:21-0700',mode:absolute,to:'2017-03-09T10:07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4" s="187" t="str">
        <f t="shared" si="6"/>
        <v>N</v>
      </c>
      <c r="X44" s="187">
        <f t="shared" si="7"/>
        <v>1</v>
      </c>
      <c r="Y44" s="62">
        <f t="shared" si="8"/>
        <v>23.2989</v>
      </c>
      <c r="Z44" s="62">
        <f t="shared" si="9"/>
        <v>1.6E-2</v>
      </c>
      <c r="AA44" s="62">
        <f t="shared" si="10"/>
        <v>23.282900000000001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0132-09</v>
      </c>
      <c r="AE44" s="85" t="str">
        <f t="shared" si="12"/>
        <v>aws s3 cp s3://rtdc.mdm.uploadarchive.raw/RTDC4017/ "%USERPROFILE%\AppData\Local\Temp\OnboardLogs"\RTDC4017\2017-03-09 --exclude "*" --recursive --include "*20170309*" &amp; "%USERPROFILE%\Documents\GitHub\mrs-test-scripts\Headless Mode &amp; Sideloading\WalkAndUnGZ.bat" "%USERPROFILE%\AppData\Local\Temp\OnboardLogs"\RTDC4017\2017-03-09 &amp; aws s3 cp s3://rtdc.mdm.uploadarchive.raw/RTDC4017/ "%USERPROFILE%\AppData\Local\Temp\OnboardLogs"\RTDC4017\2017-03-10 --exclude "*" --recursive --include "*20170310*" &amp; "%USERPROFILE%\Documents\GitHub\mrs-test-scripts\Headless Mode &amp; Sideloading\WalkAndUnGZ.bat" "%USERPROFILE%\AppData\Local\Temp\OnboardLogs"\RTDC4017\2017-03-10</v>
      </c>
      <c r="AF44" s="82" t="str">
        <f t="shared" si="13"/>
        <v>"C:\Program Files (x86)\AstroGrep\AstroGrep.exe" /e /r /s /spath="%USERPROFILE%\AppData\Local\Temp\OnboardLogs" /stypes="app*4017*20170309*" /stext=" 16:.+((SYSTEM_STATE.+slice.+state.+changed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8"/>
        <v>"%USERPROFILE%\Documents\GitHub\eaglep3\Utilities\RefineRTDCRunTimes.py" --tripid 132-09 --locoid 4017 --swversion DE.1.0.9.0 --startMP 204:232989 --initTime 2017-03-09T08:19:21 --startdatetime 2017-03-09T08:26:14 --delay 1 --endMP 204:160 --enddatetime 2017-03-09T09:07:05 --enforcementcount 0 &gt;&gt;C:\Users\stu\Documents\GitHub\eaglep3-reporting\EC\2017-03-09-refined-times.txt</v>
      </c>
      <c r="AI44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{"issue":{"subject":"","project_id":79,"tracker_id":40,"status_id":1,"priority_id":2,"assigned_to_id":23,"start_date":"2017-03-09","description":"","custom_fields":[{"id":1,"name":"Subdivision","value":"EC"},{"id":4,"name":"Milepost","value":"0.016"},{"id":17,"name":"Train ID","value":"132-09"},{"id":16,"name":"Locomotive ID","value":"4017"},{"id":130,"name":"Impact","value":""},{"id":150,"name":"Time of Event (Mountain Time)","value":"09:07:05"},{"id":151,"name":"Denver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4017 --day 2017-03-09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"%USERPROFILE%\AppData\Local\Temp\OnboardLogs"\RTDC4017\*4017*20170309* | grep -SE "(Enforcement Action)|(\[TIMEOUT)|(CHR.+\|PRM\|1\|D.+(SWITCH|SIGNAL).+UNKNOWN)" - &gt;&gt; 2017-03-09-UncaughtWiMAX.txt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580</v>
      </c>
      <c r="B45" s="7">
        <v>4003</v>
      </c>
      <c r="C45" s="21" t="s">
        <v>242</v>
      </c>
      <c r="D45" s="21" t="s">
        <v>436</v>
      </c>
      <c r="E45" s="13">
        <v>42803.318136574075</v>
      </c>
      <c r="F45" s="13">
        <v>42803.323078703703</v>
      </c>
      <c r="G45" s="7">
        <v>1</v>
      </c>
      <c r="H45" s="21" t="s">
        <v>247</v>
      </c>
      <c r="I45" s="13">
        <v>42803.348240740743</v>
      </c>
      <c r="J45" s="7">
        <v>0</v>
      </c>
      <c r="K45" s="98" t="str">
        <f t="shared" si="0"/>
        <v>4003/4004</v>
      </c>
      <c r="L45" s="21" t="str">
        <f>VLOOKUP(A45,'Trips&amp;Operators'!$C$1:$G$99999,5,FALSE)</f>
        <v>COOLAHAN JOHN</v>
      </c>
      <c r="M45" s="6">
        <f t="shared" si="1"/>
        <v>2.5162037039990537E-2</v>
      </c>
      <c r="N45" s="7">
        <f t="shared" si="2"/>
        <v>36.233333337586373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-03-09T06:38:07-0700',mode:absolute,to:'2017-03-09T09:21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5" s="187" t="str">
        <f t="shared" si="6"/>
        <v>N</v>
      </c>
      <c r="X45" s="187">
        <f t="shared" si="7"/>
        <v>1</v>
      </c>
      <c r="Y45" s="62">
        <f t="shared" si="8"/>
        <v>4.3700000000000003E-2</v>
      </c>
      <c r="Z45" s="62">
        <f t="shared" si="9"/>
        <v>23.331399999999999</v>
      </c>
      <c r="AA45" s="62">
        <f t="shared" si="10"/>
        <v>23.287699999999997</v>
      </c>
      <c r="AB45" s="59" t="str">
        <f>VLOOKUP(A45,Enforcements!$C$7:$K$13,8,0)</f>
        <v>Bulletin (2)</v>
      </c>
      <c r="AC45" s="55" t="str">
        <f>VLOOKUP(A45,Enforcements!$C$7:$E$13,3,0)</f>
        <v>GRADE CROSSING</v>
      </c>
      <c r="AD45" s="56" t="str">
        <f t="shared" si="11"/>
        <v>0133-09</v>
      </c>
      <c r="AE45" s="85" t="str">
        <f t="shared" si="12"/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AF45" s="82" t="str">
        <f t="shared" si="13"/>
        <v>"C:\Program Files (x86)\AstroGrep\AstroGrep.exe" /e /r /s /spath="%USERPROFILE%\AppData\Local\Temp\OnboardLogs" /stypes="app*4003*20170309*" /stext=" 15:.+((SYSTEM_STATE.+slice.+state.+changed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8"/>
        <v>"%USERPROFILE%\Documents\GitHub\eaglep3\Utilities\RefineRTDCRunTimes.py" --tripid 133-09 --locoid 4003 --swversion DE.1.0.9.0 --startMP 204:437 --initTime 2017-03-09T07:38:07 --startdatetime 2017-03-09T07:45:14 --delay 1 --endMP 204:233314 --enddatetime 2017-03-09T08:21:28 --enforcementcount 0 &gt;&gt;C:\Users\stu\Documents\GitHub\eaglep3-reporting\EC\2017-03-09-refined-times.txt</v>
      </c>
      <c r="AI45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{"issue":{"subject":"","project_id":79,"tracker_id":40,"status_id":1,"priority_id":2,"assigned_to_id":23,"start_date":"2017-03-09","description":"","custom_fields":[{"id":1,"name":"Subdivision","value":"EC"},{"id":4,"name":"Milepost","value":"23.3314"},{"id":17,"name":"Train ID","value":"133-09"},{"id":16,"name":"Locomotive ID","value":"4003"},{"id":130,"name":"Impact","value":""},{"id":150,"name":"Time of Event (Mountain Time)","value":"08:21:28"},{"id":151,"name":"Denver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4003 --day 2017-03-09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"%USERPROFILE%\AppData\Local\Temp\OnboardLogs"\RTDC4003\*4003*20170309* | grep -SE "(Enforcement Action)|(\[TIMEOUT)|(CHR.+\|PRM\|1\|D.+(SWITCH|SIGNAL).+UNKNOWN)" - &gt;&gt; 2017-03-09-UncaughtWiMAX.txt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669</v>
      </c>
      <c r="B46" s="7">
        <v>4004</v>
      </c>
      <c r="C46" s="21" t="s">
        <v>242</v>
      </c>
      <c r="D46" s="21" t="s">
        <v>422</v>
      </c>
      <c r="E46" s="13">
        <v>42803.352997685186</v>
      </c>
      <c r="F46" s="13">
        <v>42803.362002314818</v>
      </c>
      <c r="G46" s="7">
        <v>1</v>
      </c>
      <c r="H46" s="21" t="s">
        <v>232</v>
      </c>
      <c r="I46" s="13">
        <v>42803.390451388892</v>
      </c>
      <c r="J46" s="7">
        <v>0</v>
      </c>
      <c r="K46" s="98" t="str">
        <f t="shared" si="0"/>
        <v>4003/4004</v>
      </c>
      <c r="L46" s="21" t="str">
        <f>VLOOKUP(A46,'Trips&amp;Operators'!$C$1:$G$99999,5,FALSE)</f>
        <v>ROBINSON KADDIBA</v>
      </c>
      <c r="M46" s="6">
        <f t="shared" si="1"/>
        <v>2.8449074074160308E-2</v>
      </c>
      <c r="N46" s="7">
        <f t="shared" si="2"/>
        <v>40.966666666790843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-03-09T07:28:19-0700',mode:absolute,to:'2017-03-09T10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6" s="187" t="str">
        <f t="shared" si="6"/>
        <v>N</v>
      </c>
      <c r="X46" s="187">
        <f t="shared" si="7"/>
        <v>1</v>
      </c>
      <c r="Y46" s="62">
        <f t="shared" si="8"/>
        <v>23.298200000000001</v>
      </c>
      <c r="Z46" s="62">
        <f t="shared" si="9"/>
        <v>1.5599999999999999E-2</v>
      </c>
      <c r="AA46" s="62">
        <f t="shared" si="10"/>
        <v>23.282600000000002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0134-09</v>
      </c>
      <c r="AE46" s="85" t="str">
        <f t="shared" si="12"/>
        <v>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 &amp; 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</v>
      </c>
      <c r="AF46" s="82" t="str">
        <f t="shared" si="13"/>
        <v>"C:\Program Files (x86)\AstroGrep\AstroGrep.exe" /e /r /s /spath="%USERPROFILE%\AppData\Local\Temp\OnboardLogs" /stypes="app*4004*20170309*" /stext=" 16:.+((SYSTEM_STATE.+slice.+state.+changed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8"/>
        <v>"%USERPROFILE%\Documents\GitHub\eaglep3\Utilities\RefineRTDCRunTimes.py" --tripid 134-09 --locoid 4004 --swversion DE.1.0.9.0 --startMP 204:232982 --initTime 2017-03-09T08:28:19 --startdatetime 2017-03-09T08:41:17 --delay 1 --endMP 204:156 --enddatetime 2017-03-09T09:22:15 --enforcementcount 0 &gt;&gt;C:\Users\stu\Documents\GitHub\eaglep3-reporting\EC\2017-03-09-refined-times.txt</v>
      </c>
      <c r="AI46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{"issue":{"subject":"","project_id":79,"tracker_id":40,"status_id":1,"priority_id":2,"assigned_to_id":23,"start_date":"2017-03-09","description":"","custom_fields":[{"id":1,"name":"Subdivision","value":"EC"},{"id":4,"name":"Milepost","value":"0.0156"},{"id":17,"name":"Train ID","value":"134-09"},{"id":16,"name":"Locomotive ID","value":"4004"},{"id":130,"name":"Impact","value":""},{"id":150,"name":"Time of Event (Mountain Time)","value":"09:22:15"},{"id":151,"name":"Denver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4004 --day 2017-03-09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"%USERPROFILE%\AppData\Local\Temp\OnboardLogs"\RTDC4004\*4004*20170309* | grep -SE "(Enforcement Action)|(\[TIMEOUT)|(CHR.+\|PRM\|1\|D.+(SWITCH|SIGNAL).+UNKNOWN)" - &gt;&gt; 2017-03-09-UncaughtWiMAX.txt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664</v>
      </c>
      <c r="B47" s="7">
        <v>4029</v>
      </c>
      <c r="C47" s="21" t="s">
        <v>242</v>
      </c>
      <c r="D47" s="21" t="s">
        <v>436</v>
      </c>
      <c r="E47" s="13">
        <v>42803.32916666667</v>
      </c>
      <c r="F47" s="13">
        <v>42803.33353009259</v>
      </c>
      <c r="G47" s="7">
        <v>1</v>
      </c>
      <c r="H47" s="21" t="s">
        <v>838</v>
      </c>
      <c r="I47" s="13">
        <v>42803.359178240738</v>
      </c>
      <c r="J47" s="7">
        <v>0</v>
      </c>
      <c r="K47" s="98" t="str">
        <f t="shared" si="0"/>
        <v>4029/4030</v>
      </c>
      <c r="L47" s="21" t="str">
        <f>VLOOKUP(A47,'Trips&amp;Operators'!$C$1:$G$99999,5,FALSE)</f>
        <v>GEBRETEKLE DAGNEW</v>
      </c>
      <c r="M47" s="6">
        <f t="shared" si="1"/>
        <v>2.5648148148320615E-2</v>
      </c>
      <c r="N47" s="7">
        <f t="shared" si="2"/>
        <v>36.933333333581686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-03-09T06:54:00-0700',mode:absolute,to:'2017-03-09T09:37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7" s="187" t="str">
        <f t="shared" si="6"/>
        <v>N</v>
      </c>
      <c r="X47" s="187">
        <f t="shared" si="7"/>
        <v>1</v>
      </c>
      <c r="Y47" s="62">
        <f t="shared" si="8"/>
        <v>4.3700000000000003E-2</v>
      </c>
      <c r="Z47" s="62">
        <f t="shared" si="9"/>
        <v>23.3323</v>
      </c>
      <c r="AA47" s="62">
        <f t="shared" si="10"/>
        <v>23.288599999999999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0135-09</v>
      </c>
      <c r="AE47" s="85" t="str">
        <f t="shared" si="12"/>
        <v>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 &amp; 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</v>
      </c>
      <c r="AF47" s="82" t="str">
        <f t="shared" si="13"/>
        <v>"C:\Program Files (x86)\AstroGrep\AstroGrep.exe" /e /r /s /spath="%USERPROFILE%\AppData\Local\Temp\OnboardLogs" /stypes="app*4029*20170309*" /stext=" 15:.+((SYSTEM_STATE.+slice.+state.+changed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8"/>
        <v>"%USERPROFILE%\Documents\GitHub\eaglep3\Utilities\RefineRTDCRunTimes.py" --tripid 135-09 --locoid 4029 --swversion DE.1.0.9.0 --startMP 204:437 --initTime 2017-03-09T07:54:00 --startdatetime 2017-03-09T08:00:17 --delay 1 --endMP 204:233323 --enddatetime 2017-03-09T08:37:13 --enforcementcount 0 &gt;&gt;C:\Users\stu\Documents\GitHub\eaglep3-reporting\EC\2017-03-09-refined-times.txt</v>
      </c>
      <c r="AI47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{"issue":{"subject":"","project_id":79,"tracker_id":40,"status_id":1,"priority_id":2,"assigned_to_id":23,"start_date":"2017-03-09","description":"","custom_fields":[{"id":1,"name":"Subdivision","value":"EC"},{"id":4,"name":"Milepost","value":"23.3323"},{"id":17,"name":"Train ID","value":"135-09"},{"id":16,"name":"Locomotive ID","value":"4029"},{"id":130,"name":"Impact","value":""},{"id":150,"name":"Time of Event (Mountain Time)","value":"08:37:13"},{"id":151,"name":"Denver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4029 --day 2017-03-09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"%USERPROFILE%\AppData\Local\Temp\OnboardLogs"\RTDC4029\*4029*20170309* | grep -SE "(Enforcement Action)|(\[TIMEOUT)|(CHR.+\|PRM\|1\|D.+(SWITCH|SIGNAL).+UNKNOWN)" - &gt;&gt; 2017-03-09-UncaughtWiMAX.txt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673</v>
      </c>
      <c r="B48" s="7">
        <v>4030</v>
      </c>
      <c r="C48" s="21" t="s">
        <v>242</v>
      </c>
      <c r="D48" s="21" t="s">
        <v>434</v>
      </c>
      <c r="E48" s="13">
        <v>42803.369039351855</v>
      </c>
      <c r="F48" s="13">
        <v>42803.372418981482</v>
      </c>
      <c r="G48" s="7">
        <v>1</v>
      </c>
      <c r="H48" s="21" t="s">
        <v>203</v>
      </c>
      <c r="I48" s="13">
        <v>42803.404791666668</v>
      </c>
      <c r="J48" s="7">
        <v>0</v>
      </c>
      <c r="K48" s="98" t="str">
        <f t="shared" si="0"/>
        <v>4029/4030</v>
      </c>
      <c r="L48" s="21" t="str">
        <f>VLOOKUP(A48,'Trips&amp;Operators'!$C$1:$G$99999,5,FALSE)</f>
        <v>GEBRETEKLE DAGNEW</v>
      </c>
      <c r="M48" s="6">
        <f t="shared" si="1"/>
        <v>3.2372685185691807E-2</v>
      </c>
      <c r="N48" s="7">
        <f t="shared" si="2"/>
        <v>46.616666667396203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-03-09T07:51:25-0700',mode:absolute,to:'2017-03-09T10:42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8" s="187" t="str">
        <f t="shared" si="6"/>
        <v>N</v>
      </c>
      <c r="X48" s="187">
        <f t="shared" si="7"/>
        <v>1</v>
      </c>
      <c r="Y48" s="62">
        <f t="shared" si="8"/>
        <v>23.301300000000001</v>
      </c>
      <c r="Z48" s="62">
        <f t="shared" si="9"/>
        <v>1.5800000000000002E-2</v>
      </c>
      <c r="AA48" s="62">
        <f t="shared" si="10"/>
        <v>23.285500000000003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0136-09</v>
      </c>
      <c r="AE48" s="85" t="str">
        <f t="shared" si="12"/>
        <v>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 &amp; 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</v>
      </c>
      <c r="AF48" s="82" t="str">
        <f t="shared" si="13"/>
        <v>"C:\Program Files (x86)\AstroGrep\AstroGrep.exe" /e /r /s /spath="%USERPROFILE%\AppData\Local\Temp\OnboardLogs" /stypes="app*4030*20170309*" /stext=" 16:.+((SYSTEM_STATE.+slice.+state.+changed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8"/>
        <v>"%USERPROFILE%\Documents\GitHub\eaglep3\Utilities\RefineRTDCRunTimes.py" --tripid 136-09 --locoid 4030 --swversion DE.1.0.9.0 --startMP 204:233013 --initTime 2017-03-09T08:51:25 --startdatetime 2017-03-09T08:56:17 --delay 1 --endMP 204:158 --enddatetime 2017-03-09T09:42:54 --enforcementcount 0 &gt;&gt;C:\Users\stu\Documents\GitHub\eaglep3-reporting\EC\2017-03-09-refined-times.txt</v>
      </c>
      <c r="AI48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{"issue":{"subject":"","project_id":79,"tracker_id":40,"status_id":1,"priority_id":2,"assigned_to_id":23,"start_date":"2017-03-09","description":"","custom_fields":[{"id":1,"name":"Subdivision","value":"EC"},{"id":4,"name":"Milepost","value":"0.0158"},{"id":17,"name":"Train ID","value":"136-09"},{"id":16,"name":"Locomotive ID","value":"4030"},{"id":130,"name":"Impact","value":""},{"id":150,"name":"Time of Event (Mountain Time)","value":"09:42:54"},{"id":151,"name":"Denver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4030 --day 2017-03-09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"%USERPROFILE%\AppData\Local\Temp\OnboardLogs"\RTDC4030\*4030*20170309* | grep -SE "(Enforcement Action)|(\[TIMEOUT)|(CHR.+\|PRM\|1\|D.+(SWITCH|SIGNAL).+UNKNOWN)" - &gt;&gt; 2017-03-09-UncaughtWiMAX.txt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666</v>
      </c>
      <c r="B49" s="7">
        <v>4040</v>
      </c>
      <c r="C49" s="21" t="s">
        <v>242</v>
      </c>
      <c r="D49" s="21" t="s">
        <v>243</v>
      </c>
      <c r="E49" s="13">
        <v>42803.339687500003</v>
      </c>
      <c r="F49" s="13">
        <v>42803.343946759262</v>
      </c>
      <c r="G49" s="7">
        <v>1</v>
      </c>
      <c r="H49" s="21" t="s">
        <v>248</v>
      </c>
      <c r="I49" s="13">
        <v>42803.368194444447</v>
      </c>
      <c r="J49" s="7">
        <v>0</v>
      </c>
      <c r="K49" s="98" t="str">
        <f t="shared" si="0"/>
        <v>4039/4040</v>
      </c>
      <c r="L49" s="21" t="str">
        <f>VLOOKUP(A49,'Trips&amp;Operators'!$C$1:$G$99999,5,FALSE)</f>
        <v>ROCHA YAOTL</v>
      </c>
      <c r="M49" s="6">
        <f t="shared" si="1"/>
        <v>2.4247685185400769E-2</v>
      </c>
      <c r="N49" s="7">
        <f t="shared" si="2"/>
        <v>34.916666666977108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-03-09T07:09:09-0700',mode:absolute,to:'2017-03-09T09:50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9" s="187" t="str">
        <f t="shared" si="6"/>
        <v>N</v>
      </c>
      <c r="X49" s="187">
        <f t="shared" si="7"/>
        <v>1</v>
      </c>
      <c r="Y49" s="62">
        <f t="shared" si="8"/>
        <v>4.58E-2</v>
      </c>
      <c r="Z49" s="62">
        <f t="shared" si="9"/>
        <v>23.329699999999999</v>
      </c>
      <c r="AA49" s="62">
        <f t="shared" si="10"/>
        <v>23.283899999999999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0137-09</v>
      </c>
      <c r="AE49" s="85" t="str">
        <f t="shared" si="12"/>
        <v>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 &amp; 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</v>
      </c>
      <c r="AF49" s="82" t="str">
        <f t="shared" si="13"/>
        <v>"C:\Program Files (x86)\AstroGrep\AstroGrep.exe" /e /r /s /spath="%USERPROFILE%\AppData\Local\Temp\OnboardLogs" /stypes="app*4040*20170309*" /stext=" 15:.+((SYSTEM_STATE.+slice.+state.+changed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8"/>
        <v>"%USERPROFILE%\Documents\GitHub\eaglep3\Utilities\RefineRTDCRunTimes.py" --tripid 137-09 --locoid 4040 --swversion DE.1.0.9.0 --startMP 204:458 --initTime 2017-03-09T08:09:09 --startdatetime 2017-03-09T08:15:17 --delay 1 --endMP 204:233297 --enddatetime 2017-03-09T08:50:12 --enforcementcount 0 &gt;&gt;C:\Users\stu\Documents\GitHub\eaglep3-reporting\EC\2017-03-09-refined-times.txt</v>
      </c>
      <c r="AI49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{"issue":{"subject":"","project_id":79,"tracker_id":40,"status_id":1,"priority_id":2,"assigned_to_id":23,"start_date":"2017-03-09","description":"","custom_fields":[{"id":1,"name":"Subdivision","value":"EC"},{"id":4,"name":"Milepost","value":"23.3297"},{"id":17,"name":"Train ID","value":"137-09"},{"id":16,"name":"Locomotive ID","value":"4040"},{"id":130,"name":"Impact","value":""},{"id":150,"name":"Time of Event (Mountain Time)","value":"08:50:12"},{"id":151,"name":"Denver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4040 --day 2017-03-09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"%USERPROFILE%\AppData\Local\Temp\OnboardLogs"\RTDC4040\*4040*20170309* | grep -SE "(Enforcement Action)|(\[TIMEOUT)|(CHR.+\|PRM\|1\|D.+(SWITCH|SIGNAL).+UNKNOWN)" - &gt;&gt; 2017-03-09-UncaughtWiMAX.txt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674</v>
      </c>
      <c r="B50" s="7">
        <v>4039</v>
      </c>
      <c r="C50" s="21" t="s">
        <v>242</v>
      </c>
      <c r="D50" s="21" t="s">
        <v>437</v>
      </c>
      <c r="E50" s="13">
        <v>42803.37190972222</v>
      </c>
      <c r="F50" s="13">
        <v>42803.383055555554</v>
      </c>
      <c r="G50" s="7">
        <v>1</v>
      </c>
      <c r="H50" s="21" t="s">
        <v>203</v>
      </c>
      <c r="I50" s="13">
        <v>42803.412314814814</v>
      </c>
      <c r="J50" s="7">
        <v>0</v>
      </c>
      <c r="K50" s="98" t="str">
        <f t="shared" si="0"/>
        <v>4039/4040</v>
      </c>
      <c r="L50" s="21" t="str">
        <f>VLOOKUP(A50,'Trips&amp;Operators'!$C$1:$G$99999,5,FALSE)</f>
        <v>ROCHA YAOTL</v>
      </c>
      <c r="M50" s="6">
        <f t="shared" si="1"/>
        <v>2.9259259259561077E-2</v>
      </c>
      <c r="N50" s="7">
        <f t="shared" si="2"/>
        <v>42.133333333767951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-03-09T07:55:33-0700',mode:absolute,to:'2017-03-09T10:53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0" s="187" t="str">
        <f t="shared" si="6"/>
        <v>N</v>
      </c>
      <c r="X50" s="187">
        <f t="shared" si="7"/>
        <v>1</v>
      </c>
      <c r="Y50" s="62">
        <f t="shared" si="8"/>
        <v>23.297999999999998</v>
      </c>
      <c r="Z50" s="62">
        <f t="shared" si="9"/>
        <v>1.5800000000000002E-2</v>
      </c>
      <c r="AA50" s="62">
        <f t="shared" si="10"/>
        <v>23.2822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0138-09</v>
      </c>
      <c r="AE50" s="85" t="str">
        <f t="shared" si="12"/>
        <v>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 &amp; 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</v>
      </c>
      <c r="AF50" s="82" t="str">
        <f t="shared" si="13"/>
        <v>"C:\Program Files (x86)\AstroGrep\AstroGrep.exe" /e /r /s /spath="%USERPROFILE%\AppData\Local\Temp\OnboardLogs" /stypes="app*4039*20170309*" /stext=" 16:.+((SYSTEM_STATE.+slice.+state.+changed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8"/>
        <v>"%USERPROFILE%\Documents\GitHub\eaglep3\Utilities\RefineRTDCRunTimes.py" --tripid 138-09 --locoid 4039 --swversion DE.1.0.9.0 --startMP 204:232980 --initTime 2017-03-09T08:55:33 --startdatetime 2017-03-09T09:11:36 --delay 1 --endMP 204:158 --enddatetime 2017-03-09T09:53:44 --enforcementcount 0 &gt;&gt;C:\Users\stu\Documents\GitHub\eaglep3-reporting\EC\2017-03-09-refined-times.txt</v>
      </c>
      <c r="AI50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{"issue":{"subject":"","project_id":79,"tracker_id":40,"status_id":1,"priority_id":2,"assigned_to_id":23,"start_date":"2017-03-09","description":"","custom_fields":[{"id":1,"name":"Subdivision","value":"EC"},{"id":4,"name":"Milepost","value":"0.0158"},{"id":17,"name":"Train ID","value":"138-09"},{"id":16,"name":"Locomotive ID","value":"4039"},{"id":130,"name":"Impact","value":""},{"id":150,"name":"Time of Event (Mountain Time)","value":"09:53:44"},{"id":151,"name":"Denver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4039 --day 2017-03-09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"%USERPROFILE%\AppData\Local\Temp\OnboardLogs"\RTDC4039\*4039*20170309* | grep -SE "(Enforcement Action)|(\[TIMEOUT)|(CHR.+\|PRM\|1\|D.+(SWITCH|SIGNAL).+UNKNOWN)" - &gt;&gt; 2017-03-09-UncaughtWiMAX.txt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668</v>
      </c>
      <c r="B51" s="7">
        <v>4044</v>
      </c>
      <c r="C51" s="21" t="s">
        <v>242</v>
      </c>
      <c r="D51" s="21" t="s">
        <v>236</v>
      </c>
      <c r="E51" s="13">
        <v>42803.350856481484</v>
      </c>
      <c r="F51" s="13">
        <v>42803.35527777778</v>
      </c>
      <c r="G51" s="7">
        <v>1</v>
      </c>
      <c r="H51" s="21" t="s">
        <v>286</v>
      </c>
      <c r="I51" s="13">
        <v>42803.379224537035</v>
      </c>
      <c r="J51" s="7">
        <v>0</v>
      </c>
      <c r="K51" s="98" t="str">
        <f t="shared" si="0"/>
        <v>4043/4044</v>
      </c>
      <c r="L51" s="21" t="str">
        <f>VLOOKUP(A51,'Trips&amp;Operators'!$C$1:$G$99999,5,FALSE)</f>
        <v>YORK EDGAR</v>
      </c>
      <c r="M51" s="6">
        <f t="shared" si="1"/>
        <v>2.3946759254613426E-2</v>
      </c>
      <c r="N51" s="7">
        <f t="shared" si="2"/>
        <v>34.483333326643333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-03-09T07:25:14-0700',mode:absolute,to:'2017-03-09T10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1" s="187" t="str">
        <f t="shared" si="6"/>
        <v>N</v>
      </c>
      <c r="X51" s="187">
        <f t="shared" si="7"/>
        <v>1</v>
      </c>
      <c r="Y51" s="62">
        <f t="shared" si="8"/>
        <v>4.4699999999999997E-2</v>
      </c>
      <c r="Z51" s="62">
        <f t="shared" si="9"/>
        <v>23.3291</v>
      </c>
      <c r="AA51" s="62">
        <f t="shared" si="10"/>
        <v>23.284400000000002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0139-09</v>
      </c>
      <c r="AE51" s="85" t="str">
        <f t="shared" si="12"/>
        <v>aws s3 cp s3://rtdc.mdm.uploadarchive.raw/RTDC4044/ "%USERPROFILE%\AppData\Local\Temp\OnboardLogs"\RTDC4044\2017-03-09 --exclude "*" --recursive --include "*20170309*" &amp; "%USERPROFILE%\Documents\GitHub\mrs-test-scripts\Headless Mode &amp; Sideloading\WalkAndUnGZ.bat" "%USERPROFILE%\AppData\Local\Temp\OnboardLogs"\RTDC4044\2017-03-09 &amp; aws s3 cp s3://rtdc.mdm.uploadarchive.raw/RTDC4044/ "%USERPROFILE%\AppData\Local\Temp\OnboardLogs"\RTDC4044\2017-03-10 --exclude "*" --recursive --include "*20170310*" &amp; "%USERPROFILE%\Documents\GitHub\mrs-test-scripts\Headless Mode &amp; Sideloading\WalkAndUnGZ.bat" "%USERPROFILE%\AppData\Local\Temp\OnboardLogs"\RTDC4044\2017-03-10</v>
      </c>
      <c r="AF51" s="82" t="str">
        <f t="shared" si="13"/>
        <v>"C:\Program Files (x86)\AstroGrep\AstroGrep.exe" /e /r /s /spath="%USERPROFILE%\AppData\Local\Temp\OnboardLogs" /stypes="app*4044*20170309*" /stext=" 16:.+((SYSTEM_STATE.+slice.+state.+changed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8"/>
        <v>"%USERPROFILE%\Documents\GitHub\eaglep3\Utilities\RefineRTDCRunTimes.py" --tripid 139-09 --locoid 4044 --swversion DE.1.0.9.0 --startMP 204:447 --initTime 2017-03-09T08:25:14 --startdatetime 2017-03-09T08:31:36 --delay 1 --endMP 204:233291 --enddatetime 2017-03-09T09:06:05 --enforcementcount 0 &gt;&gt;C:\Users\stu\Documents\GitHub\eaglep3-reporting\EC\2017-03-09-refined-times.txt</v>
      </c>
      <c r="AI51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{"issue":{"subject":"","project_id":79,"tracker_id":40,"status_id":1,"priority_id":2,"assigned_to_id":23,"start_date":"2017-03-09","description":"","custom_fields":[{"id":1,"name":"Subdivision","value":"EC"},{"id":4,"name":"Milepost","value":"23.3291"},{"id":17,"name":"Train ID","value":"139-09"},{"id":16,"name":"Locomotive ID","value":"4044"},{"id":130,"name":"Impact","value":""},{"id":150,"name":"Time of Event (Mountain Time)","value":"09:06:05"},{"id":151,"name":"Denver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4044 --day 2017-03-09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"%USERPROFILE%\AppData\Local\Temp\OnboardLogs"\RTDC4044\*4044*20170309* | grep -SE "(Enforcement Action)|(\[TIMEOUT)|(CHR.+\|PRM\|1\|D.+(SWITCH|SIGNAL).+UNKNOWN)" - &gt;&gt; 2017-03-09-UncaughtWiMAX.txt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675</v>
      </c>
      <c r="B52" s="7">
        <v>4043</v>
      </c>
      <c r="C52" s="21" t="s">
        <v>242</v>
      </c>
      <c r="D52" s="21" t="s">
        <v>837</v>
      </c>
      <c r="E52" s="13">
        <v>42803.380277777775</v>
      </c>
      <c r="F52" s="13">
        <v>42803.39340277778</v>
      </c>
      <c r="G52" s="7">
        <v>1</v>
      </c>
      <c r="H52" s="21" t="s">
        <v>423</v>
      </c>
      <c r="I52" s="13">
        <v>42803.419861111113</v>
      </c>
      <c r="J52" s="7">
        <v>0</v>
      </c>
      <c r="K52" s="98" t="str">
        <f t="shared" si="0"/>
        <v>4043/4044</v>
      </c>
      <c r="L52" s="21" t="str">
        <f>VLOOKUP(A52,'Trips&amp;Operators'!$C$1:$G$99999,5,FALSE)</f>
        <v>YORK EDGAR</v>
      </c>
      <c r="M52" s="6">
        <f t="shared" si="1"/>
        <v>2.6458333333721384E-2</v>
      </c>
      <c r="N52" s="7">
        <f t="shared" si="2"/>
        <v>38.100000000558794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-03-09T08:07:36-0700',mode:absolute,to:'2017-03-09T11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2" s="187" t="str">
        <f t="shared" si="6"/>
        <v>N</v>
      </c>
      <c r="X52" s="187">
        <f t="shared" si="7"/>
        <v>1</v>
      </c>
      <c r="Y52" s="62">
        <f t="shared" si="8"/>
        <v>23.298500000000001</v>
      </c>
      <c r="Z52" s="62">
        <f t="shared" si="9"/>
        <v>1.43E-2</v>
      </c>
      <c r="AA52" s="62">
        <f t="shared" si="10"/>
        <v>23.284200000000002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0140-09</v>
      </c>
      <c r="AE52" s="85" t="str">
        <f t="shared" si="12"/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AF52" s="82" t="str">
        <f t="shared" si="13"/>
        <v>"C:\Program Files (x86)\AstroGrep\AstroGrep.exe" /e /r /s /spath="%USERPROFILE%\AppData\Local\Temp\OnboardLogs" /stypes="app*4043*20170309*" /stext=" 17:.+((SYSTEM_STATE.+slice.+state.+changed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8"/>
        <v>"%USERPROFILE%\Documents\GitHub\eaglep3\Utilities\RefineRTDCRunTimes.py" --tripid 140-09 --locoid 4043 --swversion DE.1.0.9.0 --startMP 204:232985 --initTime 2017-03-09T09:07:36 --startdatetime 2017-03-09T09:26:30 --delay 1 --endMP 204:143 --enddatetime 2017-03-09T10:04:36 --enforcementcount 0 &gt;&gt;C:\Users\stu\Documents\GitHub\eaglep3-reporting\EC\2017-03-09-refined-times.txt</v>
      </c>
      <c r="AI52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{"issue":{"subject":"","project_id":79,"tracker_id":40,"status_id":1,"priority_id":2,"assigned_to_id":23,"start_date":"2017-03-09","description":"","custom_fields":[{"id":1,"name":"Subdivision","value":"EC"},{"id":4,"name":"Milepost","value":"0.0143"},{"id":17,"name":"Train ID","value":"140-09"},{"id":16,"name":"Locomotive ID","value":"4043"},{"id":130,"name":"Impact","value":""},{"id":150,"name":"Time of Event (Mountain Time)","value":"10:04:36"},{"id":151,"name":"Denver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4043 --day 2017-03-09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"%USERPROFILE%\AppData\Local\Temp\OnboardLogs"\RTDC4043\*4043*20170309* | grep -SE "(Enforcement Action)|(\[TIMEOUT)|(CHR.+\|PRM\|1\|D.+(SWITCH|SIGNAL).+UNKNOWN)" - &gt;&gt; 2017-03-09-UncaughtWiMAX.txt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672</v>
      </c>
      <c r="B53" s="7">
        <v>4022</v>
      </c>
      <c r="C53" s="21" t="s">
        <v>242</v>
      </c>
      <c r="D53" s="21" t="s">
        <v>550</v>
      </c>
      <c r="E53" s="13">
        <v>42803.362384259257</v>
      </c>
      <c r="F53" s="13">
        <v>42803.364791666667</v>
      </c>
      <c r="G53" s="7">
        <v>1</v>
      </c>
      <c r="H53" s="21" t="s">
        <v>251</v>
      </c>
      <c r="I53" s="13">
        <v>42803.391527777778</v>
      </c>
      <c r="J53" s="7">
        <v>0</v>
      </c>
      <c r="K53" s="98" t="str">
        <f t="shared" si="0"/>
        <v>4021/4022</v>
      </c>
      <c r="L53" s="21" t="str">
        <f>VLOOKUP(A53,'Trips&amp;Operators'!$C$1:$G$99999,5,FALSE)</f>
        <v>YOUNG ELIZABETH</v>
      </c>
      <c r="M53" s="6">
        <f t="shared" si="1"/>
        <v>2.6736111110949423E-2</v>
      </c>
      <c r="N53" s="7">
        <f t="shared" si="2"/>
        <v>38.499999999767169</v>
      </c>
      <c r="O53" s="7"/>
      <c r="P53" s="7"/>
      <c r="Q53" s="22"/>
      <c r="R53" s="22"/>
      <c r="S53" s="31">
        <f t="shared" si="3"/>
        <v>1</v>
      </c>
      <c r="T53" s="46" t="str">
        <f t="shared" si="4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-03-09T07:41:50-0700',mode:absolute,to:'2017-03-09T10:23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3" s="187" t="str">
        <f t="shared" si="6"/>
        <v>N</v>
      </c>
      <c r="X53" s="187">
        <f t="shared" si="7"/>
        <v>1</v>
      </c>
      <c r="Y53" s="62">
        <f t="shared" si="8"/>
        <v>4.8599999999999997E-2</v>
      </c>
      <c r="Z53" s="62">
        <f t="shared" si="9"/>
        <v>23.329899999999999</v>
      </c>
      <c r="AA53" s="62">
        <f t="shared" si="10"/>
        <v>23.281299999999998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0141-09</v>
      </c>
      <c r="AE53" s="85" t="str">
        <f t="shared" si="12"/>
        <v>aws s3 cp s3://rtdc.mdm.uploadarchive.raw/RTDC4022/ "%USERPROFILE%\AppData\Local\Temp\OnboardLogs"\RTDC4022\2017-03-09 --exclude "*" --recursive --include "*20170309*" &amp; "%USERPROFILE%\Documents\GitHub\mrs-test-scripts\Headless Mode &amp; Sideloading\WalkAndUnGZ.bat" "%USERPROFILE%\AppData\Local\Temp\OnboardLogs"\RTDC4022\2017-03-09 &amp; aws s3 cp s3://rtdc.mdm.uploadarchive.raw/RTDC4022/ "%USERPROFILE%\AppData\Local\Temp\OnboardLogs"\RTDC4022\2017-03-10 --exclude "*" --recursive --include "*20170310*" &amp; "%USERPROFILE%\Documents\GitHub\mrs-test-scripts\Headless Mode &amp; Sideloading\WalkAndUnGZ.bat" "%USERPROFILE%\AppData\Local\Temp\OnboardLogs"\RTDC4022\2017-03-10</v>
      </c>
      <c r="AF53" s="82" t="str">
        <f t="shared" si="13"/>
        <v>"C:\Program Files (x86)\AstroGrep\AstroGrep.exe" /e /r /s /spath="%USERPROFILE%\AppData\Local\Temp\OnboardLogs" /stypes="app*4022*20170309*" /stext=" 16:.+((SYSTEM_STATE.+slice.+state.+changed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8"/>
        <v>"%USERPROFILE%\Documents\GitHub\eaglep3\Utilities\RefineRTDCRunTimes.py" --tripid 141-09 --locoid 4022 --swversion DE.1.0.9.0 --startMP 204:486 --initTime 2017-03-09T08:41:50 --startdatetime 2017-03-09T08:45:18 --delay 1 --endMP 204:233299 --enddatetime 2017-03-09T09:23:48 --enforcementcount 0 &gt;&gt;C:\Users\stu\Documents\GitHub\eaglep3-reporting\EC\2017-03-09-refined-times.txt</v>
      </c>
      <c r="AI53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{"issue":{"subject":"","project_id":79,"tracker_id":40,"status_id":1,"priority_id":2,"assigned_to_id":23,"start_date":"2017-03-09","description":"","custom_fields":[{"id":1,"name":"Subdivision","value":"EC"},{"id":4,"name":"Milepost","value":"23.3299"},{"id":17,"name":"Train ID","value":"141-09"},{"id":16,"name":"Locomotive ID","value":"4022"},{"id":130,"name":"Impact","value":""},{"id":150,"name":"Time of Event (Mountain Time)","value":"09:23:48"},{"id":151,"name":"Denver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4022 --day 2017-03-09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"%USERPROFILE%\AppData\Local\Temp\OnboardLogs"\RTDC4022\*4022*20170309* | grep -SE "(Enforcement Action)|(\[TIMEOUT)|(CHR.+\|PRM\|1\|D.+(SWITCH|SIGNAL).+UNKNOWN)" - &gt;&gt; 2017-03-09-UncaughtWiMAX.txt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585</v>
      </c>
      <c r="B54" s="7">
        <v>4021</v>
      </c>
      <c r="C54" s="21" t="s">
        <v>242</v>
      </c>
      <c r="D54" s="21" t="s">
        <v>437</v>
      </c>
      <c r="E54" s="13">
        <v>42803.39439814815</v>
      </c>
      <c r="F54" s="13">
        <v>42803.403773148151</v>
      </c>
      <c r="G54" s="7">
        <v>1</v>
      </c>
      <c r="H54" s="21" t="s">
        <v>839</v>
      </c>
      <c r="I54" s="13">
        <v>42803.437013888892</v>
      </c>
      <c r="J54" s="7">
        <v>0</v>
      </c>
      <c r="K54" s="98" t="str">
        <f t="shared" si="0"/>
        <v>4021/4022</v>
      </c>
      <c r="L54" s="21" t="str">
        <f>VLOOKUP(A54,'Trips&amp;Operators'!$C$1:$G$99999,5,FALSE)</f>
        <v>YOUNG ELIZABETH</v>
      </c>
      <c r="M54" s="6">
        <f t="shared" si="1"/>
        <v>3.3240740740438923E-2</v>
      </c>
      <c r="N54" s="7">
        <f t="shared" si="2"/>
        <v>47.866666666232049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-03-09T08:27:56-0700',mode:absolute,to:'2017-03-09T11:29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4" s="187" t="str">
        <f t="shared" si="6"/>
        <v>N</v>
      </c>
      <c r="X54" s="187">
        <f t="shared" si="7"/>
        <v>1</v>
      </c>
      <c r="Y54" s="62">
        <f t="shared" si="8"/>
        <v>23.297999999999998</v>
      </c>
      <c r="Z54" s="62">
        <f t="shared" si="9"/>
        <v>9.1800000000000007E-2</v>
      </c>
      <c r="AA54" s="62">
        <f t="shared" si="10"/>
        <v>23.206199999999999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0142-09</v>
      </c>
      <c r="AE54" s="85" t="str">
        <f t="shared" si="12"/>
        <v>aws s3 cp s3://rtdc.mdm.uploadarchive.raw/RTDC4021/ "%USERPROFILE%\AppData\Local\Temp\OnboardLogs"\RTDC4021\2017-03-09 --exclude "*" --recursive --include "*20170309*" &amp; "%USERPROFILE%\Documents\GitHub\mrs-test-scripts\Headless Mode &amp; Sideloading\WalkAndUnGZ.bat" "%USERPROFILE%\AppData\Local\Temp\OnboardLogs"\RTDC4021\2017-03-09 &amp; aws s3 cp s3://rtdc.mdm.uploadarchive.raw/RTDC4021/ "%USERPROFILE%\AppData\Local\Temp\OnboardLogs"\RTDC4021\2017-03-10 --exclude "*" --recursive --include "*20170310*" &amp; "%USERPROFILE%\Documents\GitHub\mrs-test-scripts\Headless Mode &amp; Sideloading\WalkAndUnGZ.bat" "%USERPROFILE%\AppData\Local\Temp\OnboardLogs"\RTDC4021\2017-03-10</v>
      </c>
      <c r="AF54" s="82" t="str">
        <f t="shared" si="13"/>
        <v>"C:\Program Files (x86)\AstroGrep\AstroGrep.exe" /e /r /s /spath="%USERPROFILE%\AppData\Local\Temp\OnboardLogs" /stypes="app*4021*20170309*" /stext=" 17:.+((SYSTEM_STATE.+slice.+state.+changed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8"/>
        <v>"%USERPROFILE%\Documents\GitHub\eaglep3\Utilities\RefineRTDCRunTimes.py" --tripid 142-09 --locoid 4021 --swversion DE.1.0.9.0 --startMP 204:232980 --initTime 2017-03-09T09:27:56 --startdatetime 2017-03-09T09:41:26 --delay 1 --endMP 204:918 --enddatetime 2017-03-09T10:29:18 --enforcementcount 0 &gt;&gt;C:\Users\stu\Documents\GitHub\eaglep3-reporting\EC\2017-03-09-refined-times.txt</v>
      </c>
      <c r="AI54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{"issue":{"subject":"","project_id":79,"tracker_id":40,"status_id":1,"priority_id":2,"assigned_to_id":23,"start_date":"2017-03-09","description":"","custom_fields":[{"id":1,"name":"Subdivision","value":"EC"},{"id":4,"name":"Milepost","value":"0.0918"},{"id":17,"name":"Train ID","value":"142-09"},{"id":16,"name":"Locomotive ID","value":"4021"},{"id":130,"name":"Impact","value":""},{"id":150,"name":"Time of Event (Mountain Time)","value":"10:29:18"},{"id":151,"name":"Denver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4021 --day 2017-03-09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"%USERPROFILE%\AppData\Local\Temp\OnboardLogs"\RTDC4021\*4021*20170309* | grep -SE "(Enforcement Action)|(\[TIMEOUT)|(CHR.+\|PRM\|1\|D.+(SWITCH|SIGNAL).+UNKNOWN)" - &gt;&gt; 2017-03-09-UncaughtWiMAX.txt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583</v>
      </c>
      <c r="B55" s="7">
        <v>4016</v>
      </c>
      <c r="C55" s="21" t="s">
        <v>242</v>
      </c>
      <c r="D55" s="21" t="s">
        <v>236</v>
      </c>
      <c r="E55" s="13">
        <v>42803.371944444443</v>
      </c>
      <c r="F55" s="13">
        <v>42803.375196759262</v>
      </c>
      <c r="G55" s="7">
        <v>1</v>
      </c>
      <c r="H55" s="21" t="s">
        <v>273</v>
      </c>
      <c r="I55" s="13">
        <v>42803.401516203703</v>
      </c>
      <c r="J55" s="7">
        <v>0</v>
      </c>
      <c r="K55" s="98" t="str">
        <f t="shared" si="0"/>
        <v>4015/4016</v>
      </c>
      <c r="L55" s="21" t="str">
        <f>VLOOKUP(A55,'Trips&amp;Operators'!$C$1:$G$99999,5,FALSE)</f>
        <v>STARKS ANGELINA</v>
      </c>
      <c r="M55" s="6">
        <f t="shared" si="1"/>
        <v>2.6319444441469386E-2</v>
      </c>
      <c r="N55" s="7">
        <f t="shared" si="2"/>
        <v>37.899999995715916</v>
      </c>
      <c r="O55" s="7"/>
      <c r="P55" s="7"/>
      <c r="Q55" s="22"/>
      <c r="R55" s="22"/>
      <c r="S55" s="31">
        <f t="shared" si="3"/>
        <v>1</v>
      </c>
      <c r="T55" s="46" t="str">
        <f t="shared" si="4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-03-09T07:55:36-0700',mode:absolute,to:'2017-03-09T10:38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55" s="187" t="str">
        <f t="shared" si="6"/>
        <v>N</v>
      </c>
      <c r="X55" s="187">
        <f t="shared" si="7"/>
        <v>1</v>
      </c>
      <c r="Y55" s="62">
        <f t="shared" si="8"/>
        <v>4.4699999999999997E-2</v>
      </c>
      <c r="Z55" s="62">
        <f t="shared" si="9"/>
        <v>23.329499999999999</v>
      </c>
      <c r="AA55" s="62">
        <f t="shared" si="10"/>
        <v>23.284800000000001</v>
      </c>
      <c r="AB55" s="59" t="str">
        <f>VLOOKUP(A55,Enforcements!$C$7:$K$13,8,0)</f>
        <v>Bulletin (2)</v>
      </c>
      <c r="AC55" s="55" t="str">
        <f>VLOOKUP(A55,Enforcements!$C$7:$E$13,3,0)</f>
        <v>GRADE CROSSING</v>
      </c>
      <c r="AD55" s="56" t="str">
        <f t="shared" si="11"/>
        <v>0143-09</v>
      </c>
      <c r="AE55" s="85" t="str">
        <f t="shared" si="12"/>
        <v>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 &amp; aws s3 cp s3://rtdc.mdm.uploadarchive.raw/RTDC4016/ "%USERPROFILE%\AppData\Local\Temp\OnboardLogs"\RTDC4016\2017-03-10 --exclude "*" --recursive --include "*20170310*" &amp; "%USERPROFILE%\Documents\GitHub\mrs-test-scripts\Headless Mode &amp; Sideloading\WalkAndUnGZ.bat" "%USERPROFILE%\AppData\Local\Temp\OnboardLogs"\RTDC4016\2017-03-10</v>
      </c>
      <c r="AF55" s="82" t="str">
        <f t="shared" si="13"/>
        <v>"C:\Program Files (x86)\AstroGrep\AstroGrep.exe" /e /r /s /spath="%USERPROFILE%\AppData\Local\Temp\OnboardLogs" /stypes="app*4016*20170309*" /stext=" 16:.+((SYSTEM_STATE.+slice.+state.+changed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8"/>
        <v>"%USERPROFILE%\Documents\GitHub\eaglep3\Utilities\RefineRTDCRunTimes.py" --tripid 143-09 --locoid 4016 --swversion DE.1.0.9.0 --startMP 204:447 --initTime 2017-03-09T08:55:36 --startdatetime 2017-03-09T09:00:17 --delay 1 --endMP 204:233295 --enddatetime 2017-03-09T09:38:11 --enforcementcount 0 &gt;&gt;C:\Users\stu\Documents\GitHub\eaglep3-reporting\EC\2017-03-09-refined-times.txt</v>
      </c>
      <c r="AI55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{"issue":{"subject":"","project_id":79,"tracker_id":40,"status_id":1,"priority_id":2,"assigned_to_id":23,"start_date":"2017-03-09","description":"","custom_fields":[{"id":1,"name":"Subdivision","value":"EC"},{"id":4,"name":"Milepost","value":"23.3295"},{"id":17,"name":"Train ID","value":"143-09"},{"id":16,"name":"Locomotive ID","value":"4016"},{"id":130,"name":"Impact","value":""},{"id":150,"name":"Time of Event (Mountain Time)","value":"09:38:11"},{"id":151,"name":"Denver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4016 --day 2017-03-09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"%USERPROFILE%\AppData\Local\Temp\OnboardLogs"\RTDC4016\*4016*20170309* | grep -SE "(Enforcement Action)|(\[TIMEOUT)|(CHR.+\|PRM\|1\|D.+(SWITCH|SIGNAL).+UNKNOWN)" - &gt;&gt; 2017-03-09-UncaughtWiMAX.txt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584</v>
      </c>
      <c r="B56" s="7">
        <v>4015</v>
      </c>
      <c r="C56" s="21" t="s">
        <v>242</v>
      </c>
      <c r="D56" s="21" t="s">
        <v>244</v>
      </c>
      <c r="E56" s="13">
        <v>42803.411597222221</v>
      </c>
      <c r="F56" s="13">
        <v>42803.414050925923</v>
      </c>
      <c r="G56" s="7">
        <v>1</v>
      </c>
      <c r="H56" s="21" t="s">
        <v>232</v>
      </c>
      <c r="I56" s="13">
        <v>42803.442777777775</v>
      </c>
      <c r="J56" s="7">
        <v>0</v>
      </c>
      <c r="K56" s="98" t="str">
        <f t="shared" si="0"/>
        <v>4015/4016</v>
      </c>
      <c r="L56" s="21" t="str">
        <f>VLOOKUP(A56,'Trips&amp;Operators'!$C$1:$G$99999,5,FALSE)</f>
        <v>STARKS ANGELINA</v>
      </c>
      <c r="M56" s="6">
        <f t="shared" si="1"/>
        <v>2.8726851851388346E-2</v>
      </c>
      <c r="N56" s="7">
        <f t="shared" si="2"/>
        <v>41.366666665999219</v>
      </c>
      <c r="O56" s="7"/>
      <c r="P56" s="7"/>
      <c r="Q56" s="22"/>
      <c r="R56" s="22"/>
      <c r="S56" s="31">
        <f t="shared" si="3"/>
        <v>1</v>
      </c>
      <c r="T56" s="46" t="str">
        <f t="shared" si="4"/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-03-09T08:52:42-0700',mode:absolute,to:'2017-03-09T11:37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56" s="187" t="str">
        <f t="shared" si="6"/>
        <v>N</v>
      </c>
      <c r="X56" s="187">
        <f t="shared" si="7"/>
        <v>1</v>
      </c>
      <c r="Y56" s="62">
        <f t="shared" si="8"/>
        <v>23.299399999999999</v>
      </c>
      <c r="Z56" s="62">
        <f t="shared" si="9"/>
        <v>1.5599999999999999E-2</v>
      </c>
      <c r="AA56" s="62">
        <f t="shared" si="10"/>
        <v>23.283799999999999</v>
      </c>
      <c r="AB56" s="59" t="str">
        <f>VLOOKUP(A56,Enforcements!$C$7:$K$13,8,0)</f>
        <v>Bulletin (2)</v>
      </c>
      <c r="AC56" s="55" t="str">
        <f>VLOOKUP(A56,Enforcements!$C$7:$E$13,3,0)</f>
        <v>GRADE CROSSING</v>
      </c>
      <c r="AD56" s="56" t="str">
        <f t="shared" si="11"/>
        <v>0144-09</v>
      </c>
      <c r="AE56" s="85" t="str">
        <f t="shared" si="12"/>
        <v>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 &amp; aws s3 cp s3://rtdc.mdm.uploadarchive.raw/RTDC4015/ "%USERPROFILE%\AppData\Local\Temp\OnboardLogs"\RTDC4015\2017-03-10 --exclude "*" --recursive --include "*20170310*" &amp; "%USERPROFILE%\Documents\GitHub\mrs-test-scripts\Headless Mode &amp; Sideloading\WalkAndUnGZ.bat" "%USERPROFILE%\AppData\Local\Temp\OnboardLogs"\RTDC4015\2017-03-10</v>
      </c>
      <c r="AF56" s="82" t="str">
        <f t="shared" si="13"/>
        <v>"C:\Program Files (x86)\AstroGrep\AstroGrep.exe" /e /r /s /spath="%USERPROFILE%\AppData\Local\Temp\OnboardLogs" /stypes="app*4015*20170309*" /stext=" 17:.+((SYSTEM_STATE.+slice.+state.+changed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8"/>
        <v>"%USERPROFILE%\Documents\GitHub\eaglep3\Utilities\RefineRTDCRunTimes.py" --tripid 144-09 --locoid 4015 --swversion DE.1.0.9.0 --startMP 204:232994 --initTime 2017-03-09T09:52:42 --startdatetime 2017-03-09T09:56:14 --delay 1 --endMP 204:156 --enddatetime 2017-03-09T10:37:36 --enforcementcount 0 &gt;&gt;C:\Users\stu\Documents\GitHub\eaglep3-reporting\EC\2017-03-09-refined-times.txt</v>
      </c>
      <c r="AI56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{"issue":{"subject":"","project_id":79,"tracker_id":40,"status_id":1,"priority_id":2,"assigned_to_id":23,"start_date":"2017-03-09","description":"","custom_fields":[{"id":1,"name":"Subdivision","value":"EC"},{"id":4,"name":"Milepost","value":"0.0156"},{"id":17,"name":"Train ID","value":"144-09"},{"id":16,"name":"Locomotive ID","value":"4015"},{"id":130,"name":"Impact","value":""},{"id":150,"name":"Time of Event (Mountain Time)","value":"10:37:36"},{"id":151,"name":"Denver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4015 --day 2017-03-09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"%USERPROFILE%\AppData\Local\Temp\OnboardLogs"\RTDC4015\*4015*20170309* | grep -SE "(Enforcement Action)|(\[TIMEOUT)|(CHR.+\|PRM\|1\|D.+(SWITCH|SIGNAL).+UNKNOWN)" - &gt;&gt; 2017-03-09-UncaughtWiMAX.txt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676</v>
      </c>
      <c r="B57" s="7">
        <v>4018</v>
      </c>
      <c r="C57" s="21" t="s">
        <v>242</v>
      </c>
      <c r="D57" s="21" t="s">
        <v>461</v>
      </c>
      <c r="E57" s="13">
        <v>42803.381956018522</v>
      </c>
      <c r="F57" s="13">
        <v>42803.385601851849</v>
      </c>
      <c r="G57" s="7">
        <v>1</v>
      </c>
      <c r="H57" s="21" t="s">
        <v>251</v>
      </c>
      <c r="I57" s="13">
        <v>42803.419236111113</v>
      </c>
      <c r="J57" s="7">
        <v>0</v>
      </c>
      <c r="K57" s="98" t="str">
        <f t="shared" si="0"/>
        <v>4017/4018</v>
      </c>
      <c r="L57" s="21" t="str">
        <f>VLOOKUP(A57,'Trips&amp;Operators'!$C$1:$G$99999,5,FALSE)</f>
        <v>BONDS REYNALDO</v>
      </c>
      <c r="M57" s="6">
        <f t="shared" si="1"/>
        <v>3.3634259263635613E-2</v>
      </c>
      <c r="N57" s="7">
        <f t="shared" si="2"/>
        <v>48.433333339635283</v>
      </c>
      <c r="O57" s="7"/>
      <c r="P57" s="7"/>
      <c r="Q57" s="22"/>
      <c r="R57" s="22"/>
      <c r="S57" s="31">
        <f t="shared" si="3"/>
        <v>1</v>
      </c>
      <c r="T57" s="46" t="str">
        <f t="shared" si="4"/>
        <v>NorthBound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-03-09T08:10:01-0700',mode:absolute,to:'2017-03-09T11:03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7" s="187" t="str">
        <f t="shared" si="6"/>
        <v>N</v>
      </c>
      <c r="X57" s="187">
        <f t="shared" si="7"/>
        <v>1</v>
      </c>
      <c r="Y57" s="62">
        <f t="shared" si="8"/>
        <v>4.7500000000000001E-2</v>
      </c>
      <c r="Z57" s="62">
        <f t="shared" si="9"/>
        <v>23.329899999999999</v>
      </c>
      <c r="AA57" s="62">
        <f t="shared" si="10"/>
        <v>23.282399999999999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0145-09</v>
      </c>
      <c r="AE57" s="85" t="str">
        <f t="shared" si="12"/>
        <v>aws s3 cp s3://rtdc.mdm.uploadarchive.raw/RTDC4018/ "%USERPROFILE%\AppData\Local\Temp\OnboardLogs"\RTDC4018\2017-03-09 --exclude "*" --recursive --include "*20170309*" &amp; "%USERPROFILE%\Documents\GitHub\mrs-test-scripts\Headless Mode &amp; Sideloading\WalkAndUnGZ.bat" "%USERPROFILE%\AppData\Local\Temp\OnboardLogs"\RTDC4018\2017-03-09 &amp; 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</v>
      </c>
      <c r="AF57" s="82" t="str">
        <f t="shared" si="13"/>
        <v>"C:\Program Files (x86)\AstroGrep\AstroGrep.exe" /e /r /s /spath="%USERPROFILE%\AppData\Local\Temp\OnboardLogs" /stypes="app*4018*20170309*" /stext=" 17:.+((SYSTEM_STATE.+slice.+state.+changed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8"/>
        <v>"%USERPROFILE%\Documents\GitHub\eaglep3\Utilities\RefineRTDCRunTimes.py" --tripid 145-09 --locoid 4018 --swversion DE.1.0.9.0 --startMP 204:475 --initTime 2017-03-09T09:10:01 --startdatetime 2017-03-09T09:15:16 --delay 1 --endMP 204:233299 --enddatetime 2017-03-09T10:03:42 --enforcementcount 0 &gt;&gt;C:\Users\stu\Documents\GitHub\eaglep3-reporting\EC\2017-03-09-refined-times.txt</v>
      </c>
      <c r="AI57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{"issue":{"subject":"","project_id":79,"tracker_id":40,"status_id":1,"priority_id":2,"assigned_to_id":23,"start_date":"2017-03-09","description":"","custom_fields":[{"id":1,"name":"Subdivision","value":"EC"},{"id":4,"name":"Milepost","value":"23.3299"},{"id":17,"name":"Train ID","value":"145-09"},{"id":16,"name":"Locomotive ID","value":"4018"},{"id":130,"name":"Impact","value":""},{"id":150,"name":"Time of Event (Mountain Time)","value":"10:03:42"},{"id":151,"name":"Denver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4018 --day 2017-03-09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"%USERPROFILE%\AppData\Local\Temp\OnboardLogs"\RTDC4018\*4018*20170309* | grep -SE "(Enforcement Action)|(\[TIMEOUT)|(CHR.+\|PRM\|1\|D.+(SWITCH|SIGNAL).+UNKNOWN)" - &gt;&gt; 2017-03-09-UncaughtWiMAX.txt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684</v>
      </c>
      <c r="B58" s="7">
        <v>4017</v>
      </c>
      <c r="C58" s="21" t="s">
        <v>242</v>
      </c>
      <c r="D58" s="21" t="s">
        <v>840</v>
      </c>
      <c r="E58" s="13">
        <v>42803.42150462963</v>
      </c>
      <c r="F58" s="13">
        <v>42803.424537037034</v>
      </c>
      <c r="G58" s="7">
        <v>1</v>
      </c>
      <c r="H58" s="21" t="s">
        <v>232</v>
      </c>
      <c r="I58" s="13">
        <v>42803.453912037039</v>
      </c>
      <c r="J58" s="7">
        <v>0</v>
      </c>
      <c r="K58" s="98" t="str">
        <f t="shared" si="0"/>
        <v>4017/4018</v>
      </c>
      <c r="L58" s="21" t="str">
        <f>VLOOKUP(A58,'Trips&amp;Operators'!$C$1:$G$99999,5,FALSE)</f>
        <v>BONDS REYNALDO</v>
      </c>
      <c r="M58" s="6">
        <f t="shared" si="1"/>
        <v>2.9375000005529728E-2</v>
      </c>
      <c r="N58" s="7">
        <f t="shared" si="2"/>
        <v>42.300000007962808</v>
      </c>
      <c r="O58" s="7"/>
      <c r="P58" s="7"/>
      <c r="Q58" s="22"/>
      <c r="R58" s="22"/>
      <c r="S58" s="31">
        <f t="shared" si="3"/>
        <v>1</v>
      </c>
      <c r="T58" s="46" t="str">
        <f t="shared" si="4"/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-03-09T09:06:58-0700',mode:absolute,to:'2017-03-09T11:53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8" s="187" t="str">
        <f t="shared" si="6"/>
        <v>N</v>
      </c>
      <c r="X58" s="187">
        <f t="shared" si="7"/>
        <v>1</v>
      </c>
      <c r="Y58" s="62">
        <f t="shared" si="8"/>
        <v>23.299199999999999</v>
      </c>
      <c r="Z58" s="62">
        <f t="shared" si="9"/>
        <v>1.5599999999999999E-2</v>
      </c>
      <c r="AA58" s="62">
        <f t="shared" si="10"/>
        <v>23.2836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0146-09</v>
      </c>
      <c r="AE58" s="85" t="str">
        <f t="shared" si="12"/>
        <v>aws s3 cp s3://rtdc.mdm.uploadarchive.raw/RTDC4017/ "%USERPROFILE%\AppData\Local\Temp\OnboardLogs"\RTDC4017\2017-03-09 --exclude "*" --recursive --include "*20170309*" &amp; "%USERPROFILE%\Documents\GitHub\mrs-test-scripts\Headless Mode &amp; Sideloading\WalkAndUnGZ.bat" "%USERPROFILE%\AppData\Local\Temp\OnboardLogs"\RTDC4017\2017-03-09 &amp; aws s3 cp s3://rtdc.mdm.uploadarchive.raw/RTDC4017/ "%USERPROFILE%\AppData\Local\Temp\OnboardLogs"\RTDC4017\2017-03-10 --exclude "*" --recursive --include "*20170310*" &amp; "%USERPROFILE%\Documents\GitHub\mrs-test-scripts\Headless Mode &amp; Sideloading\WalkAndUnGZ.bat" "%USERPROFILE%\AppData\Local\Temp\OnboardLogs"\RTDC4017\2017-03-10</v>
      </c>
      <c r="AF58" s="82" t="str">
        <f t="shared" si="13"/>
        <v>"C:\Program Files (x86)\AstroGrep\AstroGrep.exe" /e /r /s /spath="%USERPROFILE%\AppData\Local\Temp\OnboardLogs" /stypes="app*4017*20170309*" /stext=" 17:.+((SYSTEM_STATE.+slice.+state.+changed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8"/>
        <v>"%USERPROFILE%\Documents\GitHub\eaglep3\Utilities\RefineRTDCRunTimes.py" --tripid 146-09 --locoid 4017 --swversion DE.1.0.9.0 --startMP 204:232992 --initTime 2017-03-09T10:06:58 --startdatetime 2017-03-09T10:11:20 --delay 1 --endMP 204:156 --enddatetime 2017-03-09T10:53:38 --enforcementcount 0 &gt;&gt;C:\Users\stu\Documents\GitHub\eaglep3-reporting\EC\2017-03-09-refined-times.txt</v>
      </c>
      <c r="AI58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{"issue":{"subject":"","project_id":79,"tracker_id":40,"status_id":1,"priority_id":2,"assigned_to_id":23,"start_date":"2017-03-09","description":"","custom_fields":[{"id":1,"name":"Subdivision","value":"EC"},{"id":4,"name":"Milepost","value":"0.0156"},{"id":17,"name":"Train ID","value":"146-09"},{"id":16,"name":"Locomotive ID","value":"4017"},{"id":130,"name":"Impact","value":""},{"id":150,"name":"Time of Event (Mountain Time)","value":"10:53:38"},{"id":151,"name":"Denver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4017 --day 2017-03-09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"%USERPROFILE%\AppData\Local\Temp\OnboardLogs"\RTDC4017\*4017*20170309* | grep -SE "(Enforcement Action)|(\[TIMEOUT)|(CHR.+\|PRM\|1\|D.+(SWITCH|SIGNAL).+UNKNOWN)" - &gt;&gt; 2017-03-09-UncaughtWiMAX.txt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678</v>
      </c>
      <c r="B59" s="7">
        <v>4003</v>
      </c>
      <c r="C59" s="21" t="s">
        <v>242</v>
      </c>
      <c r="D59" s="21" t="s">
        <v>539</v>
      </c>
      <c r="E59" s="13">
        <v>42803.392129629632</v>
      </c>
      <c r="F59" s="13">
        <v>42803.396006944444</v>
      </c>
      <c r="G59" s="7">
        <v>1</v>
      </c>
      <c r="H59" s="21" t="s">
        <v>841</v>
      </c>
      <c r="I59" s="13">
        <v>42803.421782407408</v>
      </c>
      <c r="J59" s="7">
        <v>0</v>
      </c>
      <c r="K59" s="98" t="str">
        <f t="shared" si="0"/>
        <v>4003/4004</v>
      </c>
      <c r="L59" s="21" t="str">
        <f>VLOOKUP(A59,'Trips&amp;Operators'!$C$1:$G$99999,5,FALSE)</f>
        <v>ROBINSON KADDIBA</v>
      </c>
      <c r="M59" s="6">
        <f t="shared" si="1"/>
        <v>2.5775462963792961E-2</v>
      </c>
      <c r="N59" s="7">
        <f t="shared" si="2"/>
        <v>37.116666667861864</v>
      </c>
      <c r="O59" s="7"/>
      <c r="P59" s="7"/>
      <c r="Q59" s="22"/>
      <c r="R59" s="22"/>
      <c r="S59" s="31">
        <f t="shared" si="3"/>
        <v>1</v>
      </c>
      <c r="T59" s="46" t="str">
        <f t="shared" si="4"/>
        <v>NorthBound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-03-09T08:24:40-0700',mode:absolute,to:'2017-03-09T11:07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9" s="187" t="str">
        <f t="shared" si="6"/>
        <v>N</v>
      </c>
      <c r="X59" s="187">
        <f t="shared" si="7"/>
        <v>1</v>
      </c>
      <c r="Y59" s="62">
        <f t="shared" si="8"/>
        <v>4.6399999999999997E-2</v>
      </c>
      <c r="Z59" s="62">
        <f t="shared" si="9"/>
        <v>23.331499999999998</v>
      </c>
      <c r="AA59" s="62">
        <f t="shared" si="10"/>
        <v>23.2851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0147-09</v>
      </c>
      <c r="AE59" s="85" t="str">
        <f t="shared" si="12"/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AF59" s="82" t="str">
        <f t="shared" si="13"/>
        <v>"C:\Program Files (x86)\AstroGrep\AstroGrep.exe" /e /r /s /spath="%USERPROFILE%\AppData\Local\Temp\OnboardLogs" /stypes="app*4003*20170309*" /stext=" 17:.+((SYSTEM_STATE.+slice.+state.+changed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8"/>
        <v>"%USERPROFILE%\Documents\GitHub\eaglep3\Utilities\RefineRTDCRunTimes.py" --tripid 147-09 --locoid 4003 --swversion DE.1.0.9.0 --startMP 204:464 --initTime 2017-03-09T09:24:40 --startdatetime 2017-03-09T09:30:15 --delay 1 --endMP 204:233315 --enddatetime 2017-03-09T10:07:22 --enforcementcount 0 &gt;&gt;C:\Users\stu\Documents\GitHub\eaglep3-reporting\EC\2017-03-09-refined-times.txt</v>
      </c>
      <c r="AI59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{"issue":{"subject":"","project_id":79,"tracker_id":40,"status_id":1,"priority_id":2,"assigned_to_id":23,"start_date":"2017-03-09","description":"","custom_fields":[{"id":1,"name":"Subdivision","value":"EC"},{"id":4,"name":"Milepost","value":"23.3315"},{"id":17,"name":"Train ID","value":"147-09"},{"id":16,"name":"Locomotive ID","value":"4003"},{"id":130,"name":"Impact","value":""},{"id":150,"name":"Time of Event (Mountain Time)","value":"10:07:22"},{"id":151,"name":"Denver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4003 --day 2017-03-09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"%USERPROFILE%\AppData\Local\Temp\OnboardLogs"\RTDC4003\*4003*20170309* | grep -SE "(Enforcement Action)|(\[TIMEOUT)|(CHR.+\|PRM\|1\|D.+(SWITCH|SIGNAL).+UNKNOWN)" - &gt;&gt; 2017-03-09-UncaughtWiMAX.txt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686</v>
      </c>
      <c r="B60" s="7">
        <v>4004</v>
      </c>
      <c r="C60" s="21" t="s">
        <v>242</v>
      </c>
      <c r="D60" s="21" t="s">
        <v>268</v>
      </c>
      <c r="E60" s="13">
        <v>42803.430405092593</v>
      </c>
      <c r="F60" s="13">
        <v>42803.434895833336</v>
      </c>
      <c r="G60" s="7">
        <v>1</v>
      </c>
      <c r="H60" s="21" t="s">
        <v>235</v>
      </c>
      <c r="I60" s="13">
        <v>42803.463634259257</v>
      </c>
      <c r="J60" s="7">
        <v>0</v>
      </c>
      <c r="K60" s="98" t="str">
        <f t="shared" si="0"/>
        <v>4003/4004</v>
      </c>
      <c r="L60" s="21" t="str">
        <f>VLOOKUP(A60,'Trips&amp;Operators'!$C$1:$G$99999,5,FALSE)</f>
        <v>ROBINSON KADDIBA</v>
      </c>
      <c r="M60" s="6">
        <f t="shared" si="1"/>
        <v>2.8738425920892041E-2</v>
      </c>
      <c r="N60" s="7">
        <f t="shared" si="2"/>
        <v>41.383333326084539</v>
      </c>
      <c r="O60" s="7"/>
      <c r="P60" s="7"/>
      <c r="Q60" s="22"/>
      <c r="R60" s="22"/>
      <c r="S60" s="31">
        <f t="shared" si="3"/>
        <v>1</v>
      </c>
      <c r="T60" s="46" t="str">
        <f t="shared" si="4"/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-03-09T09:19:47-0700',mode:absolute,to:'2017-03-09T12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0" s="187" t="str">
        <f t="shared" si="6"/>
        <v>N</v>
      </c>
      <c r="X60" s="187">
        <f t="shared" si="7"/>
        <v>1</v>
      </c>
      <c r="Y60" s="62">
        <f t="shared" si="8"/>
        <v>23.3004</v>
      </c>
      <c r="Z60" s="62">
        <f t="shared" si="9"/>
        <v>1.47E-2</v>
      </c>
      <c r="AA60" s="62">
        <f t="shared" si="10"/>
        <v>23.285699999999999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0148-09</v>
      </c>
      <c r="AE60" s="85" t="str">
        <f t="shared" si="12"/>
        <v>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 &amp; 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</v>
      </c>
      <c r="AF60" s="82" t="str">
        <f t="shared" si="13"/>
        <v>"C:\Program Files (x86)\AstroGrep\AstroGrep.exe" /e /r /s /spath="%USERPROFILE%\AppData\Local\Temp\OnboardLogs" /stypes="app*4004*20170309*" /stext=" 18:.+((SYSTEM_STATE.+slice.+state.+changed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8"/>
        <v>"%USERPROFILE%\Documents\GitHub\eaglep3\Utilities\RefineRTDCRunTimes.py" --tripid 148-09 --locoid 4004 --swversion DE.1.0.9.0 --startMP 204:233004 --initTime 2017-03-09T10:19:47 --startdatetime 2017-03-09T10:26:15 --delay 1 --endMP 204:147 --enddatetime 2017-03-09T11:07:38 --enforcementcount 0 &gt;&gt;C:\Users\stu\Documents\GitHub\eaglep3-reporting\EC\2017-03-09-refined-times.txt</v>
      </c>
      <c r="AI60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{"issue":{"subject":"","project_id":79,"tracker_id":40,"status_id":1,"priority_id":2,"assigned_to_id":23,"start_date":"2017-03-09","description":"","custom_fields":[{"id":1,"name":"Subdivision","value":"EC"},{"id":4,"name":"Milepost","value":"0.0147"},{"id":17,"name":"Train ID","value":"148-09"},{"id":16,"name":"Locomotive ID","value":"4004"},{"id":130,"name":"Impact","value":""},{"id":150,"name":"Time of Event (Mountain Time)","value":"11:07:38"},{"id":151,"name":"Denver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4004 --day 2017-03-09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"%USERPROFILE%\AppData\Local\Temp\OnboardLogs"\RTDC4004\*4004*20170309* | grep -SE "(Enforcement Action)|(\[TIMEOUT)|(CHR.+\|PRM\|1\|D.+(SWITCH|SIGNAL).+UNKNOWN)" - &gt;&gt; 2017-03-09-UncaughtWiMAX.txt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680</v>
      </c>
      <c r="B61" s="7">
        <v>4029</v>
      </c>
      <c r="C61" s="21" t="s">
        <v>242</v>
      </c>
      <c r="D61" s="21" t="s">
        <v>842</v>
      </c>
      <c r="E61" s="13">
        <v>42803.405682870369</v>
      </c>
      <c r="F61" s="13">
        <v>42803.406944444447</v>
      </c>
      <c r="G61" s="7">
        <v>1</v>
      </c>
      <c r="H61" s="21" t="s">
        <v>833</v>
      </c>
      <c r="I61" s="13">
        <v>42803.431863425925</v>
      </c>
      <c r="J61" s="7">
        <v>0</v>
      </c>
      <c r="K61" s="98" t="str">
        <f t="shared" si="0"/>
        <v>4029/4030</v>
      </c>
      <c r="L61" s="21" t="str">
        <f>VLOOKUP(A61,'Trips&amp;Operators'!$C$1:$G$99999,5,FALSE)</f>
        <v>GEBRETEKLE DAGNEW</v>
      </c>
      <c r="M61" s="6">
        <f t="shared" si="1"/>
        <v>2.491898147854954E-2</v>
      </c>
      <c r="N61" s="7">
        <f t="shared" si="2"/>
        <v>35.883333329111338</v>
      </c>
      <c r="O61" s="7"/>
      <c r="P61" s="7"/>
      <c r="Q61" s="22"/>
      <c r="R61" s="22"/>
      <c r="S61" s="31">
        <f t="shared" si="3"/>
        <v>1</v>
      </c>
      <c r="T61" s="46" t="str">
        <f t="shared" si="4"/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-03-09T08:44:11-0700',mode:absolute,to:'2017-03-09T11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1" s="187" t="str">
        <f t="shared" si="6"/>
        <v>N</v>
      </c>
      <c r="X61" s="187">
        <f t="shared" si="7"/>
        <v>1</v>
      </c>
      <c r="Y61" s="62">
        <f t="shared" si="8"/>
        <v>4.8800000000000003E-2</v>
      </c>
      <c r="Z61" s="62">
        <f t="shared" si="9"/>
        <v>23.332000000000001</v>
      </c>
      <c r="AA61" s="62">
        <f t="shared" si="10"/>
        <v>23.283200000000001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0149-09</v>
      </c>
      <c r="AE61" s="85" t="str">
        <f t="shared" si="12"/>
        <v>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 &amp; 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</v>
      </c>
      <c r="AF61" s="82" t="str">
        <f t="shared" si="13"/>
        <v>"C:\Program Files (x86)\AstroGrep\AstroGrep.exe" /e /r /s /spath="%USERPROFILE%\AppData\Local\Temp\OnboardLogs" /stypes="app*4029*20170309*" /stext=" 17:.+((SYSTEM_STATE.+slice.+state.+changed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8"/>
        <v>"%USERPROFILE%\Documents\GitHub\eaglep3\Utilities\RefineRTDCRunTimes.py" --tripid 149-09 --locoid 4029 --swversion DE.1.0.9.0 --startMP 204:488 --initTime 2017-03-09T09:44:11 --startdatetime 2017-03-09T09:46:00 --delay 1 --endMP 204:233320 --enddatetime 2017-03-09T10:21:53 --enforcementcount 0 &gt;&gt;C:\Users\stu\Documents\GitHub\eaglep3-reporting\EC\2017-03-09-refined-times.txt</v>
      </c>
      <c r="AI61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{"issue":{"subject":"","project_id":79,"tracker_id":40,"status_id":1,"priority_id":2,"assigned_to_id":23,"start_date":"2017-03-09","description":"","custom_fields":[{"id":1,"name":"Subdivision","value":"EC"},{"id":4,"name":"Milepost","value":"23.332"},{"id":17,"name":"Train ID","value":"149-09"},{"id":16,"name":"Locomotive ID","value":"4029"},{"id":130,"name":"Impact","value":""},{"id":150,"name":"Time of Event (Mountain Time)","value":"10:21:53"},{"id":151,"name":"Denver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4029 --day 2017-03-09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"%USERPROFILE%\AppData\Local\Temp\OnboardLogs"\RTDC4029\*4029*20170309* | grep -SE "(Enforcement Action)|(\[TIMEOUT)|(CHR.+\|PRM\|1\|D.+(SWITCH|SIGNAL).+UNKNOWN)" - &gt;&gt; 2017-03-09-UncaughtWiMAX.txt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687</v>
      </c>
      <c r="B62" s="7">
        <v>4030</v>
      </c>
      <c r="C62" s="21" t="s">
        <v>242</v>
      </c>
      <c r="D62" s="21" t="s">
        <v>843</v>
      </c>
      <c r="E62" s="13">
        <v>42803.434224537035</v>
      </c>
      <c r="F62" s="13">
        <v>42803.4453125</v>
      </c>
      <c r="G62" s="7">
        <v>1</v>
      </c>
      <c r="H62" s="21" t="s">
        <v>432</v>
      </c>
      <c r="I62" s="13">
        <v>42803.476122685184</v>
      </c>
      <c r="J62" s="7">
        <v>0</v>
      </c>
      <c r="K62" s="98" t="str">
        <f t="shared" si="0"/>
        <v>4029/4030</v>
      </c>
      <c r="L62" s="21" t="str">
        <f>VLOOKUP(A62,'Trips&amp;Operators'!$C$1:$G$99999,5,FALSE)</f>
        <v>GEBRETEKLE DAGNEW</v>
      </c>
      <c r="M62" s="6">
        <f t="shared" si="1"/>
        <v>3.0810185184236616E-2</v>
      </c>
      <c r="N62" s="7">
        <f t="shared" si="2"/>
        <v>44.366666665300727</v>
      </c>
      <c r="O62" s="7"/>
      <c r="P62" s="7"/>
      <c r="Q62" s="22"/>
      <c r="R62" s="22"/>
      <c r="S62" s="31">
        <f t="shared" si="3"/>
        <v>1</v>
      </c>
      <c r="T62" s="46" t="str">
        <f t="shared" si="4"/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-03-09T09:25:17-0700',mode:absolute,to:'2017-03-09T12:25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2" s="187" t="str">
        <f t="shared" si="6"/>
        <v>N</v>
      </c>
      <c r="X62" s="187">
        <f t="shared" si="7"/>
        <v>1</v>
      </c>
      <c r="Y62" s="62">
        <f t="shared" si="8"/>
        <v>23.3001</v>
      </c>
      <c r="Z62" s="62">
        <f t="shared" si="9"/>
        <v>1.6E-2</v>
      </c>
      <c r="AA62" s="62">
        <f t="shared" si="10"/>
        <v>23.284100000000002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0150-09</v>
      </c>
      <c r="AE62" s="85" t="str">
        <f t="shared" si="12"/>
        <v>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 &amp; 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</v>
      </c>
      <c r="AF62" s="82" t="str">
        <f t="shared" si="13"/>
        <v>"C:\Program Files (x86)\AstroGrep\AstroGrep.exe" /e /r /s /spath="%USERPROFILE%\AppData\Local\Temp\OnboardLogs" /stypes="app*4030*20170309*" /stext=" 18:.+((SYSTEM_STATE.+slice.+state.+changed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8"/>
        <v>"%USERPROFILE%\Documents\GitHub\eaglep3\Utilities\RefineRTDCRunTimes.py" --tripid 150-09 --locoid 4030 --swversion DE.1.0.9.0 --startMP 204:233001 --initTime 2017-03-09T10:25:17 --startdatetime 2017-03-09T10:41:15 --delay 1 --endMP 204:160 --enddatetime 2017-03-09T11:25:37 --enforcementcount 0 &gt;&gt;C:\Users\stu\Documents\GitHub\eaglep3-reporting\EC\2017-03-09-refined-times.txt</v>
      </c>
      <c r="AI62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{"issue":{"subject":"","project_id":79,"tracker_id":40,"status_id":1,"priority_id":2,"assigned_to_id":23,"start_date":"2017-03-09","description":"","custom_fields":[{"id":1,"name":"Subdivision","value":"EC"},{"id":4,"name":"Milepost","value":"0.016"},{"id":17,"name":"Train ID","value":"150-09"},{"id":16,"name":"Locomotive ID","value":"4030"},{"id":130,"name":"Impact","value":""},{"id":150,"name":"Time of Event (Mountain Time)","value":"11:25:37"},{"id":151,"name":"Denver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4030 --day 2017-03-09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"%USERPROFILE%\AppData\Local\Temp\OnboardLogs"\RTDC4030\*4030*20170309* | grep -SE "(Enforcement Action)|(\[TIMEOUT)|(CHR.+\|PRM\|1\|D.+(SWITCH|SIGNAL).+UNKNOWN)" - &gt;&gt; 2017-03-09-UncaughtWiMAX.txt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681</v>
      </c>
      <c r="B63" s="7">
        <v>4040</v>
      </c>
      <c r="C63" s="21" t="s">
        <v>242</v>
      </c>
      <c r="D63" s="21" t="s">
        <v>284</v>
      </c>
      <c r="E63" s="13">
        <v>42803.413969907408</v>
      </c>
      <c r="F63" s="13">
        <v>42803.41684027778</v>
      </c>
      <c r="G63" s="7">
        <v>1</v>
      </c>
      <c r="H63" s="21" t="s">
        <v>544</v>
      </c>
      <c r="I63" s="13">
        <v>42803.444594907407</v>
      </c>
      <c r="J63" s="7">
        <v>0</v>
      </c>
      <c r="K63" s="98" t="str">
        <f t="shared" si="0"/>
        <v>4039/4040</v>
      </c>
      <c r="L63" s="21" t="str">
        <f>VLOOKUP(A63,'Trips&amp;Operators'!$C$1:$G$99999,5,FALSE)</f>
        <v>ROCHA YAOTL</v>
      </c>
      <c r="M63" s="6">
        <f t="shared" si="1"/>
        <v>2.7754629627452232E-2</v>
      </c>
      <c r="N63" s="7">
        <f t="shared" si="2"/>
        <v>39.966666663531214</v>
      </c>
      <c r="O63" s="7"/>
      <c r="P63" s="7"/>
      <c r="Q63" s="22"/>
      <c r="R63" s="22"/>
      <c r="S63" s="31">
        <f t="shared" si="3"/>
        <v>1</v>
      </c>
      <c r="T63" s="46" t="str">
        <f t="shared" si="4"/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-03-09T08:56:07-0700',mode:absolute,to:'2017-03-09T11:40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3" s="187" t="str">
        <f t="shared" si="6"/>
        <v>N</v>
      </c>
      <c r="X63" s="187">
        <f t="shared" si="7"/>
        <v>1</v>
      </c>
      <c r="Y63" s="62">
        <f t="shared" si="8"/>
        <v>4.6899999999999997E-2</v>
      </c>
      <c r="Z63" s="62">
        <f t="shared" si="9"/>
        <v>23.3293</v>
      </c>
      <c r="AA63" s="62">
        <f t="shared" si="10"/>
        <v>23.282399999999999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0151-09</v>
      </c>
      <c r="AE63" s="85" t="str">
        <f t="shared" si="12"/>
        <v>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 &amp; 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</v>
      </c>
      <c r="AF63" s="82" t="str">
        <f t="shared" si="13"/>
        <v>"C:\Program Files (x86)\AstroGrep\AstroGrep.exe" /e /r /s /spath="%USERPROFILE%\AppData\Local\Temp\OnboardLogs" /stypes="app*4040*20170309*" /stext=" 17:.+((SYSTEM_STATE.+slice.+state.+changed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8"/>
        <v>"%USERPROFILE%\Documents\GitHub\eaglep3\Utilities\RefineRTDCRunTimes.py" --tripid 151-09 --locoid 4040 --swversion DE.1.0.9.0 --startMP 204:469 --initTime 2017-03-09T09:56:07 --startdatetime 2017-03-09T10:00:15 --delay 1 --endMP 204:233293 --enddatetime 2017-03-09T10:40:13 --enforcementcount 0 &gt;&gt;C:\Users\stu\Documents\GitHub\eaglep3-reporting\EC\2017-03-09-refined-times.txt</v>
      </c>
      <c r="AI63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{"issue":{"subject":"","project_id":79,"tracker_id":40,"status_id":1,"priority_id":2,"assigned_to_id":23,"start_date":"2017-03-09","description":"","custom_fields":[{"id":1,"name":"Subdivision","value":"EC"},{"id":4,"name":"Milepost","value":"23.3293"},{"id":17,"name":"Train ID","value":"151-09"},{"id":16,"name":"Locomotive ID","value":"4040"},{"id":130,"name":"Impact","value":""},{"id":150,"name":"Time of Event (Mountain Time)","value":"10:40:13"},{"id":151,"name":"Denver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4040 --day 2017-03-09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"%USERPROFILE%\AppData\Local\Temp\OnboardLogs"\RTDC4040\*4040*20170309* | grep -SE "(Enforcement Action)|(\[TIMEOUT)|(CHR.+\|PRM\|1\|D.+(SWITCH|SIGNAL).+UNKNOWN)" - &gt;&gt; 2017-03-09-UncaughtWiMAX.txt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691</v>
      </c>
      <c r="B64" s="7">
        <v>4039</v>
      </c>
      <c r="C64" s="21" t="s">
        <v>242</v>
      </c>
      <c r="D64" s="21" t="s">
        <v>440</v>
      </c>
      <c r="E64" s="13">
        <v>42803.447905092595</v>
      </c>
      <c r="F64" s="13">
        <v>42803.455891203703</v>
      </c>
      <c r="G64" s="7">
        <v>0</v>
      </c>
      <c r="H64" s="21" t="s">
        <v>229</v>
      </c>
      <c r="I64" s="13">
        <v>42803.484270833331</v>
      </c>
      <c r="J64" s="7">
        <v>0</v>
      </c>
      <c r="K64" s="98" t="str">
        <f t="shared" si="0"/>
        <v>4039/4040</v>
      </c>
      <c r="L64" s="21" t="str">
        <f>VLOOKUP(A64,'Trips&amp;Operators'!$C$1:$G$99999,5,FALSE)</f>
        <v>ROCHA YAOTL</v>
      </c>
      <c r="M64" s="6">
        <f t="shared" si="1"/>
        <v>2.8379629628034309E-2</v>
      </c>
      <c r="N64" s="7">
        <f t="shared" si="2"/>
        <v>40.866666664369404</v>
      </c>
      <c r="O64" s="7"/>
      <c r="P64" s="7"/>
      <c r="Q64" s="22"/>
      <c r="R64" s="22"/>
      <c r="S64" s="31">
        <f t="shared" si="3"/>
        <v>1</v>
      </c>
      <c r="T64" s="46" t="str">
        <f t="shared" si="4"/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-03-09T09:44:59-0700',mode:absolute,to:'2017-03-09T12:37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4" s="187" t="str">
        <f t="shared" si="6"/>
        <v>N</v>
      </c>
      <c r="X64" s="187">
        <f t="shared" si="7"/>
        <v>1</v>
      </c>
      <c r="Y64" s="62">
        <f t="shared" si="8"/>
        <v>23.297599999999999</v>
      </c>
      <c r="Z64" s="62">
        <f t="shared" si="9"/>
        <v>1.41E-2</v>
      </c>
      <c r="AA64" s="62">
        <f t="shared" si="10"/>
        <v>23.2835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0152-09</v>
      </c>
      <c r="AE64" s="85" t="str">
        <f t="shared" si="12"/>
        <v>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 &amp; 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</v>
      </c>
      <c r="AF64" s="82" t="str">
        <f t="shared" si="13"/>
        <v>"C:\Program Files (x86)\AstroGrep\AstroGrep.exe" /e /r /s /spath="%USERPROFILE%\AppData\Local\Temp\OnboardLogs" /stypes="app*4039*20170309*" /stext=" 18:.+((SYSTEM_STATE.+slice.+state.+changed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8"/>
        <v>"%USERPROFILE%\Documents\GitHub\eaglep3\Utilities\RefineRTDCRunTimes.py" --tripid 152-09 --locoid 4039 --swversion DE.1.0.9.0 --startMP 204:232976 --initTime 2017-03-09T10:44:59 --startdatetime 2017-03-09T10:56:29 --delay 0 --endMP 204:141 --enddatetime 2017-03-09T11:37:21 --enforcementcount 0 &gt;&gt;C:\Users\stu\Documents\GitHub\eaglep3-reporting\EC\2017-03-09-refined-times.txt</v>
      </c>
      <c r="AI64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{"issue":{"subject":"","project_id":79,"tracker_id":40,"status_id":1,"priority_id":2,"assigned_to_id":23,"start_date":"2017-03-09","description":"","custom_fields":[{"id":1,"name":"Subdivision","value":"EC"},{"id":4,"name":"Milepost","value":"0.0141"},{"id":17,"name":"Train ID","value":"152-09"},{"id":16,"name":"Locomotive ID","value":"4039"},{"id":130,"name":"Impact","value":""},{"id":150,"name":"Time of Event (Mountain Time)","value":"11:37:21"},{"id":151,"name":"Denver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4039 --day 2017-03-09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"%USERPROFILE%\AppData\Local\Temp\OnboardLogs"\RTDC4039\*4039*20170309* | grep -SE "(Enforcement Action)|(\[TIMEOUT)|(CHR.+\|PRM\|1\|D.+(SWITCH|SIGNAL).+UNKNOWN)" - &gt;&gt; 2017-03-09-UncaughtWiMAX.txt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683</v>
      </c>
      <c r="B65" s="7">
        <v>4044</v>
      </c>
      <c r="C65" s="21" t="s">
        <v>242</v>
      </c>
      <c r="D65" s="21" t="s">
        <v>275</v>
      </c>
      <c r="E65" s="13">
        <v>42803.421388888892</v>
      </c>
      <c r="F65" s="13">
        <v>42803.427708333336</v>
      </c>
      <c r="G65" s="7">
        <v>1</v>
      </c>
      <c r="H65" s="21" t="s">
        <v>544</v>
      </c>
      <c r="I65" s="13">
        <v>42803.451527777775</v>
      </c>
      <c r="J65" s="7">
        <v>0</v>
      </c>
      <c r="K65" s="98" t="str">
        <f t="shared" si="0"/>
        <v>4043/4044</v>
      </c>
      <c r="L65" s="21" t="str">
        <f>VLOOKUP(A65,'Trips&amp;Operators'!$C$1:$G$99999,5,FALSE)</f>
        <v>YORK EDGAR</v>
      </c>
      <c r="M65" s="6">
        <f t="shared" si="1"/>
        <v>2.381944443914108E-2</v>
      </c>
      <c r="N65" s="7">
        <f t="shared" si="2"/>
        <v>34.299999992363155</v>
      </c>
      <c r="O65" s="7"/>
      <c r="P65" s="7"/>
      <c r="Q65" s="22"/>
      <c r="R65" s="22"/>
      <c r="S65" s="31">
        <f t="shared" si="3"/>
        <v>1</v>
      </c>
      <c r="T65" s="46" t="str">
        <f t="shared" si="4"/>
        <v>NorthBound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-03-09T09:06:48-0700',mode:absolute,to:'2017-03-09T11:50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5" s="187" t="str">
        <f t="shared" si="6"/>
        <v>N</v>
      </c>
      <c r="X65" s="187">
        <f t="shared" si="7"/>
        <v>1</v>
      </c>
      <c r="Y65" s="62">
        <f t="shared" si="8"/>
        <v>4.4900000000000002E-2</v>
      </c>
      <c r="Z65" s="62">
        <f t="shared" si="9"/>
        <v>23.3293</v>
      </c>
      <c r="AA65" s="62">
        <f t="shared" si="10"/>
        <v>23.284400000000002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0153-09</v>
      </c>
      <c r="AE65" s="85" t="str">
        <f t="shared" si="12"/>
        <v>aws s3 cp s3://rtdc.mdm.uploadarchive.raw/RTDC4044/ "%USERPROFILE%\AppData\Local\Temp\OnboardLogs"\RTDC4044\2017-03-09 --exclude "*" --recursive --include "*20170309*" &amp; "%USERPROFILE%\Documents\GitHub\mrs-test-scripts\Headless Mode &amp; Sideloading\WalkAndUnGZ.bat" "%USERPROFILE%\AppData\Local\Temp\OnboardLogs"\RTDC4044\2017-03-09 &amp; aws s3 cp s3://rtdc.mdm.uploadarchive.raw/RTDC4044/ "%USERPROFILE%\AppData\Local\Temp\OnboardLogs"\RTDC4044\2017-03-10 --exclude "*" --recursive --include "*20170310*" &amp; "%USERPROFILE%\Documents\GitHub\mrs-test-scripts\Headless Mode &amp; Sideloading\WalkAndUnGZ.bat" "%USERPROFILE%\AppData\Local\Temp\OnboardLogs"\RTDC4044\2017-03-10</v>
      </c>
      <c r="AF65" s="82" t="str">
        <f t="shared" si="13"/>
        <v>"C:\Program Files (x86)\AstroGrep\AstroGrep.exe" /e /r /s /spath="%USERPROFILE%\AppData\Local\Temp\OnboardLogs" /stypes="app*4044*20170309*" /stext=" 17:.+((SYSTEM_STATE.+slice.+state.+changed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8"/>
        <v>"%USERPROFILE%\Documents\GitHub\eaglep3\Utilities\RefineRTDCRunTimes.py" --tripid 153-09 --locoid 4044 --swversion DE.1.0.9.0 --startMP 204:449 --initTime 2017-03-09T10:06:48 --startdatetime 2017-03-09T10:15:54 --delay 1 --endMP 204:233293 --enddatetime 2017-03-09T10:50:12 --enforcementcount 0 &gt;&gt;C:\Users\stu\Documents\GitHub\eaglep3-reporting\EC\2017-03-09-refined-times.txt</v>
      </c>
      <c r="AI65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{"issue":{"subject":"","project_id":79,"tracker_id":40,"status_id":1,"priority_id":2,"assigned_to_id":23,"start_date":"2017-03-09","description":"","custom_fields":[{"id":1,"name":"Subdivision","value":"EC"},{"id":4,"name":"Milepost","value":"23.3293"},{"id":17,"name":"Train ID","value":"153-09"},{"id":16,"name":"Locomotive ID","value":"4044"},{"id":130,"name":"Impact","value":""},{"id":150,"name":"Time of Event (Mountain Time)","value":"10:50:12"},{"id":151,"name":"Denver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4044 --day 2017-03-09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"%USERPROFILE%\AppData\Local\Temp\OnboardLogs"\RTDC4044\*4044*20170309* | grep -SE "(Enforcement Action)|(\[TIMEOUT)|(CHR.+\|PRM\|1\|D.+(SWITCH|SIGNAL).+UNKNOWN)" - &gt;&gt; 2017-03-09-UncaughtWiMAX.txt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692</v>
      </c>
      <c r="B66" s="7">
        <v>4043</v>
      </c>
      <c r="C66" s="21" t="s">
        <v>242</v>
      </c>
      <c r="D66" s="21" t="s">
        <v>437</v>
      </c>
      <c r="E66" s="13">
        <v>42803.453020833331</v>
      </c>
      <c r="F66" s="13">
        <v>42803.466921296298</v>
      </c>
      <c r="G66" s="7">
        <v>0</v>
      </c>
      <c r="H66" s="21" t="s">
        <v>208</v>
      </c>
      <c r="I66" s="13">
        <v>42803.494895833333</v>
      </c>
      <c r="J66" s="7">
        <v>0</v>
      </c>
      <c r="K66" s="98" t="str">
        <f t="shared" si="0"/>
        <v>4043/4044</v>
      </c>
      <c r="L66" s="21" t="str">
        <f>VLOOKUP(A66,'Trips&amp;Operators'!$C$1:$G$99999,5,FALSE)</f>
        <v>YORK EDGAR</v>
      </c>
      <c r="M66" s="6">
        <f t="shared" si="1"/>
        <v>2.7974537035333924E-2</v>
      </c>
      <c r="N66" s="7">
        <f t="shared" si="2"/>
        <v>40.283333330880851</v>
      </c>
      <c r="O66" s="7"/>
      <c r="P66" s="7"/>
      <c r="Q66" s="22"/>
      <c r="R66" s="22"/>
      <c r="S66" s="31">
        <f t="shared" si="3"/>
        <v>1</v>
      </c>
      <c r="T66" s="46" t="str">
        <f t="shared" si="4"/>
        <v>Southbound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-03-09T09:52:21-0700',mode:absolute,to:'2017-03-09T12:52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6" s="187" t="str">
        <f t="shared" si="6"/>
        <v>N</v>
      </c>
      <c r="X66" s="187">
        <f t="shared" si="7"/>
        <v>1</v>
      </c>
      <c r="Y66" s="62">
        <f t="shared" si="8"/>
        <v>23.297999999999998</v>
      </c>
      <c r="Z66" s="62">
        <f t="shared" si="9"/>
        <v>1.54E-2</v>
      </c>
      <c r="AA66" s="62">
        <f t="shared" si="10"/>
        <v>23.282599999999999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0154-09</v>
      </c>
      <c r="AE66" s="85" t="str">
        <f t="shared" si="12"/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AF66" s="82" t="str">
        <f t="shared" si="13"/>
        <v>"C:\Program Files (x86)\AstroGrep\AstroGrep.exe" /e /r /s /spath="%USERPROFILE%\AppData\Local\Temp\OnboardLogs" /stypes="app*4043*20170309*" /stext=" 18:.+((SYSTEM_STATE.+slice.+state.+changed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8"/>
        <v>"%USERPROFILE%\Documents\GitHub\eaglep3\Utilities\RefineRTDCRunTimes.py" --tripid 154-09 --locoid 4043 --swversion DE.1.0.9.0 --startMP 204:232980 --initTime 2017-03-09T10:52:21 --startdatetime 2017-03-09T11:12:22 --delay 0 --endMP 204:154 --enddatetime 2017-03-09T11:52:39 --enforcementcount 0 &gt;&gt;C:\Users\stu\Documents\GitHub\eaglep3-reporting\EC\2017-03-09-refined-times.txt</v>
      </c>
      <c r="AI66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{"issue":{"subject":"","project_id":79,"tracker_id":40,"status_id":1,"priority_id":2,"assigned_to_id":23,"start_date":"2017-03-09","description":"","custom_fields":[{"id":1,"name":"Subdivision","value":"EC"},{"id":4,"name":"Milepost","value":"0.0154"},{"id":17,"name":"Train ID","value":"154-09"},{"id":16,"name":"Locomotive ID","value":"4043"},{"id":130,"name":"Impact","value":""},{"id":150,"name":"Time of Event (Mountain Time)","value":"11:52:39"},{"id":151,"name":"Denver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4043 --day 2017-03-09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"%USERPROFILE%\AppData\Local\Temp\OnboardLogs"\RTDC4043\*4043*20170309* | grep -SE "(Enforcement Action)|(\[TIMEOUT)|(CHR.+\|PRM\|1\|D.+(SWITCH|SIGNAL).+UNKNOWN)" - &gt;&gt; 2017-03-09-UncaughtWiMAX.txt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688</v>
      </c>
      <c r="B67" s="7">
        <v>4014</v>
      </c>
      <c r="C67" s="21" t="s">
        <v>242</v>
      </c>
      <c r="D67" s="21" t="s">
        <v>844</v>
      </c>
      <c r="E67" s="13">
        <v>42803.434942129628</v>
      </c>
      <c r="F67" s="13">
        <v>42803.437673611108</v>
      </c>
      <c r="G67" s="7">
        <v>2</v>
      </c>
      <c r="H67" s="21" t="s">
        <v>250</v>
      </c>
      <c r="I67" s="13">
        <v>42803.465069444443</v>
      </c>
      <c r="J67" s="7">
        <v>0</v>
      </c>
      <c r="K67" s="98" t="str">
        <f t="shared" si="0"/>
        <v>4013/4014</v>
      </c>
      <c r="L67" s="21" t="str">
        <f>VLOOKUP(A67,'Trips&amp;Operators'!$C$1:$G$99999,5,FALSE)</f>
        <v>SHOOK JOHN</v>
      </c>
      <c r="M67" s="6">
        <f t="shared" si="1"/>
        <v>2.7395833334594499E-2</v>
      </c>
      <c r="N67" s="7">
        <f t="shared" si="2"/>
        <v>39.450000001816079</v>
      </c>
      <c r="O67" s="7"/>
      <c r="P67" s="7"/>
      <c r="Q67" s="22"/>
      <c r="R67" s="22"/>
      <c r="S67" s="31">
        <f t="shared" si="3"/>
        <v>1</v>
      </c>
      <c r="T67" s="46" t="str">
        <f t="shared" si="4"/>
        <v>NorthBound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-03-09T09:26:19-0700',mode:absolute,to:'2017-03-09T12:09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7" s="187" t="str">
        <f t="shared" si="6"/>
        <v>N</v>
      </c>
      <c r="X67" s="187">
        <f t="shared" si="7"/>
        <v>1</v>
      </c>
      <c r="Y67" s="62">
        <f t="shared" si="8"/>
        <v>4.2900000000000001E-2</v>
      </c>
      <c r="Z67" s="62">
        <f t="shared" si="9"/>
        <v>23.330400000000001</v>
      </c>
      <c r="AA67" s="62">
        <f t="shared" si="10"/>
        <v>23.287500000000001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0155-09</v>
      </c>
      <c r="AE67" s="85" t="str">
        <f t="shared" si="12"/>
        <v>aws s3 cp s3://rtdc.mdm.uploadarchive.raw/RTDC4014/ "%USERPROFILE%\AppData\Local\Temp\OnboardLogs"\RTDC4014\2017-03-09 --exclude "*" --recursive --include "*20170309*" &amp; "%USERPROFILE%\Documents\GitHub\mrs-test-scripts\Headless Mode &amp; Sideloading\WalkAndUnGZ.bat" "%USERPROFILE%\AppData\Local\Temp\OnboardLogs"\RTDC4014\2017-03-09 &amp; aws s3 cp s3://rtdc.mdm.uploadarchive.raw/RTDC4014/ "%USERPROFILE%\AppData\Local\Temp\OnboardLogs"\RTDC4014\2017-03-10 --exclude "*" --recursive --include "*20170310*" &amp; "%USERPROFILE%\Documents\GitHub\mrs-test-scripts\Headless Mode &amp; Sideloading\WalkAndUnGZ.bat" "%USERPROFILE%\AppData\Local\Temp\OnboardLogs"\RTDC4014\2017-03-10</v>
      </c>
      <c r="AF67" s="82" t="str">
        <f t="shared" si="13"/>
        <v>"C:\Program Files (x86)\AstroGrep\AstroGrep.exe" /e /r /s /spath="%USERPROFILE%\AppData\Local\Temp\OnboardLogs" /stypes="app*4014*20170309*" /stext=" 18:.+((SYSTEM_STATE.+slice.+state.+changed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8"/>
        <v>"%USERPROFILE%\Documents\GitHub\eaglep3\Utilities\RefineRTDCRunTimes.py" --tripid 155-09 --locoid 4014 --swversion DE.1.0.9.0 --startMP 204:429 --initTime 2017-03-09T10:26:19 --startdatetime 2017-03-09T10:30:15 --delay 2 --endMP 204:233304 --enddatetime 2017-03-09T11:09:42 --enforcementcount 0 &gt;&gt;C:\Users\stu\Documents\GitHub\eaglep3-reporting\EC\2017-03-09-refined-times.txt</v>
      </c>
      <c r="AI67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{"issue":{"subject":"","project_id":79,"tracker_id":40,"status_id":1,"priority_id":2,"assigned_to_id":23,"start_date":"2017-03-09","description":"","custom_fields":[{"id":1,"name":"Subdivision","value":"EC"},{"id":4,"name":"Milepost","value":"23.3304"},{"id":17,"name":"Train ID","value":"155-09"},{"id":16,"name":"Locomotive ID","value":"4014"},{"id":130,"name":"Impact","value":""},{"id":150,"name":"Time of Event (Mountain Time)","value":"11:09:42"},{"id":151,"name":"Denver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4014 --day 2017-03-09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"%USERPROFILE%\AppData\Local\Temp\OnboardLogs"\RTDC4014\*4014*20170309* | grep -SE "(Enforcement Action)|(\[TIMEOUT)|(CHR.+\|PRM\|1\|D.+(SWITCH|SIGNAL).+UNKNOWN)" - &gt;&gt; 2017-03-09-UncaughtWiMAX.txt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695</v>
      </c>
      <c r="B68" s="7">
        <v>4013</v>
      </c>
      <c r="C68" s="21" t="s">
        <v>242</v>
      </c>
      <c r="D68" s="21" t="s">
        <v>274</v>
      </c>
      <c r="E68" s="13">
        <v>42803.467245370368</v>
      </c>
      <c r="F68" s="13">
        <v>42803.476574074077</v>
      </c>
      <c r="G68" s="7">
        <v>1</v>
      </c>
      <c r="H68" s="21" t="s">
        <v>184</v>
      </c>
      <c r="I68" s="13">
        <v>42803.50582175926</v>
      </c>
      <c r="J68" s="7">
        <v>0</v>
      </c>
      <c r="K68" s="98" t="str">
        <f t="shared" si="0"/>
        <v>4013/4014</v>
      </c>
      <c r="L68" s="21" t="str">
        <f>VLOOKUP(A68,'Trips&amp;Operators'!$C$1:$G$99999,5,FALSE)</f>
        <v>SHOOK JOHN</v>
      </c>
      <c r="M68" s="6">
        <f t="shared" si="1"/>
        <v>2.9247685182781424E-2</v>
      </c>
      <c r="N68" s="7">
        <f t="shared" si="2"/>
        <v>42.116666663205251</v>
      </c>
      <c r="O68" s="7"/>
      <c r="P68" s="7"/>
      <c r="Q68" s="22"/>
      <c r="R68" s="22"/>
      <c r="S68" s="31">
        <f t="shared" si="3"/>
        <v>1</v>
      </c>
      <c r="T68" s="46" t="str">
        <f t="shared" si="4"/>
        <v>Southbound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-03-09T10:12:50-0700',mode:absolute,to:'2017-03-09T13:08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8" s="187" t="str">
        <f t="shared" si="6"/>
        <v>N</v>
      </c>
      <c r="X68" s="187">
        <f t="shared" si="7"/>
        <v>1</v>
      </c>
      <c r="Y68" s="62">
        <f t="shared" si="8"/>
        <v>23.299099999999999</v>
      </c>
      <c r="Z68" s="62">
        <f t="shared" si="9"/>
        <v>1.49E-2</v>
      </c>
      <c r="AA68" s="62">
        <f t="shared" si="10"/>
        <v>23.284199999999998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0156-09</v>
      </c>
      <c r="AE68" s="85" t="str">
        <f t="shared" si="12"/>
        <v>aws s3 cp s3://rtdc.mdm.uploadarchive.raw/RTDC4013/ "%USERPROFILE%\AppData\Local\Temp\OnboardLogs"\RTDC4013\2017-03-09 --exclude "*" --recursive --include "*20170309*" &amp; "%USERPROFILE%\Documents\GitHub\mrs-test-scripts\Headless Mode &amp; Sideloading\WalkAndUnGZ.bat" "%USERPROFILE%\AppData\Local\Temp\OnboardLogs"\RTDC4013\2017-03-09 &amp; aws s3 cp s3://rtdc.mdm.uploadarchive.raw/RTDC4013/ "%USERPROFILE%\AppData\Local\Temp\OnboardLogs"\RTDC4013\2017-03-10 --exclude "*" --recursive --include "*20170310*" &amp; "%USERPROFILE%\Documents\GitHub\mrs-test-scripts\Headless Mode &amp; Sideloading\WalkAndUnGZ.bat" "%USERPROFILE%\AppData\Local\Temp\OnboardLogs"\RTDC4013\2017-03-10</v>
      </c>
      <c r="AF68" s="82" t="str">
        <f t="shared" si="13"/>
        <v>"C:\Program Files (x86)\AstroGrep\AstroGrep.exe" /e /r /s /spath="%USERPROFILE%\AppData\Local\Temp\OnboardLogs" /stypes="app*4013*20170309*" /stext=" 19:.+((SYSTEM_STATE.+slice.+state.+changed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8"/>
        <v>"%USERPROFILE%\Documents\GitHub\eaglep3\Utilities\RefineRTDCRunTimes.py" --tripid 156-09 --locoid 4013 --swversion DE.1.0.9.0 --startMP 204:232991 --initTime 2017-03-09T11:12:50 --startdatetime 2017-03-09T11:26:16 --delay 1 --endMP 204:149 --enddatetime 2017-03-09T12:08:23 --enforcementcount 0 &gt;&gt;C:\Users\stu\Documents\GitHub\eaglep3-reporting\EC\2017-03-09-refined-times.txt</v>
      </c>
      <c r="AI68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{"issue":{"subject":"","project_id":79,"tracker_id":40,"status_id":1,"priority_id":2,"assigned_to_id":23,"start_date":"2017-03-09","description":"","custom_fields":[{"id":1,"name":"Subdivision","value":"EC"},{"id":4,"name":"Milepost","value":"0.0149"},{"id":17,"name":"Train ID","value":"156-09"},{"id":16,"name":"Locomotive ID","value":"4013"},{"id":130,"name":"Impact","value":""},{"id":150,"name":"Time of Event (Mountain Time)","value":"12:08:23"},{"id":151,"name":"Denver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4013 --day 2017-03-09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"%USERPROFILE%\AppData\Local\Temp\OnboardLogs"\RTDC4013\*4013*20170309* | grep -SE "(Enforcement Action)|(\[TIMEOUT)|(CHR.+\|PRM\|1\|D.+(SWITCH|SIGNAL).+UNKNOWN)" - &gt;&gt; 2017-03-09-UncaughtWiMAX.txt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690</v>
      </c>
      <c r="B69" s="7">
        <v>4016</v>
      </c>
      <c r="C69" s="21" t="s">
        <v>242</v>
      </c>
      <c r="D69" s="21" t="s">
        <v>217</v>
      </c>
      <c r="E69" s="13">
        <v>42803.445138888892</v>
      </c>
      <c r="F69" s="13">
        <v>42803.44835648148</v>
      </c>
      <c r="G69" s="7">
        <v>1</v>
      </c>
      <c r="H69" s="21" t="s">
        <v>553</v>
      </c>
      <c r="I69" s="13">
        <v>42803.475104166668</v>
      </c>
      <c r="J69" s="7">
        <v>0</v>
      </c>
      <c r="K69" s="98" t="str">
        <f t="shared" si="0"/>
        <v>4015/4016</v>
      </c>
      <c r="L69" s="21" t="str">
        <f>VLOOKUP(A69,'Trips&amp;Operators'!$C$1:$G$99999,5,FALSE)</f>
        <v>STARKS ANGELINA</v>
      </c>
      <c r="M69" s="6">
        <f t="shared" si="1"/>
        <v>2.6747685187729076E-2</v>
      </c>
      <c r="N69" s="7">
        <f t="shared" si="2"/>
        <v>38.516666670329869</v>
      </c>
      <c r="O69" s="7"/>
      <c r="P69" s="7"/>
      <c r="Q69" s="22"/>
      <c r="R69" s="22"/>
      <c r="S69" s="31">
        <f t="shared" si="3"/>
        <v>1</v>
      </c>
      <c r="T69" s="46" t="str">
        <f t="shared" si="4"/>
        <v>NorthBound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-03-09T09:41:00-0700',mode:absolute,to:'2017-03-09T12:24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9" s="187" t="str">
        <f t="shared" si="6"/>
        <v>N</v>
      </c>
      <c r="X69" s="187">
        <f t="shared" si="7"/>
        <v>1</v>
      </c>
      <c r="Y69" s="62">
        <f t="shared" si="8"/>
        <v>4.5699999999999998E-2</v>
      </c>
      <c r="Z69" s="62">
        <f t="shared" si="9"/>
        <v>23.328399999999998</v>
      </c>
      <c r="AA69" s="62">
        <f t="shared" si="10"/>
        <v>23.282699999999998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0157-09</v>
      </c>
      <c r="AE69" s="85" t="str">
        <f t="shared" si="12"/>
        <v>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 &amp; aws s3 cp s3://rtdc.mdm.uploadarchive.raw/RTDC4016/ "%USERPROFILE%\AppData\Local\Temp\OnboardLogs"\RTDC4016\2017-03-10 --exclude "*" --recursive --include "*20170310*" &amp; "%USERPROFILE%\Documents\GitHub\mrs-test-scripts\Headless Mode &amp; Sideloading\WalkAndUnGZ.bat" "%USERPROFILE%\AppData\Local\Temp\OnboardLogs"\RTDC4016\2017-03-10</v>
      </c>
      <c r="AF69" s="82" t="str">
        <f t="shared" si="13"/>
        <v>"C:\Program Files (x86)\AstroGrep\AstroGrep.exe" /e /r /s /spath="%USERPROFILE%\AppData\Local\Temp\OnboardLogs" /stypes="app*4016*20170309*" /stext=" 18:.+((SYSTEM_STATE.+slice.+state.+changed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8"/>
        <v>"%USERPROFILE%\Documents\GitHub\eaglep3\Utilities\RefineRTDCRunTimes.py" --tripid 157-09 --locoid 4016 --swversion DE.1.0.9.0 --startMP 204:457 --initTime 2017-03-09T10:41:00 --startdatetime 2017-03-09T10:45:38 --delay 1 --endMP 204:233284 --enddatetime 2017-03-09T11:24:09 --enforcementcount 0 &gt;&gt;C:\Users\stu\Documents\GitHub\eaglep3-reporting\EC\2017-03-09-refined-times.txt</v>
      </c>
      <c r="AI69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{"issue":{"subject":"","project_id":79,"tracker_id":40,"status_id":1,"priority_id":2,"assigned_to_id":23,"start_date":"2017-03-09","description":"","custom_fields":[{"id":1,"name":"Subdivision","value":"EC"},{"id":4,"name":"Milepost","value":"23.3284"},{"id":17,"name":"Train ID","value":"157-09"},{"id":16,"name":"Locomotive ID","value":"4016"},{"id":130,"name":"Impact","value":""},{"id":150,"name":"Time of Event (Mountain Time)","value":"11:24:09"},{"id":151,"name":"Denver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4016 --day 2017-03-09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"%USERPROFILE%\AppData\Local\Temp\OnboardLogs"\RTDC4016\*4016*20170309* | grep -SE "(Enforcement Action)|(\[TIMEOUT)|(CHR.+\|PRM\|1\|D.+(SWITCH|SIGNAL).+UNKNOWN)" - &gt;&gt; 2017-03-09-UncaughtWiMAX.txt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699</v>
      </c>
      <c r="B70" s="7">
        <v>4015</v>
      </c>
      <c r="C70" s="21" t="s">
        <v>242</v>
      </c>
      <c r="D70" s="21" t="s">
        <v>830</v>
      </c>
      <c r="E70" s="13">
        <v>42803.4846875</v>
      </c>
      <c r="F70" s="13">
        <v>42803.486967592595</v>
      </c>
      <c r="G70" s="7">
        <v>1</v>
      </c>
      <c r="H70" s="21" t="s">
        <v>192</v>
      </c>
      <c r="I70" s="13">
        <v>42803.518391203703</v>
      </c>
      <c r="J70" s="7">
        <v>0</v>
      </c>
      <c r="K70" s="98" t="str">
        <f t="shared" si="0"/>
        <v>4015/4016</v>
      </c>
      <c r="L70" s="21" t="str">
        <f>VLOOKUP(A70,'Trips&amp;Operators'!$C$1:$G$99999,5,FALSE)</f>
        <v>STARKS ANGELINA</v>
      </c>
      <c r="M70" s="6">
        <f t="shared" si="1"/>
        <v>3.142361110803904E-2</v>
      </c>
      <c r="N70" s="7">
        <f t="shared" si="2"/>
        <v>45.249999995576218</v>
      </c>
      <c r="O70" s="7"/>
      <c r="P70" s="7"/>
      <c r="Q70" s="22"/>
      <c r="R70" s="22"/>
      <c r="S70" s="31">
        <f t="shared" si="3"/>
        <v>1</v>
      </c>
      <c r="T70" s="46" t="str">
        <f t="shared" si="4"/>
        <v>Southbound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-03-09T10:37:57-0700',mode:absolute,to:'2017-03-09T13:26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0" s="187" t="str">
        <f t="shared" si="6"/>
        <v>N</v>
      </c>
      <c r="X70" s="187">
        <f t="shared" si="7"/>
        <v>1</v>
      </c>
      <c r="Y70" s="62">
        <f t="shared" si="8"/>
        <v>23.2986</v>
      </c>
      <c r="Z70" s="62">
        <f t="shared" si="9"/>
        <v>1.4999999999999999E-2</v>
      </c>
      <c r="AA70" s="62">
        <f t="shared" si="10"/>
        <v>23.2836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0158-09</v>
      </c>
      <c r="AE70" s="85" t="str">
        <f t="shared" si="12"/>
        <v>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 &amp; aws s3 cp s3://rtdc.mdm.uploadarchive.raw/RTDC4015/ "%USERPROFILE%\AppData\Local\Temp\OnboardLogs"\RTDC4015\2017-03-10 --exclude "*" --recursive --include "*20170310*" &amp; "%USERPROFILE%\Documents\GitHub\mrs-test-scripts\Headless Mode &amp; Sideloading\WalkAndUnGZ.bat" "%USERPROFILE%\AppData\Local\Temp\OnboardLogs"\RTDC4015\2017-03-10</v>
      </c>
      <c r="AF70" s="82" t="str">
        <f t="shared" si="13"/>
        <v>"C:\Program Files (x86)\AstroGrep\AstroGrep.exe" /e /r /s /spath="%USERPROFILE%\AppData\Local\Temp\OnboardLogs" /stypes="app*4015*20170309*" /stext=" 19:.+((SYSTEM_STATE.+slice.+state.+changed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8"/>
        <v>"%USERPROFILE%\Documents\GitHub\eaglep3\Utilities\RefineRTDCRunTimes.py" --tripid 158-09 --locoid 4015 --swversion DE.1.0.9.0 --startMP 204:232986 --initTime 2017-03-09T11:37:57 --startdatetime 2017-03-09T11:41:14 --delay 1 --endMP 204:150 --enddatetime 2017-03-09T12:26:29 --enforcementcount 0 &gt;&gt;C:\Users\stu\Documents\GitHub\eaglep3-reporting\EC\2017-03-09-refined-times.txt</v>
      </c>
      <c r="AI70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{"issue":{"subject":"","project_id":79,"tracker_id":40,"status_id":1,"priority_id":2,"assigned_to_id":23,"start_date":"2017-03-09","description":"","custom_fields":[{"id":1,"name":"Subdivision","value":"EC"},{"id":4,"name":"Milepost","value":"0.015"},{"id":17,"name":"Train ID","value":"158-09"},{"id":16,"name":"Locomotive ID","value":"4015"},{"id":130,"name":"Impact","value":""},{"id":150,"name":"Time of Event (Mountain Time)","value":"12:26:29"},{"id":151,"name":"Denver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4015 --day 2017-03-09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"%USERPROFILE%\AppData\Local\Temp\OnboardLogs"\RTDC4015\*4015*20170309* | grep -SE "(Enforcement Action)|(\[TIMEOUT)|(CHR.+\|PRM\|1\|D.+(SWITCH|SIGNAL).+UNKNOWN)" - &gt;&gt; 2017-03-09-UncaughtWiMAX.txt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693</v>
      </c>
      <c r="B71" s="7">
        <v>4018</v>
      </c>
      <c r="C71" s="21" t="s">
        <v>242</v>
      </c>
      <c r="D71" s="21" t="s">
        <v>218</v>
      </c>
      <c r="E71" s="13">
        <v>42803.457071759258</v>
      </c>
      <c r="F71" s="13">
        <v>42803.459016203706</v>
      </c>
      <c r="G71" s="7">
        <v>1</v>
      </c>
      <c r="H71" s="21" t="s">
        <v>552</v>
      </c>
      <c r="I71" s="13">
        <v>42803.492256944446</v>
      </c>
      <c r="J71" s="7">
        <v>0</v>
      </c>
      <c r="K71" s="98" t="str">
        <f t="shared" si="0"/>
        <v>4017/4018</v>
      </c>
      <c r="L71" s="21" t="str">
        <f>VLOOKUP(A71,'Trips&amp;Operators'!$C$1:$G$99999,5,FALSE)</f>
        <v>CLARK KATHLEEN</v>
      </c>
      <c r="M71" s="6">
        <f t="shared" si="1"/>
        <v>3.3240740740438923E-2</v>
      </c>
      <c r="N71" s="7">
        <f t="shared" si="2"/>
        <v>47.866666666232049</v>
      </c>
      <c r="O71" s="7"/>
      <c r="P71" s="7"/>
      <c r="Q71" s="22"/>
      <c r="R71" s="22"/>
      <c r="S71" s="31">
        <f t="shared" si="3"/>
        <v>1</v>
      </c>
      <c r="T71" s="46" t="str">
        <f t="shared" si="4"/>
        <v>NorthBound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-03-09T09:58:11-0700',mode:absolute,to:'2017-03-09T12:48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1" s="187" t="str">
        <f t="shared" si="6"/>
        <v>N</v>
      </c>
      <c r="X71" s="187">
        <f t="shared" si="7"/>
        <v>1</v>
      </c>
      <c r="Y71" s="62">
        <f t="shared" si="8"/>
        <v>4.5999999999999999E-2</v>
      </c>
      <c r="Z71" s="62">
        <f t="shared" si="9"/>
        <v>23.328099999999999</v>
      </c>
      <c r="AA71" s="62">
        <f t="shared" si="10"/>
        <v>23.2821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0159-09</v>
      </c>
      <c r="AE71" s="85" t="str">
        <f t="shared" si="12"/>
        <v>aws s3 cp s3://rtdc.mdm.uploadarchive.raw/RTDC4018/ "%USERPROFILE%\AppData\Local\Temp\OnboardLogs"\RTDC4018\2017-03-09 --exclude "*" --recursive --include "*20170309*" &amp; "%USERPROFILE%\Documents\GitHub\mrs-test-scripts\Headless Mode &amp; Sideloading\WalkAndUnGZ.bat" "%USERPROFILE%\AppData\Local\Temp\OnboardLogs"\RTDC4018\2017-03-09 &amp; 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</v>
      </c>
      <c r="AF71" s="82" t="str">
        <f t="shared" si="13"/>
        <v>"C:\Program Files (x86)\AstroGrep\AstroGrep.exe" /e /r /s /spath="%USERPROFILE%\AppData\Local\Temp\OnboardLogs" /stypes="app*4018*20170309*" /stext=" 18:.+((SYSTEM_STATE.+slice.+state.+changed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8"/>
        <v>"%USERPROFILE%\Documents\GitHub\eaglep3\Utilities\RefineRTDCRunTimes.py" --tripid 159-09 --locoid 4018 --swversion DE.1.0.9.0 --startMP 204:460 --initTime 2017-03-09T10:58:11 --startdatetime 2017-03-09T11:00:59 --delay 1 --endMP 204:233281 --enddatetime 2017-03-09T11:48:51 --enforcementcount 0 &gt;&gt;C:\Users\stu\Documents\GitHub\eaglep3-reporting\EC\2017-03-09-refined-times.txt</v>
      </c>
      <c r="AI71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{"issue":{"subject":"","project_id":79,"tracker_id":40,"status_id":1,"priority_id":2,"assigned_to_id":23,"start_date":"2017-03-09","description":"","custom_fields":[{"id":1,"name":"Subdivision","value":"EC"},{"id":4,"name":"Milepost","value":"23.3281"},{"id":17,"name":"Train ID","value":"159-09"},{"id":16,"name":"Locomotive ID","value":"4018"},{"id":130,"name":"Impact","value":""},{"id":150,"name":"Time of Event (Mountain Time)","value":"11:48:51"},{"id":151,"name":"Denver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4018 --day 2017-03-09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"%USERPROFILE%\AppData\Local\Temp\OnboardLogs"\RTDC4018\*4018*20170309* | grep -SE "(Enforcement Action)|(\[TIMEOUT)|(CHR.+\|PRM\|1\|D.+(SWITCH|SIGNAL).+UNKNOWN)" - &gt;&gt; 2017-03-09-UncaughtWiMAX.txt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703</v>
      </c>
      <c r="B72" s="7">
        <v>4017</v>
      </c>
      <c r="C72" s="21" t="s">
        <v>242</v>
      </c>
      <c r="D72" s="21" t="s">
        <v>845</v>
      </c>
      <c r="E72" s="13">
        <v>42803.496550925927</v>
      </c>
      <c r="F72" s="13">
        <v>42803.49858796296</v>
      </c>
      <c r="G72" s="7">
        <v>1</v>
      </c>
      <c r="H72" s="21" t="s">
        <v>846</v>
      </c>
      <c r="I72" s="13">
        <v>42803.527199074073</v>
      </c>
      <c r="J72" s="7">
        <v>0</v>
      </c>
      <c r="K72" s="98" t="str">
        <f t="shared" si="0"/>
        <v>4017/4018</v>
      </c>
      <c r="L72" s="21" t="str">
        <f>VLOOKUP(A72,'Trips&amp;Operators'!$C$1:$G$99999,5,FALSE)</f>
        <v>CLARK KATHLEEN</v>
      </c>
      <c r="M72" s="6">
        <f t="shared" si="1"/>
        <v>2.8611111112695653E-2</v>
      </c>
      <c r="N72" s="7">
        <f t="shared" si="2"/>
        <v>41.20000000228174</v>
      </c>
      <c r="O72" s="7"/>
      <c r="P72" s="7"/>
      <c r="Q72" s="22"/>
      <c r="R72" s="22"/>
      <c r="S72" s="31">
        <f t="shared" si="3"/>
        <v>1</v>
      </c>
      <c r="T72" s="46" t="str">
        <f t="shared" si="4"/>
        <v>Southbound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-03-09T10:55:02-0700',mode:absolute,to:'2017-03-09T13:39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2" s="187" t="str">
        <f t="shared" si="6"/>
        <v>N</v>
      </c>
      <c r="X72" s="187">
        <f t="shared" si="7"/>
        <v>1</v>
      </c>
      <c r="Y72" s="62">
        <f t="shared" si="8"/>
        <v>23.2959</v>
      </c>
      <c r="Z72" s="62">
        <f t="shared" si="9"/>
        <v>2.0899999999999998E-2</v>
      </c>
      <c r="AA72" s="62">
        <f t="shared" si="10"/>
        <v>23.274999999999999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0160-09</v>
      </c>
      <c r="AE72" s="85" t="str">
        <f t="shared" si="12"/>
        <v>aws s3 cp s3://rtdc.mdm.uploadarchive.raw/RTDC4017/ "%USERPROFILE%\AppData\Local\Temp\OnboardLogs"\RTDC4017\2017-03-09 --exclude "*" --recursive --include "*20170309*" &amp; "%USERPROFILE%\Documents\GitHub\mrs-test-scripts\Headless Mode &amp; Sideloading\WalkAndUnGZ.bat" "%USERPROFILE%\AppData\Local\Temp\OnboardLogs"\RTDC4017\2017-03-09 &amp; aws s3 cp s3://rtdc.mdm.uploadarchive.raw/RTDC4017/ "%USERPROFILE%\AppData\Local\Temp\OnboardLogs"\RTDC4017\2017-03-10 --exclude "*" --recursive --include "*20170310*" &amp; "%USERPROFILE%\Documents\GitHub\mrs-test-scripts\Headless Mode &amp; Sideloading\WalkAndUnGZ.bat" "%USERPROFILE%\AppData\Local\Temp\OnboardLogs"\RTDC4017\2017-03-10</v>
      </c>
      <c r="AF72" s="82" t="str">
        <f t="shared" si="13"/>
        <v>"C:\Program Files (x86)\AstroGrep\AstroGrep.exe" /e /r /s /spath="%USERPROFILE%\AppData\Local\Temp\OnboardLogs" /stypes="app*4017*20170309*" /stext=" 19:.+((SYSTEM_STATE.+slice.+state.+changed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8"/>
        <v>"%USERPROFILE%\Documents\GitHub\eaglep3\Utilities\RefineRTDCRunTimes.py" --tripid 160-09 --locoid 4017 --swversion DE.1.0.9.0 --startMP 204:232959 --initTime 2017-03-09T11:55:02 --startdatetime 2017-03-09T11:57:58 --delay 1 --endMP 204:209 --enddatetime 2017-03-09T12:39:10 --enforcementcount 0 &gt;&gt;C:\Users\stu\Documents\GitHub\eaglep3-reporting\EC\2017-03-09-refined-times.txt</v>
      </c>
      <c r="AI72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{"issue":{"subject":"","project_id":79,"tracker_id":40,"status_id":1,"priority_id":2,"assigned_to_id":23,"start_date":"2017-03-09","description":"","custom_fields":[{"id":1,"name":"Subdivision","value":"EC"},{"id":4,"name":"Milepost","value":"0.0209"},{"id":17,"name":"Train ID","value":"160-09"},{"id":16,"name":"Locomotive ID","value":"4017"},{"id":130,"name":"Impact","value":""},{"id":150,"name":"Time of Event (Mountain Time)","value":"12:39:10"},{"id":151,"name":"Denver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4017 --day 2017-03-09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"%USERPROFILE%\AppData\Local\Temp\OnboardLogs"\RTDC4017\*4017*20170309* | grep -SE "(Enforcement Action)|(\[TIMEOUT)|(CHR.+\|PRM\|1\|D.+(SWITCH|SIGNAL).+UNKNOWN)" - &gt;&gt; 2017-03-09-UncaughtWiMAX.txt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694</v>
      </c>
      <c r="B73" s="7">
        <v>4003</v>
      </c>
      <c r="C73" s="21" t="s">
        <v>242</v>
      </c>
      <c r="D73" s="21" t="s">
        <v>275</v>
      </c>
      <c r="E73" s="13">
        <v>42803.465914351851</v>
      </c>
      <c r="F73" s="13">
        <v>42803.4690162037</v>
      </c>
      <c r="G73" s="7">
        <v>2</v>
      </c>
      <c r="H73" s="21" t="s">
        <v>249</v>
      </c>
      <c r="I73" s="13">
        <v>42803.494305555556</v>
      </c>
      <c r="J73" s="7">
        <v>0</v>
      </c>
      <c r="K73" s="98" t="str">
        <f t="shared" si="0"/>
        <v>4003/4004</v>
      </c>
      <c r="L73" s="21" t="str">
        <f>VLOOKUP(A73,'Trips&amp;Operators'!$C$1:$G$99999,5,FALSE)</f>
        <v>MOSES BRADLEY</v>
      </c>
      <c r="M73" s="6">
        <f t="shared" si="1"/>
        <v>2.5289351855462883E-2</v>
      </c>
      <c r="N73" s="7">
        <f t="shared" si="2"/>
        <v>36.416666671866551</v>
      </c>
      <c r="O73" s="7"/>
      <c r="P73" s="7"/>
      <c r="Q73" s="22"/>
      <c r="R73" s="22"/>
      <c r="S73" s="31">
        <f t="shared" si="3"/>
        <v>1</v>
      </c>
      <c r="T73" s="46" t="str">
        <f t="shared" si="4"/>
        <v>NorthBound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-03-09T10:10:55-0700',mode:absolute,to:'2017-03-09T12:51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3" s="187" t="str">
        <f t="shared" si="6"/>
        <v>N</v>
      </c>
      <c r="X73" s="187">
        <f t="shared" si="7"/>
        <v>1</v>
      </c>
      <c r="Y73" s="62">
        <f t="shared" si="8"/>
        <v>4.4900000000000002E-2</v>
      </c>
      <c r="Z73" s="62">
        <f t="shared" si="9"/>
        <v>23.328900000000001</v>
      </c>
      <c r="AA73" s="62">
        <f t="shared" si="10"/>
        <v>23.284000000000002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0161-09</v>
      </c>
      <c r="AE73" s="85" t="str">
        <f t="shared" si="12"/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AF73" s="82" t="str">
        <f t="shared" si="13"/>
        <v>"C:\Program Files (x86)\AstroGrep\AstroGrep.exe" /e /r /s /spath="%USERPROFILE%\AppData\Local\Temp\OnboardLogs" /stypes="app*4003*20170309*" /stext=" 18:.+((SYSTEM_STATE.+slice.+state.+changed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8"/>
        <v>"%USERPROFILE%\Documents\GitHub\eaglep3\Utilities\RefineRTDCRunTimes.py" --tripid 161-09 --locoid 4003 --swversion DE.1.0.9.0 --startMP 204:449 --initTime 2017-03-09T11:10:55 --startdatetime 2017-03-09T11:15:23 --delay 2 --endMP 204:233289 --enddatetime 2017-03-09T11:51:48 --enforcementcount 0 &gt;&gt;C:\Users\stu\Documents\GitHub\eaglep3-reporting\EC\2017-03-09-refined-times.txt</v>
      </c>
      <c r="AI73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{"issue":{"subject":"","project_id":79,"tracker_id":40,"status_id":1,"priority_id":2,"assigned_to_id":23,"start_date":"2017-03-09","description":"","custom_fields":[{"id":1,"name":"Subdivision","value":"EC"},{"id":4,"name":"Milepost","value":"23.3289"},{"id":17,"name":"Train ID","value":"161-09"},{"id":16,"name":"Locomotive ID","value":"4003"},{"id":130,"name":"Impact","value":""},{"id":150,"name":"Time of Event (Mountain Time)","value":"11:51:48"},{"id":151,"name":"Denver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4003 --day 2017-03-09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"%USERPROFILE%\AppData\Local\Temp\OnboardLogs"\RTDC4003\*4003*20170309* | grep -SE "(Enforcement Action)|(\[TIMEOUT)|(CHR.+\|PRM\|1\|D.+(SWITCH|SIGNAL).+UNKNOWN)" - &gt;&gt; 2017-03-09-UncaughtWiMAX.txt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705</v>
      </c>
      <c r="B74" s="7">
        <v>4004</v>
      </c>
      <c r="C74" s="21" t="s">
        <v>242</v>
      </c>
      <c r="D74" s="21" t="s">
        <v>276</v>
      </c>
      <c r="E74" s="13">
        <v>42803.504166666666</v>
      </c>
      <c r="F74" s="13">
        <v>42803.507962962962</v>
      </c>
      <c r="G74" s="7">
        <v>1</v>
      </c>
      <c r="H74" s="21" t="s">
        <v>432</v>
      </c>
      <c r="I74" s="13">
        <v>42803.534826388888</v>
      </c>
      <c r="J74" s="7">
        <v>0</v>
      </c>
      <c r="K74" s="98" t="str">
        <f t="shared" si="0"/>
        <v>4003/4004</v>
      </c>
      <c r="L74" s="21" t="str">
        <f>VLOOKUP(A74,'Trips&amp;Operators'!$C$1:$G$99999,5,FALSE)</f>
        <v>MOSES BRADLEY</v>
      </c>
      <c r="M74" s="6">
        <f t="shared" si="1"/>
        <v>2.6863425926421769E-2</v>
      </c>
      <c r="N74" s="7">
        <f t="shared" si="2"/>
        <v>38.683333334047347</v>
      </c>
      <c r="O74" s="7"/>
      <c r="P74" s="7"/>
      <c r="Q74" s="22"/>
      <c r="R74" s="22"/>
      <c r="S74" s="31">
        <f t="shared" si="3"/>
        <v>1</v>
      </c>
      <c r="T74" s="46" t="str">
        <f t="shared" si="4"/>
        <v>Southbound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5"/>
        <v>https://d0f6bd738d7f1b3e5a7ca70fe4ff75f0.us-east-1.aws.found.io/app/kibana#/discover/Steve-Slow-Train-Analysis-(2080s-and-2083s)?_g=(refreshInterval:(display:Off,pause:!f,section:0,value:0),time:(from:'2017-03-09T11:06:00-0700',mode:absolute,to:'2017-03-09T13:50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4" s="187" t="str">
        <f t="shared" si="6"/>
        <v>N</v>
      </c>
      <c r="X74" s="187">
        <f t="shared" si="7"/>
        <v>1</v>
      </c>
      <c r="Y74" s="62">
        <f t="shared" si="8"/>
        <v>23.2971</v>
      </c>
      <c r="Z74" s="62">
        <f t="shared" si="9"/>
        <v>1.6E-2</v>
      </c>
      <c r="AA74" s="62">
        <f t="shared" si="10"/>
        <v>23.281100000000002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0162-09</v>
      </c>
      <c r="AE74" s="85" t="str">
        <f t="shared" si="12"/>
        <v>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 &amp; 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</v>
      </c>
      <c r="AF74" s="82" t="str">
        <f t="shared" si="13"/>
        <v>"C:\Program Files (x86)\AstroGrep\AstroGrep.exe" /e /r /s /spath="%USERPROFILE%\AppData\Local\Temp\OnboardLogs" /stypes="app*4004*20170309*" /stext=" 19:.+((SYSTEM_STATE.+slice.+state.+changed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8"/>
        <v>"%USERPROFILE%\Documents\GitHub\eaglep3\Utilities\RefineRTDCRunTimes.py" --tripid 162-09 --locoid 4004 --swversion DE.1.0.9.0 --startMP 204:232971 --initTime 2017-03-09T12:06:00 --startdatetime 2017-03-09T12:11:28 --delay 1 --endMP 204:160 --enddatetime 2017-03-09T12:50:09 --enforcementcount 0 &gt;&gt;C:\Users\stu\Documents\GitHub\eaglep3-reporting\EC\2017-03-09-refined-times.txt</v>
      </c>
      <c r="AI74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{"issue":{"subject":"","project_id":79,"tracker_id":40,"status_id":1,"priority_id":2,"assigned_to_id":23,"start_date":"2017-03-09","description":"","custom_fields":[{"id":1,"name":"Subdivision","value":"EC"},{"id":4,"name":"Milepost","value":"0.016"},{"id":17,"name":"Train ID","value":"162-09"},{"id":16,"name":"Locomotive ID","value":"4004"},{"id":130,"name":"Impact","value":""},{"id":150,"name":"Time of Event (Mountain Time)","value":"12:50:09"},{"id":151,"name":"Denver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4004 --day 2017-03-09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"%USERPROFILE%\AppData\Local\Temp\OnboardLogs"\RTDC4004\*4004*20170309* | grep -SE "(Enforcement Action)|(\[TIMEOUT)|(CHR.+\|PRM\|1\|D.+(SWITCH|SIGNAL).+UNKNOWN)" - &gt;&gt; 2017-03-09-UncaughtWiMAX.txt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697</v>
      </c>
      <c r="B75" s="7">
        <v>4029</v>
      </c>
      <c r="C75" s="21" t="s">
        <v>242</v>
      </c>
      <c r="D75" s="21" t="s">
        <v>847</v>
      </c>
      <c r="E75" s="13">
        <v>42803.478275462963</v>
      </c>
      <c r="F75" s="13">
        <v>42803.480694444443</v>
      </c>
      <c r="G75" s="7">
        <v>2</v>
      </c>
      <c r="H75" s="21" t="s">
        <v>848</v>
      </c>
      <c r="I75" s="13">
        <v>42803.506342592591</v>
      </c>
      <c r="J75" s="7">
        <v>0</v>
      </c>
      <c r="K75" s="98" t="str">
        <f t="shared" si="0"/>
        <v>4029/4030</v>
      </c>
      <c r="L75" s="21" t="str">
        <f>VLOOKUP(A75,'Trips&amp;Operators'!$C$1:$G$99999,5,FALSE)</f>
        <v>BRUDER RICHARD</v>
      </c>
      <c r="M75" s="6">
        <f t="shared" si="1"/>
        <v>2.5648148148320615E-2</v>
      </c>
      <c r="N75" s="7">
        <f t="shared" si="2"/>
        <v>36.933333333581686</v>
      </c>
      <c r="O75" s="7"/>
      <c r="P75" s="7"/>
      <c r="Q75" s="22"/>
      <c r="R75" s="22"/>
      <c r="S75" s="31">
        <f t="shared" si="3"/>
        <v>1</v>
      </c>
      <c r="T75" s="46" t="str">
        <f t="shared" si="4"/>
        <v>NorthBound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-03-09T10:28:43-0700',mode:absolute,to:'2017-03-09T13:09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5" s="187" t="str">
        <f t="shared" si="6"/>
        <v>N</v>
      </c>
      <c r="X75" s="187">
        <f t="shared" si="7"/>
        <v>1</v>
      </c>
      <c r="Y75" s="62">
        <f t="shared" si="8"/>
        <v>4.8000000000000001E-2</v>
      </c>
      <c r="Z75" s="62">
        <f t="shared" si="9"/>
        <v>23.331700000000001</v>
      </c>
      <c r="AA75" s="62">
        <f t="shared" si="10"/>
        <v>23.283700000000003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0163-09</v>
      </c>
      <c r="AE75" s="85" t="str">
        <f t="shared" si="12"/>
        <v>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 &amp; 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</v>
      </c>
      <c r="AF75" s="82" t="str">
        <f t="shared" si="13"/>
        <v>"C:\Program Files (x86)\AstroGrep\AstroGrep.exe" /e /r /s /spath="%USERPROFILE%\AppData\Local\Temp\OnboardLogs" /stypes="app*4029*20170309*" /stext=" 19:.+((SYSTEM_STATE.+slice.+state.+changed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8"/>
        <v>"%USERPROFILE%\Documents\GitHub\eaglep3\Utilities\RefineRTDCRunTimes.py" --tripid 163-09 --locoid 4029 --swversion DE.1.0.9.0 --startMP 204:480 --initTime 2017-03-09T11:28:43 --startdatetime 2017-03-09T11:32:12 --delay 2 --endMP 204:233317 --enddatetime 2017-03-09T12:09:08 --enforcementcount 0 &gt;&gt;C:\Users\stu\Documents\GitHub\eaglep3-reporting\EC\2017-03-09-refined-times.txt</v>
      </c>
      <c r="AI75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{"issue":{"subject":"","project_id":79,"tracker_id":40,"status_id":1,"priority_id":2,"assigned_to_id":23,"start_date":"2017-03-09","description":"","custom_fields":[{"id":1,"name":"Subdivision","value":"EC"},{"id":4,"name":"Milepost","value":"23.3317"},{"id":17,"name":"Train ID","value":"163-09"},{"id":16,"name":"Locomotive ID","value":"4029"},{"id":130,"name":"Impact","value":""},{"id":150,"name":"Time of Event (Mountain Time)","value":"12:09:08"},{"id":151,"name":"Denver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4029 --day 2017-03-09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"%USERPROFILE%\AppData\Local\Temp\OnboardLogs"\RTDC4029\*4029*20170309* | grep -SE "(Enforcement Action)|(\[TIMEOUT)|(CHR.+\|PRM\|1\|D.+(SWITCH|SIGNAL).+UNKNOWN)" - &gt;&gt; 2017-03-09-UncaughtWiMAX.txt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709</v>
      </c>
      <c r="B76" s="7">
        <v>4030</v>
      </c>
      <c r="C76" s="21" t="s">
        <v>242</v>
      </c>
      <c r="D76" s="21" t="s">
        <v>244</v>
      </c>
      <c r="E76" s="13">
        <v>42803.513055555559</v>
      </c>
      <c r="F76" s="13">
        <v>42803.518263888887</v>
      </c>
      <c r="G76" s="7">
        <v>2</v>
      </c>
      <c r="H76" s="21" t="s">
        <v>235</v>
      </c>
      <c r="I76" s="13">
        <v>42803.546249999999</v>
      </c>
      <c r="J76" s="7">
        <v>0</v>
      </c>
      <c r="K76" s="98" t="str">
        <f t="shared" si="0"/>
        <v>4029/4030</v>
      </c>
      <c r="L76" s="21" t="str">
        <f>VLOOKUP(A76,'Trips&amp;Operators'!$C$1:$G$99999,5,FALSE)</f>
        <v>BRUDER RICHARD</v>
      </c>
      <c r="M76" s="6">
        <f t="shared" si="1"/>
        <v>2.7986111112113576E-2</v>
      </c>
      <c r="N76" s="7">
        <f t="shared" si="2"/>
        <v>40.30000000144355</v>
      </c>
      <c r="O76" s="7"/>
      <c r="P76" s="7"/>
      <c r="Q76" s="22"/>
      <c r="R76" s="22"/>
      <c r="S76" s="31">
        <f t="shared" si="3"/>
        <v>1</v>
      </c>
      <c r="T76" s="46" t="str">
        <f t="shared" si="4"/>
        <v>Southbound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-03-09T11:18:48-0700',mode:absolute,to:'2017-03-09T14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6" s="187" t="str">
        <f t="shared" si="6"/>
        <v>N</v>
      </c>
      <c r="X76" s="187">
        <f t="shared" si="7"/>
        <v>1</v>
      </c>
      <c r="Y76" s="62">
        <f t="shared" si="8"/>
        <v>23.299399999999999</v>
      </c>
      <c r="Z76" s="62">
        <f t="shared" si="9"/>
        <v>1.47E-2</v>
      </c>
      <c r="AA76" s="62">
        <f t="shared" si="10"/>
        <v>23.284699999999997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0164-09</v>
      </c>
      <c r="AE76" s="85" t="str">
        <f t="shared" si="12"/>
        <v>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 &amp; 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</v>
      </c>
      <c r="AF76" s="82" t="str">
        <f t="shared" si="13"/>
        <v>"C:\Program Files (x86)\AstroGrep\AstroGrep.exe" /e /r /s /spath="%USERPROFILE%\AppData\Local\Temp\OnboardLogs" /stypes="app*4030*20170309*" /stext=" 20:.+((SYSTEM_STATE.+slice.+state.+changed )|(ment ac)|(multiple cpu faults)|(system.+state.+changed )|(\[timeout)|(PRM\|1\|D)|(kpr)|(kdp)|(\|lc)|(penalty))"</v>
      </c>
      <c r="AG76" s="1" t="str">
        <f t="shared" si="14"/>
        <v>EC</v>
      </c>
      <c r="AH76" s="86" t="str">
        <f t="shared" si="18"/>
        <v>"%USERPROFILE%\Documents\GitHub\eaglep3\Utilities\RefineRTDCRunTimes.py" --tripid 164-09 --locoid 4030 --swversion DE.1.0.9.0 --startMP 204:232994 --initTime 2017-03-09T12:18:48 --startdatetime 2017-03-09T12:26:18 --delay 2 --endMP 204:147 --enddatetime 2017-03-09T13:06:36 --enforcementcount 0 &gt;&gt;C:\Users\stu\Documents\GitHub\eaglep3-reporting\EC\2017-03-09-refined-times.txt</v>
      </c>
      <c r="AI76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{"issue":{"subject":"","project_id":79,"tracker_id":40,"status_id":1,"priority_id":2,"assigned_to_id":23,"start_date":"2017-03-09","description":"","custom_fields":[{"id":1,"name":"Subdivision","value":"EC"},{"id":4,"name":"Milepost","value":"0.0147"},{"id":17,"name":"Train ID","value":"164-09"},{"id":16,"name":"Locomotive ID","value":"4030"},{"id":130,"name":"Impact","value":""},{"id":150,"name":"Time of Event (Mountain Time)","value":"13:06:36"},{"id":151,"name":"Denver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4030 --day 2017-03-09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"%USERPROFILE%\AppData\Local\Temp\OnboardLogs"\RTDC4030\*4030*20170309* | grep -SE "(Enforcement Action)|(\[TIMEOUT)|(CHR.+\|PRM\|1\|D.+(SWITCH|SIGNAL).+UNKNOWN)" - &gt;&gt; 2017-03-09-UncaughtWiMAX.txt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700</v>
      </c>
      <c r="B77" s="7">
        <v>4040</v>
      </c>
      <c r="C77" s="21" t="s">
        <v>242</v>
      </c>
      <c r="D77" s="21" t="s">
        <v>539</v>
      </c>
      <c r="E77" s="13">
        <v>42803.487268518518</v>
      </c>
      <c r="F77" s="13">
        <v>42803.489837962959</v>
      </c>
      <c r="G77" s="7">
        <v>1</v>
      </c>
      <c r="H77" s="21" t="s">
        <v>849</v>
      </c>
      <c r="I77" s="13">
        <v>42803.523125</v>
      </c>
      <c r="J77" s="7">
        <v>0</v>
      </c>
      <c r="K77" s="98" t="str">
        <f t="shared" ref="K77:K141" si="21">IF(ISEVEN(B77),(B77-1)&amp;"/"&amp;B77,B77&amp;"/"&amp;(B77+1))</f>
        <v>4039/4040</v>
      </c>
      <c r="L77" s="21" t="str">
        <f>VLOOKUP(A77,'Trips&amp;Operators'!$C$1:$G$99999,5,FALSE)</f>
        <v>SMITH MICHAEL</v>
      </c>
      <c r="M77" s="6">
        <f t="shared" ref="M77:M141" si="22">I77-F77</f>
        <v>3.3287037040281575E-2</v>
      </c>
      <c r="N77" s="7">
        <f t="shared" ref="N77:N141" si="23">24*60*SUM($M77:$M77)</f>
        <v>47.933333338005468</v>
      </c>
      <c r="O77" s="7"/>
      <c r="P77" s="7"/>
      <c r="Q77" s="22"/>
      <c r="R77" s="22"/>
      <c r="S77" s="31">
        <f t="shared" ref="S77:S141" si="24">SUM(U77:U77)/IF(AG77="EC",12,1)</f>
        <v>1</v>
      </c>
      <c r="T77" s="46" t="str">
        <f t="shared" ref="T77:T141" si="25">IF(ISEVEN(LEFT(AD77,4)),"Southbound","NorthBound")</f>
        <v>NorthBound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1" si="2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-03-09T10:41:40-0700',mode:absolute,to:'2017-03-09T13:33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7" s="187" t="str">
        <f t="shared" ref="W77:W141" si="27">IF(AA77&lt;IF(AG77="EC",23,5.65),"Y","N")</f>
        <v>N</v>
      </c>
      <c r="X77" s="187">
        <f t="shared" ref="X77:X141" si="28">VALUE(LEFT(AD77,4))-VALUE(LEFT(AD76,4))</f>
        <v>1</v>
      </c>
      <c r="Y77" s="62">
        <f t="shared" ref="Y77:Y141" si="29">RIGHT(D77,LEN(D77)-4)/10000</f>
        <v>4.6399999999999997E-2</v>
      </c>
      <c r="Z77" s="62">
        <f t="shared" ref="Z77:Z141" si="30">RIGHT(H77,LEN(H77)-4)/10000</f>
        <v>23.330500000000001</v>
      </c>
      <c r="AA77" s="62">
        <f t="shared" ref="AA77:AA141" si="31">ABS(Z77-Y77)</f>
        <v>23.284100000000002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1" si="32">IF(LEN(A77)=6,"0"&amp;A77,A77)</f>
        <v>0165-09</v>
      </c>
      <c r="AE77" s="85" t="str">
        <f t="shared" ref="AE77:AE141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 &amp; 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</v>
      </c>
      <c r="AF77" s="82" t="str">
        <f t="shared" ref="AF77:AF141" si="34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/stypes="app*4040*20170309*" /stext=" 19:.+((SYSTEM_STATE.+slice.+state.+changed )|(ment ac)|(multiple cpu faults)|(system.+state.+changed )|(\[timeout)|(PRM\|1\|D)|(kpr)|(kdp)|(\|lc)|(penalty))"</v>
      </c>
      <c r="AG77" s="1" t="str">
        <f t="shared" ref="AG77:AG141" si="35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165-09 --locoid 4040 --swversion DE.1.0.9.0 --startMP 204:464 --initTime 2017-03-09T11:41:40 --startdatetime 2017-03-09T11:45:22 --delay 1 --endMP 204:233305 --enddatetime 2017-03-09T12:33:18 --enforcementcount 0 &gt;&gt;C:\Users\stu\Documents\GitHub\eaglep3-reporting\EC\2017-03-09-refined-times.txt</v>
      </c>
      <c r="AI77" s="108" t="str">
        <f t="shared" si="19"/>
        <v>echo {"issue":{"subject":"","project_id":79,"tracker_id":40,"status_id":1,"priority_id":2,"assigned_to_id":23,"start_date":"2017-03-09","description":"","custom_fields":[{"id":1,"name":"Subdivision","value":"EC"},{"id":4,"name":"Milepost","value":"23.3305"},{"id":17,"name":"Train ID","value":"165-09"},{"id":16,"name":"Locomotive ID","value":"4040"},{"id":130,"name":"Impact","value":""},{"id":150,"name":"Time of Event (Mountain Time)","value":"12:33:18"},{"id":151,"name":"Denver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4040 --day 2017-03-09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"%USERPROFILE%\AppData\Local\Temp\OnboardLogs"\RTDC4040\*4040*20170309* | grep -SE "(Enforcement Action)|(\[TIMEOUT)|(CHR.+\|PRM\|1\|D.+(SWITCH|SIGNAL).+UNKNOWN)" - &gt;&gt; 2017-03-09-UncaughtWiMAX.txt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20" customFormat="1" x14ac:dyDescent="0.25">
      <c r="A78" s="33" t="s">
        <v>588</v>
      </c>
      <c r="B78" s="7">
        <v>4039</v>
      </c>
      <c r="C78" s="21" t="s">
        <v>242</v>
      </c>
      <c r="D78" s="21" t="s">
        <v>422</v>
      </c>
      <c r="E78" s="13">
        <v>42803.524513888886</v>
      </c>
      <c r="F78" s="13">
        <v>42803.528692129628</v>
      </c>
      <c r="G78" s="7">
        <v>1</v>
      </c>
      <c r="H78" s="21" t="s">
        <v>202</v>
      </c>
      <c r="I78" s="13">
        <v>42803.557835648149</v>
      </c>
      <c r="J78" s="7">
        <v>0</v>
      </c>
      <c r="K78" s="98" t="str">
        <f t="shared" si="21"/>
        <v>4039/4040</v>
      </c>
      <c r="L78" s="21" t="str">
        <f>VLOOKUP(A78,'Trips&amp;Operators'!$C$1:$G$99999,5,FALSE)</f>
        <v>SMITH MICHAEL</v>
      </c>
      <c r="M78" s="6">
        <f t="shared" si="22"/>
        <v>2.9143518520868383E-2</v>
      </c>
      <c r="N78" s="7">
        <f t="shared" si="23"/>
        <v>41.966666670050472</v>
      </c>
      <c r="O78" s="7"/>
      <c r="P78" s="7"/>
      <c r="Q78" s="22"/>
      <c r="R78" s="22"/>
      <c r="S78" s="31">
        <f t="shared" si="24"/>
        <v>1</v>
      </c>
      <c r="T78" s="46" t="str">
        <f t="shared" si="25"/>
        <v>Southbound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26"/>
        <v>https://d0f6bd738d7f1b3e5a7ca70fe4ff75f0.us-east-1.aws.found.io/app/kibana#/discover/Steve-Slow-Train-Analysis-(2080s-and-2083s)?_g=(refreshInterval:(display:Off,pause:!f,section:0,value:0),time:(from:'2017-03-09T11:35:18-0700',mode:absolute,to:'2017-03-09T14:23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8" s="187" t="str">
        <f t="shared" si="27"/>
        <v>N</v>
      </c>
      <c r="X78" s="187">
        <f t="shared" si="28"/>
        <v>1</v>
      </c>
      <c r="Y78" s="62">
        <f t="shared" si="29"/>
        <v>23.298200000000001</v>
      </c>
      <c r="Z78" s="62">
        <f t="shared" si="30"/>
        <v>1.52E-2</v>
      </c>
      <c r="AA78" s="62">
        <f t="shared" si="31"/>
        <v>23.283000000000001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2"/>
        <v>0166-09</v>
      </c>
      <c r="AE78" s="85" t="str">
        <f t="shared" si="33"/>
        <v>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 &amp; 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</v>
      </c>
      <c r="AF78" s="82" t="str">
        <f t="shared" si="34"/>
        <v>"C:\Program Files (x86)\AstroGrep\AstroGrep.exe" /e /r /s /spath="%USERPROFILE%\AppData\Local\Temp\OnboardLogs" /stypes="app*4039*20170309*" /stext=" 20:.+((SYSTEM_STATE.+slice.+state.+changed )|(ment ac)|(multiple cpu faults)|(system.+state.+changed )|(\[timeout)|(PRM\|1\|D)|(kpr)|(kdp)|(\|lc)|(penalty))"</v>
      </c>
      <c r="AG78" s="1" t="str">
        <f t="shared" si="35"/>
        <v>EC</v>
      </c>
      <c r="AH78" s="86" t="str">
        <f t="shared" ref="AH78:AH142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166-09 --locoid 4039 --swversion DE.1.0.9.0 --startMP 204:232982 --initTime 2017-03-09T12:35:18 --startdatetime 2017-03-09T12:41:19 --delay 1 --endMP 204:152 --enddatetime 2017-03-09T13:23:17 --enforcementcount 0 &gt;&gt;C:\Users\stu\Documents\GitHub\eaglep3-reporting\EC\2017-03-09-refined-times.txt</v>
      </c>
      <c r="AI78" s="108" t="str">
        <f t="shared" ref="AI78:AI142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{"issue":{"subject":"","project_id":79,"tracker_id":40,"status_id":1,"priority_id":2,"assigned_to_id":23,"start_date":"2017-03-09","description":"","custom_fields":[{"id":1,"name":"Subdivision","value":"EC"},{"id":4,"name":"Milepost","value":"0.0152"},{"id":17,"name":"Train ID","value":"166-09"},{"id":16,"name":"Locomotive ID","value":"4039"},{"id":130,"name":"Impact","value":""},{"id":150,"name":"Time of Event (Mountain Time)","value":"13:23:17"},{"id":151,"name":"Denver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2" si="38">"start /low /b "&amp;dls3logs&amp;" --loco "&amp;B78&amp;" --day "&amp;TEXT(F78,"YYYY-MM-DD")</f>
        <v>start /low /b %USERPROFILE%\Documents\GitHub\eaglep3\Utilities\DownloadLogsFromS3.py --loco 4039 --day 2017-03-09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"%USERPROFILE%\AppData\Local\Temp\OnboardLogs"\RTDC4039\*4039*20170309* | grep -SE "(Enforcement Action)|(\[TIMEOUT)|(CHR.+\|PRM\|1\|D.+(SWITCH|SIGNAL).+UNKNOWN)" - &gt;&gt; 2017-03-09-UncaughtWiMAX.txt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704</v>
      </c>
      <c r="B79" s="7">
        <v>4044</v>
      </c>
      <c r="C79" s="21" t="s">
        <v>242</v>
      </c>
      <c r="D79" s="21" t="s">
        <v>269</v>
      </c>
      <c r="E79" s="13">
        <v>42803.496516203704</v>
      </c>
      <c r="F79" s="13">
        <v>42803.500520833331</v>
      </c>
      <c r="G79" s="7">
        <v>1</v>
      </c>
      <c r="H79" s="21" t="s">
        <v>466</v>
      </c>
      <c r="I79" s="13">
        <v>42803.526319444441</v>
      </c>
      <c r="J79" s="7">
        <v>0</v>
      </c>
      <c r="K79" s="98" t="str">
        <f t="shared" si="21"/>
        <v>4043/4044</v>
      </c>
      <c r="L79" s="21" t="str">
        <f>VLOOKUP(A79,'Trips&amp;Operators'!$C$1:$G$99999,5,FALSE)</f>
        <v>LOCKLEAR TRAVIS</v>
      </c>
      <c r="M79" s="6">
        <f t="shared" si="22"/>
        <v>2.5798611110076308E-2</v>
      </c>
      <c r="N79" s="7">
        <f t="shared" si="23"/>
        <v>37.149999998509884</v>
      </c>
      <c r="O79" s="7"/>
      <c r="P79" s="7"/>
      <c r="Q79" s="22"/>
      <c r="R79" s="22"/>
      <c r="S79" s="31">
        <f t="shared" si="24"/>
        <v>1</v>
      </c>
      <c r="T79" s="46" t="str">
        <f t="shared" si="25"/>
        <v>NorthBound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26"/>
        <v>https://d0f6bd738d7f1b3e5a7ca70fe4ff75f0.us-east-1.aws.found.io/app/kibana#/discover/Steve-Slow-Train-Analysis-(2080s-and-2083s)?_g=(refreshInterval:(display:Off,pause:!f,section:0,value:0),time:(from:'2017-03-09T10:54:59-0700',mode:absolute,to:'2017-03-09T13:37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9" s="187" t="str">
        <f t="shared" si="27"/>
        <v>N</v>
      </c>
      <c r="X79" s="187">
        <f t="shared" si="28"/>
        <v>1</v>
      </c>
      <c r="Y79" s="62">
        <f t="shared" si="29"/>
        <v>4.4200000000000003E-2</v>
      </c>
      <c r="Z79" s="62">
        <f t="shared" si="30"/>
        <v>23.333600000000001</v>
      </c>
      <c r="AA79" s="62">
        <f t="shared" si="31"/>
        <v>23.289400000000001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2"/>
        <v>0167-09</v>
      </c>
      <c r="AE79" s="85" t="str">
        <f t="shared" si="33"/>
        <v>aws s3 cp s3://rtdc.mdm.uploadarchive.raw/RTDC4044/ "%USERPROFILE%\AppData\Local\Temp\OnboardLogs"\RTDC4044\2017-03-09 --exclude "*" --recursive --include "*20170309*" &amp; "%USERPROFILE%\Documents\GitHub\mrs-test-scripts\Headless Mode &amp; Sideloading\WalkAndUnGZ.bat" "%USERPROFILE%\AppData\Local\Temp\OnboardLogs"\RTDC4044\2017-03-09 &amp; aws s3 cp s3://rtdc.mdm.uploadarchive.raw/RTDC4044/ "%USERPROFILE%\AppData\Local\Temp\OnboardLogs"\RTDC4044\2017-03-10 --exclude "*" --recursive --include "*20170310*" &amp; "%USERPROFILE%\Documents\GitHub\mrs-test-scripts\Headless Mode &amp; Sideloading\WalkAndUnGZ.bat" "%USERPROFILE%\AppData\Local\Temp\OnboardLogs"\RTDC4044\2017-03-10</v>
      </c>
      <c r="AF79" s="82" t="str">
        <f t="shared" si="34"/>
        <v>"C:\Program Files (x86)\AstroGrep\AstroGrep.exe" /e /r /s /spath="%USERPROFILE%\AppData\Local\Temp\OnboardLogs" /stypes="app*4044*20170309*" /stext=" 19:.+((SYSTEM_STATE.+slice.+state.+changed )|(ment ac)|(multiple cpu faults)|(system.+state.+changed )|(\[timeout)|(PRM\|1\|D)|(kpr)|(kdp)|(\|lc)|(penalty))"</v>
      </c>
      <c r="AG79" s="1" t="str">
        <f t="shared" si="35"/>
        <v>EC</v>
      </c>
      <c r="AH79" s="86" t="str">
        <f t="shared" si="36"/>
        <v>"%USERPROFILE%\Documents\GitHub\eaglep3\Utilities\RefineRTDCRunTimes.py" --tripid 167-09 --locoid 4044 --swversion DE.1.0.9.0 --startMP 204:442 --initTime 2017-03-09T11:54:59 --startdatetime 2017-03-09T12:00:45 --delay 1 --endMP 204:233336 --enddatetime 2017-03-09T12:37:54 --enforcementcount 0 &gt;&gt;C:\Users\stu\Documents\GitHub\eaglep3-reporting\EC\2017-03-09-refined-times.txt</v>
      </c>
      <c r="AI79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{"issue":{"subject":"","project_id":79,"tracker_id":40,"status_id":1,"priority_id":2,"assigned_to_id":23,"start_date":"2017-03-09","description":"","custom_fields":[{"id":1,"name":"Subdivision","value":"EC"},{"id":4,"name":"Milepost","value":"23.3336"},{"id":17,"name":"Train ID","value":"167-09"},{"id":16,"name":"Locomotive ID","value":"4044"},{"id":130,"name":"Impact","value":""},{"id":150,"name":"Time of Event (Mountain Time)","value":"12:37:54"},{"id":151,"name":"Denver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38"/>
        <v>start /low /b %USERPROFILE%\Documents\GitHub\eaglep3\Utilities\DownloadLogsFromS3.py --loco 4044 --day 2017-03-09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"%USERPROFILE%\AppData\Local\Temp\OnboardLogs"\RTDC4044\*4044*20170309* | grep -SE "(Enforcement Action)|(\[TIMEOUT)|(CHR.+\|PRM\|1\|D.+(SWITCH|SIGNAL).+UNKNOWN)" - &gt;&gt; 2017-03-09-UncaughtWiMAX.txt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x14ac:dyDescent="0.25">
      <c r="A80" s="33" t="s">
        <v>714</v>
      </c>
      <c r="B80" s="7">
        <v>4043</v>
      </c>
      <c r="C80" s="21" t="s">
        <v>242</v>
      </c>
      <c r="D80" s="21" t="s">
        <v>850</v>
      </c>
      <c r="E80" s="13">
        <v>42803.536539351851</v>
      </c>
      <c r="F80" s="13">
        <v>42803.539502314816</v>
      </c>
      <c r="G80" s="7">
        <v>1</v>
      </c>
      <c r="H80" s="21" t="s">
        <v>192</v>
      </c>
      <c r="I80" s="13">
        <v>42803.571886574071</v>
      </c>
      <c r="J80" s="7">
        <v>0</v>
      </c>
      <c r="K80" s="98" t="str">
        <f t="shared" si="21"/>
        <v>4043/4044</v>
      </c>
      <c r="L80" s="21" t="str">
        <f>VLOOKUP(A80,'Trips&amp;Operators'!$C$1:$G$99999,5,FALSE)</f>
        <v>LOCKLEAR TRAVIS</v>
      </c>
      <c r="M80" s="6">
        <f t="shared" si="22"/>
        <v>3.2384259255195502E-2</v>
      </c>
      <c r="N80" s="7">
        <f t="shared" si="23"/>
        <v>46.633333327481523</v>
      </c>
      <c r="O80" s="7"/>
      <c r="P80" s="7"/>
      <c r="Q80" s="22"/>
      <c r="R80" s="22"/>
      <c r="S80" s="31">
        <f t="shared" si="24"/>
        <v>1</v>
      </c>
      <c r="T80" s="46" t="str">
        <f t="shared" si="25"/>
        <v>Southbound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26"/>
        <v>https://d0f6bd738d7f1b3e5a7ca70fe4ff75f0.us-east-1.aws.found.io/app/kibana#/discover/Steve-Slow-Train-Analysis-(2080s-and-2083s)?_g=(refreshInterval:(display:Off,pause:!f,section:0,value:0),time:(from:'2017-03-09T11:52:37-0700',mode:absolute,to:'2017-03-09T14:43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0" s="187" t="str">
        <f t="shared" si="27"/>
        <v>N</v>
      </c>
      <c r="X80" s="187">
        <f t="shared" si="28"/>
        <v>1</v>
      </c>
      <c r="Y80" s="62">
        <f t="shared" si="29"/>
        <v>23.305299999999999</v>
      </c>
      <c r="Z80" s="62">
        <f t="shared" si="30"/>
        <v>1.4999999999999999E-2</v>
      </c>
      <c r="AA80" s="62">
        <f t="shared" si="31"/>
        <v>23.290299999999998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2"/>
        <v>0168-09</v>
      </c>
      <c r="AE80" s="85" t="str">
        <f t="shared" si="33"/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AF80" s="82" t="str">
        <f t="shared" si="34"/>
        <v>"C:\Program Files (x86)\AstroGrep\AstroGrep.exe" /e /r /s /spath="%USERPROFILE%\AppData\Local\Temp\OnboardLogs" /stypes="app*4043*20170309*" /stext=" 20:.+((SYSTEM_STATE.+slice.+state.+changed )|(ment ac)|(multiple cpu faults)|(system.+state.+changed )|(\[timeout)|(PRM\|1\|D)|(kpr)|(kdp)|(\|lc)|(penalty))"</v>
      </c>
      <c r="AG80" s="1" t="str">
        <f t="shared" si="35"/>
        <v>EC</v>
      </c>
      <c r="AH80" s="86" t="str">
        <f t="shared" si="36"/>
        <v>"%USERPROFILE%\Documents\GitHub\eaglep3\Utilities\RefineRTDCRunTimes.py" --tripid 168-09 --locoid 4043 --swversion DE.1.0.9.0 --startMP 204:233053 --initTime 2017-03-09T12:52:37 --startdatetime 2017-03-09T12:56:53 --delay 1 --endMP 204:150 --enddatetime 2017-03-09T13:43:31 --enforcementcount 0 &gt;&gt;C:\Users\stu\Documents\GitHub\eaglep3-reporting\EC\2017-03-09-refined-times.txt</v>
      </c>
      <c r="AI80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{"issue":{"subject":"","project_id":79,"tracker_id":40,"status_id":1,"priority_id":2,"assigned_to_id":23,"start_date":"2017-03-09","description":"","custom_fields":[{"id":1,"name":"Subdivision","value":"EC"},{"id":4,"name":"Milepost","value":"0.015"},{"id":17,"name":"Train ID","value":"168-09"},{"id":16,"name":"Locomotive ID","value":"4043"},{"id":130,"name":"Impact","value":""},{"id":150,"name":"Time of Event (Mountain Time)","value":"13:43:31"},{"id":151,"name":"Denver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38"/>
        <v>start /low /b %USERPROFILE%\Documents\GitHub\eaglep3\Utilities\DownloadLogsFromS3.py --loco 4043 --day 2017-03-09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"%USERPROFILE%\AppData\Local\Temp\OnboardLogs"\RTDC4043\*4043*20170309* | grep -SE "(Enforcement Action)|(\[TIMEOUT)|(CHR.+\|PRM\|1\|D.+(SWITCH|SIGNAL).+UNKNOWN)" - &gt;&gt; 2017-03-09-UncaughtWiMAX.txt</v>
      </c>
    </row>
    <row r="81" spans="1:91" s="20" customFormat="1" x14ac:dyDescent="0.25">
      <c r="A81" s="33" t="s">
        <v>706</v>
      </c>
      <c r="B81" s="7">
        <v>4014</v>
      </c>
      <c r="C81" s="21" t="s">
        <v>242</v>
      </c>
      <c r="D81" s="21" t="s">
        <v>227</v>
      </c>
      <c r="E81" s="13">
        <v>42803.507916666669</v>
      </c>
      <c r="F81" s="13">
        <v>42803.51059027778</v>
      </c>
      <c r="G81" s="7">
        <v>2</v>
      </c>
      <c r="H81" s="21" t="s">
        <v>851</v>
      </c>
      <c r="I81" s="13">
        <v>42803.535532407404</v>
      </c>
      <c r="J81" s="7">
        <v>0</v>
      </c>
      <c r="K81" s="98" t="str">
        <f t="shared" si="21"/>
        <v>4013/4014</v>
      </c>
      <c r="L81" s="21" t="str">
        <f>VLOOKUP(A81,'Trips&amp;Operators'!$C$1:$G$99999,5,FALSE)</f>
        <v>HELVIE ADAM</v>
      </c>
      <c r="M81" s="6">
        <f t="shared" si="22"/>
        <v>2.4942129624832887E-2</v>
      </c>
      <c r="N81" s="7">
        <f t="shared" si="23"/>
        <v>35.916666659759358</v>
      </c>
      <c r="O81" s="7"/>
      <c r="P81" s="7"/>
      <c r="Q81" s="22"/>
      <c r="R81" s="22"/>
      <c r="S81" s="31">
        <f t="shared" si="24"/>
        <v>1</v>
      </c>
      <c r="T81" s="46" t="str">
        <f t="shared" si="25"/>
        <v>NorthBound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26"/>
        <v>https://d0f6bd738d7f1b3e5a7ca70fe4ff75f0.us-east-1.aws.found.io/app/kibana#/discover/Steve-Slow-Train-Analysis-(2080s-and-2083s)?_g=(refreshInterval:(display:Off,pause:!f,section:0,value:0),time:(from:'2017-03-09T11:11:24-0700',mode:absolute,to:'2017-03-09T13:51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1" s="187" t="str">
        <f t="shared" si="27"/>
        <v>N</v>
      </c>
      <c r="X81" s="187">
        <f t="shared" si="28"/>
        <v>1</v>
      </c>
      <c r="Y81" s="62">
        <f t="shared" si="29"/>
        <v>4.5499999999999999E-2</v>
      </c>
      <c r="Z81" s="62">
        <f t="shared" si="30"/>
        <v>23.3309</v>
      </c>
      <c r="AA81" s="62">
        <f t="shared" si="31"/>
        <v>23.285399999999999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2"/>
        <v>0169-09</v>
      </c>
      <c r="AE81" s="85" t="str">
        <f t="shared" si="33"/>
        <v>aws s3 cp s3://rtdc.mdm.uploadarchive.raw/RTDC4014/ "%USERPROFILE%\AppData\Local\Temp\OnboardLogs"\RTDC4014\2017-03-09 --exclude "*" --recursive --include "*20170309*" &amp; "%USERPROFILE%\Documents\GitHub\mrs-test-scripts\Headless Mode &amp; Sideloading\WalkAndUnGZ.bat" "%USERPROFILE%\AppData\Local\Temp\OnboardLogs"\RTDC4014\2017-03-09 &amp; aws s3 cp s3://rtdc.mdm.uploadarchive.raw/RTDC4014/ "%USERPROFILE%\AppData\Local\Temp\OnboardLogs"\RTDC4014\2017-03-10 --exclude "*" --recursive --include "*20170310*" &amp; "%USERPROFILE%\Documents\GitHub\mrs-test-scripts\Headless Mode &amp; Sideloading\WalkAndUnGZ.bat" "%USERPROFILE%\AppData\Local\Temp\OnboardLogs"\RTDC4014\2017-03-10</v>
      </c>
      <c r="AF81" s="82" t="str">
        <f t="shared" si="34"/>
        <v>"C:\Program Files (x86)\AstroGrep\AstroGrep.exe" /e /r /s /spath="%USERPROFILE%\AppData\Local\Temp\OnboardLogs" /stypes="app*4014*20170309*" /stext=" 19:.+((SYSTEM_STATE.+slice.+state.+changed )|(ment ac)|(multiple cpu faults)|(system.+state.+changed )|(\[timeout)|(PRM\|1\|D)|(kpr)|(kdp)|(\|lc)|(penalty))"</v>
      </c>
      <c r="AG81" s="1" t="str">
        <f t="shared" si="35"/>
        <v>EC</v>
      </c>
      <c r="AH81" s="86" t="str">
        <f t="shared" si="36"/>
        <v>"%USERPROFILE%\Documents\GitHub\eaglep3\Utilities\RefineRTDCRunTimes.py" --tripid 169-09 --locoid 4014 --swversion DE.1.0.9.0 --startMP 204:455 --initTime 2017-03-09T12:11:24 --startdatetime 2017-03-09T12:15:15 --delay 2 --endMP 204:233309 --enddatetime 2017-03-09T12:51:10 --enforcementcount 0 &gt;&gt;C:\Users\stu\Documents\GitHub\eaglep3-reporting\EC\2017-03-09-refined-times.txt</v>
      </c>
      <c r="AI81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{"issue":{"subject":"","project_id":79,"tracker_id":40,"status_id":1,"priority_id":2,"assigned_to_id":23,"start_date":"2017-03-09","description":"","custom_fields":[{"id":1,"name":"Subdivision","value":"EC"},{"id":4,"name":"Milepost","value":"23.3309"},{"id":17,"name":"Train ID","value":"169-09"},{"id":16,"name":"Locomotive ID","value":"4014"},{"id":130,"name":"Impact","value":""},{"id":150,"name":"Time of Event (Mountain Time)","value":"12:51:10"},{"id":151,"name":"Denver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38"/>
        <v>start /low /b %USERPROFILE%\Documents\GitHub\eaglep3\Utilities\DownloadLogsFromS3.py --loco 4014 --day 2017-03-09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"%USERPROFILE%\AppData\Local\Temp\OnboardLogs"\RTDC4014\*4014*20170309* | grep -SE "(Enforcement Action)|(\[TIMEOUT)|(CHR.+\|PRM\|1\|D.+(SWITCH|SIGNAL).+UNKNOWN)" - &gt;&gt; 2017-03-09-UncaughtWiMAX.txt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715</v>
      </c>
      <c r="B82" s="7">
        <v>4013</v>
      </c>
      <c r="C82" s="21" t="s">
        <v>242</v>
      </c>
      <c r="D82" s="21" t="s">
        <v>244</v>
      </c>
      <c r="E82" s="13">
        <v>42803.547592592593</v>
      </c>
      <c r="F82" s="13">
        <v>42803.549699074072</v>
      </c>
      <c r="G82" s="7">
        <v>1</v>
      </c>
      <c r="H82" s="21" t="s">
        <v>235</v>
      </c>
      <c r="I82" s="13">
        <v>42803.578101851854</v>
      </c>
      <c r="J82" s="7">
        <v>0</v>
      </c>
      <c r="K82" s="98" t="str">
        <f t="shared" si="21"/>
        <v>4013/4014</v>
      </c>
      <c r="L82" s="21" t="str">
        <f>VLOOKUP(A82,'Trips&amp;Operators'!$C$1:$G$99999,5,FALSE)</f>
        <v>HELVIE ADAM</v>
      </c>
      <c r="M82" s="6">
        <f t="shared" si="22"/>
        <v>2.8402777781593613E-2</v>
      </c>
      <c r="N82" s="7">
        <f t="shared" si="23"/>
        <v>40.900000005494803</v>
      </c>
      <c r="O82" s="7"/>
      <c r="P82" s="7"/>
      <c r="Q82" s="22"/>
      <c r="R82" s="22"/>
      <c r="S82" s="31">
        <f t="shared" si="24"/>
        <v>1</v>
      </c>
      <c r="T82" s="46" t="str">
        <f t="shared" si="25"/>
        <v>Southbound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26"/>
        <v>https://d0f6bd738d7f1b3e5a7ca70fe4ff75f0.us-east-1.aws.found.io/app/kibana#/discover/Steve-Slow-Train-Analysis-(2080s-and-2083s)?_g=(refreshInterval:(display:Off,pause:!f,section:0,value:0),time:(from:'2017-03-09T12:08:32-0700',mode:absolute,to:'2017-03-09T14:52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2" s="187" t="str">
        <f t="shared" si="27"/>
        <v>N</v>
      </c>
      <c r="X82" s="187">
        <f t="shared" si="28"/>
        <v>1</v>
      </c>
      <c r="Y82" s="62">
        <f t="shared" si="29"/>
        <v>23.299399999999999</v>
      </c>
      <c r="Z82" s="62">
        <f t="shared" si="30"/>
        <v>1.47E-2</v>
      </c>
      <c r="AA82" s="62">
        <f t="shared" si="31"/>
        <v>23.284699999999997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2"/>
        <v>0170-09</v>
      </c>
      <c r="AE82" s="85" t="str">
        <f t="shared" si="33"/>
        <v>aws s3 cp s3://rtdc.mdm.uploadarchive.raw/RTDC4013/ "%USERPROFILE%\AppData\Local\Temp\OnboardLogs"\RTDC4013\2017-03-09 --exclude "*" --recursive --include "*20170309*" &amp; "%USERPROFILE%\Documents\GitHub\mrs-test-scripts\Headless Mode &amp; Sideloading\WalkAndUnGZ.bat" "%USERPROFILE%\AppData\Local\Temp\OnboardLogs"\RTDC4013\2017-03-09 &amp; aws s3 cp s3://rtdc.mdm.uploadarchive.raw/RTDC4013/ "%USERPROFILE%\AppData\Local\Temp\OnboardLogs"\RTDC4013\2017-03-10 --exclude "*" --recursive --include "*20170310*" &amp; "%USERPROFILE%\Documents\GitHub\mrs-test-scripts\Headless Mode &amp; Sideloading\WalkAndUnGZ.bat" "%USERPROFILE%\AppData\Local\Temp\OnboardLogs"\RTDC4013\2017-03-10</v>
      </c>
      <c r="AF82" s="82" t="str">
        <f t="shared" si="34"/>
        <v>"C:\Program Files (x86)\AstroGrep\AstroGrep.exe" /e /r /s /spath="%USERPROFILE%\AppData\Local\Temp\OnboardLogs" /stypes="app*4013*20170309*" /stext=" 20:.+((SYSTEM_STATE.+slice.+state.+changed )|(ment ac)|(multiple cpu faults)|(system.+state.+changed )|(\[timeout)|(PRM\|1\|D)|(kpr)|(kdp)|(\|lc)|(penalty))"</v>
      </c>
      <c r="AG82" s="1" t="str">
        <f t="shared" si="35"/>
        <v>EC</v>
      </c>
      <c r="AH82" s="86" t="str">
        <f t="shared" si="36"/>
        <v>"%USERPROFILE%\Documents\GitHub\eaglep3\Utilities\RefineRTDCRunTimes.py" --tripid 170-09 --locoid 4013 --swversion DE.1.0.9.0 --startMP 204:232994 --initTime 2017-03-09T13:08:32 --startdatetime 2017-03-09T13:11:34 --delay 1 --endMP 204:147 --enddatetime 2017-03-09T13:52:28 --enforcementcount 0 &gt;&gt;C:\Users\stu\Documents\GitHub\eaglep3-reporting\EC\2017-03-09-refined-times.txt</v>
      </c>
      <c r="AI82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{"issue":{"subject":"","project_id":79,"tracker_id":40,"status_id":1,"priority_id":2,"assigned_to_id":23,"start_date":"2017-03-09","description":"","custom_fields":[{"id":1,"name":"Subdivision","value":"EC"},{"id":4,"name":"Milepost","value":"0.0147"},{"id":17,"name":"Train ID","value":"170-09"},{"id":16,"name":"Locomotive ID","value":"4013"},{"id":130,"name":"Impact","value":""},{"id":150,"name":"Time of Event (Mountain Time)","value":"13:52:28"},{"id":151,"name":"Denver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38"/>
        <v>start /low /b %USERPROFILE%\Documents\GitHub\eaglep3\Utilities\DownloadLogsFromS3.py --loco 4013 --day 2017-03-09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"%USERPROFILE%\AppData\Local\Temp\OnboardLogs"\RTDC4013\*4013*20170309* | grep -SE "(Enforcement Action)|(\[TIMEOUT)|(CHR.+\|PRM\|1\|D.+(SWITCH|SIGNAL).+UNKNOWN)" - &gt;&gt; 2017-03-09-UncaughtWiMAX.txt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710</v>
      </c>
      <c r="B83" s="7">
        <v>4016</v>
      </c>
      <c r="C83" s="21" t="s">
        <v>242</v>
      </c>
      <c r="D83" s="21" t="s">
        <v>226</v>
      </c>
      <c r="E83" s="13">
        <v>42803.520370370374</v>
      </c>
      <c r="F83" s="13">
        <v>42803.52244212963</v>
      </c>
      <c r="G83" s="7">
        <v>2</v>
      </c>
      <c r="H83" s="21" t="s">
        <v>544</v>
      </c>
      <c r="I83" s="13">
        <v>42803.548946759256</v>
      </c>
      <c r="J83" s="7">
        <v>0</v>
      </c>
      <c r="K83" s="98" t="str">
        <f t="shared" si="21"/>
        <v>4015/4016</v>
      </c>
      <c r="L83" s="21" t="str">
        <f>VLOOKUP(A83,'Trips&amp;Operators'!$C$1:$G$99999,5,FALSE)</f>
        <v>BRANDNER MELINDA</v>
      </c>
      <c r="M83" s="6">
        <f t="shared" si="22"/>
        <v>2.6504629626288079E-2</v>
      </c>
      <c r="N83" s="7">
        <f t="shared" si="23"/>
        <v>38.166666661854833</v>
      </c>
      <c r="O83" s="7"/>
      <c r="P83" s="7"/>
      <c r="Q83" s="22"/>
      <c r="R83" s="22"/>
      <c r="S83" s="31">
        <f t="shared" si="24"/>
        <v>1</v>
      </c>
      <c r="T83" s="46" t="str">
        <f t="shared" si="25"/>
        <v>NorthBound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26"/>
        <v>https://d0f6bd738d7f1b3e5a7ca70fe4ff75f0.us-east-1.aws.found.io/app/kibana#/discover/Steve-Slow-Train-Analysis-(2080s-and-2083s)?_g=(refreshInterval:(display:Off,pause:!f,section:0,value:0),time:(from:'2017-03-09T11:29:20-0700',mode:absolute,to:'2017-03-09T14:10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83" s="187" t="str">
        <f t="shared" si="27"/>
        <v>N</v>
      </c>
      <c r="X83" s="187">
        <f t="shared" si="28"/>
        <v>1</v>
      </c>
      <c r="Y83" s="62">
        <f t="shared" si="29"/>
        <v>4.4600000000000001E-2</v>
      </c>
      <c r="Z83" s="62">
        <f t="shared" si="30"/>
        <v>23.3293</v>
      </c>
      <c r="AA83" s="62">
        <f t="shared" si="31"/>
        <v>23.284700000000001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2"/>
        <v>0171-09</v>
      </c>
      <c r="AE83" s="85" t="str">
        <f t="shared" si="33"/>
        <v>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 &amp; aws s3 cp s3://rtdc.mdm.uploadarchive.raw/RTDC4016/ "%USERPROFILE%\AppData\Local\Temp\OnboardLogs"\RTDC4016\2017-03-10 --exclude "*" --recursive --include "*20170310*" &amp; "%USERPROFILE%\Documents\GitHub\mrs-test-scripts\Headless Mode &amp; Sideloading\WalkAndUnGZ.bat" "%USERPROFILE%\AppData\Local\Temp\OnboardLogs"\RTDC4016\2017-03-10</v>
      </c>
      <c r="AF83" s="82" t="str">
        <f t="shared" si="34"/>
        <v>"C:\Program Files (x86)\AstroGrep\AstroGrep.exe" /e /r /s /spath="%USERPROFILE%\AppData\Local\Temp\OnboardLogs" /stypes="app*4016*20170309*" /stext=" 20:.+((SYSTEM_STATE.+slice.+state.+changed )|(ment ac)|(multiple cpu faults)|(system.+state.+changed )|(\[timeout)|(PRM\|1\|D)|(kpr)|(kdp)|(\|lc)|(penalty))"</v>
      </c>
      <c r="AG83" s="1" t="str">
        <f t="shared" si="35"/>
        <v>EC</v>
      </c>
      <c r="AH83" s="86" t="str">
        <f t="shared" si="36"/>
        <v>"%USERPROFILE%\Documents\GitHub\eaglep3\Utilities\RefineRTDCRunTimes.py" --tripid 171-09 --locoid 4016 --swversion DE.1.0.9.0 --startMP 204:446 --initTime 2017-03-09T12:29:20 --startdatetime 2017-03-09T12:32:19 --delay 2 --endMP 204:233293 --enddatetime 2017-03-09T13:10:29 --enforcementcount 0 &gt;&gt;C:\Users\stu\Documents\GitHub\eaglep3-reporting\EC\2017-03-09-refined-times.txt</v>
      </c>
      <c r="AI83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{"issue":{"subject":"","project_id":79,"tracker_id":40,"status_id":1,"priority_id":2,"assigned_to_id":23,"start_date":"2017-03-09","description":"","custom_fields":[{"id":1,"name":"Subdivision","value":"EC"},{"id":4,"name":"Milepost","value":"23.3293"},{"id":17,"name":"Train ID","value":"171-09"},{"id":16,"name":"Locomotive ID","value":"4016"},{"id":130,"name":"Impact","value":""},{"id":150,"name":"Time of Event (Mountain Time)","value":"13:10:29"},{"id":151,"name":"Denver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38"/>
        <v>start /low /b %USERPROFILE%\Documents\GitHub\eaglep3\Utilities\DownloadLogsFromS3.py --loco 4016 --day 2017-03-09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"%USERPROFILE%\AppData\Local\Temp\OnboardLogs"\RTDC4016\*4016*20170309* | grep -SE "(Enforcement Action)|(\[TIMEOUT)|(CHR.+\|PRM\|1\|D.+(SWITCH|SIGNAL).+UNKNOWN)" - &gt;&gt; 2017-03-09-UncaughtWiMAX.txt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718</v>
      </c>
      <c r="B84" s="7">
        <v>4015</v>
      </c>
      <c r="C84" s="21" t="s">
        <v>242</v>
      </c>
      <c r="D84" s="21" t="s">
        <v>852</v>
      </c>
      <c r="E84" s="13">
        <v>42803.555023148147</v>
      </c>
      <c r="F84" s="13">
        <v>42803.559930555559</v>
      </c>
      <c r="G84" s="7">
        <v>1</v>
      </c>
      <c r="H84" s="21" t="s">
        <v>228</v>
      </c>
      <c r="I84" s="13">
        <v>42803.596018518518</v>
      </c>
      <c r="J84" s="7">
        <v>0</v>
      </c>
      <c r="K84" s="98" t="str">
        <f t="shared" si="21"/>
        <v>4015/4016</v>
      </c>
      <c r="L84" s="21" t="str">
        <f>VLOOKUP(A84,'Trips&amp;Operators'!$C$1:$G$99999,5,FALSE)</f>
        <v>BRANDNER MELINDA</v>
      </c>
      <c r="M84" s="6">
        <f t="shared" si="22"/>
        <v>3.608796295884531E-2</v>
      </c>
      <c r="N84" s="7">
        <f t="shared" si="23"/>
        <v>51.966666660737246</v>
      </c>
      <c r="O84" s="7"/>
      <c r="P84" s="7"/>
      <c r="Q84" s="22"/>
      <c r="R84" s="22"/>
      <c r="S84" s="31">
        <f t="shared" si="24"/>
        <v>1</v>
      </c>
      <c r="T84" s="46" t="str">
        <f t="shared" si="25"/>
        <v>Southbound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26"/>
        <v>https://d0f6bd738d7f1b3e5a7ca70fe4ff75f0.us-east-1.aws.found.io/app/kibana#/discover/Steve-Slow-Train-Analysis-(2080s-and-2083s)?_g=(refreshInterval:(display:Off,pause:!f,section:0,value:0),time:(from:'2017-03-09T12:19:14-0700',mode:absolute,to:'2017-03-09T15:18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84" s="187" t="str">
        <f t="shared" si="27"/>
        <v>N</v>
      </c>
      <c r="X84" s="187">
        <f t="shared" si="28"/>
        <v>1</v>
      </c>
      <c r="Y84" s="62">
        <f t="shared" si="29"/>
        <v>23.298300000000001</v>
      </c>
      <c r="Z84" s="62">
        <f t="shared" si="30"/>
        <v>1.3899999999999999E-2</v>
      </c>
      <c r="AA84" s="62">
        <f t="shared" si="31"/>
        <v>23.284400000000002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2"/>
        <v>0172-09</v>
      </c>
      <c r="AE84" s="85" t="str">
        <f t="shared" si="33"/>
        <v>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 &amp; aws s3 cp s3://rtdc.mdm.uploadarchive.raw/RTDC4015/ "%USERPROFILE%\AppData\Local\Temp\OnboardLogs"\RTDC4015\2017-03-10 --exclude "*" --recursive --include "*20170310*" &amp; "%USERPROFILE%\Documents\GitHub\mrs-test-scripts\Headless Mode &amp; Sideloading\WalkAndUnGZ.bat" "%USERPROFILE%\AppData\Local\Temp\OnboardLogs"\RTDC4015\2017-03-10</v>
      </c>
      <c r="AF84" s="82" t="str">
        <f t="shared" si="34"/>
        <v>"C:\Program Files (x86)\AstroGrep\AstroGrep.exe" /e /r /s /spath="%USERPROFILE%\AppData\Local\Temp\OnboardLogs" /stypes="app*4015*20170309*" /stext=" 21:.+((SYSTEM_STATE.+slice.+state.+changed )|(ment ac)|(multiple cpu faults)|(system.+state.+changed )|(\[timeout)|(PRM\|1\|D)|(kpr)|(kdp)|(\|lc)|(penalty))"</v>
      </c>
      <c r="AG84" s="1" t="str">
        <f t="shared" si="35"/>
        <v>EC</v>
      </c>
      <c r="AH84" s="86" t="str">
        <f t="shared" si="36"/>
        <v>"%USERPROFILE%\Documents\GitHub\eaglep3\Utilities\RefineRTDCRunTimes.py" --tripid 172-09 --locoid 4015 --swversion DE.1.0.9.0 --startMP 204:232983 --initTime 2017-03-09T13:19:14 --startdatetime 2017-03-09T13:26:18 --delay 1 --endMP 204:139 --enddatetime 2017-03-09T14:18:16 --enforcementcount 0 &gt;&gt;C:\Users\stu\Documents\GitHub\eaglep3-reporting\EC\2017-03-09-refined-times.txt</v>
      </c>
      <c r="AI84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{"issue":{"subject":"","project_id":79,"tracker_id":40,"status_id":1,"priority_id":2,"assigned_to_id":23,"start_date":"2017-03-09","description":"","custom_fields":[{"id":1,"name":"Subdivision","value":"EC"},{"id":4,"name":"Milepost","value":"0.0139"},{"id":17,"name":"Train ID","value":"172-09"},{"id":16,"name":"Locomotive ID","value":"4015"},{"id":130,"name":"Impact","value":""},{"id":150,"name":"Time of Event (Mountain Time)","value":"14:18:16"},{"id":151,"name":"Denver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38"/>
        <v>start /low /b %USERPROFILE%\Documents\GitHub\eaglep3\Utilities\DownloadLogsFromS3.py --loco 4015 --day 2017-03-09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"%USERPROFILE%\AppData\Local\Temp\OnboardLogs"\RTDC4015\*4015*20170309* | grep -SE "(Enforcement Action)|(\[TIMEOUT)|(CHR.+\|PRM\|1\|D.+(SWITCH|SIGNAL).+UNKNOWN)" - &gt;&gt; 2017-03-09-UncaughtWiMAX.txt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590</v>
      </c>
      <c r="B85" s="7">
        <v>4018</v>
      </c>
      <c r="C85" s="21" t="s">
        <v>242</v>
      </c>
      <c r="D85" s="21" t="s">
        <v>853</v>
      </c>
      <c r="E85" s="13">
        <v>42803.528541666667</v>
      </c>
      <c r="F85" s="13">
        <v>42803.531423611108</v>
      </c>
      <c r="G85" s="7">
        <v>1</v>
      </c>
      <c r="H85" s="21" t="s">
        <v>854</v>
      </c>
      <c r="I85" s="13">
        <v>42803.563888888886</v>
      </c>
      <c r="J85" s="7">
        <v>0</v>
      </c>
      <c r="K85" s="98" t="str">
        <f t="shared" si="21"/>
        <v>4017/4018</v>
      </c>
      <c r="L85" s="21" t="str">
        <f>VLOOKUP(A85,'Trips&amp;Operators'!$C$1:$G$99999,5,FALSE)</f>
        <v>CLARK KATHLEEN</v>
      </c>
      <c r="M85" s="6">
        <f t="shared" si="22"/>
        <v>3.2465277778101154E-2</v>
      </c>
      <c r="N85" s="7">
        <f t="shared" si="23"/>
        <v>46.750000000465661</v>
      </c>
      <c r="O85" s="7"/>
      <c r="P85" s="7"/>
      <c r="Q85" s="22"/>
      <c r="R85" s="22"/>
      <c r="S85" s="31">
        <f t="shared" si="24"/>
        <v>1</v>
      </c>
      <c r="T85" s="46" t="str">
        <f t="shared" si="25"/>
        <v>NorthBound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26"/>
        <v>https://d0f6bd738d7f1b3e5a7ca70fe4ff75f0.us-east-1.aws.found.io/app/kibana#/discover/Steve-Slow-Train-Analysis-(2080s-and-2083s)?_g=(refreshInterval:(display:Off,pause:!f,section:0,value:0),time:(from:'2017-03-09T11:41:06-0700',mode:absolute,to:'2017-03-09T14:32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5" s="187" t="str">
        <f t="shared" si="27"/>
        <v>N</v>
      </c>
      <c r="X85" s="187">
        <f t="shared" si="28"/>
        <v>1</v>
      </c>
      <c r="Y85" s="62">
        <f t="shared" si="29"/>
        <v>5.11E-2</v>
      </c>
      <c r="Z85" s="62">
        <f t="shared" si="30"/>
        <v>23.3264</v>
      </c>
      <c r="AA85" s="62">
        <f t="shared" si="31"/>
        <v>23.275299999999998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2"/>
        <v>0173-09</v>
      </c>
      <c r="AE85" s="85" t="str">
        <f t="shared" si="33"/>
        <v>aws s3 cp s3://rtdc.mdm.uploadarchive.raw/RTDC4018/ "%USERPROFILE%\AppData\Local\Temp\OnboardLogs"\RTDC4018\2017-03-09 --exclude "*" --recursive --include "*20170309*" &amp; "%USERPROFILE%\Documents\GitHub\mrs-test-scripts\Headless Mode &amp; Sideloading\WalkAndUnGZ.bat" "%USERPROFILE%\AppData\Local\Temp\OnboardLogs"\RTDC4018\2017-03-09 &amp; 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</v>
      </c>
      <c r="AF85" s="82" t="str">
        <f t="shared" si="34"/>
        <v>"C:\Program Files (x86)\AstroGrep\AstroGrep.exe" /e /r /s /spath="%USERPROFILE%\AppData\Local\Temp\OnboardLogs" /stypes="app*4018*20170309*" /stext=" 20:.+((SYSTEM_STATE.+slice.+state.+changed )|(ment ac)|(multiple cpu faults)|(system.+state.+changed )|(\[timeout)|(PRM\|1\|D)|(kpr)|(kdp)|(\|lc)|(penalty))"</v>
      </c>
      <c r="AG85" s="1" t="str">
        <f t="shared" si="35"/>
        <v>EC</v>
      </c>
      <c r="AH85" s="86" t="str">
        <f t="shared" si="36"/>
        <v>"%USERPROFILE%\Documents\GitHub\eaglep3\Utilities\RefineRTDCRunTimes.py" --tripid 173-09 --locoid 4018 --swversion DE.1.0.9.0 --startMP 204:511 --initTime 2017-03-09T12:41:06 --startdatetime 2017-03-09T12:45:15 --delay 1 --endMP 204:233264 --enddatetime 2017-03-09T13:32:00 --enforcementcount 0 &gt;&gt;C:\Users\stu\Documents\GitHub\eaglep3-reporting\EC\2017-03-09-refined-times.txt</v>
      </c>
      <c r="AI85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{"issue":{"subject":"","project_id":79,"tracker_id":40,"status_id":1,"priority_id":2,"assigned_to_id":23,"start_date":"2017-03-09","description":"","custom_fields":[{"id":1,"name":"Subdivision","value":"EC"},{"id":4,"name":"Milepost","value":"23.3264"},{"id":17,"name":"Train ID","value":"173-09"},{"id":16,"name":"Locomotive ID","value":"4018"},{"id":130,"name":"Impact","value":""},{"id":150,"name":"Time of Event (Mountain Time)","value":"13:32:00"},{"id":151,"name":"Denver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38"/>
        <v>start /low /b %USERPROFILE%\Documents\GitHub\eaglep3\Utilities\DownloadLogsFromS3.py --loco 4018 --day 2017-03-09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"%USERPROFILE%\AppData\Local\Temp\OnboardLogs"\RTDC4018\*4018*20170309* | grep -SE "(Enforcement Action)|(\[TIMEOUT)|(CHR.+\|PRM\|1\|D.+(SWITCH|SIGNAL).+UNKNOWN)" - &gt;&gt; 2017-03-09-UncaughtWiMAX.txt</v>
      </c>
    </row>
    <row r="86" spans="1:91" s="20" customFormat="1" x14ac:dyDescent="0.25">
      <c r="A86" s="33" t="s">
        <v>720</v>
      </c>
      <c r="B86" s="7">
        <v>4017</v>
      </c>
      <c r="C86" s="21" t="s">
        <v>242</v>
      </c>
      <c r="D86" s="21" t="s">
        <v>855</v>
      </c>
      <c r="E86" s="13">
        <v>42803.568449074075</v>
      </c>
      <c r="F86" s="13">
        <v>42803.570324074077</v>
      </c>
      <c r="G86" s="7">
        <v>1</v>
      </c>
      <c r="H86" s="21" t="s">
        <v>856</v>
      </c>
      <c r="I86" s="13">
        <v>42803.60429398148</v>
      </c>
      <c r="J86" s="7">
        <v>0</v>
      </c>
      <c r="K86" s="98" t="str">
        <f t="shared" si="21"/>
        <v>4017/4018</v>
      </c>
      <c r="L86" s="21" t="str">
        <f>VLOOKUP(A86,'Trips&amp;Operators'!$C$1:$G$99999,5,FALSE)</f>
        <v>CLARK KATHLEEN</v>
      </c>
      <c r="M86" s="6">
        <f t="shared" si="22"/>
        <v>3.3969907402934041E-2</v>
      </c>
      <c r="N86" s="7">
        <f t="shared" si="23"/>
        <v>48.916666660225019</v>
      </c>
      <c r="O86" s="7"/>
      <c r="P86" s="7"/>
      <c r="Q86" s="22"/>
      <c r="R86" s="22"/>
      <c r="S86" s="31">
        <f t="shared" si="24"/>
        <v>1</v>
      </c>
      <c r="T86" s="46" t="str">
        <f t="shared" si="25"/>
        <v>Southbound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26"/>
        <v>https://d0f6bd738d7f1b3e5a7ca70fe4ff75f0.us-east-1.aws.found.io/app/kibana#/discover/Steve-Slow-Train-Analysis-(2080s-and-2083s)?_g=(refreshInterval:(display:Off,pause:!f,section:0,value:0),time:(from:'2017-03-09T12:38:34-0700',mode:absolute,to:'2017-03-09T15:30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6" s="187" t="str">
        <f t="shared" si="27"/>
        <v>N</v>
      </c>
      <c r="X86" s="187">
        <f t="shared" si="28"/>
        <v>1</v>
      </c>
      <c r="Y86" s="62">
        <f t="shared" si="29"/>
        <v>23.292999999999999</v>
      </c>
      <c r="Z86" s="62">
        <f t="shared" si="30"/>
        <v>0.1173</v>
      </c>
      <c r="AA86" s="62">
        <f t="shared" si="31"/>
        <v>23.175699999999999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2"/>
        <v>0174-09</v>
      </c>
      <c r="AE86" s="85" t="str">
        <f t="shared" si="33"/>
        <v>aws s3 cp s3://rtdc.mdm.uploadarchive.raw/RTDC4017/ "%USERPROFILE%\AppData\Local\Temp\OnboardLogs"\RTDC4017\2017-03-09 --exclude "*" --recursive --include "*20170309*" &amp; "%USERPROFILE%\Documents\GitHub\mrs-test-scripts\Headless Mode &amp; Sideloading\WalkAndUnGZ.bat" "%USERPROFILE%\AppData\Local\Temp\OnboardLogs"\RTDC4017\2017-03-09 &amp; aws s3 cp s3://rtdc.mdm.uploadarchive.raw/RTDC4017/ "%USERPROFILE%\AppData\Local\Temp\OnboardLogs"\RTDC4017\2017-03-10 --exclude "*" --recursive --include "*20170310*" &amp; "%USERPROFILE%\Documents\GitHub\mrs-test-scripts\Headless Mode &amp; Sideloading\WalkAndUnGZ.bat" "%USERPROFILE%\AppData\Local\Temp\OnboardLogs"\RTDC4017\2017-03-10</v>
      </c>
      <c r="AF86" s="82" t="str">
        <f t="shared" si="34"/>
        <v>"C:\Program Files (x86)\AstroGrep\AstroGrep.exe" /e /r /s /spath="%USERPROFILE%\AppData\Local\Temp\OnboardLogs" /stypes="app*4017*20170309*" /stext=" 21:.+((SYSTEM_STATE.+slice.+state.+changed )|(ment ac)|(multiple cpu faults)|(system.+state.+changed )|(\[timeout)|(PRM\|1\|D)|(kpr)|(kdp)|(\|lc)|(penalty))"</v>
      </c>
      <c r="AG86" s="1" t="str">
        <f t="shared" si="35"/>
        <v>EC</v>
      </c>
      <c r="AH86" s="86" t="str">
        <f t="shared" si="36"/>
        <v>"%USERPROFILE%\Documents\GitHub\eaglep3\Utilities\RefineRTDCRunTimes.py" --tripid 174-09 --locoid 4017 --swversion DE.1.0.9.0 --startMP 204:232930 --initTime 2017-03-09T13:38:34 --startdatetime 2017-03-09T13:41:16 --delay 1 --endMP 204:1173 --enddatetime 2017-03-09T14:30:11 --enforcementcount 0 &gt;&gt;C:\Users\stu\Documents\GitHub\eaglep3-reporting\EC\2017-03-09-refined-times.txt</v>
      </c>
      <c r="AI86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{"issue":{"subject":"","project_id":79,"tracker_id":40,"status_id":1,"priority_id":2,"assigned_to_id":23,"start_date":"2017-03-09","description":"","custom_fields":[{"id":1,"name":"Subdivision","value":"EC"},{"id":4,"name":"Milepost","value":"0.1173"},{"id":17,"name":"Train ID","value":"174-09"},{"id":16,"name":"Locomotive ID","value":"4017"},{"id":130,"name":"Impact","value":""},{"id":150,"name":"Time of Event (Mountain Time)","value":"14:30:11"},{"id":151,"name":"Denver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38"/>
        <v>start /low /b %USERPROFILE%\Documents\GitHub\eaglep3\Utilities\DownloadLogsFromS3.py --loco 4017 --day 2017-03-09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"%USERPROFILE%\AppData\Local\Temp\OnboardLogs"\RTDC4017\*4017*20170309* | grep -SE "(Enforcement Action)|(\[TIMEOUT)|(CHR.+\|PRM\|1\|D.+(SWITCH|SIGNAL).+UNKNOWN)" - &gt;&gt; 2017-03-09-UncaughtWiMAX.txt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591</v>
      </c>
      <c r="B87" s="7">
        <v>4003</v>
      </c>
      <c r="C87" s="21" t="s">
        <v>242</v>
      </c>
      <c r="D87" s="21" t="s">
        <v>227</v>
      </c>
      <c r="E87" s="13">
        <v>42803.536747685182</v>
      </c>
      <c r="F87" s="13">
        <v>42803.541863425926</v>
      </c>
      <c r="G87" s="7">
        <v>1</v>
      </c>
      <c r="H87" s="21" t="s">
        <v>249</v>
      </c>
      <c r="I87" s="13">
        <v>42803.574999999997</v>
      </c>
      <c r="J87" s="7">
        <v>0</v>
      </c>
      <c r="K87" s="98" t="str">
        <f t="shared" si="21"/>
        <v>4003/4004</v>
      </c>
      <c r="L87" s="21" t="str">
        <f>VLOOKUP(A87,'Trips&amp;Operators'!$C$1:$G$99999,5,FALSE)</f>
        <v>STRICKLAND EVAN</v>
      </c>
      <c r="M87" s="6">
        <f t="shared" si="22"/>
        <v>3.3136574071249925E-2</v>
      </c>
      <c r="N87" s="7">
        <f t="shared" si="23"/>
        <v>47.716666662599891</v>
      </c>
      <c r="O87" s="7"/>
      <c r="P87" s="7"/>
      <c r="Q87" s="22"/>
      <c r="R87" s="22"/>
      <c r="S87" s="31">
        <f t="shared" si="24"/>
        <v>1</v>
      </c>
      <c r="T87" s="46" t="str">
        <f t="shared" si="25"/>
        <v>NorthBound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26"/>
        <v>https://d0f6bd738d7f1b3e5a7ca70fe4ff75f0.us-east-1.aws.found.io/app/kibana#/discover/Steve-Slow-Train-Analysis-(2080s-and-2083s)?_g=(refreshInterval:(display:Off,pause:!f,section:0,value:0),time:(from:'2017-03-09T11:52:55-0700',mode:absolute,to:'2017-03-09T14:48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87" s="187" t="str">
        <f t="shared" si="27"/>
        <v>N</v>
      </c>
      <c r="X87" s="187">
        <f t="shared" si="28"/>
        <v>1</v>
      </c>
      <c r="Y87" s="62">
        <f t="shared" si="29"/>
        <v>4.5499999999999999E-2</v>
      </c>
      <c r="Z87" s="62">
        <f t="shared" si="30"/>
        <v>23.328900000000001</v>
      </c>
      <c r="AA87" s="62">
        <f t="shared" si="31"/>
        <v>23.2834</v>
      </c>
      <c r="AB87" s="59" t="str">
        <f>VLOOKUP(A87,Enforcements!$C$7:$K$13,8,0)</f>
        <v>Bulletin (2)</v>
      </c>
      <c r="AC87" s="55" t="str">
        <f>VLOOKUP(A87,Enforcements!$C$7:$E$13,3,0)</f>
        <v>GRADE CROSSING</v>
      </c>
      <c r="AD87" s="56" t="str">
        <f t="shared" si="32"/>
        <v>0175-09</v>
      </c>
      <c r="AE87" s="85" t="str">
        <f t="shared" si="33"/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AF87" s="82" t="str">
        <f t="shared" si="34"/>
        <v>"C:\Program Files (x86)\AstroGrep\AstroGrep.exe" /e /r /s /spath="%USERPROFILE%\AppData\Local\Temp\OnboardLogs" /stypes="app*4003*20170309*" /stext=" 20:.+((SYSTEM_STATE.+slice.+state.+changed )|(ment ac)|(multiple cpu faults)|(system.+state.+changed )|(\[timeout)|(PRM\|1\|D)|(kpr)|(kdp)|(\|lc)|(penalty))"</v>
      </c>
      <c r="AG87" s="1" t="str">
        <f t="shared" si="35"/>
        <v>EC</v>
      </c>
      <c r="AH87" s="86" t="str">
        <f t="shared" si="36"/>
        <v>"%USERPROFILE%\Documents\GitHub\eaglep3\Utilities\RefineRTDCRunTimes.py" --tripid 175-09 --locoid 4003 --swversion DE.1.0.9.0 --startMP 204:455 --initTime 2017-03-09T12:52:55 --startdatetime 2017-03-09T13:00:17 --delay 1 --endMP 204:233289 --enddatetime 2017-03-09T13:48:00 --enforcementcount 0 &gt;&gt;C:\Users\stu\Documents\GitHub\eaglep3-reporting\EC\2017-03-09-refined-times.txt</v>
      </c>
      <c r="AI87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{"issue":{"subject":"","project_id":79,"tracker_id":40,"status_id":1,"priority_id":2,"assigned_to_id":23,"start_date":"2017-03-09","description":"","custom_fields":[{"id":1,"name":"Subdivision","value":"EC"},{"id":4,"name":"Milepost","value":"23.3289"},{"id":17,"name":"Train ID","value":"175-09"},{"id":16,"name":"Locomotive ID","value":"4003"},{"id":130,"name":"Impact","value":""},{"id":150,"name":"Time of Event (Mountain Time)","value":"13:48:00"},{"id":151,"name":"Denver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38"/>
        <v>start /low /b %USERPROFILE%\Documents\GitHub\eaglep3\Utilities\DownloadLogsFromS3.py --loco 4003 --day 2017-03-09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"%USERPROFILE%\AppData\Local\Temp\OnboardLogs"\RTDC4003\*4003*20170309* | grep -SE "(Enforcement Action)|(\[TIMEOUT)|(CHR.+\|PRM\|1\|D.+(SWITCH|SIGNAL).+UNKNOWN)" - &gt;&gt; 2017-03-09-UncaughtWiMAX.txt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722</v>
      </c>
      <c r="B88" s="7">
        <v>4004</v>
      </c>
      <c r="C88" s="21" t="s">
        <v>242</v>
      </c>
      <c r="D88" s="21" t="s">
        <v>462</v>
      </c>
      <c r="E88" s="13">
        <v>42803.577037037037</v>
      </c>
      <c r="F88" s="13">
        <v>42803.580694444441</v>
      </c>
      <c r="G88" s="7">
        <v>2</v>
      </c>
      <c r="H88" s="21" t="s">
        <v>203</v>
      </c>
      <c r="I88" s="13">
        <v>42803.609618055554</v>
      </c>
      <c r="J88" s="7">
        <v>0</v>
      </c>
      <c r="K88" s="98" t="str">
        <f t="shared" si="21"/>
        <v>4003/4004</v>
      </c>
      <c r="L88" s="21" t="str">
        <f>VLOOKUP(A88,'Trips&amp;Operators'!$C$1:$G$99999,5,FALSE)</f>
        <v>STRICKLAND EVAN</v>
      </c>
      <c r="M88" s="6">
        <f t="shared" si="22"/>
        <v>2.8923611112986691E-2</v>
      </c>
      <c r="N88" s="7">
        <f t="shared" si="23"/>
        <v>41.650000002700835</v>
      </c>
      <c r="O88" s="7"/>
      <c r="P88" s="7"/>
      <c r="Q88" s="22"/>
      <c r="R88" s="22"/>
      <c r="S88" s="31">
        <f t="shared" si="24"/>
        <v>1</v>
      </c>
      <c r="T88" s="46" t="str">
        <f t="shared" si="25"/>
        <v>Southbound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26"/>
        <v>https://d0f6bd738d7f1b3e5a7ca70fe4ff75f0.us-east-1.aws.found.io/app/kibana#/discover/Steve-Slow-Train-Analysis-(2080s-and-2083s)?_g=(refreshInterval:(display:Off,pause:!f,section:0,value:0),time:(from:'2017-03-09T12:50:56-0700',mode:absolute,to:'2017-03-09T15:37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8" s="187" t="str">
        <f t="shared" si="27"/>
        <v>N</v>
      </c>
      <c r="X88" s="187">
        <f t="shared" si="28"/>
        <v>1</v>
      </c>
      <c r="Y88" s="62">
        <f t="shared" si="29"/>
        <v>23.298100000000002</v>
      </c>
      <c r="Z88" s="62">
        <f t="shared" si="30"/>
        <v>1.5800000000000002E-2</v>
      </c>
      <c r="AA88" s="62">
        <f t="shared" si="31"/>
        <v>23.282300000000003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2"/>
        <v>0176-09</v>
      </c>
      <c r="AE88" s="85" t="str">
        <f t="shared" si="33"/>
        <v>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 &amp; 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</v>
      </c>
      <c r="AF88" s="82" t="str">
        <f t="shared" si="34"/>
        <v>"C:\Program Files (x86)\AstroGrep\AstroGrep.exe" /e /r /s /spath="%USERPROFILE%\AppData\Local\Temp\OnboardLogs" /stypes="app*4004*20170309*" /stext=" 21:.+((SYSTEM_STATE.+slice.+state.+changed )|(ment ac)|(multiple cpu faults)|(system.+state.+changed )|(\[timeout)|(PRM\|1\|D)|(kpr)|(kdp)|(\|lc)|(penalty))"</v>
      </c>
      <c r="AG88" s="1" t="str">
        <f t="shared" si="35"/>
        <v>EC</v>
      </c>
      <c r="AH88" s="86" t="str">
        <f t="shared" si="36"/>
        <v>"%USERPROFILE%\Documents\GitHub\eaglep3\Utilities\RefineRTDCRunTimes.py" --tripid 176-09 --locoid 4004 --swversion DE.1.0.9.0 --startMP 204:232981 --initTime 2017-03-09T13:50:56 --startdatetime 2017-03-09T13:56:12 --delay 2 --endMP 204:158 --enddatetime 2017-03-09T14:37:51 --enforcementcount 0 &gt;&gt;C:\Users\stu\Documents\GitHub\eaglep3-reporting\EC\2017-03-09-refined-times.txt</v>
      </c>
      <c r="AI88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{"issue":{"subject":"","project_id":79,"tracker_id":40,"status_id":1,"priority_id":2,"assigned_to_id":23,"start_date":"2017-03-09","description":"","custom_fields":[{"id":1,"name":"Subdivision","value":"EC"},{"id":4,"name":"Milepost","value":"0.0158"},{"id":17,"name":"Train ID","value":"176-09"},{"id":16,"name":"Locomotive ID","value":"4004"},{"id":130,"name":"Impact","value":""},{"id":150,"name":"Time of Event (Mountain Time)","value":"14:37:51"},{"id":151,"name":"Denver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38"/>
        <v>start /low /b %USERPROFILE%\Documents\GitHub\eaglep3\Utilities\DownloadLogsFromS3.py --loco 4004 --day 2017-03-09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"%USERPROFILE%\AppData\Local\Temp\OnboardLogs"\RTDC4004\*4004*20170309* | grep -SE "(Enforcement Action)|(\[TIMEOUT)|(CHR.+\|PRM\|1\|D.+(SWITCH|SIGNAL).+UNKNOWN)" - &gt;&gt; 2017-03-09-UncaughtWiMAX.txt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716</v>
      </c>
      <c r="B89" s="7">
        <v>4029</v>
      </c>
      <c r="C89" s="21" t="s">
        <v>242</v>
      </c>
      <c r="D89" s="21" t="s">
        <v>539</v>
      </c>
      <c r="E89" s="13">
        <v>42803.548043981478</v>
      </c>
      <c r="F89" s="13">
        <v>42803.55232638889</v>
      </c>
      <c r="G89" s="7">
        <v>1</v>
      </c>
      <c r="H89" s="21" t="s">
        <v>548</v>
      </c>
      <c r="I89" s="13">
        <v>42803.580937500003</v>
      </c>
      <c r="J89" s="7">
        <v>0</v>
      </c>
      <c r="K89" s="98" t="str">
        <f t="shared" si="21"/>
        <v>4029/4030</v>
      </c>
      <c r="L89" s="21" t="str">
        <f>VLOOKUP(A89,'Trips&amp;Operators'!$C$1:$G$99999,5,FALSE)</f>
        <v>BRUDER RICHARD</v>
      </c>
      <c r="M89" s="6">
        <f t="shared" si="22"/>
        <v>2.8611111112695653E-2</v>
      </c>
      <c r="N89" s="7">
        <f t="shared" si="23"/>
        <v>41.20000000228174</v>
      </c>
      <c r="O89" s="7"/>
      <c r="P89" s="7"/>
      <c r="Q89" s="22"/>
      <c r="R89" s="22"/>
      <c r="S89" s="31">
        <f t="shared" si="24"/>
        <v>1</v>
      </c>
      <c r="T89" s="46" t="str">
        <f t="shared" si="25"/>
        <v>NorthBound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26"/>
        <v>https://d0f6bd738d7f1b3e5a7ca70fe4ff75f0.us-east-1.aws.found.io/app/kibana#/discover/Steve-Slow-Train-Analysis-(2080s-and-2083s)?_g=(refreshInterval:(display:Off,pause:!f,section:0,value:0),time:(from:'2017-03-09T12:09:11-0700',mode:absolute,to:'2017-03-09T14:56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9" s="187" t="str">
        <f t="shared" si="27"/>
        <v>N</v>
      </c>
      <c r="X89" s="187">
        <f t="shared" si="28"/>
        <v>1</v>
      </c>
      <c r="Y89" s="62">
        <f t="shared" si="29"/>
        <v>4.6399999999999997E-2</v>
      </c>
      <c r="Z89" s="62">
        <f t="shared" si="30"/>
        <v>23.331600000000002</v>
      </c>
      <c r="AA89" s="62">
        <f t="shared" si="31"/>
        <v>23.285200000000003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2"/>
        <v>0177-09</v>
      </c>
      <c r="AE89" s="85" t="str">
        <f t="shared" si="33"/>
        <v>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 &amp; 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</v>
      </c>
      <c r="AF89" s="82" t="str">
        <f t="shared" si="34"/>
        <v>"C:\Program Files (x86)\AstroGrep\AstroGrep.exe" /e /r /s /spath="%USERPROFILE%\AppData\Local\Temp\OnboardLogs" /stypes="app*4029*20170309*" /stext=" 20:.+((SYSTEM_STATE.+slice.+state.+changed )|(ment ac)|(multiple cpu faults)|(system.+state.+changed )|(\[timeout)|(PRM\|1\|D)|(kpr)|(kdp)|(\|lc)|(penalty))"</v>
      </c>
      <c r="AG89" s="1" t="str">
        <f t="shared" si="35"/>
        <v>EC</v>
      </c>
      <c r="AH89" s="86" t="str">
        <f t="shared" si="36"/>
        <v>"%USERPROFILE%\Documents\GitHub\eaglep3\Utilities\RefineRTDCRunTimes.py" --tripid 177-09 --locoid 4029 --swversion DE.1.0.9.0 --startMP 204:464 --initTime 2017-03-09T13:09:11 --startdatetime 2017-03-09T13:15:21 --delay 1 --endMP 204:233316 --enddatetime 2017-03-09T13:56:33 --enforcementcount 0 &gt;&gt;C:\Users\stu\Documents\GitHub\eaglep3-reporting\EC\2017-03-09-refined-times.txt</v>
      </c>
      <c r="AI89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{"issue":{"subject":"","project_id":79,"tracker_id":40,"status_id":1,"priority_id":2,"assigned_to_id":23,"start_date":"2017-03-09","description":"","custom_fields":[{"id":1,"name":"Subdivision","value":"EC"},{"id":4,"name":"Milepost","value":"23.3316"},{"id":17,"name":"Train ID","value":"177-09"},{"id":16,"name":"Locomotive ID","value":"4029"},{"id":130,"name":"Impact","value":""},{"id":150,"name":"Time of Event (Mountain Time)","value":"13:56:33"},{"id":151,"name":"Denver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38"/>
        <v>start /low /b %USERPROFILE%\Documents\GitHub\eaglep3\Utilities\DownloadLogsFromS3.py --loco 4029 --day 2017-03-09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"%USERPROFILE%\AppData\Local\Temp\OnboardLogs"\RTDC4029\*4029*20170309* | grep -SE "(Enforcement Action)|(\[TIMEOUT)|(CHR.+\|PRM\|1\|D.+(SWITCH|SIGNAL).+UNKNOWN)" - &gt;&gt; 2017-03-09-UncaughtWiMAX.txt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725</v>
      </c>
      <c r="B90" s="7">
        <v>4030</v>
      </c>
      <c r="C90" s="21" t="s">
        <v>242</v>
      </c>
      <c r="D90" s="21" t="s">
        <v>437</v>
      </c>
      <c r="E90" s="13">
        <v>42803.58699074074</v>
      </c>
      <c r="F90" s="13">
        <v>42803.591192129628</v>
      </c>
      <c r="G90" s="7">
        <v>1</v>
      </c>
      <c r="H90" s="21" t="s">
        <v>208</v>
      </c>
      <c r="I90" s="13">
        <v>42803.620057870372</v>
      </c>
      <c r="J90" s="7">
        <v>0</v>
      </c>
      <c r="K90" s="98" t="str">
        <f t="shared" si="21"/>
        <v>4029/4030</v>
      </c>
      <c r="L90" s="21" t="str">
        <f>VLOOKUP(A90,'Trips&amp;Operators'!$C$1:$G$99999,5,FALSE)</f>
        <v>BRUDER RICHARD</v>
      </c>
      <c r="M90" s="6">
        <f t="shared" si="22"/>
        <v>2.8865740743640345E-2</v>
      </c>
      <c r="N90" s="7">
        <f t="shared" si="23"/>
        <v>41.566666670842096</v>
      </c>
      <c r="O90" s="7"/>
      <c r="P90" s="7"/>
      <c r="Q90" s="22"/>
      <c r="R90" s="22"/>
      <c r="S90" s="31">
        <f t="shared" si="24"/>
        <v>1</v>
      </c>
      <c r="T90" s="46" t="str">
        <f t="shared" si="25"/>
        <v>Southbound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26"/>
        <v>https://d0f6bd738d7f1b3e5a7ca70fe4ff75f0.us-east-1.aws.found.io/app/kibana#/discover/Steve-Slow-Train-Analysis-(2080s-and-2083s)?_g=(refreshInterval:(display:Off,pause:!f,section:0,value:0),time:(from:'2017-03-09T13:05:16-0700',mode:absolute,to:'2017-03-09T15:52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0" s="187" t="str">
        <f t="shared" si="27"/>
        <v>N</v>
      </c>
      <c r="X90" s="187">
        <f t="shared" si="28"/>
        <v>1</v>
      </c>
      <c r="Y90" s="62">
        <f t="shared" si="29"/>
        <v>23.297999999999998</v>
      </c>
      <c r="Z90" s="62">
        <f t="shared" si="30"/>
        <v>1.54E-2</v>
      </c>
      <c r="AA90" s="62">
        <f t="shared" si="31"/>
        <v>23.282599999999999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2"/>
        <v>0178-09</v>
      </c>
      <c r="AE90" s="85" t="str">
        <f t="shared" si="33"/>
        <v>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 &amp; 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</v>
      </c>
      <c r="AF90" s="82" t="str">
        <f t="shared" si="34"/>
        <v>"C:\Program Files (x86)\AstroGrep\AstroGrep.exe" /e /r /s /spath="%USERPROFILE%\AppData\Local\Temp\OnboardLogs" /stypes="app*4030*20170309*" /stext=" 21:.+((SYSTEM_STATE.+slice.+state.+changed )|(ment ac)|(multiple cpu faults)|(system.+state.+changed )|(\[timeout)|(PRM\|1\|D)|(kpr)|(kdp)|(\|lc)|(penalty))"</v>
      </c>
      <c r="AG90" s="1" t="str">
        <f t="shared" si="35"/>
        <v>EC</v>
      </c>
      <c r="AH90" s="86" t="str">
        <f t="shared" si="36"/>
        <v>"%USERPROFILE%\Documents\GitHub\eaglep3\Utilities\RefineRTDCRunTimes.py" --tripid 178-09 --locoid 4030 --swversion DE.1.0.9.0 --startMP 204:232980 --initTime 2017-03-09T14:05:16 --startdatetime 2017-03-09T14:11:19 --delay 1 --endMP 204:154 --enddatetime 2017-03-09T14:52:53 --enforcementcount 0 &gt;&gt;C:\Users\stu\Documents\GitHub\eaglep3-reporting\EC\2017-03-09-refined-times.txt</v>
      </c>
      <c r="AI90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{"issue":{"subject":"","project_id":79,"tracker_id":40,"status_id":1,"priority_id":2,"assigned_to_id":23,"start_date":"2017-03-09","description":"","custom_fields":[{"id":1,"name":"Subdivision","value":"EC"},{"id":4,"name":"Milepost","value":"0.0154"},{"id":17,"name":"Train ID","value":"178-09"},{"id":16,"name":"Locomotive ID","value":"4030"},{"id":130,"name":"Impact","value":""},{"id":150,"name":"Time of Event (Mountain Time)","value":"14:52:53"},{"id":151,"name":"Denver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38"/>
        <v>start /low /b %USERPROFILE%\Documents\GitHub\eaglep3\Utilities\DownloadLogsFromS3.py --loco 4030 --day 2017-03-09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"%USERPROFILE%\AppData\Local\Temp\OnboardLogs"\RTDC4030\*4030*20170309* | grep -SE "(Enforcement Action)|(\[TIMEOUT)|(CHR.+\|PRM\|1\|D.+(SWITCH|SIGNAL).+UNKNOWN)" - &gt;&gt; 2017-03-09-UncaughtWiMAX.txt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719</v>
      </c>
      <c r="B91" s="7">
        <v>4040</v>
      </c>
      <c r="C91" s="21" t="s">
        <v>242</v>
      </c>
      <c r="D91" s="21" t="s">
        <v>262</v>
      </c>
      <c r="E91" s="13">
        <v>42803.559236111112</v>
      </c>
      <c r="F91" s="13">
        <v>42803.562754629631</v>
      </c>
      <c r="G91" s="7">
        <v>1</v>
      </c>
      <c r="H91" s="21" t="s">
        <v>233</v>
      </c>
      <c r="I91" s="13">
        <v>42803.594224537039</v>
      </c>
      <c r="J91" s="7">
        <v>0</v>
      </c>
      <c r="K91" s="98" t="str">
        <f t="shared" si="21"/>
        <v>4039/4040</v>
      </c>
      <c r="L91" s="21" t="str">
        <f>VLOOKUP(A91,'Trips&amp;Operators'!$C$1:$G$99999,5,FALSE)</f>
        <v>SMITH MICHAEL</v>
      </c>
      <c r="M91" s="6">
        <f t="shared" si="22"/>
        <v>3.1469907407881692E-2</v>
      </c>
      <c r="N91" s="7">
        <f t="shared" si="23"/>
        <v>45.316666667349637</v>
      </c>
      <c r="O91" s="7"/>
      <c r="P91" s="7"/>
      <c r="Q91" s="22"/>
      <c r="R91" s="22"/>
      <c r="S91" s="31">
        <f t="shared" si="24"/>
        <v>1</v>
      </c>
      <c r="T91" s="46" t="str">
        <f t="shared" si="25"/>
        <v>NorthBound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26"/>
        <v>https://d0f6bd738d7f1b3e5a7ca70fe4ff75f0.us-east-1.aws.found.io/app/kibana#/discover/Steve-Slow-Train-Analysis-(2080s-and-2083s)?_g=(refreshInterval:(display:Off,pause:!f,section:0,value:0),time:(from:'2017-03-09T12:25:18-0700',mode:absolute,to:'2017-03-09T15:15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1" s="187" t="str">
        <f t="shared" si="27"/>
        <v>N</v>
      </c>
      <c r="X91" s="187">
        <f t="shared" si="28"/>
        <v>1</v>
      </c>
      <c r="Y91" s="62">
        <f t="shared" si="29"/>
        <v>4.6699999999999998E-2</v>
      </c>
      <c r="Z91" s="62">
        <f t="shared" si="30"/>
        <v>23.331</v>
      </c>
      <c r="AA91" s="62">
        <f t="shared" si="31"/>
        <v>23.284299999999998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2"/>
        <v>0179-09</v>
      </c>
      <c r="AE91" s="85" t="str">
        <f t="shared" si="33"/>
        <v>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 &amp; 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</v>
      </c>
      <c r="AF91" s="82" t="str">
        <f t="shared" si="34"/>
        <v>"C:\Program Files (x86)\AstroGrep\AstroGrep.exe" /e /r /s /spath="%USERPROFILE%\AppData\Local\Temp\OnboardLogs" /stypes="app*4040*20170309*" /stext=" 21:.+((SYSTEM_STATE.+slice.+state.+changed )|(ment ac)|(multiple cpu faults)|(system.+state.+changed )|(\[timeout)|(PRM\|1\|D)|(kpr)|(kdp)|(\|lc)|(penalty))"</v>
      </c>
      <c r="AG91" s="1" t="str">
        <f t="shared" si="35"/>
        <v>EC</v>
      </c>
      <c r="AH91" s="86" t="str">
        <f t="shared" si="36"/>
        <v>"%USERPROFILE%\Documents\GitHub\eaglep3\Utilities\RefineRTDCRunTimes.py" --tripid 179-09 --locoid 4040 --swversion DE.1.0.9.0 --startMP 204:467 --initTime 2017-03-09T13:25:18 --startdatetime 2017-03-09T13:30:22 --delay 1 --endMP 204:233310 --enddatetime 2017-03-09T14:15:41 --enforcementcount 0 &gt;&gt;C:\Users\stu\Documents\GitHub\eaglep3-reporting\EC\2017-03-09-refined-times.txt</v>
      </c>
      <c r="AI91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{"issue":{"subject":"","project_id":79,"tracker_id":40,"status_id":1,"priority_id":2,"assigned_to_id":23,"start_date":"2017-03-09","description":"","custom_fields":[{"id":1,"name":"Subdivision","value":"EC"},{"id":4,"name":"Milepost","value":"23.331"},{"id":17,"name":"Train ID","value":"179-09"},{"id":16,"name":"Locomotive ID","value":"4040"},{"id":130,"name":"Impact","value":""},{"id":150,"name":"Time of Event (Mountain Time)","value":"14:15:41"},{"id":151,"name":"Denver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38"/>
        <v>start /low /b %USERPROFILE%\Documents\GitHub\eaglep3\Utilities\DownloadLogsFromS3.py --loco 4040 --day 2017-03-09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"%USERPROFILE%\AppData\Local\Temp\OnboardLogs"\RTDC4040\*4040*20170309* | grep -SE "(Enforcement Action)|(\[TIMEOUT)|(CHR.+\|PRM\|1\|D.+(SWITCH|SIGNAL).+UNKNOWN)" - &gt;&gt; 2017-03-09-UncaughtWiMAX.txt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593</v>
      </c>
      <c r="B92" s="7">
        <v>4039</v>
      </c>
      <c r="C92" s="21" t="s">
        <v>242</v>
      </c>
      <c r="D92" s="21" t="s">
        <v>438</v>
      </c>
      <c r="E92" s="13">
        <v>42803.598136574074</v>
      </c>
      <c r="F92" s="13">
        <v>42803.601550925923</v>
      </c>
      <c r="G92" s="7">
        <v>1</v>
      </c>
      <c r="H92" s="21" t="s">
        <v>202</v>
      </c>
      <c r="I92" s="13">
        <v>42803.630104166667</v>
      </c>
      <c r="J92" s="7">
        <v>0</v>
      </c>
      <c r="K92" s="98" t="str">
        <f t="shared" si="21"/>
        <v>4039/4040</v>
      </c>
      <c r="L92" s="21" t="str">
        <f>VLOOKUP(A92,'Trips&amp;Operators'!$C$1:$G$99999,5,FALSE)</f>
        <v>SMITH MICHAEL</v>
      </c>
      <c r="M92" s="6">
        <f t="shared" si="22"/>
        <v>2.8553240743349306E-2</v>
      </c>
      <c r="N92" s="7">
        <f t="shared" si="23"/>
        <v>41.116666670423001</v>
      </c>
      <c r="O92" s="7"/>
      <c r="P92" s="7"/>
      <c r="Q92" s="22"/>
      <c r="R92" s="22"/>
      <c r="S92" s="31">
        <f t="shared" si="24"/>
        <v>1</v>
      </c>
      <c r="T92" s="46" t="str">
        <f t="shared" si="25"/>
        <v>Southbound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26"/>
        <v>https://d0f6bd738d7f1b3e5a7ca70fe4ff75f0.us-east-1.aws.found.io/app/kibana#/discover/Steve-Slow-Train-Analysis-(2080s-and-2083s)?_g=(refreshInterval:(display:Off,pause:!f,section:0,value:0),time:(from:'2017-03-09T13:21:19-0700',mode:absolute,to:'2017-03-09T16:07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2" s="187" t="str">
        <f t="shared" si="27"/>
        <v>N</v>
      </c>
      <c r="X92" s="187">
        <f t="shared" si="28"/>
        <v>1</v>
      </c>
      <c r="Y92" s="62">
        <f t="shared" si="29"/>
        <v>23.2989</v>
      </c>
      <c r="Z92" s="62">
        <f t="shared" si="30"/>
        <v>1.52E-2</v>
      </c>
      <c r="AA92" s="62">
        <f t="shared" si="31"/>
        <v>23.2837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2"/>
        <v>0180-09</v>
      </c>
      <c r="AE92" s="85" t="str">
        <f t="shared" si="33"/>
        <v>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 &amp; 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</v>
      </c>
      <c r="AF92" s="82" t="str">
        <f t="shared" si="34"/>
        <v>"C:\Program Files (x86)\AstroGrep\AstroGrep.exe" /e /r /s /spath="%USERPROFILE%\AppData\Local\Temp\OnboardLogs" /stypes="app*4039*20170309*" /stext=" 22:.+((SYSTEM_STATE.+slice.+state.+changed )|(ment ac)|(multiple cpu faults)|(system.+state.+changed )|(\[timeout)|(PRM\|1\|D)|(kpr)|(kdp)|(\|lc)|(penalty))"</v>
      </c>
      <c r="AG92" s="1" t="str">
        <f t="shared" si="35"/>
        <v>EC</v>
      </c>
      <c r="AH92" s="86" t="str">
        <f t="shared" si="36"/>
        <v>"%USERPROFILE%\Documents\GitHub\eaglep3\Utilities\RefineRTDCRunTimes.py" --tripid 180-09 --locoid 4039 --swversion DE.1.0.9.0 --startMP 204:232989 --initTime 2017-03-09T14:21:19 --startdatetime 2017-03-09T14:26:14 --delay 1 --endMP 204:152 --enddatetime 2017-03-09T15:07:21 --enforcementcount 0 &gt;&gt;C:\Users\stu\Documents\GitHub\eaglep3-reporting\EC\2017-03-09-refined-times.txt</v>
      </c>
      <c r="AI92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{"issue":{"subject":"","project_id":79,"tracker_id":40,"status_id":1,"priority_id":2,"assigned_to_id":23,"start_date":"2017-03-09","description":"","custom_fields":[{"id":1,"name":"Subdivision","value":"EC"},{"id":4,"name":"Milepost","value":"0.0152"},{"id":17,"name":"Train ID","value":"180-09"},{"id":16,"name":"Locomotive ID","value":"4039"},{"id":130,"name":"Impact","value":""},{"id":150,"name":"Time of Event (Mountain Time)","value":"15:07:21"},{"id":151,"name":"Denver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38"/>
        <v>start /low /b %USERPROFILE%\Documents\GitHub\eaglep3\Utilities\DownloadLogsFromS3.py --loco 4039 --day 2017-03-09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"%USERPROFILE%\AppData\Local\Temp\OnboardLogs"\RTDC4039\*4039*20170309* | grep -SE "(Enforcement Action)|(\[TIMEOUT)|(CHR.+\|PRM\|1\|D.+(SWITCH|SIGNAL).+UNKNOWN)" - &gt;&gt; 2017-03-09-UncaughtWiMAX.txt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3" t="s">
        <v>721</v>
      </c>
      <c r="B93" s="7">
        <v>4044</v>
      </c>
      <c r="C93" s="21" t="s">
        <v>242</v>
      </c>
      <c r="D93" s="21" t="s">
        <v>281</v>
      </c>
      <c r="E93" s="13">
        <v>42803.573055555556</v>
      </c>
      <c r="F93" s="13">
        <v>42803.574525462966</v>
      </c>
      <c r="G93" s="7">
        <v>1</v>
      </c>
      <c r="H93" s="21" t="s">
        <v>545</v>
      </c>
      <c r="I93" s="13">
        <v>42803.600162037037</v>
      </c>
      <c r="J93" s="7">
        <v>0</v>
      </c>
      <c r="K93" s="98" t="str">
        <f t="shared" si="21"/>
        <v>4043/4044</v>
      </c>
      <c r="L93" s="21" t="str">
        <f>VLOOKUP(A93,'Trips&amp;Operators'!$C$1:$G$99999,5,FALSE)</f>
        <v>LOCKLEAR TRAVIS</v>
      </c>
      <c r="M93" s="6">
        <f t="shared" si="22"/>
        <v>2.5636574071540963E-2</v>
      </c>
      <c r="N93" s="7">
        <f t="shared" si="23"/>
        <v>36.916666663018987</v>
      </c>
      <c r="O93" s="7"/>
      <c r="P93" s="7"/>
      <c r="Q93" s="22"/>
      <c r="R93" s="22"/>
      <c r="S93" s="31">
        <f t="shared" si="24"/>
        <v>1</v>
      </c>
      <c r="T93" s="46" t="str">
        <f t="shared" si="25"/>
        <v>NorthBound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26"/>
        <v>https://d0f6bd738d7f1b3e5a7ca70fe4ff75f0.us-east-1.aws.found.io/app/kibana#/discover/Steve-Slow-Train-Analysis-(2080s-and-2083s)?_g=(refreshInterval:(display:Off,pause:!f,section:0,value:0),time:(from:'2017-03-09T12:45:12-0700',mode:absolute,to:'2017-03-09T15:24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3" s="187" t="str">
        <f t="shared" si="27"/>
        <v>N</v>
      </c>
      <c r="X93" s="187">
        <f t="shared" si="28"/>
        <v>1</v>
      </c>
      <c r="Y93" s="62">
        <f t="shared" si="29"/>
        <v>4.7800000000000002E-2</v>
      </c>
      <c r="Z93" s="62">
        <f t="shared" si="30"/>
        <v>23.328800000000001</v>
      </c>
      <c r="AA93" s="62">
        <f t="shared" si="31"/>
        <v>23.281000000000002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2"/>
        <v>0181-09</v>
      </c>
      <c r="AE93" s="85" t="str">
        <f t="shared" si="33"/>
        <v>aws s3 cp s3://rtdc.mdm.uploadarchive.raw/RTDC4044/ "%USERPROFILE%\AppData\Local\Temp\OnboardLogs"\RTDC4044\2017-03-09 --exclude "*" --recursive --include "*20170309*" &amp; "%USERPROFILE%\Documents\GitHub\mrs-test-scripts\Headless Mode &amp; Sideloading\WalkAndUnGZ.bat" "%USERPROFILE%\AppData\Local\Temp\OnboardLogs"\RTDC4044\2017-03-09 &amp; aws s3 cp s3://rtdc.mdm.uploadarchive.raw/RTDC4044/ "%USERPROFILE%\AppData\Local\Temp\OnboardLogs"\RTDC4044\2017-03-10 --exclude "*" --recursive --include "*20170310*" &amp; "%USERPROFILE%\Documents\GitHub\mrs-test-scripts\Headless Mode &amp; Sideloading\WalkAndUnGZ.bat" "%USERPROFILE%\AppData\Local\Temp\OnboardLogs"\RTDC4044\2017-03-10</v>
      </c>
      <c r="AF93" s="82" t="str">
        <f t="shared" si="34"/>
        <v>"C:\Program Files (x86)\AstroGrep\AstroGrep.exe" /e /r /s /spath="%USERPROFILE%\AppData\Local\Temp\OnboardLogs" /stypes="app*4044*20170309*" /stext=" 21:.+((SYSTEM_STATE.+slice.+state.+changed )|(ment ac)|(multiple cpu faults)|(system.+state.+changed )|(\[timeout)|(PRM\|1\|D)|(kpr)|(kdp)|(\|lc)|(penalty))"</v>
      </c>
      <c r="AG93" s="1" t="str">
        <f t="shared" si="35"/>
        <v>EC</v>
      </c>
      <c r="AH93" s="86" t="str">
        <f t="shared" si="36"/>
        <v>"%USERPROFILE%\Documents\GitHub\eaglep3\Utilities\RefineRTDCRunTimes.py" --tripid 181-09 --locoid 4044 --swversion DE.1.0.9.0 --startMP 204:478 --initTime 2017-03-09T13:45:12 --startdatetime 2017-03-09T13:47:19 --delay 1 --endMP 204:233288 --enddatetime 2017-03-09T14:24:14 --enforcementcount 0 &gt;&gt;C:\Users\stu\Documents\GitHub\eaglep3-reporting\EC\2017-03-09-refined-times.txt</v>
      </c>
      <c r="AI93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{"issue":{"subject":"","project_id":79,"tracker_id":40,"status_id":1,"priority_id":2,"assigned_to_id":23,"start_date":"2017-03-09","description":"","custom_fields":[{"id":1,"name":"Subdivision","value":"EC"},{"id":4,"name":"Milepost","value":"23.3288"},{"id":17,"name":"Train ID","value":"181-09"},{"id":16,"name":"Locomotive ID","value":"4044"},{"id":130,"name":"Impact","value":""},{"id":150,"name":"Time of Event (Mountain Time)","value":"14:24:14"},{"id":151,"name":"Denver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38"/>
        <v>start /low /b %USERPROFILE%\Documents\GitHub\eaglep3\Utilities\DownloadLogsFromS3.py --loco 4044 --day 2017-03-09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"%USERPROFILE%\AppData\Local\Temp\OnboardLogs"\RTDC4044\*4044*20170309* | grep -SE "(Enforcement Action)|(\[TIMEOUT)|(CHR.+\|PRM\|1\|D.+(SWITCH|SIGNAL).+UNKNOWN)" - &gt;&gt; 2017-03-09-UncaughtWiMAX.txt</v>
      </c>
    </row>
    <row r="94" spans="1:91" s="20" customFormat="1" x14ac:dyDescent="0.25">
      <c r="A94" s="33" t="s">
        <v>729</v>
      </c>
      <c r="B94" s="7">
        <v>4043</v>
      </c>
      <c r="C94" s="21" t="s">
        <v>242</v>
      </c>
      <c r="D94" s="21" t="s">
        <v>843</v>
      </c>
      <c r="E94" s="13">
        <v>42803.609178240738</v>
      </c>
      <c r="F94" s="13">
        <v>42803.612175925926</v>
      </c>
      <c r="G94" s="7">
        <v>1</v>
      </c>
      <c r="H94" s="21" t="s">
        <v>232</v>
      </c>
      <c r="I94" s="13">
        <v>42803.639756944445</v>
      </c>
      <c r="J94" s="7">
        <v>0</v>
      </c>
      <c r="K94" s="98" t="str">
        <f t="shared" si="21"/>
        <v>4043/4044</v>
      </c>
      <c r="L94" s="21" t="str">
        <f>VLOOKUP(A94,'Trips&amp;Operators'!$C$1:$G$99999,5,FALSE)</f>
        <v>LOCKLEAR TRAVIS</v>
      </c>
      <c r="M94" s="6">
        <f t="shared" si="22"/>
        <v>2.7581018519413192E-2</v>
      </c>
      <c r="N94" s="7">
        <f t="shared" si="23"/>
        <v>39.716666667954996</v>
      </c>
      <c r="O94" s="7"/>
      <c r="P94" s="7"/>
      <c r="Q94" s="22"/>
      <c r="R94" s="22"/>
      <c r="S94" s="31">
        <f t="shared" si="24"/>
        <v>1</v>
      </c>
      <c r="T94" s="46" t="str">
        <f t="shared" si="25"/>
        <v>Southbound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26"/>
        <v>https://d0f6bd738d7f1b3e5a7ca70fe4ff75f0.us-east-1.aws.found.io/app/kibana#/discover/Steve-Slow-Train-Analysis-(2080s-and-2083s)?_g=(refreshInterval:(display:Off,pause:!f,section:0,value:0),time:(from:'2017-03-09T13:37:13-0700',mode:absolute,to:'2017-03-09T16:21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4" s="187" t="str">
        <f t="shared" si="27"/>
        <v>N</v>
      </c>
      <c r="X94" s="187">
        <f t="shared" si="28"/>
        <v>1</v>
      </c>
      <c r="Y94" s="62">
        <f t="shared" si="29"/>
        <v>23.3001</v>
      </c>
      <c r="Z94" s="62">
        <f t="shared" si="30"/>
        <v>1.5599999999999999E-2</v>
      </c>
      <c r="AA94" s="62">
        <f t="shared" si="31"/>
        <v>23.284500000000001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2"/>
        <v>0182-09</v>
      </c>
      <c r="AE94" s="85" t="str">
        <f t="shared" si="33"/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AF94" s="82" t="str">
        <f t="shared" si="34"/>
        <v>"C:\Program Files (x86)\AstroGrep\AstroGrep.exe" /e /r /s /spath="%USERPROFILE%\AppData\Local\Temp\OnboardLogs" /stypes="app*4043*20170309*" /stext=" 22:.+((SYSTEM_STATE.+slice.+state.+changed )|(ment ac)|(multiple cpu faults)|(system.+state.+changed )|(\[timeout)|(PRM\|1\|D)|(kpr)|(kdp)|(\|lc)|(penalty))"</v>
      </c>
      <c r="AG94" s="1" t="str">
        <f t="shared" si="35"/>
        <v>EC</v>
      </c>
      <c r="AH94" s="86" t="str">
        <f t="shared" si="36"/>
        <v>"%USERPROFILE%\Documents\GitHub\eaglep3\Utilities\RefineRTDCRunTimes.py" --tripid 182-09 --locoid 4043 --swversion DE.1.0.9.0 --startMP 204:233001 --initTime 2017-03-09T14:37:13 --startdatetime 2017-03-09T14:41:32 --delay 1 --endMP 204:156 --enddatetime 2017-03-09T15:21:15 --enforcementcount 0 &gt;&gt;C:\Users\stu\Documents\GitHub\eaglep3-reporting\EC\2017-03-09-refined-times.txt</v>
      </c>
      <c r="AI94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{"issue":{"subject":"","project_id":79,"tracker_id":40,"status_id":1,"priority_id":2,"assigned_to_id":23,"start_date":"2017-03-09","description":"","custom_fields":[{"id":1,"name":"Subdivision","value":"EC"},{"id":4,"name":"Milepost","value":"0.0156"},{"id":17,"name":"Train ID","value":"182-09"},{"id":16,"name":"Locomotive ID","value":"4043"},{"id":130,"name":"Impact","value":""},{"id":150,"name":"Time of Event (Mountain Time)","value":"15:21:15"},{"id":151,"name":"Denver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38"/>
        <v>start /low /b %USERPROFILE%\Documents\GitHub\eaglep3\Utilities\DownloadLogsFromS3.py --loco 4043 --day 2017-03-09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"%USERPROFILE%\AppData\Local\Temp\OnboardLogs"\RTDC4043\*4043*20170309* | grep -SE "(Enforcement Action)|(\[TIMEOUT)|(CHR.+\|PRM\|1\|D.+(SWITCH|SIGNAL).+UNKNOWN)" - &gt;&gt; 2017-03-09-UncaughtWiMAX.txt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723</v>
      </c>
      <c r="B95" s="7">
        <v>4014</v>
      </c>
      <c r="C95" s="21" t="s">
        <v>242</v>
      </c>
      <c r="D95" s="21" t="s">
        <v>218</v>
      </c>
      <c r="E95" s="13">
        <v>42803.580069444448</v>
      </c>
      <c r="F95" s="13">
        <v>42803.583587962959</v>
      </c>
      <c r="G95" s="7">
        <v>1</v>
      </c>
      <c r="H95" s="21" t="s">
        <v>435</v>
      </c>
      <c r="I95" s="13">
        <v>42803.609652777777</v>
      </c>
      <c r="J95" s="7">
        <v>0</v>
      </c>
      <c r="K95" s="98" t="str">
        <f t="shared" si="21"/>
        <v>4013/4014</v>
      </c>
      <c r="L95" s="21" t="str">
        <f>VLOOKUP(A95,'Trips&amp;Operators'!$C$1:$G$99999,5,FALSE)</f>
        <v>HELVIE ADAM</v>
      </c>
      <c r="M95" s="6">
        <f t="shared" si="22"/>
        <v>2.6064814817800652E-2</v>
      </c>
      <c r="N95" s="7">
        <f t="shared" si="23"/>
        <v>37.533333337632939</v>
      </c>
      <c r="O95" s="7"/>
      <c r="P95" s="7"/>
      <c r="Q95" s="22"/>
      <c r="R95" s="22"/>
      <c r="S95" s="31">
        <f t="shared" si="24"/>
        <v>1</v>
      </c>
      <c r="T95" s="46" t="str">
        <f t="shared" si="25"/>
        <v>NorthBound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26"/>
        <v>https://d0f6bd738d7f1b3e5a7ca70fe4ff75f0.us-east-1.aws.found.io/app/kibana#/discover/Steve-Slow-Train-Analysis-(2080s-and-2083s)?_g=(refreshInterval:(display:Off,pause:!f,section:0,value:0),time:(from:'2017-03-09T12:55:18-0700',mode:absolute,to:'2017-03-09T15:37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5" s="187" t="str">
        <f t="shared" si="27"/>
        <v>N</v>
      </c>
      <c r="X95" s="187">
        <f t="shared" si="28"/>
        <v>1</v>
      </c>
      <c r="Y95" s="62">
        <f t="shared" si="29"/>
        <v>4.5999999999999999E-2</v>
      </c>
      <c r="Z95" s="62">
        <f t="shared" si="30"/>
        <v>23.33</v>
      </c>
      <c r="AA95" s="62">
        <f t="shared" si="31"/>
        <v>23.283999999999999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2"/>
        <v>0183-09</v>
      </c>
      <c r="AE95" s="85" t="str">
        <f t="shared" si="33"/>
        <v>aws s3 cp s3://rtdc.mdm.uploadarchive.raw/RTDC4014/ "%USERPROFILE%\AppData\Local\Temp\OnboardLogs"\RTDC4014\2017-03-09 --exclude "*" --recursive --include "*20170309*" &amp; "%USERPROFILE%\Documents\GitHub\mrs-test-scripts\Headless Mode &amp; Sideloading\WalkAndUnGZ.bat" "%USERPROFILE%\AppData\Local\Temp\OnboardLogs"\RTDC4014\2017-03-09 &amp; aws s3 cp s3://rtdc.mdm.uploadarchive.raw/RTDC4014/ "%USERPROFILE%\AppData\Local\Temp\OnboardLogs"\RTDC4014\2017-03-10 --exclude "*" --recursive --include "*20170310*" &amp; "%USERPROFILE%\Documents\GitHub\mrs-test-scripts\Headless Mode &amp; Sideloading\WalkAndUnGZ.bat" "%USERPROFILE%\AppData\Local\Temp\OnboardLogs"\RTDC4014\2017-03-10</v>
      </c>
      <c r="AF95" s="82" t="str">
        <f t="shared" si="34"/>
        <v>"C:\Program Files (x86)\AstroGrep\AstroGrep.exe" /e /r /s /spath="%USERPROFILE%\AppData\Local\Temp\OnboardLogs" /stypes="app*4014*20170309*" /stext=" 21:.+((SYSTEM_STATE.+slice.+state.+changed )|(ment ac)|(multiple cpu faults)|(system.+state.+changed )|(\[timeout)|(PRM\|1\|D)|(kpr)|(kdp)|(\|lc)|(penalty))"</v>
      </c>
      <c r="AG95" s="1" t="str">
        <f t="shared" si="35"/>
        <v>EC</v>
      </c>
      <c r="AH95" s="86" t="str">
        <f t="shared" si="36"/>
        <v>"%USERPROFILE%\Documents\GitHub\eaglep3\Utilities\RefineRTDCRunTimes.py" --tripid 183-09 --locoid 4014 --swversion DE.1.0.9.0 --startMP 204:460 --initTime 2017-03-09T13:55:18 --startdatetime 2017-03-09T14:00:22 --delay 1 --endMP 204:233300 --enddatetime 2017-03-09T14:37:54 --enforcementcount 0 &gt;&gt;C:\Users\stu\Documents\GitHub\eaglep3-reporting\EC\2017-03-09-refined-times.txt</v>
      </c>
      <c r="AI95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{"issue":{"subject":"","project_id":79,"tracker_id":40,"status_id":1,"priority_id":2,"assigned_to_id":23,"start_date":"2017-03-09","description":"","custom_fields":[{"id":1,"name":"Subdivision","value":"EC"},{"id":4,"name":"Milepost","value":"23.33"},{"id":17,"name":"Train ID","value":"183-09"},{"id":16,"name":"Locomotive ID","value":"4014"},{"id":130,"name":"Impact","value":""},{"id":150,"name":"Time of Event (Mountain Time)","value":"14:37:54"},{"id":151,"name":"Denver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38"/>
        <v>start /low /b %USERPROFILE%\Documents\GitHub\eaglep3\Utilities\DownloadLogsFromS3.py --loco 4014 --day 2017-03-09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"%USERPROFILE%\AppData\Local\Temp\OnboardLogs"\RTDC4014\*4014*20170309* | grep -SE "(Enforcement Action)|(\[TIMEOUT)|(CHR.+\|PRM\|1\|D.+(SWITCH|SIGNAL).+UNKNOWN)" - &gt;&gt; 2017-03-09-UncaughtWiMAX.txt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731</v>
      </c>
      <c r="B96" s="7">
        <v>4013</v>
      </c>
      <c r="C96" s="21" t="s">
        <v>242</v>
      </c>
      <c r="D96" s="21" t="s">
        <v>438</v>
      </c>
      <c r="E96" s="13">
        <v>42803.61990740741</v>
      </c>
      <c r="F96" s="13">
        <v>42803.622488425928</v>
      </c>
      <c r="G96" s="7">
        <v>1</v>
      </c>
      <c r="H96" s="21" t="s">
        <v>235</v>
      </c>
      <c r="I96" s="13">
        <v>42803.650625000002</v>
      </c>
      <c r="J96" s="7">
        <v>0</v>
      </c>
      <c r="K96" s="98" t="str">
        <f t="shared" si="21"/>
        <v>4013/4014</v>
      </c>
      <c r="L96" s="21" t="str">
        <f>VLOOKUP(A96,'Trips&amp;Operators'!$C$1:$G$99999,5,FALSE)</f>
        <v>HELVIE ADAM</v>
      </c>
      <c r="M96" s="6">
        <f t="shared" si="22"/>
        <v>2.8136574073869269E-2</v>
      </c>
      <c r="N96" s="7">
        <f t="shared" si="23"/>
        <v>40.516666666371748</v>
      </c>
      <c r="O96" s="7"/>
      <c r="P96" s="7"/>
      <c r="Q96" s="22"/>
      <c r="R96" s="22"/>
      <c r="S96" s="31">
        <f t="shared" si="24"/>
        <v>1</v>
      </c>
      <c r="T96" s="46" t="str">
        <f t="shared" si="25"/>
        <v>Southbound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26"/>
        <v>https://d0f6bd738d7f1b3e5a7ca70fe4ff75f0.us-east-1.aws.found.io/app/kibana#/discover/Steve-Slow-Train-Analysis-(2080s-and-2083s)?_g=(refreshInterval:(display:Off,pause:!f,section:0,value:0),time:(from:'2017-03-09T13:52:40-0700',mode:absolute,to:'2017-03-09T16:36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6" s="187" t="str">
        <f t="shared" si="27"/>
        <v>N</v>
      </c>
      <c r="X96" s="187">
        <f t="shared" si="28"/>
        <v>1</v>
      </c>
      <c r="Y96" s="62">
        <f t="shared" si="29"/>
        <v>23.2989</v>
      </c>
      <c r="Z96" s="62">
        <f t="shared" si="30"/>
        <v>1.47E-2</v>
      </c>
      <c r="AA96" s="62">
        <f t="shared" si="31"/>
        <v>23.284199999999998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2"/>
        <v>0184-09</v>
      </c>
      <c r="AE96" s="85" t="str">
        <f t="shared" si="33"/>
        <v>aws s3 cp s3://rtdc.mdm.uploadarchive.raw/RTDC4013/ "%USERPROFILE%\AppData\Local\Temp\OnboardLogs"\RTDC4013\2017-03-09 --exclude "*" --recursive --include "*20170309*" &amp; "%USERPROFILE%\Documents\GitHub\mrs-test-scripts\Headless Mode &amp; Sideloading\WalkAndUnGZ.bat" "%USERPROFILE%\AppData\Local\Temp\OnboardLogs"\RTDC4013\2017-03-09 &amp; aws s3 cp s3://rtdc.mdm.uploadarchive.raw/RTDC4013/ "%USERPROFILE%\AppData\Local\Temp\OnboardLogs"\RTDC4013\2017-03-10 --exclude "*" --recursive --include "*20170310*" &amp; "%USERPROFILE%\Documents\GitHub\mrs-test-scripts\Headless Mode &amp; Sideloading\WalkAndUnGZ.bat" "%USERPROFILE%\AppData\Local\Temp\OnboardLogs"\RTDC4013\2017-03-10</v>
      </c>
      <c r="AF96" s="82" t="str">
        <f t="shared" si="34"/>
        <v>"C:\Program Files (x86)\AstroGrep\AstroGrep.exe" /e /r /s /spath="%USERPROFILE%\AppData\Local\Temp\OnboardLogs" /stypes="app*4013*20170309*" /stext=" 22:.+((SYSTEM_STATE.+slice.+state.+changed )|(ment ac)|(multiple cpu faults)|(system.+state.+changed )|(\[timeout)|(PRM\|1\|D)|(kpr)|(kdp)|(\|lc)|(penalty))"</v>
      </c>
      <c r="AG96" s="1" t="str">
        <f t="shared" si="35"/>
        <v>EC</v>
      </c>
      <c r="AH96" s="86" t="str">
        <f t="shared" si="36"/>
        <v>"%USERPROFILE%\Documents\GitHub\eaglep3\Utilities\RefineRTDCRunTimes.py" --tripid 184-09 --locoid 4013 --swversion DE.1.0.9.0 --startMP 204:232989 --initTime 2017-03-09T14:52:40 --startdatetime 2017-03-09T14:56:23 --delay 1 --endMP 204:147 --enddatetime 2017-03-09T15:36:54 --enforcementcount 0 &gt;&gt;C:\Users\stu\Documents\GitHub\eaglep3-reporting\EC\2017-03-09-refined-times.txt</v>
      </c>
      <c r="AI96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{"issue":{"subject":"","project_id":79,"tracker_id":40,"status_id":1,"priority_id":2,"assigned_to_id":23,"start_date":"2017-03-09","description":"","custom_fields":[{"id":1,"name":"Subdivision","value":"EC"},{"id":4,"name":"Milepost","value":"0.0147"},{"id":17,"name":"Train ID","value":"184-09"},{"id":16,"name":"Locomotive ID","value":"4013"},{"id":130,"name":"Impact","value":""},{"id":150,"name":"Time of Event (Mountain Time)","value":"15:36:54"},{"id":151,"name":"Denver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38"/>
        <v>start /low /b %USERPROFILE%\Documents\GitHub\eaglep3\Utilities\DownloadLogsFromS3.py --loco 4013 --day 2017-03-09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"%USERPROFILE%\AppData\Local\Temp\OnboardLogs"\RTDC4013\*4013*20170309* | grep -SE "(Enforcement Action)|(\[TIMEOUT)|(CHR.+\|PRM\|1\|D.+(SWITCH|SIGNAL).+UNKNOWN)" - &gt;&gt; 2017-03-09-UncaughtWiMAX.txt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726</v>
      </c>
      <c r="B97" s="7">
        <v>4020</v>
      </c>
      <c r="C97" s="21" t="s">
        <v>242</v>
      </c>
      <c r="D97" s="21" t="s">
        <v>216</v>
      </c>
      <c r="E97" s="13">
        <v>42803.590914351851</v>
      </c>
      <c r="F97" s="13">
        <v>42803.594004629631</v>
      </c>
      <c r="G97" s="7">
        <v>1</v>
      </c>
      <c r="H97" s="21" t="s">
        <v>545</v>
      </c>
      <c r="I97" s="13">
        <v>42803.618159722224</v>
      </c>
      <c r="J97" s="7">
        <v>0</v>
      </c>
      <c r="K97" s="98" t="str">
        <f t="shared" si="21"/>
        <v>4019/4020</v>
      </c>
      <c r="L97" s="21" t="str">
        <f>VLOOKUP(A97,'Trips&amp;Operators'!$C$1:$G$99999,5,FALSE)</f>
        <v>BEAM ROSS</v>
      </c>
      <c r="M97" s="6">
        <f t="shared" si="22"/>
        <v>2.4155092592991423E-2</v>
      </c>
      <c r="N97" s="7">
        <f t="shared" si="23"/>
        <v>34.783333333907649</v>
      </c>
      <c r="O97" s="7"/>
      <c r="P97" s="7"/>
      <c r="Q97" s="22"/>
      <c r="R97" s="22"/>
      <c r="S97" s="31">
        <f t="shared" si="24"/>
        <v>1</v>
      </c>
      <c r="T97" s="46" t="str">
        <f t="shared" si="25"/>
        <v>NorthBound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26"/>
        <v>https://d0f6bd738d7f1b3e5a7ca70fe4ff75f0.us-east-1.aws.found.io/app/kibana#/discover/Steve-Slow-Train-Analysis-(2080s-and-2083s)?_g=(refreshInterval:(display:Off,pause:!f,section:0,value:0),time:(from:'2017-03-09T13:10:55-0700',mode:absolute,to:'2017-03-09T15:50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7" s="187" t="str">
        <f t="shared" si="27"/>
        <v>N</v>
      </c>
      <c r="X97" s="187">
        <f t="shared" si="28"/>
        <v>1</v>
      </c>
      <c r="Y97" s="62">
        <f t="shared" si="29"/>
        <v>4.5100000000000001E-2</v>
      </c>
      <c r="Z97" s="62">
        <f t="shared" si="30"/>
        <v>23.328800000000001</v>
      </c>
      <c r="AA97" s="62">
        <f t="shared" si="31"/>
        <v>23.2837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2"/>
        <v>0185-09</v>
      </c>
      <c r="AE97" s="85" t="str">
        <f t="shared" si="33"/>
        <v>aws s3 cp s3://rtdc.mdm.uploadarchive.raw/RTDC4020/ "%USERPROFILE%\AppData\Local\Temp\OnboardLogs"\RTDC4020\2017-03-09 --exclude "*" --recursive --include "*20170309*" &amp; "%USERPROFILE%\Documents\GitHub\mrs-test-scripts\Headless Mode &amp; Sideloading\WalkAndUnGZ.bat" "%USERPROFILE%\AppData\Local\Temp\OnboardLogs"\RTDC4020\2017-03-09 &amp; 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</v>
      </c>
      <c r="AF97" s="82" t="str">
        <f t="shared" si="34"/>
        <v>"C:\Program Files (x86)\AstroGrep\AstroGrep.exe" /e /r /s /spath="%USERPROFILE%\AppData\Local\Temp\OnboardLogs" /stypes="app*4020*20170309*" /stext=" 21:.+((SYSTEM_STATE.+slice.+state.+changed )|(ment ac)|(multiple cpu faults)|(system.+state.+changed )|(\[timeout)|(PRM\|1\|D)|(kpr)|(kdp)|(\|lc)|(penalty))"</v>
      </c>
      <c r="AG97" s="1" t="str">
        <f t="shared" si="35"/>
        <v>EC</v>
      </c>
      <c r="AH97" s="86" t="str">
        <f t="shared" si="36"/>
        <v>"%USERPROFILE%\Documents\GitHub\eaglep3\Utilities\RefineRTDCRunTimes.py" --tripid 185-09 --locoid 4020 --swversion DE.1.0.9.0 --startMP 204:451 --initTime 2017-03-09T14:10:55 --startdatetime 2017-03-09T14:15:22 --delay 1 --endMP 204:233288 --enddatetime 2017-03-09T14:50:09 --enforcementcount 0 &gt;&gt;C:\Users\stu\Documents\GitHub\eaglep3-reporting\EC\2017-03-09-refined-times.txt</v>
      </c>
      <c r="AI97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{"issue":{"subject":"","project_id":79,"tracker_id":40,"status_id":1,"priority_id":2,"assigned_to_id":23,"start_date":"2017-03-09","description":"","custom_fields":[{"id":1,"name":"Subdivision","value":"EC"},{"id":4,"name":"Milepost","value":"23.3288"},{"id":17,"name":"Train ID","value":"185-09"},{"id":16,"name":"Locomotive ID","value":"4020"},{"id":130,"name":"Impact","value":""},{"id":150,"name":"Time of Event (Mountain Time)","value":"14:50:09"},{"id":151,"name":"Denver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38"/>
        <v>start /low /b %USERPROFILE%\Documents\GitHub\eaglep3\Utilities\DownloadLogsFromS3.py --loco 4020 --day 2017-03-09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"%USERPROFILE%\AppData\Local\Temp\OnboardLogs"\RTDC4020\*4020*20170309* | grep -SE "(Enforcement Action)|(\[TIMEOUT)|(CHR.+\|PRM\|1\|D.+(SWITCH|SIGNAL).+UNKNOWN)" - &gt;&gt; 2017-03-09-UncaughtWiMAX.txt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733</v>
      </c>
      <c r="B98" s="7">
        <v>4019</v>
      </c>
      <c r="C98" s="21" t="s">
        <v>242</v>
      </c>
      <c r="D98" s="21" t="s">
        <v>282</v>
      </c>
      <c r="E98" s="13">
        <v>42803.625914351855</v>
      </c>
      <c r="F98" s="13">
        <v>42803.632916666669</v>
      </c>
      <c r="G98" s="7">
        <v>1</v>
      </c>
      <c r="H98" s="21" t="s">
        <v>203</v>
      </c>
      <c r="I98" s="13">
        <v>42803.659282407411</v>
      </c>
      <c r="J98" s="7">
        <v>0</v>
      </c>
      <c r="K98" s="98" t="str">
        <f t="shared" si="21"/>
        <v>4019/4020</v>
      </c>
      <c r="L98" s="21" t="str">
        <f>VLOOKUP(A98,'Trips&amp;Operators'!$C$1:$G$99999,5,FALSE)</f>
        <v>BEAM ROSS</v>
      </c>
      <c r="M98" s="6">
        <f t="shared" si="22"/>
        <v>2.6365740741312038E-2</v>
      </c>
      <c r="N98" s="7">
        <f t="shared" si="23"/>
        <v>37.966666667489335</v>
      </c>
      <c r="O98" s="7"/>
      <c r="P98" s="7"/>
      <c r="Q98" s="22"/>
      <c r="R98" s="22"/>
      <c r="S98" s="31">
        <f t="shared" si="24"/>
        <v>1</v>
      </c>
      <c r="T98" s="46" t="str">
        <f t="shared" si="25"/>
        <v>Southbound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26"/>
        <v>https://d0f6bd738d7f1b3e5a7ca70fe4ff75f0.us-east-1.aws.found.io/app/kibana#/discover/Steve-Slow-Train-Analysis-(2080s-and-2083s)?_g=(refreshInterval:(display:Off,pause:!f,section:0,value:0),time:(from:'2017-03-09T14:01:19-0700',mode:absolute,to:'2017-03-09T16:49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8" s="187" t="str">
        <f t="shared" si="27"/>
        <v>N</v>
      </c>
      <c r="X98" s="187">
        <f t="shared" si="28"/>
        <v>1</v>
      </c>
      <c r="Y98" s="62">
        <f t="shared" si="29"/>
        <v>23.2988</v>
      </c>
      <c r="Z98" s="62">
        <f t="shared" si="30"/>
        <v>1.5800000000000002E-2</v>
      </c>
      <c r="AA98" s="62">
        <f t="shared" si="31"/>
        <v>23.283000000000001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2"/>
        <v>0186-09</v>
      </c>
      <c r="AE98" s="85" t="str">
        <f t="shared" si="33"/>
        <v>aws s3 cp s3://rtdc.mdm.uploadarchive.raw/RTDC4019/ "%USERPROFILE%\AppData\Local\Temp\OnboardLogs"\RTDC4019\2017-03-09 --exclude "*" --recursive --include "*20170309*" &amp; "%USERPROFILE%\Documents\GitHub\mrs-test-scripts\Headless Mode &amp; Sideloading\WalkAndUnGZ.bat" "%USERPROFILE%\AppData\Local\Temp\OnboardLogs"\RTDC4019\2017-03-09 &amp; 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</v>
      </c>
      <c r="AF98" s="82" t="str">
        <f t="shared" si="34"/>
        <v>"C:\Program Files (x86)\AstroGrep\AstroGrep.exe" /e /r /s /spath="%USERPROFILE%\AppData\Local\Temp\OnboardLogs" /stypes="app*4019*20170309*" /stext=" 22:.+((SYSTEM_STATE.+slice.+state.+changed )|(ment ac)|(multiple cpu faults)|(system.+state.+changed )|(\[timeout)|(PRM\|1\|D)|(kpr)|(kdp)|(\|lc)|(penalty))"</v>
      </c>
      <c r="AG98" s="1" t="str">
        <f t="shared" si="35"/>
        <v>EC</v>
      </c>
      <c r="AH98" s="86" t="str">
        <f t="shared" si="36"/>
        <v>"%USERPROFILE%\Documents\GitHub\eaglep3\Utilities\RefineRTDCRunTimes.py" --tripid 186-09 --locoid 4019 --swversion DE.1.0.9.0 --startMP 204:232988 --initTime 2017-03-09T15:01:19 --startdatetime 2017-03-09T15:11:24 --delay 1 --endMP 204:158 --enddatetime 2017-03-09T15:49:22 --enforcementcount 0 &gt;&gt;C:\Users\stu\Documents\GitHub\eaglep3-reporting\EC\2017-03-09-refined-times.txt</v>
      </c>
      <c r="AI98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{"issue":{"subject":"","project_id":79,"tracker_id":40,"status_id":1,"priority_id":2,"assigned_to_id":23,"start_date":"2017-03-09","description":"","custom_fields":[{"id":1,"name":"Subdivision","value":"EC"},{"id":4,"name":"Milepost","value":"0.0158"},{"id":17,"name":"Train ID","value":"186-09"},{"id":16,"name":"Locomotive ID","value":"4019"},{"id":130,"name":"Impact","value":""},{"id":150,"name":"Time of Event (Mountain Time)","value":"15:49:22"},{"id":151,"name":"Denver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38"/>
        <v>start /low /b %USERPROFILE%\Documents\GitHub\eaglep3\Utilities\DownloadLogsFromS3.py --loco 4019 --day 2017-03-09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"%USERPROFILE%\AppData\Local\Temp\OnboardLogs"\RTDC4019\*4019*20170309* | grep -SE "(Enforcement Action)|(\[TIMEOUT)|(CHR.+\|PRM\|1\|D.+(SWITCH|SIGNAL).+UNKNOWN)" - &gt;&gt; 2017-03-09-UncaughtWiMAX.txt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727</v>
      </c>
      <c r="B99" s="7">
        <v>4016</v>
      </c>
      <c r="C99" s="21" t="s">
        <v>242</v>
      </c>
      <c r="D99" s="21" t="s">
        <v>277</v>
      </c>
      <c r="E99" s="13">
        <v>42803.597754629627</v>
      </c>
      <c r="F99" s="13">
        <v>42803.604629629626</v>
      </c>
      <c r="G99" s="7">
        <v>1</v>
      </c>
      <c r="H99" s="21" t="s">
        <v>248</v>
      </c>
      <c r="I99" s="13">
        <v>42803.630520833336</v>
      </c>
      <c r="J99" s="7">
        <v>0</v>
      </c>
      <c r="K99" s="98" t="str">
        <f t="shared" si="21"/>
        <v>4015/4016</v>
      </c>
      <c r="L99" s="21" t="str">
        <f>VLOOKUP(A99,'Trips&amp;Operators'!$C$1:$G$99999,5,FALSE)</f>
        <v>BRANDNER MELINDA</v>
      </c>
      <c r="M99" s="6">
        <f t="shared" si="22"/>
        <v>2.5891203709761612E-2</v>
      </c>
      <c r="N99" s="7">
        <f t="shared" si="23"/>
        <v>37.283333342056721</v>
      </c>
      <c r="O99" s="7"/>
      <c r="P99" s="7"/>
      <c r="Q99" s="22"/>
      <c r="R99" s="22"/>
      <c r="S99" s="31">
        <f t="shared" si="24"/>
        <v>1</v>
      </c>
      <c r="T99" s="46" t="str">
        <f t="shared" si="25"/>
        <v>NorthBound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26"/>
        <v>https://d0f6bd738d7f1b3e5a7ca70fe4ff75f0.us-east-1.aws.found.io/app/kibana#/discover/Steve-Slow-Train-Analysis-(2080s-and-2083s)?_g=(refreshInterval:(display:Off,pause:!f,section:0,value:0),time:(from:'2017-03-09T13:20:46-0700',mode:absolute,to:'2017-03-09T16:07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9" s="187" t="str">
        <f t="shared" si="27"/>
        <v>N</v>
      </c>
      <c r="X99" s="187">
        <f t="shared" si="28"/>
        <v>1</v>
      </c>
      <c r="Y99" s="62">
        <f t="shared" si="29"/>
        <v>4.7699999999999999E-2</v>
      </c>
      <c r="Z99" s="62">
        <f t="shared" si="30"/>
        <v>23.329699999999999</v>
      </c>
      <c r="AA99" s="62">
        <f t="shared" si="31"/>
        <v>23.282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2"/>
        <v>0187-09</v>
      </c>
      <c r="AE99" s="85" t="str">
        <f t="shared" si="33"/>
        <v>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 &amp; aws s3 cp s3://rtdc.mdm.uploadarchive.raw/RTDC4016/ "%USERPROFILE%\AppData\Local\Temp\OnboardLogs"\RTDC4016\2017-03-10 --exclude "*" --recursive --include "*20170310*" &amp; "%USERPROFILE%\Documents\GitHub\mrs-test-scripts\Headless Mode &amp; Sideloading\WalkAndUnGZ.bat" "%USERPROFILE%\AppData\Local\Temp\OnboardLogs"\RTDC4016\2017-03-10</v>
      </c>
      <c r="AF99" s="82" t="str">
        <f t="shared" si="34"/>
        <v>"C:\Program Files (x86)\AstroGrep\AstroGrep.exe" /e /r /s /spath="%USERPROFILE%\AppData\Local\Temp\OnboardLogs" /stypes="app*4016*20170309*" /stext=" 22:.+((SYSTEM_STATE.+slice.+state.+changed )|(ment ac)|(multiple cpu faults)|(system.+state.+changed )|(\[timeout)|(PRM\|1\|D)|(kpr)|(kdp)|(\|lc)|(penalty))"</v>
      </c>
      <c r="AG99" s="1" t="str">
        <f t="shared" si="35"/>
        <v>EC</v>
      </c>
      <c r="AH99" s="86" t="str">
        <f t="shared" si="36"/>
        <v>"%USERPROFILE%\Documents\GitHub\eaglep3\Utilities\RefineRTDCRunTimes.py" --tripid 187-09 --locoid 4016 --swversion DE.1.0.9.0 --startMP 204:477 --initTime 2017-03-09T14:20:46 --startdatetime 2017-03-09T14:30:40 --delay 1 --endMP 204:233297 --enddatetime 2017-03-09T15:07:57 --enforcementcount 0 &gt;&gt;C:\Users\stu\Documents\GitHub\eaglep3-reporting\EC\2017-03-09-refined-times.txt</v>
      </c>
      <c r="AI99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{"issue":{"subject":"","project_id":79,"tracker_id":40,"status_id":1,"priority_id":2,"assigned_to_id":23,"start_date":"2017-03-09","description":"","custom_fields":[{"id":1,"name":"Subdivision","value":"EC"},{"id":4,"name":"Milepost","value":"23.3297"},{"id":17,"name":"Train ID","value":"187-09"},{"id":16,"name":"Locomotive ID","value":"4016"},{"id":130,"name":"Impact","value":""},{"id":150,"name":"Time of Event (Mountain Time)","value":"15:07:57"},{"id":151,"name":"Denver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38"/>
        <v>start /low /b %USERPROFILE%\Documents\GitHub\eaglep3\Utilities\DownloadLogsFromS3.py --loco 4016 --day 2017-03-09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"%USERPROFILE%\AppData\Local\Temp\OnboardLogs"\RTDC4016\*4016*20170309* | grep -SE "(Enforcement Action)|(\[TIMEOUT)|(CHR.+\|PRM\|1\|D.+(SWITCH|SIGNAL).+UNKNOWN)" - &gt;&gt; 2017-03-09-UncaughtWiMAX.txt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598</v>
      </c>
      <c r="B100" s="7">
        <v>4015</v>
      </c>
      <c r="C100" s="21" t="s">
        <v>242</v>
      </c>
      <c r="D100" s="21" t="s">
        <v>837</v>
      </c>
      <c r="E100" s="13">
        <v>42803.63826388889</v>
      </c>
      <c r="F100" s="13">
        <v>42803.643240740741</v>
      </c>
      <c r="G100" s="7">
        <v>1</v>
      </c>
      <c r="H100" s="21" t="s">
        <v>857</v>
      </c>
      <c r="I100" s="13">
        <v>42803.673946759256</v>
      </c>
      <c r="J100" s="7">
        <v>0</v>
      </c>
      <c r="K100" s="98" t="str">
        <f t="shared" si="21"/>
        <v>4015/4016</v>
      </c>
      <c r="L100" s="21" t="str">
        <f>VLOOKUP(A100,'Trips&amp;Operators'!$C$1:$G$99999,5,FALSE)</f>
        <v>BRANDNER MELINDA</v>
      </c>
      <c r="M100" s="6">
        <f t="shared" si="22"/>
        <v>3.0706018515047617E-2</v>
      </c>
      <c r="N100" s="7">
        <f t="shared" si="23"/>
        <v>44.216666661668569</v>
      </c>
      <c r="O100" s="7"/>
      <c r="P100" s="7"/>
      <c r="Q100" s="22"/>
      <c r="R100" s="22"/>
      <c r="S100" s="31">
        <f t="shared" si="24"/>
        <v>1</v>
      </c>
      <c r="T100" s="46" t="str">
        <f t="shared" si="25"/>
        <v>Southbound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26"/>
        <v>https://d0f6bd738d7f1b3e5a7ca70fe4ff75f0.us-east-1.aws.found.io/app/kibana#/discover/Steve-Slow-Train-Analysis-(2080s-and-2083s)?_g=(refreshInterval:(display:Off,pause:!f,section:0,value:0),time:(from:'2017-03-09T14:19:06-0700',mode:absolute,to:'2017-03-09T17:10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0" s="187" t="str">
        <f t="shared" si="27"/>
        <v>N</v>
      </c>
      <c r="X100" s="187">
        <f t="shared" si="28"/>
        <v>1</v>
      </c>
      <c r="Y100" s="62">
        <f t="shared" si="29"/>
        <v>23.298500000000001</v>
      </c>
      <c r="Z100" s="62">
        <f t="shared" si="30"/>
        <v>1.29E-2</v>
      </c>
      <c r="AA100" s="62">
        <f t="shared" si="31"/>
        <v>23.285600000000002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2"/>
        <v>0188-09</v>
      </c>
      <c r="AE100" s="85" t="str">
        <f t="shared" si="33"/>
        <v>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 &amp; aws s3 cp s3://rtdc.mdm.uploadarchive.raw/RTDC4015/ "%USERPROFILE%\AppData\Local\Temp\OnboardLogs"\RTDC4015\2017-03-10 --exclude "*" --recursive --include "*20170310*" &amp; "%USERPROFILE%\Documents\GitHub\mrs-test-scripts\Headless Mode &amp; Sideloading\WalkAndUnGZ.bat" "%USERPROFILE%\AppData\Local\Temp\OnboardLogs"\RTDC4015\2017-03-10</v>
      </c>
      <c r="AF100" s="82" t="str">
        <f t="shared" si="34"/>
        <v>"C:\Program Files (x86)\AstroGrep\AstroGrep.exe" /e /r /s /spath="%USERPROFILE%\AppData\Local\Temp\OnboardLogs" /stypes="app*4015*20170309*" /stext=" 23:.+((SYSTEM_STATE.+slice.+state.+changed )|(ment ac)|(multiple cpu faults)|(system.+state.+changed )|(\[timeout)|(PRM\|1\|D)|(kpr)|(kdp)|(\|lc)|(penalty))"</v>
      </c>
      <c r="AG100" s="1" t="str">
        <f t="shared" si="35"/>
        <v>EC</v>
      </c>
      <c r="AH100" s="86" t="str">
        <f t="shared" si="36"/>
        <v>"%USERPROFILE%\Documents\GitHub\eaglep3\Utilities\RefineRTDCRunTimes.py" --tripid 188-09 --locoid 4015 --swversion DE.1.0.9.0 --startMP 204:232985 --initTime 2017-03-09T15:19:06 --startdatetime 2017-03-09T15:26:16 --delay 1 --endMP 204:129 --enddatetime 2017-03-09T16:10:29 --enforcementcount 0 &gt;&gt;C:\Users\stu\Documents\GitHub\eaglep3-reporting\EC\2017-03-09-refined-times.txt</v>
      </c>
      <c r="AI100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{"issue":{"subject":"","project_id":79,"tracker_id":40,"status_id":1,"priority_id":2,"assigned_to_id":23,"start_date":"2017-03-09","description":"","custom_fields":[{"id":1,"name":"Subdivision","value":"EC"},{"id":4,"name":"Milepost","value":"0.0129"},{"id":17,"name":"Train ID","value":"188-09"},{"id":16,"name":"Locomotive ID","value":"4015"},{"id":130,"name":"Impact","value":""},{"id":150,"name":"Time of Event (Mountain Time)","value":"16:10:29"},{"id":151,"name":"Denver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38"/>
        <v>start /low /b %USERPROFILE%\Documents\GitHub\eaglep3\Utilities\DownloadLogsFromS3.py --loco 4015 --day 2017-03-09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"%USERPROFILE%\AppData\Local\Temp\OnboardLogs"\RTDC4015\*4015*20170309* | grep -SE "(Enforcement Action)|(\[TIMEOUT)|(CHR.+\|PRM\|1\|D.+(SWITCH|SIGNAL).+UNKNOWN)" - &gt;&gt; 2017-03-09-UncaughtWiMAX.txt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730</v>
      </c>
      <c r="B101" s="7">
        <v>4003</v>
      </c>
      <c r="C101" s="21" t="s">
        <v>242</v>
      </c>
      <c r="D101" s="21" t="s">
        <v>269</v>
      </c>
      <c r="E101" s="13">
        <v>42803.611458333333</v>
      </c>
      <c r="F101" s="13">
        <v>42803.614942129629</v>
      </c>
      <c r="G101" s="7">
        <v>2</v>
      </c>
      <c r="H101" s="21" t="s">
        <v>249</v>
      </c>
      <c r="I101" s="13">
        <v>42803.639432870368</v>
      </c>
      <c r="J101" s="7">
        <v>0</v>
      </c>
      <c r="K101" s="98" t="str">
        <f t="shared" si="21"/>
        <v>4003/4004</v>
      </c>
      <c r="L101" s="21" t="str">
        <f>VLOOKUP(A101,'Trips&amp;Operators'!$C$1:$G$99999,5,FALSE)</f>
        <v>MOSES BRADLEY</v>
      </c>
      <c r="M101" s="6">
        <f t="shared" si="22"/>
        <v>2.4490740739565808E-2</v>
      </c>
      <c r="N101" s="7">
        <f t="shared" si="23"/>
        <v>35.266666664974764</v>
      </c>
      <c r="O101" s="7"/>
      <c r="P101" s="7"/>
      <c r="Q101" s="22"/>
      <c r="R101" s="22"/>
      <c r="S101" s="31">
        <f t="shared" si="24"/>
        <v>1</v>
      </c>
      <c r="T101" s="46" t="str">
        <f t="shared" si="25"/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26"/>
        <v>https://d0f6bd738d7f1b3e5a7ca70fe4ff75f0.us-east-1.aws.found.io/app/kibana#/discover/Steve-Slow-Train-Analysis-(2080s-and-2083s)?_g=(refreshInterval:(display:Off,pause:!f,section:0,value:0),time:(from:'2017-03-09T13:40:30-0700',mode:absolute,to:'2017-03-09T16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1" s="187" t="str">
        <f t="shared" si="27"/>
        <v>N</v>
      </c>
      <c r="X101" s="187">
        <f t="shared" si="28"/>
        <v>1</v>
      </c>
      <c r="Y101" s="62">
        <f t="shared" si="29"/>
        <v>4.4200000000000003E-2</v>
      </c>
      <c r="Z101" s="62">
        <f t="shared" si="30"/>
        <v>23.328900000000001</v>
      </c>
      <c r="AA101" s="62">
        <f t="shared" si="31"/>
        <v>23.284700000000001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2"/>
        <v>0189-09</v>
      </c>
      <c r="AE101" s="85" t="str">
        <f t="shared" si="33"/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AF101" s="82" t="str">
        <f t="shared" si="34"/>
        <v>"C:\Program Files (x86)\AstroGrep\AstroGrep.exe" /e /r /s /spath="%USERPROFILE%\AppData\Local\Temp\OnboardLogs" /stypes="app*4003*20170309*" /stext=" 22:.+((SYSTEM_STATE.+slice.+state.+changed )|(ment ac)|(multiple cpu faults)|(system.+state.+changed )|(\[timeout)|(PRM\|1\|D)|(kpr)|(kdp)|(\|lc)|(penalty))"</v>
      </c>
      <c r="AG101" s="1" t="str">
        <f t="shared" si="35"/>
        <v>EC</v>
      </c>
      <c r="AH101" s="86" t="str">
        <f t="shared" si="36"/>
        <v>"%USERPROFILE%\Documents\GitHub\eaglep3\Utilities\RefineRTDCRunTimes.py" --tripid 189-09 --locoid 4003 --swversion DE.1.0.9.0 --startMP 204:442 --initTime 2017-03-09T14:40:30 --startdatetime 2017-03-09T14:45:31 --delay 2 --endMP 204:233289 --enddatetime 2017-03-09T15:20:47 --enforcementcount 0 &gt;&gt;C:\Users\stu\Documents\GitHub\eaglep3-reporting\EC\2017-03-09-refined-times.txt</v>
      </c>
      <c r="AI101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{"issue":{"subject":"","project_id":79,"tracker_id":40,"status_id":1,"priority_id":2,"assigned_to_id":23,"start_date":"2017-03-09","description":"","custom_fields":[{"id":1,"name":"Subdivision","value":"EC"},{"id":4,"name":"Milepost","value":"23.3289"},{"id":17,"name":"Train ID","value":"189-09"},{"id":16,"name":"Locomotive ID","value":"4003"},{"id":130,"name":"Impact","value":""},{"id":150,"name":"Time of Event (Mountain Time)","value":"15:20:47"},{"id":151,"name":"Denver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38"/>
        <v>start /low /b %USERPROFILE%\Documents\GitHub\eaglep3\Utilities\DownloadLogsFromS3.py --loco 4003 --day 2017-03-09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"%USERPROFILE%\AppData\Local\Temp\OnboardLogs"\RTDC4003\*4003*20170309* | grep -SE "(Enforcement Action)|(\[TIMEOUT)|(CHR.+\|PRM\|1\|D.+(SWITCH|SIGNAL).+UNKNOWN)" - &gt;&gt; 2017-03-09-UncaughtWiMAX.txt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736</v>
      </c>
      <c r="B102" s="7">
        <v>4004</v>
      </c>
      <c r="C102" s="21" t="s">
        <v>242</v>
      </c>
      <c r="D102" s="21" t="s">
        <v>845</v>
      </c>
      <c r="E102" s="13">
        <v>42803.649340277778</v>
      </c>
      <c r="F102" s="13">
        <v>42803.653645833336</v>
      </c>
      <c r="G102" s="7">
        <v>1</v>
      </c>
      <c r="H102" s="21" t="s">
        <v>202</v>
      </c>
      <c r="I102" s="13">
        <v>42803.681064814817</v>
      </c>
      <c r="J102" s="7">
        <v>0</v>
      </c>
      <c r="K102" s="98" t="str">
        <f t="shared" si="21"/>
        <v>4003/4004</v>
      </c>
      <c r="L102" s="21" t="str">
        <f>VLOOKUP(A102,'Trips&amp;Operators'!$C$1:$G$99999,5,FALSE)</f>
        <v>MOSES BRADLEY</v>
      </c>
      <c r="M102" s="6">
        <f t="shared" si="22"/>
        <v>2.7418981480877846E-2</v>
      </c>
      <c r="N102" s="7">
        <f t="shared" si="23"/>
        <v>39.483333332464099</v>
      </c>
      <c r="O102" s="7"/>
      <c r="P102" s="7"/>
      <c r="Q102" s="22"/>
      <c r="R102" s="22"/>
      <c r="S102" s="31">
        <f t="shared" si="24"/>
        <v>1</v>
      </c>
      <c r="T102" s="46" t="str">
        <f t="shared" si="25"/>
        <v>Southbound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26"/>
        <v>https://d0f6bd738d7f1b3e5a7ca70fe4ff75f0.us-east-1.aws.found.io/app/kibana#/discover/Steve-Slow-Train-Analysis-(2080s-and-2083s)?_g=(refreshInterval:(display:Off,pause:!f,section:0,value:0),time:(from:'2017-03-09T14:35:03-0700',mode:absolute,to:'2017-03-09T17:20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2" s="187" t="str">
        <f t="shared" si="27"/>
        <v>N</v>
      </c>
      <c r="X102" s="187">
        <f t="shared" si="28"/>
        <v>1</v>
      </c>
      <c r="Y102" s="62">
        <f t="shared" si="29"/>
        <v>23.2959</v>
      </c>
      <c r="Z102" s="62">
        <f t="shared" si="30"/>
        <v>1.52E-2</v>
      </c>
      <c r="AA102" s="62">
        <f t="shared" si="31"/>
        <v>23.2807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2"/>
        <v>0190-09</v>
      </c>
      <c r="AE102" s="85" t="str">
        <f t="shared" si="33"/>
        <v>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 &amp; 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</v>
      </c>
      <c r="AF102" s="82" t="str">
        <f t="shared" si="34"/>
        <v>"C:\Program Files (x86)\AstroGrep\AstroGrep.exe" /e /r /s /spath="%USERPROFILE%\AppData\Local\Temp\OnboardLogs" /stypes="app*4004*20170309*" /stext=" 23:.+((SYSTEM_STATE.+slice.+state.+changed )|(ment ac)|(multiple cpu faults)|(system.+state.+changed )|(\[timeout)|(PRM\|1\|D)|(kpr)|(kdp)|(\|lc)|(penalty))"</v>
      </c>
      <c r="AG102" s="1" t="str">
        <f t="shared" si="35"/>
        <v>EC</v>
      </c>
      <c r="AH102" s="86" t="str">
        <f t="shared" si="36"/>
        <v>"%USERPROFILE%\Documents\GitHub\eaglep3\Utilities\RefineRTDCRunTimes.py" --tripid 190-09 --locoid 4004 --swversion DE.1.0.9.0 --startMP 204:232959 --initTime 2017-03-09T15:35:03 --startdatetime 2017-03-09T15:41:15 --delay 1 --endMP 204:152 --enddatetime 2017-03-09T16:20:44 --enforcementcount 0 &gt;&gt;C:\Users\stu\Documents\GitHub\eaglep3-reporting\EC\2017-03-09-refined-times.txt</v>
      </c>
      <c r="AI102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{"issue":{"subject":"","project_id":79,"tracker_id":40,"status_id":1,"priority_id":2,"assigned_to_id":23,"start_date":"2017-03-09","description":"","custom_fields":[{"id":1,"name":"Subdivision","value":"EC"},{"id":4,"name":"Milepost","value":"0.0152"},{"id":17,"name":"Train ID","value":"190-09"},{"id":16,"name":"Locomotive ID","value":"4004"},{"id":130,"name":"Impact","value":""},{"id":150,"name":"Time of Event (Mountain Time)","value":"16:20:44"},{"id":151,"name":"Denver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38"/>
        <v>start /low /b %USERPROFILE%\Documents\GitHub\eaglep3\Utilities\DownloadLogsFromS3.py --loco 4004 --day 2017-03-09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"%USERPROFILE%\AppData\Local\Temp\OnboardLogs"\RTDC4004\*4004*20170309* | grep -SE "(Enforcement Action)|(\[TIMEOUT)|(CHR.+\|PRM\|1\|D.+(SWITCH|SIGNAL).+UNKNOWN)" - &gt;&gt; 2017-03-09-UncaughtWiMAX.txt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732</v>
      </c>
      <c r="B103" s="7">
        <v>4029</v>
      </c>
      <c r="C103" s="21" t="s">
        <v>242</v>
      </c>
      <c r="D103" s="21" t="s">
        <v>263</v>
      </c>
      <c r="E103" s="13">
        <v>42803.621435185189</v>
      </c>
      <c r="F103" s="13">
        <v>42803.625173611108</v>
      </c>
      <c r="G103" s="7">
        <v>1</v>
      </c>
      <c r="H103" s="21" t="s">
        <v>463</v>
      </c>
      <c r="I103" s="13">
        <v>42803.65042824074</v>
      </c>
      <c r="J103" s="7">
        <v>0</v>
      </c>
      <c r="K103" s="98" t="str">
        <f t="shared" si="21"/>
        <v>4029/4030</v>
      </c>
      <c r="L103" s="21" t="str">
        <f>VLOOKUP(A103,'Trips&amp;Operators'!$C$1:$G$99999,5,FALSE)</f>
        <v>BRUDER RICHARD</v>
      </c>
      <c r="M103" s="6">
        <f t="shared" si="22"/>
        <v>2.5254629632399883E-2</v>
      </c>
      <c r="N103" s="7">
        <f t="shared" si="23"/>
        <v>36.366666670655832</v>
      </c>
      <c r="O103" s="7"/>
      <c r="P103" s="7"/>
      <c r="Q103" s="22"/>
      <c r="R103" s="22"/>
      <c r="S103" s="31">
        <f t="shared" si="24"/>
        <v>1</v>
      </c>
      <c r="T103" s="46" t="str">
        <f t="shared" si="25"/>
        <v>NorthBound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26"/>
        <v>https://d0f6bd738d7f1b3e5a7ca70fe4ff75f0.us-east-1.aws.found.io/app/kibana#/discover/Steve-Slow-Train-Analysis-(2080s-and-2083s)?_g=(refreshInterval:(display:Off,pause:!f,section:0,value:0),time:(from:'2017-03-09T13:54:52-0700',mode:absolute,to:'2017-03-09T16:36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3" s="187" t="str">
        <f t="shared" si="27"/>
        <v>N</v>
      </c>
      <c r="X103" s="187">
        <f t="shared" si="28"/>
        <v>1</v>
      </c>
      <c r="Y103" s="62">
        <f t="shared" si="29"/>
        <v>4.7300000000000002E-2</v>
      </c>
      <c r="Z103" s="62">
        <f t="shared" si="30"/>
        <v>23.3308</v>
      </c>
      <c r="AA103" s="62">
        <f t="shared" si="31"/>
        <v>23.2835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2"/>
        <v>0191-09</v>
      </c>
      <c r="AE103" s="85" t="str">
        <f t="shared" si="33"/>
        <v>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 &amp; 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</v>
      </c>
      <c r="AF103" s="82" t="str">
        <f t="shared" si="34"/>
        <v>"C:\Program Files (x86)\AstroGrep\AstroGrep.exe" /e /r /s /spath="%USERPROFILE%\AppData\Local\Temp\OnboardLogs" /stypes="app*4029*20170309*" /stext=" 22:.+((SYSTEM_STATE.+slice.+state.+changed )|(ment ac)|(multiple cpu faults)|(system.+state.+changed )|(\[timeout)|(PRM\|1\|D)|(kpr)|(kdp)|(\|lc)|(penalty))"</v>
      </c>
      <c r="AG103" s="1" t="str">
        <f t="shared" si="35"/>
        <v>EC</v>
      </c>
      <c r="AH103" s="86" t="str">
        <f t="shared" si="36"/>
        <v>"%USERPROFILE%\Documents\GitHub\eaglep3\Utilities\RefineRTDCRunTimes.py" --tripid 191-09 --locoid 4029 --swversion DE.1.0.9.0 --startMP 204:473 --initTime 2017-03-09T14:54:52 --startdatetime 2017-03-09T15:00:15 --delay 1 --endMP 204:233308 --enddatetime 2017-03-09T15:36:37 --enforcementcount 0 &gt;&gt;C:\Users\stu\Documents\GitHub\eaglep3-reporting\EC\2017-03-09-refined-times.txt</v>
      </c>
      <c r="AI103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{"issue":{"subject":"","project_id":79,"tracker_id":40,"status_id":1,"priority_id":2,"assigned_to_id":23,"start_date":"2017-03-09","description":"","custom_fields":[{"id":1,"name":"Subdivision","value":"EC"},{"id":4,"name":"Milepost","value":"23.3308"},{"id":17,"name":"Train ID","value":"191-09"},{"id":16,"name":"Locomotive ID","value":"4029"},{"id":130,"name":"Impact","value":""},{"id":150,"name":"Time of Event (Mountain Time)","value":"15:36:37"},{"id":151,"name":"Denver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38"/>
        <v>start /low /b %USERPROFILE%\Documents\GitHub\eaglep3\Utilities\DownloadLogsFromS3.py --loco 4029 --day 2017-03-09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"%USERPROFILE%\AppData\Local\Temp\OnboardLogs"\RTDC4029\*4029*20170309* | grep -SE "(Enforcement Action)|(\[TIMEOUT)|(CHR.+\|PRM\|1\|D.+(SWITCH|SIGNAL).+UNKNOWN)" - &gt;&gt; 2017-03-09-UncaughtWiMAX.txt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739</v>
      </c>
      <c r="B104" s="7">
        <v>4030</v>
      </c>
      <c r="C104" s="21" t="s">
        <v>242</v>
      </c>
      <c r="D104" s="21" t="s">
        <v>263</v>
      </c>
      <c r="E104" s="13">
        <v>42803.621435185189</v>
      </c>
      <c r="F104" s="13">
        <v>42803.66065972222</v>
      </c>
      <c r="G104" s="7">
        <v>1</v>
      </c>
      <c r="H104" s="21" t="s">
        <v>463</v>
      </c>
      <c r="I104" s="13">
        <v>42803.662349537037</v>
      </c>
      <c r="J104" s="7">
        <v>0</v>
      </c>
      <c r="K104" s="98" t="str">
        <f t="shared" ref="K104" si="39">IF(ISEVEN(B104),(B104-1)&amp;"/"&amp;B104,B104&amp;"/"&amp;(B104+1))</f>
        <v>4029/4030</v>
      </c>
      <c r="L104" s="21" t="str">
        <f>VLOOKUP(A104,'Trips&amp;Operators'!$C$1:$G$99999,5,FALSE)</f>
        <v>BRUDER RICHARD</v>
      </c>
      <c r="M104" s="6">
        <f t="shared" ref="M104" si="40">I104-F104</f>
        <v>1.6898148169275373E-3</v>
      </c>
      <c r="N104" s="7"/>
      <c r="O104" s="7"/>
      <c r="P104" s="7">
        <v>1</v>
      </c>
      <c r="Q104" s="22"/>
      <c r="R104" s="22" t="s">
        <v>1014</v>
      </c>
      <c r="S104" s="31">
        <f t="shared" ref="S104" si="41">SUM(U104:U104)/IF(AG104="EC",12,1)</f>
        <v>0</v>
      </c>
      <c r="T104" s="46" t="str">
        <f t="shared" ref="T104" si="42">IF(ISEVEN(LEFT(AD104,4)),"Southbound","NorthBound")</f>
        <v>Southbound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0</v>
      </c>
      <c r="V104" s="186" t="str">
        <f t="shared" ref="V104" si="43"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-03-09T13:54:52-0700',mode:absolute,to:'2017-03-09T16:53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4" s="187" t="str">
        <f t="shared" ref="W104" si="44">IF(AA104&lt;IF(AG104="EC",23,5.65),"Y","N")</f>
        <v>N</v>
      </c>
      <c r="X104" s="187">
        <f t="shared" ref="X104:X108" si="45">VALUE(LEFT(AD104,4))-VALUE(LEFT(AD103,4))</f>
        <v>1</v>
      </c>
      <c r="Y104" s="62">
        <f t="shared" ref="Y104" si="46">RIGHT(D104,LEN(D104)-4)/10000</f>
        <v>4.7300000000000002E-2</v>
      </c>
      <c r="Z104" s="62">
        <f t="shared" ref="Z104" si="47">RIGHT(H104,LEN(H104)-4)/10000</f>
        <v>23.3308</v>
      </c>
      <c r="AA104" s="62">
        <f t="shared" ref="AA104" si="48">ABS(Z104-Y104)</f>
        <v>23.2835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ref="AD104" si="49">IF(LEN(A104)=6,"0"&amp;A104,A104)</f>
        <v>0192-09</v>
      </c>
      <c r="AE104" s="85" t="str">
        <f t="shared" ref="AE104" si="50"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 &amp; 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</v>
      </c>
      <c r="AF104" s="82" t="str">
        <f t="shared" ref="AF104" si="51"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/stypes="app*4030*20170309*" /stext=" 22:.+((SYSTEM_STATE.+slice.+state.+changed )|(ment ac)|(multiple cpu faults)|(system.+state.+changed )|(\[timeout)|(PRM\|1\|D)|(kpr)|(kdp)|(\|lc)|(penalty))"</v>
      </c>
      <c r="AG104" s="1" t="str">
        <f t="shared" ref="AG104" si="52">IFERROR(IF(VALUE(LEFT(AD104,2))&lt;=2,"EC",IF(OR(VALUE(LEFT(AD104,2))=8,VALUE(LEFT(AD104,2))=18),"NW","Other")),"Other")</f>
        <v>EC</v>
      </c>
      <c r="AH104" s="86" t="str">
        <f t="shared" ref="AH104" si="53">refinertdcruntimes&amp;" --tripid "&amp;A104&amp;" --locoid "&amp;B104&amp;" --swversion "&amp;C104&amp;" --startMP "&amp;D104&amp;" --initTime "&amp;TEXT(E104,"yyyy-mm-ddTHH:MM:SS")&amp;" --startdatetime "&amp;TEXT(F104,"yyyy-mm-ddTHH:MM:SS")&amp;" --delay "&amp;G104&amp;" --endMP "&amp;H104&amp;" --enddatetime "&amp;TEXT(I104,"yyyy-mm-ddTHH:MM:SS")&amp;" --enforcementcount "&amp;J104&amp;IF(outputrefinedruntimes," &gt;&gt;"&amp;RefinedRTDCRunTimesOutputFile,"")</f>
        <v>"%USERPROFILE%\Documents\GitHub\eaglep3\Utilities\RefineRTDCRunTimes.py" --tripid 192-09 --locoid 4030 --swversion DE.1.0.9.0 --startMP 204:473 --initTime 2017-03-09T14:54:52 --startdatetime 2017-03-09T15:51:21 --delay 1 --endMP 204:233308 --enddatetime 2017-03-09T15:53:47 --enforcementcount 0 &gt;&gt;C:\Users\stu\Documents\GitHub\eaglep3-reporting\EC\2017-03-09-refined-times.txt</v>
      </c>
      <c r="AI104" s="108" t="str">
        <f t="shared" ref="AI104" si="54">"echo {""issue"":{""subject"":"""&amp;R104&amp;""",""project_id"":79,""tracker_id"":40,""status_id"":"&amp;redmine_status&amp;",""priority_id"":"&amp;redmine_priority&amp;",""assigned_to_id"":"&amp;redmine_assignee&amp;",""start_date"":"""&amp;TEXT(I104,"YYYY-mm-dd")&amp;""",""description"":"""&amp;AJ104&amp;""",""custom_fields"":[{""id"":1,""name"":""Subdivision"",""value"":"""&amp;AG104&amp;"""},{""id"":4,""name"":""Milepost"",""value"":"""&amp;Z104&amp;"""},{""id"":17,""name"":""Train ID"",""value"":"""&amp;A104&amp;"""},{""id"":16,""name"":""Locomotive ID"",""value"":"""&amp;B104&amp;"""},{""id"":130,""name"":""Impact"",""value"":"""&amp;AK104&amp;"""},{""id"":150,""name"":""Time of Event (Mountain Time)"",""value"":"""&amp;TEXT(I104,"hh:mm:ss")&amp;"""},{""id"":151,""name"":""Denver Issue ID"",""value"":"""&amp;"""},{""id"":178,""name"":""Operational Impact"",""value"":"""&amp;redmine_op_impact&amp;"""},{""id"":179,""name"":""Denver Segment Assigned"",""value"":"""&amp;AL104&amp;"""}]}}"&amp;"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failure","project_id":79,"tracker_id":40,"status_id":1,"priority_id":2,"assigned_to_id":23,"start_date":"2017-03-09","description":"","custom_fields":[{"id":1,"name":"Subdivision","value":"EC"},{"id":4,"name":"Milepost","value":"23.3308"},{"id":17,"name":"Train ID","value":"192-09"},{"id":16,"name":"Locomotive ID","value":"4030"},{"id":130,"name":"Impact","value":""},{"id":150,"name":"Time of Event (Mountain Time)","value":"15:53:47"},{"id":151,"name":"Denver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ref="AM104" si="55">"start /low /b "&amp;dls3logs&amp;" --loco "&amp;B104&amp;" --day "&amp;TEXT(F104,"YYYY-MM-DD")</f>
        <v>start /low /b %USERPROFILE%\Documents\GitHub\eaglep3\Utilities\DownloadLogsFromS3.py --loco 4030 --day 2017-03-09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"%USERPROFILE%\AppData\Local\Temp\OnboardLogs"\RTDC4030\*4030*20170309* | grep -SE "(Enforcement Action)|(\[TIMEOUT)|(CHR.+\|PRM\|1\|D.+(SWITCH|SIGNAL).+UNKNOWN)" - &gt;&gt; 2017-03-09-UncaughtWiMAX.txt</v>
      </c>
    </row>
    <row r="105" spans="1:91" s="20" customFormat="1" x14ac:dyDescent="0.25">
      <c r="A105" s="33" t="s">
        <v>735</v>
      </c>
      <c r="B105" s="7">
        <v>4040</v>
      </c>
      <c r="C105" s="21" t="s">
        <v>242</v>
      </c>
      <c r="D105" s="21" t="s">
        <v>227</v>
      </c>
      <c r="E105" s="13">
        <v>42803.631469907406</v>
      </c>
      <c r="F105" s="13">
        <v>42803.635625000003</v>
      </c>
      <c r="G105" s="7">
        <v>1</v>
      </c>
      <c r="H105" s="21" t="s">
        <v>261</v>
      </c>
      <c r="I105" s="13">
        <v>42803.660821759258</v>
      </c>
      <c r="J105" s="7">
        <v>0</v>
      </c>
      <c r="K105" s="98" t="str">
        <f t="shared" si="21"/>
        <v>4039/4040</v>
      </c>
      <c r="L105" s="21" t="str">
        <f>VLOOKUP(A105,'Trips&amp;Operators'!$C$1:$G$99999,5,FALSE)</f>
        <v>SMITH MICHAEL</v>
      </c>
      <c r="M105" s="6">
        <f t="shared" si="22"/>
        <v>2.5196759255777579E-2</v>
      </c>
      <c r="N105" s="7">
        <f t="shared" si="23"/>
        <v>36.283333328319713</v>
      </c>
      <c r="O105" s="7"/>
      <c r="P105" s="7"/>
      <c r="Q105" s="22"/>
      <c r="R105" s="22"/>
      <c r="S105" s="31">
        <f t="shared" si="24"/>
        <v>1</v>
      </c>
      <c r="T105" s="46" t="str">
        <f t="shared" si="25"/>
        <v>NorthBound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26"/>
        <v>https://d0f6bd738d7f1b3e5a7ca70fe4ff75f0.us-east-1.aws.found.io/app/kibana#/discover/Steve-Slow-Train-Analysis-(2080s-and-2083s)?_g=(refreshInterval:(display:Off,pause:!f,section:0,value:0),time:(from:'2017-03-09T14:09:19-0700',mode:absolute,to:'2017-03-09T16:51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5" s="187" t="str">
        <f t="shared" si="27"/>
        <v>N</v>
      </c>
      <c r="X105" s="187">
        <f t="shared" si="45"/>
        <v>1</v>
      </c>
      <c r="Y105" s="62">
        <f t="shared" si="29"/>
        <v>4.5499999999999999E-2</v>
      </c>
      <c r="Z105" s="62">
        <f t="shared" si="30"/>
        <v>23.331199999999999</v>
      </c>
      <c r="AA105" s="62">
        <f t="shared" si="31"/>
        <v>23.285699999999999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2"/>
        <v>0193-09</v>
      </c>
      <c r="AE105" s="85" t="str">
        <f t="shared" si="33"/>
        <v>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 &amp; 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</v>
      </c>
      <c r="AF105" s="82" t="str">
        <f t="shared" si="34"/>
        <v>"C:\Program Files (x86)\AstroGrep\AstroGrep.exe" /e /r /s /spath="%USERPROFILE%\AppData\Local\Temp\OnboardLogs" /stypes="app*4040*20170309*" /stext=" 22:.+((SYSTEM_STATE.+slice.+state.+changed )|(ment ac)|(multiple cpu faults)|(system.+state.+changed )|(\[timeout)|(PRM\|1\|D)|(kpr)|(kdp)|(\|lc)|(penalty))"</v>
      </c>
      <c r="AG105" s="1" t="str">
        <f t="shared" si="35"/>
        <v>EC</v>
      </c>
      <c r="AH105" s="86" t="str">
        <f t="shared" si="36"/>
        <v>"%USERPROFILE%\Documents\GitHub\eaglep3\Utilities\RefineRTDCRunTimes.py" --tripid 193-09 --locoid 4040 --swversion DE.1.0.9.0 --startMP 204:455 --initTime 2017-03-09T15:09:19 --startdatetime 2017-03-09T15:15:18 --delay 1 --endMP 204:233312 --enddatetime 2017-03-09T15:51:35 --enforcementcount 0 &gt;&gt;C:\Users\stu\Documents\GitHub\eaglep3-reporting\EC\2017-03-09-refined-times.txt</v>
      </c>
      <c r="AI105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{"issue":{"subject":"","project_id":79,"tracker_id":40,"status_id":1,"priority_id":2,"assigned_to_id":23,"start_date":"2017-03-09","description":"","custom_fields":[{"id":1,"name":"Subdivision","value":"EC"},{"id":4,"name":"Milepost","value":"23.3312"},{"id":17,"name":"Train ID","value":"193-09"},{"id":16,"name":"Locomotive ID","value":"4040"},{"id":130,"name":"Impact","value":""},{"id":150,"name":"Time of Event (Mountain Time)","value":"15:51:35"},{"id":151,"name":"Denver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38"/>
        <v>start /low /b %USERPROFILE%\Documents\GitHub\eaglep3\Utilities\DownloadLogsFromS3.py --loco 4040 --day 2017-03-09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"%USERPROFILE%\AppData\Local\Temp\OnboardLogs"\RTDC4040\*4040*20170309* | grep -SE "(Enforcement Action)|(\[TIMEOUT)|(CHR.+\|PRM\|1\|D.+(SWITCH|SIGNAL).+UNKNOWN)" - &gt;&gt; 2017-03-09-UncaughtWiMAX.txt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741</v>
      </c>
      <c r="B106" s="7">
        <v>4039</v>
      </c>
      <c r="C106" s="21" t="s">
        <v>242</v>
      </c>
      <c r="D106" s="21" t="s">
        <v>843</v>
      </c>
      <c r="E106" s="13">
        <v>42803.66778935185</v>
      </c>
      <c r="F106" s="13">
        <v>42803.674479166664</v>
      </c>
      <c r="G106" s="7">
        <v>1</v>
      </c>
      <c r="H106" s="21" t="s">
        <v>208</v>
      </c>
      <c r="I106" s="13">
        <v>42803.704282407409</v>
      </c>
      <c r="J106" s="7">
        <v>0</v>
      </c>
      <c r="K106" s="98" t="str">
        <f t="shared" si="21"/>
        <v>4039/4040</v>
      </c>
      <c r="L106" s="21" t="str">
        <f>VLOOKUP(A106,'Trips&amp;Operators'!$C$1:$G$99999,5,FALSE)</f>
        <v>SMITH MICHAEL</v>
      </c>
      <c r="M106" s="6">
        <f t="shared" si="22"/>
        <v>2.980324074451346E-2</v>
      </c>
      <c r="N106" s="7">
        <f t="shared" si="23"/>
        <v>42.916666672099382</v>
      </c>
      <c r="O106" s="7"/>
      <c r="P106" s="7"/>
      <c r="Q106" s="22"/>
      <c r="R106" s="22"/>
      <c r="S106" s="31">
        <f t="shared" si="24"/>
        <v>1</v>
      </c>
      <c r="T106" s="46" t="str">
        <f t="shared" si="25"/>
        <v>Southbound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26"/>
        <v>https://d0f6bd738d7f1b3e5a7ca70fe4ff75f0.us-east-1.aws.found.io/app/kibana#/discover/Steve-Slow-Train-Analysis-(2080s-and-2083s)?_g=(refreshInterval:(display:Off,pause:!f,section:0,value:0),time:(from:'2017-03-09T15:01:37-0700',mode:absolute,to:'2017-03-09T17:54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6" s="187" t="str">
        <f t="shared" si="27"/>
        <v>N</v>
      </c>
      <c r="X106" s="187">
        <f t="shared" si="45"/>
        <v>1</v>
      </c>
      <c r="Y106" s="62">
        <f t="shared" si="29"/>
        <v>23.3001</v>
      </c>
      <c r="Z106" s="62">
        <f t="shared" si="30"/>
        <v>1.54E-2</v>
      </c>
      <c r="AA106" s="62">
        <f t="shared" si="31"/>
        <v>23.284700000000001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2"/>
        <v>0194-09</v>
      </c>
      <c r="AE106" s="85" t="str">
        <f t="shared" si="33"/>
        <v>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 &amp; 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</v>
      </c>
      <c r="AF106" s="82" t="str">
        <f t="shared" si="34"/>
        <v>"C:\Program Files (x86)\AstroGrep\AstroGrep.exe" /e /r /s /spath="%USERPROFILE%\AppData\Local\Temp\OnboardLogs" /stypes="app*4039*20170309*" /stext=" 23:.+((SYSTEM_STATE.+slice.+state.+changed )|(ment ac)|(multiple cpu faults)|(system.+state.+changed )|(\[timeout)|(PRM\|1\|D)|(kpr)|(kdp)|(\|lc)|(penalty))"</v>
      </c>
      <c r="AG106" s="1" t="str">
        <f t="shared" si="35"/>
        <v>EC</v>
      </c>
      <c r="AH106" s="86" t="str">
        <f t="shared" si="36"/>
        <v>"%USERPROFILE%\Documents\GitHub\eaglep3\Utilities\RefineRTDCRunTimes.py" --tripid 194-09 --locoid 4039 --swversion DE.1.0.9.0 --startMP 204:233001 --initTime 2017-03-09T16:01:37 --startdatetime 2017-03-09T16:11:15 --delay 1 --endMP 204:154 --enddatetime 2017-03-09T16:54:10 --enforcementcount 0 &gt;&gt;C:\Users\stu\Documents\GitHub\eaglep3-reporting\EC\2017-03-09-refined-times.txt</v>
      </c>
      <c r="AI106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{"issue":{"subject":"","project_id":79,"tracker_id":40,"status_id":1,"priority_id":2,"assigned_to_id":23,"start_date":"2017-03-09","description":"","custom_fields":[{"id":1,"name":"Subdivision","value":"EC"},{"id":4,"name":"Milepost","value":"0.0154"},{"id":17,"name":"Train ID","value":"194-09"},{"id":16,"name":"Locomotive ID","value":"4039"},{"id":130,"name":"Impact","value":""},{"id":150,"name":"Time of Event (Mountain Time)","value":"16:54:10"},{"id":151,"name":"Denver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38"/>
        <v>start /low /b %USERPROFILE%\Documents\GitHub\eaglep3\Utilities\DownloadLogsFromS3.py --loco 4039 --day 2017-03-09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"%USERPROFILE%\AppData\Local\Temp\OnboardLogs"\RTDC4039\*4039*20170309* | grep -SE "(Enforcement Action)|(\[TIMEOUT)|(CHR.+\|PRM\|1\|D.+(SWITCH|SIGNAL).+UNKNOWN)" - &gt;&gt; 2017-03-09-UncaughtWiMAX.txt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597</v>
      </c>
      <c r="B107" s="7">
        <v>4044</v>
      </c>
      <c r="C107" s="21" t="s">
        <v>242</v>
      </c>
      <c r="D107" s="21" t="s">
        <v>237</v>
      </c>
      <c r="E107" s="13">
        <v>42803.641504629632</v>
      </c>
      <c r="F107" s="13">
        <v>42803.646087962959</v>
      </c>
      <c r="G107" s="7">
        <v>1</v>
      </c>
      <c r="H107" s="21" t="s">
        <v>858</v>
      </c>
      <c r="I107" s="13">
        <v>42803.671574074076</v>
      </c>
      <c r="J107" s="7">
        <v>0</v>
      </c>
      <c r="K107" s="98" t="str">
        <f t="shared" si="21"/>
        <v>4043/4044</v>
      </c>
      <c r="L107" s="21" t="str">
        <f>VLOOKUP(A107,'Trips&amp;Operators'!$C$1:$G$99999,5,FALSE)</f>
        <v>LOCKLEAR TRAVIS</v>
      </c>
      <c r="M107" s="6">
        <f t="shared" si="22"/>
        <v>2.5486111117061228E-2</v>
      </c>
      <c r="N107" s="7">
        <f t="shared" si="23"/>
        <v>36.700000008568168</v>
      </c>
      <c r="O107" s="7"/>
      <c r="P107" s="7"/>
      <c r="Q107" s="22"/>
      <c r="R107" s="22"/>
      <c r="S107" s="31">
        <f t="shared" si="24"/>
        <v>1</v>
      </c>
      <c r="T107" s="46" t="str">
        <f t="shared" si="25"/>
        <v>NorthBound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26"/>
        <v>https://d0f6bd738d7f1b3e5a7ca70fe4ff75f0.us-east-1.aws.found.io/app/kibana#/discover/Steve-Slow-Train-Analysis-(2080s-and-2083s)?_g=(refreshInterval:(display:Off,pause:!f,section:0,value:0),time:(from:'2017-03-09T14:23:46-0700',mode:absolute,to:'2017-03-09T17:07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7" s="187" t="str">
        <f t="shared" si="27"/>
        <v>N</v>
      </c>
      <c r="X107" s="187">
        <f t="shared" si="45"/>
        <v>1</v>
      </c>
      <c r="Y107" s="62">
        <f t="shared" si="29"/>
        <v>4.6600000000000003E-2</v>
      </c>
      <c r="Z107" s="62">
        <f t="shared" si="30"/>
        <v>23.334199999999999</v>
      </c>
      <c r="AA107" s="62">
        <f t="shared" si="31"/>
        <v>23.287599999999998</v>
      </c>
      <c r="AB107" s="59" t="str">
        <f>VLOOKUP(A107,Enforcements!$C$7:$K$13,8,0)</f>
        <v>Bulletin (2)</v>
      </c>
      <c r="AC107" s="55" t="str">
        <f>VLOOKUP(A107,Enforcements!$C$7:$E$13,3,0)</f>
        <v>GRADE CROSSING</v>
      </c>
      <c r="AD107" s="56" t="str">
        <f t="shared" si="32"/>
        <v>0195-09</v>
      </c>
      <c r="AE107" s="85" t="str">
        <f t="shared" si="33"/>
        <v>aws s3 cp s3://rtdc.mdm.uploadarchive.raw/RTDC4044/ "%USERPROFILE%\AppData\Local\Temp\OnboardLogs"\RTDC4044\2017-03-09 --exclude "*" --recursive --include "*20170309*" &amp; "%USERPROFILE%\Documents\GitHub\mrs-test-scripts\Headless Mode &amp; Sideloading\WalkAndUnGZ.bat" "%USERPROFILE%\AppData\Local\Temp\OnboardLogs"\RTDC4044\2017-03-09 &amp; aws s3 cp s3://rtdc.mdm.uploadarchive.raw/RTDC4044/ "%USERPROFILE%\AppData\Local\Temp\OnboardLogs"\RTDC4044\2017-03-10 --exclude "*" --recursive --include "*20170310*" &amp; "%USERPROFILE%\Documents\GitHub\mrs-test-scripts\Headless Mode &amp; Sideloading\WalkAndUnGZ.bat" "%USERPROFILE%\AppData\Local\Temp\OnboardLogs"\RTDC4044\2017-03-10</v>
      </c>
      <c r="AF107" s="82" t="str">
        <f t="shared" si="34"/>
        <v>"C:\Program Files (x86)\AstroGrep\AstroGrep.exe" /e /r /s /spath="%USERPROFILE%\AppData\Local\Temp\OnboardLogs" /stypes="app*4044*20170309*" /stext=" 23:.+((SYSTEM_STATE.+slice.+state.+changed )|(ment ac)|(multiple cpu faults)|(system.+state.+changed )|(\[timeout)|(PRM\|1\|D)|(kpr)|(kdp)|(\|lc)|(penalty))"</v>
      </c>
      <c r="AG107" s="1" t="str">
        <f t="shared" si="35"/>
        <v>EC</v>
      </c>
      <c r="AH107" s="86" t="str">
        <f t="shared" si="36"/>
        <v>"%USERPROFILE%\Documents\GitHub\eaglep3\Utilities\RefineRTDCRunTimes.py" --tripid 195-09 --locoid 4044 --swversion DE.1.0.9.0 --startMP 204:466 --initTime 2017-03-09T15:23:46 --startdatetime 2017-03-09T15:30:22 --delay 1 --endMP 204:233342 --enddatetime 2017-03-09T16:07:04 --enforcementcount 0 &gt;&gt;C:\Users\stu\Documents\GitHub\eaglep3-reporting\EC\2017-03-09-refined-times.txt</v>
      </c>
      <c r="AI107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{"issue":{"subject":"","project_id":79,"tracker_id":40,"status_id":1,"priority_id":2,"assigned_to_id":23,"start_date":"2017-03-09","description":"","custom_fields":[{"id":1,"name":"Subdivision","value":"EC"},{"id":4,"name":"Milepost","value":"23.3342"},{"id":17,"name":"Train ID","value":"195-09"},{"id":16,"name":"Locomotive ID","value":"4044"},{"id":130,"name":"Impact","value":""},{"id":150,"name":"Time of Event (Mountain Time)","value":"16:07:04"},{"id":151,"name":"Denver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38"/>
        <v>start /low /b %USERPROFILE%\Documents\GitHub\eaglep3\Utilities\DownloadLogsFromS3.py --loco 4044 --day 2017-03-09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"%USERPROFILE%\AppData\Local\Temp\OnboardLogs"\RTDC4044\*4044*20170309* | grep -SE "(Enforcement Action)|(\[TIMEOUT)|(CHR.+\|PRM\|1\|D.+(SWITCH|SIGNAL).+UNKNOWN)" - &gt;&gt; 2017-03-09-UncaughtWiMAX.txt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603</v>
      </c>
      <c r="B108" s="7">
        <v>4043</v>
      </c>
      <c r="C108" s="21" t="s">
        <v>242</v>
      </c>
      <c r="D108" s="21" t="s">
        <v>467</v>
      </c>
      <c r="E108" s="13">
        <v>42803.681990740741</v>
      </c>
      <c r="F108" s="13">
        <v>42803.684895833336</v>
      </c>
      <c r="G108" s="7">
        <v>1</v>
      </c>
      <c r="H108" s="21" t="s">
        <v>859</v>
      </c>
      <c r="I108" s="13">
        <v>42803.715428240743</v>
      </c>
      <c r="J108" s="7">
        <v>0</v>
      </c>
      <c r="K108" s="98" t="str">
        <f t="shared" si="21"/>
        <v>4043/4044</v>
      </c>
      <c r="L108" s="21" t="str">
        <f>VLOOKUP(A108,'Trips&amp;Operators'!$C$1:$G$99999,5,FALSE)</f>
        <v>LOCKLEAR TRAVIS</v>
      </c>
      <c r="M108" s="6">
        <f t="shared" si="22"/>
        <v>3.0532407407008577E-2</v>
      </c>
      <c r="N108" s="7">
        <f t="shared" si="23"/>
        <v>43.966666666092351</v>
      </c>
      <c r="O108" s="7"/>
      <c r="P108" s="7"/>
      <c r="Q108" s="22"/>
      <c r="R108" s="22"/>
      <c r="S108" s="31">
        <f t="shared" si="24"/>
        <v>1</v>
      </c>
      <c r="T108" s="46" t="str">
        <f t="shared" si="25"/>
        <v>Southbound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26"/>
        <v>https://d0f6bd738d7f1b3e5a7ca70fe4ff75f0.us-east-1.aws.found.io/app/kibana#/discover/Steve-Slow-Train-Analysis-(2080s-and-2083s)?_g=(refreshInterval:(display:Off,pause:!f,section:0,value:0),time:(from:'2017-03-09T15:22:04-0700',mode:absolute,to:'2017-03-09T18:10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8" s="187" t="str">
        <f t="shared" si="27"/>
        <v>N</v>
      </c>
      <c r="X108" s="187">
        <f t="shared" si="45"/>
        <v>1</v>
      </c>
      <c r="Y108" s="62">
        <f t="shared" si="29"/>
        <v>23.303000000000001</v>
      </c>
      <c r="Z108" s="62">
        <f t="shared" si="30"/>
        <v>2.1399999999999999E-2</v>
      </c>
      <c r="AA108" s="62">
        <f t="shared" si="31"/>
        <v>23.281600000000001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2"/>
        <v>0196-09</v>
      </c>
      <c r="AE108" s="85" t="str">
        <f t="shared" si="33"/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AF108" s="82" t="str">
        <f t="shared" si="34"/>
        <v>"C:\Program Files (x86)\AstroGrep\AstroGrep.exe" /e /r /s /spath="%USERPROFILE%\AppData\Local\Temp\OnboardLogs" /stypes="app*4043*20170310*" /stext=" 00:.+((SYSTEM_STATE.+slice.+state.+changed )|(ment ac)|(multiple cpu faults)|(system.+state.+changed )|(\[timeout)|(PRM\|1\|D)|(kpr)|(kdp)|(\|lc)|(penalty))"</v>
      </c>
      <c r="AG108" s="1" t="str">
        <f t="shared" si="35"/>
        <v>EC</v>
      </c>
      <c r="AH108" s="86" t="str">
        <f t="shared" si="36"/>
        <v>"%USERPROFILE%\Documents\GitHub\eaglep3\Utilities\RefineRTDCRunTimes.py" --tripid 196-09 --locoid 4043 --swversion DE.1.0.9.0 --startMP 204:233030 --initTime 2017-03-09T16:22:04 --startdatetime 2017-03-09T16:26:15 --delay 1 --endMP 204:214 --enddatetime 2017-03-09T17:10:13 --enforcementcount 0 &gt;&gt;C:\Users\stu\Documents\GitHub\eaglep3-reporting\EC\2017-03-09-refined-times.txt</v>
      </c>
      <c r="AI108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{"issue":{"subject":"","project_id":79,"tracker_id":40,"status_id":1,"priority_id":2,"assigned_to_id":23,"start_date":"2017-03-09","description":"","custom_fields":[{"id":1,"name":"Subdivision","value":"EC"},{"id":4,"name":"Milepost","value":"0.0214"},{"id":17,"name":"Train ID","value":"196-09"},{"id":16,"name":"Locomotive ID","value":"4043"},{"id":130,"name":"Impact","value":""},{"id":150,"name":"Time of Event (Mountain Time)","value":"17:10:13"},{"id":151,"name":"Denver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38"/>
        <v>start /low /b %USERPROFILE%\Documents\GitHub\eaglep3\Utilities\DownloadLogsFromS3.py --loco 4043 --day 2017-03-09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"%USERPROFILE%\AppData\Local\Temp\OnboardLogs"\RTDC4043\*4043*20170309* | grep -SE "(Enforcement Action)|(\[TIMEOUT)|(CHR.+\|PRM\|1\|D.+(SWITCH|SIGNAL).+UNKNOWN)" - &gt;&gt; 2017-03-09-UncaughtWiMAX.txt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738</v>
      </c>
      <c r="B109" s="7">
        <v>4014</v>
      </c>
      <c r="C109" s="21" t="s">
        <v>242</v>
      </c>
      <c r="D109" s="21" t="s">
        <v>234</v>
      </c>
      <c r="E109" s="13">
        <v>42803.65415509259</v>
      </c>
      <c r="F109" s="13">
        <v>42803.656597222223</v>
      </c>
      <c r="G109" s="7">
        <v>1</v>
      </c>
      <c r="H109" s="21" t="s">
        <v>860</v>
      </c>
      <c r="I109" s="13">
        <v>42803.682939814818</v>
      </c>
      <c r="J109" s="7">
        <v>0</v>
      </c>
      <c r="K109" s="98" t="str">
        <f t="shared" si="21"/>
        <v>4013/4014</v>
      </c>
      <c r="L109" s="21" t="str">
        <f>VLOOKUP(A109,'Trips&amp;Operators'!$C$1:$G$99999,5,FALSE)</f>
        <v>HELVIE ADAM</v>
      </c>
      <c r="M109" s="6">
        <f t="shared" si="22"/>
        <v>2.6342592595028691E-2</v>
      </c>
      <c r="N109" s="7">
        <f t="shared" si="23"/>
        <v>37.933333336841315</v>
      </c>
      <c r="O109" s="7"/>
      <c r="P109" s="7"/>
      <c r="Q109" s="22"/>
      <c r="R109" s="22"/>
      <c r="S109" s="31">
        <f t="shared" si="24"/>
        <v>1</v>
      </c>
      <c r="T109" s="46" t="str">
        <f t="shared" si="25"/>
        <v>NorthBound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26"/>
        <v>https://d0f6bd738d7f1b3e5a7ca70fe4ff75f0.us-east-1.aws.found.io/app/kibana#/discover/Steve-Slow-Train-Analysis-(2080s-and-2083s)?_g=(refreshInterval:(display:Off,pause:!f,section:0,value:0),time:(from:'2017-03-09T14:41:59-0700',mode:absolute,to:'2017-03-09T17:23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9" s="187" t="str">
        <f t="shared" si="27"/>
        <v>N</v>
      </c>
      <c r="X109" s="187">
        <f t="shared" si="28"/>
        <v>1</v>
      </c>
      <c r="Y109" s="62">
        <f t="shared" si="29"/>
        <v>4.4400000000000002E-2</v>
      </c>
      <c r="Z109" s="62">
        <f t="shared" si="30"/>
        <v>23.3337</v>
      </c>
      <c r="AA109" s="62">
        <f t="shared" si="31"/>
        <v>23.289300000000001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2"/>
        <v>0197-09</v>
      </c>
      <c r="AE109" s="85" t="str">
        <f t="shared" si="33"/>
        <v>aws s3 cp s3://rtdc.mdm.uploadarchive.raw/RTDC4014/ "%USERPROFILE%\AppData\Local\Temp\OnboardLogs"\RTDC4014\2017-03-09 --exclude "*" --recursive --include "*20170309*" &amp; "%USERPROFILE%\Documents\GitHub\mrs-test-scripts\Headless Mode &amp; Sideloading\WalkAndUnGZ.bat" "%USERPROFILE%\AppData\Local\Temp\OnboardLogs"\RTDC4014\2017-03-09 &amp; aws s3 cp s3://rtdc.mdm.uploadarchive.raw/RTDC4014/ "%USERPROFILE%\AppData\Local\Temp\OnboardLogs"\RTDC4014\2017-03-10 --exclude "*" --recursive --include "*20170310*" &amp; "%USERPROFILE%\Documents\GitHub\mrs-test-scripts\Headless Mode &amp; Sideloading\WalkAndUnGZ.bat" "%USERPROFILE%\AppData\Local\Temp\OnboardLogs"\RTDC4014\2017-03-10</v>
      </c>
      <c r="AF109" s="82" t="str">
        <f t="shared" si="34"/>
        <v>"C:\Program Files (x86)\AstroGrep\AstroGrep.exe" /e /r /s /spath="%USERPROFILE%\AppData\Local\Temp\OnboardLogs" /stypes="app*4014*20170309*" /stext=" 23:.+((SYSTEM_STATE.+slice.+state.+changed )|(ment ac)|(multiple cpu faults)|(system.+state.+changed )|(\[timeout)|(PRM\|1\|D)|(kpr)|(kdp)|(\|lc)|(penalty))"</v>
      </c>
      <c r="AG109" s="1" t="str">
        <f t="shared" si="35"/>
        <v>EC</v>
      </c>
      <c r="AH109" s="86" t="str">
        <f t="shared" si="36"/>
        <v>"%USERPROFILE%\Documents\GitHub\eaglep3\Utilities\RefineRTDCRunTimes.py" --tripid 197-09 --locoid 4014 --swversion DE.1.0.9.0 --startMP 204:444 --initTime 2017-03-09T15:41:59 --startdatetime 2017-03-09T15:45:30 --delay 1 --endMP 204:233337 --enddatetime 2017-03-09T16:23:26 --enforcementcount 0 &gt;&gt;C:\Users\stu\Documents\GitHub\eaglep3-reporting\EC\2017-03-09-refined-times.txt</v>
      </c>
      <c r="AI109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{"issue":{"subject":"","project_id":79,"tracker_id":40,"status_id":1,"priority_id":2,"assigned_to_id":23,"start_date":"2017-03-09","description":"","custom_fields":[{"id":1,"name":"Subdivision","value":"EC"},{"id":4,"name":"Milepost","value":"23.3337"},{"id":17,"name":"Train ID","value":"197-09"},{"id":16,"name":"Locomotive ID","value":"4014"},{"id":130,"name":"Impact","value":""},{"id":150,"name":"Time of Event (Mountain Time)","value":"16:23:26"},{"id":151,"name":"Denver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38"/>
        <v>start /low /b %USERPROFILE%\Documents\GitHub\eaglep3\Utilities\DownloadLogsFromS3.py --loco 4014 --day 2017-03-09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"%USERPROFILE%\AppData\Local\Temp\OnboardLogs"\RTDC4014\*4014*20170309* | grep -SE "(Enforcement Action)|(\[TIMEOUT)|(CHR.+\|PRM\|1\|D.+(SWITCH|SIGNAL).+UNKNOWN)" - &gt;&gt; 2017-03-09-UncaughtWiMAX.txt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3" t="s">
        <v>605</v>
      </c>
      <c r="B110" s="7">
        <v>4013</v>
      </c>
      <c r="C110" s="21" t="s">
        <v>242</v>
      </c>
      <c r="D110" s="21" t="s">
        <v>542</v>
      </c>
      <c r="E110" s="13">
        <v>42803.693055555559</v>
      </c>
      <c r="F110" s="13">
        <v>42803.695486111108</v>
      </c>
      <c r="G110" s="7">
        <v>1</v>
      </c>
      <c r="H110" s="21" t="s">
        <v>546</v>
      </c>
      <c r="I110" s="13">
        <v>42803.724224537036</v>
      </c>
      <c r="J110" s="7">
        <v>0</v>
      </c>
      <c r="K110" s="98" t="str">
        <f t="shared" si="21"/>
        <v>4013/4014</v>
      </c>
      <c r="L110" s="21" t="str">
        <f>VLOOKUP(A110,'Trips&amp;Operators'!$C$1:$G$99999,5,FALSE)</f>
        <v>HELVIE ADAM</v>
      </c>
      <c r="M110" s="6">
        <f t="shared" si="22"/>
        <v>2.8738425928167999E-2</v>
      </c>
      <c r="N110" s="7">
        <f t="shared" si="23"/>
        <v>41.383333336561918</v>
      </c>
      <c r="O110" s="7"/>
      <c r="P110" s="7"/>
      <c r="Q110" s="22"/>
      <c r="R110" s="22"/>
      <c r="S110" s="31">
        <f t="shared" si="24"/>
        <v>1</v>
      </c>
      <c r="T110" s="46" t="str">
        <f t="shared" si="25"/>
        <v>Southbound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26"/>
        <v>https://d0f6bd738d7f1b3e5a7ca70fe4ff75f0.us-east-1.aws.found.io/app/kibana#/discover/Steve-Slow-Train-Analysis-(2080s-and-2083s)?_g=(refreshInterval:(display:Off,pause:!f,section:0,value:0),time:(from:'2017-03-09T15:38:00-0700',mode:absolute,to:'2017-03-09T18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0" s="187" t="str">
        <f t="shared" si="27"/>
        <v>N</v>
      </c>
      <c r="X110" s="187">
        <f t="shared" si="28"/>
        <v>1</v>
      </c>
      <c r="Y110" s="62">
        <f t="shared" si="29"/>
        <v>23.299600000000002</v>
      </c>
      <c r="Z110" s="62">
        <f t="shared" si="30"/>
        <v>1.6500000000000001E-2</v>
      </c>
      <c r="AA110" s="62">
        <f t="shared" si="31"/>
        <v>23.283100000000001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2"/>
        <v>0198-09</v>
      </c>
      <c r="AE110" s="85" t="str">
        <f t="shared" si="33"/>
        <v>aws s3 cp s3://rtdc.mdm.uploadarchive.raw/RTDC4013/ "%USERPROFILE%\AppData\Local\Temp\OnboardLogs"\RTDC4013\2017-03-09 --exclude "*" --recursive --include "*20170309*" &amp; "%USERPROFILE%\Documents\GitHub\mrs-test-scripts\Headless Mode &amp; Sideloading\WalkAndUnGZ.bat" "%USERPROFILE%\AppData\Local\Temp\OnboardLogs"\RTDC4013\2017-03-09 &amp; aws s3 cp s3://rtdc.mdm.uploadarchive.raw/RTDC4013/ "%USERPROFILE%\AppData\Local\Temp\OnboardLogs"\RTDC4013\2017-03-10 --exclude "*" --recursive --include "*20170310*" &amp; "%USERPROFILE%\Documents\GitHub\mrs-test-scripts\Headless Mode &amp; Sideloading\WalkAndUnGZ.bat" "%USERPROFILE%\AppData\Local\Temp\OnboardLogs"\RTDC4013\2017-03-10</v>
      </c>
      <c r="AF110" s="82" t="str">
        <f t="shared" si="34"/>
        <v>"C:\Program Files (x86)\AstroGrep\AstroGrep.exe" /e /r /s /spath="%USERPROFILE%\AppData\Local\Temp\OnboardLogs" /stypes="app*4013*20170310*" /stext=" 00:.+((SYSTEM_STATE.+slice.+state.+changed )|(ment ac)|(multiple cpu faults)|(system.+state.+changed )|(\[timeout)|(PRM\|1\|D)|(kpr)|(kdp)|(\|lc)|(penalty))"</v>
      </c>
      <c r="AG110" s="1" t="str">
        <f t="shared" si="35"/>
        <v>EC</v>
      </c>
      <c r="AH110" s="86" t="str">
        <f t="shared" si="36"/>
        <v>"%USERPROFILE%\Documents\GitHub\eaglep3\Utilities\RefineRTDCRunTimes.py" --tripid 198-09 --locoid 4013 --swversion DE.1.0.9.0 --startMP 204:232996 --initTime 2017-03-09T16:38:00 --startdatetime 2017-03-09T16:41:30 --delay 1 --endMP 204:165 --enddatetime 2017-03-09T17:22:53 --enforcementcount 0 &gt;&gt;C:\Users\stu\Documents\GitHub\eaglep3-reporting\EC\2017-03-09-refined-times.txt</v>
      </c>
      <c r="AI110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{"issue":{"subject":"","project_id":79,"tracker_id":40,"status_id":1,"priority_id":2,"assigned_to_id":23,"start_date":"2017-03-09","description":"","custom_fields":[{"id":1,"name":"Subdivision","value":"EC"},{"id":4,"name":"Milepost","value":"0.0165"},{"id":17,"name":"Train ID","value":"198-09"},{"id":16,"name":"Locomotive ID","value":"4013"},{"id":130,"name":"Impact","value":""},{"id":150,"name":"Time of Event (Mountain Time)","value":"17:22:53"},{"id":151,"name":"Denver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38"/>
        <v>start /low /b %USERPROFILE%\Documents\GitHub\eaglep3\Utilities\DownloadLogsFromS3.py --loco 4013 --day 2017-03-09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"%USERPROFILE%\AppData\Local\Temp\OnboardLogs"\RTDC4013\*4013*20170310* | grep -SE "(Enforcement Action)|(\[TIMEOUT)|(CHR.+\|PRM\|1\|D.+(SWITCH|SIGNAL).+UNKNOWN)" - &gt;&gt; 2017-03-09-UncaughtWiMAX.txt</v>
      </c>
    </row>
    <row r="111" spans="1:91" s="20" customFormat="1" x14ac:dyDescent="0.25">
      <c r="A111" s="33" t="s">
        <v>740</v>
      </c>
      <c r="B111" s="7">
        <v>4020</v>
      </c>
      <c r="C111" s="21" t="s">
        <v>242</v>
      </c>
      <c r="D111" s="21" t="s">
        <v>230</v>
      </c>
      <c r="E111" s="13">
        <v>42803.660694444443</v>
      </c>
      <c r="F111" s="13">
        <v>42803.666909722226</v>
      </c>
      <c r="G111" s="7">
        <v>1</v>
      </c>
      <c r="H111" s="21" t="s">
        <v>250</v>
      </c>
      <c r="I111" s="13">
        <v>42803.694837962961</v>
      </c>
      <c r="J111" s="7">
        <v>0</v>
      </c>
      <c r="K111" s="98" t="str">
        <f t="shared" si="21"/>
        <v>4019/4020</v>
      </c>
      <c r="L111" s="21" t="str">
        <f>VLOOKUP(A111,'Trips&amp;Operators'!$C$1:$G$99999,5,FALSE)</f>
        <v>CLARK KATHLEEN</v>
      </c>
      <c r="M111" s="6">
        <f t="shared" si="22"/>
        <v>2.7928240735491272E-2</v>
      </c>
      <c r="N111" s="7">
        <f t="shared" si="23"/>
        <v>40.216666659107432</v>
      </c>
      <c r="O111" s="7"/>
      <c r="P111" s="7"/>
      <c r="Q111" s="22"/>
      <c r="R111" s="22"/>
      <c r="S111" s="31">
        <f t="shared" si="24"/>
        <v>1</v>
      </c>
      <c r="T111" s="46" t="str">
        <f t="shared" si="25"/>
        <v>NorthBound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26"/>
        <v>https://d0f6bd738d7f1b3e5a7ca70fe4ff75f0.us-east-1.aws.found.io/app/kibana#/discover/Steve-Slow-Train-Analysis-(2080s-and-2083s)?_g=(refreshInterval:(display:Off,pause:!f,section:0,value:0),time:(from:'2017-03-09T14:51:24-0700',mode:absolute,to:'2017-03-09T17:40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1" s="187" t="str">
        <f t="shared" si="27"/>
        <v>N</v>
      </c>
      <c r="X111" s="187">
        <f t="shared" si="28"/>
        <v>1</v>
      </c>
      <c r="Y111" s="62">
        <f t="shared" si="29"/>
        <v>4.3999999999999997E-2</v>
      </c>
      <c r="Z111" s="62">
        <f t="shared" si="30"/>
        <v>23.330400000000001</v>
      </c>
      <c r="AA111" s="62">
        <f t="shared" si="31"/>
        <v>23.2864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2"/>
        <v>0199-09</v>
      </c>
      <c r="AE111" s="85" t="str">
        <f t="shared" si="33"/>
        <v>aws s3 cp s3://rtdc.mdm.uploadarchive.raw/RTDC4020/ "%USERPROFILE%\AppData\Local\Temp\OnboardLogs"\RTDC4020\2017-03-09 --exclude "*" --recursive --include "*20170309*" &amp; "%USERPROFILE%\Documents\GitHub\mrs-test-scripts\Headless Mode &amp; Sideloading\WalkAndUnGZ.bat" "%USERPROFILE%\AppData\Local\Temp\OnboardLogs"\RTDC4020\2017-03-09 &amp; 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</v>
      </c>
      <c r="AF111" s="82" t="str">
        <f t="shared" si="34"/>
        <v>"C:\Program Files (x86)\AstroGrep\AstroGrep.exe" /e /r /s /spath="%USERPROFILE%\AppData\Local\Temp\OnboardLogs" /stypes="app*4020*20170309*" /stext=" 23:.+((SYSTEM_STATE.+slice.+state.+changed )|(ment ac)|(multiple cpu faults)|(system.+state.+changed )|(\[timeout)|(PRM\|1\|D)|(kpr)|(kdp)|(\|lc)|(penalty))"</v>
      </c>
      <c r="AG111" s="1" t="str">
        <f t="shared" si="35"/>
        <v>EC</v>
      </c>
      <c r="AH111" s="86" t="str">
        <f t="shared" si="36"/>
        <v>"%USERPROFILE%\Documents\GitHub\eaglep3\Utilities\RefineRTDCRunTimes.py" --tripid 199-09 --locoid 4020 --swversion DE.1.0.9.0 --startMP 204:440 --initTime 2017-03-09T15:51:24 --startdatetime 2017-03-09T16:00:21 --delay 1 --endMP 204:233304 --enddatetime 2017-03-09T16:40:34 --enforcementcount 0 &gt;&gt;C:\Users\stu\Documents\GitHub\eaglep3-reporting\EC\2017-03-09-refined-times.txt</v>
      </c>
      <c r="AI111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{"issue":{"subject":"","project_id":79,"tracker_id":40,"status_id":1,"priority_id":2,"assigned_to_id":23,"start_date":"2017-03-09","description":"","custom_fields":[{"id":1,"name":"Subdivision","value":"EC"},{"id":4,"name":"Milepost","value":"23.3304"},{"id":17,"name":"Train ID","value":"199-09"},{"id":16,"name":"Locomotive ID","value":"4020"},{"id":130,"name":"Impact","value":""},{"id":150,"name":"Time of Event (Mountain Time)","value":"16:40:34"},{"id":151,"name":"Denver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38"/>
        <v>start /low /b %USERPROFILE%\Documents\GitHub\eaglep3\Utilities\DownloadLogsFromS3.py --loco 4020 --day 2017-03-09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"%USERPROFILE%\AppData\Local\Temp\OnboardLogs"\RTDC4020\*4020*20170309* | grep -SE "(Enforcement Action)|(\[TIMEOUT)|(CHR.+\|PRM\|1\|D.+(SWITCH|SIGNAL).+UNKNOWN)" - &gt;&gt; 2017-03-09-UncaughtWiMAX.txt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x14ac:dyDescent="0.25">
      <c r="A112" s="33" t="s">
        <v>747</v>
      </c>
      <c r="B112" s="7">
        <v>4019</v>
      </c>
      <c r="C112" s="21" t="s">
        <v>242</v>
      </c>
      <c r="D112" s="21" t="s">
        <v>542</v>
      </c>
      <c r="E112" s="13">
        <v>42803.701805555553</v>
      </c>
      <c r="F112" s="13">
        <v>42803.705729166664</v>
      </c>
      <c r="G112" s="7">
        <v>1</v>
      </c>
      <c r="H112" s="21" t="s">
        <v>861</v>
      </c>
      <c r="I112" s="13">
        <v>42803.734432870369</v>
      </c>
      <c r="J112" s="7">
        <v>0</v>
      </c>
      <c r="K112" s="98" t="str">
        <f t="shared" si="21"/>
        <v>4019/4020</v>
      </c>
      <c r="L112" s="21" t="str">
        <f>VLOOKUP(A112,'Trips&amp;Operators'!$C$1:$G$99999,5,FALSE)</f>
        <v>CLARK KATHLEEN</v>
      </c>
      <c r="M112" s="6">
        <f t="shared" si="22"/>
        <v>2.8703703705104999E-2</v>
      </c>
      <c r="N112" s="7">
        <f t="shared" si="23"/>
        <v>41.333333335351199</v>
      </c>
      <c r="O112" s="7"/>
      <c r="P112" s="7"/>
      <c r="Q112" s="22"/>
      <c r="R112" s="22"/>
      <c r="S112" s="31">
        <f t="shared" si="24"/>
        <v>1</v>
      </c>
      <c r="T112" s="46" t="str">
        <f t="shared" si="25"/>
        <v>Southbound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26"/>
        <v>https://d0f6bd738d7f1b3e5a7ca70fe4ff75f0.us-east-1.aws.found.io/app/kibana#/discover/Steve-Slow-Train-Analysis-(2080s-and-2083s)?_g=(refreshInterval:(display:Off,pause:!f,section:0,value:0),time:(from:'2017-03-09T15:50:36-0700',mode:absolute,to:'2017-03-09T18:37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2" s="187" t="str">
        <f t="shared" si="27"/>
        <v>N</v>
      </c>
      <c r="X112" s="187">
        <f t="shared" si="28"/>
        <v>1</v>
      </c>
      <c r="Y112" s="62">
        <f t="shared" si="29"/>
        <v>23.299600000000002</v>
      </c>
      <c r="Z112" s="62">
        <f t="shared" si="30"/>
        <v>1.9800000000000002E-2</v>
      </c>
      <c r="AA112" s="62">
        <f t="shared" si="31"/>
        <v>23.279800000000002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2"/>
        <v>0200-09</v>
      </c>
      <c r="AE112" s="85" t="str">
        <f t="shared" si="33"/>
        <v>aws s3 cp s3://rtdc.mdm.uploadarchive.raw/RTDC4019/ "%USERPROFILE%\AppData\Local\Temp\OnboardLogs"\RTDC4019\2017-03-09 --exclude "*" --recursive --include "*20170309*" &amp; "%USERPROFILE%\Documents\GitHub\mrs-test-scripts\Headless Mode &amp; Sideloading\WalkAndUnGZ.bat" "%USERPROFILE%\AppData\Local\Temp\OnboardLogs"\RTDC4019\2017-03-09 &amp; 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</v>
      </c>
      <c r="AF112" s="82" t="str">
        <f t="shared" si="34"/>
        <v>"C:\Program Files (x86)\AstroGrep\AstroGrep.exe" /e /r /s /spath="%USERPROFILE%\AppData\Local\Temp\OnboardLogs" /stypes="app*4019*20170310*" /stext=" 00:.+((SYSTEM_STATE.+slice.+state.+changed )|(ment ac)|(multiple cpu faults)|(system.+state.+changed )|(\[timeout)|(PRM\|1\|D)|(kpr)|(kdp)|(\|lc)|(penalty))"</v>
      </c>
      <c r="AG112" s="1" t="str">
        <f t="shared" si="35"/>
        <v>EC</v>
      </c>
      <c r="AH112" s="86" t="str">
        <f t="shared" si="36"/>
        <v>"%USERPROFILE%\Documents\GitHub\eaglep3\Utilities\RefineRTDCRunTimes.py" --tripid 200-09 --locoid 4019 --swversion DE.1.0.9.0 --startMP 204:232996 --initTime 2017-03-09T16:50:36 --startdatetime 2017-03-09T16:56:15 --delay 1 --endMP 204:198 --enddatetime 2017-03-09T17:37:35 --enforcementcount 0 &gt;&gt;C:\Users\stu\Documents\GitHub\eaglep3-reporting\EC\2017-03-09-refined-times.txt</v>
      </c>
      <c r="AI112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{"issue":{"subject":"","project_id":79,"tracker_id":40,"status_id":1,"priority_id":2,"assigned_to_id":23,"start_date":"2017-03-09","description":"","custom_fields":[{"id":1,"name":"Subdivision","value":"EC"},{"id":4,"name":"Milepost","value":"0.0198"},{"id":17,"name":"Train ID","value":"200-09"},{"id":16,"name":"Locomotive ID","value":"4019"},{"id":130,"name":"Impact","value":""},{"id":150,"name":"Time of Event (Mountain Time)","value":"17:37:35"},{"id":151,"name":"Denver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38"/>
        <v>start /low /b %USERPROFILE%\Documents\GitHub\eaglep3\Utilities\DownloadLogsFromS3.py --loco 4019 --day 2017-03-09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"%USERPROFILE%\AppData\Local\Temp\OnboardLogs"\RTDC4019\*4019*20170310* | grep -SE "(Enforcement Action)|(\[TIMEOUT)|(CHR.+\|PRM\|1\|D.+(SWITCH|SIGNAL).+UNKNOWN)" - &gt;&gt; 2017-03-09-UncaughtWiMAX.txt</v>
      </c>
    </row>
    <row r="113" spans="1:91" s="20" customFormat="1" x14ac:dyDescent="0.25">
      <c r="A113" s="33" t="s">
        <v>744</v>
      </c>
      <c r="B113" s="7">
        <v>4016</v>
      </c>
      <c r="C113" s="21" t="s">
        <v>242</v>
      </c>
      <c r="D113" s="21" t="s">
        <v>234</v>
      </c>
      <c r="E113" s="13">
        <v>42803.675543981481</v>
      </c>
      <c r="F113" s="13">
        <v>42803.677442129629</v>
      </c>
      <c r="G113" s="7">
        <v>1</v>
      </c>
      <c r="H113" s="21" t="s">
        <v>285</v>
      </c>
      <c r="I113" s="13">
        <v>42803.704988425925</v>
      </c>
      <c r="J113" s="7">
        <v>0</v>
      </c>
      <c r="K113" s="98" t="str">
        <f t="shared" si="21"/>
        <v>4015/4016</v>
      </c>
      <c r="L113" s="21" t="str">
        <f>VLOOKUP(A113,'Trips&amp;Operators'!$C$1:$G$99999,5,FALSE)</f>
        <v>BRANDNER MELINDA</v>
      </c>
      <c r="M113" s="6">
        <f t="shared" si="22"/>
        <v>2.7546296296350192E-2</v>
      </c>
      <c r="N113" s="7">
        <f t="shared" si="23"/>
        <v>39.666666666744277</v>
      </c>
      <c r="O113" s="7"/>
      <c r="P113" s="7"/>
      <c r="Q113" s="22"/>
      <c r="R113" s="22"/>
      <c r="S113" s="31">
        <f t="shared" si="24"/>
        <v>1</v>
      </c>
      <c r="T113" s="46" t="str">
        <f t="shared" si="25"/>
        <v>NorthBound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26"/>
        <v>https://d0f6bd738d7f1b3e5a7ca70fe4ff75f0.us-east-1.aws.found.io/app/kibana#/discover/Steve-Slow-Train-Analysis-(2080s-and-2083s)?_g=(refreshInterval:(display:Off,pause:!f,section:0,value:0),time:(from:'2017-03-09T15:12:47-0700',mode:absolute,to:'2017-03-09T17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3" s="187" t="str">
        <f t="shared" si="27"/>
        <v>N</v>
      </c>
      <c r="X113" s="187">
        <f t="shared" si="28"/>
        <v>1</v>
      </c>
      <c r="Y113" s="62">
        <f t="shared" si="29"/>
        <v>4.4400000000000002E-2</v>
      </c>
      <c r="Z113" s="62">
        <f t="shared" si="30"/>
        <v>23.330300000000001</v>
      </c>
      <c r="AA113" s="62">
        <f t="shared" si="31"/>
        <v>23.285900000000002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2"/>
        <v>0201-09</v>
      </c>
      <c r="AE113" s="85" t="str">
        <f t="shared" si="33"/>
        <v>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 &amp; aws s3 cp s3://rtdc.mdm.uploadarchive.raw/RTDC4016/ "%USERPROFILE%\AppData\Local\Temp\OnboardLogs"\RTDC4016\2017-03-10 --exclude "*" --recursive --include "*20170310*" &amp; "%USERPROFILE%\Documents\GitHub\mrs-test-scripts\Headless Mode &amp; Sideloading\WalkAndUnGZ.bat" "%USERPROFILE%\AppData\Local\Temp\OnboardLogs"\RTDC4016\2017-03-10</v>
      </c>
      <c r="AF113" s="82" t="str">
        <f t="shared" si="34"/>
        <v>"C:\Program Files (x86)\AstroGrep\AstroGrep.exe" /e /r /s /spath="%USERPROFILE%\AppData\Local\Temp\OnboardLogs" /stypes="app*4016*20170309*" /stext=" 23:.+((SYSTEM_STATE.+slice.+state.+changed )|(ment ac)|(multiple cpu faults)|(system.+state.+changed )|(\[timeout)|(PRM\|1\|D)|(kpr)|(kdp)|(\|lc)|(penalty))"</v>
      </c>
      <c r="AG113" s="1" t="str">
        <f t="shared" si="35"/>
        <v>EC</v>
      </c>
      <c r="AH113" s="86" t="str">
        <f t="shared" si="36"/>
        <v>"%USERPROFILE%\Documents\GitHub\eaglep3\Utilities\RefineRTDCRunTimes.py" --tripid 201-09 --locoid 4016 --swversion DE.1.0.9.0 --startMP 204:444 --initTime 2017-03-09T16:12:47 --startdatetime 2017-03-09T16:15:31 --delay 1 --endMP 204:233303 --enddatetime 2017-03-09T16:55:11 --enforcementcount 0 &gt;&gt;C:\Users\stu\Documents\GitHub\eaglep3-reporting\EC\2017-03-09-refined-times.txt</v>
      </c>
      <c r="AI113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{"issue":{"subject":"","project_id":79,"tracker_id":40,"status_id":1,"priority_id":2,"assigned_to_id":23,"start_date":"2017-03-09","description":"","custom_fields":[{"id":1,"name":"Subdivision","value":"EC"},{"id":4,"name":"Milepost","value":"23.3303"},{"id":17,"name":"Train ID","value":"201-09"},{"id":16,"name":"Locomotive ID","value":"4016"},{"id":130,"name":"Impact","value":""},{"id":150,"name":"Time of Event (Mountain Time)","value":"16:55:11"},{"id":151,"name":"Denver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38"/>
        <v>start /low /b %USERPROFILE%\Documents\GitHub\eaglep3\Utilities\DownloadLogsFromS3.py --loco 4016 --day 2017-03-09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"%USERPROFILE%\AppData\Local\Temp\OnboardLogs"\RTDC4016\*4016*20170309* | grep -SE "(Enforcement Action)|(\[TIMEOUT)|(CHR.+\|PRM\|1\|D.+(SWITCH|SIGNAL).+UNKNOWN)" - &gt;&gt; 2017-03-09-UncaughtWiMAX.txt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749</v>
      </c>
      <c r="B114" s="7">
        <v>4015</v>
      </c>
      <c r="C114" s="21" t="s">
        <v>242</v>
      </c>
      <c r="D114" s="21" t="s">
        <v>862</v>
      </c>
      <c r="E114" s="13">
        <v>42803.710277777776</v>
      </c>
      <c r="F114" s="13">
        <v>42803.716145833336</v>
      </c>
      <c r="G114" s="7">
        <v>1</v>
      </c>
      <c r="H114" s="21" t="s">
        <v>184</v>
      </c>
      <c r="I114" s="13">
        <v>42803.746296296296</v>
      </c>
      <c r="J114" s="7">
        <v>0</v>
      </c>
      <c r="K114" s="98" t="str">
        <f t="shared" si="21"/>
        <v>4015/4016</v>
      </c>
      <c r="L114" s="21" t="str">
        <f>VLOOKUP(A114,'Trips&amp;Operators'!$C$1:$G$99999,5,FALSE)</f>
        <v>BRANDNER MELINDA</v>
      </c>
      <c r="M114" s="6">
        <f t="shared" si="22"/>
        <v>3.015046296059154E-2</v>
      </c>
      <c r="N114" s="7">
        <f t="shared" si="23"/>
        <v>43.416666663251817</v>
      </c>
      <c r="O114" s="7"/>
      <c r="P114" s="7"/>
      <c r="Q114" s="22"/>
      <c r="R114" s="22"/>
      <c r="S114" s="31">
        <f t="shared" si="24"/>
        <v>1</v>
      </c>
      <c r="T114" s="46" t="str">
        <f t="shared" si="25"/>
        <v>Southbound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26"/>
        <v>https://d0f6bd738d7f1b3e5a7ca70fe4ff75f0.us-east-1.aws.found.io/app/kibana#/discover/Steve-Slow-Train-Analysis-(2080s-and-2083s)?_g=(refreshInterval:(display:Off,pause:!f,section:0,value:0),time:(from:'2017-03-09T16:02:48-0700',mode:absolute,to:'2017-03-09T18:54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14" s="187" t="str">
        <f t="shared" si="27"/>
        <v>N</v>
      </c>
      <c r="X114" s="187">
        <f t="shared" si="28"/>
        <v>1</v>
      </c>
      <c r="Y114" s="62">
        <f t="shared" si="29"/>
        <v>23.3005</v>
      </c>
      <c r="Z114" s="62">
        <f t="shared" si="30"/>
        <v>1.49E-2</v>
      </c>
      <c r="AA114" s="62">
        <f t="shared" si="31"/>
        <v>23.285599999999999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2"/>
        <v>0202-09</v>
      </c>
      <c r="AE114" s="85" t="str">
        <f t="shared" si="33"/>
        <v>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 &amp; aws s3 cp s3://rtdc.mdm.uploadarchive.raw/RTDC4015/ "%USERPROFILE%\AppData\Local\Temp\OnboardLogs"\RTDC4015\2017-03-10 --exclude "*" --recursive --include "*20170310*" &amp; "%USERPROFILE%\Documents\GitHub\mrs-test-scripts\Headless Mode &amp; Sideloading\WalkAndUnGZ.bat" "%USERPROFILE%\AppData\Local\Temp\OnboardLogs"\RTDC4015\2017-03-10</v>
      </c>
      <c r="AF114" s="82" t="str">
        <f t="shared" si="34"/>
        <v>"C:\Program Files (x86)\AstroGrep\AstroGrep.exe" /e /r /s /spath="%USERPROFILE%\AppData\Local\Temp\OnboardLogs" /stypes="app*4015*20170310*" /stext=" 00:.+((SYSTEM_STATE.+slice.+state.+changed )|(ment ac)|(multiple cpu faults)|(system.+state.+changed )|(\[timeout)|(PRM\|1\|D)|(kpr)|(kdp)|(\|lc)|(penalty))"</v>
      </c>
      <c r="AG114" s="1" t="str">
        <f t="shared" si="35"/>
        <v>EC</v>
      </c>
      <c r="AH114" s="86" t="str">
        <f t="shared" si="36"/>
        <v>"%USERPROFILE%\Documents\GitHub\eaglep3\Utilities\RefineRTDCRunTimes.py" --tripid 202-09 --locoid 4015 --swversion DE.1.0.9.0 --startMP 204:233005 --initTime 2017-03-09T17:02:48 --startdatetime 2017-03-09T17:11:15 --delay 1 --endMP 204:149 --enddatetime 2017-03-09T17:54:40 --enforcementcount 0 &gt;&gt;C:\Users\stu\Documents\GitHub\eaglep3-reporting\EC\2017-03-09-refined-times.txt</v>
      </c>
      <c r="AI114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{"issue":{"subject":"","project_id":79,"tracker_id":40,"status_id":1,"priority_id":2,"assigned_to_id":23,"start_date":"2017-03-09","description":"","custom_fields":[{"id":1,"name":"Subdivision","value":"EC"},{"id":4,"name":"Milepost","value":"0.0149"},{"id":17,"name":"Train ID","value":"202-09"},{"id":16,"name":"Locomotive ID","value":"4015"},{"id":130,"name":"Impact","value":""},{"id":150,"name":"Time of Event (Mountain Time)","value":"17:54:40"},{"id":151,"name":"Denver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38"/>
        <v>start /low /b %USERPROFILE%\Documents\GitHub\eaglep3\Utilities\DownloadLogsFromS3.py --loco 4015 --day 2017-03-09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"%USERPROFILE%\AppData\Local\Temp\OnboardLogs"\RTDC4015\*4015*20170310* | grep -SE "(Enforcement Action)|(\[TIMEOUT)|(CHR.+\|PRM\|1\|D.+(SWITCH|SIGNAL).+UNKNOWN)" - &gt;&gt; 2017-03-09-UncaughtWiMAX.txt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745</v>
      </c>
      <c r="B115" s="7">
        <v>4003</v>
      </c>
      <c r="C115" s="21" t="s">
        <v>242</v>
      </c>
      <c r="D115" s="21" t="s">
        <v>269</v>
      </c>
      <c r="E115" s="13">
        <v>42803.684305555558</v>
      </c>
      <c r="F115" s="13">
        <v>42803.6877662037</v>
      </c>
      <c r="G115" s="7">
        <v>1</v>
      </c>
      <c r="H115" s="21" t="s">
        <v>863</v>
      </c>
      <c r="I115" s="13">
        <v>42803.712870370371</v>
      </c>
      <c r="J115" s="7">
        <v>0</v>
      </c>
      <c r="K115" s="98" t="str">
        <f t="shared" si="21"/>
        <v>4003/4004</v>
      </c>
      <c r="L115" s="21" t="str">
        <f>VLOOKUP(A115,'Trips&amp;Operators'!$C$1:$G$99999,5,FALSE)</f>
        <v>MOSES BRADLEY</v>
      </c>
      <c r="M115" s="6">
        <f t="shared" si="22"/>
        <v>2.510416667064419E-2</v>
      </c>
      <c r="N115" s="7">
        <f t="shared" si="23"/>
        <v>36.150000005727634</v>
      </c>
      <c r="O115" s="7"/>
      <c r="P115" s="7"/>
      <c r="Q115" s="22"/>
      <c r="R115" s="22"/>
      <c r="S115" s="31">
        <f t="shared" si="24"/>
        <v>1</v>
      </c>
      <c r="T115" s="46" t="str">
        <f t="shared" si="25"/>
        <v>NorthBound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26"/>
        <v>https://d0f6bd738d7f1b3e5a7ca70fe4ff75f0.us-east-1.aws.found.io/app/kibana#/discover/Steve-Slow-Train-Analysis-(2080s-and-2083s)?_g=(refreshInterval:(display:Off,pause:!f,section:0,value:0),time:(from:'2017-03-09T15:25:24-0700',mode:absolute,to:'2017-03-09T18:06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5" s="187" t="str">
        <f t="shared" si="27"/>
        <v>N</v>
      </c>
      <c r="X115" s="187">
        <f t="shared" si="28"/>
        <v>1</v>
      </c>
      <c r="Y115" s="62">
        <f t="shared" si="29"/>
        <v>4.4200000000000003E-2</v>
      </c>
      <c r="Z115" s="62">
        <f t="shared" si="30"/>
        <v>23.333100000000002</v>
      </c>
      <c r="AA115" s="62">
        <f t="shared" si="31"/>
        <v>23.288900000000002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2"/>
        <v>0203-09</v>
      </c>
      <c r="AE115" s="85" t="str">
        <f t="shared" si="33"/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AF115" s="82" t="str">
        <f t="shared" si="34"/>
        <v>"C:\Program Files (x86)\AstroGrep\AstroGrep.exe" /e /r /s /spath="%USERPROFILE%\AppData\Local\Temp\OnboardLogs" /stypes="app*4003*20170310*" /stext=" 00:.+((SYSTEM_STATE.+slice.+state.+changed )|(ment ac)|(multiple cpu faults)|(system.+state.+changed )|(\[timeout)|(PRM\|1\|D)|(kpr)|(kdp)|(\|lc)|(penalty))"</v>
      </c>
      <c r="AG115" s="1" t="str">
        <f t="shared" si="35"/>
        <v>EC</v>
      </c>
      <c r="AH115" s="86" t="str">
        <f t="shared" si="36"/>
        <v>"%USERPROFILE%\Documents\GitHub\eaglep3\Utilities\RefineRTDCRunTimes.py" --tripid 203-09 --locoid 4003 --swversion DE.1.0.9.0 --startMP 204:442 --initTime 2017-03-09T16:25:24 --startdatetime 2017-03-09T16:30:23 --delay 1 --endMP 204:233331 --enddatetime 2017-03-09T17:06:32 --enforcementcount 0 &gt;&gt;C:\Users\stu\Documents\GitHub\eaglep3-reporting\EC\2017-03-09-refined-times.txt</v>
      </c>
      <c r="AI115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{"issue":{"subject":"","project_id":79,"tracker_id":40,"status_id":1,"priority_id":2,"assigned_to_id":23,"start_date":"2017-03-09","description":"","custom_fields":[{"id":1,"name":"Subdivision","value":"EC"},{"id":4,"name":"Milepost","value":"23.3331"},{"id":17,"name":"Train ID","value":"203-09"},{"id":16,"name":"Locomotive ID","value":"4003"},{"id":130,"name":"Impact","value":""},{"id":150,"name":"Time of Event (Mountain Time)","value":"17:06:32"},{"id":151,"name":"Denver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38"/>
        <v>start /low /b %USERPROFILE%\Documents\GitHub\eaglep3\Utilities\DownloadLogsFromS3.py --loco 4003 --day 2017-03-09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"%USERPROFILE%\AppData\Local\Temp\OnboardLogs"\RTDC4003\*4003*20170309* | grep -SE "(Enforcement Action)|(\[TIMEOUT)|(CHR.+\|PRM\|1\|D.+(SWITCH|SIGNAL).+UNKNOWN)" - &gt;&gt; 2017-03-09-UncaughtWiMAX.txt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753</v>
      </c>
      <c r="B116" s="7">
        <v>4004</v>
      </c>
      <c r="C116" s="21" t="s">
        <v>242</v>
      </c>
      <c r="D116" s="21" t="s">
        <v>541</v>
      </c>
      <c r="E116" s="13">
        <v>42803.722395833334</v>
      </c>
      <c r="F116" s="13">
        <v>42803.726620370369</v>
      </c>
      <c r="G116" s="7">
        <v>0</v>
      </c>
      <c r="H116" s="21" t="s">
        <v>232</v>
      </c>
      <c r="I116" s="13">
        <v>42803.755289351851</v>
      </c>
      <c r="J116" s="7">
        <v>0</v>
      </c>
      <c r="K116" s="98" t="str">
        <f t="shared" si="21"/>
        <v>4003/4004</v>
      </c>
      <c r="L116" s="21" t="str">
        <f>VLOOKUP(A116,'Trips&amp;Operators'!$C$1:$G$99999,5,FALSE)</f>
        <v>MOSES BRADLEY</v>
      </c>
      <c r="M116" s="6">
        <f t="shared" si="22"/>
        <v>2.8668981482042E-2</v>
      </c>
      <c r="N116" s="7">
        <f t="shared" si="23"/>
        <v>41.28333333414048</v>
      </c>
      <c r="O116" s="7"/>
      <c r="P116" s="7"/>
      <c r="Q116" s="22"/>
      <c r="R116" s="22"/>
      <c r="S116" s="31">
        <f t="shared" si="24"/>
        <v>1</v>
      </c>
      <c r="T116" s="46" t="str">
        <f t="shared" si="25"/>
        <v>Southbound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26"/>
        <v>https://d0f6bd738d7f1b3e5a7ca70fe4ff75f0.us-east-1.aws.found.io/app/kibana#/discover/Steve-Slow-Train-Analysis-(2080s-and-2083s)?_g=(refreshInterval:(display:Off,pause:!f,section:0,value:0),time:(from:'2017-03-09T16:20:15-0700',mode:absolute,to:'2017-03-09T19:07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6" s="187" t="str">
        <f t="shared" si="27"/>
        <v>N</v>
      </c>
      <c r="X116" s="187">
        <f t="shared" si="28"/>
        <v>1</v>
      </c>
      <c r="Y116" s="62">
        <f t="shared" si="29"/>
        <v>23.3002</v>
      </c>
      <c r="Z116" s="62">
        <f t="shared" si="30"/>
        <v>1.5599999999999999E-2</v>
      </c>
      <c r="AA116" s="62">
        <f t="shared" si="31"/>
        <v>23.284600000000001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2"/>
        <v>0204-09</v>
      </c>
      <c r="AE116" s="85" t="str">
        <f t="shared" si="33"/>
        <v>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 &amp; 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</v>
      </c>
      <c r="AF116" s="82" t="str">
        <f t="shared" si="34"/>
        <v>"C:\Program Files (x86)\AstroGrep\AstroGrep.exe" /e /r /s /spath="%USERPROFILE%\AppData\Local\Temp\OnboardLogs" /stypes="app*4004*20170310*" /stext=" 01:.+((SYSTEM_STATE.+slice.+state.+changed )|(ment ac)|(multiple cpu faults)|(system.+state.+changed )|(\[timeout)|(PRM\|1\|D)|(kpr)|(kdp)|(\|lc)|(penalty))"</v>
      </c>
      <c r="AG116" s="1" t="str">
        <f t="shared" si="35"/>
        <v>EC</v>
      </c>
      <c r="AH116" s="86" t="str">
        <f t="shared" si="36"/>
        <v>"%USERPROFILE%\Documents\GitHub\eaglep3\Utilities\RefineRTDCRunTimes.py" --tripid 204-09 --locoid 4004 --swversion DE.1.0.9.0 --startMP 204:233002 --initTime 2017-03-09T17:20:15 --startdatetime 2017-03-09T17:26:20 --delay 0 --endMP 204:156 --enddatetime 2017-03-09T18:07:37 --enforcementcount 0 &gt;&gt;C:\Users\stu\Documents\GitHub\eaglep3-reporting\EC\2017-03-09-refined-times.txt</v>
      </c>
      <c r="AI116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{"issue":{"subject":"","project_id":79,"tracker_id":40,"status_id":1,"priority_id":2,"assigned_to_id":23,"start_date":"2017-03-09","description":"","custom_fields":[{"id":1,"name":"Subdivision","value":"EC"},{"id":4,"name":"Milepost","value":"0.0156"},{"id":17,"name":"Train ID","value":"204-09"},{"id":16,"name":"Locomotive ID","value":"4004"},{"id":130,"name":"Impact","value":""},{"id":150,"name":"Time of Event (Mountain Time)","value":"18:07:37"},{"id":151,"name":"Denver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38"/>
        <v>start /low /b %USERPROFILE%\Documents\GitHub\eaglep3\Utilities\DownloadLogsFromS3.py --loco 4004 --day 2017-03-09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"%USERPROFILE%\AppData\Local\Temp\OnboardLogs"\RTDC4004\*4004*20170310* | grep -SE "(Enforcement Action)|(\[TIMEOUT)|(CHR.+\|PRM\|1\|D.+(SWITCH|SIGNAL).+UNKNOWN)" - &gt;&gt; 2017-03-09-UncaughtWiMAX.txt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604</v>
      </c>
      <c r="B117" s="7">
        <v>4018</v>
      </c>
      <c r="C117" s="21" t="s">
        <v>242</v>
      </c>
      <c r="D117" s="21" t="s">
        <v>217</v>
      </c>
      <c r="E117" s="13">
        <v>42803.688356481478</v>
      </c>
      <c r="F117" s="13">
        <v>42803.698159722226</v>
      </c>
      <c r="G117" s="7">
        <v>3</v>
      </c>
      <c r="H117" s="21" t="s">
        <v>864</v>
      </c>
      <c r="I117" s="13">
        <v>42803.724965277775</v>
      </c>
      <c r="J117" s="7">
        <v>0</v>
      </c>
      <c r="K117" s="98" t="str">
        <f t="shared" si="21"/>
        <v>4017/4018</v>
      </c>
      <c r="L117" s="21" t="str">
        <f>VLOOKUP(A117,'Trips&amp;Operators'!$C$1:$G$99999,5,FALSE)</f>
        <v>STRICKLAND EVAN</v>
      </c>
      <c r="M117" s="6">
        <f t="shared" si="22"/>
        <v>2.6805555549799465E-2</v>
      </c>
      <c r="N117" s="7">
        <f t="shared" si="23"/>
        <v>38.599999991711229</v>
      </c>
      <c r="O117" s="7"/>
      <c r="P117" s="7"/>
      <c r="Q117" s="22"/>
      <c r="R117" s="22"/>
      <c r="S117" s="31">
        <f t="shared" si="24"/>
        <v>1</v>
      </c>
      <c r="T117" s="46" t="str">
        <f t="shared" si="25"/>
        <v>NorthBound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26"/>
        <v>https://d0f6bd738d7f1b3e5a7ca70fe4ff75f0.us-east-1.aws.found.io/app/kibana#/discover/Steve-Slow-Train-Analysis-(2080s-and-2083s)?_g=(refreshInterval:(display:Off,pause:!f,section:0,value:0),time:(from:'2017-03-09T15:31:14-0700',mode:absolute,to:'2017-03-09T18:23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7" s="187" t="str">
        <f t="shared" si="27"/>
        <v>N</v>
      </c>
      <c r="X117" s="187">
        <f t="shared" si="28"/>
        <v>1</v>
      </c>
      <c r="Y117" s="62">
        <f t="shared" si="29"/>
        <v>4.5699999999999998E-2</v>
      </c>
      <c r="Z117" s="62">
        <f t="shared" si="30"/>
        <v>23.3322</v>
      </c>
      <c r="AA117" s="62">
        <f t="shared" si="31"/>
        <v>23.2865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2"/>
        <v>0205-09</v>
      </c>
      <c r="AE117" s="85" t="str">
        <f t="shared" si="33"/>
        <v>aws s3 cp s3://rtdc.mdm.uploadarchive.raw/RTDC4018/ "%USERPROFILE%\AppData\Local\Temp\OnboardLogs"\RTDC4018\2017-03-09 --exclude "*" --recursive --include "*20170309*" &amp; "%USERPROFILE%\Documents\GitHub\mrs-test-scripts\Headless Mode &amp; Sideloading\WalkAndUnGZ.bat" "%USERPROFILE%\AppData\Local\Temp\OnboardLogs"\RTDC4018\2017-03-09 &amp; 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</v>
      </c>
      <c r="AF117" s="82" t="str">
        <f t="shared" si="34"/>
        <v>"C:\Program Files (x86)\AstroGrep\AstroGrep.exe" /e /r /s /spath="%USERPROFILE%\AppData\Local\Temp\OnboardLogs" /stypes="app*4018*20170310*" /stext=" 00:.+((SYSTEM_STATE.+slice.+state.+changed )|(ment ac)|(multiple cpu faults)|(system.+state.+changed )|(\[timeout)|(PRM\|1\|D)|(kpr)|(kdp)|(\|lc)|(penalty))"</v>
      </c>
      <c r="AG117" s="1" t="str">
        <f t="shared" si="35"/>
        <v>EC</v>
      </c>
      <c r="AH117" s="86" t="str">
        <f t="shared" si="36"/>
        <v>"%USERPROFILE%\Documents\GitHub\eaglep3\Utilities\RefineRTDCRunTimes.py" --tripid 205-09 --locoid 4018 --swversion DE.1.0.9.0 --startMP 204:457 --initTime 2017-03-09T16:31:14 --startdatetime 2017-03-09T16:45:21 --delay 3 --endMP 204:233322 --enddatetime 2017-03-09T17:23:57 --enforcementcount 0 &gt;&gt;C:\Users\stu\Documents\GitHub\eaglep3-reporting\EC\2017-03-09-refined-times.txt</v>
      </c>
      <c r="AI117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{"issue":{"subject":"","project_id":79,"tracker_id":40,"status_id":1,"priority_id":2,"assigned_to_id":23,"start_date":"2017-03-09","description":"","custom_fields":[{"id":1,"name":"Subdivision","value":"EC"},{"id":4,"name":"Milepost","value":"23.3322"},{"id":17,"name":"Train ID","value":"205-09"},{"id":16,"name":"Locomotive ID","value":"4018"},{"id":130,"name":"Impact","value":""},{"id":150,"name":"Time of Event (Mountain Time)","value":"17:23:57"},{"id":151,"name":"Denver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38"/>
        <v>start /low /b %USERPROFILE%\Documents\GitHub\eaglep3\Utilities\DownloadLogsFromS3.py --loco 4018 --day 2017-03-09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"%USERPROFILE%\AppData\Local\Temp\OnboardLogs"\RTDC4018\*4018*20170310* | grep -SE "(Enforcement Action)|(\[TIMEOUT)|(CHR.+\|PRM\|1\|D.+(SWITCH|SIGNAL).+UNKNOWN)" - &gt;&gt; 2017-03-09-UncaughtWiMAX.txt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757</v>
      </c>
      <c r="B118" s="7">
        <v>4017</v>
      </c>
      <c r="C118" s="21" t="s">
        <v>242</v>
      </c>
      <c r="D118" s="21" t="s">
        <v>840</v>
      </c>
      <c r="E118" s="13">
        <v>42803.728136574071</v>
      </c>
      <c r="F118" s="13">
        <v>42803.737002314818</v>
      </c>
      <c r="G118" s="7">
        <v>1</v>
      </c>
      <c r="H118" s="21" t="s">
        <v>194</v>
      </c>
      <c r="I118" s="13">
        <v>42803.768113425926</v>
      </c>
      <c r="J118" s="7">
        <v>0</v>
      </c>
      <c r="K118" s="98" t="str">
        <f t="shared" si="21"/>
        <v>4017/4018</v>
      </c>
      <c r="L118" s="21" t="str">
        <f>VLOOKUP(A118,'Trips&amp;Operators'!$C$1:$G$99999,5,FALSE)</f>
        <v>STRICKLAND EVAN</v>
      </c>
      <c r="M118" s="6">
        <f t="shared" si="22"/>
        <v>3.1111111107748002E-2</v>
      </c>
      <c r="N118" s="7">
        <f t="shared" si="23"/>
        <v>44.799999995157123</v>
      </c>
      <c r="O118" s="7"/>
      <c r="P118" s="7"/>
      <c r="Q118" s="22"/>
      <c r="R118" s="22"/>
      <c r="S118" s="31">
        <f t="shared" si="24"/>
        <v>1</v>
      </c>
      <c r="T118" s="46" t="str">
        <f t="shared" si="25"/>
        <v>Southbound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26"/>
        <v>https://d0f6bd738d7f1b3e5a7ca70fe4ff75f0.us-east-1.aws.found.io/app/kibana#/discover/Steve-Slow-Train-Analysis-(2080s-and-2083s)?_g=(refreshInterval:(display:Off,pause:!f,section:0,value:0),time:(from:'2017-03-09T16:28:31-0700',mode:absolute,to:'2017-03-09T19:26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8" s="187" t="str">
        <f t="shared" si="27"/>
        <v>N</v>
      </c>
      <c r="X118" s="187">
        <f t="shared" si="28"/>
        <v>1</v>
      </c>
      <c r="Y118" s="62">
        <f t="shared" si="29"/>
        <v>23.299199999999999</v>
      </c>
      <c r="Z118" s="62">
        <f t="shared" si="30"/>
        <v>1.4500000000000001E-2</v>
      </c>
      <c r="AA118" s="62">
        <f t="shared" si="31"/>
        <v>23.284699999999997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2"/>
        <v>0206-09</v>
      </c>
      <c r="AE118" s="85" t="str">
        <f t="shared" si="33"/>
        <v>aws s3 cp s3://rtdc.mdm.uploadarchive.raw/RTDC4017/ "%USERPROFILE%\AppData\Local\Temp\OnboardLogs"\RTDC4017\2017-03-09 --exclude "*" --recursive --include "*20170309*" &amp; "%USERPROFILE%\Documents\GitHub\mrs-test-scripts\Headless Mode &amp; Sideloading\WalkAndUnGZ.bat" "%USERPROFILE%\AppData\Local\Temp\OnboardLogs"\RTDC4017\2017-03-09 &amp; aws s3 cp s3://rtdc.mdm.uploadarchive.raw/RTDC4017/ "%USERPROFILE%\AppData\Local\Temp\OnboardLogs"\RTDC4017\2017-03-10 --exclude "*" --recursive --include "*20170310*" &amp; "%USERPROFILE%\Documents\GitHub\mrs-test-scripts\Headless Mode &amp; Sideloading\WalkAndUnGZ.bat" "%USERPROFILE%\AppData\Local\Temp\OnboardLogs"\RTDC4017\2017-03-10</v>
      </c>
      <c r="AF118" s="82" t="str">
        <f t="shared" si="34"/>
        <v>"C:\Program Files (x86)\AstroGrep\AstroGrep.exe" /e /r /s /spath="%USERPROFILE%\AppData\Local\Temp\OnboardLogs" /stypes="app*4017*20170310*" /stext=" 01:.+((SYSTEM_STATE.+slice.+state.+changed )|(ment ac)|(multiple cpu faults)|(system.+state.+changed )|(\[timeout)|(PRM\|1\|D)|(kpr)|(kdp)|(\|lc)|(penalty))"</v>
      </c>
      <c r="AG118" s="1" t="str">
        <f t="shared" si="35"/>
        <v>EC</v>
      </c>
      <c r="AH118" s="86" t="str">
        <f t="shared" si="36"/>
        <v>"%USERPROFILE%\Documents\GitHub\eaglep3\Utilities\RefineRTDCRunTimes.py" --tripid 206-09 --locoid 4017 --swversion DE.1.0.9.0 --startMP 204:232992 --initTime 2017-03-09T17:28:31 --startdatetime 2017-03-09T17:41:17 --delay 1 --endMP 204:145 --enddatetime 2017-03-09T18:26:05 --enforcementcount 0 &gt;&gt;C:\Users\stu\Documents\GitHub\eaglep3-reporting\EC\2017-03-09-refined-times.txt</v>
      </c>
      <c r="AI118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{"issue":{"subject":"","project_id":79,"tracker_id":40,"status_id":1,"priority_id":2,"assigned_to_id":23,"start_date":"2017-03-09","description":"","custom_fields":[{"id":1,"name":"Subdivision","value":"EC"},{"id":4,"name":"Milepost","value":"0.0145"},{"id":17,"name":"Train ID","value":"206-09"},{"id":16,"name":"Locomotive ID","value":"4017"},{"id":130,"name":"Impact","value":""},{"id":150,"name":"Time of Event (Mountain Time)","value":"18:26:05"},{"id":151,"name":"Denver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38"/>
        <v>start /low /b %USERPROFILE%\Documents\GitHub\eaglep3\Utilities\DownloadLogsFromS3.py --loco 4017 --day 2017-03-09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"%USERPROFILE%\AppData\Local\Temp\OnboardLogs"\RTDC4017\*4017*20170310* | grep -SE "(Enforcement Action)|(\[TIMEOUT)|(CHR.+\|PRM\|1\|D.+(SWITCH|SIGNAL).+UNKNOWN)" - &gt;&gt; 2017-03-09-UncaughtWiMAX.txt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748</v>
      </c>
      <c r="B119" s="7">
        <v>4040</v>
      </c>
      <c r="C119" s="21" t="s">
        <v>242</v>
      </c>
      <c r="D119" s="21" t="s">
        <v>237</v>
      </c>
      <c r="E119" s="13">
        <v>42803.705590277779</v>
      </c>
      <c r="F119" s="13">
        <v>42803.708668981482</v>
      </c>
      <c r="G119" s="7">
        <v>1</v>
      </c>
      <c r="H119" s="21" t="s">
        <v>540</v>
      </c>
      <c r="I119" s="13">
        <v>42803.734606481485</v>
      </c>
      <c r="J119" s="7">
        <v>0</v>
      </c>
      <c r="K119" s="98" t="str">
        <f t="shared" si="21"/>
        <v>4039/4040</v>
      </c>
      <c r="L119" s="21" t="str">
        <f>VLOOKUP(A119,'Trips&amp;Operators'!$C$1:$G$99999,5,FALSE)</f>
        <v>SMITH MICHAEL</v>
      </c>
      <c r="M119" s="6">
        <f t="shared" si="22"/>
        <v>2.5937500002328306E-2</v>
      </c>
      <c r="N119" s="7">
        <f t="shared" si="23"/>
        <v>37.350000003352761</v>
      </c>
      <c r="O119" s="7"/>
      <c r="P119" s="7"/>
      <c r="Q119" s="22"/>
      <c r="R119" s="22"/>
      <c r="S119" s="31">
        <f t="shared" si="24"/>
        <v>1</v>
      </c>
      <c r="T119" s="46" t="str">
        <f t="shared" si="25"/>
        <v>NorthBound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26"/>
        <v>https://d0f6bd738d7f1b3e5a7ca70fe4ff75f0.us-east-1.aws.found.io/app/kibana#/discover/Steve-Slow-Train-Analysis-(2080s-and-2083s)?_g=(refreshInterval:(display:Off,pause:!f,section:0,value:0),time:(from:'2017-03-09T15:56:03-0700',mode:absolute,to:'2017-03-09T18:37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9" s="187" t="str">
        <f t="shared" si="27"/>
        <v>N</v>
      </c>
      <c r="X119" s="187">
        <f t="shared" si="28"/>
        <v>1</v>
      </c>
      <c r="Y119" s="62">
        <f t="shared" si="29"/>
        <v>4.6600000000000003E-2</v>
      </c>
      <c r="Z119" s="62">
        <f t="shared" si="30"/>
        <v>23.3306</v>
      </c>
      <c r="AA119" s="62">
        <f t="shared" si="31"/>
        <v>23.283999999999999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2"/>
        <v>0207-09</v>
      </c>
      <c r="AE119" s="85" t="str">
        <f t="shared" si="33"/>
        <v>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 &amp; 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</v>
      </c>
      <c r="AF119" s="82" t="str">
        <f t="shared" si="34"/>
        <v>"C:\Program Files (x86)\AstroGrep\AstroGrep.exe" /e /r /s /spath="%USERPROFILE%\AppData\Local\Temp\OnboardLogs" /stypes="app*4040*20170310*" /stext=" 00:.+((SYSTEM_STATE.+slice.+state.+changed )|(ment ac)|(multiple cpu faults)|(system.+state.+changed )|(\[timeout)|(PRM\|1\|D)|(kpr)|(kdp)|(\|lc)|(penalty))"</v>
      </c>
      <c r="AG119" s="1" t="str">
        <f t="shared" si="35"/>
        <v>EC</v>
      </c>
      <c r="AH119" s="86" t="str">
        <f t="shared" si="36"/>
        <v>"%USERPROFILE%\Documents\GitHub\eaglep3\Utilities\RefineRTDCRunTimes.py" --tripid 207-09 --locoid 4040 --swversion DE.1.0.9.0 --startMP 204:466 --initTime 2017-03-09T16:56:03 --startdatetime 2017-03-09T17:00:29 --delay 1 --endMP 204:233306 --enddatetime 2017-03-09T17:37:50 --enforcementcount 0 &gt;&gt;C:\Users\stu\Documents\GitHub\eaglep3-reporting\EC\2017-03-09-refined-times.txt</v>
      </c>
      <c r="AI119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{"issue":{"subject":"","project_id":79,"tracker_id":40,"status_id":1,"priority_id":2,"assigned_to_id":23,"start_date":"2017-03-09","description":"","custom_fields":[{"id":1,"name":"Subdivision","value":"EC"},{"id":4,"name":"Milepost","value":"23.3306"},{"id":17,"name":"Train ID","value":"207-09"},{"id":16,"name":"Locomotive ID","value":"4040"},{"id":130,"name":"Impact","value":""},{"id":150,"name":"Time of Event (Mountain Time)","value":"17:37:50"},{"id":151,"name":"Denver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38"/>
        <v>start /low /b %USERPROFILE%\Documents\GitHub\eaglep3\Utilities\DownloadLogsFromS3.py --loco 4040 --day 2017-03-09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"%USERPROFILE%\AppData\Local\Temp\OnboardLogs"\RTDC4040\*4040*20170310* | grep -SE "(Enforcement Action)|(\[TIMEOUT)|(CHR.+\|PRM\|1\|D.+(SWITCH|SIGNAL).+UNKNOWN)" - &gt;&gt; 2017-03-09-UncaughtWiMAX.txt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764</v>
      </c>
      <c r="B120" s="7">
        <v>4039</v>
      </c>
      <c r="C120" s="21" t="s">
        <v>242</v>
      </c>
      <c r="D120" s="21" t="s">
        <v>438</v>
      </c>
      <c r="E120" s="13">
        <v>42803.739236111112</v>
      </c>
      <c r="F120" s="13">
        <v>42803.747650462959</v>
      </c>
      <c r="G120" s="7">
        <v>1</v>
      </c>
      <c r="H120" s="21" t="s">
        <v>208</v>
      </c>
      <c r="I120" s="13">
        <v>42803.776562500003</v>
      </c>
      <c r="J120" s="7">
        <v>0</v>
      </c>
      <c r="K120" s="98" t="str">
        <f t="shared" si="21"/>
        <v>4039/4040</v>
      </c>
      <c r="L120" s="21" t="str">
        <f>VLOOKUP(A120,'Trips&amp;Operators'!$C$1:$G$99999,5,FALSE)</f>
        <v>SMITH MICHAEL</v>
      </c>
      <c r="M120" s="6">
        <f t="shared" si="22"/>
        <v>2.8912037043482997E-2</v>
      </c>
      <c r="N120" s="7">
        <f t="shared" si="23"/>
        <v>41.633333342615515</v>
      </c>
      <c r="O120" s="7"/>
      <c r="P120" s="7"/>
      <c r="Q120" s="22"/>
      <c r="R120" s="22"/>
      <c r="S120" s="31">
        <f t="shared" si="24"/>
        <v>1</v>
      </c>
      <c r="T120" s="46" t="str">
        <f t="shared" si="25"/>
        <v>Southbound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26"/>
        <v>https://d0f6bd738d7f1b3e5a7ca70fe4ff75f0.us-east-1.aws.found.io/app/kibana#/discover/Steve-Slow-Train-Analysis-(2080s-and-2083s)?_g=(refreshInterval:(display:Off,pause:!f,section:0,value:0),time:(from:'2017-03-09T16:44:30-0700',mode:absolute,to:'2017-03-09T19:38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0" s="187" t="str">
        <f t="shared" si="27"/>
        <v>N</v>
      </c>
      <c r="X120" s="187">
        <f t="shared" si="28"/>
        <v>1</v>
      </c>
      <c r="Y120" s="62">
        <f t="shared" si="29"/>
        <v>23.2989</v>
      </c>
      <c r="Z120" s="62">
        <f t="shared" si="30"/>
        <v>1.54E-2</v>
      </c>
      <c r="AA120" s="62">
        <f t="shared" si="31"/>
        <v>23.2835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2"/>
        <v>0208-09</v>
      </c>
      <c r="AE120" s="85" t="str">
        <f t="shared" si="33"/>
        <v>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 &amp; 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</v>
      </c>
      <c r="AF120" s="82" t="str">
        <f t="shared" si="34"/>
        <v>"C:\Program Files (x86)\AstroGrep\AstroGrep.exe" /e /r /s /spath="%USERPROFILE%\AppData\Local\Temp\OnboardLogs" /stypes="app*4039*20170310*" /stext=" 01:.+((SYSTEM_STATE.+slice.+state.+changed )|(ment ac)|(multiple cpu faults)|(system.+state.+changed )|(\[timeout)|(PRM\|1\|D)|(kpr)|(kdp)|(\|lc)|(penalty))"</v>
      </c>
      <c r="AG120" s="1" t="str">
        <f t="shared" si="35"/>
        <v>EC</v>
      </c>
      <c r="AH120" s="86" t="str">
        <f t="shared" si="36"/>
        <v>"%USERPROFILE%\Documents\GitHub\eaglep3\Utilities\RefineRTDCRunTimes.py" --tripid 208-09 --locoid 4039 --swversion DE.1.0.9.0 --startMP 204:232989 --initTime 2017-03-09T17:44:30 --startdatetime 2017-03-09T17:56:37 --delay 1 --endMP 204:154 --enddatetime 2017-03-09T18:38:15 --enforcementcount 0 &gt;&gt;C:\Users\stu\Documents\GitHub\eaglep3-reporting\EC\2017-03-09-refined-times.txt</v>
      </c>
      <c r="AI120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{"issue":{"subject":"","project_id":79,"tracker_id":40,"status_id":1,"priority_id":2,"assigned_to_id":23,"start_date":"2017-03-09","description":"","custom_fields":[{"id":1,"name":"Subdivision","value":"EC"},{"id":4,"name":"Milepost","value":"0.0154"},{"id":17,"name":"Train ID","value":"208-09"},{"id":16,"name":"Locomotive ID","value":"4039"},{"id":130,"name":"Impact","value":""},{"id":150,"name":"Time of Event (Mountain Time)","value":"18:38:15"},{"id":151,"name":"Denver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38"/>
        <v>start /low /b %USERPROFILE%\Documents\GitHub\eaglep3\Utilities\DownloadLogsFromS3.py --loco 4039 --day 2017-03-09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"%USERPROFILE%\AppData\Local\Temp\OnboardLogs"\RTDC4039\*4039*20170310* | grep -SE "(Enforcement Action)|(\[TIMEOUT)|(CHR.+\|PRM\|1\|D.+(SWITCH|SIGNAL).+UNKNOWN)" - &gt;&gt; 2017-03-09-UncaughtWiMAX.txt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752</v>
      </c>
      <c r="B121" s="7">
        <v>4044</v>
      </c>
      <c r="C121" s="21" t="s">
        <v>242</v>
      </c>
      <c r="D121" s="21" t="s">
        <v>865</v>
      </c>
      <c r="E121" s="13">
        <v>42803.719363425924</v>
      </c>
      <c r="F121" s="13">
        <v>42803.720659722225</v>
      </c>
      <c r="G121" s="7">
        <v>1</v>
      </c>
      <c r="H121" s="21" t="s">
        <v>553</v>
      </c>
      <c r="I121" s="13">
        <v>42803.748541666668</v>
      </c>
      <c r="J121" s="7">
        <v>0</v>
      </c>
      <c r="K121" s="98" t="str">
        <f t="shared" si="21"/>
        <v>4043/4044</v>
      </c>
      <c r="L121" s="21" t="str">
        <f>VLOOKUP(A121,'Trips&amp;Operators'!$C$1:$G$99999,5,FALSE)</f>
        <v>CHANDLER KELVIN</v>
      </c>
      <c r="M121" s="6">
        <f t="shared" si="22"/>
        <v>2.7881944442924578E-2</v>
      </c>
      <c r="N121" s="7">
        <f t="shared" si="23"/>
        <v>40.149999997811392</v>
      </c>
      <c r="O121" s="7"/>
      <c r="P121" s="7"/>
      <c r="Q121" s="22"/>
      <c r="R121" s="22"/>
      <c r="S121" s="31">
        <f t="shared" si="24"/>
        <v>1</v>
      </c>
      <c r="T121" s="46" t="str">
        <f t="shared" si="25"/>
        <v>NorthBound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26"/>
        <v>https://d0f6bd738d7f1b3e5a7ca70fe4ff75f0.us-east-1.aws.found.io/app/kibana#/discover/Steve-Slow-Train-Analysis-(2080s-and-2083s)?_g=(refreshInterval:(display:Off,pause:!f,section:0,value:0),time:(from:'2017-03-09T16:15:53-0700',mode:absolute,to:'2017-03-09T18:57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1" s="187" t="str">
        <f t="shared" si="27"/>
        <v>N</v>
      </c>
      <c r="X121" s="187">
        <f t="shared" si="28"/>
        <v>1</v>
      </c>
      <c r="Y121" s="62">
        <f t="shared" si="29"/>
        <v>4.9700000000000001E-2</v>
      </c>
      <c r="Z121" s="62">
        <f t="shared" si="30"/>
        <v>23.328399999999998</v>
      </c>
      <c r="AA121" s="62">
        <f t="shared" si="31"/>
        <v>23.278699999999997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2"/>
        <v>0209-09</v>
      </c>
      <c r="AE121" s="85" t="str">
        <f t="shared" si="33"/>
        <v>aws s3 cp s3://rtdc.mdm.uploadarchive.raw/RTDC4044/ "%USERPROFILE%\AppData\Local\Temp\OnboardLogs"\RTDC4044\2017-03-09 --exclude "*" --recursive --include "*20170309*" &amp; "%USERPROFILE%\Documents\GitHub\mrs-test-scripts\Headless Mode &amp; Sideloading\WalkAndUnGZ.bat" "%USERPROFILE%\AppData\Local\Temp\OnboardLogs"\RTDC4044\2017-03-09 &amp; aws s3 cp s3://rtdc.mdm.uploadarchive.raw/RTDC4044/ "%USERPROFILE%\AppData\Local\Temp\OnboardLogs"\RTDC4044\2017-03-10 --exclude "*" --recursive --include "*20170310*" &amp; "%USERPROFILE%\Documents\GitHub\mrs-test-scripts\Headless Mode &amp; Sideloading\WalkAndUnGZ.bat" "%USERPROFILE%\AppData\Local\Temp\OnboardLogs"\RTDC4044\2017-03-10</v>
      </c>
      <c r="AF121" s="82" t="str">
        <f t="shared" si="34"/>
        <v>"C:\Program Files (x86)\AstroGrep\AstroGrep.exe" /e /r /s /spath="%USERPROFILE%\AppData\Local\Temp\OnboardLogs" /stypes="app*4044*20170310*" /stext=" 00:.+((SYSTEM_STATE.+slice.+state.+changed )|(ment ac)|(multiple cpu faults)|(system.+state.+changed )|(\[timeout)|(PRM\|1\|D)|(kpr)|(kdp)|(\|lc)|(penalty))"</v>
      </c>
      <c r="AG121" s="1" t="str">
        <f t="shared" si="35"/>
        <v>EC</v>
      </c>
      <c r="AH121" s="86" t="str">
        <f t="shared" si="36"/>
        <v>"%USERPROFILE%\Documents\GitHub\eaglep3\Utilities\RefineRTDCRunTimes.py" --tripid 209-09 --locoid 4044 --swversion DE.1.0.9.0 --startMP 204:497 --initTime 2017-03-09T17:15:53 --startdatetime 2017-03-09T17:17:45 --delay 1 --endMP 204:233284 --enddatetime 2017-03-09T17:57:54 --enforcementcount 0 &gt;&gt;C:\Users\stu\Documents\GitHub\eaglep3-reporting\EC\2017-03-09-refined-times.txt</v>
      </c>
      <c r="AI121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{"issue":{"subject":"","project_id":79,"tracker_id":40,"status_id":1,"priority_id":2,"assigned_to_id":23,"start_date":"2017-03-09","description":"","custom_fields":[{"id":1,"name":"Subdivision","value":"EC"},{"id":4,"name":"Milepost","value":"23.3284"},{"id":17,"name":"Train ID","value":"209-09"},{"id":16,"name":"Locomotive ID","value":"4044"},{"id":130,"name":"Impact","value":""},{"id":150,"name":"Time of Event (Mountain Time)","value":"17:57:54"},{"id":151,"name":"Denver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38"/>
        <v>start /low /b %USERPROFILE%\Documents\GitHub\eaglep3\Utilities\DownloadLogsFromS3.py --loco 4044 --day 2017-03-09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"%USERPROFILE%\AppData\Local\Temp\OnboardLogs"\RTDC4044\*4044*20170310* | grep -SE "(Enforcement Action)|(\[TIMEOUT)|(CHR.+\|PRM\|1\|D.+(SWITCH|SIGNAL).+UNKNOWN)" - &gt;&gt; 2017-03-09-UncaughtWiMAX.txt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766</v>
      </c>
      <c r="B122" s="7">
        <v>4043</v>
      </c>
      <c r="C122" s="21" t="s">
        <v>242</v>
      </c>
      <c r="D122" s="21" t="s">
        <v>845</v>
      </c>
      <c r="E122" s="13">
        <v>42803.755648148152</v>
      </c>
      <c r="F122" s="13">
        <v>42803.758009259262</v>
      </c>
      <c r="G122" s="7">
        <v>1</v>
      </c>
      <c r="H122" s="21" t="s">
        <v>208</v>
      </c>
      <c r="I122" s="13">
        <v>42803.786516203705</v>
      </c>
      <c r="J122" s="7">
        <v>0</v>
      </c>
      <c r="K122" s="98" t="str">
        <f t="shared" si="21"/>
        <v>4043/4044</v>
      </c>
      <c r="L122" s="21" t="str">
        <f>VLOOKUP(A122,'Trips&amp;Operators'!$C$1:$G$99999,5,FALSE)</f>
        <v>CHANDLER KELVIN</v>
      </c>
      <c r="M122" s="6">
        <f t="shared" si="22"/>
        <v>2.8506944443506654E-2</v>
      </c>
      <c r="N122" s="7">
        <f t="shared" si="23"/>
        <v>41.049999998649582</v>
      </c>
      <c r="O122" s="7"/>
      <c r="P122" s="7"/>
      <c r="Q122" s="22"/>
      <c r="R122" s="22"/>
      <c r="S122" s="31">
        <f t="shared" si="24"/>
        <v>1</v>
      </c>
      <c r="T122" s="46" t="str">
        <f t="shared" si="25"/>
        <v>Southbound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26"/>
        <v>https://d0f6bd738d7f1b3e5a7ca70fe4ff75f0.us-east-1.aws.found.io/app/kibana#/discover/Steve-Slow-Train-Analysis-(2080s-and-2083s)?_g=(refreshInterval:(display:Off,pause:!f,section:0,value:0),time:(from:'2017-03-09T17:08:08-0700',mode:absolute,to:'2017-03-09T19:52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2" s="187" t="str">
        <f t="shared" si="27"/>
        <v>N</v>
      </c>
      <c r="X122" s="187">
        <f t="shared" si="28"/>
        <v>1</v>
      </c>
      <c r="Y122" s="62">
        <f t="shared" si="29"/>
        <v>23.2959</v>
      </c>
      <c r="Z122" s="62">
        <f t="shared" si="30"/>
        <v>1.54E-2</v>
      </c>
      <c r="AA122" s="62">
        <f t="shared" si="31"/>
        <v>23.2805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2"/>
        <v>0210-09</v>
      </c>
      <c r="AE122" s="85" t="str">
        <f t="shared" si="33"/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AF122" s="82" t="str">
        <f t="shared" si="34"/>
        <v>"C:\Program Files (x86)\AstroGrep\AstroGrep.exe" /e /r /s /spath="%USERPROFILE%\AppData\Local\Temp\OnboardLogs" /stypes="app*4043*20170310*" /stext=" 01:.+((SYSTEM_STATE.+slice.+state.+changed )|(ment ac)|(multiple cpu faults)|(system.+state.+changed )|(\[timeout)|(PRM\|1\|D)|(kpr)|(kdp)|(\|lc)|(penalty))"</v>
      </c>
      <c r="AG122" s="1" t="str">
        <f t="shared" si="35"/>
        <v>EC</v>
      </c>
      <c r="AH122" s="86" t="str">
        <f t="shared" si="36"/>
        <v>"%USERPROFILE%\Documents\GitHub\eaglep3\Utilities\RefineRTDCRunTimes.py" --tripid 210-09 --locoid 4043 --swversion DE.1.0.9.0 --startMP 204:232959 --initTime 2017-03-09T18:08:08 --startdatetime 2017-03-09T18:11:32 --delay 1 --endMP 204:154 --enddatetime 2017-03-09T18:52:35 --enforcementcount 0 &gt;&gt;C:\Users\stu\Documents\GitHub\eaglep3-reporting\EC\2017-03-09-refined-times.txt</v>
      </c>
      <c r="AI122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{"issue":{"subject":"","project_id":79,"tracker_id":40,"status_id":1,"priority_id":2,"assigned_to_id":23,"start_date":"2017-03-09","description":"","custom_fields":[{"id":1,"name":"Subdivision","value":"EC"},{"id":4,"name":"Milepost","value":"0.0154"},{"id":17,"name":"Train ID","value":"210-09"},{"id":16,"name":"Locomotive ID","value":"4043"},{"id":130,"name":"Impact","value":""},{"id":150,"name":"Time of Event (Mountain Time)","value":"18:52:35"},{"id":151,"name":"Denver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38"/>
        <v>start /low /b %USERPROFILE%\Documents\GitHub\eaglep3\Utilities\DownloadLogsFromS3.py --loco 4043 --day 2017-03-09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"%USERPROFILE%\AppData\Local\Temp\OnboardLogs"\RTDC4043\*4043*20170310* | grep -SE "(Enforcement Action)|(\[TIMEOUT)|(CHR.+\|PRM\|1\|D.+(SWITCH|SIGNAL).+UNKNOWN)" - &gt;&gt; 2017-03-09-UncaughtWiMAX.txt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755</v>
      </c>
      <c r="B123" s="7">
        <v>4014</v>
      </c>
      <c r="C123" s="21" t="s">
        <v>242</v>
      </c>
      <c r="D123" s="21" t="s">
        <v>223</v>
      </c>
      <c r="E123" s="13">
        <v>42803.726678240739</v>
      </c>
      <c r="F123" s="13">
        <v>42803.72934027778</v>
      </c>
      <c r="G123" s="7">
        <v>1</v>
      </c>
      <c r="H123" s="21" t="s">
        <v>838</v>
      </c>
      <c r="I123" s="13">
        <v>42803.755706018521</v>
      </c>
      <c r="J123" s="7">
        <v>0</v>
      </c>
      <c r="K123" s="98" t="str">
        <f t="shared" si="21"/>
        <v>4013/4014</v>
      </c>
      <c r="L123" s="21" t="str">
        <f>VLOOKUP(A123,'Trips&amp;Operators'!$C$1:$G$99999,5,FALSE)</f>
        <v>LOCKLEAR TRAVIS</v>
      </c>
      <c r="M123" s="6">
        <f t="shared" si="22"/>
        <v>2.6365740741312038E-2</v>
      </c>
      <c r="N123" s="7">
        <f t="shared" si="23"/>
        <v>37.966666667489335</v>
      </c>
      <c r="O123" s="7"/>
      <c r="P123" s="7"/>
      <c r="Q123" s="22"/>
      <c r="R123" s="22"/>
      <c r="S123" s="31">
        <f t="shared" si="24"/>
        <v>1</v>
      </c>
      <c r="T123" s="46" t="str">
        <f t="shared" si="25"/>
        <v>NorthBound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26"/>
        <v>https://d0f6bd738d7f1b3e5a7ca70fe4ff75f0.us-east-1.aws.found.io/app/kibana#/discover/Steve-Slow-Train-Analysis-(2080s-and-2083s)?_g=(refreshInterval:(display:Off,pause:!f,section:0,value:0),time:(from:'2017-03-09T16:26:25-0700',mode:absolute,to:'2017-03-09T19:08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3" s="187" t="str">
        <f t="shared" si="27"/>
        <v>N</v>
      </c>
      <c r="X123" s="187">
        <f t="shared" si="28"/>
        <v>1</v>
      </c>
      <c r="Y123" s="62">
        <f t="shared" si="29"/>
        <v>4.53E-2</v>
      </c>
      <c r="Z123" s="62">
        <f t="shared" si="30"/>
        <v>23.3323</v>
      </c>
      <c r="AA123" s="62">
        <f t="shared" si="31"/>
        <v>23.286999999999999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2"/>
        <v>0211-09</v>
      </c>
      <c r="AE123" s="85" t="str">
        <f t="shared" si="33"/>
        <v>aws s3 cp s3://rtdc.mdm.uploadarchive.raw/RTDC4014/ "%USERPROFILE%\AppData\Local\Temp\OnboardLogs"\RTDC4014\2017-03-09 --exclude "*" --recursive --include "*20170309*" &amp; "%USERPROFILE%\Documents\GitHub\mrs-test-scripts\Headless Mode &amp; Sideloading\WalkAndUnGZ.bat" "%USERPROFILE%\AppData\Local\Temp\OnboardLogs"\RTDC4014\2017-03-09 &amp; aws s3 cp s3://rtdc.mdm.uploadarchive.raw/RTDC4014/ "%USERPROFILE%\AppData\Local\Temp\OnboardLogs"\RTDC4014\2017-03-10 --exclude "*" --recursive --include "*20170310*" &amp; "%USERPROFILE%\Documents\GitHub\mrs-test-scripts\Headless Mode &amp; Sideloading\WalkAndUnGZ.bat" "%USERPROFILE%\AppData\Local\Temp\OnboardLogs"\RTDC4014\2017-03-10</v>
      </c>
      <c r="AF123" s="82" t="str">
        <f t="shared" si="34"/>
        <v>"C:\Program Files (x86)\AstroGrep\AstroGrep.exe" /e /r /s /spath="%USERPROFILE%\AppData\Local\Temp\OnboardLogs" /stypes="app*4014*20170310*" /stext=" 01:.+((SYSTEM_STATE.+slice.+state.+changed )|(ment ac)|(multiple cpu faults)|(system.+state.+changed )|(\[timeout)|(PRM\|1\|D)|(kpr)|(kdp)|(\|lc)|(penalty))"</v>
      </c>
      <c r="AG123" s="1" t="str">
        <f t="shared" si="35"/>
        <v>EC</v>
      </c>
      <c r="AH123" s="86" t="str">
        <f t="shared" si="36"/>
        <v>"%USERPROFILE%\Documents\GitHub\eaglep3\Utilities\RefineRTDCRunTimes.py" --tripid 211-09 --locoid 4014 --swversion DE.1.0.9.0 --startMP 204:453 --initTime 2017-03-09T17:26:25 --startdatetime 2017-03-09T17:30:15 --delay 1 --endMP 204:233323 --enddatetime 2017-03-09T18:08:13 --enforcementcount 0 &gt;&gt;C:\Users\stu\Documents\GitHub\eaglep3-reporting\EC\2017-03-09-refined-times.txt</v>
      </c>
      <c r="AI123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{"issue":{"subject":"","project_id":79,"tracker_id":40,"status_id":1,"priority_id":2,"assigned_to_id":23,"start_date":"2017-03-09","description":"","custom_fields":[{"id":1,"name":"Subdivision","value":"EC"},{"id":4,"name":"Milepost","value":"23.3323"},{"id":17,"name":"Train ID","value":"211-09"},{"id":16,"name":"Locomotive ID","value":"4014"},{"id":130,"name":"Impact","value":""},{"id":150,"name":"Time of Event (Mountain Time)","value":"18:08:13"},{"id":151,"name":"Denver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38"/>
        <v>start /low /b %USERPROFILE%\Documents\GitHub\eaglep3\Utilities\DownloadLogsFromS3.py --loco 4014 --day 2017-03-09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"%USERPROFILE%\AppData\Local\Temp\OnboardLogs"\RTDC4014\*4014*20170310* | grep -SE "(Enforcement Action)|(\[TIMEOUT)|(CHR.+\|PRM\|1\|D.+(SWITCH|SIGNAL).+UNKNOWN)" - &gt;&gt; 2017-03-09-UncaughtWiMAX.txt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771</v>
      </c>
      <c r="B124" s="7">
        <v>4013</v>
      </c>
      <c r="C124" s="21" t="s">
        <v>242</v>
      </c>
      <c r="D124" s="21" t="s">
        <v>287</v>
      </c>
      <c r="E124" s="13">
        <v>42803.765821759262</v>
      </c>
      <c r="F124" s="13">
        <v>42803.768252314818</v>
      </c>
      <c r="G124" s="7">
        <v>1</v>
      </c>
      <c r="H124" s="21" t="s">
        <v>546</v>
      </c>
      <c r="I124" s="13">
        <v>42803.796851851854</v>
      </c>
      <c r="J124" s="7">
        <v>0</v>
      </c>
      <c r="K124" s="98" t="str">
        <f t="shared" si="21"/>
        <v>4013/4014</v>
      </c>
      <c r="L124" s="21" t="str">
        <f>VLOOKUP(A124,'Trips&amp;Operators'!$C$1:$G$99999,5,FALSE)</f>
        <v>LOCKLEAR TRAVIS</v>
      </c>
      <c r="M124" s="6">
        <f t="shared" si="22"/>
        <v>2.8599537035916001E-2</v>
      </c>
      <c r="N124" s="7">
        <f t="shared" si="23"/>
        <v>41.183333331719041</v>
      </c>
      <c r="O124" s="7"/>
      <c r="P124" s="7"/>
      <c r="Q124" s="22"/>
      <c r="R124" s="22"/>
      <c r="S124" s="31">
        <f t="shared" si="24"/>
        <v>1</v>
      </c>
      <c r="T124" s="46" t="str">
        <f t="shared" si="25"/>
        <v>Southbound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26"/>
        <v>https://d0f6bd738d7f1b3e5a7ca70fe4ff75f0.us-east-1.aws.found.io/app/kibana#/discover/Steve-Slow-Train-Analysis-(2080s-and-2083s)?_g=(refreshInterval:(display:Off,pause:!f,section:0,value:0),time:(from:'2017-03-09T17:22:47-0700',mode:absolute,to:'2017-03-09T20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4" s="187" t="str">
        <f t="shared" si="27"/>
        <v>N</v>
      </c>
      <c r="X124" s="187">
        <f t="shared" si="28"/>
        <v>1</v>
      </c>
      <c r="Y124" s="62">
        <f t="shared" si="29"/>
        <v>23.300599999999999</v>
      </c>
      <c r="Z124" s="62">
        <f t="shared" si="30"/>
        <v>1.6500000000000001E-2</v>
      </c>
      <c r="AA124" s="62">
        <f t="shared" si="31"/>
        <v>23.284099999999999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2"/>
        <v>0212-09</v>
      </c>
      <c r="AE124" s="85" t="str">
        <f t="shared" si="33"/>
        <v>aws s3 cp s3://rtdc.mdm.uploadarchive.raw/RTDC4013/ "%USERPROFILE%\AppData\Local\Temp\OnboardLogs"\RTDC4013\2017-03-09 --exclude "*" --recursive --include "*20170309*" &amp; "%USERPROFILE%\Documents\GitHub\mrs-test-scripts\Headless Mode &amp; Sideloading\WalkAndUnGZ.bat" "%USERPROFILE%\AppData\Local\Temp\OnboardLogs"\RTDC4013\2017-03-09 &amp; aws s3 cp s3://rtdc.mdm.uploadarchive.raw/RTDC4013/ "%USERPROFILE%\AppData\Local\Temp\OnboardLogs"\RTDC4013\2017-03-10 --exclude "*" --recursive --include "*20170310*" &amp; "%USERPROFILE%\Documents\GitHub\mrs-test-scripts\Headless Mode &amp; Sideloading\WalkAndUnGZ.bat" "%USERPROFILE%\AppData\Local\Temp\OnboardLogs"\RTDC4013\2017-03-10</v>
      </c>
      <c r="AF124" s="82" t="str">
        <f t="shared" si="34"/>
        <v>"C:\Program Files (x86)\AstroGrep\AstroGrep.exe" /e /r /s /spath="%USERPROFILE%\AppData\Local\Temp\OnboardLogs" /stypes="app*4013*20170310*" /stext=" 02:.+((SYSTEM_STATE.+slice.+state.+changed )|(ment ac)|(multiple cpu faults)|(system.+state.+changed )|(\[timeout)|(PRM\|1\|D)|(kpr)|(kdp)|(\|lc)|(penalty))"</v>
      </c>
      <c r="AG124" s="1" t="str">
        <f t="shared" si="35"/>
        <v>EC</v>
      </c>
      <c r="AH124" s="86" t="str">
        <f t="shared" si="36"/>
        <v>"%USERPROFILE%\Documents\GitHub\eaglep3\Utilities\RefineRTDCRunTimes.py" --tripid 212-09 --locoid 4013 --swversion DE.1.0.9.0 --startMP 204:233006 --initTime 2017-03-09T18:22:47 --startdatetime 2017-03-09T18:26:17 --delay 1 --endMP 204:165 --enddatetime 2017-03-09T19:07:28 --enforcementcount 0 &gt;&gt;C:\Users\stu\Documents\GitHub\eaglep3-reporting\EC\2017-03-09-refined-times.txt</v>
      </c>
      <c r="AI124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{"issue":{"subject":"","project_id":79,"tracker_id":40,"status_id":1,"priority_id":2,"assigned_to_id":23,"start_date":"2017-03-09","description":"","custom_fields":[{"id":1,"name":"Subdivision","value":"EC"},{"id":4,"name":"Milepost","value":"0.0165"},{"id":17,"name":"Train ID","value":"212-09"},{"id":16,"name":"Locomotive ID","value":"4013"},{"id":130,"name":"Impact","value":""},{"id":150,"name":"Time of Event (Mountain Time)","value":"19:07:28"},{"id":151,"name":"Denver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38"/>
        <v>start /low /b %USERPROFILE%\Documents\GitHub\eaglep3\Utilities\DownloadLogsFromS3.py --loco 4013 --day 2017-03-09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"%USERPROFILE%\AppData\Local\Temp\OnboardLogs"\RTDC4013\*4013*20170310* | grep -SE "(Enforcement Action)|(\[TIMEOUT)|(CHR.+\|PRM\|1\|D.+(SWITCH|SIGNAL).+UNKNOWN)" - &gt;&gt; 2017-03-09-UncaughtWiMAX.txt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760</v>
      </c>
      <c r="B125" s="7">
        <v>4020</v>
      </c>
      <c r="C125" s="21" t="s">
        <v>242</v>
      </c>
      <c r="D125" s="21" t="s">
        <v>551</v>
      </c>
      <c r="E125" s="13">
        <v>42803.737407407411</v>
      </c>
      <c r="F125" s="13">
        <v>42803.739733796298</v>
      </c>
      <c r="G125" s="7">
        <v>1</v>
      </c>
      <c r="H125" s="21" t="s">
        <v>286</v>
      </c>
      <c r="I125" s="13">
        <v>42803.764085648145</v>
      </c>
      <c r="J125" s="7">
        <v>0</v>
      </c>
      <c r="K125" s="98" t="str">
        <f t="shared" si="21"/>
        <v>4019/4020</v>
      </c>
      <c r="L125" s="21" t="str">
        <f>VLOOKUP(A125,'Trips&amp;Operators'!$C$1:$G$99999,5,FALSE)</f>
        <v>NEWELL JAMES</v>
      </c>
      <c r="M125" s="6">
        <f t="shared" si="22"/>
        <v>2.435185184731381E-2</v>
      </c>
      <c r="N125" s="7">
        <f t="shared" si="23"/>
        <v>35.066666660131887</v>
      </c>
      <c r="O125" s="7"/>
      <c r="P125" s="7"/>
      <c r="Q125" s="22"/>
      <c r="R125" s="22"/>
      <c r="S125" s="31">
        <f t="shared" si="24"/>
        <v>1</v>
      </c>
      <c r="T125" s="46" t="str">
        <f t="shared" si="25"/>
        <v>NorthBound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26"/>
        <v>https://d0f6bd738d7f1b3e5a7ca70fe4ff75f0.us-east-1.aws.found.io/app/kibana#/discover/Steve-Slow-Train-Analysis-(2080s-and-2083s)?_g=(refreshInterval:(display:Off,pause:!f,section:0,value:0),time:(from:'2017-03-09T16:41:52-0700',mode:absolute,to:'2017-03-09T19:20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5" s="187" t="str">
        <f t="shared" si="27"/>
        <v>N</v>
      </c>
      <c r="X125" s="187">
        <f t="shared" si="28"/>
        <v>1</v>
      </c>
      <c r="Y125" s="62">
        <f t="shared" si="29"/>
        <v>4.8899999999999999E-2</v>
      </c>
      <c r="Z125" s="62">
        <f t="shared" si="30"/>
        <v>23.3291</v>
      </c>
      <c r="AA125" s="62">
        <f t="shared" si="31"/>
        <v>23.280200000000001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2"/>
        <v>0213-09</v>
      </c>
      <c r="AE125" s="85" t="str">
        <f t="shared" si="33"/>
        <v>aws s3 cp s3://rtdc.mdm.uploadarchive.raw/RTDC4020/ "%USERPROFILE%\AppData\Local\Temp\OnboardLogs"\RTDC4020\2017-03-09 --exclude "*" --recursive --include "*20170309*" &amp; "%USERPROFILE%\Documents\GitHub\mrs-test-scripts\Headless Mode &amp; Sideloading\WalkAndUnGZ.bat" "%USERPROFILE%\AppData\Local\Temp\OnboardLogs"\RTDC4020\2017-03-09 &amp; 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</v>
      </c>
      <c r="AF125" s="82" t="str">
        <f t="shared" si="34"/>
        <v>"C:\Program Files (x86)\AstroGrep\AstroGrep.exe" /e /r /s /spath="%USERPROFILE%\AppData\Local\Temp\OnboardLogs" /stypes="app*4020*20170310*" /stext=" 01:.+((SYSTEM_STATE.+slice.+state.+changed )|(ment ac)|(multiple cpu faults)|(system.+state.+changed )|(\[timeout)|(PRM\|1\|D)|(kpr)|(kdp)|(\|lc)|(penalty))"</v>
      </c>
      <c r="AG125" s="1" t="str">
        <f t="shared" si="35"/>
        <v>EC</v>
      </c>
      <c r="AH125" s="86" t="str">
        <f t="shared" si="36"/>
        <v>"%USERPROFILE%\Documents\GitHub\eaglep3\Utilities\RefineRTDCRunTimes.py" --tripid 213-09 --locoid 4020 --swversion DE.1.0.9.0 --startMP 204:489 --initTime 2017-03-09T17:41:52 --startdatetime 2017-03-09T17:45:13 --delay 1 --endMP 204:233291 --enddatetime 2017-03-09T18:20:17 --enforcementcount 0 &gt;&gt;C:\Users\stu\Documents\GitHub\eaglep3-reporting\EC\2017-03-09-refined-times.txt</v>
      </c>
      <c r="AI125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{"issue":{"subject":"","project_id":79,"tracker_id":40,"status_id":1,"priority_id":2,"assigned_to_id":23,"start_date":"2017-03-09","description":"","custom_fields":[{"id":1,"name":"Subdivision","value":"EC"},{"id":4,"name":"Milepost","value":"23.3291"},{"id":17,"name":"Train ID","value":"213-09"},{"id":16,"name":"Locomotive ID","value":"4020"},{"id":130,"name":"Impact","value":""},{"id":150,"name":"Time of Event (Mountain Time)","value":"18:20:17"},{"id":151,"name":"Denver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38"/>
        <v>start /low /b %USERPROFILE%\Documents\GitHub\eaglep3\Utilities\DownloadLogsFromS3.py --loco 4020 --day 2017-03-09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"%USERPROFILE%\AppData\Local\Temp\OnboardLogs"\RTDC4020\*4020*20170310* | grep -SE "(Enforcement Action)|(\[TIMEOUT)|(CHR.+\|PRM\|1\|D.+(SWITCH|SIGNAL).+UNKNOWN)" - &gt;&gt; 2017-03-09-UncaughtWiMAX.txt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607</v>
      </c>
      <c r="B126" s="7">
        <v>4019</v>
      </c>
      <c r="C126" s="21" t="s">
        <v>242</v>
      </c>
      <c r="D126" s="21" t="s">
        <v>830</v>
      </c>
      <c r="E126" s="13">
        <v>42803.768900462965</v>
      </c>
      <c r="F126" s="13">
        <v>42803.778622685182</v>
      </c>
      <c r="G126" s="7">
        <v>1</v>
      </c>
      <c r="H126" s="21" t="s">
        <v>232</v>
      </c>
      <c r="I126" s="13">
        <v>42803.806701388887</v>
      </c>
      <c r="J126" s="7">
        <v>0</v>
      </c>
      <c r="K126" s="98" t="str">
        <f t="shared" si="21"/>
        <v>4019/4020</v>
      </c>
      <c r="L126" s="21" t="str">
        <f>VLOOKUP(A126,'Trips&amp;Operators'!$C$1:$G$99999,5,FALSE)</f>
        <v>NEWELL JAMES</v>
      </c>
      <c r="M126" s="6">
        <f t="shared" si="22"/>
        <v>2.8078703704522923E-2</v>
      </c>
      <c r="N126" s="7">
        <f t="shared" si="23"/>
        <v>40.433333334513009</v>
      </c>
      <c r="O126" s="7"/>
      <c r="P126" s="7"/>
      <c r="Q126" s="22"/>
      <c r="R126" s="22"/>
      <c r="S126" s="31">
        <f t="shared" si="24"/>
        <v>1</v>
      </c>
      <c r="T126" s="46" t="str">
        <f t="shared" si="25"/>
        <v>Southbound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26"/>
        <v>https://d0f6bd738d7f1b3e5a7ca70fe4ff75f0.us-east-1.aws.found.io/app/kibana#/discover/Steve-Slow-Train-Analysis-(2080s-and-2083s)?_g=(refreshInterval:(display:Off,pause:!f,section:0,value:0),time:(from:'2017-03-09T17:27:13-0700',mode:absolute,to:'2017-03-09T20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6" s="187" t="str">
        <f t="shared" si="27"/>
        <v>N</v>
      </c>
      <c r="X126" s="187">
        <f t="shared" si="28"/>
        <v>1</v>
      </c>
      <c r="Y126" s="62">
        <f t="shared" si="29"/>
        <v>23.2986</v>
      </c>
      <c r="Z126" s="62">
        <f t="shared" si="30"/>
        <v>1.5599999999999999E-2</v>
      </c>
      <c r="AA126" s="62">
        <f t="shared" si="31"/>
        <v>23.283000000000001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2"/>
        <v>0214-09</v>
      </c>
      <c r="AE126" s="85" t="str">
        <f t="shared" si="33"/>
        <v>aws s3 cp s3://rtdc.mdm.uploadarchive.raw/RTDC4019/ "%USERPROFILE%\AppData\Local\Temp\OnboardLogs"\RTDC4019\2017-03-09 --exclude "*" --recursive --include "*20170309*" &amp; "%USERPROFILE%\Documents\GitHub\mrs-test-scripts\Headless Mode &amp; Sideloading\WalkAndUnGZ.bat" "%USERPROFILE%\AppData\Local\Temp\OnboardLogs"\RTDC4019\2017-03-09 &amp; 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</v>
      </c>
      <c r="AF126" s="82" t="str">
        <f t="shared" si="34"/>
        <v>"C:\Program Files (x86)\AstroGrep\AstroGrep.exe" /e /r /s /spath="%USERPROFILE%\AppData\Local\Temp\OnboardLogs" /stypes="app*4019*20170310*" /stext=" 02:.+((SYSTEM_STATE.+slice.+state.+changed )|(ment ac)|(multiple cpu faults)|(system.+state.+changed )|(\[timeout)|(PRM\|1\|D)|(kpr)|(kdp)|(\|lc)|(penalty))"</v>
      </c>
      <c r="AG126" s="1" t="str">
        <f t="shared" si="35"/>
        <v>EC</v>
      </c>
      <c r="AH126" s="86" t="str">
        <f t="shared" si="36"/>
        <v>"%USERPROFILE%\Documents\GitHub\eaglep3\Utilities\RefineRTDCRunTimes.py" --tripid 214-09 --locoid 4019 --swversion DE.1.0.9.0 --startMP 204:232986 --initTime 2017-03-09T18:27:13 --startdatetime 2017-03-09T18:41:13 --delay 1 --endMP 204:156 --enddatetime 2017-03-09T19:21:39 --enforcementcount 0 &gt;&gt;C:\Users\stu\Documents\GitHub\eaglep3-reporting\EC\2017-03-09-refined-times.txt</v>
      </c>
      <c r="AI126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{"issue":{"subject":"","project_id":79,"tracker_id":40,"status_id":1,"priority_id":2,"assigned_to_id":23,"start_date":"2017-03-09","description":"","custom_fields":[{"id":1,"name":"Subdivision","value":"EC"},{"id":4,"name":"Milepost","value":"0.0156"},{"id":17,"name":"Train ID","value":"214-09"},{"id":16,"name":"Locomotive ID","value":"4019"},{"id":130,"name":"Impact","value":""},{"id":150,"name":"Time of Event (Mountain Time)","value":"19:21:39"},{"id":151,"name":"Denver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38"/>
        <v>start /low /b %USERPROFILE%\Documents\GitHub\eaglep3\Utilities\DownloadLogsFromS3.py --loco 4019 --day 2017-03-09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"%USERPROFILE%\AppData\Local\Temp\OnboardLogs"\RTDC4019\*4019*20170310* | grep -SE "(Enforcement Action)|(\[TIMEOUT)|(CHR.+\|PRM\|1\|D.+(SWITCH|SIGNAL).+UNKNOWN)" - &gt;&gt; 2017-03-09-UncaughtWiMAX.txt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767</v>
      </c>
      <c r="B127" s="7">
        <v>4016</v>
      </c>
      <c r="C127" s="21" t="s">
        <v>242</v>
      </c>
      <c r="D127" s="21" t="s">
        <v>234</v>
      </c>
      <c r="E127" s="13">
        <v>42803.755949074075</v>
      </c>
      <c r="F127" s="13">
        <v>42803.757743055554</v>
      </c>
      <c r="G127" s="7">
        <v>1</v>
      </c>
      <c r="H127" s="21" t="s">
        <v>834</v>
      </c>
      <c r="I127" s="13">
        <v>42803.785231481481</v>
      </c>
      <c r="J127" s="7">
        <v>0</v>
      </c>
      <c r="K127" s="98" t="str">
        <f t="shared" si="21"/>
        <v>4015/4016</v>
      </c>
      <c r="L127" s="21" t="str">
        <f>VLOOKUP(A127,'Trips&amp;Operators'!$C$1:$G$99999,5,FALSE)</f>
        <v>BRANDNER MELINDA</v>
      </c>
      <c r="M127" s="6">
        <f t="shared" si="22"/>
        <v>2.7488425927003846E-2</v>
      </c>
      <c r="N127" s="7">
        <f t="shared" si="23"/>
        <v>39.583333334885538</v>
      </c>
      <c r="O127" s="7"/>
      <c r="P127" s="7"/>
      <c r="Q127" s="22"/>
      <c r="R127" s="22"/>
      <c r="S127" s="31">
        <f t="shared" si="24"/>
        <v>1</v>
      </c>
      <c r="T127" s="46" t="str">
        <f t="shared" si="25"/>
        <v>NorthBound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26"/>
        <v>https://d0f6bd738d7f1b3e5a7ca70fe4ff75f0.us-east-1.aws.found.io/app/kibana#/discover/Steve-Slow-Train-Analysis-(2080s-and-2083s)?_g=(refreshInterval:(display:Off,pause:!f,section:0,value:0),time:(from:'2017-03-09T17:08:34-0700',mode:absolute,to:'2017-03-09T19:50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7" s="187" t="str">
        <f t="shared" si="27"/>
        <v>N</v>
      </c>
      <c r="X127" s="187">
        <f t="shared" si="28"/>
        <v>1</v>
      </c>
      <c r="Y127" s="62">
        <f t="shared" si="29"/>
        <v>4.4400000000000002E-2</v>
      </c>
      <c r="Z127" s="62">
        <f t="shared" si="30"/>
        <v>23.327999999999999</v>
      </c>
      <c r="AA127" s="62">
        <f t="shared" si="31"/>
        <v>23.2836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2"/>
        <v>0215-09</v>
      </c>
      <c r="AE127" s="85" t="str">
        <f t="shared" si="33"/>
        <v>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 &amp; aws s3 cp s3://rtdc.mdm.uploadarchive.raw/RTDC4016/ "%USERPROFILE%\AppData\Local\Temp\OnboardLogs"\RTDC4016\2017-03-10 --exclude "*" --recursive --include "*20170310*" &amp; "%USERPROFILE%\Documents\GitHub\mrs-test-scripts\Headless Mode &amp; Sideloading\WalkAndUnGZ.bat" "%USERPROFILE%\AppData\Local\Temp\OnboardLogs"\RTDC4016\2017-03-10</v>
      </c>
      <c r="AF127" s="82" t="str">
        <f t="shared" si="34"/>
        <v>"C:\Program Files (x86)\AstroGrep\AstroGrep.exe" /e /r /s /spath="%USERPROFILE%\AppData\Local\Temp\OnboardLogs" /stypes="app*4016*20170310*" /stext=" 01:.+((SYSTEM_STATE.+slice.+state.+changed )|(ment ac)|(multiple cpu faults)|(system.+state.+changed )|(\[timeout)|(PRM\|1\|D)|(kpr)|(kdp)|(\|lc)|(penalty))"</v>
      </c>
      <c r="AG127" s="1" t="str">
        <f t="shared" si="35"/>
        <v>EC</v>
      </c>
      <c r="AH127" s="86" t="str">
        <f t="shared" si="36"/>
        <v>"%USERPROFILE%\Documents\GitHub\eaglep3\Utilities\RefineRTDCRunTimes.py" --tripid 215-09 --locoid 4016 --swversion DE.1.0.9.0 --startMP 204:444 --initTime 2017-03-09T18:08:34 --startdatetime 2017-03-09T18:11:09 --delay 1 --endMP 204:233280 --enddatetime 2017-03-09T18:50:44 --enforcementcount 0 &gt;&gt;C:\Users\stu\Documents\GitHub\eaglep3-reporting\EC\2017-03-09-refined-times.txt</v>
      </c>
      <c r="AI127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{"issue":{"subject":"","project_id":79,"tracker_id":40,"status_id":1,"priority_id":2,"assigned_to_id":23,"start_date":"2017-03-09","description":"","custom_fields":[{"id":1,"name":"Subdivision","value":"EC"},{"id":4,"name":"Milepost","value":"23.328"},{"id":17,"name":"Train ID","value":"215-09"},{"id":16,"name":"Locomotive ID","value":"4016"},{"id":130,"name":"Impact","value":""},{"id":150,"name":"Time of Event (Mountain Time)","value":"18:50:44"},{"id":151,"name":"Denver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38"/>
        <v>start /low /b %USERPROFILE%\Documents\GitHub\eaglep3\Utilities\DownloadLogsFromS3.py --loco 4016 --day 2017-03-09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"%USERPROFILE%\AppData\Local\Temp\OnboardLogs"\RTDC4016\*4016*20170310* | grep -SE "(Enforcement Action)|(\[TIMEOUT)|(CHR.+\|PRM\|1\|D.+(SWITCH|SIGNAL).+UNKNOWN)" - &gt;&gt; 2017-03-09-UncaughtWiMAX.txt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777</v>
      </c>
      <c r="B128" s="7">
        <v>4015</v>
      </c>
      <c r="C128" s="21" t="s">
        <v>242</v>
      </c>
      <c r="D128" s="21" t="s">
        <v>422</v>
      </c>
      <c r="E128" s="13">
        <v>42803.790902777779</v>
      </c>
      <c r="F128" s="13">
        <v>42803.792905092596</v>
      </c>
      <c r="G128" s="7">
        <v>2</v>
      </c>
      <c r="H128" s="21" t="s">
        <v>423</v>
      </c>
      <c r="I128" s="13">
        <v>42803.821736111109</v>
      </c>
      <c r="J128" s="7">
        <v>0</v>
      </c>
      <c r="K128" s="98" t="str">
        <f t="shared" si="21"/>
        <v>4015/4016</v>
      </c>
      <c r="L128" s="21" t="str">
        <f>VLOOKUP(A128,'Trips&amp;Operators'!$C$1:$G$99999,5,FALSE)</f>
        <v>BRANDNER MELINDA</v>
      </c>
      <c r="M128" s="6">
        <f t="shared" si="22"/>
        <v>2.8831018513301387E-2</v>
      </c>
      <c r="N128" s="7">
        <f t="shared" si="23"/>
        <v>41.516666659153998</v>
      </c>
      <c r="O128" s="7"/>
      <c r="P128" s="7"/>
      <c r="Q128" s="22"/>
      <c r="R128" s="22"/>
      <c r="S128" s="31">
        <f t="shared" si="24"/>
        <v>1</v>
      </c>
      <c r="T128" s="46" t="str">
        <f t="shared" si="25"/>
        <v>Southbound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26"/>
        <v>https://d0f6bd738d7f1b3e5a7ca70fe4ff75f0.us-east-1.aws.found.io/app/kibana#/discover/Steve-Slow-Train-Analysis-(2080s-and-2083s)?_g=(refreshInterval:(display:Off,pause:!f,section:0,value:0),time:(from:'2017-03-09T17:58:54-0700',mode:absolute,to:'2017-03-09T20:43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8" s="187" t="str">
        <f t="shared" si="27"/>
        <v>N</v>
      </c>
      <c r="X128" s="187">
        <f t="shared" si="28"/>
        <v>1</v>
      </c>
      <c r="Y128" s="62">
        <f t="shared" si="29"/>
        <v>23.298200000000001</v>
      </c>
      <c r="Z128" s="62">
        <f t="shared" si="30"/>
        <v>1.43E-2</v>
      </c>
      <c r="AA128" s="62">
        <f t="shared" si="31"/>
        <v>23.283900000000003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2"/>
        <v>0216-09</v>
      </c>
      <c r="AE128" s="85" t="str">
        <f t="shared" si="33"/>
        <v>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 &amp; aws s3 cp s3://rtdc.mdm.uploadarchive.raw/RTDC4015/ "%USERPROFILE%\AppData\Local\Temp\OnboardLogs"\RTDC4015\2017-03-10 --exclude "*" --recursive --include "*20170310*" &amp; "%USERPROFILE%\Documents\GitHub\mrs-test-scripts\Headless Mode &amp; Sideloading\WalkAndUnGZ.bat" "%USERPROFILE%\AppData\Local\Temp\OnboardLogs"\RTDC4015\2017-03-10</v>
      </c>
      <c r="AF128" s="82" t="str">
        <f t="shared" si="34"/>
        <v>"C:\Program Files (x86)\AstroGrep\AstroGrep.exe" /e /r /s /spath="%USERPROFILE%\AppData\Local\Temp\OnboardLogs" /stypes="app*4015*20170310*" /stext=" 02:.+((SYSTEM_STATE.+slice.+state.+changed )|(ment ac)|(multiple cpu faults)|(system.+state.+changed )|(\[timeout)|(PRM\|1\|D)|(kpr)|(kdp)|(\|lc)|(penalty))"</v>
      </c>
      <c r="AG128" s="1" t="str">
        <f t="shared" si="35"/>
        <v>EC</v>
      </c>
      <c r="AH128" s="86" t="str">
        <f t="shared" si="36"/>
        <v>"%USERPROFILE%\Documents\GitHub\eaglep3\Utilities\RefineRTDCRunTimes.py" --tripid 216-09 --locoid 4015 --swversion DE.1.0.9.0 --startMP 204:232982 --initTime 2017-03-09T18:58:54 --startdatetime 2017-03-09T19:01:47 --delay 2 --endMP 204:143 --enddatetime 2017-03-09T19:43:18 --enforcementcount 0 &gt;&gt;C:\Users\stu\Documents\GitHub\eaglep3-reporting\EC\2017-03-09-refined-times.txt</v>
      </c>
      <c r="AI128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{"issue":{"subject":"","project_id":79,"tracker_id":40,"status_id":1,"priority_id":2,"assigned_to_id":23,"start_date":"2017-03-09","description":"","custom_fields":[{"id":1,"name":"Subdivision","value":"EC"},{"id":4,"name":"Milepost","value":"0.0143"},{"id":17,"name":"Train ID","value":"216-09"},{"id":16,"name":"Locomotive ID","value":"4015"},{"id":130,"name":"Impact","value":""},{"id":150,"name":"Time of Event (Mountain Time)","value":"19:43:18"},{"id":151,"name":"Denver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38"/>
        <v>start /low /b %USERPROFILE%\Documents\GitHub\eaglep3\Utilities\DownloadLogsFromS3.py --loco 4015 --day 2017-03-09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"%USERPROFILE%\AppData\Local\Temp\OnboardLogs"\RTDC4015\*4015*20170310* | grep -SE "(Enforcement Action)|(\[TIMEOUT)|(CHR.+\|PRM\|1\|D.+(SWITCH|SIGNAL).+UNKNOWN)" - &gt;&gt; 2017-03-09-UncaughtWiMAX.txt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765</v>
      </c>
      <c r="B129" s="7">
        <v>4003</v>
      </c>
      <c r="C129" s="21" t="s">
        <v>242</v>
      </c>
      <c r="D129" s="21" t="s">
        <v>237</v>
      </c>
      <c r="E129" s="13">
        <v>42803.757592592592</v>
      </c>
      <c r="F129" s="13">
        <v>42803.760659722226</v>
      </c>
      <c r="G129" s="7">
        <v>1</v>
      </c>
      <c r="H129" s="21" t="s">
        <v>848</v>
      </c>
      <c r="I129" s="13">
        <v>42803.787604166668</v>
      </c>
      <c r="J129" s="7">
        <v>0</v>
      </c>
      <c r="K129" s="98" t="str">
        <f t="shared" si="21"/>
        <v>4003/4004</v>
      </c>
      <c r="L129" s="21" t="str">
        <f>VLOOKUP(A129,'Trips&amp;Operators'!$C$1:$G$99999,5,FALSE)</f>
        <v>WHITED DUSTIN</v>
      </c>
      <c r="M129" s="6">
        <f t="shared" si="22"/>
        <v>2.6944444442051463E-2</v>
      </c>
      <c r="N129" s="7">
        <f t="shared" si="23"/>
        <v>38.799999996554106</v>
      </c>
      <c r="O129" s="7"/>
      <c r="P129" s="7"/>
      <c r="Q129" s="22"/>
      <c r="R129" s="22"/>
      <c r="S129" s="31">
        <f t="shared" si="24"/>
        <v>1</v>
      </c>
      <c r="T129" s="46" t="str">
        <f t="shared" si="25"/>
        <v>NorthBound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26"/>
        <v>https://d0f6bd738d7f1b3e5a7ca70fe4ff75f0.us-east-1.aws.found.io/app/kibana#/discover/Steve-Slow-Train-Analysis-(2080s-and-2083s)?_g=(refreshInterval:(display:Off,pause:!f,section:0,value:0),time:(from:'2017-03-09T17:10:56-0700',mode:absolute,to:'2017-03-09T19:54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9" s="187" t="str">
        <f t="shared" si="27"/>
        <v>N</v>
      </c>
      <c r="X129" s="187">
        <f t="shared" si="28"/>
        <v>1</v>
      </c>
      <c r="Y129" s="62">
        <f t="shared" si="29"/>
        <v>4.6600000000000003E-2</v>
      </c>
      <c r="Z129" s="62">
        <f t="shared" si="30"/>
        <v>23.331700000000001</v>
      </c>
      <c r="AA129" s="62">
        <f t="shared" si="31"/>
        <v>23.2851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2"/>
        <v>0217-09</v>
      </c>
      <c r="AE129" s="85" t="str">
        <f t="shared" si="33"/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AF129" s="82" t="str">
        <f t="shared" si="34"/>
        <v>"C:\Program Files (x86)\AstroGrep\AstroGrep.exe" /e /r /s /spath="%USERPROFILE%\AppData\Local\Temp\OnboardLogs" /stypes="app*4003*20170310*" /stext=" 01:.+((SYSTEM_STATE.+slice.+state.+changed )|(ment ac)|(multiple cpu faults)|(system.+state.+changed )|(\[timeout)|(PRM\|1\|D)|(kpr)|(kdp)|(\|lc)|(penalty))"</v>
      </c>
      <c r="AG129" s="1" t="str">
        <f t="shared" si="35"/>
        <v>EC</v>
      </c>
      <c r="AH129" s="86" t="str">
        <f t="shared" si="36"/>
        <v>"%USERPROFILE%\Documents\GitHub\eaglep3\Utilities\RefineRTDCRunTimes.py" --tripid 217-09 --locoid 4003 --swversion DE.1.0.9.0 --startMP 204:466 --initTime 2017-03-09T18:10:56 --startdatetime 2017-03-09T18:15:21 --delay 1 --endMP 204:233317 --enddatetime 2017-03-09T18:54:09 --enforcementcount 0 &gt;&gt;C:\Users\stu\Documents\GitHub\eaglep3-reporting\EC\2017-03-09-refined-times.txt</v>
      </c>
      <c r="AI129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{"issue":{"subject":"","project_id":79,"tracker_id":40,"status_id":1,"priority_id":2,"assigned_to_id":23,"start_date":"2017-03-09","description":"","custom_fields":[{"id":1,"name":"Subdivision","value":"EC"},{"id":4,"name":"Milepost","value":"23.3317"},{"id":17,"name":"Train ID","value":"217-09"},{"id":16,"name":"Locomotive ID","value":"4003"},{"id":130,"name":"Impact","value":""},{"id":150,"name":"Time of Event (Mountain Time)","value":"18:54:09"},{"id":151,"name":"Denver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38"/>
        <v>start /low /b %USERPROFILE%\Documents\GitHub\eaglep3\Utilities\DownloadLogsFromS3.py --loco 4003 --day 2017-03-09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"%USERPROFILE%\AppData\Local\Temp\OnboardLogs"\RTDC4003\*4003*20170310* | grep -SE "(Enforcement Action)|(\[TIMEOUT)|(CHR.+\|PRM\|1\|D.+(SWITCH|SIGNAL).+UNKNOWN)" - &gt;&gt; 2017-03-09-UncaughtWiMAX.txt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778</v>
      </c>
      <c r="B130" s="7">
        <v>4004</v>
      </c>
      <c r="C130" s="21" t="s">
        <v>242</v>
      </c>
      <c r="D130" s="21" t="s">
        <v>832</v>
      </c>
      <c r="E130" s="13">
        <v>42803.793321759258</v>
      </c>
      <c r="F130" s="13">
        <v>42803.799456018518</v>
      </c>
      <c r="G130" s="7">
        <v>1</v>
      </c>
      <c r="H130" s="21" t="s">
        <v>228</v>
      </c>
      <c r="I130" s="13">
        <v>42803.827337962961</v>
      </c>
      <c r="J130" s="7">
        <v>0</v>
      </c>
      <c r="K130" s="98" t="str">
        <f t="shared" si="21"/>
        <v>4003/4004</v>
      </c>
      <c r="L130" s="21" t="str">
        <f>VLOOKUP(A130,'Trips&amp;Operators'!$C$1:$G$99999,5,FALSE)</f>
        <v>WHITED DUSTIN</v>
      </c>
      <c r="M130" s="6">
        <f t="shared" si="22"/>
        <v>2.7881944442924578E-2</v>
      </c>
      <c r="N130" s="7">
        <f t="shared" si="23"/>
        <v>40.149999997811392</v>
      </c>
      <c r="O130" s="7"/>
      <c r="P130" s="7"/>
      <c r="Q130" s="22"/>
      <c r="R130" s="22"/>
      <c r="S130" s="31">
        <f t="shared" si="24"/>
        <v>1</v>
      </c>
      <c r="T130" s="46" t="str">
        <f t="shared" si="25"/>
        <v>Southbound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26"/>
        <v>https://d0f6bd738d7f1b3e5a7ca70fe4ff75f0.us-east-1.aws.found.io/app/kibana#/discover/Steve-Slow-Train-Analysis-(2080s-and-2083s)?_g=(refreshInterval:(display:Off,pause:!f,section:0,value:0),time:(from:'2017-03-09T18:02:23-0700',mode:absolute,to:'2017-03-09T20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0" s="187" t="str">
        <f t="shared" si="27"/>
        <v>N</v>
      </c>
      <c r="X130" s="187">
        <f t="shared" si="28"/>
        <v>1</v>
      </c>
      <c r="Y130" s="62">
        <f t="shared" si="29"/>
        <v>23.300999999999998</v>
      </c>
      <c r="Z130" s="62">
        <f t="shared" si="30"/>
        <v>1.3899999999999999E-2</v>
      </c>
      <c r="AA130" s="62">
        <f t="shared" si="31"/>
        <v>23.287099999999999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2"/>
        <v>0218-09</v>
      </c>
      <c r="AE130" s="85" t="str">
        <f t="shared" si="33"/>
        <v>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 &amp; 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</v>
      </c>
      <c r="AF130" s="82" t="str">
        <f t="shared" si="34"/>
        <v>"C:\Program Files (x86)\AstroGrep\AstroGrep.exe" /e /r /s /spath="%USERPROFILE%\AppData\Local\Temp\OnboardLogs" /stypes="app*4004*20170310*" /stext=" 02:.+((SYSTEM_STATE.+slice.+state.+changed )|(ment ac)|(multiple cpu faults)|(system.+state.+changed )|(\[timeout)|(PRM\|1\|D)|(kpr)|(kdp)|(\|lc)|(penalty))"</v>
      </c>
      <c r="AG130" s="1" t="str">
        <f t="shared" si="35"/>
        <v>EC</v>
      </c>
      <c r="AH130" s="86" t="str">
        <f t="shared" si="36"/>
        <v>"%USERPROFILE%\Documents\GitHub\eaglep3\Utilities\RefineRTDCRunTimes.py" --tripid 218-09 --locoid 4004 --swversion DE.1.0.9.0 --startMP 204:233010 --initTime 2017-03-09T19:02:23 --startdatetime 2017-03-09T19:11:13 --delay 1 --endMP 204:139 --enddatetime 2017-03-09T19:51:22 --enforcementcount 0 &gt;&gt;C:\Users\stu\Documents\GitHub\eaglep3-reporting\EC\2017-03-09-refined-times.txt</v>
      </c>
      <c r="AI130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{"issue":{"subject":"","project_id":79,"tracker_id":40,"status_id":1,"priority_id":2,"assigned_to_id":23,"start_date":"2017-03-09","description":"","custom_fields":[{"id":1,"name":"Subdivision","value":"EC"},{"id":4,"name":"Milepost","value":"0.0139"},{"id":17,"name":"Train ID","value":"218-09"},{"id":16,"name":"Locomotive ID","value":"4004"},{"id":130,"name":"Impact","value":""},{"id":150,"name":"Time of Event (Mountain Time)","value":"19:51:22"},{"id":151,"name":"Denver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38"/>
        <v>start /low /b %USERPROFILE%\Documents\GitHub\eaglep3\Utilities\DownloadLogsFromS3.py --loco 4004 --day 2017-03-09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"%USERPROFILE%\AppData\Local\Temp\OnboardLogs"\RTDC4004\*4004*20170310* | grep -SE "(Enforcement Action)|(\[TIMEOUT)|(CHR.+\|PRM\|1\|D.+(SWITCH|SIGNAL).+UNKNOWN)" - &gt;&gt; 2017-03-09-UncaughtWiMAX.txt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772</v>
      </c>
      <c r="B131" s="7">
        <v>4018</v>
      </c>
      <c r="C131" s="21" t="s">
        <v>242</v>
      </c>
      <c r="D131" s="21" t="s">
        <v>281</v>
      </c>
      <c r="E131" s="13">
        <v>42803.769976851851</v>
      </c>
      <c r="F131" s="13">
        <v>42803.771631944444</v>
      </c>
      <c r="G131" s="7">
        <v>1</v>
      </c>
      <c r="H131" s="21" t="s">
        <v>866</v>
      </c>
      <c r="I131" s="13">
        <v>42803.799178240741</v>
      </c>
      <c r="J131" s="7">
        <v>0</v>
      </c>
      <c r="K131" s="98" t="str">
        <f t="shared" si="21"/>
        <v>4017/4018</v>
      </c>
      <c r="L131" s="21" t="str">
        <f>VLOOKUP(A131,'Trips&amp;Operators'!$C$1:$G$99999,5,FALSE)</f>
        <v>SWANSON BRYCE</v>
      </c>
      <c r="M131" s="6">
        <f t="shared" si="22"/>
        <v>2.7546296296350192E-2</v>
      </c>
      <c r="N131" s="7">
        <f t="shared" si="23"/>
        <v>39.666666666744277</v>
      </c>
      <c r="O131" s="7"/>
      <c r="P131" s="7"/>
      <c r="Q131" s="22"/>
      <c r="R131" s="22"/>
      <c r="S131" s="31">
        <f t="shared" si="24"/>
        <v>1</v>
      </c>
      <c r="T131" s="46" t="str">
        <f t="shared" si="25"/>
        <v>NorthBound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26"/>
        <v>https://d0f6bd738d7f1b3e5a7ca70fe4ff75f0.us-east-1.aws.found.io/app/kibana#/discover/Steve-Slow-Train-Analysis-(2080s-and-2083s)?_g=(refreshInterval:(display:Off,pause:!f,section:0,value:0),time:(from:'2017-03-09T17:28:46-0700',mode:absolute,to:'2017-03-09T20:10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1" s="187" t="str">
        <f t="shared" si="27"/>
        <v>N</v>
      </c>
      <c r="X131" s="187">
        <f t="shared" si="28"/>
        <v>1</v>
      </c>
      <c r="Y131" s="62">
        <f t="shared" si="29"/>
        <v>4.7800000000000002E-2</v>
      </c>
      <c r="Z131" s="62">
        <f t="shared" si="30"/>
        <v>23.3278</v>
      </c>
      <c r="AA131" s="62">
        <f t="shared" si="31"/>
        <v>23.28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2"/>
        <v>0219-09</v>
      </c>
      <c r="AE131" s="85" t="str">
        <f t="shared" si="33"/>
        <v>aws s3 cp s3://rtdc.mdm.uploadarchive.raw/RTDC4018/ "%USERPROFILE%\AppData\Local\Temp\OnboardLogs"\RTDC4018\2017-03-09 --exclude "*" --recursive --include "*20170309*" &amp; "%USERPROFILE%\Documents\GitHub\mrs-test-scripts\Headless Mode &amp; Sideloading\WalkAndUnGZ.bat" "%USERPROFILE%\AppData\Local\Temp\OnboardLogs"\RTDC4018\2017-03-09 &amp; 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</v>
      </c>
      <c r="AF131" s="82" t="str">
        <f t="shared" si="34"/>
        <v>"C:\Program Files (x86)\AstroGrep\AstroGrep.exe" /e /r /s /spath="%USERPROFILE%\AppData\Local\Temp\OnboardLogs" /stypes="app*4018*20170310*" /stext=" 02:.+((SYSTEM_STATE.+slice.+state.+changed )|(ment ac)|(multiple cpu faults)|(system.+state.+changed )|(\[timeout)|(PRM\|1\|D)|(kpr)|(kdp)|(\|lc)|(penalty))"</v>
      </c>
      <c r="AG131" s="1" t="str">
        <f t="shared" si="35"/>
        <v>EC</v>
      </c>
      <c r="AH131" s="86" t="str">
        <f t="shared" si="36"/>
        <v>"%USERPROFILE%\Documents\GitHub\eaglep3\Utilities\RefineRTDCRunTimes.py" --tripid 219-09 --locoid 4018 --swversion DE.1.0.9.0 --startMP 204:478 --initTime 2017-03-09T18:28:46 --startdatetime 2017-03-09T18:31:09 --delay 1 --endMP 204:233278 --enddatetime 2017-03-09T19:10:49 --enforcementcount 0 &gt;&gt;C:\Users\stu\Documents\GitHub\eaglep3-reporting\EC\2017-03-09-refined-times.txt</v>
      </c>
      <c r="AI131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{"issue":{"subject":"","project_id":79,"tracker_id":40,"status_id":1,"priority_id":2,"assigned_to_id":23,"start_date":"2017-03-09","description":"","custom_fields":[{"id":1,"name":"Subdivision","value":"EC"},{"id":4,"name":"Milepost","value":"23.3278"},{"id":17,"name":"Train ID","value":"219-09"},{"id":16,"name":"Locomotive ID","value":"4018"},{"id":130,"name":"Impact","value":""},{"id":150,"name":"Time of Event (Mountain Time)","value":"19:10:49"},{"id":151,"name":"Denver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38"/>
        <v>start /low /b %USERPROFILE%\Documents\GitHub\eaglep3\Utilities\DownloadLogsFromS3.py --loco 4018 --day 2017-03-09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"%USERPROFILE%\AppData\Local\Temp\OnboardLogs"\RTDC4018\*4018*20170310* | grep -SE "(Enforcement Action)|(\[TIMEOUT)|(CHR.+\|PRM\|1\|D.+(SWITCH|SIGNAL).+UNKNOWN)" - &gt;&gt; 2017-03-09-UncaughtWiMAX.txt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780</v>
      </c>
      <c r="B132" s="7">
        <v>4017</v>
      </c>
      <c r="C132" s="21" t="s">
        <v>242</v>
      </c>
      <c r="D132" s="21" t="s">
        <v>867</v>
      </c>
      <c r="E132" s="13">
        <v>42803.801342592589</v>
      </c>
      <c r="F132" s="13">
        <v>42803.809884259259</v>
      </c>
      <c r="G132" s="7">
        <v>1</v>
      </c>
      <c r="H132" s="21" t="s">
        <v>868</v>
      </c>
      <c r="I132" s="13">
        <v>42803.840277777781</v>
      </c>
      <c r="J132" s="7">
        <v>0</v>
      </c>
      <c r="K132" s="98" t="str">
        <f t="shared" si="21"/>
        <v>4017/4018</v>
      </c>
      <c r="L132" s="21" t="str">
        <f>VLOOKUP(A132,'Trips&amp;Operators'!$C$1:$G$99999,5,FALSE)</f>
        <v>SWANSON BRYCE</v>
      </c>
      <c r="M132" s="6">
        <f t="shared" si="22"/>
        <v>3.0393518522032537E-2</v>
      </c>
      <c r="N132" s="7">
        <f t="shared" si="23"/>
        <v>43.766666671726853</v>
      </c>
      <c r="O132" s="7"/>
      <c r="P132" s="7"/>
      <c r="Q132" s="22"/>
      <c r="R132" s="22"/>
      <c r="S132" s="31">
        <f t="shared" si="24"/>
        <v>1</v>
      </c>
      <c r="T132" s="46" t="str">
        <f t="shared" si="25"/>
        <v>Southbound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26"/>
        <v>https://d0f6bd738d7f1b3e5a7ca70fe4ff75f0.us-east-1.aws.found.io/app/kibana#/discover/Steve-Slow-Train-Analysis-(2080s-and-2083s)?_g=(refreshInterval:(display:Off,pause:!f,section:0,value:0),time:(from:'2017-03-09T18:13:56-0700',mode:absolute,to:'2017-03-09T21:10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2" s="187" t="str">
        <f t="shared" si="27"/>
        <v>N</v>
      </c>
      <c r="X132" s="187">
        <f t="shared" si="28"/>
        <v>1</v>
      </c>
      <c r="Y132" s="62">
        <f t="shared" si="29"/>
        <v>23.295500000000001</v>
      </c>
      <c r="Z132" s="62">
        <f t="shared" si="30"/>
        <v>3.0300000000000001E-2</v>
      </c>
      <c r="AA132" s="62">
        <f t="shared" si="31"/>
        <v>23.2652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2"/>
        <v>0220-09</v>
      </c>
      <c r="AE132" s="85" t="str">
        <f t="shared" si="33"/>
        <v>aws s3 cp s3://rtdc.mdm.uploadarchive.raw/RTDC4017/ "%USERPROFILE%\AppData\Local\Temp\OnboardLogs"\RTDC4017\2017-03-09 --exclude "*" --recursive --include "*20170309*" &amp; "%USERPROFILE%\Documents\GitHub\mrs-test-scripts\Headless Mode &amp; Sideloading\WalkAndUnGZ.bat" "%USERPROFILE%\AppData\Local\Temp\OnboardLogs"\RTDC4017\2017-03-09 &amp; aws s3 cp s3://rtdc.mdm.uploadarchive.raw/RTDC4017/ "%USERPROFILE%\AppData\Local\Temp\OnboardLogs"\RTDC4017\2017-03-10 --exclude "*" --recursive --include "*20170310*" &amp; "%USERPROFILE%\Documents\GitHub\mrs-test-scripts\Headless Mode &amp; Sideloading\WalkAndUnGZ.bat" "%USERPROFILE%\AppData\Local\Temp\OnboardLogs"\RTDC4017\2017-03-10</v>
      </c>
      <c r="AF132" s="82" t="str">
        <f t="shared" si="34"/>
        <v>"C:\Program Files (x86)\AstroGrep\AstroGrep.exe" /e /r /s /spath="%USERPROFILE%\AppData\Local\Temp\OnboardLogs" /stypes="app*4017*20170310*" /stext=" 03:.+((SYSTEM_STATE.+slice.+state.+changed )|(ment ac)|(multiple cpu faults)|(system.+state.+changed )|(\[timeout)|(PRM\|1\|D)|(kpr)|(kdp)|(\|lc)|(penalty))"</v>
      </c>
      <c r="AG132" s="1" t="str">
        <f t="shared" si="35"/>
        <v>EC</v>
      </c>
      <c r="AH132" s="86" t="str">
        <f t="shared" si="36"/>
        <v>"%USERPROFILE%\Documents\GitHub\eaglep3\Utilities\RefineRTDCRunTimes.py" --tripid 220-09 --locoid 4017 --swversion DE.1.0.9.0 --startMP 204:232955 --initTime 2017-03-09T19:13:56 --startdatetime 2017-03-09T19:26:14 --delay 1 --endMP 204:303 --enddatetime 2017-03-09T20:10:00 --enforcementcount 0 &gt;&gt;C:\Users\stu\Documents\GitHub\eaglep3-reporting\EC\2017-03-09-refined-times.txt</v>
      </c>
      <c r="AI132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{"issue":{"subject":"","project_id":79,"tracker_id":40,"status_id":1,"priority_id":2,"assigned_to_id":23,"start_date":"2017-03-09","description":"","custom_fields":[{"id":1,"name":"Subdivision","value":"EC"},{"id":4,"name":"Milepost","value":"0.0303"},{"id":17,"name":"Train ID","value":"220-09"},{"id":16,"name":"Locomotive ID","value":"4017"},{"id":130,"name":"Impact","value":""},{"id":150,"name":"Time of Event (Mountain Time)","value":"20:10:00"},{"id":151,"name":"Denver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38"/>
        <v>start /low /b %USERPROFILE%\Documents\GitHub\eaglep3\Utilities\DownloadLogsFromS3.py --loco 4017 --day 2017-03-09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"%USERPROFILE%\AppData\Local\Temp\OnboardLogs"\RTDC4017\*4017*20170310* | grep -SE "(Enforcement Action)|(\[TIMEOUT)|(CHR.+\|PRM\|1\|D.+(SWITCH|SIGNAL).+UNKNOWN)" - &gt;&gt; 2017-03-09-UncaughtWiMAX.txt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776</v>
      </c>
      <c r="B133" s="7">
        <v>4044</v>
      </c>
      <c r="C133" s="21" t="s">
        <v>242</v>
      </c>
      <c r="D133" s="21" t="s">
        <v>269</v>
      </c>
      <c r="E133" s="13">
        <v>42803.789525462962</v>
      </c>
      <c r="F133" s="13">
        <v>42803.791921296295</v>
      </c>
      <c r="G133" s="7">
        <v>1</v>
      </c>
      <c r="H133" s="21" t="s">
        <v>869</v>
      </c>
      <c r="I133" s="13">
        <v>42803.817986111113</v>
      </c>
      <c r="J133" s="7">
        <v>0</v>
      </c>
      <c r="K133" s="98" t="str">
        <f t="shared" si="21"/>
        <v>4043/4044</v>
      </c>
      <c r="L133" s="21" t="str">
        <f>VLOOKUP(A133,'Trips&amp;Operators'!$C$1:$G$99999,5,FALSE)</f>
        <v>CHANDLER KELVIN</v>
      </c>
      <c r="M133" s="6">
        <f t="shared" si="22"/>
        <v>2.6064814817800652E-2</v>
      </c>
      <c r="N133" s="7">
        <f t="shared" si="23"/>
        <v>37.533333337632939</v>
      </c>
      <c r="O133" s="7"/>
      <c r="P133" s="7"/>
      <c r="Q133" s="22"/>
      <c r="R133" s="22"/>
      <c r="S133" s="31">
        <f t="shared" si="24"/>
        <v>1</v>
      </c>
      <c r="T133" s="46" t="str">
        <f t="shared" si="25"/>
        <v>NorthBound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26"/>
        <v>https://d0f6bd738d7f1b3e5a7ca70fe4ff75f0.us-east-1.aws.found.io/app/kibana#/discover/Steve-Slow-Train-Analysis-(2080s-and-2083s)?_g=(refreshInterval:(display:Off,pause:!f,section:0,value:0),time:(from:'2017-03-09T17:56:55-0700',mode:absolute,to:'2017-03-09T20:37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3" s="187" t="str">
        <f t="shared" si="27"/>
        <v>N</v>
      </c>
      <c r="X133" s="187">
        <f t="shared" si="28"/>
        <v>1</v>
      </c>
      <c r="Y133" s="62">
        <f t="shared" si="29"/>
        <v>4.4200000000000003E-2</v>
      </c>
      <c r="Z133" s="62">
        <f t="shared" si="30"/>
        <v>23.322900000000001</v>
      </c>
      <c r="AA133" s="62">
        <f t="shared" si="31"/>
        <v>23.278700000000001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2"/>
        <v>0221-09</v>
      </c>
      <c r="AE133" s="85" t="str">
        <f t="shared" si="33"/>
        <v>aws s3 cp s3://rtdc.mdm.uploadarchive.raw/RTDC4044/ "%USERPROFILE%\AppData\Local\Temp\OnboardLogs"\RTDC4044\2017-03-09 --exclude "*" --recursive --include "*20170309*" &amp; "%USERPROFILE%\Documents\GitHub\mrs-test-scripts\Headless Mode &amp; Sideloading\WalkAndUnGZ.bat" "%USERPROFILE%\AppData\Local\Temp\OnboardLogs"\RTDC4044\2017-03-09 &amp; aws s3 cp s3://rtdc.mdm.uploadarchive.raw/RTDC4044/ "%USERPROFILE%\AppData\Local\Temp\OnboardLogs"\RTDC4044\2017-03-10 --exclude "*" --recursive --include "*20170310*" &amp; "%USERPROFILE%\Documents\GitHub\mrs-test-scripts\Headless Mode &amp; Sideloading\WalkAndUnGZ.bat" "%USERPROFILE%\AppData\Local\Temp\OnboardLogs"\RTDC4044\2017-03-10</v>
      </c>
      <c r="AF133" s="82" t="str">
        <f t="shared" si="34"/>
        <v>"C:\Program Files (x86)\AstroGrep\AstroGrep.exe" /e /r /s /spath="%USERPROFILE%\AppData\Local\Temp\OnboardLogs" /stypes="app*4044*20170310*" /stext=" 02:.+((SYSTEM_STATE.+slice.+state.+changed )|(ment ac)|(multiple cpu faults)|(system.+state.+changed )|(\[timeout)|(PRM\|1\|D)|(kpr)|(kdp)|(\|lc)|(penalty))"</v>
      </c>
      <c r="AG133" s="1" t="str">
        <f t="shared" si="35"/>
        <v>EC</v>
      </c>
      <c r="AH133" s="86" t="str">
        <f t="shared" si="36"/>
        <v>"%USERPROFILE%\Documents\GitHub\eaglep3\Utilities\RefineRTDCRunTimes.py" --tripid 221-09 --locoid 4044 --swversion DE.1.0.9.0 --startMP 204:442 --initTime 2017-03-09T18:56:55 --startdatetime 2017-03-09T19:00:22 --delay 1 --endMP 204:233229 --enddatetime 2017-03-09T19:37:54 --enforcementcount 0 &gt;&gt;C:\Users\stu\Documents\GitHub\eaglep3-reporting\EC\2017-03-09-refined-times.txt</v>
      </c>
      <c r="AI133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{"issue":{"subject":"","project_id":79,"tracker_id":40,"status_id":1,"priority_id":2,"assigned_to_id":23,"start_date":"2017-03-09","description":"","custom_fields":[{"id":1,"name":"Subdivision","value":"EC"},{"id":4,"name":"Milepost","value":"23.3229"},{"id":17,"name":"Train ID","value":"221-09"},{"id":16,"name":"Locomotive ID","value":"4044"},{"id":130,"name":"Impact","value":""},{"id":150,"name":"Time of Event (Mountain Time)","value":"19:37:54"},{"id":151,"name":"Denver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38"/>
        <v>start /low /b %USERPROFILE%\Documents\GitHub\eaglep3\Utilities\DownloadLogsFromS3.py --loco 4044 --day 2017-03-09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"%USERPROFILE%\AppData\Local\Temp\OnboardLogs"\RTDC4044\*4044*20170310* | grep -SE "(Enforcement Action)|(\[TIMEOUT)|(CHR.+\|PRM\|1\|D.+(SWITCH|SIGNAL).+UNKNOWN)" - &gt;&gt; 2017-03-09-UncaughtWiMAX.txt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787</v>
      </c>
      <c r="B134" s="7">
        <v>4043</v>
      </c>
      <c r="C134" s="21" t="s">
        <v>242</v>
      </c>
      <c r="D134" s="21" t="s">
        <v>464</v>
      </c>
      <c r="E134" s="13">
        <v>42803.827881944446</v>
      </c>
      <c r="F134" s="13">
        <v>42803.830833333333</v>
      </c>
      <c r="G134" s="7">
        <v>1</v>
      </c>
      <c r="H134" s="21" t="s">
        <v>870</v>
      </c>
      <c r="I134" s="13">
        <v>42803.859189814815</v>
      </c>
      <c r="J134" s="7">
        <v>0</v>
      </c>
      <c r="K134" s="98" t="str">
        <f t="shared" si="21"/>
        <v>4043/4044</v>
      </c>
      <c r="L134" s="21" t="str">
        <f>VLOOKUP(A134,'Trips&amp;Operators'!$C$1:$G$99999,5,FALSE)</f>
        <v>CHANDLER KELVIN</v>
      </c>
      <c r="M134" s="6">
        <f t="shared" si="22"/>
        <v>2.8356481481750961E-2</v>
      </c>
      <c r="N134" s="7">
        <f t="shared" si="23"/>
        <v>40.833333333721384</v>
      </c>
      <c r="O134" s="7"/>
      <c r="P134" s="7"/>
      <c r="Q134" s="22"/>
      <c r="R134" s="22"/>
      <c r="S134" s="31">
        <f t="shared" si="24"/>
        <v>1</v>
      </c>
      <c r="T134" s="46" t="str">
        <f t="shared" si="25"/>
        <v>Southbound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26"/>
        <v>https://d0f6bd738d7f1b3e5a7ca70fe4ff75f0.us-east-1.aws.found.io/app/kibana#/discover/Steve-Slow-Train-Analysis-(2080s-and-2083s)?_g=(refreshInterval:(display:Off,pause:!f,section:0,value:0),time:(from:'2017-03-09T18:52:09-0700',mode:absolute,to:'2017-03-09T21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4" s="187" t="str">
        <f t="shared" si="27"/>
        <v>N</v>
      </c>
      <c r="X134" s="187">
        <f t="shared" si="28"/>
        <v>1</v>
      </c>
      <c r="Y134" s="62">
        <f t="shared" si="29"/>
        <v>23.2974</v>
      </c>
      <c r="Z134" s="62">
        <f t="shared" si="30"/>
        <v>1.8499999999999999E-2</v>
      </c>
      <c r="AA134" s="62">
        <f t="shared" si="31"/>
        <v>23.2789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2"/>
        <v>0222-09</v>
      </c>
      <c r="AE134" s="85" t="str">
        <f t="shared" si="33"/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AF134" s="82" t="str">
        <f t="shared" si="34"/>
        <v>"C:\Program Files (x86)\AstroGrep\AstroGrep.exe" /e /r /s /spath="%USERPROFILE%\AppData\Local\Temp\OnboardLogs" /stypes="app*4043*20170310*" /stext=" 03:.+((SYSTEM_STATE.+slice.+state.+changed )|(ment ac)|(multiple cpu faults)|(system.+state.+changed )|(\[timeout)|(PRM\|1\|D)|(kpr)|(kdp)|(\|lc)|(penalty))"</v>
      </c>
      <c r="AG134" s="1" t="str">
        <f t="shared" si="35"/>
        <v>EC</v>
      </c>
      <c r="AH134" s="86" t="str">
        <f t="shared" si="36"/>
        <v>"%USERPROFILE%\Documents\GitHub\eaglep3\Utilities\RefineRTDCRunTimes.py" --tripid 222-09 --locoid 4043 --swversion DE.1.0.9.0 --startMP 204:232974 --initTime 2017-03-09T19:52:09 --startdatetime 2017-03-09T19:56:24 --delay 1 --endMP 204:185 --enddatetime 2017-03-09T20:37:14 --enforcementcount 0 &gt;&gt;C:\Users\stu\Documents\GitHub\eaglep3-reporting\EC\2017-03-09-refined-times.txt</v>
      </c>
      <c r="AI134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{"issue":{"subject":"","project_id":79,"tracker_id":40,"status_id":1,"priority_id":2,"assigned_to_id":23,"start_date":"2017-03-09","description":"","custom_fields":[{"id":1,"name":"Subdivision","value":"EC"},{"id":4,"name":"Milepost","value":"0.0185"},{"id":17,"name":"Train ID","value":"222-09"},{"id":16,"name":"Locomotive ID","value":"4043"},{"id":130,"name":"Impact","value":""},{"id":150,"name":"Time of Event (Mountain Time)","value":"20:37:14"},{"id":151,"name":"Denver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38"/>
        <v>start /low /b %USERPROFILE%\Documents\GitHub\eaglep3\Utilities\DownloadLogsFromS3.py --loco 4043 --day 2017-03-09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"%USERPROFILE%\AppData\Local\Temp\OnboardLogs"\RTDC4043\*4043*20170310* | grep -SE "(Enforcement Action)|(\[TIMEOUT)|(CHR.+\|PRM\|1\|D.+(SWITCH|SIGNAL).+UNKNOWN)" - &gt;&gt; 2017-03-09-UncaughtWiMAX.txt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784</v>
      </c>
      <c r="B135" s="7">
        <v>4020</v>
      </c>
      <c r="C135" s="21" t="s">
        <v>242</v>
      </c>
      <c r="D135" s="21" t="s">
        <v>871</v>
      </c>
      <c r="E135" s="13">
        <v>42803.809641203705</v>
      </c>
      <c r="F135" s="13">
        <v>42803.812650462962</v>
      </c>
      <c r="G135" s="7">
        <v>1</v>
      </c>
      <c r="H135" s="21" t="s">
        <v>250</v>
      </c>
      <c r="I135" s="13">
        <v>42803.837453703702</v>
      </c>
      <c r="J135" s="7">
        <v>0</v>
      </c>
      <c r="K135" s="98" t="str">
        <f t="shared" si="21"/>
        <v>4019/4020</v>
      </c>
      <c r="L135" s="21" t="str">
        <f>VLOOKUP(A135,'Trips&amp;Operators'!$C$1:$G$99999,5,FALSE)</f>
        <v>NEWELL JAMES</v>
      </c>
      <c r="M135" s="6">
        <f t="shared" si="22"/>
        <v>2.4803240739856847E-2</v>
      </c>
      <c r="N135" s="7">
        <f t="shared" si="23"/>
        <v>35.716666665393859</v>
      </c>
      <c r="O135" s="7"/>
      <c r="P135" s="7"/>
      <c r="Q135" s="22"/>
      <c r="R135" s="22"/>
      <c r="S135" s="31">
        <f t="shared" si="24"/>
        <v>1</v>
      </c>
      <c r="T135" s="46" t="str">
        <f t="shared" si="25"/>
        <v>NorthBound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26"/>
        <v>https://d0f6bd738d7f1b3e5a7ca70fe4ff75f0.us-east-1.aws.found.io/app/kibana#/discover/Steve-Slow-Train-Analysis-(2080s-and-2083s)?_g=(refreshInterval:(display:Off,pause:!f,section:0,value:0),time:(from:'2017-03-09T18:25:53-0700',mode:absolute,to:'2017-03-09T21:05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35" s="187" t="str">
        <f t="shared" si="27"/>
        <v>N</v>
      </c>
      <c r="X135" s="187">
        <f t="shared" si="28"/>
        <v>1</v>
      </c>
      <c r="Y135" s="62">
        <f t="shared" si="29"/>
        <v>4.6199999999999998E-2</v>
      </c>
      <c r="Z135" s="62">
        <f t="shared" si="30"/>
        <v>23.330400000000001</v>
      </c>
      <c r="AA135" s="62">
        <f t="shared" si="31"/>
        <v>23.284200000000002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2"/>
        <v>0223-09</v>
      </c>
      <c r="AE135" s="85" t="str">
        <f t="shared" si="33"/>
        <v>aws s3 cp s3://rtdc.mdm.uploadarchive.raw/RTDC4020/ "%USERPROFILE%\AppData\Local\Temp\OnboardLogs"\RTDC4020\2017-03-09 --exclude "*" --recursive --include "*20170309*" &amp; "%USERPROFILE%\Documents\GitHub\mrs-test-scripts\Headless Mode &amp; Sideloading\WalkAndUnGZ.bat" "%USERPROFILE%\AppData\Local\Temp\OnboardLogs"\RTDC4020\2017-03-09 &amp; 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</v>
      </c>
      <c r="AF135" s="82" t="str">
        <f t="shared" si="34"/>
        <v>"C:\Program Files (x86)\AstroGrep\AstroGrep.exe" /e /r /s /spath="%USERPROFILE%\AppData\Local\Temp\OnboardLogs" /stypes="app*4020*20170310*" /stext=" 03:.+((SYSTEM_STATE.+slice.+state.+changed )|(ment ac)|(multiple cpu faults)|(system.+state.+changed )|(\[timeout)|(PRM\|1\|D)|(kpr)|(kdp)|(\|lc)|(penalty))"</v>
      </c>
      <c r="AG135" s="1" t="str">
        <f t="shared" si="35"/>
        <v>EC</v>
      </c>
      <c r="AH135" s="86" t="str">
        <f t="shared" si="36"/>
        <v>"%USERPROFILE%\Documents\GitHub\eaglep3\Utilities\RefineRTDCRunTimes.py" --tripid 223-09 --locoid 4020 --swversion DE.1.0.9.0 --startMP 204:462 --initTime 2017-03-09T19:25:53 --startdatetime 2017-03-09T19:30:13 --delay 1 --endMP 204:233304 --enddatetime 2017-03-09T20:05:56 --enforcementcount 0 &gt;&gt;C:\Users\stu\Documents\GitHub\eaglep3-reporting\EC\2017-03-09-refined-times.txt</v>
      </c>
      <c r="AI135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{"issue":{"subject":"","project_id":79,"tracker_id":40,"status_id":1,"priority_id":2,"assigned_to_id":23,"start_date":"2017-03-09","description":"","custom_fields":[{"id":1,"name":"Subdivision","value":"EC"},{"id":4,"name":"Milepost","value":"23.3304"},{"id":17,"name":"Train ID","value":"223-09"},{"id":16,"name":"Locomotive ID","value":"4020"},{"id":130,"name":"Impact","value":""},{"id":150,"name":"Time of Event (Mountain Time)","value":"20:05:56"},{"id":151,"name":"Denver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38"/>
        <v>start /low /b %USERPROFILE%\Documents\GitHub\eaglep3\Utilities\DownloadLogsFromS3.py --loco 4020 --day 2017-03-09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"%USERPROFILE%\AppData\Local\Temp\OnboardLogs"\RTDC4020\*4020*20170310* | grep -SE "(Enforcement Action)|(\[TIMEOUT)|(CHR.+\|PRM\|1\|D.+(SWITCH|SIGNAL).+UNKNOWN)" - &gt;&gt; 2017-03-09-UncaughtWiMAX.txt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791</v>
      </c>
      <c r="B136" s="7">
        <v>4019</v>
      </c>
      <c r="C136" s="21" t="s">
        <v>242</v>
      </c>
      <c r="D136" s="21" t="s">
        <v>440</v>
      </c>
      <c r="E136" s="13">
        <v>42803.84847222222</v>
      </c>
      <c r="F136" s="13">
        <v>42803.851550925923</v>
      </c>
      <c r="G136" s="7">
        <v>1</v>
      </c>
      <c r="H136" s="21" t="s">
        <v>184</v>
      </c>
      <c r="I136" s="13">
        <v>42803.881805555553</v>
      </c>
      <c r="J136" s="7">
        <v>0</v>
      </c>
      <c r="K136" s="98" t="str">
        <f t="shared" si="21"/>
        <v>4019/4020</v>
      </c>
      <c r="L136" s="21" t="str">
        <f>VLOOKUP(A136,'Trips&amp;Operators'!$C$1:$G$99999,5,FALSE)</f>
        <v>NEWELL JAMES</v>
      </c>
      <c r="M136" s="6">
        <f t="shared" si="22"/>
        <v>3.0254629629780538E-2</v>
      </c>
      <c r="N136" s="7">
        <f t="shared" si="23"/>
        <v>43.566666666883975</v>
      </c>
      <c r="O136" s="7"/>
      <c r="P136" s="7"/>
      <c r="Q136" s="22"/>
      <c r="R136" s="22"/>
      <c r="S136" s="31">
        <f t="shared" si="24"/>
        <v>1</v>
      </c>
      <c r="T136" s="46" t="str">
        <f t="shared" si="25"/>
        <v>Southbound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26"/>
        <v>https://d0f6bd738d7f1b3e5a7ca70fe4ff75f0.us-east-1.aws.found.io/app/kibana#/discover/Steve-Slow-Train-Analysis-(2080s-and-2083s)?_g=(refreshInterval:(display:Off,pause:!f,section:0,value:0),time:(from:'2017-03-09T19:21:48-0700',mode:absolute,to:'2017-03-09T22:09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36" s="187" t="str">
        <f t="shared" si="27"/>
        <v>N</v>
      </c>
      <c r="X136" s="187">
        <f t="shared" si="28"/>
        <v>1</v>
      </c>
      <c r="Y136" s="62">
        <f t="shared" si="29"/>
        <v>23.297599999999999</v>
      </c>
      <c r="Z136" s="62">
        <f t="shared" si="30"/>
        <v>1.49E-2</v>
      </c>
      <c r="AA136" s="62">
        <f t="shared" si="31"/>
        <v>23.282699999999998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2"/>
        <v>0224-09</v>
      </c>
      <c r="AE136" s="85" t="str">
        <f t="shared" si="33"/>
        <v>aws s3 cp s3://rtdc.mdm.uploadarchive.raw/RTDC4019/ "%USERPROFILE%\AppData\Local\Temp\OnboardLogs"\RTDC4019\2017-03-09 --exclude "*" --recursive --include "*20170309*" &amp; "%USERPROFILE%\Documents\GitHub\mrs-test-scripts\Headless Mode &amp; Sideloading\WalkAndUnGZ.bat" "%USERPROFILE%\AppData\Local\Temp\OnboardLogs"\RTDC4019\2017-03-09 &amp; 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</v>
      </c>
      <c r="AF136" s="82" t="str">
        <f t="shared" si="34"/>
        <v>"C:\Program Files (x86)\AstroGrep\AstroGrep.exe" /e /r /s /spath="%USERPROFILE%\AppData\Local\Temp\OnboardLogs" /stypes="app*4019*20170310*" /stext=" 04:.+((SYSTEM_STATE.+slice.+state.+changed )|(ment ac)|(multiple cpu faults)|(system.+state.+changed )|(\[timeout)|(PRM\|1\|D)|(kpr)|(kdp)|(\|lc)|(penalty))"</v>
      </c>
      <c r="AG136" s="1" t="str">
        <f t="shared" si="35"/>
        <v>EC</v>
      </c>
      <c r="AH136" s="86" t="str">
        <f t="shared" si="36"/>
        <v>"%USERPROFILE%\Documents\GitHub\eaglep3\Utilities\RefineRTDCRunTimes.py" --tripid 224-09 --locoid 4019 --swversion DE.1.0.9.0 --startMP 204:232976 --initTime 2017-03-09T20:21:48 --startdatetime 2017-03-09T20:26:14 --delay 1 --endMP 204:149 --enddatetime 2017-03-09T21:09:48 --enforcementcount 0 &gt;&gt;C:\Users\stu\Documents\GitHub\eaglep3-reporting\EC\2017-03-09-refined-times.txt</v>
      </c>
      <c r="AI136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{"issue":{"subject":"","project_id":79,"tracker_id":40,"status_id":1,"priority_id":2,"assigned_to_id":23,"start_date":"2017-03-09","description":"","custom_fields":[{"id":1,"name":"Subdivision","value":"EC"},{"id":4,"name":"Milepost","value":"0.0149"},{"id":17,"name":"Train ID","value":"224-09"},{"id":16,"name":"Locomotive ID","value":"4019"},{"id":130,"name":"Impact","value":""},{"id":150,"name":"Time of Event (Mountain Time)","value":"21:09:48"},{"id":151,"name":"Denver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38"/>
        <v>start /low /b %USERPROFILE%\Documents\GitHub\eaglep3\Utilities\DownloadLogsFromS3.py --loco 4019 --day 2017-03-09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"%USERPROFILE%\AppData\Local\Temp\OnboardLogs"\RTDC4019\*4019*20170310* | grep -SE "(Enforcement Action)|(\[TIMEOUT)|(CHR.+\|PRM\|1\|D.+(SWITCH|SIGNAL).+UNKNOWN)" - &gt;&gt; 2017-03-09-UncaughtWiMAX.txt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788</v>
      </c>
      <c r="B137" s="7">
        <v>4003</v>
      </c>
      <c r="C137" s="21" t="s">
        <v>242</v>
      </c>
      <c r="D137" s="21" t="s">
        <v>230</v>
      </c>
      <c r="E137" s="13">
        <v>42803.828877314816</v>
      </c>
      <c r="F137" s="13">
        <v>42803.833819444444</v>
      </c>
      <c r="G137" s="7">
        <v>1</v>
      </c>
      <c r="H137" s="21" t="s">
        <v>872</v>
      </c>
      <c r="I137" s="13">
        <v>42803.859247685185</v>
      </c>
      <c r="J137" s="7">
        <v>0</v>
      </c>
      <c r="K137" s="98" t="str">
        <f t="shared" si="21"/>
        <v>4003/4004</v>
      </c>
      <c r="L137" s="21" t="str">
        <f>VLOOKUP(A137,'Trips&amp;Operators'!$C$1:$G$99999,5,FALSE)</f>
        <v>MCREYNOLDS KYLE</v>
      </c>
      <c r="M137" s="6">
        <f t="shared" si="22"/>
        <v>2.5428240740438923E-2</v>
      </c>
      <c r="N137" s="7">
        <f t="shared" si="23"/>
        <v>36.616666666232049</v>
      </c>
      <c r="O137" s="7"/>
      <c r="P137" s="7"/>
      <c r="Q137" s="22"/>
      <c r="R137" s="22"/>
      <c r="S137" s="31">
        <f t="shared" si="24"/>
        <v>1</v>
      </c>
      <c r="T137" s="46" t="str">
        <f t="shared" si="25"/>
        <v>NorthBound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26"/>
        <v>https://d0f6bd738d7f1b3e5a7ca70fe4ff75f0.us-east-1.aws.found.io/app/kibana#/discover/Steve-Slow-Train-Analysis-(2080s-and-2083s)?_g=(refreshInterval:(display:Off,pause:!f,section:0,value:0),time:(from:'2017-03-09T18:53:35-0700',mode:absolute,to:'2017-03-09T21:37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7" s="187" t="str">
        <f t="shared" si="27"/>
        <v>N</v>
      </c>
      <c r="X137" s="187">
        <f t="shared" si="28"/>
        <v>1</v>
      </c>
      <c r="Y137" s="62">
        <f t="shared" si="29"/>
        <v>4.3999999999999997E-2</v>
      </c>
      <c r="Z137" s="62">
        <f t="shared" si="30"/>
        <v>23.331900000000001</v>
      </c>
      <c r="AA137" s="62">
        <f t="shared" si="31"/>
        <v>23.2879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2"/>
        <v>0225-09</v>
      </c>
      <c r="AE137" s="85" t="str">
        <f t="shared" si="33"/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AF137" s="82" t="str">
        <f t="shared" si="34"/>
        <v>"C:\Program Files (x86)\AstroGrep\AstroGrep.exe" /e /r /s /spath="%USERPROFILE%\AppData\Local\Temp\OnboardLogs" /stypes="app*4003*20170310*" /stext=" 03:.+((SYSTEM_STATE.+slice.+state.+changed )|(ment ac)|(multiple cpu faults)|(system.+state.+changed )|(\[timeout)|(PRM\|1\|D)|(kpr)|(kdp)|(\|lc)|(penalty))"</v>
      </c>
      <c r="AG137" s="1" t="str">
        <f t="shared" si="35"/>
        <v>EC</v>
      </c>
      <c r="AH137" s="86" t="str">
        <f t="shared" si="36"/>
        <v>"%USERPROFILE%\Documents\GitHub\eaglep3\Utilities\RefineRTDCRunTimes.py" --tripid 225-09 --locoid 4003 --swversion DE.1.0.9.0 --startMP 204:440 --initTime 2017-03-09T19:53:35 --startdatetime 2017-03-09T20:00:42 --delay 1 --endMP 204:233319 --enddatetime 2017-03-09T20:37:19 --enforcementcount 0 &gt;&gt;C:\Users\stu\Documents\GitHub\eaglep3-reporting\EC\2017-03-09-refined-times.txt</v>
      </c>
      <c r="AI137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{"issue":{"subject":"","project_id":79,"tracker_id":40,"status_id":1,"priority_id":2,"assigned_to_id":23,"start_date":"2017-03-09","description":"","custom_fields":[{"id":1,"name":"Subdivision","value":"EC"},{"id":4,"name":"Milepost","value":"23.3319"},{"id":17,"name":"Train ID","value":"225-09"},{"id":16,"name":"Locomotive ID","value":"4003"},{"id":130,"name":"Impact","value":""},{"id":150,"name":"Time of Event (Mountain Time)","value":"20:37:19"},{"id":151,"name":"Denver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38"/>
        <v>start /low /b %USERPROFILE%\Documents\GitHub\eaglep3\Utilities\DownloadLogsFromS3.py --loco 4003 --day 2017-03-09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"%USERPROFILE%\AppData\Local\Temp\OnboardLogs"\RTDC4003\*4003*20170310* | grep -SE "(Enforcement Action)|(\[TIMEOUT)|(CHR.+\|PRM\|1\|D.+(SWITCH|SIGNAL).+UNKNOWN)" - &gt;&gt; 2017-03-09-UncaughtWiMAX.txt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793</v>
      </c>
      <c r="B138" s="7">
        <v>4004</v>
      </c>
      <c r="C138" s="21" t="s">
        <v>242</v>
      </c>
      <c r="D138" s="21" t="s">
        <v>465</v>
      </c>
      <c r="E138" s="13">
        <v>42803.866249999999</v>
      </c>
      <c r="F138" s="13">
        <v>42803.872511574074</v>
      </c>
      <c r="G138" s="7">
        <v>1</v>
      </c>
      <c r="H138" s="21" t="s">
        <v>208</v>
      </c>
      <c r="I138" s="13">
        <v>42803.901967592596</v>
      </c>
      <c r="J138" s="7">
        <v>0</v>
      </c>
      <c r="K138" s="98" t="str">
        <f t="shared" si="21"/>
        <v>4003/4004</v>
      </c>
      <c r="L138" s="21" t="str">
        <f>VLOOKUP(A138,'Trips&amp;Operators'!$C$1:$G$99999,5,FALSE)</f>
        <v>MCREYNOLDS KYLE</v>
      </c>
      <c r="M138" s="6">
        <f t="shared" si="22"/>
        <v>2.9456018521159422E-2</v>
      </c>
      <c r="N138" s="7">
        <f t="shared" si="23"/>
        <v>42.416666670469567</v>
      </c>
      <c r="O138" s="7"/>
      <c r="P138" s="7"/>
      <c r="Q138" s="22"/>
      <c r="R138" s="22"/>
      <c r="S138" s="31">
        <f t="shared" si="24"/>
        <v>1</v>
      </c>
      <c r="T138" s="46" t="str">
        <f t="shared" si="25"/>
        <v>Southbound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26"/>
        <v>https://d0f6bd738d7f1b3e5a7ca70fe4ff75f0.us-east-1.aws.found.io/app/kibana#/discover/Steve-Slow-Train-Analysis-(2080s-and-2083s)?_g=(refreshInterval:(display:Off,pause:!f,section:0,value:0),time:(from:'2017-03-09T19:47:24-0700',mode:absolute,to:'2017-03-09T22:38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8" s="187" t="str">
        <f t="shared" si="27"/>
        <v>N</v>
      </c>
      <c r="X138" s="187">
        <f t="shared" si="28"/>
        <v>1</v>
      </c>
      <c r="Y138" s="62">
        <f t="shared" si="29"/>
        <v>23.3019</v>
      </c>
      <c r="Z138" s="62">
        <f t="shared" si="30"/>
        <v>1.54E-2</v>
      </c>
      <c r="AA138" s="62">
        <f t="shared" si="31"/>
        <v>23.2865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2"/>
        <v>0226-09</v>
      </c>
      <c r="AE138" s="85" t="str">
        <f t="shared" si="33"/>
        <v>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 &amp; 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</v>
      </c>
      <c r="AF138" s="82" t="str">
        <f t="shared" si="34"/>
        <v>"C:\Program Files (x86)\AstroGrep\AstroGrep.exe" /e /r /s /spath="%USERPROFILE%\AppData\Local\Temp\OnboardLogs" /stypes="app*4004*20170310*" /stext=" 04:.+((SYSTEM_STATE.+slice.+state.+changed )|(ment ac)|(multiple cpu faults)|(system.+state.+changed )|(\[timeout)|(PRM\|1\|D)|(kpr)|(kdp)|(\|lc)|(penalty))"</v>
      </c>
      <c r="AG138" s="1" t="str">
        <f t="shared" si="35"/>
        <v>EC</v>
      </c>
      <c r="AH138" s="86" t="str">
        <f t="shared" si="36"/>
        <v>"%USERPROFILE%\Documents\GitHub\eaglep3\Utilities\RefineRTDCRunTimes.py" --tripid 226-09 --locoid 4004 --swversion DE.1.0.9.0 --startMP 204:233019 --initTime 2017-03-09T20:47:24 --startdatetime 2017-03-09T20:56:25 --delay 1 --endMP 204:154 --enddatetime 2017-03-09T21:38:50 --enforcementcount 0 &gt;&gt;C:\Users\stu\Documents\GitHub\eaglep3-reporting\EC\2017-03-09-refined-times.txt</v>
      </c>
      <c r="AI138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{"issue":{"subject":"","project_id":79,"tracker_id":40,"status_id":1,"priority_id":2,"assigned_to_id":23,"start_date":"2017-03-09","description":"","custom_fields":[{"id":1,"name":"Subdivision","value":"EC"},{"id":4,"name":"Milepost","value":"0.0154"},{"id":17,"name":"Train ID","value":"226-09"},{"id":16,"name":"Locomotive ID","value":"4004"},{"id":130,"name":"Impact","value":""},{"id":150,"name":"Time of Event (Mountain Time)","value":"21:38:50"},{"id":151,"name":"Denver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38"/>
        <v>start /low /b %USERPROFILE%\Documents\GitHub\eaglep3\Utilities\DownloadLogsFromS3.py --loco 4004 --day 2017-03-09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"%USERPROFILE%\AppData\Local\Temp\OnboardLogs"\RTDC4004\*4004*20170310* | grep -SE "(Enforcement Action)|(\[TIMEOUT)|(CHR.+\|PRM\|1\|D.+(SWITCH|SIGNAL).+UNKNOWN)" - &gt;&gt; 2017-03-09-UncaughtWiMAX.txt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790</v>
      </c>
      <c r="B139" s="7">
        <v>4018</v>
      </c>
      <c r="C139" s="21" t="s">
        <v>242</v>
      </c>
      <c r="D139" s="21" t="s">
        <v>547</v>
      </c>
      <c r="E139" s="13">
        <v>42803.842395833337</v>
      </c>
      <c r="F139" s="13">
        <v>42803.854421296295</v>
      </c>
      <c r="G139" s="7">
        <v>1</v>
      </c>
      <c r="H139" s="21" t="s">
        <v>249</v>
      </c>
      <c r="I139" s="13">
        <v>42803.88658564815</v>
      </c>
      <c r="J139" s="7">
        <v>0</v>
      </c>
      <c r="K139" s="98" t="str">
        <f t="shared" si="21"/>
        <v>4017/4018</v>
      </c>
      <c r="L139" s="21" t="str">
        <f>VLOOKUP(A139,'Trips&amp;Operators'!$C$1:$G$99999,5,FALSE)</f>
        <v>SWANSON BRYCE</v>
      </c>
      <c r="M139" s="6">
        <f t="shared" si="22"/>
        <v>3.2164351854589768E-2</v>
      </c>
      <c r="N139" s="7">
        <f t="shared" si="23"/>
        <v>46.316666670609266</v>
      </c>
      <c r="O139" s="7"/>
      <c r="P139" s="7"/>
      <c r="Q139" s="22"/>
      <c r="R139" s="22"/>
      <c r="S139" s="31">
        <f t="shared" si="24"/>
        <v>1</v>
      </c>
      <c r="T139" s="46" t="str">
        <f t="shared" si="25"/>
        <v>NorthBound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26"/>
        <v>https://d0f6bd738d7f1b3e5a7ca70fe4ff75f0.us-east-1.aws.found.io/app/kibana#/discover/Steve-Slow-Train-Analysis-(2080s-and-2083s)?_g=(refreshInterval:(display:Off,pause:!f,section:0,value:0),time:(from:'2017-03-09T19:13:03-0700',mode:absolute,to:'2017-03-09T22:16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9" s="187" t="str">
        <f t="shared" si="27"/>
        <v>N</v>
      </c>
      <c r="X139" s="187">
        <f t="shared" si="28"/>
        <v>1</v>
      </c>
      <c r="Y139" s="62">
        <f t="shared" si="29"/>
        <v>4.3799999999999999E-2</v>
      </c>
      <c r="Z139" s="62">
        <f t="shared" si="30"/>
        <v>23.328900000000001</v>
      </c>
      <c r="AA139" s="62">
        <f t="shared" si="31"/>
        <v>23.2851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2"/>
        <v>0227-09</v>
      </c>
      <c r="AE139" s="85" t="str">
        <f t="shared" si="33"/>
        <v>aws s3 cp s3://rtdc.mdm.uploadarchive.raw/RTDC4018/ "%USERPROFILE%\AppData\Local\Temp\OnboardLogs"\RTDC4018\2017-03-09 --exclude "*" --recursive --include "*20170309*" &amp; "%USERPROFILE%\Documents\GitHub\mrs-test-scripts\Headless Mode &amp; Sideloading\WalkAndUnGZ.bat" "%USERPROFILE%\AppData\Local\Temp\OnboardLogs"\RTDC4018\2017-03-09 &amp; 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</v>
      </c>
      <c r="AF139" s="82" t="str">
        <f t="shared" si="34"/>
        <v>"C:\Program Files (x86)\AstroGrep\AstroGrep.exe" /e /r /s /spath="%USERPROFILE%\AppData\Local\Temp\OnboardLogs" /stypes="app*4018*20170310*" /stext=" 04:.+((SYSTEM_STATE.+slice.+state.+changed )|(ment ac)|(multiple cpu faults)|(system.+state.+changed )|(\[timeout)|(PRM\|1\|D)|(kpr)|(kdp)|(\|lc)|(penalty))"</v>
      </c>
      <c r="AG139" s="1" t="str">
        <f t="shared" si="35"/>
        <v>EC</v>
      </c>
      <c r="AH139" s="86" t="str">
        <f t="shared" si="36"/>
        <v>"%USERPROFILE%\Documents\GitHub\eaglep3\Utilities\RefineRTDCRunTimes.py" --tripid 227-09 --locoid 4018 --swversion DE.1.0.9.0 --startMP 204:438 --initTime 2017-03-09T20:13:03 --startdatetime 2017-03-09T20:30:22 --delay 1 --endMP 204:233289 --enddatetime 2017-03-09T21:16:41 --enforcementcount 0 &gt;&gt;C:\Users\stu\Documents\GitHub\eaglep3-reporting\EC\2017-03-09-refined-times.txt</v>
      </c>
      <c r="AI139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{"issue":{"subject":"","project_id":79,"tracker_id":40,"status_id":1,"priority_id":2,"assigned_to_id":23,"start_date":"2017-03-09","description":"","custom_fields":[{"id":1,"name":"Subdivision","value":"EC"},{"id":4,"name":"Milepost","value":"23.3289"},{"id":17,"name":"Train ID","value":"227-09"},{"id":16,"name":"Locomotive ID","value":"4018"},{"id":130,"name":"Impact","value":""},{"id":150,"name":"Time of Event (Mountain Time)","value":"21:16:41"},{"id":151,"name":"Denver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38"/>
        <v>start /low /b %USERPROFILE%\Documents\GitHub\eaglep3\Utilities\DownloadLogsFromS3.py --loco 4018 --day 2017-03-09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"%USERPROFILE%\AppData\Local\Temp\OnboardLogs"\RTDC4018\*4018*20170310* | grep -SE "(Enforcement Action)|(\[TIMEOUT)|(CHR.+\|PRM\|1\|D.+(SWITCH|SIGNAL).+UNKNOWN)" - &gt;&gt; 2017-03-09-UncaughtWiMAX.txt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796</v>
      </c>
      <c r="B140" s="7">
        <v>4017</v>
      </c>
      <c r="C140" s="21" t="s">
        <v>242</v>
      </c>
      <c r="D140" s="21" t="s">
        <v>825</v>
      </c>
      <c r="E140" s="13">
        <v>42803.892280092594</v>
      </c>
      <c r="F140" s="13">
        <v>42803.893495370372</v>
      </c>
      <c r="G140" s="7">
        <v>0</v>
      </c>
      <c r="H140" s="21" t="s">
        <v>270</v>
      </c>
      <c r="I140" s="13">
        <v>42803.923194444447</v>
      </c>
      <c r="J140" s="7">
        <v>0</v>
      </c>
      <c r="K140" s="98" t="str">
        <f t="shared" si="21"/>
        <v>4017/4018</v>
      </c>
      <c r="L140" s="21" t="str">
        <f>VLOOKUP(A140,'Trips&amp;Operators'!$C$1:$G$99999,5,FALSE)</f>
        <v>SWANSON BRYCE</v>
      </c>
      <c r="M140" s="6">
        <f t="shared" si="22"/>
        <v>2.9699074075324461E-2</v>
      </c>
      <c r="N140" s="7">
        <f t="shared" si="23"/>
        <v>42.766666668467224</v>
      </c>
      <c r="O140" s="7"/>
      <c r="P140" s="7"/>
      <c r="Q140" s="22"/>
      <c r="R140" s="22"/>
      <c r="S140" s="31">
        <f t="shared" si="24"/>
        <v>1</v>
      </c>
      <c r="T140" s="46" t="str">
        <f t="shared" si="25"/>
        <v>Southbound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26"/>
        <v>https://d0f6bd738d7f1b3e5a7ca70fe4ff75f0.us-east-1.aws.found.io/app/kibana#/discover/Steve-Slow-Train-Analysis-(2080s-and-2083s)?_g=(refreshInterval:(display:Off,pause:!f,section:0,value:0),time:(from:'2017-03-09T20:24:53-0700',mode:absolute,to:'2017-03-09T23:09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0" s="187" t="str">
        <f t="shared" si="27"/>
        <v>N</v>
      </c>
      <c r="X140" s="187">
        <f t="shared" si="28"/>
        <v>1</v>
      </c>
      <c r="Y140" s="62">
        <f t="shared" si="29"/>
        <v>23.2972</v>
      </c>
      <c r="Z140" s="62">
        <f t="shared" si="30"/>
        <v>1.61E-2</v>
      </c>
      <c r="AA140" s="62">
        <f t="shared" si="31"/>
        <v>23.281099999999999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2"/>
        <v>0228-09</v>
      </c>
      <c r="AE140" s="85" t="str">
        <f t="shared" si="33"/>
        <v>aws s3 cp s3://rtdc.mdm.uploadarchive.raw/RTDC4017/ "%USERPROFILE%\AppData\Local\Temp\OnboardLogs"\RTDC4017\2017-03-09 --exclude "*" --recursive --include "*20170309*" &amp; "%USERPROFILE%\Documents\GitHub\mrs-test-scripts\Headless Mode &amp; Sideloading\WalkAndUnGZ.bat" "%USERPROFILE%\AppData\Local\Temp\OnboardLogs"\RTDC4017\2017-03-09 &amp; aws s3 cp s3://rtdc.mdm.uploadarchive.raw/RTDC4017/ "%USERPROFILE%\AppData\Local\Temp\OnboardLogs"\RTDC4017\2017-03-10 --exclude "*" --recursive --include "*20170310*" &amp; "%USERPROFILE%\Documents\GitHub\mrs-test-scripts\Headless Mode &amp; Sideloading\WalkAndUnGZ.bat" "%USERPROFILE%\AppData\Local\Temp\OnboardLogs"\RTDC4017\2017-03-10</v>
      </c>
      <c r="AF140" s="82" t="str">
        <f t="shared" si="34"/>
        <v>"C:\Program Files (x86)\AstroGrep\AstroGrep.exe" /e /r /s /spath="%USERPROFILE%\AppData\Local\Temp\OnboardLogs" /stypes="app*4017*20170310*" /stext=" 05:.+((SYSTEM_STATE.+slice.+state.+changed )|(ment ac)|(multiple cpu faults)|(system.+state.+changed )|(\[timeout)|(PRM\|1\|D)|(kpr)|(kdp)|(\|lc)|(penalty))"</v>
      </c>
      <c r="AG140" s="1" t="str">
        <f t="shared" si="35"/>
        <v>EC</v>
      </c>
      <c r="AH140" s="86" t="str">
        <f t="shared" si="36"/>
        <v>"%USERPROFILE%\Documents\GitHub\eaglep3\Utilities\RefineRTDCRunTimes.py" --tripid 228-09 --locoid 4017 --swversion DE.1.0.9.0 --startMP 204:232972 --initTime 2017-03-09T21:24:53 --startdatetime 2017-03-09T21:26:38 --delay 0 --endMP 204:161 --enddatetime 2017-03-09T22:09:24 --enforcementcount 0 &gt;&gt;C:\Users\stu\Documents\GitHub\eaglep3-reporting\EC\2017-03-09-refined-times.txt</v>
      </c>
      <c r="AI140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{"issue":{"subject":"","project_id":79,"tracker_id":40,"status_id":1,"priority_id":2,"assigned_to_id":23,"start_date":"2017-03-09","description":"","custom_fields":[{"id":1,"name":"Subdivision","value":"EC"},{"id":4,"name":"Milepost","value":"0.0161"},{"id":17,"name":"Train ID","value":"228-09"},{"id":16,"name":"Locomotive ID","value":"4017"},{"id":130,"name":"Impact","value":""},{"id":150,"name":"Time of Event (Mountain Time)","value":"22:09:24"},{"id":151,"name":"Denver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38"/>
        <v>start /low /b %USERPROFILE%\Documents\GitHub\eaglep3\Utilities\DownloadLogsFromS3.py --loco 4017 --day 2017-03-09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"%USERPROFILE%\AppData\Local\Temp\OnboardLogs"\RTDC4017\*4017*20170310* | grep -SE "(Enforcement Action)|(\[TIMEOUT)|(CHR.+\|PRM\|1\|D.+(SWITCH|SIGNAL).+UNKNOWN)" - &gt;&gt; 2017-03-09-UncaughtWiMAX.txt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794</v>
      </c>
      <c r="B141" s="7">
        <v>4044</v>
      </c>
      <c r="C141" s="21" t="s">
        <v>242</v>
      </c>
      <c r="D141" s="21" t="s">
        <v>539</v>
      </c>
      <c r="E141" s="13">
        <v>42803.867152777777</v>
      </c>
      <c r="F141" s="13">
        <v>42803.875254629631</v>
      </c>
      <c r="G141" s="7">
        <v>1</v>
      </c>
      <c r="H141" s="21" t="s">
        <v>841</v>
      </c>
      <c r="I141" s="13">
        <v>42803.907488425924</v>
      </c>
      <c r="J141" s="7">
        <v>0</v>
      </c>
      <c r="K141" s="98" t="str">
        <f t="shared" si="21"/>
        <v>4043/4044</v>
      </c>
      <c r="L141" s="21" t="str">
        <f>VLOOKUP(A141,'Trips&amp;Operators'!$C$1:$G$99999,5,FALSE)</f>
        <v>PERKINS DARREN</v>
      </c>
      <c r="M141" s="6">
        <f t="shared" si="22"/>
        <v>3.2233796293439809E-2</v>
      </c>
      <c r="N141" s="7">
        <f t="shared" si="23"/>
        <v>46.416666662553325</v>
      </c>
      <c r="O141" s="7"/>
      <c r="P141" s="7"/>
      <c r="Q141" s="22"/>
      <c r="R141" s="22"/>
      <c r="S141" s="31">
        <f t="shared" si="24"/>
        <v>1</v>
      </c>
      <c r="T141" s="46" t="str">
        <f t="shared" si="25"/>
        <v>NorthBound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si="26"/>
        <v>https://d0f6bd738d7f1b3e5a7ca70fe4ff75f0.us-east-1.aws.found.io/app/kibana#/discover/Steve-Slow-Train-Analysis-(2080s-and-2083s)?_g=(refreshInterval:(display:Off,pause:!f,section:0,value:0),time:(from:'2017-03-09T19:48:42-0700',mode:absolute,to:'2017-03-09T22:46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1" s="187" t="str">
        <f t="shared" si="27"/>
        <v>N</v>
      </c>
      <c r="X141" s="187">
        <f t="shared" si="28"/>
        <v>1</v>
      </c>
      <c r="Y141" s="62">
        <f t="shared" si="29"/>
        <v>4.6399999999999997E-2</v>
      </c>
      <c r="Z141" s="62">
        <f t="shared" si="30"/>
        <v>23.331499999999998</v>
      </c>
      <c r="AA141" s="62">
        <f t="shared" si="31"/>
        <v>23.2851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si="32"/>
        <v>0229-09</v>
      </c>
      <c r="AE141" s="85" t="str">
        <f t="shared" si="33"/>
        <v>aws s3 cp s3://rtdc.mdm.uploadarchive.raw/RTDC4044/ "%USERPROFILE%\AppData\Local\Temp\OnboardLogs"\RTDC4044\2017-03-09 --exclude "*" --recursive --include "*20170309*" &amp; "%USERPROFILE%\Documents\GitHub\mrs-test-scripts\Headless Mode &amp; Sideloading\WalkAndUnGZ.bat" "%USERPROFILE%\AppData\Local\Temp\OnboardLogs"\RTDC4044\2017-03-09 &amp; aws s3 cp s3://rtdc.mdm.uploadarchive.raw/RTDC4044/ "%USERPROFILE%\AppData\Local\Temp\OnboardLogs"\RTDC4044\2017-03-10 --exclude "*" --recursive --include "*20170310*" &amp; "%USERPROFILE%\Documents\GitHub\mrs-test-scripts\Headless Mode &amp; Sideloading\WalkAndUnGZ.bat" "%USERPROFILE%\AppData\Local\Temp\OnboardLogs"\RTDC4044\2017-03-10</v>
      </c>
      <c r="AF141" s="82" t="str">
        <f t="shared" si="34"/>
        <v>"C:\Program Files (x86)\AstroGrep\AstroGrep.exe" /e /r /s /spath="%USERPROFILE%\AppData\Local\Temp\OnboardLogs" /stypes="app*4044*20170310*" /stext=" 04:.+((SYSTEM_STATE.+slice.+state.+changed )|(ment ac)|(multiple cpu faults)|(system.+state.+changed )|(\[timeout)|(PRM\|1\|D)|(kpr)|(kdp)|(\|lc)|(penalty))"</v>
      </c>
      <c r="AG141" s="1" t="str">
        <f t="shared" si="35"/>
        <v>EC</v>
      </c>
      <c r="AH141" s="86" t="str">
        <f t="shared" si="36"/>
        <v>"%USERPROFILE%\Documents\GitHub\eaglep3\Utilities\RefineRTDCRunTimes.py" --tripid 229-09 --locoid 4044 --swversion DE.1.0.9.0 --startMP 204:464 --initTime 2017-03-09T20:48:42 --startdatetime 2017-03-09T21:00:22 --delay 1 --endMP 204:233315 --enddatetime 2017-03-09T21:46:47 --enforcementcount 0 &gt;&gt;C:\Users\stu\Documents\GitHub\eaglep3-reporting\EC\2017-03-09-refined-times.txt</v>
      </c>
      <c r="AI141" s="108" t="str">
        <f t="shared" si="37"/>
        <v>echo {"issue":{"subject":"","project_id":79,"tracker_id":40,"status_id":1,"priority_id":2,"assigned_to_id":23,"start_date":"2017-03-09","description":"","custom_fields":[{"id":1,"name":"Subdivision","value":"EC"},{"id":4,"name":"Milepost","value":"23.3315"},{"id":17,"name":"Train ID","value":"229-09"},{"id":16,"name":"Locomotive ID","value":"4044"},{"id":130,"name":"Impact","value":""},{"id":150,"name":"Time of Event (Mountain Time)","value":"21:46:47"},{"id":151,"name":"Denver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38"/>
        <v>start /low /b %USERPROFILE%\Documents\GitHub\eaglep3\Utilities\DownloadLogsFromS3.py --loco 4044 --day 2017-03-09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"%USERPROFILE%\AppData\Local\Temp\OnboardLogs"\RTDC4044\*4044*20170310* | grep -SE "(Enforcement Action)|(\[TIMEOUT)|(CHR.+\|PRM\|1\|D.+(SWITCH|SIGNAL).+UNKNOWN)" - &gt;&gt; 2017-03-09-UncaughtWiMAX.txt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797</v>
      </c>
      <c r="B142" s="7">
        <v>4043</v>
      </c>
      <c r="C142" s="21" t="s">
        <v>242</v>
      </c>
      <c r="D142" s="21" t="s">
        <v>264</v>
      </c>
      <c r="E142" s="13">
        <v>42803.909490740742</v>
      </c>
      <c r="F142" s="13">
        <v>42803.914444444446</v>
      </c>
      <c r="G142" s="7">
        <v>1</v>
      </c>
      <c r="H142" s="21" t="s">
        <v>873</v>
      </c>
      <c r="I142" s="13">
        <v>42803.934398148151</v>
      </c>
      <c r="J142" s="7">
        <v>0</v>
      </c>
      <c r="K142" s="98" t="str">
        <f t="shared" ref="K142:K205" si="56">IF(ISEVEN(B142),(B142-1)&amp;"/"&amp;B142,B142&amp;"/"&amp;(B142+1))</f>
        <v>4043/4044</v>
      </c>
      <c r="L142" s="21" t="str">
        <f>VLOOKUP(A142,'Trips&amp;Operators'!$C$1:$G$99999,5,FALSE)</f>
        <v>PERKINS DARREN</v>
      </c>
      <c r="M142" s="6">
        <f t="shared" ref="M142:M205" si="57">I142-F142</f>
        <v>1.9953703704231884E-2</v>
      </c>
      <c r="N142" s="7"/>
      <c r="O142" s="7"/>
      <c r="P142" s="7">
        <f t="shared" ref="N142:P205" si="58">24*60*SUM($M142:$M142)</f>
        <v>28.733333334093913</v>
      </c>
      <c r="Q142" s="22"/>
      <c r="R142" s="22" t="s">
        <v>1014</v>
      </c>
      <c r="S142" s="31">
        <f t="shared" ref="S142:S205" si="59">SUM(U142:U142)/IF(AG142="EC",12,1)</f>
        <v>0.75</v>
      </c>
      <c r="T142" s="46" t="str">
        <f t="shared" ref="T142:T205" si="60">IF(ISEVEN(LEFT(AD142,4)),"Southbound","NorthBound")</f>
        <v>Southbound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9</v>
      </c>
      <c r="V142" s="186" t="str">
        <f t="shared" ref="V142:V205" si="61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-03-09T20:49:40-0700',mode:absolute,to:'2017-03-09T23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2" s="187" t="str">
        <f t="shared" ref="W142:W205" si="62">IF(AA142&lt;IF(AG142="EC",23,5.65),"Y","N")</f>
        <v>Y</v>
      </c>
      <c r="X142" s="187">
        <f t="shared" ref="X142:X205" si="63">VALUE(LEFT(AD142,4))-VALUE(LEFT(AD141,4))</f>
        <v>1</v>
      </c>
      <c r="Y142" s="62">
        <f t="shared" ref="Y142:Y205" si="64">RIGHT(D142,LEN(D142)-4)/10000</f>
        <v>23.3</v>
      </c>
      <c r="Z142" s="62">
        <f t="shared" ref="Z142:Z205" si="65">RIGHT(H142,LEN(H142)-4)/10000</f>
        <v>3.6741999999999999</v>
      </c>
      <c r="AA142" s="62">
        <f t="shared" ref="AA142:AA205" si="66">ABS(Z142-Y142)</f>
        <v>19.625800000000002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ref="AD142:AD205" si="67">IF(LEN(A142)=6,"0"&amp;A142,A142)</f>
        <v>0230-09</v>
      </c>
      <c r="AE142" s="85" t="str">
        <f t="shared" ref="AE142:AE205" si="68"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AF142" s="82" t="str">
        <f t="shared" ref="AF142:AF205" si="69"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/stypes="app*4043*20170310*" /stext=" 05:.+((SYSTEM_STATE.+slice.+state.+changed )|(ment ac)|(multiple cpu faults)|(system.+state.+changed )|(\[timeout)|(PRM\|1\|D)|(kpr)|(kdp)|(\|lc)|(penalty))"</v>
      </c>
      <c r="AG142" s="1" t="str">
        <f t="shared" ref="AG142:AG205" si="70">IFERROR(IF(VALUE(LEFT(AD142,2))&lt;=2,"EC",IF(OR(VALUE(LEFT(AD142,2))=8,VALUE(LEFT(AD142,2))=18),"NW","Other")),"Other")</f>
        <v>EC</v>
      </c>
      <c r="AH142" s="86" t="str">
        <f t="shared" si="36"/>
        <v>"%USERPROFILE%\Documents\GitHub\eaglep3\Utilities\RefineRTDCRunTimes.py" --tripid 230-09 --locoid 4043 --swversion DE.1.0.9.0 --startMP 204:233000 --initTime 2017-03-09T21:49:40 --startdatetime 2017-03-09T21:56:48 --delay 1 --endMP 204:36742 --enddatetime 2017-03-09T22:25:32 --enforcementcount 0 &gt;&gt;C:\Users\stu\Documents\GitHub\eaglep3-reporting\EC\2017-03-09-refined-times.txt</v>
      </c>
      <c r="AI142" s="108" t="str">
        <f t="shared" si="37"/>
        <v>echo {"issue":{"subject":"Onboard in-route failure","project_id":79,"tracker_id":40,"status_id":1,"priority_id":2,"assigned_to_id":23,"start_date":"2017-03-09","description":"","custom_fields":[{"id":1,"name":"Subdivision","value":"EC"},{"id":4,"name":"Milepost","value":"3.6742"},{"id":17,"name":"Train ID","value":"230-09"},{"id":16,"name":"Locomotive ID","value":"4043"},{"id":130,"name":"Impact","value":""},{"id":150,"name":"Time of Event (Mountain Time)","value":"22:25:32"},{"id":151,"name":"Denver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si="38"/>
        <v>start /low /b %USERPROFILE%\Documents\GitHub\eaglep3\Utilities\DownloadLogsFromS3.py --loco 4043 --day 2017-03-09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"%USERPROFILE%\AppData\Local\Temp\OnboardLogs"\RTDC4043\*4043*20170310* | grep -SE "(Enforcement Action)|(\[TIMEOUT)|(CHR.+\|PRM\|1\|D.+(SWITCH|SIGNAL).+UNKNOWN)" - &gt;&gt; 2017-03-09-UncaughtWiMAX.txt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795</v>
      </c>
      <c r="B143" s="7">
        <v>4020</v>
      </c>
      <c r="C143" s="21" t="s">
        <v>242</v>
      </c>
      <c r="D143" s="21" t="s">
        <v>227</v>
      </c>
      <c r="E143" s="13">
        <v>42803.88721064815</v>
      </c>
      <c r="F143" s="13">
        <v>42803.895983796298</v>
      </c>
      <c r="G143" s="7">
        <v>1</v>
      </c>
      <c r="H143" s="21" t="s">
        <v>540</v>
      </c>
      <c r="I143" s="13">
        <v>42803.920601851853</v>
      </c>
      <c r="J143" s="7">
        <v>0</v>
      </c>
      <c r="K143" s="98" t="str">
        <f t="shared" si="56"/>
        <v>4019/4020</v>
      </c>
      <c r="L143" s="21" t="str">
        <f>VLOOKUP(A143,'Trips&amp;Operators'!$C$1:$G$99999,5,FALSE)</f>
        <v>NEWELL JAMES</v>
      </c>
      <c r="M143" s="6">
        <f t="shared" si="57"/>
        <v>2.4618055555038154E-2</v>
      </c>
      <c r="N143" s="7">
        <f t="shared" si="58"/>
        <v>35.449999999254942</v>
      </c>
      <c r="O143" s="7"/>
      <c r="P143" s="7"/>
      <c r="Q143" s="22"/>
      <c r="R143" s="22"/>
      <c r="S143" s="31">
        <f t="shared" si="59"/>
        <v>1</v>
      </c>
      <c r="T143" s="46" t="str">
        <f t="shared" si="60"/>
        <v>NorthBound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61"/>
        <v>https://d0f6bd738d7f1b3e5a7ca70fe4ff75f0.us-east-1.aws.found.io/app/kibana#/discover/Steve-Slow-Train-Analysis-(2080s-and-2083s)?_g=(refreshInterval:(display:Off,pause:!f,section:0,value:0),time:(from:'2017-03-09T20:17:35-0700',mode:absolute,to:'2017-03-09T23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43" s="187" t="str">
        <f t="shared" si="62"/>
        <v>N</v>
      </c>
      <c r="X143" s="187">
        <f t="shared" si="63"/>
        <v>1</v>
      </c>
      <c r="Y143" s="62">
        <f t="shared" si="64"/>
        <v>4.5499999999999999E-2</v>
      </c>
      <c r="Z143" s="62">
        <f t="shared" si="65"/>
        <v>23.3306</v>
      </c>
      <c r="AA143" s="62">
        <f t="shared" si="66"/>
        <v>23.2851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67"/>
        <v>0231-09</v>
      </c>
      <c r="AE143" s="85" t="str">
        <f t="shared" si="68"/>
        <v>aws s3 cp s3://rtdc.mdm.uploadarchive.raw/RTDC4020/ "%USERPROFILE%\AppData\Local\Temp\OnboardLogs"\RTDC4020\2017-03-09 --exclude "*" --recursive --include "*20170309*" &amp; "%USERPROFILE%\Documents\GitHub\mrs-test-scripts\Headless Mode &amp; Sideloading\WalkAndUnGZ.bat" "%USERPROFILE%\AppData\Local\Temp\OnboardLogs"\RTDC4020\2017-03-09 &amp; 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</v>
      </c>
      <c r="AF143" s="82" t="str">
        <f t="shared" si="69"/>
        <v>"C:\Program Files (x86)\AstroGrep\AstroGrep.exe" /e /r /s /spath="%USERPROFILE%\AppData\Local\Temp\OnboardLogs" /stypes="app*4020*20170310*" /stext=" 05:.+((SYSTEM_STATE.+slice.+state.+changed )|(ment ac)|(multiple cpu faults)|(system.+state.+changed )|(\[timeout)|(PRM\|1\|D)|(kpr)|(kdp)|(\|lc)|(penalty))"</v>
      </c>
      <c r="AG143" s="1" t="str">
        <f t="shared" si="70"/>
        <v>EC</v>
      </c>
      <c r="AH143" s="86" t="str">
        <f t="shared" ref="AH143:AH206" si="71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231-09 --locoid 4020 --swversion DE.1.0.9.0 --startMP 204:455 --initTime 2017-03-09T21:17:35 --startdatetime 2017-03-09T21:30:13 --delay 1 --endMP 204:233306 --enddatetime 2017-03-09T22:05:40 --enforcementcount 0 &gt;&gt;C:\Users\stu\Documents\GitHub\eaglep3-reporting\EC\2017-03-09-refined-times.txt</v>
      </c>
      <c r="AI143" s="108" t="str">
        <f t="shared" ref="AI143:AI206" si="72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{"issue":{"subject":"","project_id":79,"tracker_id":40,"status_id":1,"priority_id":2,"assigned_to_id":23,"start_date":"2017-03-09","description":"","custom_fields":[{"id":1,"name":"Subdivision","value":"EC"},{"id":4,"name":"Milepost","value":"23.3306"},{"id":17,"name":"Train ID","value":"231-09"},{"id":16,"name":"Locomotive ID","value":"4020"},{"id":130,"name":"Impact","value":""},{"id":150,"name":"Time of Event (Mountain Time)","value":"22:05:40"},{"id":151,"name":"Denver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ref="AM143:AM206" si="73">"start /low /b "&amp;dls3logs&amp;" --loco "&amp;B143&amp;" --day "&amp;TEXT(F143,"YYYY-MM-DD")</f>
        <v>start /low /b %USERPROFILE%\Documents\GitHub\eaglep3\Utilities\DownloadLogsFromS3.py --loco 4020 --day 2017-03-09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"%USERPROFILE%\AppData\Local\Temp\OnboardLogs"\RTDC4020\*4020*20170310* | grep -SE "(Enforcement Action)|(\[TIMEOUT)|(CHR.+\|PRM\|1\|D.+(SWITCH|SIGNAL).+UNKNOWN)" - &gt;&gt; 2017-03-09-UncaughtWiMAX.txt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611</v>
      </c>
      <c r="B144" s="7">
        <v>4019</v>
      </c>
      <c r="C144" s="21" t="s">
        <v>242</v>
      </c>
      <c r="D144" s="21" t="s">
        <v>434</v>
      </c>
      <c r="E144" s="13">
        <v>42803.922291666669</v>
      </c>
      <c r="F144" s="13">
        <v>42803.934872685182</v>
      </c>
      <c r="G144" s="7">
        <v>1</v>
      </c>
      <c r="H144" s="21" t="s">
        <v>192</v>
      </c>
      <c r="I144" s="13">
        <v>42803.965428240743</v>
      </c>
      <c r="J144" s="7">
        <v>0</v>
      </c>
      <c r="K144" s="98" t="str">
        <f t="shared" si="56"/>
        <v>4019/4020</v>
      </c>
      <c r="L144" s="21" t="str">
        <f>VLOOKUP(A144,'Trips&amp;Operators'!$C$1:$G$99999,5,FALSE)</f>
        <v>NEWELL JAMES</v>
      </c>
      <c r="M144" s="6">
        <f t="shared" si="57"/>
        <v>3.0555555560567882E-2</v>
      </c>
      <c r="N144" s="7">
        <f t="shared" si="58"/>
        <v>44.00000000721775</v>
      </c>
      <c r="O144" s="7"/>
      <c r="P144" s="7"/>
      <c r="Q144" s="22"/>
      <c r="R144" s="22"/>
      <c r="S144" s="31">
        <f t="shared" si="59"/>
        <v>1</v>
      </c>
      <c r="T144" s="46" t="str">
        <f t="shared" si="60"/>
        <v>Southbound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61"/>
        <v>https://d0f6bd738d7f1b3e5a7ca70fe4ff75f0.us-east-1.aws.found.io/app/kibana#/discover/Steve-Slow-Train-Analysis-(2080s-and-2083s)?_g=(refreshInterval:(display:Off,pause:!f,section:0,value:0),time:(from:'2017-03-09T21:08:06-0700',mode:absolute,to:'2017-03-10T00:10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44" s="187" t="str">
        <f t="shared" si="62"/>
        <v>N</v>
      </c>
      <c r="X144" s="187">
        <f t="shared" si="63"/>
        <v>1</v>
      </c>
      <c r="Y144" s="62">
        <f t="shared" si="64"/>
        <v>23.301300000000001</v>
      </c>
      <c r="Z144" s="62">
        <f t="shared" si="65"/>
        <v>1.4999999999999999E-2</v>
      </c>
      <c r="AA144" s="62">
        <f t="shared" si="66"/>
        <v>23.286300000000001</v>
      </c>
      <c r="AB144" s="59" t="str">
        <f>VLOOKUP(A144,Enforcements!$C$7:$K$13,8,0)</f>
        <v>Bulletin (2)</v>
      </c>
      <c r="AC144" s="55" t="str">
        <f>VLOOKUP(A144,Enforcements!$C$7:$E$13,3,0)</f>
        <v>GRADE CROSSING</v>
      </c>
      <c r="AD144" s="56" t="str">
        <f t="shared" si="67"/>
        <v>0232-09</v>
      </c>
      <c r="AE144" s="85" t="str">
        <f t="shared" si="68"/>
        <v>aws s3 cp s3://rtdc.mdm.uploadarchive.raw/RTDC4019/ "%USERPROFILE%\AppData\Local\Temp\OnboardLogs"\RTDC4019\2017-03-09 --exclude "*" --recursive --include "*20170309*" &amp; "%USERPROFILE%\Documents\GitHub\mrs-test-scripts\Headless Mode &amp; Sideloading\WalkAndUnGZ.bat" "%USERPROFILE%\AppData\Local\Temp\OnboardLogs"\RTDC4019\2017-03-09 &amp; 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</v>
      </c>
      <c r="AF144" s="82" t="str">
        <f t="shared" si="69"/>
        <v>"C:\Program Files (x86)\AstroGrep\AstroGrep.exe" /e /r /s /spath="%USERPROFILE%\AppData\Local\Temp\OnboardLogs" /stypes="app*4019*20170310*" /stext=" 06:.+((SYSTEM_STATE.+slice.+state.+changed )|(ment ac)|(multiple cpu faults)|(system.+state.+changed )|(\[timeout)|(PRM\|1\|D)|(kpr)|(kdp)|(\|lc)|(penalty))"</v>
      </c>
      <c r="AG144" s="1" t="str">
        <f t="shared" si="70"/>
        <v>EC</v>
      </c>
      <c r="AH144" s="86" t="str">
        <f t="shared" si="71"/>
        <v>"%USERPROFILE%\Documents\GitHub\eaglep3\Utilities\RefineRTDCRunTimes.py" --tripid 232-09 --locoid 4019 --swversion DE.1.0.9.0 --startMP 204:233013 --initTime 2017-03-09T22:08:06 --startdatetime 2017-03-09T22:26:13 --delay 1 --endMP 204:150 --enddatetime 2017-03-09T23:10:13 --enforcementcount 0 &gt;&gt;C:\Users\stu\Documents\GitHub\eaglep3-reporting\EC\2017-03-09-refined-times.txt</v>
      </c>
      <c r="AI144" s="108" t="str">
        <f t="shared" si="72"/>
        <v>echo {"issue":{"subject":"","project_id":79,"tracker_id":40,"status_id":1,"priority_id":2,"assigned_to_id":23,"start_date":"2017-03-09","description":"","custom_fields":[{"id":1,"name":"Subdivision","value":"EC"},{"id":4,"name":"Milepost","value":"0.015"},{"id":17,"name":"Train ID","value":"232-09"},{"id":16,"name":"Locomotive ID","value":"4019"},{"id":130,"name":"Impact","value":""},{"id":150,"name":"Time of Event (Mountain Time)","value":"23:10:13"},{"id":151,"name":"Denver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73"/>
        <v>start /low /b %USERPROFILE%\Documents\GitHub\eaglep3\Utilities\DownloadLogsFromS3.py --loco 4019 --day 2017-03-09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"%USERPROFILE%\AppData\Local\Temp\OnboardLogs"\RTDC4019\*4019*20170310* | grep -SE "(Enforcement Action)|(\[TIMEOUT)|(CHR.+\|PRM\|1\|D.+(SWITCH|SIGNAL).+UNKNOWN)" - &gt;&gt; 2017-03-09-UncaughtWiMAX.txt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x14ac:dyDescent="0.25">
      <c r="A145" s="33" t="s">
        <v>798</v>
      </c>
      <c r="B145" s="7">
        <v>4003</v>
      </c>
      <c r="C145" s="21" t="s">
        <v>242</v>
      </c>
      <c r="D145" s="21" t="s">
        <v>284</v>
      </c>
      <c r="E145" s="13">
        <v>42803.911631944444</v>
      </c>
      <c r="F145" s="13">
        <v>42803.916828703703</v>
      </c>
      <c r="G145" s="7">
        <v>1</v>
      </c>
      <c r="H145" s="21" t="s">
        <v>247</v>
      </c>
      <c r="I145" s="13">
        <v>42803.945972222224</v>
      </c>
      <c r="J145" s="7">
        <v>0</v>
      </c>
      <c r="K145" s="98" t="str">
        <f t="shared" si="56"/>
        <v>4003/4004</v>
      </c>
      <c r="L145" s="21" t="str">
        <f>VLOOKUP(A145,'Trips&amp;Operators'!$C$1:$G$99999,5,FALSE)</f>
        <v>MCREYNOLDS KYLE</v>
      </c>
      <c r="M145" s="6">
        <f t="shared" si="57"/>
        <v>2.9143518520868383E-2</v>
      </c>
      <c r="N145" s="7">
        <f t="shared" si="58"/>
        <v>41.966666670050472</v>
      </c>
      <c r="O145" s="7"/>
      <c r="P145" s="7"/>
      <c r="Q145" s="22"/>
      <c r="R145" s="22"/>
      <c r="S145" s="31">
        <f t="shared" si="59"/>
        <v>1</v>
      </c>
      <c r="T145" s="46" t="str">
        <f t="shared" si="60"/>
        <v>NorthBound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61"/>
        <v>https://d0f6bd738d7f1b3e5a7ca70fe4ff75f0.us-east-1.aws.found.io/app/kibana#/discover/Steve-Slow-Train-Analysis-(2080s-and-2083s)?_g=(refreshInterval:(display:Off,pause:!f,section:0,value:0),time:(from:'2017-03-09T20:52:45-0700',mode:absolute,to:'2017-03-09T23:42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5" s="187" t="str">
        <f t="shared" si="62"/>
        <v>N</v>
      </c>
      <c r="X145" s="187">
        <f t="shared" si="63"/>
        <v>1</v>
      </c>
      <c r="Y145" s="62">
        <f t="shared" si="64"/>
        <v>4.6899999999999997E-2</v>
      </c>
      <c r="Z145" s="62">
        <f t="shared" si="65"/>
        <v>23.331399999999999</v>
      </c>
      <c r="AA145" s="62">
        <f t="shared" si="66"/>
        <v>23.284499999999998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67"/>
        <v>0233-09</v>
      </c>
      <c r="AE145" s="85" t="str">
        <f t="shared" si="68"/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AF145" s="82" t="str">
        <f t="shared" si="69"/>
        <v>"C:\Program Files (x86)\AstroGrep\AstroGrep.exe" /e /r /s /spath="%USERPROFILE%\AppData\Local\Temp\OnboardLogs" /stypes="app*4003*20170310*" /stext=" 05:.+((SYSTEM_STATE.+slice.+state.+changed )|(ment ac)|(multiple cpu faults)|(system.+state.+changed )|(\[timeout)|(PRM\|1\|D)|(kpr)|(kdp)|(\|lc)|(penalty))"</v>
      </c>
      <c r="AG145" s="1" t="str">
        <f t="shared" si="70"/>
        <v>EC</v>
      </c>
      <c r="AH145" s="86" t="str">
        <f t="shared" si="71"/>
        <v>"%USERPROFILE%\Documents\GitHub\eaglep3\Utilities\RefineRTDCRunTimes.py" --tripid 233-09 --locoid 4003 --swversion DE.1.0.9.0 --startMP 204:469 --initTime 2017-03-09T21:52:45 --startdatetime 2017-03-09T22:00:14 --delay 1 --endMP 204:233314 --enddatetime 2017-03-09T22:42:12 --enforcementcount 0 &gt;&gt;C:\Users\stu\Documents\GitHub\eaglep3-reporting\EC\2017-03-09-refined-times.txt</v>
      </c>
      <c r="AI145" s="108" t="str">
        <f t="shared" si="72"/>
        <v>echo {"issue":{"subject":"","project_id":79,"tracker_id":40,"status_id":1,"priority_id":2,"assigned_to_id":23,"start_date":"2017-03-09","description":"","custom_fields":[{"id":1,"name":"Subdivision","value":"EC"},{"id":4,"name":"Milepost","value":"23.3314"},{"id":17,"name":"Train ID","value":"233-09"},{"id":16,"name":"Locomotive ID","value":"4003"},{"id":130,"name":"Impact","value":""},{"id":150,"name":"Time of Event (Mountain Time)","value":"22:42:12"},{"id":151,"name":"Denver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73"/>
        <v>start /low /b %USERPROFILE%\Documents\GitHub\eaglep3\Utilities\DownloadLogsFromS3.py --loco 4003 --day 2017-03-09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"%USERPROFILE%\AppData\Local\Temp\OnboardLogs"\RTDC4003\*4003*20170310* | grep -SE "(Enforcement Action)|(\[TIMEOUT)|(CHR.+\|PRM\|1\|D.+(SWITCH|SIGNAL).+UNKNOWN)" - &gt;&gt; 2017-03-09-UncaughtWiMAX.txt</v>
      </c>
    </row>
    <row r="146" spans="1:91" s="20" customFormat="1" x14ac:dyDescent="0.25">
      <c r="A146" s="33" t="s">
        <v>804</v>
      </c>
      <c r="B146" s="7">
        <v>4004</v>
      </c>
      <c r="C146" s="21" t="s">
        <v>242</v>
      </c>
      <c r="D146" s="21" t="s">
        <v>268</v>
      </c>
      <c r="E146" s="13">
        <v>42803.95275462963</v>
      </c>
      <c r="F146" s="13">
        <v>42803.955821759257</v>
      </c>
      <c r="G146" s="7">
        <v>1</v>
      </c>
      <c r="H146" s="21" t="s">
        <v>549</v>
      </c>
      <c r="I146" s="13">
        <v>42803.986770833333</v>
      </c>
      <c r="J146" s="7">
        <v>0</v>
      </c>
      <c r="K146" s="98" t="str">
        <f t="shared" si="56"/>
        <v>4003/4004</v>
      </c>
      <c r="L146" s="21" t="str">
        <f>VLOOKUP(A146,'Trips&amp;Operators'!$C$1:$G$99999,5,FALSE)</f>
        <v>MCREYNOLDS KYLE</v>
      </c>
      <c r="M146" s="6">
        <f t="shared" si="57"/>
        <v>3.0949074076488614E-2</v>
      </c>
      <c r="N146" s="7">
        <f t="shared" si="58"/>
        <v>44.566666670143604</v>
      </c>
      <c r="O146" s="7"/>
      <c r="P146" s="7"/>
      <c r="Q146" s="22"/>
      <c r="R146" s="22"/>
      <c r="S146" s="31">
        <f t="shared" si="59"/>
        <v>1</v>
      </c>
      <c r="T146" s="46" t="str">
        <f t="shared" si="60"/>
        <v>Southbound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61"/>
        <v>https://d0f6bd738d7f1b3e5a7ca70fe4ff75f0.us-east-1.aws.found.io/app/kibana#/discover/Steve-Slow-Train-Analysis-(2080s-and-2083s)?_g=(refreshInterval:(display:Off,pause:!f,section:0,value:0),time:(from:'2017-03-09T21:51:58-0700',mode:absolute,to:'2017-03-10T00:40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6" s="187" t="str">
        <f t="shared" si="62"/>
        <v>N</v>
      </c>
      <c r="X146" s="187">
        <f t="shared" si="63"/>
        <v>1</v>
      </c>
      <c r="Y146" s="62">
        <f t="shared" si="64"/>
        <v>23.3004</v>
      </c>
      <c r="Z146" s="62">
        <f t="shared" si="65"/>
        <v>1.7000000000000001E-2</v>
      </c>
      <c r="AA146" s="62">
        <f t="shared" si="66"/>
        <v>23.2834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67"/>
        <v>0234-09</v>
      </c>
      <c r="AE146" s="85" t="str">
        <f t="shared" si="68"/>
        <v>aws s3 cp s3://rtdc.mdm.uploadarchive.raw/RTDC4004/ "%USERPROFILE%\AppData\Local\Temp\OnboardLogs"\RTDC4004\2017-03-09 --exclude "*" --recursive --include "*20170309*" &amp; "%USERPROFILE%\Documents\GitHub\mrs-test-scripts\Headless Mode &amp; Sideloading\WalkAndUnGZ.bat" "%USERPROFILE%\AppData\Local\Temp\OnboardLogs"\RTDC4004\2017-03-09 &amp; 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</v>
      </c>
      <c r="AF146" s="82" t="str">
        <f t="shared" si="69"/>
        <v>"C:\Program Files (x86)\AstroGrep\AstroGrep.exe" /e /r /s /spath="%USERPROFILE%\AppData\Local\Temp\OnboardLogs" /stypes="app*4004*20170310*" /stext=" 06:.+((SYSTEM_STATE.+slice.+state.+changed )|(ment ac)|(multiple cpu faults)|(system.+state.+changed )|(\[timeout)|(PRM\|1\|D)|(kpr)|(kdp)|(\|lc)|(penalty))"</v>
      </c>
      <c r="AG146" s="1" t="str">
        <f t="shared" si="70"/>
        <v>EC</v>
      </c>
      <c r="AH146" s="86" t="str">
        <f t="shared" si="71"/>
        <v>"%USERPROFILE%\Documents\GitHub\eaglep3\Utilities\RefineRTDCRunTimes.py" --tripid 234-09 --locoid 4004 --swversion DE.1.0.9.0 --startMP 204:233004 --initTime 2017-03-09T22:51:58 --startdatetime 2017-03-09T22:56:23 --delay 1 --endMP 204:170 --enddatetime 2017-03-09T23:40:57 --enforcementcount 0 &gt;&gt;C:\Users\stu\Documents\GitHub\eaglep3-reporting\EC\2017-03-09-refined-times.txt</v>
      </c>
      <c r="AI146" s="108" t="str">
        <f t="shared" si="72"/>
        <v>echo {"issue":{"subject":"","project_id":79,"tracker_id":40,"status_id":1,"priority_id":2,"assigned_to_id":23,"start_date":"2017-03-09","description":"","custom_fields":[{"id":1,"name":"Subdivision","value":"EC"},{"id":4,"name":"Milepost","value":"0.017"},{"id":17,"name":"Train ID","value":"234-09"},{"id":16,"name":"Locomotive ID","value":"4004"},{"id":130,"name":"Impact","value":""},{"id":150,"name":"Time of Event (Mountain Time)","value":"23:40:57"},{"id":151,"name":"Denver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73"/>
        <v>start /low /b %USERPROFILE%\Documents\GitHub\eaglep3\Utilities\DownloadLogsFromS3.py --loco 4004 --day 2017-03-09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"%USERPROFILE%\AppData\Local\Temp\OnboardLogs"\RTDC4004\*4004*20170310* | grep -SE "(Enforcement Action)|(\[TIMEOUT)|(CHR.+\|PRM\|1\|D.+(SWITCH|SIGNAL).+UNKNOWN)" - &gt;&gt; 2017-03-09-UncaughtWiMAX.txt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800</v>
      </c>
      <c r="B147" s="7">
        <v>4018</v>
      </c>
      <c r="C147" s="21" t="s">
        <v>242</v>
      </c>
      <c r="D147" s="21" t="s">
        <v>847</v>
      </c>
      <c r="E147" s="13">
        <v>42803.928414351853</v>
      </c>
      <c r="F147" s="13">
        <v>42803.937673611108</v>
      </c>
      <c r="G147" s="7">
        <v>1</v>
      </c>
      <c r="H147" s="21" t="s">
        <v>841</v>
      </c>
      <c r="I147" s="13">
        <v>42803.964189814818</v>
      </c>
      <c r="J147" s="7">
        <v>0</v>
      </c>
      <c r="K147" s="98" t="str">
        <f t="shared" si="56"/>
        <v>4017/4018</v>
      </c>
      <c r="L147" s="21" t="str">
        <f>VLOOKUP(A147,'Trips&amp;Operators'!$C$1:$G$99999,5,FALSE)</f>
        <v>SWANSON BRYCE</v>
      </c>
      <c r="M147" s="6">
        <f t="shared" si="57"/>
        <v>2.6516203710343689E-2</v>
      </c>
      <c r="N147" s="7">
        <f t="shared" si="58"/>
        <v>38.183333342894912</v>
      </c>
      <c r="O147" s="7"/>
      <c r="P147" s="7"/>
      <c r="Q147" s="22"/>
      <c r="R147" s="22"/>
      <c r="S147" s="31">
        <f t="shared" si="59"/>
        <v>1</v>
      </c>
      <c r="T147" s="46" t="str">
        <f t="shared" si="60"/>
        <v>NorthBound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61"/>
        <v>https://d0f6bd738d7f1b3e5a7ca70fe4ff75f0.us-east-1.aws.found.io/app/kibana#/discover/Steve-Slow-Train-Analysis-(2080s-and-2083s)?_g=(refreshInterval:(display:Off,pause:!f,section:0,value:0),time:(from:'2017-03-09T21:16:55-0700',mode:absolute,to:'2017-03-10T00:08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7" s="187" t="str">
        <f t="shared" si="62"/>
        <v>N</v>
      </c>
      <c r="X147" s="187">
        <f t="shared" si="63"/>
        <v>1</v>
      </c>
      <c r="Y147" s="62">
        <f t="shared" si="64"/>
        <v>4.8000000000000001E-2</v>
      </c>
      <c r="Z147" s="62">
        <f t="shared" si="65"/>
        <v>23.331499999999998</v>
      </c>
      <c r="AA147" s="62">
        <f t="shared" si="66"/>
        <v>23.2835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67"/>
        <v>0235-09</v>
      </c>
      <c r="AE147" s="85" t="str">
        <f t="shared" si="68"/>
        <v>aws s3 cp s3://rtdc.mdm.uploadarchive.raw/RTDC4018/ "%USERPROFILE%\AppData\Local\Temp\OnboardLogs"\RTDC4018\2017-03-09 --exclude "*" --recursive --include "*20170309*" &amp; "%USERPROFILE%\Documents\GitHub\mrs-test-scripts\Headless Mode &amp; Sideloading\WalkAndUnGZ.bat" "%USERPROFILE%\AppData\Local\Temp\OnboardLogs"\RTDC4018\2017-03-09 &amp; 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</v>
      </c>
      <c r="AF147" s="82" t="str">
        <f t="shared" si="69"/>
        <v>"C:\Program Files (x86)\AstroGrep\AstroGrep.exe" /e /r /s /spath="%USERPROFILE%\AppData\Local\Temp\OnboardLogs" /stypes="app*4018*20170310*" /stext=" 06:.+((SYSTEM_STATE.+slice.+state.+changed )|(ment ac)|(multiple cpu faults)|(system.+state.+changed )|(\[timeout)|(PRM\|1\|D)|(kpr)|(kdp)|(\|lc)|(penalty))"</v>
      </c>
      <c r="AG147" s="1" t="str">
        <f t="shared" si="70"/>
        <v>EC</v>
      </c>
      <c r="AH147" s="86" t="str">
        <f t="shared" si="71"/>
        <v>"%USERPROFILE%\Documents\GitHub\eaglep3\Utilities\RefineRTDCRunTimes.py" --tripid 235-09 --locoid 4018 --swversion DE.1.0.9.0 --startMP 204:480 --initTime 2017-03-09T22:16:55 --startdatetime 2017-03-09T22:30:15 --delay 1 --endMP 204:233315 --enddatetime 2017-03-09T23:08:26 --enforcementcount 0 &gt;&gt;C:\Users\stu\Documents\GitHub\eaglep3-reporting\EC\2017-03-09-refined-times.txt</v>
      </c>
      <c r="AI147" s="108" t="str">
        <f t="shared" si="72"/>
        <v>echo {"issue":{"subject":"","project_id":79,"tracker_id":40,"status_id":1,"priority_id":2,"assigned_to_id":23,"start_date":"2017-03-09","description":"","custom_fields":[{"id":1,"name":"Subdivision","value":"EC"},{"id":4,"name":"Milepost","value":"23.3315"},{"id":17,"name":"Train ID","value":"235-09"},{"id":16,"name":"Locomotive ID","value":"4018"},{"id":130,"name":"Impact","value":""},{"id":150,"name":"Time of Event (Mountain Time)","value":"23:08:26"},{"id":151,"name":"Denver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73"/>
        <v>start /low /b %USERPROFILE%\Documents\GitHub\eaglep3\Utilities\DownloadLogsFromS3.py --loco 4018 --day 2017-03-09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"%USERPROFILE%\AppData\Local\Temp\OnboardLogs"\RTDC4018\*4018*20170310* | grep -SE "(Enforcement Action)|(\[TIMEOUT)|(CHR.+\|PRM\|1\|D.+(SWITCH|SIGNAL).+UNKNOWN)" - &gt;&gt; 2017-03-09-UncaughtWiMAX.txt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805</v>
      </c>
      <c r="B148" s="7">
        <v>4017</v>
      </c>
      <c r="C148" s="21" t="s">
        <v>242</v>
      </c>
      <c r="D148" s="21" t="s">
        <v>268</v>
      </c>
      <c r="E148" s="13">
        <v>42803.965879629628</v>
      </c>
      <c r="F148" s="13">
        <v>42803.976990740739</v>
      </c>
      <c r="G148" s="7">
        <v>1</v>
      </c>
      <c r="H148" s="21" t="s">
        <v>270</v>
      </c>
      <c r="I148" s="13">
        <v>42804.006249999999</v>
      </c>
      <c r="J148" s="7">
        <v>0</v>
      </c>
      <c r="K148" s="98" t="str">
        <f t="shared" si="56"/>
        <v>4017/4018</v>
      </c>
      <c r="L148" s="21" t="str">
        <f>VLOOKUP(A148,'Trips&amp;Operators'!$C$1:$G$99999,5,FALSE)</f>
        <v>SWANSON BRYCE</v>
      </c>
      <c r="M148" s="6">
        <f t="shared" si="57"/>
        <v>2.9259259259561077E-2</v>
      </c>
      <c r="N148" s="7">
        <f t="shared" si="58"/>
        <v>42.133333333767951</v>
      </c>
      <c r="O148" s="7"/>
      <c r="P148" s="7"/>
      <c r="Q148" s="22"/>
      <c r="R148" s="22"/>
      <c r="S148" s="31">
        <f t="shared" si="59"/>
        <v>1</v>
      </c>
      <c r="T148" s="46" t="str">
        <f t="shared" si="60"/>
        <v>Southbound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61"/>
        <v>https://d0f6bd738d7f1b3e5a7ca70fe4ff75f0.us-east-1.aws.found.io/app/kibana#/discover/Steve-Slow-Train-Analysis-(2080s-and-2083s)?_g=(refreshInterval:(display:Off,pause:!f,section:0,value:0),time:(from:'2017-03-09T22:10:52-0700',mode:absolute,to:'2017-03-10T01:09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8" s="187" t="str">
        <f t="shared" si="62"/>
        <v>N</v>
      </c>
      <c r="X148" s="187">
        <f t="shared" si="63"/>
        <v>1</v>
      </c>
      <c r="Y148" s="62">
        <f t="shared" si="64"/>
        <v>23.3004</v>
      </c>
      <c r="Z148" s="62">
        <f t="shared" si="65"/>
        <v>1.61E-2</v>
      </c>
      <c r="AA148" s="62">
        <f t="shared" si="66"/>
        <v>23.284299999999998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67"/>
        <v>0236-09</v>
      </c>
      <c r="AE148" s="85" t="str">
        <f t="shared" si="68"/>
        <v>aws s3 cp s3://rtdc.mdm.uploadarchive.raw/RTDC4017/ "%USERPROFILE%\AppData\Local\Temp\OnboardLogs"\RTDC4017\2017-03-09 --exclude "*" --recursive --include "*20170309*" &amp; "%USERPROFILE%\Documents\GitHub\mrs-test-scripts\Headless Mode &amp; Sideloading\WalkAndUnGZ.bat" "%USERPROFILE%\AppData\Local\Temp\OnboardLogs"\RTDC4017\2017-03-09 &amp; aws s3 cp s3://rtdc.mdm.uploadarchive.raw/RTDC4017/ "%USERPROFILE%\AppData\Local\Temp\OnboardLogs"\RTDC4017\2017-03-10 --exclude "*" --recursive --include "*20170310*" &amp; "%USERPROFILE%\Documents\GitHub\mrs-test-scripts\Headless Mode &amp; Sideloading\WalkAndUnGZ.bat" "%USERPROFILE%\AppData\Local\Temp\OnboardLogs"\RTDC4017\2017-03-10</v>
      </c>
      <c r="AF148" s="82" t="str">
        <f t="shared" si="69"/>
        <v>"C:\Program Files (x86)\AstroGrep\AstroGrep.exe" /e /r /s /spath="%USERPROFILE%\AppData\Local\Temp\OnboardLogs" /stypes="app*4017*20170310*" /stext=" 07:.+((SYSTEM_STATE.+slice.+state.+changed )|(ment ac)|(multiple cpu faults)|(system.+state.+changed )|(\[timeout)|(PRM\|1\|D)|(kpr)|(kdp)|(\|lc)|(penalty))"</v>
      </c>
      <c r="AG148" s="1" t="str">
        <f t="shared" si="70"/>
        <v>EC</v>
      </c>
      <c r="AH148" s="86" t="str">
        <f t="shared" si="71"/>
        <v>"%USERPROFILE%\Documents\GitHub\eaglep3\Utilities\RefineRTDCRunTimes.py" --tripid 236-09 --locoid 4017 --swversion DE.1.0.9.0 --startMP 204:233004 --initTime 2017-03-09T23:10:52 --startdatetime 2017-03-09T23:26:52 --delay 1 --endMP 204:161 --enddatetime 2017-03-10T00:09:00 --enforcementcount 0 &gt;&gt;C:\Users\stu\Documents\GitHub\eaglep3-reporting\EC\2017-03-09-refined-times.txt</v>
      </c>
      <c r="AI148" s="108" t="str">
        <f t="shared" si="72"/>
        <v>echo {"issue":{"subject":"","project_id":79,"tracker_id":40,"status_id":1,"priority_id":2,"assigned_to_id":23,"start_date":"2017-03-10","description":"","custom_fields":[{"id":1,"name":"Subdivision","value":"EC"},{"id":4,"name":"Milepost","value":"0.0161"},{"id":17,"name":"Train ID","value":"236-09"},{"id":16,"name":"Locomotive ID","value":"4017"},{"id":130,"name":"Impact","value":""},{"id":150,"name":"Time of Event (Mountain Time)","value":"00:09:00"},{"id":151,"name":"Denver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73"/>
        <v>start /low /b %USERPROFILE%\Documents\GitHub\eaglep3\Utilities\DownloadLogsFromS3.py --loco 4017 --day 2017-03-09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"%USERPROFILE%\AppData\Local\Temp\OnboardLogs"\RTDC4017\*4017*20170310* | grep -SE "(Enforcement Action)|(\[TIMEOUT)|(CHR.+\|PRM\|1\|D.+(SWITCH|SIGNAL).+UNKNOWN)" - &gt;&gt; 2017-03-09-UncaughtWiMAX.txt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612</v>
      </c>
      <c r="B149" s="7">
        <v>4044</v>
      </c>
      <c r="C149" s="21" t="s">
        <v>242</v>
      </c>
      <c r="D149" s="21" t="s">
        <v>226</v>
      </c>
      <c r="E149" s="13">
        <v>42803.950219907405</v>
      </c>
      <c r="F149" s="13">
        <v>42803.958645833336</v>
      </c>
      <c r="G149" s="7">
        <v>1</v>
      </c>
      <c r="H149" s="21" t="s">
        <v>544</v>
      </c>
      <c r="I149" s="13">
        <v>42803.987407407411</v>
      </c>
      <c r="J149" s="7">
        <v>0</v>
      </c>
      <c r="K149" s="98" t="str">
        <f t="shared" si="56"/>
        <v>4043/4044</v>
      </c>
      <c r="L149" s="21" t="str">
        <f>VLOOKUP(A149,'Trips&amp;Operators'!$C$1:$G$99999,5,FALSE)</f>
        <v>CHANDLER KELVIN</v>
      </c>
      <c r="M149" s="6">
        <f t="shared" si="57"/>
        <v>2.8761574074451346E-2</v>
      </c>
      <c r="N149" s="7">
        <f t="shared" si="58"/>
        <v>41.416666667209938</v>
      </c>
      <c r="O149" s="7"/>
      <c r="P149" s="7"/>
      <c r="Q149" s="22"/>
      <c r="R149" s="22"/>
      <c r="S149" s="31">
        <f t="shared" si="59"/>
        <v>1</v>
      </c>
      <c r="T149" s="46" t="str">
        <f t="shared" si="60"/>
        <v>NorthBound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61"/>
        <v>https://d0f6bd738d7f1b3e5a7ca70fe4ff75f0.us-east-1.aws.found.io/app/kibana#/discover/Steve-Slow-Train-Analysis-(2080s-and-2083s)?_g=(refreshInterval:(display:Off,pause:!f,section:0,value:0),time:(from:'2017-03-09T21:48:19-0700',mode:absolute,to:'2017-03-10T00:41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9" s="187" t="str">
        <f t="shared" si="62"/>
        <v>N</v>
      </c>
      <c r="X149" s="187">
        <f t="shared" si="63"/>
        <v>1</v>
      </c>
      <c r="Y149" s="62">
        <f t="shared" si="64"/>
        <v>4.4600000000000001E-2</v>
      </c>
      <c r="Z149" s="62">
        <f t="shared" si="65"/>
        <v>23.3293</v>
      </c>
      <c r="AA149" s="62">
        <f t="shared" si="66"/>
        <v>23.284700000000001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67"/>
        <v>0237-09</v>
      </c>
      <c r="AE149" s="85" t="str">
        <f t="shared" si="68"/>
        <v>aws s3 cp s3://rtdc.mdm.uploadarchive.raw/RTDC4044/ "%USERPROFILE%\AppData\Local\Temp\OnboardLogs"\RTDC4044\2017-03-09 --exclude "*" --recursive --include "*20170309*" &amp; "%USERPROFILE%\Documents\GitHub\mrs-test-scripts\Headless Mode &amp; Sideloading\WalkAndUnGZ.bat" "%USERPROFILE%\AppData\Local\Temp\OnboardLogs"\RTDC4044\2017-03-09 &amp; aws s3 cp s3://rtdc.mdm.uploadarchive.raw/RTDC4044/ "%USERPROFILE%\AppData\Local\Temp\OnboardLogs"\RTDC4044\2017-03-10 --exclude "*" --recursive --include "*20170310*" &amp; "%USERPROFILE%\Documents\GitHub\mrs-test-scripts\Headless Mode &amp; Sideloading\WalkAndUnGZ.bat" "%USERPROFILE%\AppData\Local\Temp\OnboardLogs"\RTDC4044\2017-03-10</v>
      </c>
      <c r="AF149" s="82" t="str">
        <f t="shared" si="69"/>
        <v>"C:\Program Files (x86)\AstroGrep\AstroGrep.exe" /e /r /s /spath="%USERPROFILE%\AppData\Local\Temp\OnboardLogs" /stypes="app*4044*20170310*" /stext=" 06:.+((SYSTEM_STATE.+slice.+state.+changed )|(ment ac)|(multiple cpu faults)|(system.+state.+changed )|(\[timeout)|(PRM\|1\|D)|(kpr)|(kdp)|(\|lc)|(penalty))"</v>
      </c>
      <c r="AG149" s="1" t="str">
        <f t="shared" si="70"/>
        <v>EC</v>
      </c>
      <c r="AH149" s="86" t="str">
        <f t="shared" si="71"/>
        <v>"%USERPROFILE%\Documents\GitHub\eaglep3\Utilities\RefineRTDCRunTimes.py" --tripid 237-09 --locoid 4044 --swversion DE.1.0.9.0 --startMP 204:446 --initTime 2017-03-09T22:48:19 --startdatetime 2017-03-09T23:00:27 --delay 1 --endMP 204:233293 --enddatetime 2017-03-09T23:41:52 --enforcementcount 0 &gt;&gt;C:\Users\stu\Documents\GitHub\eaglep3-reporting\EC\2017-03-09-refined-times.txt</v>
      </c>
      <c r="AI149" s="108" t="str">
        <f t="shared" si="72"/>
        <v>echo {"issue":{"subject":"","project_id":79,"tracker_id":40,"status_id":1,"priority_id":2,"assigned_to_id":23,"start_date":"2017-03-09","description":"","custom_fields":[{"id":1,"name":"Subdivision","value":"EC"},{"id":4,"name":"Milepost","value":"23.3293"},{"id":17,"name":"Train ID","value":"237-09"},{"id":16,"name":"Locomotive ID","value":"4044"},{"id":130,"name":"Impact","value":""},{"id":150,"name":"Time of Event (Mountain Time)","value":"23:41:52"},{"id":151,"name":"Denver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73"/>
        <v>start /low /b %USERPROFILE%\Documents\GitHub\eaglep3\Utilities\DownloadLogsFromS3.py --loco 4044 --day 2017-03-09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"%USERPROFILE%\AppData\Local\Temp\OnboardLogs"\RTDC4044\*4044*20170310* | grep -SE "(Enforcement Action)|(\[TIMEOUT)|(CHR.+\|PRM\|1\|D.+(SWITCH|SIGNAL).+UNKNOWN)" - &gt;&gt; 2017-03-09-UncaughtWiMAX.txt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613</v>
      </c>
      <c r="B150" s="7">
        <v>4043</v>
      </c>
      <c r="C150" s="21" t="s">
        <v>242</v>
      </c>
      <c r="D150" s="21" t="s">
        <v>874</v>
      </c>
      <c r="E150" s="13">
        <v>42803.995868055557</v>
      </c>
      <c r="F150" s="13">
        <v>42803.997812499998</v>
      </c>
      <c r="G150" s="7">
        <v>1</v>
      </c>
      <c r="H150" s="21" t="s">
        <v>875</v>
      </c>
      <c r="I150" s="13">
        <v>42804.026053240741</v>
      </c>
      <c r="J150" s="7">
        <v>0</v>
      </c>
      <c r="K150" s="98" t="str">
        <f t="shared" si="56"/>
        <v>4043/4044</v>
      </c>
      <c r="L150" s="21" t="str">
        <f>VLOOKUP(A150,'Trips&amp;Operators'!$C$1:$G$99999,5,FALSE)</f>
        <v>CHANDLER KELVIN</v>
      </c>
      <c r="M150" s="6">
        <f t="shared" si="57"/>
        <v>2.8240740743058268E-2</v>
      </c>
      <c r="N150" s="7">
        <f t="shared" si="58"/>
        <v>40.666666670003906</v>
      </c>
      <c r="O150" s="7"/>
      <c r="P150" s="7"/>
      <c r="Q150" s="22"/>
      <c r="R150" s="22"/>
      <c r="S150" s="31">
        <f t="shared" si="59"/>
        <v>1</v>
      </c>
      <c r="T150" s="46" t="str">
        <f t="shared" si="60"/>
        <v>Southbound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61"/>
        <v>https://d0f6bd738d7f1b3e5a7ca70fe4ff75f0.us-east-1.aws.found.io/app/kibana#/discover/Steve-Slow-Train-Analysis-(2080s-and-2083s)?_g=(refreshInterval:(display:Off,pause:!f,section:0,value:0),time:(from:'2017-03-09T22:54:03-0700',mode:absolute,to:'2017-03-10T01:37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0" s="187" t="str">
        <f t="shared" si="62"/>
        <v>N</v>
      </c>
      <c r="X150" s="187">
        <f t="shared" si="63"/>
        <v>1</v>
      </c>
      <c r="Y150" s="62">
        <f t="shared" si="64"/>
        <v>23.296800000000001</v>
      </c>
      <c r="Z150" s="62">
        <f t="shared" si="65"/>
        <v>1.9099999999999999E-2</v>
      </c>
      <c r="AA150" s="62">
        <f t="shared" si="66"/>
        <v>23.277699999999999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67"/>
        <v>0238-09</v>
      </c>
      <c r="AE150" s="85" t="str">
        <f t="shared" si="68"/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AF150" s="82" t="str">
        <f t="shared" si="69"/>
        <v>"C:\Program Files (x86)\AstroGrep\AstroGrep.exe" /e /r /s /spath="%USERPROFILE%\AppData\Local\Temp\OnboardLogs" /stypes="app*4043*20170310*" /stext=" 07:.+((SYSTEM_STATE.+slice.+state.+changed )|(ment ac)|(multiple cpu faults)|(system.+state.+changed )|(\[timeout)|(PRM\|1\|D)|(kpr)|(kdp)|(\|lc)|(penalty))"</v>
      </c>
      <c r="AG150" s="1" t="str">
        <f t="shared" si="70"/>
        <v>EC</v>
      </c>
      <c r="AH150" s="86" t="str">
        <f t="shared" si="71"/>
        <v>"%USERPROFILE%\Documents\GitHub\eaglep3\Utilities\RefineRTDCRunTimes.py" --tripid 238-09 --locoid 4043 --swversion DE.1.0.9.0 --startMP 204:232968 --initTime 2017-03-09T23:54:03 --startdatetime 2017-03-09T23:56:51 --delay 1 --endMP 204:191 --enddatetime 2017-03-10T00:37:31 --enforcementcount 0 &gt;&gt;C:\Users\stu\Documents\GitHub\eaglep3-reporting\EC\2017-03-09-refined-times.txt</v>
      </c>
      <c r="AI150" s="108" t="str">
        <f t="shared" si="72"/>
        <v>echo {"issue":{"subject":"","project_id":79,"tracker_id":40,"status_id":1,"priority_id":2,"assigned_to_id":23,"start_date":"2017-03-10","description":"","custom_fields":[{"id":1,"name":"Subdivision","value":"EC"},{"id":4,"name":"Milepost","value":"0.0191"},{"id":17,"name":"Train ID","value":"238-09"},{"id":16,"name":"Locomotive ID","value":"4043"},{"id":130,"name":"Impact","value":""},{"id":150,"name":"Time of Event (Mountain Time)","value":"00:37:31"},{"id":151,"name":"Denver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73"/>
        <v>start /low /b %USERPROFILE%\Documents\GitHub\eaglep3\Utilities\DownloadLogsFromS3.py --loco 4043 --day 2017-03-09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"%USERPROFILE%\AppData\Local\Temp\OnboardLogs"\RTDC4043\*4043*20170310* | grep -SE "(Enforcement Action)|(\[TIMEOUT)|(CHR.+\|PRM\|1\|D.+(SWITCH|SIGNAL).+UNKNOWN)" - &gt;&gt; 2017-03-09-UncaughtWiMAX.txt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806</v>
      </c>
      <c r="B151" s="7">
        <v>4020</v>
      </c>
      <c r="C151" s="21" t="s">
        <v>242</v>
      </c>
      <c r="D151" s="21" t="s">
        <v>424</v>
      </c>
      <c r="E151" s="13">
        <v>42803.97729166667</v>
      </c>
      <c r="F151" s="13">
        <v>42803.97934027778</v>
      </c>
      <c r="G151" s="7">
        <v>1</v>
      </c>
      <c r="H151" s="21" t="s">
        <v>876</v>
      </c>
      <c r="I151" s="13">
        <v>42804.003923611112</v>
      </c>
      <c r="J151" s="7">
        <v>0</v>
      </c>
      <c r="K151" s="98" t="str">
        <f t="shared" si="56"/>
        <v>4019/4020</v>
      </c>
      <c r="L151" s="21" t="str">
        <f>VLOOKUP(A151,'Trips&amp;Operators'!$C$1:$G$99999,5,FALSE)</f>
        <v>NEWELL JAMES</v>
      </c>
      <c r="M151" s="6">
        <f t="shared" si="57"/>
        <v>2.4583333331975155E-2</v>
      </c>
      <c r="N151" s="7">
        <f t="shared" si="58"/>
        <v>35.399999998044223</v>
      </c>
      <c r="O151" s="7"/>
      <c r="P151" s="7"/>
      <c r="Q151" s="22"/>
      <c r="R151" s="22" t="s">
        <v>1015</v>
      </c>
      <c r="S151" s="31">
        <f t="shared" si="59"/>
        <v>1</v>
      </c>
      <c r="T151" s="46" t="str">
        <f t="shared" si="60"/>
        <v>NorthBound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61"/>
        <v>https://d0f6bd738d7f1b3e5a7ca70fe4ff75f0.us-east-1.aws.found.io/app/kibana#/discover/Steve-Slow-Train-Analysis-(2080s-and-2083s)?_g=(refreshInterval:(display:Off,pause:!f,section:0,value:0),time:(from:'2017-03-09T22:27:18-0700',mode:absolute,to:'2017-03-10T01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1" s="187" t="str">
        <f t="shared" si="62"/>
        <v>Y</v>
      </c>
      <c r="X151" s="187">
        <f t="shared" si="63"/>
        <v>1</v>
      </c>
      <c r="Y151" s="62">
        <f t="shared" si="64"/>
        <v>4.8399999999999999E-2</v>
      </c>
      <c r="Z151" s="62">
        <f t="shared" si="65"/>
        <v>22.811399999999999</v>
      </c>
      <c r="AA151" s="62">
        <f t="shared" si="66"/>
        <v>22.762999999999998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67"/>
        <v>0239-09</v>
      </c>
      <c r="AE151" s="85" t="str">
        <f t="shared" si="68"/>
        <v>aws s3 cp s3://rtdc.mdm.uploadarchive.raw/RTDC4020/ "%USERPROFILE%\AppData\Local\Temp\OnboardLogs"\RTDC4020\2017-03-09 --exclude "*" --recursive --include "*20170309*" &amp; "%USERPROFILE%\Documents\GitHub\mrs-test-scripts\Headless Mode &amp; Sideloading\WalkAndUnGZ.bat" "%USERPROFILE%\AppData\Local\Temp\OnboardLogs"\RTDC4020\2017-03-09 &amp; 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</v>
      </c>
      <c r="AF151" s="82" t="str">
        <f t="shared" si="69"/>
        <v>"C:\Program Files (x86)\AstroGrep\AstroGrep.exe" /e /r /s /spath="%USERPROFILE%\AppData\Local\Temp\OnboardLogs" /stypes="app*4020*20170310*" /stext=" 07:.+((SYSTEM_STATE.+slice.+state.+changed )|(ment ac)|(multiple cpu faults)|(system.+state.+changed )|(\[timeout)|(PRM\|1\|D)|(kpr)|(kdp)|(\|lc)|(penalty))"</v>
      </c>
      <c r="AG151" s="1" t="str">
        <f t="shared" si="70"/>
        <v>EC</v>
      </c>
      <c r="AH151" s="86" t="str">
        <f t="shared" si="71"/>
        <v>"%USERPROFILE%\Documents\GitHub\eaglep3\Utilities\RefineRTDCRunTimes.py" --tripid 239-09 --locoid 4020 --swversion DE.1.0.9.0 --startMP 204:484 --initTime 2017-03-09T23:27:18 --startdatetime 2017-03-09T23:30:15 --delay 1 --endMP 204:228114 --enddatetime 2017-03-10T00:05:39 --enforcementcount 0 &gt;&gt;C:\Users\stu\Documents\GitHub\eaglep3-reporting\EC\2017-03-09-refined-times.txt</v>
      </c>
      <c r="AI151" s="108" t="str">
        <f t="shared" si="72"/>
        <v>echo {"issue":{"subject":"DTO Efficiency test","project_id":79,"tracker_id":40,"status_id":1,"priority_id":2,"assigned_to_id":23,"start_date":"2017-03-10","description":"","custom_fields":[{"id":1,"name":"Subdivision","value":"EC"},{"id":4,"name":"Milepost","value":"22.8114"},{"id":17,"name":"Train ID","value":"239-09"},{"id":16,"name":"Locomotive ID","value":"4020"},{"id":130,"name":"Impact","value":""},{"id":150,"name":"Time of Event (Mountain Time)","value":"00:05:39"},{"id":151,"name":"Denver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73"/>
        <v>start /low /b %USERPROFILE%\Documents\GitHub\eaglep3\Utilities\DownloadLogsFromS3.py --loco 4020 --day 2017-03-09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"%USERPROFILE%\AppData\Local\Temp\OnboardLogs"\RTDC4020\*4020*20170310* | grep -SE "(Enforcement Action)|(\[TIMEOUT)|(CHR.+\|PRM\|1\|D.+(SWITCH|SIGNAL).+UNKNOWN)" - &gt;&gt; 2017-03-09-UncaughtWiMAX.txt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3" t="s">
        <v>808</v>
      </c>
      <c r="B152" s="7">
        <v>4019</v>
      </c>
      <c r="C152" s="21" t="s">
        <v>242</v>
      </c>
      <c r="D152" s="21" t="s">
        <v>433</v>
      </c>
      <c r="E152" s="13">
        <v>42804.015277777777</v>
      </c>
      <c r="F152" s="13">
        <v>42804.018229166664</v>
      </c>
      <c r="G152" s="7">
        <v>1</v>
      </c>
      <c r="H152" s="21" t="s">
        <v>877</v>
      </c>
      <c r="I152" s="13">
        <v>42804.045937499999</v>
      </c>
      <c r="J152" s="7">
        <v>0</v>
      </c>
      <c r="K152" s="98" t="str">
        <f t="shared" si="56"/>
        <v>4019/4020</v>
      </c>
      <c r="L152" s="21" t="str">
        <f>VLOOKUP(A152,'Trips&amp;Operators'!$C$1:$G$99999,5,FALSE)</f>
        <v>NEWELL JAMES</v>
      </c>
      <c r="M152" s="6">
        <f t="shared" si="57"/>
        <v>2.7708333334885538E-2</v>
      </c>
      <c r="N152" s="7">
        <f t="shared" si="58"/>
        <v>39.900000002235174</v>
      </c>
      <c r="O152" s="7"/>
      <c r="P152" s="7"/>
      <c r="Q152" s="22"/>
      <c r="R152" s="22"/>
      <c r="S152" s="31">
        <f t="shared" si="59"/>
        <v>1</v>
      </c>
      <c r="T152" s="46" t="str">
        <f t="shared" si="60"/>
        <v>Southbound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61"/>
        <v>https://d0f6bd738d7f1b3e5a7ca70fe4ff75f0.us-east-1.aws.found.io/app/kibana#/discover/Steve-Slow-Train-Analysis-(2080s-and-2083s)?_g=(refreshInterval:(display:Off,pause:!f,section:0,value:0),time:(from:'2017-03-09T23:22:00-0700',mode:absolute,to:'2017-03-10T02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2" s="187" t="str">
        <f t="shared" si="62"/>
        <v>N</v>
      </c>
      <c r="X152" s="187">
        <f t="shared" si="63"/>
        <v>1</v>
      </c>
      <c r="Y152" s="62">
        <f t="shared" si="64"/>
        <v>23.299299999999999</v>
      </c>
      <c r="Z152" s="62">
        <f t="shared" si="65"/>
        <v>6.4699999999999994E-2</v>
      </c>
      <c r="AA152" s="62">
        <f t="shared" si="66"/>
        <v>23.2346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67"/>
        <v>0240-09</v>
      </c>
      <c r="AE152" s="85" t="str">
        <f t="shared" si="68"/>
        <v>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 &amp; aws s3 cp s3://rtdc.mdm.uploadarchive.raw/RTDC4019/ "%USERPROFILE%\AppData\Local\Temp\OnboardLogs"\RTDC4019\2017-03-11 --exclude "*" --recursive --include "*20170311*" &amp; "%USERPROFILE%\Documents\GitHub\mrs-test-scripts\Headless Mode &amp; Sideloading\WalkAndUnGZ.bat" "%USERPROFILE%\AppData\Local\Temp\OnboardLogs"\RTDC4019\2017-03-11</v>
      </c>
      <c r="AF152" s="82" t="str">
        <f t="shared" si="69"/>
        <v>"C:\Program Files (x86)\AstroGrep\AstroGrep.exe" /e /r /s /spath="%USERPROFILE%\AppData\Local\Temp\OnboardLogs" /stypes="app*4019*20170310*" /stext=" 08:.+((SYSTEM_STATE.+slice.+state.+changed )|(ment ac)|(multiple cpu faults)|(system.+state.+changed )|(\[timeout)|(PRM\|1\|D)|(kpr)|(kdp)|(\|lc)|(penalty))"</v>
      </c>
      <c r="AG152" s="1" t="str">
        <f t="shared" si="70"/>
        <v>EC</v>
      </c>
      <c r="AH152" s="86" t="str">
        <f t="shared" si="71"/>
        <v>"%USERPROFILE%\Documents\GitHub\eaglep3\Utilities\RefineRTDCRunTimes.py" --tripid 240-09 --locoid 4019 --swversion DE.1.0.9.0 --startMP 204:232993 --initTime 2017-03-10T00:22:00 --startdatetime 2017-03-10T00:26:15 --delay 1 --endMP 204:647 --enddatetime 2017-03-10T01:06:09 --enforcementcount 0 &gt;&gt;C:\Users\stu\Documents\GitHub\eaglep3-reporting\EC\2017-03-09-refined-times.txt</v>
      </c>
      <c r="AI152" s="108" t="str">
        <f t="shared" si="72"/>
        <v>echo {"issue":{"subject":"","project_id":79,"tracker_id":40,"status_id":1,"priority_id":2,"assigned_to_id":23,"start_date":"2017-03-10","description":"","custom_fields":[{"id":1,"name":"Subdivision","value":"EC"},{"id":4,"name":"Milepost","value":"0.0647"},{"id":17,"name":"Train ID","value":"240-09"},{"id":16,"name":"Locomotive ID","value":"4019"},{"id":130,"name":"Impact","value":""},{"id":150,"name":"Time of Event (Mountain Time)","value":"01:06:09"},{"id":151,"name":"Denver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73"/>
        <v>start /low /b %USERPROFILE%\Documents\GitHub\eaglep3\Utilities\DownloadLogsFromS3.py --loco 4019 --day 2017-03-10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"%USERPROFILE%\AppData\Local\Temp\OnboardLogs"\RTDC4019\*4019*20170310* | grep -SE "(Enforcement Action)|(\[TIMEOUT)|(CHR.+\|PRM\|1\|D.+(SWITCH|SIGNAL).+UNKNOWN)" - &gt;&gt; 2017-03-09-UncaughtWiMAX.txt</v>
      </c>
    </row>
    <row r="153" spans="1:91" s="20" customFormat="1" x14ac:dyDescent="0.25">
      <c r="A153" s="33" t="s">
        <v>807</v>
      </c>
      <c r="B153" s="7">
        <v>4003</v>
      </c>
      <c r="C153" s="21" t="s">
        <v>242</v>
      </c>
      <c r="D153" s="21" t="s">
        <v>218</v>
      </c>
      <c r="E153" s="13">
        <v>42803.990844907406</v>
      </c>
      <c r="F153" s="13">
        <v>42804.000219907408</v>
      </c>
      <c r="G153" s="7">
        <v>1</v>
      </c>
      <c r="H153" s="21" t="s">
        <v>878</v>
      </c>
      <c r="I153" s="13">
        <v>42804.02616898148</v>
      </c>
      <c r="J153" s="7">
        <v>0</v>
      </c>
      <c r="K153" s="98" t="str">
        <f t="shared" si="56"/>
        <v>4003/4004</v>
      </c>
      <c r="L153" s="21" t="str">
        <f>VLOOKUP(A153,'Trips&amp;Operators'!$C$1:$G$99999,5,FALSE)</f>
        <v>MCREYNOLDS KYLE</v>
      </c>
      <c r="M153" s="6">
        <f t="shared" si="57"/>
        <v>2.5949074071832001E-2</v>
      </c>
      <c r="N153" s="7">
        <f t="shared" si="58"/>
        <v>37.366666663438082</v>
      </c>
      <c r="O153" s="7"/>
      <c r="P153" s="7"/>
      <c r="Q153" s="22"/>
      <c r="R153" s="22" t="s">
        <v>1015</v>
      </c>
      <c r="S153" s="31">
        <f t="shared" si="59"/>
        <v>1</v>
      </c>
      <c r="T153" s="46" t="str">
        <f t="shared" si="60"/>
        <v>NorthBound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61"/>
        <v>https://d0f6bd738d7f1b3e5a7ca70fe4ff75f0.us-east-1.aws.found.io/app/kibana#/discover/Steve-Slow-Train-Analysis-(2080s-and-2083s)?_g=(refreshInterval:(display:Off,pause:!f,section:0,value:0),time:(from:'2017-03-09T22:46:49-0700',mode:absolute,to:'2017-03-10T01:37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3" s="187" t="str">
        <f t="shared" si="62"/>
        <v>Y</v>
      </c>
      <c r="X153" s="187">
        <f t="shared" si="63"/>
        <v>1</v>
      </c>
      <c r="Y153" s="62">
        <f t="shared" si="64"/>
        <v>4.5999999999999999E-2</v>
      </c>
      <c r="Z153" s="62">
        <f t="shared" si="65"/>
        <v>22.733899999999998</v>
      </c>
      <c r="AA153" s="62">
        <f t="shared" si="66"/>
        <v>22.687899999999999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67"/>
        <v>0241-09</v>
      </c>
      <c r="AE153" s="85" t="str">
        <f t="shared" si="68"/>
        <v>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 &amp; aws s3 cp s3://rtdc.mdm.uploadarchive.raw/RTDC4003/ "%USERPROFILE%\AppData\Local\Temp\OnboardLogs"\RTDC4003\2017-03-11 --exclude "*" --recursive --include "*20170311*" &amp; "%USERPROFILE%\Documents\GitHub\mrs-test-scripts\Headless Mode &amp; Sideloading\WalkAndUnGZ.bat" "%USERPROFILE%\AppData\Local\Temp\OnboardLogs"\RTDC4003\2017-03-11</v>
      </c>
      <c r="AF153" s="82" t="str">
        <f t="shared" si="69"/>
        <v>"C:\Program Files (x86)\AstroGrep\AstroGrep.exe" /e /r /s /spath="%USERPROFILE%\AppData\Local\Temp\OnboardLogs" /stypes="app*4003*20170310*" /stext=" 07:.+((SYSTEM_STATE.+slice.+state.+changed )|(ment ac)|(multiple cpu faults)|(system.+state.+changed )|(\[timeout)|(PRM\|1\|D)|(kpr)|(kdp)|(\|lc)|(penalty))"</v>
      </c>
      <c r="AG153" s="1" t="str">
        <f t="shared" si="70"/>
        <v>EC</v>
      </c>
      <c r="AH153" s="86" t="str">
        <f t="shared" si="71"/>
        <v>"%USERPROFILE%\Documents\GitHub\eaglep3\Utilities\RefineRTDCRunTimes.py" --tripid 241-09 --locoid 4003 --swversion DE.1.0.9.0 --startMP 204:460 --initTime 2017-03-09T23:46:49 --startdatetime 2017-03-10T00:00:19 --delay 1 --endMP 204:227339 --enddatetime 2017-03-10T00:37:41 --enforcementcount 0 &gt;&gt;C:\Users\stu\Documents\GitHub\eaglep3-reporting\EC\2017-03-09-refined-times.txt</v>
      </c>
      <c r="AI153" s="108" t="str">
        <f t="shared" si="72"/>
        <v>echo {"issue":{"subject":"DTO Efficiency test","project_id":79,"tracker_id":40,"status_id":1,"priority_id":2,"assigned_to_id":23,"start_date":"2017-03-10","description":"","custom_fields":[{"id":1,"name":"Subdivision","value":"EC"},{"id":4,"name":"Milepost","value":"22.7339"},{"id":17,"name":"Train ID","value":"241-09"},{"id":16,"name":"Locomotive ID","value":"4003"},{"id":130,"name":"Impact","value":""},{"id":150,"name":"Time of Event (Mountain Time)","value":"00:37:41"},{"id":151,"name":"Denver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73"/>
        <v>start /low /b %USERPROFILE%\Documents\GitHub\eaglep3\Utilities\DownloadLogsFromS3.py --loco 4003 --day 2017-03-10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"%USERPROFILE%\AppData\Local\Temp\OnboardLogs"\RTDC4003\*4003*20170310* | grep -SE "(Enforcement Action)|(\[TIMEOUT)|(CHR.+\|PRM\|1\|D.+(SWITCH|SIGNAL).+UNKNOWN)" - &gt;&gt; 2017-03-09-UncaughtWiMAX.txt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810</v>
      </c>
      <c r="B154" s="7">
        <v>4004</v>
      </c>
      <c r="C154" s="21" t="s">
        <v>242</v>
      </c>
      <c r="D154" s="21" t="s">
        <v>832</v>
      </c>
      <c r="E154" s="13">
        <v>42804.032696759263</v>
      </c>
      <c r="F154" s="13">
        <v>42804.039131944446</v>
      </c>
      <c r="G154" s="7">
        <v>1</v>
      </c>
      <c r="H154" s="21" t="s">
        <v>879</v>
      </c>
      <c r="I154" s="13">
        <v>42804.068506944444</v>
      </c>
      <c r="J154" s="7">
        <v>0</v>
      </c>
      <c r="K154" s="98" t="str">
        <f t="shared" si="56"/>
        <v>4003/4004</v>
      </c>
      <c r="L154" s="21" t="str">
        <f>VLOOKUP(A154,'Trips&amp;Operators'!$C$1:$G$99999,5,FALSE)</f>
        <v>MCREYNOLDS KYLE</v>
      </c>
      <c r="M154" s="6">
        <f t="shared" si="57"/>
        <v>2.937499999825377E-2</v>
      </c>
      <c r="N154" s="7">
        <f t="shared" si="58"/>
        <v>42.299999997485429</v>
      </c>
      <c r="O154" s="7"/>
      <c r="P154" s="7"/>
      <c r="Q154" s="22"/>
      <c r="R154" s="22"/>
      <c r="S154" s="31">
        <f t="shared" si="59"/>
        <v>1</v>
      </c>
      <c r="T154" s="46" t="str">
        <f t="shared" si="60"/>
        <v>Southbound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61"/>
        <v>https://d0f6bd738d7f1b3e5a7ca70fe4ff75f0.us-east-1.aws.found.io/app/kibana#/discover/Steve-Slow-Train-Analysis-(2080s-and-2083s)?_g=(refreshInterval:(display:Off,pause:!f,section:0,value:0),time:(from:'2017-03-09T23:47:05-0700',mode:absolute,to:'2017-03-10T02:38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4" s="187" t="str">
        <f t="shared" si="62"/>
        <v>N</v>
      </c>
      <c r="X154" s="187">
        <f t="shared" si="63"/>
        <v>1</v>
      </c>
      <c r="Y154" s="62">
        <f t="shared" si="64"/>
        <v>23.300999999999998</v>
      </c>
      <c r="Z154" s="62">
        <f t="shared" si="65"/>
        <v>1.4200000000000001E-2</v>
      </c>
      <c r="AA154" s="62">
        <f t="shared" si="66"/>
        <v>23.286799999999999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67"/>
        <v>0242-09</v>
      </c>
      <c r="AE154" s="85" t="str">
        <f t="shared" si="68"/>
        <v>aws s3 cp s3://rtdc.mdm.uploadarchive.raw/RTDC4004/ "%USERPROFILE%\AppData\Local\Temp\OnboardLogs"\RTDC4004\2017-03-10 --exclude "*" --recursive --include "*20170310*" &amp; "%USERPROFILE%\Documents\GitHub\mrs-test-scripts\Headless Mode &amp; Sideloading\WalkAndUnGZ.bat" "%USERPROFILE%\AppData\Local\Temp\OnboardLogs"\RTDC4004\2017-03-10 &amp; aws s3 cp s3://rtdc.mdm.uploadarchive.raw/RTDC4004/ "%USERPROFILE%\AppData\Local\Temp\OnboardLogs"\RTDC4004\2017-03-11 --exclude "*" --recursive --include "*20170311*" &amp; "%USERPROFILE%\Documents\GitHub\mrs-test-scripts\Headless Mode &amp; Sideloading\WalkAndUnGZ.bat" "%USERPROFILE%\AppData\Local\Temp\OnboardLogs"\RTDC4004\2017-03-11</v>
      </c>
      <c r="AF154" s="82" t="str">
        <f t="shared" si="69"/>
        <v>"C:\Program Files (x86)\AstroGrep\AstroGrep.exe" /e /r /s /spath="%USERPROFILE%\AppData\Local\Temp\OnboardLogs" /stypes="app*4004*20170310*" /stext=" 08:.+((SYSTEM_STATE.+slice.+state.+changed )|(ment ac)|(multiple cpu faults)|(system.+state.+changed )|(\[timeout)|(PRM\|1\|D)|(kpr)|(kdp)|(\|lc)|(penalty))"</v>
      </c>
      <c r="AG154" s="1" t="str">
        <f t="shared" si="70"/>
        <v>EC</v>
      </c>
      <c r="AH154" s="86" t="str">
        <f t="shared" si="71"/>
        <v>"%USERPROFILE%\Documents\GitHub\eaglep3\Utilities\RefineRTDCRunTimes.py" --tripid 242-09 --locoid 4004 --swversion DE.1.0.9.0 --startMP 204:233010 --initTime 2017-03-10T00:47:05 --startdatetime 2017-03-10T00:56:21 --delay 1 --endMP 204:142 --enddatetime 2017-03-10T01:38:39 --enforcementcount 0 &gt;&gt;C:\Users\stu\Documents\GitHub\eaglep3-reporting\EC\2017-03-09-refined-times.txt</v>
      </c>
      <c r="AI154" s="108" t="str">
        <f t="shared" si="72"/>
        <v>echo {"issue":{"subject":"","project_id":79,"tracker_id":40,"status_id":1,"priority_id":2,"assigned_to_id":23,"start_date":"2017-03-10","description":"","custom_fields":[{"id":1,"name":"Subdivision","value":"EC"},{"id":4,"name":"Milepost","value":"0.0142"},{"id":17,"name":"Train ID","value":"242-09"},{"id":16,"name":"Locomotive ID","value":"4004"},{"id":130,"name":"Impact","value":""},{"id":150,"name":"Time of Event (Mountain Time)","value":"01:38:39"},{"id":151,"name":"Denver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73"/>
        <v>start /low /b %USERPROFILE%\Documents\GitHub\eaglep3\Utilities\DownloadLogsFromS3.py --loco 4004 --day 2017-03-10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"%USERPROFILE%\AppData\Local\Temp\OnboardLogs"\RTDC4004\*4004*20170310* | grep -SE "(Enforcement Action)|(\[TIMEOUT)|(CHR.+\|PRM\|1\|D.+(SWITCH|SIGNAL).+UNKNOWN)" - &gt;&gt; 2017-03-09-UncaughtWiMAX.txt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809</v>
      </c>
      <c r="B155" s="7">
        <v>4018</v>
      </c>
      <c r="C155" s="21" t="s">
        <v>242</v>
      </c>
      <c r="D155" s="21" t="s">
        <v>262</v>
      </c>
      <c r="E155" s="13">
        <v>42804.018518518518</v>
      </c>
      <c r="F155" s="13">
        <v>42804.021087962959</v>
      </c>
      <c r="G155" s="7">
        <v>1</v>
      </c>
      <c r="H155" s="21" t="s">
        <v>880</v>
      </c>
      <c r="I155" s="13">
        <v>42804.047905092593</v>
      </c>
      <c r="J155" s="7">
        <v>0</v>
      </c>
      <c r="K155" s="98" t="str">
        <f t="shared" si="56"/>
        <v>4017/4018</v>
      </c>
      <c r="L155" s="21" t="str">
        <f>VLOOKUP(A155,'Trips&amp;Operators'!$C$1:$G$99999,5,FALSE)</f>
        <v>SWANSON BRYCE</v>
      </c>
      <c r="M155" s="6">
        <f t="shared" si="57"/>
        <v>2.6817129633855075E-2</v>
      </c>
      <c r="N155" s="7">
        <f t="shared" si="58"/>
        <v>38.616666672751307</v>
      </c>
      <c r="O155" s="7"/>
      <c r="P155" s="7"/>
      <c r="Q155" s="22"/>
      <c r="R155" s="22" t="s">
        <v>1015</v>
      </c>
      <c r="S155" s="31">
        <f t="shared" si="59"/>
        <v>1</v>
      </c>
      <c r="T155" s="46" t="str">
        <f t="shared" si="60"/>
        <v>NorthBound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61"/>
        <v>https://d0f6bd738d7f1b3e5a7ca70fe4ff75f0.us-east-1.aws.found.io/app/kibana#/discover/Steve-Slow-Train-Analysis-(2080s-and-2083s)?_g=(refreshInterval:(display:Off,pause:!f,section:0,value:0),time:(from:'2017-03-09T23:26:40-0700',mode:absolute,to:'2017-03-10T02:08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5" s="187" t="str">
        <f t="shared" si="62"/>
        <v>Y</v>
      </c>
      <c r="X155" s="187">
        <f t="shared" si="63"/>
        <v>1</v>
      </c>
      <c r="Y155" s="62">
        <f t="shared" si="64"/>
        <v>4.6699999999999998E-2</v>
      </c>
      <c r="Z155" s="62">
        <f t="shared" si="65"/>
        <v>22.8293</v>
      </c>
      <c r="AA155" s="62">
        <f t="shared" si="66"/>
        <v>22.782599999999999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67"/>
        <v>0243-09</v>
      </c>
      <c r="AE155" s="85" t="str">
        <f t="shared" si="68"/>
        <v>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 &amp; aws s3 cp s3://rtdc.mdm.uploadarchive.raw/RTDC4018/ "%USERPROFILE%\AppData\Local\Temp\OnboardLogs"\RTDC4018\2017-03-11 --exclude "*" --recursive --include "*20170311*" &amp; "%USERPROFILE%\Documents\GitHub\mrs-test-scripts\Headless Mode &amp; Sideloading\WalkAndUnGZ.bat" "%USERPROFILE%\AppData\Local\Temp\OnboardLogs"\RTDC4018\2017-03-11</v>
      </c>
      <c r="AF155" s="82" t="str">
        <f t="shared" si="69"/>
        <v>"C:\Program Files (x86)\AstroGrep\AstroGrep.exe" /e /r /s /spath="%USERPROFILE%\AppData\Local\Temp\OnboardLogs" /stypes="app*4018*20170310*" /stext=" 08:.+((SYSTEM_STATE.+slice.+state.+changed )|(ment ac)|(multiple cpu faults)|(system.+state.+changed )|(\[timeout)|(PRM\|1\|D)|(kpr)|(kdp)|(\|lc)|(penalty))"</v>
      </c>
      <c r="AG155" s="1" t="str">
        <f t="shared" si="70"/>
        <v>EC</v>
      </c>
      <c r="AH155" s="86" t="str">
        <f t="shared" si="71"/>
        <v>"%USERPROFILE%\Documents\GitHub\eaglep3\Utilities\RefineRTDCRunTimes.py" --tripid 243-09 --locoid 4018 --swversion DE.1.0.9.0 --startMP 204:467 --initTime 2017-03-10T00:26:40 --startdatetime 2017-03-10T00:30:22 --delay 1 --endMP 204:228293 --enddatetime 2017-03-10T01:08:59 --enforcementcount 0 &gt;&gt;C:\Users\stu\Documents\GitHub\eaglep3-reporting\EC\2017-03-09-refined-times.txt</v>
      </c>
      <c r="AI155" s="108" t="str">
        <f t="shared" si="72"/>
        <v>echo {"issue":{"subject":"DTO Efficiency test","project_id":79,"tracker_id":40,"status_id":1,"priority_id":2,"assigned_to_id":23,"start_date":"2017-03-10","description":"","custom_fields":[{"id":1,"name":"Subdivision","value":"EC"},{"id":4,"name":"Milepost","value":"22.8293"},{"id":17,"name":"Train ID","value":"243-09"},{"id":16,"name":"Locomotive ID","value":"4018"},{"id":130,"name":"Impact","value":""},{"id":150,"name":"Time of Event (Mountain Time)","value":"01:08:59"},{"id":151,"name":"Denver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73"/>
        <v>start /low /b %USERPROFILE%\Documents\GitHub\eaglep3\Utilities\DownloadLogsFromS3.py --loco 4018 --day 2017-03-10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"%USERPROFILE%\AppData\Local\Temp\OnboardLogs"\RTDC4018\*4018*20170310* | grep -SE "(Enforcement Action)|(\[TIMEOUT)|(CHR.+\|PRM\|1\|D.+(SWITCH|SIGNAL).+UNKNOWN)" - &gt;&gt; 2017-03-09-UncaughtWiMAX.txt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812</v>
      </c>
      <c r="B156" s="7">
        <v>4017</v>
      </c>
      <c r="C156" s="21" t="s">
        <v>242</v>
      </c>
      <c r="D156" s="21" t="s">
        <v>881</v>
      </c>
      <c r="E156" s="13">
        <v>42804.051898148151</v>
      </c>
      <c r="F156" s="13">
        <v>42804.059930555559</v>
      </c>
      <c r="G156" s="7">
        <v>1</v>
      </c>
      <c r="H156" s="21" t="s">
        <v>882</v>
      </c>
      <c r="I156" s="13">
        <v>42804.089490740742</v>
      </c>
      <c r="J156" s="7">
        <v>0</v>
      </c>
      <c r="K156" s="98" t="str">
        <f t="shared" si="56"/>
        <v>4017/4018</v>
      </c>
      <c r="L156" s="21" t="str">
        <f>VLOOKUP(A156,'Trips&amp;Operators'!$C$1:$G$99999,5,FALSE)</f>
        <v>SWANSON BRYCE</v>
      </c>
      <c r="M156" s="6">
        <f t="shared" si="57"/>
        <v>2.9560185183072463E-2</v>
      </c>
      <c r="N156" s="7">
        <f t="shared" si="58"/>
        <v>42.566666663624346</v>
      </c>
      <c r="O156" s="7"/>
      <c r="P156" s="7"/>
      <c r="Q156" s="22"/>
      <c r="R156" s="22"/>
      <c r="S156" s="31">
        <f t="shared" si="59"/>
        <v>1</v>
      </c>
      <c r="T156" s="46" t="str">
        <f t="shared" si="60"/>
        <v>Southbound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61"/>
        <v>https://d0f6bd738d7f1b3e5a7ca70fe4ff75f0.us-east-1.aws.found.io/app/kibana#/discover/Steve-Slow-Train-Analysis-(2080s-and-2083s)?_g=(refreshInterval:(display:Off,pause:!f,section:0,value:0),time:(from:'2017-03-10T00:14:44-0700',mode:absolute,to:'2017-03-10T03:08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6" s="187" t="str">
        <f t="shared" si="62"/>
        <v>N</v>
      </c>
      <c r="X156" s="187">
        <f t="shared" si="63"/>
        <v>1</v>
      </c>
      <c r="Y156" s="62">
        <f t="shared" si="64"/>
        <v>23.3034</v>
      </c>
      <c r="Z156" s="62">
        <f t="shared" si="65"/>
        <v>1.3299999999999999E-2</v>
      </c>
      <c r="AA156" s="62">
        <f t="shared" si="66"/>
        <v>23.290099999999999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67"/>
        <v>0244-09</v>
      </c>
      <c r="AE156" s="85" t="str">
        <f t="shared" si="68"/>
        <v>aws s3 cp s3://rtdc.mdm.uploadarchive.raw/RTDC4017/ "%USERPROFILE%\AppData\Local\Temp\OnboardLogs"\RTDC4017\2017-03-10 --exclude "*" --recursive --include "*20170310*" &amp; "%USERPROFILE%\Documents\GitHub\mrs-test-scripts\Headless Mode &amp; Sideloading\WalkAndUnGZ.bat" "%USERPROFILE%\AppData\Local\Temp\OnboardLogs"\RTDC4017\2017-03-10 &amp; aws s3 cp s3://rtdc.mdm.uploadarchive.raw/RTDC4017/ "%USERPROFILE%\AppData\Local\Temp\OnboardLogs"\RTDC4017\2017-03-11 --exclude "*" --recursive --include "*20170311*" &amp; "%USERPROFILE%\Documents\GitHub\mrs-test-scripts\Headless Mode &amp; Sideloading\WalkAndUnGZ.bat" "%USERPROFILE%\AppData\Local\Temp\OnboardLogs"\RTDC4017\2017-03-11</v>
      </c>
      <c r="AF156" s="82" t="str">
        <f t="shared" si="69"/>
        <v>"C:\Program Files (x86)\AstroGrep\AstroGrep.exe" /e /r /s /spath="%USERPROFILE%\AppData\Local\Temp\OnboardLogs" /stypes="app*4017*20170310*" /stext=" 09:.+((SYSTEM_STATE.+slice.+state.+changed )|(ment ac)|(multiple cpu faults)|(system.+state.+changed )|(\[timeout)|(PRM\|1\|D)|(kpr)|(kdp)|(\|lc)|(penalty))"</v>
      </c>
      <c r="AG156" s="1" t="str">
        <f t="shared" si="70"/>
        <v>EC</v>
      </c>
      <c r="AH156" s="86" t="str">
        <f t="shared" si="71"/>
        <v>"%USERPROFILE%\Documents\GitHub\eaglep3\Utilities\RefineRTDCRunTimes.py" --tripid 244-09 --locoid 4017 --swversion DE.1.0.9.0 --startMP 204:233034 --initTime 2017-03-10T01:14:44 --startdatetime 2017-03-10T01:26:18 --delay 1 --endMP 204:133 --enddatetime 2017-03-10T02:08:52 --enforcementcount 0 &gt;&gt;C:\Users\stu\Documents\GitHub\eaglep3-reporting\EC\2017-03-09-refined-times.txt</v>
      </c>
      <c r="AI156" s="108" t="str">
        <f t="shared" si="72"/>
        <v>echo {"issue":{"subject":"","project_id":79,"tracker_id":40,"status_id":1,"priority_id":2,"assigned_to_id":23,"start_date":"2017-03-10","description":"","custom_fields":[{"id":1,"name":"Subdivision","value":"EC"},{"id":4,"name":"Milepost","value":"0.0133"},{"id":17,"name":"Train ID","value":"244-09"},{"id":16,"name":"Locomotive ID","value":"4017"},{"id":130,"name":"Impact","value":""},{"id":150,"name":"Time of Event (Mountain Time)","value":"02:08:52"},{"id":151,"name":"Denver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73"/>
        <v>start /low /b %USERPROFILE%\Documents\GitHub\eaglep3\Utilities\DownloadLogsFromS3.py --loco 4017 --day 2017-03-10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"%USERPROFILE%\AppData\Local\Temp\OnboardLogs"\RTDC4017\*4017*20170310* | grep -SE "(Enforcement Action)|(\[TIMEOUT)|(CHR.+\|PRM\|1\|D.+(SWITCH|SIGNAL).+UNKNOWN)" - &gt;&gt; 2017-03-09-UncaughtWiMAX.txt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3" t="s">
        <v>634</v>
      </c>
      <c r="B157" s="7">
        <v>4008</v>
      </c>
      <c r="C157" s="21" t="s">
        <v>242</v>
      </c>
      <c r="D157" s="21" t="s">
        <v>924</v>
      </c>
      <c r="E157" s="13">
        <v>42803.210752314815</v>
      </c>
      <c r="F157" s="13">
        <v>42803.215740740743</v>
      </c>
      <c r="G157" s="7">
        <v>1</v>
      </c>
      <c r="H157" s="21" t="s">
        <v>431</v>
      </c>
      <c r="I157" s="13">
        <v>42803.2262962963</v>
      </c>
      <c r="J157" s="7">
        <v>0</v>
      </c>
      <c r="K157" s="98" t="str">
        <f t="shared" si="56"/>
        <v>4007/4008</v>
      </c>
      <c r="L157" s="21" t="str">
        <f>VLOOKUP(A157,'Trips&amp;Operators'!$C$1:$G$99999,5,FALSE)</f>
        <v>SHOOK JOHN</v>
      </c>
      <c r="M157" s="6">
        <f t="shared" si="57"/>
        <v>1.0555555556493346E-2</v>
      </c>
      <c r="N157" s="7">
        <f t="shared" si="58"/>
        <v>15.200000001350418</v>
      </c>
      <c r="O157" s="7"/>
      <c r="P157" s="7"/>
      <c r="Q157" s="22"/>
      <c r="R157" s="22"/>
      <c r="S157" s="31">
        <f t="shared" si="59"/>
        <v>1</v>
      </c>
      <c r="T157" s="46" t="str">
        <f t="shared" si="60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86" t="str">
        <f t="shared" si="61"/>
        <v>https://d0f6bd738d7f1b3e5a7ca70fe4ff75f0.us-east-1.aws.found.io/app/kibana#/discover/Steve-Slow-Train-Analysis-(2080s-and-2083s)?_g=(refreshInterval:(display:Off,pause:!f,section:0,value:0),time:(from:'2017-03-09T04:03:29-0700',mode:absolute,to:'2017-03-09T06:25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7" s="187" t="str">
        <f t="shared" si="62"/>
        <v>N</v>
      </c>
      <c r="X157" s="187">
        <f t="shared" si="63"/>
        <v>556</v>
      </c>
      <c r="Y157" s="62">
        <f t="shared" si="64"/>
        <v>5.8678999999999997</v>
      </c>
      <c r="Z157" s="62">
        <f t="shared" si="65"/>
        <v>7.4099999999999999E-2</v>
      </c>
      <c r="AA157" s="62">
        <f t="shared" si="66"/>
        <v>5.7938000000000001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67"/>
        <v>0800-09</v>
      </c>
      <c r="AE157" s="85" t="str">
        <f t="shared" si="68"/>
        <v>aws s3 cp s3://rtdc.mdm.uploadarchive.raw/RTDC4008/ "%USERPROFILE%\AppData\Local\Temp\OnboardLogs"\RTDC4008\2017-03-09 --exclude "*" --recursive --include "*20170309*" &amp; "%USERPROFILE%\Documents\GitHub\mrs-test-scripts\Headless Mode &amp; Sideloading\WalkAndUnGZ.bat" "%USERPROFILE%\AppData\Local\Temp\OnboardLogs"\RTDC4008\2017-03-09 &amp; aws s3 cp s3://rtdc.mdm.uploadarchive.raw/RTDC4008/ "%USERPROFILE%\AppData\Local\Temp\OnboardLogs"\RTDC4008\2017-03-10 --exclude "*" --recursive --include "*20170310*" &amp; "%USERPROFILE%\Documents\GitHub\mrs-test-scripts\Headless Mode &amp; Sideloading\WalkAndUnGZ.bat" "%USERPROFILE%\AppData\Local\Temp\OnboardLogs"\RTDC4008\2017-03-10</v>
      </c>
      <c r="AF157" s="82" t="str">
        <f t="shared" si="69"/>
        <v>"C:\Program Files (x86)\AstroGrep\AstroGrep.exe" /e /r /s /spath="%USERPROFILE%\AppData\Local\Temp\OnboardLogs" /stypes="app*4008*20170309*" /stext=" 12:.+((SYSTEM_STATE.+slice.+state.+changed )|(ment ac)|(multiple cpu faults)|(system.+state.+changed )|(\[timeout)|(PRM\|1\|D)|(kpr)|(kdp)|(\|lc)|(penalty))"</v>
      </c>
      <c r="AG157" s="1" t="str">
        <f t="shared" si="70"/>
        <v>NW</v>
      </c>
      <c r="AH157" s="86" t="str">
        <f t="shared" si="71"/>
        <v>"%USERPROFILE%\Documents\GitHub\eaglep3\Utilities\RefineRTDCRunTimes.py" --tripid 800-09 --locoid 4008 --swversion DE.1.0.9.0 --startMP 300:58679 --initTime 2017-03-09T05:03:29 --startdatetime 2017-03-09T05:10:40 --delay 1 --endMP 204:741 --enddatetime 2017-03-09T05:25:52 --enforcementcount 0 &gt;&gt;C:\Users\stu\Documents\GitHub\eaglep3-reporting\EC\2017-03-09-refined-times.txt</v>
      </c>
      <c r="AI157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{"issue":{"subject":"","project_id":79,"tracker_id":40,"status_id":1,"priority_id":2,"assigned_to_id":23,"start_date":"2017-03-09","description":"","custom_fields":[{"id":1,"name":"Subdivision","value":"NW"},{"id":4,"name":"Milepost","value":"0.0741"},{"id":17,"name":"Train ID","value":"800-09"},{"id":16,"name":"Locomotive ID","value":"4008"},{"id":130,"name":"Impact","value":""},{"id":150,"name":"Time of Event (Mountain Time)","value":"05:25:52"},{"id":151,"name":"Denver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73"/>
        <v>start /low /b %USERPROFILE%\Documents\GitHub\eaglep3\Utilities\DownloadLogsFromS3.py --loco 4008 --day 2017-03-09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"%USERPROFILE%\AppData\Local\Temp\OnboardLogs"\RTDC4008\*4008*20170309* | grep -SE "(Enforcement Action)|(\[TIMEOUT)|(CHR.+\|PRM\|1\|D.+(SWITCH|SIGNAL).+UNKNOWN)" - &gt;&gt; 2017-03-09-UncaughtWiMAX.txt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3" t="s">
        <v>639</v>
      </c>
      <c r="B158" s="7">
        <v>4007</v>
      </c>
      <c r="C158" s="21" t="s">
        <v>242</v>
      </c>
      <c r="D158" s="21" t="s">
        <v>557</v>
      </c>
      <c r="E158" s="13">
        <v>42803.228101851855</v>
      </c>
      <c r="F158" s="13">
        <v>42803.243958333333</v>
      </c>
      <c r="G158" s="7">
        <v>0</v>
      </c>
      <c r="H158" s="21" t="s">
        <v>925</v>
      </c>
      <c r="I158" s="13">
        <v>42803.253912037035</v>
      </c>
      <c r="J158" s="7">
        <v>0</v>
      </c>
      <c r="K158" s="98" t="str">
        <f t="shared" si="56"/>
        <v>4007/4008</v>
      </c>
      <c r="L158" s="21" t="str">
        <f>VLOOKUP(A158,'Trips&amp;Operators'!$C$1:$G$99999,5,FALSE)</f>
        <v>SHOOK JOHN</v>
      </c>
      <c r="M158" s="6">
        <f t="shared" si="57"/>
        <v>9.9537037021946162E-3</v>
      </c>
      <c r="N158" s="7">
        <f t="shared" si="58"/>
        <v>14.333333331160247</v>
      </c>
      <c r="O158" s="7"/>
      <c r="P158" s="7"/>
      <c r="Q158" s="22"/>
      <c r="R158" s="22"/>
      <c r="S158" s="31">
        <f t="shared" si="59"/>
        <v>1</v>
      </c>
      <c r="T158" s="46" t="str">
        <f t="shared" si="60"/>
        <v>NorthBound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6" t="str">
        <f t="shared" si="61"/>
        <v>https://d0f6bd738d7f1b3e5a7ca70fe4ff75f0.us-east-1.aws.found.io/app/kibana#/discover/Steve-Slow-Train-Analysis-(2080s-and-2083s)?_g=(refreshInterval:(display:Off,pause:!f,section:0,value:0),time:(from:'2017-03-09T04:28:28-0700',mode:absolute,to:'2017-03-09T07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8" s="187" t="str">
        <f t="shared" si="62"/>
        <v>N</v>
      </c>
      <c r="X158" s="187">
        <f t="shared" si="63"/>
        <v>1</v>
      </c>
      <c r="Y158" s="62">
        <f t="shared" si="64"/>
        <v>0.1027</v>
      </c>
      <c r="Z158" s="62">
        <f t="shared" si="65"/>
        <v>5.8994999999999997</v>
      </c>
      <c r="AA158" s="62">
        <f t="shared" si="66"/>
        <v>5.7968000000000002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67"/>
        <v>0801-09</v>
      </c>
      <c r="AE158" s="85" t="str">
        <f t="shared" si="68"/>
        <v>aws s3 cp s3://rtdc.mdm.uploadarchive.raw/RTDC4007/ "%USERPROFILE%\AppData\Local\Temp\OnboardLogs"\RTDC4007\2017-03-09 --exclude "*" --recursive --include "*20170309*" &amp; "%USERPROFILE%\Documents\GitHub\mrs-test-scripts\Headless Mode &amp; Sideloading\WalkAndUnGZ.bat" "%USERPROFILE%\AppData\Local\Temp\OnboardLogs"\RTDC4007\2017-03-09 &amp; aws s3 cp s3://rtdc.mdm.uploadarchive.raw/RTDC4007/ "%USERPROFILE%\AppData\Local\Temp\OnboardLogs"\RTDC4007\2017-03-10 --exclude "*" --recursive --include "*20170310*" &amp; "%USERPROFILE%\Documents\GitHub\mrs-test-scripts\Headless Mode &amp; Sideloading\WalkAndUnGZ.bat" "%USERPROFILE%\AppData\Local\Temp\OnboardLogs"\RTDC4007\2017-03-10</v>
      </c>
      <c r="AF158" s="82" t="str">
        <f t="shared" si="69"/>
        <v>"C:\Program Files (x86)\AstroGrep\AstroGrep.exe" /e /r /s /spath="%USERPROFILE%\AppData\Local\Temp\OnboardLogs" /stypes="app*4007*20170309*" /stext=" 13:.+((SYSTEM_STATE.+slice.+state.+changed )|(ment ac)|(multiple cpu faults)|(system.+state.+changed )|(\[timeout)|(PRM\|1\|D)|(kpr)|(kdp)|(\|lc)|(penalty))"</v>
      </c>
      <c r="AG158" s="1" t="str">
        <f t="shared" si="70"/>
        <v>NW</v>
      </c>
      <c r="AH158" s="86" t="str">
        <f t="shared" si="71"/>
        <v>"%USERPROFILE%\Documents\GitHub\eaglep3\Utilities\RefineRTDCRunTimes.py" --tripid 801-09 --locoid 4007 --swversion DE.1.0.9.0 --startMP 204:1027 --initTime 2017-03-09T05:28:28 --startdatetime 2017-03-09T05:51:18 --delay 0 --endMP 300:58995 --enddatetime 2017-03-09T06:05:38 --enforcementcount 0 &gt;&gt;C:\Users\stu\Documents\GitHub\eaglep3-reporting\EC\2017-03-09-refined-times.txt</v>
      </c>
      <c r="AI158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{"issue":{"subject":"","project_id":79,"tracker_id":40,"status_id":1,"priority_id":2,"assigned_to_id":23,"start_date":"2017-03-09","description":"","custom_fields":[{"id":1,"name":"Subdivision","value":"NW"},{"id":4,"name":"Milepost","value":"5.8995"},{"id":17,"name":"Train ID","value":"801-09"},{"id":16,"name":"Locomotive ID","value":"4007"},{"id":130,"name":"Impact","value":""},{"id":150,"name":"Time of Event (Mountain Time)","value":"06:05:38"},{"id":151,"name":"Denver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73"/>
        <v>start /low /b %USERPROFILE%\Documents\GitHub\eaglep3\Utilities\DownloadLogsFromS3.py --loco 4007 --day 2017-03-09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"%USERPROFILE%\AppData\Local\Temp\OnboardLogs"\RTDC4007\*4007*20170309* | grep -SE "(Enforcement Action)|(\[TIMEOUT)|(CHR.+\|PRM\|1\|D.+(SWITCH|SIGNAL).+UNKNOWN)" - &gt;&gt; 2017-03-09-UncaughtWiMAX.txt</v>
      </c>
    </row>
    <row r="159" spans="1:91" x14ac:dyDescent="0.25">
      <c r="A159" s="33" t="s">
        <v>645</v>
      </c>
      <c r="B159" s="7">
        <v>4008</v>
      </c>
      <c r="C159" s="21" t="s">
        <v>242</v>
      </c>
      <c r="D159" s="21" t="s">
        <v>924</v>
      </c>
      <c r="E159" s="13">
        <v>42803.256111111114</v>
      </c>
      <c r="F159" s="13">
        <v>42803.258125</v>
      </c>
      <c r="G159" s="7">
        <v>1</v>
      </c>
      <c r="H159" s="21" t="s">
        <v>926</v>
      </c>
      <c r="I159" s="13">
        <v>42803.267858796295</v>
      </c>
      <c r="J159" s="7">
        <v>0</v>
      </c>
      <c r="K159" s="98" t="str">
        <f t="shared" si="56"/>
        <v>4007/4008</v>
      </c>
      <c r="L159" s="21" t="str">
        <f>VLOOKUP(A159,'Trips&amp;Operators'!$C$1:$G$99999,5,FALSE)</f>
        <v>SHOOK JOHN</v>
      </c>
      <c r="M159" s="6">
        <f t="shared" si="57"/>
        <v>9.7337962943129241E-3</v>
      </c>
      <c r="N159" s="7">
        <f t="shared" si="58"/>
        <v>14.016666663810611</v>
      </c>
      <c r="O159" s="7"/>
      <c r="P159" s="7"/>
      <c r="Q159" s="22"/>
      <c r="R159" s="22"/>
      <c r="S159" s="31">
        <f t="shared" si="59"/>
        <v>1</v>
      </c>
      <c r="T159" s="46" t="str">
        <f t="shared" si="60"/>
        <v>Southbound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 t="shared" si="61"/>
        <v>https://d0f6bd738d7f1b3e5a7ca70fe4ff75f0.us-east-1.aws.found.io/app/kibana#/discover/Steve-Slow-Train-Analysis-(2080s-and-2083s)?_g=(refreshInterval:(display:Off,pause:!f,section:0,value:0),time:(from:'2017-03-09T05:08:48-0700',mode:absolute,to:'2017-03-09T07:25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9" s="187" t="str">
        <f t="shared" si="62"/>
        <v>N</v>
      </c>
      <c r="X159" s="187">
        <f t="shared" si="63"/>
        <v>1</v>
      </c>
      <c r="Y159" s="62">
        <f t="shared" si="64"/>
        <v>5.8678999999999997</v>
      </c>
      <c r="Z159" s="62">
        <f t="shared" si="65"/>
        <v>7.4800000000000005E-2</v>
      </c>
      <c r="AA159" s="62">
        <f t="shared" si="66"/>
        <v>5.7930999999999999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67"/>
        <v>0802-09</v>
      </c>
      <c r="AE159" s="85" t="str">
        <f t="shared" si="68"/>
        <v>aws s3 cp s3://rtdc.mdm.uploadarchive.raw/RTDC4008/ "%USERPROFILE%\AppData\Local\Temp\OnboardLogs"\RTDC4008\2017-03-09 --exclude "*" --recursive --include "*20170309*" &amp; "%USERPROFILE%\Documents\GitHub\mrs-test-scripts\Headless Mode &amp; Sideloading\WalkAndUnGZ.bat" "%USERPROFILE%\AppData\Local\Temp\OnboardLogs"\RTDC4008\2017-03-09 &amp; aws s3 cp s3://rtdc.mdm.uploadarchive.raw/RTDC4008/ "%USERPROFILE%\AppData\Local\Temp\OnboardLogs"\RTDC4008\2017-03-10 --exclude "*" --recursive --include "*20170310*" &amp; "%USERPROFILE%\Documents\GitHub\mrs-test-scripts\Headless Mode &amp; Sideloading\WalkAndUnGZ.bat" "%USERPROFILE%\AppData\Local\Temp\OnboardLogs"\RTDC4008\2017-03-10</v>
      </c>
      <c r="AF159" s="82" t="str">
        <f t="shared" si="69"/>
        <v>"C:\Program Files (x86)\AstroGrep\AstroGrep.exe" /e /r /s /spath="%USERPROFILE%\AppData\Local\Temp\OnboardLogs" /stypes="app*4008*20170309*" /stext=" 13:.+((SYSTEM_STATE.+slice.+state.+changed )|(ment ac)|(multiple cpu faults)|(system.+state.+changed )|(\[timeout)|(PRM\|1\|D)|(kpr)|(kdp)|(\|lc)|(penalty))"</v>
      </c>
      <c r="AG159" s="1" t="str">
        <f t="shared" si="70"/>
        <v>NW</v>
      </c>
      <c r="AH159" s="86" t="str">
        <f t="shared" si="71"/>
        <v>"%USERPROFILE%\Documents\GitHub\eaglep3\Utilities\RefineRTDCRunTimes.py" --tripid 802-09 --locoid 4008 --swversion DE.1.0.9.0 --startMP 300:58679 --initTime 2017-03-09T06:08:48 --startdatetime 2017-03-09T06:11:42 --delay 1 --endMP 204:748 --enddatetime 2017-03-09T06:25:43 --enforcementcount 0 &gt;&gt;C:\Users\stu\Documents\GitHub\eaglep3-reporting\EC\2017-03-09-refined-times.txt</v>
      </c>
      <c r="AI159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{"issue":{"subject":"","project_id":79,"tracker_id":40,"status_id":1,"priority_id":2,"assigned_to_id":23,"start_date":"2017-03-09","description":"","custom_fields":[{"id":1,"name":"Subdivision","value":"NW"},{"id":4,"name":"Milepost","value":"0.0748"},{"id":17,"name":"Train ID","value":"802-09"},{"id":16,"name":"Locomotive ID","value":"4008"},{"id":130,"name":"Impact","value":""},{"id":150,"name":"Time of Event (Mountain Time)","value":"06:25:43"},{"id":151,"name":"Denver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73"/>
        <v>start /low /b %USERPROFILE%\Documents\GitHub\eaglep3\Utilities\DownloadLogsFromS3.py --loco 4008 --day 2017-03-09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"%USERPROFILE%\AppData\Local\Temp\OnboardLogs"\RTDC4008\*4008*20170309* | grep -SE "(Enforcement Action)|(\[TIMEOUT)|(CHR.+\|PRM\|1\|D.+(SWITCH|SIGNAL).+UNKNOWN)" - &gt;&gt; 2017-03-09-UncaughtWiMAX.txt</v>
      </c>
    </row>
    <row r="160" spans="1:91" x14ac:dyDescent="0.25">
      <c r="A160" s="33" t="s">
        <v>646</v>
      </c>
      <c r="B160" s="7">
        <v>4011</v>
      </c>
      <c r="C160" s="21" t="s">
        <v>242</v>
      </c>
      <c r="D160" s="21" t="s">
        <v>927</v>
      </c>
      <c r="E160" s="13">
        <v>42803.264050925929</v>
      </c>
      <c r="F160" s="13">
        <v>42803.265393518515</v>
      </c>
      <c r="G160" s="7">
        <v>1</v>
      </c>
      <c r="H160" s="21" t="s">
        <v>439</v>
      </c>
      <c r="I160" s="13">
        <v>42803.274305555555</v>
      </c>
      <c r="J160" s="7">
        <v>0</v>
      </c>
      <c r="K160" s="98" t="str">
        <f t="shared" si="56"/>
        <v>4011/4012</v>
      </c>
      <c r="L160" s="21" t="str">
        <f>VLOOKUP(A160,'Trips&amp;Operators'!$C$1:$G$99999,5,FALSE)</f>
        <v>LOZA FIDEL</v>
      </c>
      <c r="M160" s="6">
        <f t="shared" si="57"/>
        <v>8.9120370394084603E-3</v>
      </c>
      <c r="N160" s="7">
        <f t="shared" si="58"/>
        <v>12.833333336748183</v>
      </c>
      <c r="O160" s="7"/>
      <c r="P160" s="7"/>
      <c r="Q160" s="22"/>
      <c r="R160" s="22"/>
      <c r="S160" s="31">
        <f t="shared" si="59"/>
        <v>1</v>
      </c>
      <c r="T160" s="46" t="str">
        <f t="shared" si="60"/>
        <v>NorthBound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61"/>
        <v>https://d0f6bd738d7f1b3e5a7ca70fe4ff75f0.us-east-1.aws.found.io/app/kibana#/discover/Steve-Slow-Train-Analysis-(2080s-and-2083s)?_g=(refreshInterval:(display:Off,pause:!f,section:0,value:0),time:(from:'2017-03-09T05:20:14-0700',mode:absolute,to:'2017-03-09T07:35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0" s="187" t="str">
        <f t="shared" si="62"/>
        <v>N</v>
      </c>
      <c r="X160" s="187">
        <f t="shared" si="63"/>
        <v>1</v>
      </c>
      <c r="Y160" s="62">
        <f t="shared" si="64"/>
        <v>9.7600000000000006E-2</v>
      </c>
      <c r="Z160" s="62">
        <f t="shared" si="65"/>
        <v>5.8954000000000004</v>
      </c>
      <c r="AA160" s="62">
        <f t="shared" si="66"/>
        <v>5.7978000000000005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67"/>
        <v>0803-09</v>
      </c>
      <c r="AE160" s="85" t="str">
        <f t="shared" si="68"/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60" s="82" t="str">
        <f t="shared" si="69"/>
        <v>"C:\Program Files (x86)\AstroGrep\AstroGrep.exe" /e /r /s /spath="%USERPROFILE%\AppData\Local\Temp\OnboardLogs" /stypes="app*4011*20170309*" /stext=" 13:.+((SYSTEM_STATE.+slice.+state.+changed )|(ment ac)|(multiple cpu faults)|(system.+state.+changed )|(\[timeout)|(PRM\|1\|D)|(kpr)|(kdp)|(\|lc)|(penalty))"</v>
      </c>
      <c r="AG160" s="1" t="str">
        <f t="shared" si="70"/>
        <v>NW</v>
      </c>
      <c r="AH160" s="86" t="str">
        <f t="shared" si="71"/>
        <v>"%USERPROFILE%\Documents\GitHub\eaglep3\Utilities\RefineRTDCRunTimes.py" --tripid 803-09 --locoid 4011 --swversion DE.1.0.9.0 --startMP 204:976 --initTime 2017-03-09T06:20:14 --startdatetime 2017-03-09T06:22:10 --delay 1 --endMP 300:58954 --enddatetime 2017-03-09T06:35:00 --enforcementcount 0 &gt;&gt;C:\Users\stu\Documents\GitHub\eaglep3-reporting\EC\2017-03-09-refined-times.txt</v>
      </c>
      <c r="AI160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{"issue":{"subject":"","project_id":79,"tracker_id":40,"status_id":1,"priority_id":2,"assigned_to_id":23,"start_date":"2017-03-09","description":"","custom_fields":[{"id":1,"name":"Subdivision","value":"NW"},{"id":4,"name":"Milepost","value":"5.8954"},{"id":17,"name":"Train ID","value":"803-09"},{"id":16,"name":"Locomotive ID","value":"4011"},{"id":130,"name":"Impact","value":""},{"id":150,"name":"Time of Event (Mountain Time)","value":"06:35:00"},{"id":151,"name":"Denver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73"/>
        <v>start /low /b %USERPROFILE%\Documents\GitHub\eaglep3\Utilities\DownloadLogsFromS3.py --loco 4011 --day 2017-03-09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"%USERPROFILE%\AppData\Local\Temp\OnboardLogs"\RTDC4011\*4011*20170309* | grep -SE "(Enforcement Action)|(\[TIMEOUT)|(CHR.+\|PRM\|1\|D.+(SWITCH|SIGNAL).+UNKNOWN)" - &gt;&gt; 2017-03-09-UncaughtWiMAX.txt</v>
      </c>
    </row>
    <row r="161" spans="1:91" x14ac:dyDescent="0.25">
      <c r="A161" s="33" t="s">
        <v>650</v>
      </c>
      <c r="B161" s="7">
        <v>4012</v>
      </c>
      <c r="C161" s="21" t="s">
        <v>242</v>
      </c>
      <c r="D161" s="21" t="s">
        <v>928</v>
      </c>
      <c r="E161" s="13">
        <v>42803.275613425925</v>
      </c>
      <c r="F161" s="13">
        <v>42803.277465277781</v>
      </c>
      <c r="G161" s="7">
        <v>1</v>
      </c>
      <c r="H161" s="21" t="s">
        <v>929</v>
      </c>
      <c r="I161" s="13">
        <v>42803.289189814815</v>
      </c>
      <c r="J161" s="7">
        <v>0</v>
      </c>
      <c r="K161" s="98" t="str">
        <f t="shared" si="56"/>
        <v>4011/4012</v>
      </c>
      <c r="L161" s="21" t="str">
        <f>VLOOKUP(A161,'Trips&amp;Operators'!$C$1:$G$99999,5,FALSE)</f>
        <v>LOZA FIDEL</v>
      </c>
      <c r="M161" s="6">
        <f t="shared" si="57"/>
        <v>1.1724537034751847E-2</v>
      </c>
      <c r="N161" s="7">
        <f t="shared" si="58"/>
        <v>16.88333333004266</v>
      </c>
      <c r="O161" s="7"/>
      <c r="P161" s="7"/>
      <c r="Q161" s="22"/>
      <c r="R161" s="22"/>
      <c r="S161" s="31">
        <f t="shared" si="59"/>
        <v>1</v>
      </c>
      <c r="T161" s="46" t="str">
        <f t="shared" si="60"/>
        <v>Southbound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61"/>
        <v>https://d0f6bd738d7f1b3e5a7ca70fe4ff75f0.us-east-1.aws.found.io/app/kibana#/discover/Steve-Slow-Train-Analysis-(2080s-and-2083s)?_g=(refreshInterval:(display:Off,pause:!f,section:0,value:0),time:(from:'2017-03-09T05:36:53-0700',mode:absolute,to:'2017-03-09T07:56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1" s="187" t="str">
        <f t="shared" si="62"/>
        <v>N</v>
      </c>
      <c r="X161" s="187">
        <f t="shared" si="63"/>
        <v>1</v>
      </c>
      <c r="Y161" s="62">
        <f t="shared" si="64"/>
        <v>5.8640999999999996</v>
      </c>
      <c r="Z161" s="62">
        <f t="shared" si="65"/>
        <v>6.7299999999999999E-2</v>
      </c>
      <c r="AA161" s="62">
        <f t="shared" si="66"/>
        <v>5.7967999999999993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67"/>
        <v>0804-09</v>
      </c>
      <c r="AE161" s="85" t="str">
        <f t="shared" si="68"/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61" s="82" t="str">
        <f t="shared" si="69"/>
        <v>"C:\Program Files (x86)\AstroGrep\AstroGrep.exe" /e /r /s /spath="%USERPROFILE%\AppData\Local\Temp\OnboardLogs" /stypes="app*4012*20170309*" /stext=" 13:.+((SYSTEM_STATE.+slice.+state.+changed )|(ment ac)|(multiple cpu faults)|(system.+state.+changed )|(\[timeout)|(PRM\|1\|D)|(kpr)|(kdp)|(\|lc)|(penalty))"</v>
      </c>
      <c r="AG161" s="1" t="str">
        <f t="shared" si="70"/>
        <v>NW</v>
      </c>
      <c r="AH161" s="86" t="str">
        <f t="shared" si="71"/>
        <v>"%USERPROFILE%\Documents\GitHub\eaglep3\Utilities\RefineRTDCRunTimes.py" --tripid 804-09 --locoid 4012 --swversion DE.1.0.9.0 --startMP 300:58641 --initTime 2017-03-09T06:36:53 --startdatetime 2017-03-09T06:39:33 --delay 1 --endMP 204:673 --enddatetime 2017-03-09T06:56:26 --enforcementcount 0 &gt;&gt;C:\Users\stu\Documents\GitHub\eaglep3-reporting\EC\2017-03-09-refined-times.txt</v>
      </c>
      <c r="AI161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{"issue":{"subject":"","project_id":79,"tracker_id":40,"status_id":1,"priority_id":2,"assigned_to_id":23,"start_date":"2017-03-09","description":"","custom_fields":[{"id":1,"name":"Subdivision","value":"NW"},{"id":4,"name":"Milepost","value":"0.0673"},{"id":17,"name":"Train ID","value":"804-09"},{"id":16,"name":"Locomotive ID","value":"4012"},{"id":130,"name":"Impact","value":""},{"id":150,"name":"Time of Event (Mountain Time)","value":"06:56:26"},{"id":151,"name":"Denver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73"/>
        <v>start /low /b %USERPROFILE%\Documents\GitHub\eaglep3\Utilities\DownloadLogsFromS3.py --loco 4012 --day 2017-03-09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"%USERPROFILE%\AppData\Local\Temp\OnboardLogs"\RTDC4012\*4012*20170309* | grep -SE "(Enforcement Action)|(\[TIMEOUT)|(CHR.+\|PRM\|1\|D.+(SWITCH|SIGNAL).+UNKNOWN)" - &gt;&gt; 2017-03-09-UncaughtWiMAX.txt</v>
      </c>
    </row>
    <row r="162" spans="1:91" x14ac:dyDescent="0.25">
      <c r="A162" s="33" t="s">
        <v>648</v>
      </c>
      <c r="B162" s="7">
        <v>4007</v>
      </c>
      <c r="C162" s="21" t="s">
        <v>242</v>
      </c>
      <c r="D162" s="21" t="s">
        <v>910</v>
      </c>
      <c r="E162" s="13">
        <v>42803.269594907404</v>
      </c>
      <c r="F162" s="13">
        <v>42803.285590277781</v>
      </c>
      <c r="G162" s="7">
        <v>1</v>
      </c>
      <c r="H162" s="21" t="s">
        <v>930</v>
      </c>
      <c r="I162" s="13">
        <v>42803.294999999998</v>
      </c>
      <c r="J162" s="7">
        <v>0</v>
      </c>
      <c r="K162" s="98" t="str">
        <f t="shared" si="56"/>
        <v>4007/4008</v>
      </c>
      <c r="L162" s="21" t="str">
        <f>VLOOKUP(A162,'Trips&amp;Operators'!$C$1:$G$99999,5,FALSE)</f>
        <v>SHOOK JOHN</v>
      </c>
      <c r="M162" s="6">
        <f t="shared" si="57"/>
        <v>9.4097222172422335E-3</v>
      </c>
      <c r="N162" s="7">
        <f t="shared" si="58"/>
        <v>13.549999992828816</v>
      </c>
      <c r="O162" s="7"/>
      <c r="P162" s="7"/>
      <c r="Q162" s="22"/>
      <c r="R162" s="22"/>
      <c r="S162" s="31">
        <f t="shared" si="59"/>
        <v>1</v>
      </c>
      <c r="T162" s="46" t="str">
        <f t="shared" si="60"/>
        <v>NorthBound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61"/>
        <v>https://d0f6bd738d7f1b3e5a7ca70fe4ff75f0.us-east-1.aws.found.io/app/kibana#/discover/Steve-Slow-Train-Analysis-(2080s-and-2083s)?_g=(refreshInterval:(display:Off,pause:!f,section:0,value:0),time:(from:'2017-03-09T05:28:13-0700',mode:absolute,to:'2017-03-09T08:04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2" s="187" t="str">
        <f t="shared" si="62"/>
        <v>N</v>
      </c>
      <c r="X162" s="187">
        <f t="shared" si="63"/>
        <v>1</v>
      </c>
      <c r="Y162" s="62">
        <f t="shared" si="64"/>
        <v>0.1021</v>
      </c>
      <c r="Z162" s="62">
        <f t="shared" si="65"/>
        <v>5.8992000000000004</v>
      </c>
      <c r="AA162" s="62">
        <f t="shared" si="66"/>
        <v>5.7971000000000004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67"/>
        <v>0805-09</v>
      </c>
      <c r="AE162" s="85" t="str">
        <f t="shared" si="68"/>
        <v>aws s3 cp s3://rtdc.mdm.uploadarchive.raw/RTDC4007/ "%USERPROFILE%\AppData\Local\Temp\OnboardLogs"\RTDC4007\2017-03-09 --exclude "*" --recursive --include "*20170309*" &amp; "%USERPROFILE%\Documents\GitHub\mrs-test-scripts\Headless Mode &amp; Sideloading\WalkAndUnGZ.bat" "%USERPROFILE%\AppData\Local\Temp\OnboardLogs"\RTDC4007\2017-03-09 &amp; aws s3 cp s3://rtdc.mdm.uploadarchive.raw/RTDC4007/ "%USERPROFILE%\AppData\Local\Temp\OnboardLogs"\RTDC4007\2017-03-10 --exclude "*" --recursive --include "*20170310*" &amp; "%USERPROFILE%\Documents\GitHub\mrs-test-scripts\Headless Mode &amp; Sideloading\WalkAndUnGZ.bat" "%USERPROFILE%\AppData\Local\Temp\OnboardLogs"\RTDC4007\2017-03-10</v>
      </c>
      <c r="AF162" s="82" t="str">
        <f t="shared" si="69"/>
        <v>"C:\Program Files (x86)\AstroGrep\AstroGrep.exe" /e /r /s /spath="%USERPROFILE%\AppData\Local\Temp\OnboardLogs" /stypes="app*4007*20170309*" /stext=" 14:.+((SYSTEM_STATE.+slice.+state.+changed )|(ment ac)|(multiple cpu faults)|(system.+state.+changed )|(\[timeout)|(PRM\|1\|D)|(kpr)|(kdp)|(\|lc)|(penalty))"</v>
      </c>
      <c r="AG162" s="1" t="str">
        <f t="shared" si="70"/>
        <v>NW</v>
      </c>
      <c r="AH162" s="86" t="str">
        <f t="shared" si="71"/>
        <v>"%USERPROFILE%\Documents\GitHub\eaglep3\Utilities\RefineRTDCRunTimes.py" --tripid 805-09 --locoid 4007 --swversion DE.1.0.9.0 --startMP 204:1021 --initTime 2017-03-09T06:28:13 --startdatetime 2017-03-09T06:51:15 --delay 1 --endMP 300:58992 --enddatetime 2017-03-09T07:04:48 --enforcementcount 0 &gt;&gt;C:\Users\stu\Documents\GitHub\eaglep3-reporting\EC\2017-03-09-refined-times.txt</v>
      </c>
      <c r="AI162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{"issue":{"subject":"","project_id":79,"tracker_id":40,"status_id":1,"priority_id":2,"assigned_to_id":23,"start_date":"2017-03-09","description":"","custom_fields":[{"id":1,"name":"Subdivision","value":"NW"},{"id":4,"name":"Milepost","value":"5.8992"},{"id":17,"name":"Train ID","value":"805-09"},{"id":16,"name":"Locomotive ID","value":"4007"},{"id":130,"name":"Impact","value":""},{"id":150,"name":"Time of Event (Mountain Time)","value":"07:04:48"},{"id":151,"name":"Denver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73"/>
        <v>start /low /b %USERPROFILE%\Documents\GitHub\eaglep3\Utilities\DownloadLogsFromS3.py --loco 4007 --day 2017-03-09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"%USERPROFILE%\AppData\Local\Temp\OnboardLogs"\RTDC4007\*4007*20170309* | grep -SE "(Enforcement Action)|(\[TIMEOUT)|(CHR.+\|PRM\|1\|D.+(SWITCH|SIGNAL).+UNKNOWN)" - &gt;&gt; 2017-03-09-UncaughtWiMAX.txt</v>
      </c>
    </row>
    <row r="163" spans="1:91" x14ac:dyDescent="0.25">
      <c r="A163" s="33" t="s">
        <v>655</v>
      </c>
      <c r="B163" s="7">
        <v>4008</v>
      </c>
      <c r="C163" s="21" t="s">
        <v>242</v>
      </c>
      <c r="D163" s="21" t="s">
        <v>924</v>
      </c>
      <c r="E163" s="13">
        <v>42803.2965625</v>
      </c>
      <c r="F163" s="13">
        <v>42803.299270833333</v>
      </c>
      <c r="G163" s="7">
        <v>1</v>
      </c>
      <c r="H163" s="21" t="s">
        <v>931</v>
      </c>
      <c r="I163" s="13">
        <v>42803.309398148151</v>
      </c>
      <c r="J163" s="7">
        <v>0</v>
      </c>
      <c r="K163" s="98" t="str">
        <f t="shared" si="56"/>
        <v>4007/4008</v>
      </c>
      <c r="L163" s="21" t="str">
        <f>VLOOKUP(A163,'Trips&amp;Operators'!$C$1:$G$99999,5,FALSE)</f>
        <v>SHOOK JOHN</v>
      </c>
      <c r="M163" s="6">
        <f t="shared" si="57"/>
        <v>1.0127314817509614E-2</v>
      </c>
      <c r="N163" s="7">
        <f t="shared" si="58"/>
        <v>14.583333337213844</v>
      </c>
      <c r="O163" s="7"/>
      <c r="P163" s="7"/>
      <c r="Q163" s="22"/>
      <c r="R163" s="22"/>
      <c r="S163" s="31">
        <f t="shared" si="59"/>
        <v>1</v>
      </c>
      <c r="T163" s="46" t="str">
        <f t="shared" si="60"/>
        <v>Southbound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61"/>
        <v>https://d0f6bd738d7f1b3e5a7ca70fe4ff75f0.us-east-1.aws.found.io/app/kibana#/discover/Steve-Slow-Train-Analysis-(2080s-and-2083s)?_g=(refreshInterval:(display:Off,pause:!f,section:0,value:0),time:(from:'2017-03-09T06:07:03-0700',mode:absolute,to:'2017-03-09T08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3" s="187" t="str">
        <f t="shared" si="62"/>
        <v>N</v>
      </c>
      <c r="X163" s="187">
        <f t="shared" si="63"/>
        <v>1</v>
      </c>
      <c r="Y163" s="62">
        <f t="shared" si="64"/>
        <v>5.8678999999999997</v>
      </c>
      <c r="Z163" s="62">
        <f t="shared" si="65"/>
        <v>7.3099999999999998E-2</v>
      </c>
      <c r="AA163" s="62">
        <f t="shared" si="66"/>
        <v>5.7947999999999995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67"/>
        <v>0806-09</v>
      </c>
      <c r="AE163" s="85" t="str">
        <f t="shared" si="68"/>
        <v>aws s3 cp s3://rtdc.mdm.uploadarchive.raw/RTDC4008/ "%USERPROFILE%\AppData\Local\Temp\OnboardLogs"\RTDC4008\2017-03-09 --exclude "*" --recursive --include "*20170309*" &amp; "%USERPROFILE%\Documents\GitHub\mrs-test-scripts\Headless Mode &amp; Sideloading\WalkAndUnGZ.bat" "%USERPROFILE%\AppData\Local\Temp\OnboardLogs"\RTDC4008\2017-03-09 &amp; aws s3 cp s3://rtdc.mdm.uploadarchive.raw/RTDC4008/ "%USERPROFILE%\AppData\Local\Temp\OnboardLogs"\RTDC4008\2017-03-10 --exclude "*" --recursive --include "*20170310*" &amp; "%USERPROFILE%\Documents\GitHub\mrs-test-scripts\Headless Mode &amp; Sideloading\WalkAndUnGZ.bat" "%USERPROFILE%\AppData\Local\Temp\OnboardLogs"\RTDC4008\2017-03-10</v>
      </c>
      <c r="AF163" s="82" t="str">
        <f t="shared" si="69"/>
        <v>"C:\Program Files (x86)\AstroGrep\AstroGrep.exe" /e /r /s /spath="%USERPROFILE%\AppData\Local\Temp\OnboardLogs" /stypes="app*4008*20170309*" /stext=" 14:.+((SYSTEM_STATE.+slice.+state.+changed )|(ment ac)|(multiple cpu faults)|(system.+state.+changed )|(\[timeout)|(PRM\|1\|D)|(kpr)|(kdp)|(\|lc)|(penalty))"</v>
      </c>
      <c r="AG163" s="1" t="str">
        <f t="shared" si="70"/>
        <v>NW</v>
      </c>
      <c r="AH163" s="86" t="str">
        <f t="shared" si="71"/>
        <v>"%USERPROFILE%\Documents\GitHub\eaglep3\Utilities\RefineRTDCRunTimes.py" --tripid 806-09 --locoid 4008 --swversion DE.1.0.9.0 --startMP 300:58679 --initTime 2017-03-09T07:07:03 --startdatetime 2017-03-09T07:10:57 --delay 1 --endMP 204:731 --enddatetime 2017-03-09T07:25:32 --enforcementcount 0 &gt;&gt;C:\Users\stu\Documents\GitHub\eaglep3-reporting\EC\2017-03-09-refined-times.txt</v>
      </c>
      <c r="AI163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{"issue":{"subject":"","project_id":79,"tracker_id":40,"status_id":1,"priority_id":2,"assigned_to_id":23,"start_date":"2017-03-09","description":"","custom_fields":[{"id":1,"name":"Subdivision","value":"NW"},{"id":4,"name":"Milepost","value":"0.0731"},{"id":17,"name":"Train ID","value":"806-09"},{"id":16,"name":"Locomotive ID","value":"4008"},{"id":130,"name":"Impact","value":""},{"id":150,"name":"Time of Event (Mountain Time)","value":"07:25:32"},{"id":151,"name":"Denver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73"/>
        <v>start /low /b %USERPROFILE%\Documents\GitHub\eaglep3\Utilities\DownloadLogsFromS3.py --loco 4008 --day 2017-03-09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"%USERPROFILE%\AppData\Local\Temp\OnboardLogs"\RTDC4008\*4008*20170309* | grep -SE "(Enforcement Action)|(\[TIMEOUT)|(CHR.+\|PRM\|1\|D.+(SWITCH|SIGNAL).+UNKNOWN)" - &gt;&gt; 2017-03-09-UncaughtWiMAX.txt</v>
      </c>
    </row>
    <row r="164" spans="1:91" x14ac:dyDescent="0.25">
      <c r="A164" s="33" t="s">
        <v>657</v>
      </c>
      <c r="B164" s="7">
        <v>4011</v>
      </c>
      <c r="C164" s="21" t="s">
        <v>242</v>
      </c>
      <c r="D164" s="21" t="s">
        <v>932</v>
      </c>
      <c r="E164" s="13">
        <v>42803.304039351853</v>
      </c>
      <c r="F164" s="13">
        <v>42803.306481481479</v>
      </c>
      <c r="G164" s="7">
        <v>1</v>
      </c>
      <c r="H164" s="21" t="s">
        <v>473</v>
      </c>
      <c r="I164" s="13">
        <v>42803.315601851849</v>
      </c>
      <c r="J164" s="7">
        <v>0</v>
      </c>
      <c r="K164" s="98" t="str">
        <f t="shared" si="56"/>
        <v>4011/4012</v>
      </c>
      <c r="L164" s="21" t="str">
        <f>VLOOKUP(A164,'Trips&amp;Operators'!$C$1:$G$99999,5,FALSE)</f>
        <v>LOZA FIDEL</v>
      </c>
      <c r="M164" s="6">
        <f t="shared" si="57"/>
        <v>9.1203703705104999E-3</v>
      </c>
      <c r="N164" s="7">
        <f t="shared" si="58"/>
        <v>13.13333333353512</v>
      </c>
      <c r="O164" s="7"/>
      <c r="P164" s="7"/>
      <c r="Q164" s="22"/>
      <c r="R164" s="22"/>
      <c r="S164" s="31">
        <f t="shared" si="59"/>
        <v>1</v>
      </c>
      <c r="T164" s="46" t="str">
        <f t="shared" si="60"/>
        <v>NorthBound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61"/>
        <v>https://d0f6bd738d7f1b3e5a7ca70fe4ff75f0.us-east-1.aws.found.io/app/kibana#/discover/Steve-Slow-Train-Analysis-(2080s-and-2083s)?_g=(refreshInterval:(display:Off,pause:!f,section:0,value:0),time:(from:'2017-03-09T06:17:49-0700',mode:absolute,to:'2017-03-09T08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4" s="187" t="str">
        <f t="shared" si="62"/>
        <v>N</v>
      </c>
      <c r="X164" s="187">
        <f t="shared" si="63"/>
        <v>1</v>
      </c>
      <c r="Y164" s="62">
        <f t="shared" si="64"/>
        <v>9.8299999999999998E-2</v>
      </c>
      <c r="Z164" s="62">
        <f t="shared" si="65"/>
        <v>5.8949999999999996</v>
      </c>
      <c r="AA164" s="62">
        <f t="shared" si="66"/>
        <v>5.7966999999999995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67"/>
        <v>0807-09</v>
      </c>
      <c r="AE164" s="85" t="str">
        <f t="shared" si="68"/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64" s="82" t="str">
        <f t="shared" si="69"/>
        <v>"C:\Program Files (x86)\AstroGrep\AstroGrep.exe" /e /r /s /spath="%USERPROFILE%\AppData\Local\Temp\OnboardLogs" /stypes="app*4011*20170309*" /stext=" 14:.+((SYSTEM_STATE.+slice.+state.+changed )|(ment ac)|(multiple cpu faults)|(system.+state.+changed )|(\[timeout)|(PRM\|1\|D)|(kpr)|(kdp)|(\|lc)|(penalty))"</v>
      </c>
      <c r="AG164" s="1" t="str">
        <f t="shared" si="70"/>
        <v>NW</v>
      </c>
      <c r="AH164" s="86" t="str">
        <f t="shared" si="71"/>
        <v>"%USERPROFILE%\Documents\GitHub\eaglep3\Utilities\RefineRTDCRunTimes.py" --tripid 807-09 --locoid 4011 --swversion DE.1.0.9.0 --startMP 204:983 --initTime 2017-03-09T07:17:49 --startdatetime 2017-03-09T07:21:20 --delay 1 --endMP 300:58950 --enddatetime 2017-03-09T07:34:28 --enforcementcount 0 &gt;&gt;C:\Users\stu\Documents\GitHub\eaglep3-reporting\EC\2017-03-09-refined-times.txt</v>
      </c>
      <c r="AI164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{"issue":{"subject":"","project_id":79,"tracker_id":40,"status_id":1,"priority_id":2,"assigned_to_id":23,"start_date":"2017-03-09","description":"","custom_fields":[{"id":1,"name":"Subdivision","value":"NW"},{"id":4,"name":"Milepost","value":"5.895"},{"id":17,"name":"Train ID","value":"807-09"},{"id":16,"name":"Locomotive ID","value":"4011"},{"id":130,"name":"Impact","value":""},{"id":150,"name":"Time of Event (Mountain Time)","value":"07:34:28"},{"id":151,"name":"Denver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73"/>
        <v>start /low /b %USERPROFILE%\Documents\GitHub\eaglep3\Utilities\DownloadLogsFromS3.py --loco 4011 --day 2017-03-09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"%USERPROFILE%\AppData\Local\Temp\OnboardLogs"\RTDC4011\*4011*20170309* | grep -SE "(Enforcement Action)|(\[TIMEOUT)|(CHR.+\|PRM\|1\|D.+(SWITCH|SIGNAL).+UNKNOWN)" - &gt;&gt; 2017-03-09-UncaughtWiMAX.txt</v>
      </c>
    </row>
    <row r="165" spans="1:91" x14ac:dyDescent="0.25">
      <c r="A165" s="33" t="s">
        <v>662</v>
      </c>
      <c r="B165" s="7">
        <v>4012</v>
      </c>
      <c r="C165" s="21" t="s">
        <v>242</v>
      </c>
      <c r="D165" s="21" t="s">
        <v>933</v>
      </c>
      <c r="E165" s="13">
        <v>42803.317199074074</v>
      </c>
      <c r="F165" s="13">
        <v>42803.318807870368</v>
      </c>
      <c r="G165" s="7">
        <v>1</v>
      </c>
      <c r="H165" s="21" t="s">
        <v>471</v>
      </c>
      <c r="I165" s="13">
        <v>42803.329687500001</v>
      </c>
      <c r="J165" s="7">
        <v>0</v>
      </c>
      <c r="K165" s="98" t="str">
        <f t="shared" si="56"/>
        <v>4011/4012</v>
      </c>
      <c r="L165" s="21" t="str">
        <f>VLOOKUP(A165,'Trips&amp;Operators'!$C$1:$G$99999,5,FALSE)</f>
        <v>LOZA FIDEL</v>
      </c>
      <c r="M165" s="6">
        <f t="shared" si="57"/>
        <v>1.0879629633564036E-2</v>
      </c>
      <c r="N165" s="7">
        <f t="shared" si="58"/>
        <v>15.666666672332212</v>
      </c>
      <c r="O165" s="7"/>
      <c r="P165" s="7"/>
      <c r="Q165" s="22"/>
      <c r="R165" s="22"/>
      <c r="S165" s="31">
        <f t="shared" si="59"/>
        <v>1</v>
      </c>
      <c r="T165" s="46" t="str">
        <f t="shared" si="60"/>
        <v>Southbound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61"/>
        <v>https://d0f6bd738d7f1b3e5a7ca70fe4ff75f0.us-east-1.aws.found.io/app/kibana#/discover/Steve-Slow-Train-Analysis-(2080s-and-2083s)?_g=(refreshInterval:(display:Off,pause:!f,section:0,value:0),time:(from:'2017-03-09T06:36:46-0700',mode:absolute,to:'2017-03-09T08:54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5" s="187" t="str">
        <f t="shared" si="62"/>
        <v>N</v>
      </c>
      <c r="X165" s="187">
        <f t="shared" si="63"/>
        <v>1</v>
      </c>
      <c r="Y165" s="62">
        <f t="shared" si="64"/>
        <v>5.8638000000000003</v>
      </c>
      <c r="Z165" s="62">
        <f t="shared" si="65"/>
        <v>6.8199999999999997E-2</v>
      </c>
      <c r="AA165" s="62">
        <f t="shared" si="66"/>
        <v>5.7956000000000003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67"/>
        <v>0808-09</v>
      </c>
      <c r="AE165" s="85" t="str">
        <f t="shared" si="68"/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65" s="82" t="str">
        <f t="shared" si="69"/>
        <v>"C:\Program Files (x86)\AstroGrep\AstroGrep.exe" /e /r /s /spath="%USERPROFILE%\AppData\Local\Temp\OnboardLogs" /stypes="app*4012*20170309*" /stext=" 14:.+((SYSTEM_STATE.+slice.+state.+changed )|(ment ac)|(multiple cpu faults)|(system.+state.+changed )|(\[timeout)|(PRM\|1\|D)|(kpr)|(kdp)|(\|lc)|(penalty))"</v>
      </c>
      <c r="AG165" s="1" t="str">
        <f t="shared" si="70"/>
        <v>NW</v>
      </c>
      <c r="AH165" s="86" t="str">
        <f t="shared" si="71"/>
        <v>"%USERPROFILE%\Documents\GitHub\eaglep3\Utilities\RefineRTDCRunTimes.py" --tripid 808-09 --locoid 4012 --swversion DE.1.0.9.0 --startMP 300:58638 --initTime 2017-03-09T07:36:46 --startdatetime 2017-03-09T07:39:05 --delay 1 --endMP 204:682 --enddatetime 2017-03-09T07:54:45 --enforcementcount 0 &gt;&gt;C:\Users\stu\Documents\GitHub\eaglep3-reporting\EC\2017-03-09-refined-times.txt</v>
      </c>
      <c r="AI165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{"issue":{"subject":"","project_id":79,"tracker_id":40,"status_id":1,"priority_id":2,"assigned_to_id":23,"start_date":"2017-03-09","description":"","custom_fields":[{"id":1,"name":"Subdivision","value":"NW"},{"id":4,"name":"Milepost","value":"0.0682"},{"id":17,"name":"Train ID","value":"808-09"},{"id":16,"name":"Locomotive ID","value":"4012"},{"id":130,"name":"Impact","value":""},{"id":150,"name":"Time of Event (Mountain Time)","value":"07:54:45"},{"id":151,"name":"Denver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73"/>
        <v>start /low /b %USERPROFILE%\Documents\GitHub\eaglep3\Utilities\DownloadLogsFromS3.py --loco 4012 --day 2017-03-09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"%USERPROFILE%\AppData\Local\Temp\OnboardLogs"\RTDC4012\*4012*20170309* | grep -SE "(Enforcement Action)|(\[TIMEOUT)|(CHR.+\|PRM\|1\|D.+(SWITCH|SIGNAL).+UNKNOWN)" - &gt;&gt; 2017-03-09-UncaughtWiMAX.txt</v>
      </c>
    </row>
    <row r="166" spans="1:91" s="20" customFormat="1" x14ac:dyDescent="0.25">
      <c r="A166" s="33" t="s">
        <v>661</v>
      </c>
      <c r="B166" s="7">
        <v>4007</v>
      </c>
      <c r="C166" s="21" t="s">
        <v>242</v>
      </c>
      <c r="D166" s="21" t="s">
        <v>934</v>
      </c>
      <c r="E166" s="13">
        <v>42803.310972222222</v>
      </c>
      <c r="F166" s="13">
        <v>42803.327280092592</v>
      </c>
      <c r="G166" s="7">
        <v>1</v>
      </c>
      <c r="H166" s="21" t="s">
        <v>935</v>
      </c>
      <c r="I166" s="13">
        <v>42803.336701388886</v>
      </c>
      <c r="J166" s="7">
        <v>0</v>
      </c>
      <c r="K166" s="98" t="str">
        <f t="shared" si="56"/>
        <v>4007/4008</v>
      </c>
      <c r="L166" s="21" t="str">
        <f>VLOOKUP(A166,'Trips&amp;Operators'!$C$1:$G$99999,5,FALSE)</f>
        <v>SHOOK JOHN</v>
      </c>
      <c r="M166" s="6">
        <f t="shared" si="57"/>
        <v>9.4212962940218858E-3</v>
      </c>
      <c r="N166" s="7">
        <f t="shared" si="58"/>
        <v>13.566666663391516</v>
      </c>
      <c r="O166" s="7"/>
      <c r="P166" s="7"/>
      <c r="Q166" s="22"/>
      <c r="R166" s="22"/>
      <c r="S166" s="31">
        <f t="shared" si="59"/>
        <v>1</v>
      </c>
      <c r="T166" s="46" t="str">
        <f t="shared" si="60"/>
        <v>NorthBound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61"/>
        <v>https://d0f6bd738d7f1b3e5a7ca70fe4ff75f0.us-east-1.aws.found.io/app/kibana#/discover/Steve-Slow-Train-Analysis-(2080s-and-2083s)?_g=(refreshInterval:(display:Off,pause:!f,section:0,value:0),time:(from:'2017-03-09T06:27:48-0700',mode:absolute,to:'2017-03-09T09:04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6" s="187" t="str">
        <f t="shared" si="62"/>
        <v>N</v>
      </c>
      <c r="X166" s="187">
        <f t="shared" si="63"/>
        <v>1</v>
      </c>
      <c r="Y166" s="62">
        <f t="shared" si="64"/>
        <v>0.1016</v>
      </c>
      <c r="Z166" s="62">
        <f t="shared" si="65"/>
        <v>5.8997000000000002</v>
      </c>
      <c r="AA166" s="62">
        <f t="shared" si="66"/>
        <v>5.7980999999999998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67"/>
        <v>0809-09</v>
      </c>
      <c r="AE166" s="85" t="str">
        <f t="shared" si="68"/>
        <v>aws s3 cp s3://rtdc.mdm.uploadarchive.raw/RTDC4007/ "%USERPROFILE%\AppData\Local\Temp\OnboardLogs"\RTDC4007\2017-03-09 --exclude "*" --recursive --include "*20170309*" &amp; "%USERPROFILE%\Documents\GitHub\mrs-test-scripts\Headless Mode &amp; Sideloading\WalkAndUnGZ.bat" "%USERPROFILE%\AppData\Local\Temp\OnboardLogs"\RTDC4007\2017-03-09 &amp; aws s3 cp s3://rtdc.mdm.uploadarchive.raw/RTDC4007/ "%USERPROFILE%\AppData\Local\Temp\OnboardLogs"\RTDC4007\2017-03-10 --exclude "*" --recursive --include "*20170310*" &amp; "%USERPROFILE%\Documents\GitHub\mrs-test-scripts\Headless Mode &amp; Sideloading\WalkAndUnGZ.bat" "%USERPROFILE%\AppData\Local\Temp\OnboardLogs"\RTDC4007\2017-03-10</v>
      </c>
      <c r="AF166" s="82" t="str">
        <f t="shared" si="69"/>
        <v>"C:\Program Files (x86)\AstroGrep\AstroGrep.exe" /e /r /s /spath="%USERPROFILE%\AppData\Local\Temp\OnboardLogs" /stypes="app*4007*20170309*" /stext=" 15:.+((SYSTEM_STATE.+slice.+state.+changed )|(ment ac)|(multiple cpu faults)|(system.+state.+changed )|(\[timeout)|(PRM\|1\|D)|(kpr)|(kdp)|(\|lc)|(penalty))"</v>
      </c>
      <c r="AG166" s="1" t="str">
        <f t="shared" si="70"/>
        <v>NW</v>
      </c>
      <c r="AH166" s="86" t="str">
        <f t="shared" si="71"/>
        <v>"%USERPROFILE%\Documents\GitHub\eaglep3\Utilities\RefineRTDCRunTimes.py" --tripid 809-09 --locoid 4007 --swversion DE.1.0.9.0 --startMP 204:1016 --initTime 2017-03-09T07:27:48 --startdatetime 2017-03-09T07:51:17 --delay 1 --endMP 300:58997 --enddatetime 2017-03-09T08:04:51 --enforcementcount 0 &gt;&gt;C:\Users\stu\Documents\GitHub\eaglep3-reporting\EC\2017-03-09-refined-times.txt</v>
      </c>
      <c r="AI166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{"issue":{"subject":"","project_id":79,"tracker_id":40,"status_id":1,"priority_id":2,"assigned_to_id":23,"start_date":"2017-03-09","description":"","custom_fields":[{"id":1,"name":"Subdivision","value":"NW"},{"id":4,"name":"Milepost","value":"5.8997"},{"id":17,"name":"Train ID","value":"809-09"},{"id":16,"name":"Locomotive ID","value":"4007"},{"id":130,"name":"Impact","value":""},{"id":150,"name":"Time of Event (Mountain Time)","value":"08:04:51"},{"id":151,"name":"Denver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73"/>
        <v>start /low /b %USERPROFILE%\Documents\GitHub\eaglep3\Utilities\DownloadLogsFromS3.py --loco 4007 --day 2017-03-09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"%USERPROFILE%\AppData\Local\Temp\OnboardLogs"\RTDC4007\*4007*20170309* | grep -SE "(Enforcement Action)|(\[TIMEOUT)|(CHR.+\|PRM\|1\|D.+(SWITCH|SIGNAL).+UNKNOWN)" - &gt;&gt; 2017-03-09-UncaughtWiMAX.txt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3" t="s">
        <v>665</v>
      </c>
      <c r="B167" s="7">
        <v>4008</v>
      </c>
      <c r="C167" s="21" t="s">
        <v>242</v>
      </c>
      <c r="D167" s="21" t="s">
        <v>936</v>
      </c>
      <c r="E167" s="13">
        <v>42803.338206018518</v>
      </c>
      <c r="F167" s="13">
        <v>42803.340833333335</v>
      </c>
      <c r="G167" s="7">
        <v>1</v>
      </c>
      <c r="H167" s="21" t="s">
        <v>432</v>
      </c>
      <c r="I167" s="13">
        <v>42803.351215277777</v>
      </c>
      <c r="J167" s="7">
        <v>0</v>
      </c>
      <c r="K167" s="98" t="str">
        <f t="shared" si="56"/>
        <v>4007/4008</v>
      </c>
      <c r="L167" s="21" t="str">
        <f>VLOOKUP(A167,'Trips&amp;Operators'!$C$1:$G$99999,5,FALSE)</f>
        <v>SHOOK JOHN</v>
      </c>
      <c r="M167" s="6">
        <f t="shared" si="57"/>
        <v>1.0381944441178348E-2</v>
      </c>
      <c r="N167" s="7">
        <f t="shared" si="58"/>
        <v>14.949999995296821</v>
      </c>
      <c r="O167" s="7"/>
      <c r="P167" s="7"/>
      <c r="Q167" s="22"/>
      <c r="R167" s="22"/>
      <c r="S167" s="31">
        <f t="shared" si="59"/>
        <v>1</v>
      </c>
      <c r="T167" s="46" t="str">
        <f t="shared" si="60"/>
        <v>Southbound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61"/>
        <v>https://d0f6bd738d7f1b3e5a7ca70fe4ff75f0.us-east-1.aws.found.io/app/kibana#/discover/Steve-Slow-Train-Analysis-(2080s-and-2083s)?_g=(refreshInterval:(display:Off,pause:!f,section:0,value:0),time:(from:'2017-03-09T07:07:01-0700',mode:absolute,to:'2017-03-09T09:25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7" s="187" t="str">
        <f t="shared" si="62"/>
        <v>N</v>
      </c>
      <c r="X167" s="187">
        <f t="shared" si="63"/>
        <v>1</v>
      </c>
      <c r="Y167" s="62">
        <f t="shared" si="64"/>
        <v>5.8674999999999997</v>
      </c>
      <c r="Z167" s="62">
        <f t="shared" si="65"/>
        <v>1.6E-2</v>
      </c>
      <c r="AA167" s="62">
        <f t="shared" si="66"/>
        <v>5.8514999999999997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67"/>
        <v>0810-09</v>
      </c>
      <c r="AE167" s="85" t="str">
        <f t="shared" si="68"/>
        <v>aws s3 cp s3://rtdc.mdm.uploadarchive.raw/RTDC4008/ "%USERPROFILE%\AppData\Local\Temp\OnboardLogs"\RTDC4008\2017-03-09 --exclude "*" --recursive --include "*20170309*" &amp; "%USERPROFILE%\Documents\GitHub\mrs-test-scripts\Headless Mode &amp; Sideloading\WalkAndUnGZ.bat" "%USERPROFILE%\AppData\Local\Temp\OnboardLogs"\RTDC4008\2017-03-09 &amp; aws s3 cp s3://rtdc.mdm.uploadarchive.raw/RTDC4008/ "%USERPROFILE%\AppData\Local\Temp\OnboardLogs"\RTDC4008\2017-03-10 --exclude "*" --recursive --include "*20170310*" &amp; "%USERPROFILE%\Documents\GitHub\mrs-test-scripts\Headless Mode &amp; Sideloading\WalkAndUnGZ.bat" "%USERPROFILE%\AppData\Local\Temp\OnboardLogs"\RTDC4008\2017-03-10</v>
      </c>
      <c r="AF167" s="82" t="str">
        <f t="shared" si="69"/>
        <v>"C:\Program Files (x86)\AstroGrep\AstroGrep.exe" /e /r /s /spath="%USERPROFILE%\AppData\Local\Temp\OnboardLogs" /stypes="app*4008*20170309*" /stext=" 15:.+((SYSTEM_STATE.+slice.+state.+changed )|(ment ac)|(multiple cpu faults)|(system.+state.+changed )|(\[timeout)|(PRM\|1\|D)|(kpr)|(kdp)|(\|lc)|(penalty))"</v>
      </c>
      <c r="AG167" s="1" t="str">
        <f t="shared" si="70"/>
        <v>NW</v>
      </c>
      <c r="AH167" s="86" t="str">
        <f t="shared" si="71"/>
        <v>"%USERPROFILE%\Documents\GitHub\eaglep3\Utilities\RefineRTDCRunTimes.py" --tripid 810-09 --locoid 4008 --swversion DE.1.0.9.0 --startMP 300:58675 --initTime 2017-03-09T08:07:01 --startdatetime 2017-03-09T08:10:48 --delay 1 --endMP 204:160 --enddatetime 2017-03-09T08:25:45 --enforcementcount 0 &gt;&gt;C:\Users\stu\Documents\GitHub\eaglep3-reporting\EC\2017-03-09-refined-times.txt</v>
      </c>
      <c r="AI167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{"issue":{"subject":"","project_id":79,"tracker_id":40,"status_id":1,"priority_id":2,"assigned_to_id":23,"start_date":"2017-03-09","description":"","custom_fields":[{"id":1,"name":"Subdivision","value":"NW"},{"id":4,"name":"Milepost","value":"0.016"},{"id":17,"name":"Train ID","value":"810-09"},{"id":16,"name":"Locomotive ID","value":"4008"},{"id":130,"name":"Impact","value":""},{"id":150,"name":"Time of Event (Mountain Time)","value":"08:25:45"},{"id":151,"name":"Denver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73"/>
        <v>start /low /b %USERPROFILE%\Documents\GitHub\eaglep3\Utilities\DownloadLogsFromS3.py --loco 4008 --day 2017-03-09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"%USERPROFILE%\AppData\Local\Temp\OnboardLogs"\RTDC4008\*4008*20170309* | grep -SE "(Enforcement Action)|(\[TIMEOUT)|(CHR.+\|PRM\|1\|D.+(SWITCH|SIGNAL).+UNKNOWN)" - &gt;&gt; 2017-03-09-UncaughtWiMAX.txt</v>
      </c>
    </row>
    <row r="168" spans="1:91" x14ac:dyDescent="0.25">
      <c r="A168" s="33" t="s">
        <v>582</v>
      </c>
      <c r="B168" s="7">
        <v>4011</v>
      </c>
      <c r="C168" s="21" t="s">
        <v>242</v>
      </c>
      <c r="D168" s="21" t="s">
        <v>937</v>
      </c>
      <c r="E168" s="13">
        <v>42803.346319444441</v>
      </c>
      <c r="F168" s="13">
        <v>42803.348252314812</v>
      </c>
      <c r="G168" s="7">
        <v>1</v>
      </c>
      <c r="H168" s="21" t="s">
        <v>938</v>
      </c>
      <c r="I168" s="13">
        <v>42803.357858796298</v>
      </c>
      <c r="J168" s="7">
        <v>0</v>
      </c>
      <c r="K168" s="98" t="str">
        <f t="shared" si="56"/>
        <v>4011/4012</v>
      </c>
      <c r="L168" s="21" t="str">
        <f>VLOOKUP(A168,'Trips&amp;Operators'!$C$1:$G$99999,5,FALSE)</f>
        <v>LOZA FIDEL</v>
      </c>
      <c r="M168" s="6">
        <f t="shared" si="57"/>
        <v>9.606481486116536E-3</v>
      </c>
      <c r="N168" s="7">
        <f t="shared" si="58"/>
        <v>13.833333340007812</v>
      </c>
      <c r="O168" s="7"/>
      <c r="P168" s="7"/>
      <c r="Q168" s="22"/>
      <c r="R168" s="22"/>
      <c r="S168" s="31">
        <f t="shared" si="59"/>
        <v>1</v>
      </c>
      <c r="T168" s="46" t="str">
        <f t="shared" si="60"/>
        <v>NorthBound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61"/>
        <v>https://d0f6bd738d7f1b3e5a7ca70fe4ff75f0.us-east-1.aws.found.io/app/kibana#/discover/Steve-Slow-Train-Analysis-(2080s-and-2083s)?_g=(refreshInterval:(display:Off,pause:!f,section:0,value:0),time:(from:'2017-03-09T07:18:42-0700',mode:absolute,to:'2017-03-09T09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68" s="187" t="str">
        <f t="shared" si="62"/>
        <v>N</v>
      </c>
      <c r="X168" s="187">
        <f t="shared" si="63"/>
        <v>1</v>
      </c>
      <c r="Y168" s="62">
        <f t="shared" si="64"/>
        <v>9.69E-2</v>
      </c>
      <c r="Z168" s="62">
        <f t="shared" si="65"/>
        <v>5.8943000000000003</v>
      </c>
      <c r="AA168" s="62">
        <f t="shared" si="66"/>
        <v>5.7974000000000006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67"/>
        <v>0811-09</v>
      </c>
      <c r="AE168" s="85" t="str">
        <f t="shared" si="68"/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68" s="82" t="str">
        <f t="shared" si="69"/>
        <v>"C:\Program Files (x86)\AstroGrep\AstroGrep.exe" /e /r /s /spath="%USERPROFILE%\AppData\Local\Temp\OnboardLogs" /stypes="app*4011*20170309*" /stext=" 15:.+((SYSTEM_STATE.+slice.+state.+changed )|(ment ac)|(multiple cpu faults)|(system.+state.+changed )|(\[timeout)|(PRM\|1\|D)|(kpr)|(kdp)|(\|lc)|(penalty))"</v>
      </c>
      <c r="AG168" s="1" t="str">
        <f t="shared" si="70"/>
        <v>NW</v>
      </c>
      <c r="AH168" s="86" t="str">
        <f t="shared" si="71"/>
        <v>"%USERPROFILE%\Documents\GitHub\eaglep3\Utilities\RefineRTDCRunTimes.py" --tripid 811-09 --locoid 4011 --swversion DE.1.0.9.0 --startMP 204:969 --initTime 2017-03-09T08:18:42 --startdatetime 2017-03-09T08:21:29 --delay 1 --endMP 300:58943 --enddatetime 2017-03-09T08:35:19 --enforcementcount 0 &gt;&gt;C:\Users\stu\Documents\GitHub\eaglep3-reporting\EC\2017-03-09-refined-times.txt</v>
      </c>
      <c r="AI168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{"issue":{"subject":"","project_id":79,"tracker_id":40,"status_id":1,"priority_id":2,"assigned_to_id":23,"start_date":"2017-03-09","description":"","custom_fields":[{"id":1,"name":"Subdivision","value":"NW"},{"id":4,"name":"Milepost","value":"5.8943"},{"id":17,"name":"Train ID","value":"811-09"},{"id":16,"name":"Locomotive ID","value":"4011"},{"id":130,"name":"Impact","value":""},{"id":150,"name":"Time of Event (Mountain Time)","value":"08:35:19"},{"id":151,"name":"Denver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73"/>
        <v>start /low /b %USERPROFILE%\Documents\GitHub\eaglep3\Utilities\DownloadLogsFromS3.py --loco 4011 --day 2017-03-09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"%USERPROFILE%\AppData\Local\Temp\OnboardLogs"\RTDC4011\*4011*20170309* | grep -SE "(Enforcement Action)|(\[TIMEOUT)|(CHR.+\|PRM\|1\|D.+(SWITCH|SIGNAL).+UNKNOWN)" - &gt;&gt; 2017-03-09-UncaughtWiMAX.txt</v>
      </c>
    </row>
    <row r="169" spans="1:91" x14ac:dyDescent="0.25">
      <c r="A169" s="33" t="s">
        <v>671</v>
      </c>
      <c r="B169" s="7">
        <v>4012</v>
      </c>
      <c r="C169" s="21" t="s">
        <v>242</v>
      </c>
      <c r="D169" s="21" t="s">
        <v>939</v>
      </c>
      <c r="E169" s="13">
        <v>42803.359120370369</v>
      </c>
      <c r="F169" s="13">
        <v>42803.360949074071</v>
      </c>
      <c r="G169" s="7">
        <v>1</v>
      </c>
      <c r="H169" s="21" t="s">
        <v>562</v>
      </c>
      <c r="I169" s="13">
        <v>42803.371099537035</v>
      </c>
      <c r="J169" s="7">
        <v>0</v>
      </c>
      <c r="K169" s="98" t="str">
        <f t="shared" si="56"/>
        <v>4011/4012</v>
      </c>
      <c r="L169" s="21" t="str">
        <f>VLOOKUP(A169,'Trips&amp;Operators'!$C$1:$G$99999,5,FALSE)</f>
        <v>LOZA FIDEL</v>
      </c>
      <c r="M169" s="6">
        <f t="shared" si="57"/>
        <v>1.0150462963792961E-2</v>
      </c>
      <c r="N169" s="7">
        <f t="shared" si="58"/>
        <v>14.616666667861864</v>
      </c>
      <c r="O169" s="7"/>
      <c r="P169" s="7"/>
      <c r="Q169" s="22"/>
      <c r="R169" s="22"/>
      <c r="S169" s="31">
        <f t="shared" si="59"/>
        <v>1</v>
      </c>
      <c r="T169" s="46" t="str">
        <f t="shared" si="60"/>
        <v>Southbound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61"/>
        <v>https://d0f6bd738d7f1b3e5a7ca70fe4ff75f0.us-east-1.aws.found.io/app/kibana#/discover/Steve-Slow-Train-Analysis-(2080s-and-2083s)?_g=(refreshInterval:(display:Off,pause:!f,section:0,value:0),time:(from:'2017-03-09T07:37:08-0700',mode:absolute,to:'2017-03-09T09:54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69" s="187" t="str">
        <f t="shared" si="62"/>
        <v>N</v>
      </c>
      <c r="X169" s="187">
        <f t="shared" si="63"/>
        <v>1</v>
      </c>
      <c r="Y169" s="62">
        <f t="shared" si="64"/>
        <v>5.8630000000000004</v>
      </c>
      <c r="Z169" s="62">
        <f t="shared" si="65"/>
        <v>6.9900000000000004E-2</v>
      </c>
      <c r="AA169" s="62">
        <f t="shared" si="66"/>
        <v>5.7931000000000008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67"/>
        <v>0812-09</v>
      </c>
      <c r="AE169" s="85" t="str">
        <f t="shared" si="68"/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69" s="82" t="str">
        <f t="shared" si="69"/>
        <v>"C:\Program Files (x86)\AstroGrep\AstroGrep.exe" /e /r /s /spath="%USERPROFILE%\AppData\Local\Temp\OnboardLogs" /stypes="app*4012*20170309*" /stext=" 15:.+((SYSTEM_STATE.+slice.+state.+changed )|(ment ac)|(multiple cpu faults)|(system.+state.+changed )|(\[timeout)|(PRM\|1\|D)|(kpr)|(kdp)|(\|lc)|(penalty))"</v>
      </c>
      <c r="AG169" s="1" t="str">
        <f t="shared" si="70"/>
        <v>NW</v>
      </c>
      <c r="AH169" s="86" t="str">
        <f t="shared" si="71"/>
        <v>"%USERPROFILE%\Documents\GitHub\eaglep3\Utilities\RefineRTDCRunTimes.py" --tripid 812-09 --locoid 4012 --swversion DE.1.0.9.0 --startMP 300:58630 --initTime 2017-03-09T08:37:08 --startdatetime 2017-03-09T08:39:46 --delay 1 --endMP 204:699 --enddatetime 2017-03-09T08:54:23 --enforcementcount 0 &gt;&gt;C:\Users\stu\Documents\GitHub\eaglep3-reporting\EC\2017-03-09-refined-times.txt</v>
      </c>
      <c r="AI169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{"issue":{"subject":"","project_id":79,"tracker_id":40,"status_id":1,"priority_id":2,"assigned_to_id":23,"start_date":"2017-03-09","description":"","custom_fields":[{"id":1,"name":"Subdivision","value":"NW"},{"id":4,"name":"Milepost","value":"0.0699"},{"id":17,"name":"Train ID","value":"812-09"},{"id":16,"name":"Locomotive ID","value":"4012"},{"id":130,"name":"Impact","value":""},{"id":150,"name":"Time of Event (Mountain Time)","value":"08:54:23"},{"id":151,"name":"Denver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73"/>
        <v>start /low /b %USERPROFILE%\Documents\GitHub\eaglep3\Utilities\DownloadLogsFromS3.py --loco 4012 --day 2017-03-09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"%USERPROFILE%\AppData\Local\Temp\OnboardLogs"\RTDC4012\*4012*20170309* | grep -SE "(Enforcement Action)|(\[TIMEOUT)|(CHR.+\|PRM\|1\|D.+(SWITCH|SIGNAL).+UNKNOWN)" - &gt;&gt; 2017-03-09-UncaughtWiMAX.txt</v>
      </c>
    </row>
    <row r="170" spans="1:91" x14ac:dyDescent="0.25">
      <c r="A170" s="33" t="s">
        <v>677</v>
      </c>
      <c r="B170" s="7">
        <v>4011</v>
      </c>
      <c r="C170" s="21" t="s">
        <v>242</v>
      </c>
      <c r="D170" s="21" t="s">
        <v>940</v>
      </c>
      <c r="E170" s="13">
        <v>42803.386921296296</v>
      </c>
      <c r="F170" s="13">
        <v>42803.390081018515</v>
      </c>
      <c r="G170" s="7">
        <v>2</v>
      </c>
      <c r="H170" s="21" t="s">
        <v>941</v>
      </c>
      <c r="I170" s="13">
        <v>42803.398854166669</v>
      </c>
      <c r="J170" s="7">
        <v>0</v>
      </c>
      <c r="K170" s="98" t="str">
        <f t="shared" si="56"/>
        <v>4011/4012</v>
      </c>
      <c r="L170" s="21" t="str">
        <f>VLOOKUP(A170,'Trips&amp;Operators'!$C$1:$G$99999,5,FALSE)</f>
        <v>LOZA FIDEL</v>
      </c>
      <c r="M170" s="6">
        <f t="shared" si="57"/>
        <v>8.7731481544324197E-3</v>
      </c>
      <c r="N170" s="7">
        <f t="shared" si="58"/>
        <v>12.633333342382684</v>
      </c>
      <c r="O170" s="7"/>
      <c r="P170" s="7"/>
      <c r="Q170" s="22"/>
      <c r="R170" s="22"/>
      <c r="S170" s="31">
        <f t="shared" si="59"/>
        <v>1</v>
      </c>
      <c r="T170" s="46" t="str">
        <f t="shared" si="60"/>
        <v>NorthBound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61"/>
        <v>https://d0f6bd738d7f1b3e5a7ca70fe4ff75f0.us-east-1.aws.found.io/app/kibana#/discover/Steve-Slow-Train-Analysis-(2080s-and-2083s)?_g=(refreshInterval:(display:Off,pause:!f,section:0,value:0),time:(from:'2017-03-09T08:17:10-0700',mode:absolute,to:'2017-03-09T10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0" s="187" t="str">
        <f t="shared" si="62"/>
        <v>N</v>
      </c>
      <c r="X170" s="187">
        <f t="shared" si="63"/>
        <v>1</v>
      </c>
      <c r="Y170" s="62">
        <f t="shared" si="64"/>
        <v>9.8500000000000004E-2</v>
      </c>
      <c r="Z170" s="62">
        <f t="shared" si="65"/>
        <v>5.8956</v>
      </c>
      <c r="AA170" s="62">
        <f t="shared" si="66"/>
        <v>5.7971000000000004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67"/>
        <v>0813-09</v>
      </c>
      <c r="AE170" s="85" t="str">
        <f t="shared" si="68"/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70" s="82" t="str">
        <f t="shared" si="69"/>
        <v>"C:\Program Files (x86)\AstroGrep\AstroGrep.exe" /e /r /s /spath="%USERPROFILE%\AppData\Local\Temp\OnboardLogs" /stypes="app*4011*20170309*" /stext=" 16:.+((SYSTEM_STATE.+slice.+state.+changed )|(ment ac)|(multiple cpu faults)|(system.+state.+changed )|(\[timeout)|(PRM\|1\|D)|(kpr)|(kdp)|(\|lc)|(penalty))"</v>
      </c>
      <c r="AG170" s="1" t="str">
        <f t="shared" si="70"/>
        <v>NW</v>
      </c>
      <c r="AH170" s="86" t="str">
        <f t="shared" si="71"/>
        <v>"%USERPROFILE%\Documents\GitHub\eaglep3\Utilities\RefineRTDCRunTimes.py" --tripid 813-09 --locoid 4011 --swversion DE.1.0.9.0 --startMP 204:985 --initTime 2017-03-09T09:17:10 --startdatetime 2017-03-09T09:21:43 --delay 2 --endMP 300:58956 --enddatetime 2017-03-09T09:34:21 --enforcementcount 0 &gt;&gt;C:\Users\stu\Documents\GitHub\eaglep3-reporting\EC\2017-03-09-refined-times.txt</v>
      </c>
      <c r="AI170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{"issue":{"subject":"","project_id":79,"tracker_id":40,"status_id":1,"priority_id":2,"assigned_to_id":23,"start_date":"2017-03-09","description":"","custom_fields":[{"id":1,"name":"Subdivision","value":"NW"},{"id":4,"name":"Milepost","value":"5.8956"},{"id":17,"name":"Train ID","value":"813-09"},{"id":16,"name":"Locomotive ID","value":"4011"},{"id":130,"name":"Impact","value":""},{"id":150,"name":"Time of Event (Mountain Time)","value":"09:34:21"},{"id":151,"name":"Denver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73"/>
        <v>start /low /b %USERPROFILE%\Documents\GitHub\eaglep3\Utilities\DownloadLogsFromS3.py --loco 4011 --day 2017-03-09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"%USERPROFILE%\AppData\Local\Temp\OnboardLogs"\RTDC4011\*4011*20170309* | grep -SE "(Enforcement Action)|(\[TIMEOUT)|(CHR.+\|PRM\|1\|D.+(SWITCH|SIGNAL).+UNKNOWN)" - &gt;&gt; 2017-03-09-UncaughtWiMAX.txt</v>
      </c>
    </row>
    <row r="171" spans="1:91" s="20" customFormat="1" x14ac:dyDescent="0.25">
      <c r="A171" s="33" t="s">
        <v>679</v>
      </c>
      <c r="B171" s="7">
        <v>4012</v>
      </c>
      <c r="C171" s="21" t="s">
        <v>242</v>
      </c>
      <c r="D171" s="21" t="s">
        <v>942</v>
      </c>
      <c r="E171" s="13">
        <v>42803.400023148148</v>
      </c>
      <c r="F171" s="13">
        <v>42803.401736111111</v>
      </c>
      <c r="G171" s="7">
        <v>1</v>
      </c>
      <c r="H171" s="21" t="s">
        <v>943</v>
      </c>
      <c r="I171" s="13">
        <v>42803.412812499999</v>
      </c>
      <c r="J171" s="7">
        <v>0</v>
      </c>
      <c r="K171" s="98" t="str">
        <f t="shared" si="56"/>
        <v>4011/4012</v>
      </c>
      <c r="L171" s="21" t="str">
        <f>VLOOKUP(A171,'Trips&amp;Operators'!$C$1:$G$99999,5,FALSE)</f>
        <v>LOZA FIDEL</v>
      </c>
      <c r="M171" s="6">
        <f t="shared" si="57"/>
        <v>1.1076388887886424E-2</v>
      </c>
      <c r="N171" s="7">
        <f t="shared" si="58"/>
        <v>15.94999999855645</v>
      </c>
      <c r="O171" s="7"/>
      <c r="P171" s="7"/>
      <c r="Q171" s="22"/>
      <c r="R171" s="22"/>
      <c r="S171" s="31">
        <f t="shared" si="59"/>
        <v>1</v>
      </c>
      <c r="T171" s="46" t="str">
        <f t="shared" si="60"/>
        <v>Southbound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61"/>
        <v>https://d0f6bd738d7f1b3e5a7ca70fe4ff75f0.us-east-1.aws.found.io/app/kibana#/discover/Steve-Slow-Train-Analysis-(2080s-and-2083s)?_g=(refreshInterval:(display:Off,pause:!f,section:0,value:0),time:(from:'2017-03-09T08:36:02-0700',mode:absolute,to:'2017-03-09T10:54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1" s="187" t="str">
        <f t="shared" si="62"/>
        <v>N</v>
      </c>
      <c r="X171" s="187">
        <f t="shared" si="63"/>
        <v>1</v>
      </c>
      <c r="Y171" s="62">
        <f t="shared" si="64"/>
        <v>5.8634000000000004</v>
      </c>
      <c r="Z171" s="62">
        <f t="shared" si="65"/>
        <v>6.6799999999999998E-2</v>
      </c>
      <c r="AA171" s="62">
        <f t="shared" si="66"/>
        <v>5.7966000000000006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67"/>
        <v>0814-09</v>
      </c>
      <c r="AE171" s="85" t="str">
        <f t="shared" si="68"/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71" s="82" t="str">
        <f t="shared" si="69"/>
        <v>"C:\Program Files (x86)\AstroGrep\AstroGrep.exe" /e /r /s /spath="%USERPROFILE%\AppData\Local\Temp\OnboardLogs" /stypes="app*4012*20170309*" /stext=" 16:.+((SYSTEM_STATE.+slice.+state.+changed )|(ment ac)|(multiple cpu faults)|(system.+state.+changed )|(\[timeout)|(PRM\|1\|D)|(kpr)|(kdp)|(\|lc)|(penalty))"</v>
      </c>
      <c r="AG171" s="1" t="str">
        <f t="shared" si="70"/>
        <v>NW</v>
      </c>
      <c r="AH171" s="86" t="str">
        <f t="shared" si="71"/>
        <v>"%USERPROFILE%\Documents\GitHub\eaglep3\Utilities\RefineRTDCRunTimes.py" --tripid 814-09 --locoid 4012 --swversion DE.1.0.9.0 --startMP 300:58634 --initTime 2017-03-09T09:36:02 --startdatetime 2017-03-09T09:38:30 --delay 1 --endMP 204:668 --enddatetime 2017-03-09T09:54:27 --enforcementcount 0 &gt;&gt;C:\Users\stu\Documents\GitHub\eaglep3-reporting\EC\2017-03-09-refined-times.txt</v>
      </c>
      <c r="AI171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{"issue":{"subject":"","project_id":79,"tracker_id":40,"status_id":1,"priority_id":2,"assigned_to_id":23,"start_date":"2017-03-09","description":"","custom_fields":[{"id":1,"name":"Subdivision","value":"NW"},{"id":4,"name":"Milepost","value":"0.0668"},{"id":17,"name":"Train ID","value":"814-09"},{"id":16,"name":"Locomotive ID","value":"4012"},{"id":130,"name":"Impact","value":""},{"id":150,"name":"Time of Event (Mountain Time)","value":"09:54:27"},{"id":151,"name":"Denver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73"/>
        <v>start /low /b %USERPROFILE%\Documents\GitHub\eaglep3\Utilities\DownloadLogsFromS3.py --loco 4012 --day 2017-03-09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"%USERPROFILE%\AppData\Local\Temp\OnboardLogs"\RTDC4012\*4012*20170309* | grep -SE "(Enforcement Action)|(\[TIMEOUT)|(CHR.+\|PRM\|1\|D.+(SWITCH|SIGNAL).+UNKNOWN)" - &gt;&gt; 2017-03-09-UncaughtWiMAX.txt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3" t="s">
        <v>685</v>
      </c>
      <c r="B172" s="7">
        <v>4011</v>
      </c>
      <c r="C172" s="21" t="s">
        <v>242</v>
      </c>
      <c r="D172" s="21" t="s">
        <v>893</v>
      </c>
      <c r="E172" s="13">
        <v>42803.429178240738</v>
      </c>
      <c r="F172" s="13">
        <v>42803.431527777779</v>
      </c>
      <c r="G172" s="7">
        <v>1</v>
      </c>
      <c r="H172" s="21" t="s">
        <v>560</v>
      </c>
      <c r="I172" s="13">
        <v>42803.44054398148</v>
      </c>
      <c r="J172" s="7">
        <v>0</v>
      </c>
      <c r="K172" s="98" t="str">
        <f t="shared" si="56"/>
        <v>4011/4012</v>
      </c>
      <c r="L172" s="21" t="str">
        <f>VLOOKUP(A172,'Trips&amp;Operators'!$C$1:$G$99999,5,FALSE)</f>
        <v>LOZA FIDEL</v>
      </c>
      <c r="M172" s="6">
        <f t="shared" si="57"/>
        <v>9.0162037013215013E-3</v>
      </c>
      <c r="N172" s="7">
        <f t="shared" si="58"/>
        <v>12.983333329902962</v>
      </c>
      <c r="O172" s="7"/>
      <c r="P172" s="7"/>
      <c r="Q172" s="22"/>
      <c r="R172" s="22"/>
      <c r="S172" s="31">
        <f t="shared" si="59"/>
        <v>1</v>
      </c>
      <c r="T172" s="46" t="str">
        <f t="shared" si="60"/>
        <v>NorthBound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61"/>
        <v>https://d0f6bd738d7f1b3e5a7ca70fe4ff75f0.us-east-1.aws.found.io/app/kibana#/discover/Steve-Slow-Train-Analysis-(2080s-and-2083s)?_g=(refreshInterval:(display:Off,pause:!f,section:0,value:0),time:(from:'2017-03-09T09:18:01-0700',mode:absolute,to:'2017-03-09T11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2" s="187" t="str">
        <f t="shared" si="62"/>
        <v>N</v>
      </c>
      <c r="X172" s="187">
        <f t="shared" si="63"/>
        <v>1</v>
      </c>
      <c r="Y172" s="62">
        <f t="shared" si="64"/>
        <v>9.5299999999999996E-2</v>
      </c>
      <c r="Z172" s="62">
        <f t="shared" si="65"/>
        <v>5.8958000000000004</v>
      </c>
      <c r="AA172" s="62">
        <f t="shared" si="66"/>
        <v>5.8005000000000004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67"/>
        <v>0815-09</v>
      </c>
      <c r="AE172" s="85" t="str">
        <f t="shared" si="68"/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72" s="82" t="str">
        <f t="shared" si="69"/>
        <v>"C:\Program Files (x86)\AstroGrep\AstroGrep.exe" /e /r /s /spath="%USERPROFILE%\AppData\Local\Temp\OnboardLogs" /stypes="app*4011*20170309*" /stext=" 17:.+((SYSTEM_STATE.+slice.+state.+changed )|(ment ac)|(multiple cpu faults)|(system.+state.+changed )|(\[timeout)|(PRM\|1\|D)|(kpr)|(kdp)|(\|lc)|(penalty))"</v>
      </c>
      <c r="AG172" s="1" t="str">
        <f t="shared" si="70"/>
        <v>NW</v>
      </c>
      <c r="AH172" s="86" t="str">
        <f t="shared" si="71"/>
        <v>"%USERPROFILE%\Documents\GitHub\eaglep3\Utilities\RefineRTDCRunTimes.py" --tripid 815-09 --locoid 4011 --swversion DE.1.0.9.0 --startMP 204:953 --initTime 2017-03-09T10:18:01 --startdatetime 2017-03-09T10:21:24 --delay 1 --endMP 300:58958 --enddatetime 2017-03-09T10:34:23 --enforcementcount 0 &gt;&gt;C:\Users\stu\Documents\GitHub\eaglep3-reporting\EC\2017-03-09-refined-times.txt</v>
      </c>
      <c r="AI172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{"issue":{"subject":"","project_id":79,"tracker_id":40,"status_id":1,"priority_id":2,"assigned_to_id":23,"start_date":"2017-03-09","description":"","custom_fields":[{"id":1,"name":"Subdivision","value":"NW"},{"id":4,"name":"Milepost","value":"5.8958"},{"id":17,"name":"Train ID","value":"815-09"},{"id":16,"name":"Locomotive ID","value":"4011"},{"id":130,"name":"Impact","value":""},{"id":150,"name":"Time of Event (Mountain Time)","value":"10:34:23"},{"id":151,"name":"Denver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73"/>
        <v>start /low /b %USERPROFILE%\Documents\GitHub\eaglep3\Utilities\DownloadLogsFromS3.py --loco 4011 --day 2017-03-09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"%USERPROFILE%\AppData\Local\Temp\OnboardLogs"\RTDC4011\*4011*20170309* | grep -SE "(Enforcement Action)|(\[TIMEOUT)|(CHR.+\|PRM\|1\|D.+(SWITCH|SIGNAL).+UNKNOWN)" - &gt;&gt; 2017-03-09-UncaughtWiMAX.txt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3" t="s">
        <v>689</v>
      </c>
      <c r="B173" s="7">
        <v>4012</v>
      </c>
      <c r="C173" s="21" t="s">
        <v>242</v>
      </c>
      <c r="D173" s="21" t="s">
        <v>942</v>
      </c>
      <c r="E173" s="13">
        <v>42803.442060185182</v>
      </c>
      <c r="F173" s="13">
        <v>42803.44363425926</v>
      </c>
      <c r="G173" s="7">
        <v>1</v>
      </c>
      <c r="H173" s="21" t="s">
        <v>556</v>
      </c>
      <c r="I173" s="13">
        <v>42803.454456018517</v>
      </c>
      <c r="J173" s="7">
        <v>0</v>
      </c>
      <c r="K173" s="98" t="str">
        <f t="shared" si="56"/>
        <v>4011/4012</v>
      </c>
      <c r="L173" s="21" t="str">
        <f>VLOOKUP(A173,'Trips&amp;Operators'!$C$1:$G$99999,5,FALSE)</f>
        <v>LOZA FIDEL</v>
      </c>
      <c r="M173" s="6">
        <f t="shared" si="57"/>
        <v>1.0821759256941732E-2</v>
      </c>
      <c r="N173" s="7">
        <f t="shared" si="58"/>
        <v>15.583333329996094</v>
      </c>
      <c r="O173" s="7"/>
      <c r="P173" s="7"/>
      <c r="Q173" s="22"/>
      <c r="R173" s="22"/>
      <c r="S173" s="31">
        <f t="shared" si="59"/>
        <v>1</v>
      </c>
      <c r="T173" s="46" t="str">
        <f t="shared" si="60"/>
        <v>Southbound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61"/>
        <v>https://d0f6bd738d7f1b3e5a7ca70fe4ff75f0.us-east-1.aws.found.io/app/kibana#/discover/Steve-Slow-Train-Analysis-(2080s-and-2083s)?_g=(refreshInterval:(display:Off,pause:!f,section:0,value:0),time:(from:'2017-03-09T09:36:34-0700',mode:absolute,to:'2017-03-09T11:54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3" s="187" t="str">
        <f t="shared" si="62"/>
        <v>N</v>
      </c>
      <c r="X173" s="187">
        <f t="shared" si="63"/>
        <v>1</v>
      </c>
      <c r="Y173" s="62">
        <f t="shared" si="64"/>
        <v>5.8634000000000004</v>
      </c>
      <c r="Z173" s="62">
        <f t="shared" si="65"/>
        <v>6.8000000000000005E-2</v>
      </c>
      <c r="AA173" s="62">
        <f t="shared" si="66"/>
        <v>5.7954000000000008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67"/>
        <v>0816-09</v>
      </c>
      <c r="AE173" s="85" t="str">
        <f t="shared" si="68"/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73" s="82" t="str">
        <f t="shared" si="69"/>
        <v>"C:\Program Files (x86)\AstroGrep\AstroGrep.exe" /e /r /s /spath="%USERPROFILE%\AppData\Local\Temp\OnboardLogs" /stypes="app*4012*20170309*" /stext=" 17:.+((SYSTEM_STATE.+slice.+state.+changed )|(ment ac)|(multiple cpu faults)|(system.+state.+changed )|(\[timeout)|(PRM\|1\|D)|(kpr)|(kdp)|(\|lc)|(penalty))"</v>
      </c>
      <c r="AG173" s="1" t="str">
        <f t="shared" si="70"/>
        <v>NW</v>
      </c>
      <c r="AH173" s="86" t="str">
        <f t="shared" si="71"/>
        <v>"%USERPROFILE%\Documents\GitHub\eaglep3\Utilities\RefineRTDCRunTimes.py" --tripid 816-09 --locoid 4012 --swversion DE.1.0.9.0 --startMP 300:58634 --initTime 2017-03-09T10:36:34 --startdatetime 2017-03-09T10:38:50 --delay 1 --endMP 204:680 --enddatetime 2017-03-09T10:54:25 --enforcementcount 0 &gt;&gt;C:\Users\stu\Documents\GitHub\eaglep3-reporting\EC\2017-03-09-refined-times.txt</v>
      </c>
      <c r="AI173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{"issue":{"subject":"","project_id":79,"tracker_id":40,"status_id":1,"priority_id":2,"assigned_to_id":23,"start_date":"2017-03-09","description":"","custom_fields":[{"id":1,"name":"Subdivision","value":"NW"},{"id":4,"name":"Milepost","value":"0.068"},{"id":17,"name":"Train ID","value":"816-09"},{"id":16,"name":"Locomotive ID","value":"4012"},{"id":130,"name":"Impact","value":""},{"id":150,"name":"Time of Event (Mountain Time)","value":"10:54:25"},{"id":151,"name":"Denver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73"/>
        <v>start /low /b %USERPROFILE%\Documents\GitHub\eaglep3\Utilities\DownloadLogsFromS3.py --loco 4012 --day 2017-03-09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"%USERPROFILE%\AppData\Local\Temp\OnboardLogs"\RTDC4012\*4012*20170309* | grep -SE "(Enforcement Action)|(\[TIMEOUT)|(CHR.+\|PRM\|1\|D.+(SWITCH|SIGNAL).+UNKNOWN)" - &gt;&gt; 2017-03-09-UncaughtWiMAX.txt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696</v>
      </c>
      <c r="B174" s="7">
        <v>4011</v>
      </c>
      <c r="C174" s="21" t="s">
        <v>242</v>
      </c>
      <c r="D174" s="21" t="s">
        <v>569</v>
      </c>
      <c r="E174" s="13">
        <v>42803.471400462964</v>
      </c>
      <c r="F174" s="13">
        <v>42803.473229166666</v>
      </c>
      <c r="G174" s="7">
        <v>1</v>
      </c>
      <c r="H174" s="21" t="s">
        <v>944</v>
      </c>
      <c r="I174" s="13">
        <v>42803.482488425929</v>
      </c>
      <c r="J174" s="7">
        <v>0</v>
      </c>
      <c r="K174" s="98" t="str">
        <f t="shared" si="56"/>
        <v>4011/4012</v>
      </c>
      <c r="L174" s="21" t="str">
        <f>VLOOKUP(A174,'Trips&amp;Operators'!$C$1:$G$99999,5,FALSE)</f>
        <v>LOZA FIDEL</v>
      </c>
      <c r="M174" s="6">
        <f t="shared" si="57"/>
        <v>9.2592592627624981E-3</v>
      </c>
      <c r="N174" s="7">
        <f t="shared" si="58"/>
        <v>13.333333338377997</v>
      </c>
      <c r="O174" s="7"/>
      <c r="P174" s="7"/>
      <c r="Q174" s="22"/>
      <c r="R174" s="22"/>
      <c r="S174" s="31">
        <f t="shared" si="59"/>
        <v>1</v>
      </c>
      <c r="T174" s="46" t="str">
        <f t="shared" si="60"/>
        <v>NorthBound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61"/>
        <v>https://d0f6bd738d7f1b3e5a7ca70fe4ff75f0.us-east-1.aws.found.io/app/kibana#/discover/Steve-Slow-Train-Analysis-(2080s-and-2083s)?_g=(refreshInterval:(display:Off,pause:!f,section:0,value:0),time:(from:'2017-03-09T10:18:49-0700',mode:absolute,to:'2017-03-09T12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4" s="187" t="str">
        <f t="shared" si="62"/>
        <v>N</v>
      </c>
      <c r="X174" s="187">
        <f t="shared" si="63"/>
        <v>1</v>
      </c>
      <c r="Y174" s="62">
        <f t="shared" si="64"/>
        <v>9.7100000000000006E-2</v>
      </c>
      <c r="Z174" s="62">
        <f t="shared" si="65"/>
        <v>5.8945999999999996</v>
      </c>
      <c r="AA174" s="62">
        <f t="shared" si="66"/>
        <v>5.7974999999999994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67"/>
        <v>0817-09</v>
      </c>
      <c r="AE174" s="85" t="str">
        <f t="shared" si="68"/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74" s="82" t="str">
        <f t="shared" si="69"/>
        <v>"C:\Program Files (x86)\AstroGrep\AstroGrep.exe" /e /r /s /spath="%USERPROFILE%\AppData\Local\Temp\OnboardLogs" /stypes="app*4011*20170309*" /stext=" 18:.+((SYSTEM_STATE.+slice.+state.+changed )|(ment ac)|(multiple cpu faults)|(system.+state.+changed )|(\[timeout)|(PRM\|1\|D)|(kpr)|(kdp)|(\|lc)|(penalty))"</v>
      </c>
      <c r="AG174" s="1" t="str">
        <f t="shared" si="70"/>
        <v>NW</v>
      </c>
      <c r="AH174" s="86" t="str">
        <f t="shared" si="71"/>
        <v>"%USERPROFILE%\Documents\GitHub\eaglep3\Utilities\RefineRTDCRunTimes.py" --tripid 817-09 --locoid 4011 --swversion DE.1.0.9.0 --startMP 204:971 --initTime 2017-03-09T11:18:49 --startdatetime 2017-03-09T11:21:27 --delay 1 --endMP 300:58946 --enddatetime 2017-03-09T11:34:47 --enforcementcount 0 &gt;&gt;C:\Users\stu\Documents\GitHub\eaglep3-reporting\EC\2017-03-09-refined-times.txt</v>
      </c>
      <c r="AI174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{"issue":{"subject":"","project_id":79,"tracker_id":40,"status_id":1,"priority_id":2,"assigned_to_id":23,"start_date":"2017-03-09","description":"","custom_fields":[{"id":1,"name":"Subdivision","value":"NW"},{"id":4,"name":"Milepost","value":"5.8946"},{"id":17,"name":"Train ID","value":"817-09"},{"id":16,"name":"Locomotive ID","value":"4011"},{"id":130,"name":"Impact","value":""},{"id":150,"name":"Time of Event (Mountain Time)","value":"11:34:47"},{"id":151,"name":"Denver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73"/>
        <v>start /low /b %USERPROFILE%\Documents\GitHub\eaglep3\Utilities\DownloadLogsFromS3.py --loco 4011 --day 2017-03-09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"%USERPROFILE%\AppData\Local\Temp\OnboardLogs"\RTDC4011\*4011*20170309* | grep -SE "(Enforcement Action)|(\[TIMEOUT)|(CHR.+\|PRM\|1\|D.+(SWITCH|SIGNAL).+UNKNOWN)" - &gt;&gt; 2017-03-09-UncaughtWiMAX.txt</v>
      </c>
    </row>
    <row r="175" spans="1:91" s="20" customFormat="1" x14ac:dyDescent="0.25">
      <c r="A175" s="33" t="s">
        <v>587</v>
      </c>
      <c r="B175" s="7">
        <v>4012</v>
      </c>
      <c r="C175" s="21" t="s">
        <v>242</v>
      </c>
      <c r="D175" s="21" t="s">
        <v>566</v>
      </c>
      <c r="E175" s="13">
        <v>42803.485775462963</v>
      </c>
      <c r="F175" s="13">
        <v>42803.487291666665</v>
      </c>
      <c r="G175" s="7">
        <v>1</v>
      </c>
      <c r="H175" s="21" t="s">
        <v>945</v>
      </c>
      <c r="I175" s="13">
        <v>42803.496099537035</v>
      </c>
      <c r="J175" s="7">
        <v>0</v>
      </c>
      <c r="K175" s="98" t="str">
        <f t="shared" si="56"/>
        <v>4011/4012</v>
      </c>
      <c r="L175" s="21" t="str">
        <f>VLOOKUP(A175,'Trips&amp;Operators'!$C$1:$G$99999,5,FALSE)</f>
        <v>LOZA FIDEL</v>
      </c>
      <c r="M175" s="6">
        <f t="shared" si="57"/>
        <v>8.8078703702194616E-3</v>
      </c>
      <c r="N175" s="7">
        <f t="shared" si="58"/>
        <v>12.683333333116025</v>
      </c>
      <c r="O175" s="7"/>
      <c r="P175" s="7"/>
      <c r="Q175" s="22"/>
      <c r="R175" s="22"/>
      <c r="S175" s="31">
        <f t="shared" si="59"/>
        <v>1</v>
      </c>
      <c r="T175" s="46" t="str">
        <f t="shared" si="60"/>
        <v>Southbound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61"/>
        <v>https://d0f6bd738d7f1b3e5a7ca70fe4ff75f0.us-east-1.aws.found.io/app/kibana#/discover/Steve-Slow-Train-Analysis-(2080s-and-2083s)?_g=(refreshInterval:(display:Off,pause:!f,section:0,value:0),time:(from:'2017-03-09T10:39:31-0700',mode:absolute,to:'2017-03-09T12:54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5" s="187" t="str">
        <f t="shared" si="62"/>
        <v>N</v>
      </c>
      <c r="X175" s="187">
        <f t="shared" si="63"/>
        <v>1</v>
      </c>
      <c r="Y175" s="62">
        <f t="shared" si="64"/>
        <v>5.8625999999999996</v>
      </c>
      <c r="Z175" s="62">
        <f t="shared" si="65"/>
        <v>7.17E-2</v>
      </c>
      <c r="AA175" s="62">
        <f t="shared" si="66"/>
        <v>5.7908999999999997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67"/>
        <v>0818-09</v>
      </c>
      <c r="AE175" s="85" t="str">
        <f t="shared" si="68"/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75" s="82" t="str">
        <f t="shared" si="69"/>
        <v>"C:\Program Files (x86)\AstroGrep\AstroGrep.exe" /e /r /s /spath="%USERPROFILE%\AppData\Local\Temp\OnboardLogs" /stypes="app*4012*20170309*" /stext=" 18:.+((SYSTEM_STATE.+slice.+state.+changed )|(ment ac)|(multiple cpu faults)|(system.+state.+changed )|(\[timeout)|(PRM\|1\|D)|(kpr)|(kdp)|(\|lc)|(penalty))"</v>
      </c>
      <c r="AG175" s="1" t="str">
        <f t="shared" si="70"/>
        <v>NW</v>
      </c>
      <c r="AH175" s="86" t="str">
        <f t="shared" si="71"/>
        <v>"%USERPROFILE%\Documents\GitHub\eaglep3\Utilities\RefineRTDCRunTimes.py" --tripid 818-09 --locoid 4012 --swversion DE.1.0.9.0 --startMP 300:58626 --initTime 2017-03-09T11:39:31 --startdatetime 2017-03-09T11:41:42 --delay 1 --endMP 204:717 --enddatetime 2017-03-09T11:54:23 --enforcementcount 0 &gt;&gt;C:\Users\stu\Documents\GitHub\eaglep3-reporting\EC\2017-03-09-refined-times.txt</v>
      </c>
      <c r="AI175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{"issue":{"subject":"","project_id":79,"tracker_id":40,"status_id":1,"priority_id":2,"assigned_to_id":23,"start_date":"2017-03-09","description":"","custom_fields":[{"id":1,"name":"Subdivision","value":"NW"},{"id":4,"name":"Milepost","value":"0.0717"},{"id":17,"name":"Train ID","value":"818-09"},{"id":16,"name":"Locomotive ID","value":"4012"},{"id":130,"name":"Impact","value":""},{"id":150,"name":"Time of Event (Mountain Time)","value":"11:54:23"},{"id":151,"name":"Denver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73"/>
        <v>start /low /b %USERPROFILE%\Documents\GitHub\eaglep3\Utilities\DownloadLogsFromS3.py --loco 4012 --day 2017-03-09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"%USERPROFILE%\AppData\Local\Temp\OnboardLogs"\RTDC4012\*4012*20170309* | grep -SE "(Enforcement Action)|(\[TIMEOUT)|(CHR.+\|PRM\|1\|D.+(SWITCH|SIGNAL).+UNKNOWN)" - &gt;&gt; 2017-03-09-UncaughtWiMAX.txt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708</v>
      </c>
      <c r="B176" s="7">
        <v>4011</v>
      </c>
      <c r="C176" s="21" t="s">
        <v>242</v>
      </c>
      <c r="D176" s="21" t="s">
        <v>946</v>
      </c>
      <c r="E176" s="13">
        <v>42803.51253472222</v>
      </c>
      <c r="F176" s="13">
        <v>42803.514884259261</v>
      </c>
      <c r="G176" s="7">
        <v>1</v>
      </c>
      <c r="H176" s="21" t="s">
        <v>473</v>
      </c>
      <c r="I176" s="13">
        <v>42803.524004629631</v>
      </c>
      <c r="J176" s="7">
        <v>0</v>
      </c>
      <c r="K176" s="98" t="str">
        <f t="shared" si="56"/>
        <v>4011/4012</v>
      </c>
      <c r="L176" s="21" t="str">
        <f>VLOOKUP(A176,'Trips&amp;Operators'!$C$1:$G$99999,5,FALSE)</f>
        <v>LOZA FIDEL</v>
      </c>
      <c r="M176" s="6">
        <f t="shared" si="57"/>
        <v>9.1203703705104999E-3</v>
      </c>
      <c r="N176" s="7">
        <f t="shared" si="58"/>
        <v>13.13333333353512</v>
      </c>
      <c r="O176" s="7"/>
      <c r="P176" s="7"/>
      <c r="Q176" s="22"/>
      <c r="R176" s="22"/>
      <c r="S176" s="31">
        <f t="shared" si="59"/>
        <v>1</v>
      </c>
      <c r="T176" s="46" t="str">
        <f t="shared" si="60"/>
        <v>NorthBound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61"/>
        <v>https://d0f6bd738d7f1b3e5a7ca70fe4ff75f0.us-east-1.aws.found.io/app/kibana#/discover/Steve-Slow-Train-Analysis-(2080s-and-2083s)?_g=(refreshInterval:(display:Off,pause:!f,section:0,value:0),time:(from:'2017-03-09T11:18:03-0700',mode:absolute,to:'2017-03-09T13:34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6" s="187" t="str">
        <f t="shared" si="62"/>
        <v>N</v>
      </c>
      <c r="X176" s="187">
        <f t="shared" si="63"/>
        <v>1</v>
      </c>
      <c r="Y176" s="62">
        <f t="shared" si="64"/>
        <v>9.9699999999999997E-2</v>
      </c>
      <c r="Z176" s="62">
        <f t="shared" si="65"/>
        <v>5.8949999999999996</v>
      </c>
      <c r="AA176" s="62">
        <f t="shared" si="66"/>
        <v>5.7952999999999992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67"/>
        <v>0819-09</v>
      </c>
      <c r="AE176" s="85" t="str">
        <f t="shared" si="68"/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76" s="82" t="str">
        <f t="shared" si="69"/>
        <v>"C:\Program Files (x86)\AstroGrep\AstroGrep.exe" /e /r /s /spath="%USERPROFILE%\AppData\Local\Temp\OnboardLogs" /stypes="app*4011*20170309*" /stext=" 19:.+((SYSTEM_STATE.+slice.+state.+changed )|(ment ac)|(multiple cpu faults)|(system.+state.+changed )|(\[timeout)|(PRM\|1\|D)|(kpr)|(kdp)|(\|lc)|(penalty))"</v>
      </c>
      <c r="AG176" s="1" t="str">
        <f t="shared" si="70"/>
        <v>NW</v>
      </c>
      <c r="AH176" s="86" t="str">
        <f t="shared" si="71"/>
        <v>"%USERPROFILE%\Documents\GitHub\eaglep3\Utilities\RefineRTDCRunTimes.py" --tripid 819-09 --locoid 4011 --swversion DE.1.0.9.0 --startMP 204:997 --initTime 2017-03-09T12:18:03 --startdatetime 2017-03-09T12:21:26 --delay 1 --endMP 300:58950 --enddatetime 2017-03-09T12:34:34 --enforcementcount 0 &gt;&gt;C:\Users\stu\Documents\GitHub\eaglep3-reporting\EC\2017-03-09-refined-times.txt</v>
      </c>
      <c r="AI176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{"issue":{"subject":"","project_id":79,"tracker_id":40,"status_id":1,"priority_id":2,"assigned_to_id":23,"start_date":"2017-03-09","description":"","custom_fields":[{"id":1,"name":"Subdivision","value":"NW"},{"id":4,"name":"Milepost","value":"5.895"},{"id":17,"name":"Train ID","value":"819-09"},{"id":16,"name":"Locomotive ID","value":"4011"},{"id":130,"name":"Impact","value":""},{"id":150,"name":"Time of Event (Mountain Time)","value":"12:34:34"},{"id":151,"name":"Denver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73"/>
        <v>start /low /b %USERPROFILE%\Documents\GitHub\eaglep3\Utilities\DownloadLogsFromS3.py --loco 4011 --day 2017-03-09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"%USERPROFILE%\AppData\Local\Temp\OnboardLogs"\RTDC4011\*4011*20170309* | grep -SE "(Enforcement Action)|(\[TIMEOUT)|(CHR.+\|PRM\|1\|D.+(SWITCH|SIGNAL).+UNKNOWN)" - &gt;&gt; 2017-03-09-UncaughtWiMAX.txt</v>
      </c>
    </row>
    <row r="177" spans="1:91" s="20" customFormat="1" x14ac:dyDescent="0.25">
      <c r="A177" s="33" t="s">
        <v>713</v>
      </c>
      <c r="B177" s="7">
        <v>4012</v>
      </c>
      <c r="C177" s="21" t="s">
        <v>242</v>
      </c>
      <c r="D177" s="21" t="s">
        <v>947</v>
      </c>
      <c r="E177" s="13">
        <v>42803.525347222225</v>
      </c>
      <c r="F177" s="13">
        <v>42803.52685185185</v>
      </c>
      <c r="G177" s="7">
        <v>1</v>
      </c>
      <c r="H177" s="21" t="s">
        <v>475</v>
      </c>
      <c r="I177" s="13">
        <v>42803.539722222224</v>
      </c>
      <c r="J177" s="7">
        <v>0</v>
      </c>
      <c r="K177" s="98" t="str">
        <f t="shared" si="56"/>
        <v>4011/4012</v>
      </c>
      <c r="L177" s="21" t="str">
        <f>VLOOKUP(A177,'Trips&amp;Operators'!$C$1:$G$99999,5,FALSE)</f>
        <v>LOZA FIDEL</v>
      </c>
      <c r="M177" s="6">
        <f t="shared" si="57"/>
        <v>1.287037037400296E-2</v>
      </c>
      <c r="N177" s="7">
        <f t="shared" si="58"/>
        <v>18.533333338564262</v>
      </c>
      <c r="O177" s="7"/>
      <c r="P177" s="7"/>
      <c r="Q177" s="22"/>
      <c r="R177" s="22"/>
      <c r="S177" s="31">
        <f t="shared" si="59"/>
        <v>1</v>
      </c>
      <c r="T177" s="46" t="str">
        <f t="shared" si="60"/>
        <v>Southbound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61"/>
        <v>https://d0f6bd738d7f1b3e5a7ca70fe4ff75f0.us-east-1.aws.found.io/app/kibana#/discover/Steve-Slow-Train-Analysis-(2080s-and-2083s)?_g=(refreshInterval:(display:Off,pause:!f,section:0,value:0),time:(from:'2017-03-09T11:36:30-0700',mode:absolute,to:'2017-03-09T13:57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7" s="187" t="str">
        <f t="shared" si="62"/>
        <v>N</v>
      </c>
      <c r="X177" s="187">
        <f t="shared" si="63"/>
        <v>1</v>
      </c>
      <c r="Y177" s="62">
        <f t="shared" si="64"/>
        <v>5.8628</v>
      </c>
      <c r="Z177" s="62">
        <f t="shared" si="65"/>
        <v>6.7799999999999999E-2</v>
      </c>
      <c r="AA177" s="62">
        <f t="shared" si="66"/>
        <v>5.7949999999999999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67"/>
        <v>0820-09</v>
      </c>
      <c r="AE177" s="85" t="str">
        <f t="shared" si="68"/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77" s="82" t="str">
        <f t="shared" si="69"/>
        <v>"C:\Program Files (x86)\AstroGrep\AstroGrep.exe" /e /r /s /spath="%USERPROFILE%\AppData\Local\Temp\OnboardLogs" /stypes="app*4012*20170309*" /stext=" 19:.+((SYSTEM_STATE.+slice.+state.+changed )|(ment ac)|(multiple cpu faults)|(system.+state.+changed )|(\[timeout)|(PRM\|1\|D)|(kpr)|(kdp)|(\|lc)|(penalty))"</v>
      </c>
      <c r="AG177" s="1" t="str">
        <f t="shared" si="70"/>
        <v>NW</v>
      </c>
      <c r="AH177" s="86" t="str">
        <f t="shared" si="71"/>
        <v>"%USERPROFILE%\Documents\GitHub\eaglep3\Utilities\RefineRTDCRunTimes.py" --tripid 820-09 --locoid 4012 --swversion DE.1.0.9.0 --startMP 300:58628 --initTime 2017-03-09T12:36:30 --startdatetime 2017-03-09T12:38:40 --delay 1 --endMP 204:678 --enddatetime 2017-03-09T12:57:12 --enforcementcount 0 &gt;&gt;C:\Users\stu\Documents\GitHub\eaglep3-reporting\EC\2017-03-09-refined-times.txt</v>
      </c>
      <c r="AI177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{"issue":{"subject":"","project_id":79,"tracker_id":40,"status_id":1,"priority_id":2,"assigned_to_id":23,"start_date":"2017-03-09","description":"","custom_fields":[{"id":1,"name":"Subdivision","value":"NW"},{"id":4,"name":"Milepost","value":"0.0678"},{"id":17,"name":"Train ID","value":"820-09"},{"id":16,"name":"Locomotive ID","value":"4012"},{"id":130,"name":"Impact","value":""},{"id":150,"name":"Time of Event (Mountain Time)","value":"12:57:12"},{"id":151,"name":"Denver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73"/>
        <v>start /low /b %USERPROFILE%\Documents\GitHub\eaglep3\Utilities\DownloadLogsFromS3.py --loco 4012 --day 2017-03-09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"%USERPROFILE%\AppData\Local\Temp\OnboardLogs"\RTDC4012\*4012*20170309* | grep -SE "(Enforcement Action)|(\[TIMEOUT)|(CHR.+\|PRM\|1\|D.+(SWITCH|SIGNAL).+UNKNOWN)" - &gt;&gt; 2017-03-09-UncaughtWiMAX.txt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3" t="s">
        <v>717</v>
      </c>
      <c r="B178" s="7">
        <v>4011</v>
      </c>
      <c r="C178" s="21" t="s">
        <v>242</v>
      </c>
      <c r="D178" s="21" t="s">
        <v>571</v>
      </c>
      <c r="E178" s="13">
        <v>42803.549467592595</v>
      </c>
      <c r="F178" s="13">
        <v>42803.55667824074</v>
      </c>
      <c r="G178" s="7">
        <v>1</v>
      </c>
      <c r="H178" s="21" t="s">
        <v>948</v>
      </c>
      <c r="I178" s="13">
        <v>42803.566168981481</v>
      </c>
      <c r="J178" s="7">
        <v>0</v>
      </c>
      <c r="K178" s="98" t="str">
        <f t="shared" si="56"/>
        <v>4011/4012</v>
      </c>
      <c r="L178" s="21" t="str">
        <f>VLOOKUP(A178,'Trips&amp;Operators'!$C$1:$G$99999,5,FALSE)</f>
        <v>LEVERE CRAIG</v>
      </c>
      <c r="M178" s="6">
        <f t="shared" si="57"/>
        <v>9.4907407401478849E-3</v>
      </c>
      <c r="N178" s="7">
        <f t="shared" si="58"/>
        <v>13.666666665812954</v>
      </c>
      <c r="O178" s="7"/>
      <c r="P178" s="7"/>
      <c r="Q178" s="22"/>
      <c r="R178" s="22"/>
      <c r="S178" s="31">
        <f t="shared" si="59"/>
        <v>1</v>
      </c>
      <c r="T178" s="46" t="str">
        <f t="shared" si="60"/>
        <v>NorthBound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61"/>
        <v>https://d0f6bd738d7f1b3e5a7ca70fe4ff75f0.us-east-1.aws.found.io/app/kibana#/discover/Steve-Slow-Train-Analysis-(2080s-and-2083s)?_g=(refreshInterval:(display:Off,pause:!f,section:0,value:0),time:(from:'2017-03-09T12:11:14-0700',mode:absolute,to:'2017-03-09T14:35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8" s="187" t="str">
        <f t="shared" si="62"/>
        <v>N</v>
      </c>
      <c r="X178" s="187">
        <f t="shared" si="63"/>
        <v>1</v>
      </c>
      <c r="Y178" s="62">
        <f t="shared" si="64"/>
        <v>9.7199999999999995E-2</v>
      </c>
      <c r="Z178" s="62">
        <f t="shared" si="65"/>
        <v>5.8960999999999997</v>
      </c>
      <c r="AA178" s="62">
        <f t="shared" si="66"/>
        <v>5.7988999999999997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67"/>
        <v>0821-09</v>
      </c>
      <c r="AE178" s="85" t="str">
        <f t="shared" si="68"/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78" s="82" t="str">
        <f t="shared" si="69"/>
        <v>"C:\Program Files (x86)\AstroGrep\AstroGrep.exe" /e /r /s /spath="%USERPROFILE%\AppData\Local\Temp\OnboardLogs" /stypes="app*4011*20170309*" /stext=" 20:.+((SYSTEM_STATE.+slice.+state.+changed )|(ment ac)|(multiple cpu faults)|(system.+state.+changed )|(\[timeout)|(PRM\|1\|D)|(kpr)|(kdp)|(\|lc)|(penalty))"</v>
      </c>
      <c r="AG178" s="1" t="str">
        <f t="shared" si="70"/>
        <v>NW</v>
      </c>
      <c r="AH178" s="86" t="str">
        <f t="shared" si="71"/>
        <v>"%USERPROFILE%\Documents\GitHub\eaglep3\Utilities\RefineRTDCRunTimes.py" --tripid 821-09 --locoid 4011 --swversion DE.1.0.9.0 --startMP 204:972 --initTime 2017-03-09T13:11:14 --startdatetime 2017-03-09T13:21:37 --delay 1 --endMP 300:58961 --enddatetime 2017-03-09T13:35:17 --enforcementcount 0 &gt;&gt;C:\Users\stu\Documents\GitHub\eaglep3-reporting\EC\2017-03-09-refined-times.txt</v>
      </c>
      <c r="AI178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{"issue":{"subject":"","project_id":79,"tracker_id":40,"status_id":1,"priority_id":2,"assigned_to_id":23,"start_date":"2017-03-09","description":"","custom_fields":[{"id":1,"name":"Subdivision","value":"NW"},{"id":4,"name":"Milepost","value":"5.8961"},{"id":17,"name":"Train ID","value":"821-09"},{"id":16,"name":"Locomotive ID","value":"4011"},{"id":130,"name":"Impact","value":""},{"id":150,"name":"Time of Event (Mountain Time)","value":"13:35:17"},{"id":151,"name":"Denver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73"/>
        <v>start /low /b %USERPROFILE%\Documents\GitHub\eaglep3\Utilities\DownloadLogsFromS3.py --loco 4011 --day 2017-03-09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"%USERPROFILE%\AppData\Local\Temp\OnboardLogs"\RTDC4011\*4011*20170309* | grep -SE "(Enforcement Action)|(\[TIMEOUT)|(CHR.+\|PRM\|1\|D.+(SWITCH|SIGNAL).+UNKNOWN)" - &gt;&gt; 2017-03-09-UncaughtWiMAX.txt</v>
      </c>
    </row>
    <row r="179" spans="1:91" s="20" customFormat="1" x14ac:dyDescent="0.25">
      <c r="A179" s="33" t="s">
        <v>592</v>
      </c>
      <c r="B179" s="7">
        <v>4012</v>
      </c>
      <c r="C179" s="21" t="s">
        <v>242</v>
      </c>
      <c r="D179" s="21" t="s">
        <v>949</v>
      </c>
      <c r="E179" s="13">
        <v>42803.567060185182</v>
      </c>
      <c r="F179" s="13">
        <v>42803.568657407406</v>
      </c>
      <c r="G179" s="7">
        <v>1</v>
      </c>
      <c r="H179" s="21" t="s">
        <v>950</v>
      </c>
      <c r="I179" s="13">
        <v>42803.579733796294</v>
      </c>
      <c r="J179" s="7">
        <v>0</v>
      </c>
      <c r="K179" s="98" t="str">
        <f t="shared" si="56"/>
        <v>4011/4012</v>
      </c>
      <c r="L179" s="21" t="str">
        <f>VLOOKUP(A179,'Trips&amp;Operators'!$C$1:$G$99999,5,FALSE)</f>
        <v>LEVERE CRAIG</v>
      </c>
      <c r="M179" s="6">
        <f t="shared" si="57"/>
        <v>1.1076388887886424E-2</v>
      </c>
      <c r="N179" s="7">
        <f t="shared" si="58"/>
        <v>15.94999999855645</v>
      </c>
      <c r="O179" s="7"/>
      <c r="P179" s="7"/>
      <c r="Q179" s="22"/>
      <c r="R179" s="22"/>
      <c r="S179" s="31">
        <f t="shared" si="59"/>
        <v>1</v>
      </c>
      <c r="T179" s="46" t="str">
        <f t="shared" si="60"/>
        <v>Southbound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61"/>
        <v>https://d0f6bd738d7f1b3e5a7ca70fe4ff75f0.us-east-1.aws.found.io/app/kibana#/discover/Steve-Slow-Train-Analysis-(2080s-and-2083s)?_g=(refreshInterval:(display:Off,pause:!f,section:0,value:0),time:(from:'2017-03-09T12:36:34-0700',mode:absolute,to:'2017-03-09T14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79" s="187" t="str">
        <f t="shared" si="62"/>
        <v>N</v>
      </c>
      <c r="X179" s="187">
        <f t="shared" si="63"/>
        <v>1</v>
      </c>
      <c r="Y179" s="62">
        <f t="shared" si="64"/>
        <v>5.8653000000000004</v>
      </c>
      <c r="Z179" s="62">
        <f t="shared" si="65"/>
        <v>7.4999999999999997E-2</v>
      </c>
      <c r="AA179" s="62">
        <f t="shared" si="66"/>
        <v>5.7903000000000002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67"/>
        <v>0822-09</v>
      </c>
      <c r="AE179" s="85" t="str">
        <f t="shared" si="68"/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79" s="82" t="str">
        <f t="shared" si="69"/>
        <v>"C:\Program Files (x86)\AstroGrep\AstroGrep.exe" /e /r /s /spath="%USERPROFILE%\AppData\Local\Temp\OnboardLogs" /stypes="app*4012*20170309*" /stext=" 20:.+((SYSTEM_STATE.+slice.+state.+changed )|(ment ac)|(multiple cpu faults)|(system.+state.+changed )|(\[timeout)|(PRM\|1\|D)|(kpr)|(kdp)|(\|lc)|(penalty))"</v>
      </c>
      <c r="AG179" s="1" t="str">
        <f t="shared" si="70"/>
        <v>NW</v>
      </c>
      <c r="AH179" s="86" t="str">
        <f t="shared" si="71"/>
        <v>"%USERPROFILE%\Documents\GitHub\eaglep3\Utilities\RefineRTDCRunTimes.py" --tripid 822-09 --locoid 4012 --swversion DE.1.0.9.0 --startMP 300:58653 --initTime 2017-03-09T13:36:34 --startdatetime 2017-03-09T13:38:52 --delay 1 --endMP 204:750 --enddatetime 2017-03-09T13:54:49 --enforcementcount 0 &gt;&gt;C:\Users\stu\Documents\GitHub\eaglep3-reporting\EC\2017-03-09-refined-times.txt</v>
      </c>
      <c r="AI179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{"issue":{"subject":"","project_id":79,"tracker_id":40,"status_id":1,"priority_id":2,"assigned_to_id":23,"start_date":"2017-03-09","description":"","custom_fields":[{"id":1,"name":"Subdivision","value":"NW"},{"id":4,"name":"Milepost","value":"0.075"},{"id":17,"name":"Train ID","value":"822-09"},{"id":16,"name":"Locomotive ID","value":"4012"},{"id":130,"name":"Impact","value":""},{"id":150,"name":"Time of Event (Mountain Time)","value":"13:54:49"},{"id":151,"name":"Denver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73"/>
        <v>start /low /b %USERPROFILE%\Documents\GitHub\eaglep3\Utilities\DownloadLogsFromS3.py --loco 4012 --day 2017-03-09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"%USERPROFILE%\AppData\Local\Temp\OnboardLogs"\RTDC4012\*4012*20170309* | grep -SE "(Enforcement Action)|(\[TIMEOUT)|(CHR.+\|PRM\|1\|D.+(SWITCH|SIGNAL).+UNKNOWN)" - &gt;&gt; 2017-03-09-UncaughtWiMAX.txt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3" t="s">
        <v>724</v>
      </c>
      <c r="B180" s="7">
        <v>4011</v>
      </c>
      <c r="C180" s="21" t="s">
        <v>242</v>
      </c>
      <c r="D180" s="21" t="s">
        <v>951</v>
      </c>
      <c r="E180" s="13">
        <v>42803.587071759262</v>
      </c>
      <c r="F180" s="13">
        <v>42803.598124999997</v>
      </c>
      <c r="G180" s="7">
        <v>1</v>
      </c>
      <c r="H180" s="21" t="s">
        <v>952</v>
      </c>
      <c r="I180" s="13">
        <v>42803.607557870368</v>
      </c>
      <c r="J180" s="7">
        <v>0</v>
      </c>
      <c r="K180" s="98" t="str">
        <f t="shared" si="56"/>
        <v>4011/4012</v>
      </c>
      <c r="L180" s="21" t="str">
        <f>VLOOKUP(A180,'Trips&amp;Operators'!$C$1:$G$99999,5,FALSE)</f>
        <v>LEVERE CRAIG</v>
      </c>
      <c r="M180" s="6">
        <f t="shared" si="57"/>
        <v>9.4328703708015382E-3</v>
      </c>
      <c r="N180" s="7">
        <f t="shared" si="58"/>
        <v>13.583333333954215</v>
      </c>
      <c r="O180" s="7"/>
      <c r="P180" s="7"/>
      <c r="Q180" s="22"/>
      <c r="R180" s="22"/>
      <c r="S180" s="31">
        <f t="shared" si="59"/>
        <v>1</v>
      </c>
      <c r="T180" s="46" t="str">
        <f t="shared" si="60"/>
        <v>NorthBound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61"/>
        <v>https://d0f6bd738d7f1b3e5a7ca70fe4ff75f0.us-east-1.aws.found.io/app/kibana#/discover/Steve-Slow-Train-Analysis-(2080s-and-2083s)?_g=(refreshInterval:(display:Off,pause:!f,section:0,value:0),time:(from:'2017-03-09T13:05:23-0700',mode:absolute,to:'2017-03-09T15:34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0" s="187" t="str">
        <f t="shared" si="62"/>
        <v>N</v>
      </c>
      <c r="X180" s="187">
        <f t="shared" si="63"/>
        <v>1</v>
      </c>
      <c r="Y180" s="62">
        <f t="shared" si="64"/>
        <v>0.10440000000000001</v>
      </c>
      <c r="Z180" s="62">
        <f t="shared" si="65"/>
        <v>5.8967000000000001</v>
      </c>
      <c r="AA180" s="62">
        <f t="shared" si="66"/>
        <v>5.7923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67"/>
        <v>0823-09</v>
      </c>
      <c r="AE180" s="85" t="str">
        <f t="shared" si="68"/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80" s="82" t="str">
        <f t="shared" si="69"/>
        <v>"C:\Program Files (x86)\AstroGrep\AstroGrep.exe" /e /r /s /spath="%USERPROFILE%\AppData\Local\Temp\OnboardLogs" /stypes="app*4011*20170309*" /stext=" 21:.+((SYSTEM_STATE.+slice.+state.+changed )|(ment ac)|(multiple cpu faults)|(system.+state.+changed )|(\[timeout)|(PRM\|1\|D)|(kpr)|(kdp)|(\|lc)|(penalty))"</v>
      </c>
      <c r="AG180" s="1" t="str">
        <f t="shared" si="70"/>
        <v>NW</v>
      </c>
      <c r="AH180" s="86" t="str">
        <f t="shared" si="71"/>
        <v>"%USERPROFILE%\Documents\GitHub\eaglep3\Utilities\RefineRTDCRunTimes.py" --tripid 823-09 --locoid 4011 --swversion DE.1.0.9.0 --startMP 204:1044 --initTime 2017-03-09T14:05:23 --startdatetime 2017-03-09T14:21:18 --delay 1 --endMP 300:58967 --enddatetime 2017-03-09T14:34:53 --enforcementcount 0 &gt;&gt;C:\Users\stu\Documents\GitHub\eaglep3-reporting\EC\2017-03-09-refined-times.txt</v>
      </c>
      <c r="AI180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{"issue":{"subject":"","project_id":79,"tracker_id":40,"status_id":1,"priority_id":2,"assigned_to_id":23,"start_date":"2017-03-09","description":"","custom_fields":[{"id":1,"name":"Subdivision","value":"NW"},{"id":4,"name":"Milepost","value":"5.8967"},{"id":17,"name":"Train ID","value":"823-09"},{"id":16,"name":"Locomotive ID","value":"4011"},{"id":130,"name":"Impact","value":""},{"id":150,"name":"Time of Event (Mountain Time)","value":"14:34:53"},{"id":151,"name":"Denver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73"/>
        <v>start /low /b %USERPROFILE%\Documents\GitHub\eaglep3\Utilities\DownloadLogsFromS3.py --loco 4011 --day 2017-03-09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"%USERPROFILE%\AppData\Local\Temp\OnboardLogs"\RTDC4011\*4011*20170309* | grep -SE "(Enforcement Action)|(\[TIMEOUT)|(CHR.+\|PRM\|1\|D.+(SWITCH|SIGNAL).+UNKNOWN)" - &gt;&gt; 2017-03-09-UncaughtWiMAX.txt</v>
      </c>
    </row>
    <row r="181" spans="1:91" x14ac:dyDescent="0.25">
      <c r="A181" s="33" t="s">
        <v>728</v>
      </c>
      <c r="B181" s="7">
        <v>4012</v>
      </c>
      <c r="C181" s="21" t="s">
        <v>242</v>
      </c>
      <c r="D181" s="21" t="s">
        <v>953</v>
      </c>
      <c r="E181" s="13">
        <v>42803.608530092592</v>
      </c>
      <c r="F181" s="13">
        <v>42803.610023148147</v>
      </c>
      <c r="G181" s="7">
        <v>1</v>
      </c>
      <c r="H181" s="21" t="s">
        <v>567</v>
      </c>
      <c r="I181" s="13">
        <v>42803.622314814813</v>
      </c>
      <c r="J181" s="7">
        <v>0</v>
      </c>
      <c r="K181" s="98" t="str">
        <f t="shared" si="56"/>
        <v>4011/4012</v>
      </c>
      <c r="L181" s="21" t="str">
        <f>VLOOKUP(A181,'Trips&amp;Operators'!$C$1:$G$99999,5,FALSE)</f>
        <v>LEVERE CRAIG</v>
      </c>
      <c r="M181" s="6">
        <f t="shared" si="57"/>
        <v>1.2291666665987577E-2</v>
      </c>
      <c r="N181" s="7">
        <f t="shared" si="58"/>
        <v>17.699999999022111</v>
      </c>
      <c r="O181" s="7"/>
      <c r="P181" s="7"/>
      <c r="Q181" s="22"/>
      <c r="R181" s="22"/>
      <c r="S181" s="31">
        <f t="shared" si="59"/>
        <v>1</v>
      </c>
      <c r="T181" s="46" t="str">
        <f t="shared" si="60"/>
        <v>Southbound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61"/>
        <v>https://d0f6bd738d7f1b3e5a7ca70fe4ff75f0.us-east-1.aws.found.io/app/kibana#/discover/Steve-Slow-Train-Analysis-(2080s-and-2083s)?_g=(refreshInterval:(display:Off,pause:!f,section:0,value:0),time:(from:'2017-03-09T13:36:17-0700',mode:absolute,to:'2017-03-09T15:56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1" s="187" t="str">
        <f t="shared" si="62"/>
        <v>N</v>
      </c>
      <c r="X181" s="187">
        <f t="shared" si="63"/>
        <v>1</v>
      </c>
      <c r="Y181" s="62">
        <f t="shared" si="64"/>
        <v>5.8647</v>
      </c>
      <c r="Z181" s="62">
        <f t="shared" si="65"/>
        <v>6.7500000000000004E-2</v>
      </c>
      <c r="AA181" s="62">
        <f t="shared" si="66"/>
        <v>5.7972000000000001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67"/>
        <v>0824-09</v>
      </c>
      <c r="AE181" s="85" t="str">
        <f t="shared" si="68"/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81" s="82" t="str">
        <f t="shared" si="69"/>
        <v>"C:\Program Files (x86)\AstroGrep\AstroGrep.exe" /e /r /s /spath="%USERPROFILE%\AppData\Local\Temp\OnboardLogs" /stypes="app*4012*20170309*" /stext=" 21:.+((SYSTEM_STATE.+slice.+state.+changed )|(ment ac)|(multiple cpu faults)|(system.+state.+changed )|(\[timeout)|(PRM\|1\|D)|(kpr)|(kdp)|(\|lc)|(penalty))"</v>
      </c>
      <c r="AG181" s="1" t="str">
        <f t="shared" si="70"/>
        <v>NW</v>
      </c>
      <c r="AH181" s="86" t="str">
        <f t="shared" si="71"/>
        <v>"%USERPROFILE%\Documents\GitHub\eaglep3\Utilities\RefineRTDCRunTimes.py" --tripid 824-09 --locoid 4012 --swversion DE.1.0.9.0 --startMP 300:58647 --initTime 2017-03-09T14:36:17 --startdatetime 2017-03-09T14:38:26 --delay 1 --endMP 204:675 --enddatetime 2017-03-09T14:56:08 --enforcementcount 0 &gt;&gt;C:\Users\stu\Documents\GitHub\eaglep3-reporting\EC\2017-03-09-refined-times.txt</v>
      </c>
      <c r="AI181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{"issue":{"subject":"","project_id":79,"tracker_id":40,"status_id":1,"priority_id":2,"assigned_to_id":23,"start_date":"2017-03-09","description":"","custom_fields":[{"id":1,"name":"Subdivision","value":"NW"},{"id":4,"name":"Milepost","value":"0.0675"},{"id":17,"name":"Train ID","value":"824-09"},{"id":16,"name":"Locomotive ID","value":"4012"},{"id":130,"name":"Impact","value":""},{"id":150,"name":"Time of Event (Mountain Time)","value":"14:56:08"},{"id":151,"name":"Denver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73"/>
        <v>start /low /b %USERPROFILE%\Documents\GitHub\eaglep3\Utilities\DownloadLogsFromS3.py --loco 4012 --day 2017-03-09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"%USERPROFILE%\AppData\Local\Temp\OnboardLogs"\RTDC4012\*4012*20170309* | grep -SE "(Enforcement Action)|(\[TIMEOUT)|(CHR.+\|PRM\|1\|D.+(SWITCH|SIGNAL).+UNKNOWN)" - &gt;&gt; 2017-03-09-UncaughtWiMAX.txt</v>
      </c>
    </row>
    <row r="182" spans="1:91" x14ac:dyDescent="0.25">
      <c r="A182" s="33" t="s">
        <v>734</v>
      </c>
      <c r="B182" s="7">
        <v>4011</v>
      </c>
      <c r="C182" s="21" t="s">
        <v>242</v>
      </c>
      <c r="D182" s="21" t="s">
        <v>559</v>
      </c>
      <c r="E182" s="13">
        <v>42803.629826388889</v>
      </c>
      <c r="F182" s="13">
        <v>42803.639780092592</v>
      </c>
      <c r="G182" s="7">
        <v>1</v>
      </c>
      <c r="H182" s="21" t="s">
        <v>954</v>
      </c>
      <c r="I182" s="13">
        <v>42803.653310185182</v>
      </c>
      <c r="J182" s="7">
        <v>0</v>
      </c>
      <c r="K182" s="98" t="str">
        <f t="shared" si="56"/>
        <v>4011/4012</v>
      </c>
      <c r="L182" s="21" t="str">
        <f>VLOOKUP(A182,'Trips&amp;Operators'!$C$1:$G$99999,5,FALSE)</f>
        <v>LEVERE CRAIG</v>
      </c>
      <c r="M182" s="6">
        <f t="shared" si="57"/>
        <v>1.3530092590372078E-2</v>
      </c>
      <c r="N182" s="7">
        <f t="shared" si="58"/>
        <v>19.483333330135792</v>
      </c>
      <c r="O182" s="7"/>
      <c r="P182" s="7"/>
      <c r="Q182" s="22"/>
      <c r="R182" s="22" t="s">
        <v>1015</v>
      </c>
      <c r="S182" s="31">
        <f t="shared" si="59"/>
        <v>1</v>
      </c>
      <c r="T182" s="46" t="str">
        <f t="shared" si="60"/>
        <v>NorthBound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61"/>
        <v>https://d0f6bd738d7f1b3e5a7ca70fe4ff75f0.us-east-1.aws.found.io/app/kibana#/discover/Steve-Slow-Train-Analysis-(2080s-and-2083s)?_g=(refreshInterval:(display:Off,pause:!f,section:0,value:0),time:(from:'2017-03-09T14:06:57-0700',mode:absolute,to:'2017-03-09T16:40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2" s="187" t="str">
        <f t="shared" si="62"/>
        <v>N</v>
      </c>
      <c r="X182" s="187">
        <f t="shared" si="63"/>
        <v>1</v>
      </c>
      <c r="Y182" s="62">
        <f t="shared" si="64"/>
        <v>9.74E-2</v>
      </c>
      <c r="Z182" s="62">
        <f t="shared" si="65"/>
        <v>5.7599</v>
      </c>
      <c r="AA182" s="62">
        <f t="shared" si="66"/>
        <v>5.6624999999999996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67"/>
        <v>0825-09</v>
      </c>
      <c r="AE182" s="85" t="str">
        <f t="shared" si="68"/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82" s="82" t="str">
        <f t="shared" si="69"/>
        <v>"C:\Program Files (x86)\AstroGrep\AstroGrep.exe" /e /r /s /spath="%USERPROFILE%\AppData\Local\Temp\OnboardLogs" /stypes="app*4011*20170309*" /stext=" 22:.+((SYSTEM_STATE.+slice.+state.+changed )|(ment ac)|(multiple cpu faults)|(system.+state.+changed )|(\[timeout)|(PRM\|1\|D)|(kpr)|(kdp)|(\|lc)|(penalty))"</v>
      </c>
      <c r="AG182" s="1" t="str">
        <f t="shared" si="70"/>
        <v>NW</v>
      </c>
      <c r="AH182" s="86" t="str">
        <f t="shared" si="71"/>
        <v>"%USERPROFILE%\Documents\GitHub\eaglep3\Utilities\RefineRTDCRunTimes.py" --tripid 825-09 --locoid 4011 --swversion DE.1.0.9.0 --startMP 204:974 --initTime 2017-03-09T15:06:57 --startdatetime 2017-03-09T15:21:17 --delay 1 --endMP 300:57599 --enddatetime 2017-03-09T15:40:46 --enforcementcount 0 &gt;&gt;C:\Users\stu\Documents\GitHub\eaglep3-reporting\EC\2017-03-09-refined-times.txt</v>
      </c>
      <c r="AI182" s="108" t="str">
        <f t="shared" si="72"/>
        <v>echo {"issue":{"subject":"DTO Efficiency test","project_id":79,"tracker_id":40,"status_id":1,"priority_id":2,"assigned_to_id":23,"start_date":"2017-03-09","description":"","custom_fields":[{"id":1,"name":"Subdivision","value":"NW"},{"id":4,"name":"Milepost","value":"5.7599"},{"id":17,"name":"Train ID","value":"825-09"},{"id":16,"name":"Locomotive ID","value":"4011"},{"id":130,"name":"Impact","value":""},{"id":150,"name":"Time of Event (Mountain Time)","value":"15:40:46"},{"id":151,"name":"Denver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73"/>
        <v>start /low /b %USERPROFILE%\Documents\GitHub\eaglep3\Utilities\DownloadLogsFromS3.py --loco 4011 --day 2017-03-09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"%USERPROFILE%\AppData\Local\Temp\OnboardLogs"\RTDC4011\*4011*20170309* | grep -SE "(Enforcement Action)|(\[TIMEOUT)|(CHR.+\|PRM\|1\|D.+(SWITCH|SIGNAL).+UNKNOWN)" - &gt;&gt; 2017-03-09-UncaughtWiMAX.txt</v>
      </c>
    </row>
    <row r="183" spans="1:91" s="20" customFormat="1" x14ac:dyDescent="0.25">
      <c r="A183" s="33" t="s">
        <v>599</v>
      </c>
      <c r="B183" s="7">
        <v>4012</v>
      </c>
      <c r="C183" s="21" t="s">
        <v>242</v>
      </c>
      <c r="D183" s="21" t="s">
        <v>561</v>
      </c>
      <c r="E183" s="13">
        <v>42803.655532407407</v>
      </c>
      <c r="F183" s="13">
        <v>42803.656875000001</v>
      </c>
      <c r="G183" s="7">
        <v>1</v>
      </c>
      <c r="H183" s="21" t="s">
        <v>955</v>
      </c>
      <c r="I183" s="13">
        <v>42803.667175925926</v>
      </c>
      <c r="J183" s="7">
        <v>0</v>
      </c>
      <c r="K183" s="98" t="str">
        <f t="shared" si="56"/>
        <v>4011/4012</v>
      </c>
      <c r="L183" s="21" t="str">
        <f>VLOOKUP(A183,'Trips&amp;Operators'!$C$1:$G$99999,5,FALSE)</f>
        <v>LEVERE CRAIG</v>
      </c>
      <c r="M183" s="6">
        <f t="shared" si="57"/>
        <v>1.0300925925548654E-2</v>
      </c>
      <c r="N183" s="7">
        <f t="shared" si="58"/>
        <v>14.833333332790062</v>
      </c>
      <c r="O183" s="7"/>
      <c r="P183" s="7"/>
      <c r="Q183" s="22"/>
      <c r="R183" s="22"/>
      <c r="S183" s="31">
        <f t="shared" si="59"/>
        <v>1</v>
      </c>
      <c r="T183" s="46" t="str">
        <f t="shared" si="60"/>
        <v>Southbound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61"/>
        <v>https://d0f6bd738d7f1b3e5a7ca70fe4ff75f0.us-east-1.aws.found.io/app/kibana#/discover/Steve-Slow-Train-Analysis-(2080s-and-2083s)?_g=(refreshInterval:(display:Off,pause:!f,section:0,value:0),time:(from:'2017-03-09T14:43:58-0700',mode:absolute,to:'2017-03-09T17:00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3" s="187" t="str">
        <f t="shared" si="62"/>
        <v>N</v>
      </c>
      <c r="X183" s="187">
        <f t="shared" si="63"/>
        <v>1</v>
      </c>
      <c r="Y183" s="62">
        <f t="shared" si="64"/>
        <v>5.8639999999999999</v>
      </c>
      <c r="Z183" s="62">
        <f t="shared" si="65"/>
        <v>7.3999999999999996E-2</v>
      </c>
      <c r="AA183" s="62">
        <f t="shared" si="66"/>
        <v>5.79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67"/>
        <v>0826-09</v>
      </c>
      <c r="AE183" s="85" t="str">
        <f t="shared" si="68"/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83" s="82" t="str">
        <f t="shared" si="69"/>
        <v>"C:\Program Files (x86)\AstroGrep\AstroGrep.exe" /e /r /s /spath="%USERPROFILE%\AppData\Local\Temp\OnboardLogs" /stypes="app*4012*20170309*" /stext=" 23:.+((SYSTEM_STATE.+slice.+state.+changed )|(ment ac)|(multiple cpu faults)|(system.+state.+changed )|(\[timeout)|(PRM\|1\|D)|(kpr)|(kdp)|(\|lc)|(penalty))"</v>
      </c>
      <c r="AG183" s="1" t="str">
        <f t="shared" si="70"/>
        <v>NW</v>
      </c>
      <c r="AH183" s="86" t="str">
        <f t="shared" si="71"/>
        <v>"%USERPROFILE%\Documents\GitHub\eaglep3\Utilities\RefineRTDCRunTimes.py" --tripid 826-09 --locoid 4012 --swversion DE.1.0.9.0 --startMP 300:58640 --initTime 2017-03-09T15:43:58 --startdatetime 2017-03-09T15:45:54 --delay 1 --endMP 204:740 --enddatetime 2017-03-09T16:00:44 --enforcementcount 0 &gt;&gt;C:\Users\stu\Documents\GitHub\eaglep3-reporting\EC\2017-03-09-refined-times.txt</v>
      </c>
      <c r="AI183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{"issue":{"subject":"","project_id":79,"tracker_id":40,"status_id":1,"priority_id":2,"assigned_to_id":23,"start_date":"2017-03-09","description":"","custom_fields":[{"id":1,"name":"Subdivision","value":"NW"},{"id":4,"name":"Milepost","value":"0.074"},{"id":17,"name":"Train ID","value":"826-09"},{"id":16,"name":"Locomotive ID","value":"4012"},{"id":130,"name":"Impact","value":""},{"id":150,"name":"Time of Event (Mountain Time)","value":"16:00:44"},{"id":151,"name":"Denver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73"/>
        <v>start /low /b %USERPROFILE%\Documents\GitHub\eaglep3\Utilities\DownloadLogsFromS3.py --loco 4012 --day 2017-03-09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"%USERPROFILE%\AppData\Local\Temp\OnboardLogs"\RTDC4012\*4012*20170309* | grep -SE "(Enforcement Action)|(\[TIMEOUT)|(CHR.+\|PRM\|1\|D.+(SWITCH|SIGNAL).+UNKNOWN)" - &gt;&gt; 2017-03-09-UncaughtWiMAX.txt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3" t="s">
        <v>737</v>
      </c>
      <c r="B184" s="7">
        <v>4007</v>
      </c>
      <c r="C184" s="21" t="s">
        <v>242</v>
      </c>
      <c r="D184" s="21" t="s">
        <v>956</v>
      </c>
      <c r="E184" s="13">
        <v>42803.649965277778</v>
      </c>
      <c r="F184" s="13">
        <v>42803.660636574074</v>
      </c>
      <c r="G184" s="7">
        <v>1</v>
      </c>
      <c r="H184" s="21" t="s">
        <v>957</v>
      </c>
      <c r="I184" s="13">
        <v>42803.671261574076</v>
      </c>
      <c r="J184" s="7">
        <v>0</v>
      </c>
      <c r="K184" s="98" t="str">
        <f t="shared" si="56"/>
        <v>4007/4008</v>
      </c>
      <c r="L184" s="21" t="str">
        <f>VLOOKUP(A184,'Trips&amp;Operators'!$C$1:$G$99999,5,FALSE)</f>
        <v>STORY SAMANTHA</v>
      </c>
      <c r="M184" s="6">
        <f t="shared" si="57"/>
        <v>1.0625000002619345E-2</v>
      </c>
      <c r="N184" s="7">
        <f t="shared" si="58"/>
        <v>15.300000003771856</v>
      </c>
      <c r="O184" s="7"/>
      <c r="P184" s="7"/>
      <c r="Q184" s="22"/>
      <c r="R184" s="22"/>
      <c r="S184" s="31">
        <f t="shared" si="59"/>
        <v>1</v>
      </c>
      <c r="T184" s="46" t="str">
        <f t="shared" si="60"/>
        <v>NorthBound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61"/>
        <v>https://d0f6bd738d7f1b3e5a7ca70fe4ff75f0.us-east-1.aws.found.io/app/kibana#/discover/Steve-Slow-Train-Analysis-(2080s-and-2083s)?_g=(refreshInterval:(display:Off,pause:!f,section:0,value:0),time:(from:'2017-03-09T14:35:57-0700',mode:absolute,to:'2017-03-09T17:06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4" s="187" t="str">
        <f t="shared" si="62"/>
        <v>N</v>
      </c>
      <c r="X184" s="187">
        <f t="shared" si="63"/>
        <v>1</v>
      </c>
      <c r="Y184" s="62">
        <f t="shared" si="64"/>
        <v>9.9000000000000005E-2</v>
      </c>
      <c r="Z184" s="62">
        <f t="shared" si="65"/>
        <v>5.9016000000000002</v>
      </c>
      <c r="AA184" s="62">
        <f t="shared" si="66"/>
        <v>5.8026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67"/>
        <v>0827-09</v>
      </c>
      <c r="AE184" s="85" t="str">
        <f t="shared" si="68"/>
        <v>aws s3 cp s3://rtdc.mdm.uploadarchive.raw/RTDC4007/ "%USERPROFILE%\AppData\Local\Temp\OnboardLogs"\RTDC4007\2017-03-09 --exclude "*" --recursive --include "*20170309*" &amp; "%USERPROFILE%\Documents\GitHub\mrs-test-scripts\Headless Mode &amp; Sideloading\WalkAndUnGZ.bat" "%USERPROFILE%\AppData\Local\Temp\OnboardLogs"\RTDC4007\2017-03-09 &amp; aws s3 cp s3://rtdc.mdm.uploadarchive.raw/RTDC4007/ "%USERPROFILE%\AppData\Local\Temp\OnboardLogs"\RTDC4007\2017-03-10 --exclude "*" --recursive --include "*20170310*" &amp; "%USERPROFILE%\Documents\GitHub\mrs-test-scripts\Headless Mode &amp; Sideloading\WalkAndUnGZ.bat" "%USERPROFILE%\AppData\Local\Temp\OnboardLogs"\RTDC4007\2017-03-10</v>
      </c>
      <c r="AF184" s="82" t="str">
        <f t="shared" si="69"/>
        <v>"C:\Program Files (x86)\AstroGrep\AstroGrep.exe" /e /r /s /spath="%USERPROFILE%\AppData\Local\Temp\OnboardLogs" /stypes="app*4007*20170309*" /stext=" 23:.+((SYSTEM_STATE.+slice.+state.+changed )|(ment ac)|(multiple cpu faults)|(system.+state.+changed )|(\[timeout)|(PRM\|1\|D)|(kpr)|(kdp)|(\|lc)|(penalty))"</v>
      </c>
      <c r="AG184" s="1" t="str">
        <f t="shared" si="70"/>
        <v>NW</v>
      </c>
      <c r="AH184" s="86" t="str">
        <f t="shared" si="71"/>
        <v>"%USERPROFILE%\Documents\GitHub\eaglep3\Utilities\RefineRTDCRunTimes.py" --tripid 827-09 --locoid 4007 --swversion DE.1.0.9.0 --startMP 204:990 --initTime 2017-03-09T15:35:57 --startdatetime 2017-03-09T15:51:19 --delay 1 --endMP 300:59016 --enddatetime 2017-03-09T16:06:37 --enforcementcount 0 &gt;&gt;C:\Users\stu\Documents\GitHub\eaglep3-reporting\EC\2017-03-09-refined-times.txt</v>
      </c>
      <c r="AI184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{"issue":{"subject":"","project_id":79,"tracker_id":40,"status_id":1,"priority_id":2,"assigned_to_id":23,"start_date":"2017-03-09","description":"","custom_fields":[{"id":1,"name":"Subdivision","value":"NW"},{"id":4,"name":"Milepost","value":"5.9016"},{"id":17,"name":"Train ID","value":"827-09"},{"id":16,"name":"Locomotive ID","value":"4007"},{"id":130,"name":"Impact","value":""},{"id":150,"name":"Time of Event (Mountain Time)","value":"16:06:37"},{"id":151,"name":"Denver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73"/>
        <v>start /low /b %USERPROFILE%\Documents\GitHub\eaglep3\Utilities\DownloadLogsFromS3.py --loco 4007 --day 2017-03-09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"%USERPROFILE%\AppData\Local\Temp\OnboardLogs"\RTDC4007\*4007*20170309* | grep -SE "(Enforcement Action)|(\[TIMEOUT)|(CHR.+\|PRM\|1\|D.+(SWITCH|SIGNAL).+UNKNOWN)" - &gt;&gt; 2017-03-09-UncaughtWiMAX.txt</v>
      </c>
    </row>
    <row r="185" spans="1:91" s="20" customFormat="1" x14ac:dyDescent="0.25">
      <c r="A185" s="33" t="s">
        <v>742</v>
      </c>
      <c r="B185" s="7">
        <v>4008</v>
      </c>
      <c r="C185" s="21" t="s">
        <v>242</v>
      </c>
      <c r="D185" s="21" t="s">
        <v>958</v>
      </c>
      <c r="E185" s="13">
        <v>42803.672303240739</v>
      </c>
      <c r="F185" s="13">
        <v>42803.673622685186</v>
      </c>
      <c r="G185" s="7">
        <v>1</v>
      </c>
      <c r="H185" s="21" t="s">
        <v>959</v>
      </c>
      <c r="I185" s="13">
        <v>42803.685104166667</v>
      </c>
      <c r="J185" s="7">
        <v>0</v>
      </c>
      <c r="K185" s="98" t="str">
        <f t="shared" si="56"/>
        <v>4007/4008</v>
      </c>
      <c r="L185" s="21" t="str">
        <f>VLOOKUP(A185,'Trips&amp;Operators'!$C$1:$G$99999,5,FALSE)</f>
        <v>STORY SAMANTHA</v>
      </c>
      <c r="M185" s="6">
        <f t="shared" si="57"/>
        <v>1.1481481480586808E-2</v>
      </c>
      <c r="N185" s="7">
        <f t="shared" si="58"/>
        <v>16.533333332045004</v>
      </c>
      <c r="O185" s="7"/>
      <c r="P185" s="7"/>
      <c r="Q185" s="22"/>
      <c r="R185" s="22"/>
      <c r="S185" s="31">
        <f t="shared" si="59"/>
        <v>1</v>
      </c>
      <c r="T185" s="46" t="str">
        <f t="shared" si="60"/>
        <v>Southbound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61"/>
        <v>https://d0f6bd738d7f1b3e5a7ca70fe4ff75f0.us-east-1.aws.found.io/app/kibana#/discover/Steve-Slow-Train-Analysis-(2080s-and-2083s)?_g=(refreshInterval:(display:Off,pause:!f,section:0,value:0),time:(from:'2017-03-09T15:08:07-0700',mode:absolute,to:'2017-03-09T17:26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5" s="187" t="str">
        <f t="shared" si="62"/>
        <v>N</v>
      </c>
      <c r="X185" s="187">
        <f t="shared" si="63"/>
        <v>1</v>
      </c>
      <c r="Y185" s="62">
        <f t="shared" si="64"/>
        <v>5.8704000000000001</v>
      </c>
      <c r="Z185" s="62">
        <f t="shared" si="65"/>
        <v>7.8899999999999998E-2</v>
      </c>
      <c r="AA185" s="62">
        <f t="shared" si="66"/>
        <v>5.7915000000000001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67"/>
        <v>0828-09</v>
      </c>
      <c r="AE185" s="85" t="str">
        <f t="shared" si="68"/>
        <v>aws s3 cp s3://rtdc.mdm.uploadarchive.raw/RTDC4008/ "%USERPROFILE%\AppData\Local\Temp\OnboardLogs"\RTDC4008\2017-03-09 --exclude "*" --recursive --include "*20170309*" &amp; "%USERPROFILE%\Documents\GitHub\mrs-test-scripts\Headless Mode &amp; Sideloading\WalkAndUnGZ.bat" "%USERPROFILE%\AppData\Local\Temp\OnboardLogs"\RTDC4008\2017-03-09 &amp; aws s3 cp s3://rtdc.mdm.uploadarchive.raw/RTDC4008/ "%USERPROFILE%\AppData\Local\Temp\OnboardLogs"\RTDC4008\2017-03-10 --exclude "*" --recursive --include "*20170310*" &amp; "%USERPROFILE%\Documents\GitHub\mrs-test-scripts\Headless Mode &amp; Sideloading\WalkAndUnGZ.bat" "%USERPROFILE%\AppData\Local\Temp\OnboardLogs"\RTDC4008\2017-03-10</v>
      </c>
      <c r="AF185" s="82" t="str">
        <f t="shared" si="69"/>
        <v>"C:\Program Files (x86)\AstroGrep\AstroGrep.exe" /e /r /s /spath="%USERPROFILE%\AppData\Local\Temp\OnboardLogs" /stypes="app*4008*20170309*" /stext=" 23:.+((SYSTEM_STATE.+slice.+state.+changed )|(ment ac)|(multiple cpu faults)|(system.+state.+changed )|(\[timeout)|(PRM\|1\|D)|(kpr)|(kdp)|(\|lc)|(penalty))"</v>
      </c>
      <c r="AG185" s="1" t="str">
        <f t="shared" si="70"/>
        <v>NW</v>
      </c>
      <c r="AH185" s="86" t="str">
        <f t="shared" si="71"/>
        <v>"%USERPROFILE%\Documents\GitHub\eaglep3\Utilities\RefineRTDCRunTimes.py" --tripid 828-09 --locoid 4008 --swversion DE.1.0.9.0 --startMP 300:58704 --initTime 2017-03-09T16:08:07 --startdatetime 2017-03-09T16:10:01 --delay 1 --endMP 204:789 --enddatetime 2017-03-09T16:26:33 --enforcementcount 0 &gt;&gt;C:\Users\stu\Documents\GitHub\eaglep3-reporting\EC\2017-03-09-refined-times.txt</v>
      </c>
      <c r="AI185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{"issue":{"subject":"","project_id":79,"tracker_id":40,"status_id":1,"priority_id":2,"assigned_to_id":23,"start_date":"2017-03-09","description":"","custom_fields":[{"id":1,"name":"Subdivision","value":"NW"},{"id":4,"name":"Milepost","value":"0.0789"},{"id":17,"name":"Train ID","value":"828-09"},{"id":16,"name":"Locomotive ID","value":"4008"},{"id":130,"name":"Impact","value":""},{"id":150,"name":"Time of Event (Mountain Time)","value":"16:26:33"},{"id":151,"name":"Denver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73"/>
        <v>start /low /b %USERPROFILE%\Documents\GitHub\eaglep3\Utilities\DownloadLogsFromS3.py --loco 4008 --day 2017-03-09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"%USERPROFILE%\AppData\Local\Temp\OnboardLogs"\RTDC4008\*4008*20170309* | grep -SE "(Enforcement Action)|(\[TIMEOUT)|(CHR.+\|PRM\|1\|D.+(SWITCH|SIGNAL).+UNKNOWN)" - &gt;&gt; 2017-03-09-UncaughtWiMAX.txt</v>
      </c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x14ac:dyDescent="0.25">
      <c r="A186" s="33" t="s">
        <v>743</v>
      </c>
      <c r="B186" s="7">
        <v>4011</v>
      </c>
      <c r="C186" s="21" t="s">
        <v>242</v>
      </c>
      <c r="D186" s="21" t="s">
        <v>910</v>
      </c>
      <c r="E186" s="13">
        <v>42803.673333333332</v>
      </c>
      <c r="F186" s="13">
        <v>42803.681481481479</v>
      </c>
      <c r="G186" s="7">
        <v>2</v>
      </c>
      <c r="H186" s="21" t="s">
        <v>960</v>
      </c>
      <c r="I186" s="13">
        <v>42803.691157407404</v>
      </c>
      <c r="J186" s="7">
        <v>0</v>
      </c>
      <c r="K186" s="98" t="str">
        <f t="shared" si="56"/>
        <v>4011/4012</v>
      </c>
      <c r="L186" s="21" t="str">
        <f>VLOOKUP(A186,'Trips&amp;Operators'!$C$1:$G$99999,5,FALSE)</f>
        <v>LEVERE CRAIG</v>
      </c>
      <c r="M186" s="6">
        <f t="shared" si="57"/>
        <v>9.6759259249665774E-3</v>
      </c>
      <c r="N186" s="7">
        <f t="shared" si="58"/>
        <v>13.933333331951872</v>
      </c>
      <c r="O186" s="7"/>
      <c r="P186" s="7"/>
      <c r="Q186" s="22"/>
      <c r="R186" s="22"/>
      <c r="S186" s="31">
        <f t="shared" si="59"/>
        <v>1</v>
      </c>
      <c r="T186" s="46" t="str">
        <f t="shared" si="60"/>
        <v>NorthBound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61"/>
        <v>https://d0f6bd738d7f1b3e5a7ca70fe4ff75f0.us-east-1.aws.found.io/app/kibana#/discover/Steve-Slow-Train-Analysis-(2080s-and-2083s)?_g=(refreshInterval:(display:Off,pause:!f,section:0,value:0),time:(from:'2017-03-09T15:09:36-0700',mode:absolute,to:'2017-03-09T17:35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86" s="187" t="str">
        <f t="shared" si="62"/>
        <v>N</v>
      </c>
      <c r="X186" s="187">
        <f t="shared" si="63"/>
        <v>1</v>
      </c>
      <c r="Y186" s="62">
        <f t="shared" si="64"/>
        <v>0.1021</v>
      </c>
      <c r="Z186" s="62">
        <f t="shared" si="65"/>
        <v>5.8968999999999996</v>
      </c>
      <c r="AA186" s="62">
        <f t="shared" si="66"/>
        <v>5.7947999999999995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67"/>
        <v>0829-09</v>
      </c>
      <c r="AE186" s="85" t="str">
        <f t="shared" si="68"/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86" s="82" t="str">
        <f t="shared" si="69"/>
        <v>"C:\Program Files (x86)\AstroGrep\AstroGrep.exe" /e /r /s /spath="%USERPROFILE%\AppData\Local\Temp\OnboardLogs" /stypes="app*4011*20170309*" /stext=" 23:.+((SYSTEM_STATE.+slice.+state.+changed )|(ment ac)|(multiple cpu faults)|(system.+state.+changed )|(\[timeout)|(PRM\|1\|D)|(kpr)|(kdp)|(\|lc)|(penalty))"</v>
      </c>
      <c r="AG186" s="1" t="str">
        <f t="shared" si="70"/>
        <v>NW</v>
      </c>
      <c r="AH186" s="86" t="str">
        <f t="shared" si="71"/>
        <v>"%USERPROFILE%\Documents\GitHub\eaglep3\Utilities\RefineRTDCRunTimes.py" --tripid 829-09 --locoid 4011 --swversion DE.1.0.9.0 --startMP 204:1021 --initTime 2017-03-09T16:09:36 --startdatetime 2017-03-09T16:21:20 --delay 2 --endMP 300:58969 --enddatetime 2017-03-09T16:35:16 --enforcementcount 0 &gt;&gt;C:\Users\stu\Documents\GitHub\eaglep3-reporting\EC\2017-03-09-refined-times.txt</v>
      </c>
      <c r="AI186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{"issue":{"subject":"","project_id":79,"tracker_id":40,"status_id":1,"priority_id":2,"assigned_to_id":23,"start_date":"2017-03-09","description":"","custom_fields":[{"id":1,"name":"Subdivision","value":"NW"},{"id":4,"name":"Milepost","value":"5.8969"},{"id":17,"name":"Train ID","value":"829-09"},{"id":16,"name":"Locomotive ID","value":"4011"},{"id":130,"name":"Impact","value":""},{"id":150,"name":"Time of Event (Mountain Time)","value":"16:35:16"},{"id":151,"name":"Denver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73"/>
        <v>start /low /b %USERPROFILE%\Documents\GitHub\eaglep3\Utilities\DownloadLogsFromS3.py --loco 4011 --day 2017-03-09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"%USERPROFILE%\AppData\Local\Temp\OnboardLogs"\RTDC4011\*4011*20170309* | grep -SE "(Enforcement Action)|(\[TIMEOUT)|(CHR.+\|PRM\|1\|D.+(SWITCH|SIGNAL).+UNKNOWN)" - &gt;&gt; 2017-03-09-UncaughtWiMAX.txt</v>
      </c>
    </row>
    <row r="187" spans="1:91" x14ac:dyDescent="0.25">
      <c r="A187" s="33" t="s">
        <v>746</v>
      </c>
      <c r="B187" s="7">
        <v>4012</v>
      </c>
      <c r="C187" s="21" t="s">
        <v>242</v>
      </c>
      <c r="D187" s="21" t="s">
        <v>961</v>
      </c>
      <c r="E187" s="13">
        <v>42803.692002314812</v>
      </c>
      <c r="F187" s="13">
        <v>42803.693391203706</v>
      </c>
      <c r="G187" s="7">
        <v>0</v>
      </c>
      <c r="H187" s="21" t="s">
        <v>962</v>
      </c>
      <c r="I187" s="13">
        <v>42803.705555555556</v>
      </c>
      <c r="J187" s="7">
        <v>0</v>
      </c>
      <c r="K187" s="98" t="str">
        <f t="shared" si="56"/>
        <v>4011/4012</v>
      </c>
      <c r="L187" s="21" t="str">
        <f>VLOOKUP(A187,'Trips&amp;Operators'!$C$1:$G$99999,5,FALSE)</f>
        <v>LEVERE CRAIG</v>
      </c>
      <c r="M187" s="6">
        <f t="shared" si="57"/>
        <v>1.2164351850515231E-2</v>
      </c>
      <c r="N187" s="7">
        <f t="shared" si="58"/>
        <v>17.516666664741933</v>
      </c>
      <c r="O187" s="7"/>
      <c r="P187" s="7"/>
      <c r="Q187" s="22"/>
      <c r="R187" s="22"/>
      <c r="S187" s="31">
        <f t="shared" si="59"/>
        <v>1</v>
      </c>
      <c r="T187" s="46" t="str">
        <f t="shared" si="60"/>
        <v>Southbound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61"/>
        <v>https://d0f6bd738d7f1b3e5a7ca70fe4ff75f0.us-east-1.aws.found.io/app/kibana#/discover/Steve-Slow-Train-Analysis-(2080s-and-2083s)?_g=(refreshInterval:(display:Off,pause:!f,section:0,value:0),time:(from:'2017-03-09T15:36:29-0700',mode:absolute,to:'2017-03-09T17:56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87" s="187" t="str">
        <f t="shared" si="62"/>
        <v>N</v>
      </c>
      <c r="X187" s="187">
        <f t="shared" si="63"/>
        <v>1</v>
      </c>
      <c r="Y187" s="62">
        <f t="shared" si="64"/>
        <v>5.8642000000000003</v>
      </c>
      <c r="Z187" s="62">
        <f t="shared" si="65"/>
        <v>7.0300000000000001E-2</v>
      </c>
      <c r="AA187" s="62">
        <f t="shared" si="66"/>
        <v>5.7939000000000007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67"/>
        <v>0830-09</v>
      </c>
      <c r="AE187" s="85" t="str">
        <f t="shared" si="68"/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87" s="82" t="str">
        <f t="shared" si="69"/>
        <v>"C:\Program Files (x86)\AstroGrep\AstroGrep.exe" /e /r /s /spath="%USERPROFILE%\AppData\Local\Temp\OnboardLogs" /stypes="app*4012*20170309*" /stext=" 23:.+((SYSTEM_STATE.+slice.+state.+changed )|(ment ac)|(multiple cpu faults)|(system.+state.+changed )|(\[timeout)|(PRM\|1\|D)|(kpr)|(kdp)|(\|lc)|(penalty))"</v>
      </c>
      <c r="AG187" s="1" t="str">
        <f t="shared" si="70"/>
        <v>NW</v>
      </c>
      <c r="AH187" s="86" t="str">
        <f t="shared" si="71"/>
        <v>"%USERPROFILE%\Documents\GitHub\eaglep3\Utilities\RefineRTDCRunTimes.py" --tripid 830-09 --locoid 4012 --swversion DE.1.0.9.0 --startMP 300:58642 --initTime 2017-03-09T16:36:29 --startdatetime 2017-03-09T16:38:29 --delay 0 --endMP 204:703 --enddatetime 2017-03-09T16:56:00 --enforcementcount 0 &gt;&gt;C:\Users\stu\Documents\GitHub\eaglep3-reporting\EC\2017-03-09-refined-times.txt</v>
      </c>
      <c r="AI187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{"issue":{"subject":"","project_id":79,"tracker_id":40,"status_id":1,"priority_id":2,"assigned_to_id":23,"start_date":"2017-03-09","description":"","custom_fields":[{"id":1,"name":"Subdivision","value":"NW"},{"id":4,"name":"Milepost","value":"0.0703"},{"id":17,"name":"Train ID","value":"830-09"},{"id":16,"name":"Locomotive ID","value":"4012"},{"id":130,"name":"Impact","value":""},{"id":150,"name":"Time of Event (Mountain Time)","value":"16:56:00"},{"id":151,"name":"Denver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73"/>
        <v>start /low /b %USERPROFILE%\Documents\GitHub\eaglep3\Utilities\DownloadLogsFromS3.py --loco 4012 --day 2017-03-09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"%USERPROFILE%\AppData\Local\Temp\OnboardLogs"\RTDC4012\*4012*20170309* | grep -SE "(Enforcement Action)|(\[TIMEOUT)|(CHR.+\|PRM\|1\|D.+(SWITCH|SIGNAL).+UNKNOWN)" - &gt;&gt; 2017-03-09-UncaughtWiMAX.txt</v>
      </c>
    </row>
    <row r="188" spans="1:91" x14ac:dyDescent="0.25">
      <c r="A188" s="33" t="s">
        <v>601</v>
      </c>
      <c r="B188" s="7">
        <v>4007</v>
      </c>
      <c r="C188" s="21" t="s">
        <v>242</v>
      </c>
      <c r="D188" s="21" t="s">
        <v>963</v>
      </c>
      <c r="E188" s="13">
        <v>42803.699421296296</v>
      </c>
      <c r="F188" s="13">
        <v>42803.702314814815</v>
      </c>
      <c r="G188" s="7">
        <v>1</v>
      </c>
      <c r="H188" s="21" t="s">
        <v>964</v>
      </c>
      <c r="I188" s="13">
        <v>42803.712094907409</v>
      </c>
      <c r="J188" s="7">
        <v>0</v>
      </c>
      <c r="K188" s="98" t="str">
        <f t="shared" si="56"/>
        <v>4007/4008</v>
      </c>
      <c r="L188" s="21" t="str">
        <f>VLOOKUP(A188,'Trips&amp;Operators'!$C$1:$G$99999,5,FALSE)</f>
        <v>STORY SAMANTHA</v>
      </c>
      <c r="M188" s="6">
        <f t="shared" si="57"/>
        <v>9.7800925941555761E-3</v>
      </c>
      <c r="N188" s="7">
        <f t="shared" si="58"/>
        <v>14.08333333558403</v>
      </c>
      <c r="O188" s="7"/>
      <c r="P188" s="7"/>
      <c r="Q188" s="22"/>
      <c r="R188" s="22"/>
      <c r="S188" s="31">
        <f t="shared" si="59"/>
        <v>1</v>
      </c>
      <c r="T188" s="46" t="str">
        <f t="shared" si="60"/>
        <v>NorthBound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61"/>
        <v>https://d0f6bd738d7f1b3e5a7ca70fe4ff75f0.us-east-1.aws.found.io/app/kibana#/discover/Steve-Slow-Train-Analysis-(2080s-and-2083s)?_g=(refreshInterval:(display:Off,pause:!f,section:0,value:0),time:(from:'2017-03-09T15:47:10-0700',mode:absolute,to:'2017-03-09T18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8" s="187" t="str">
        <f t="shared" si="62"/>
        <v>N</v>
      </c>
      <c r="X188" s="187">
        <f t="shared" si="63"/>
        <v>1</v>
      </c>
      <c r="Y188" s="62">
        <f t="shared" si="64"/>
        <v>0.10879999999999999</v>
      </c>
      <c r="Z188" s="62">
        <f t="shared" si="65"/>
        <v>5.8087999999999997</v>
      </c>
      <c r="AA188" s="62">
        <f t="shared" si="66"/>
        <v>5.7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67"/>
        <v>0831-09</v>
      </c>
      <c r="AE188" s="85" t="str">
        <f t="shared" si="68"/>
        <v>aws s3 cp s3://rtdc.mdm.uploadarchive.raw/RTDC4007/ "%USERPROFILE%\AppData\Local\Temp\OnboardLogs"\RTDC4007\2017-03-09 --exclude "*" --recursive --include "*20170309*" &amp; "%USERPROFILE%\Documents\GitHub\mrs-test-scripts\Headless Mode &amp; Sideloading\WalkAndUnGZ.bat" "%USERPROFILE%\AppData\Local\Temp\OnboardLogs"\RTDC4007\2017-03-09 &amp; aws s3 cp s3://rtdc.mdm.uploadarchive.raw/RTDC4007/ "%USERPROFILE%\AppData\Local\Temp\OnboardLogs"\RTDC4007\2017-03-10 --exclude "*" --recursive --include "*20170310*" &amp; "%USERPROFILE%\Documents\GitHub\mrs-test-scripts\Headless Mode &amp; Sideloading\WalkAndUnGZ.bat" "%USERPROFILE%\AppData\Local\Temp\OnboardLogs"\RTDC4007\2017-03-10</v>
      </c>
      <c r="AF188" s="82" t="str">
        <f t="shared" si="69"/>
        <v>"C:\Program Files (x86)\AstroGrep\AstroGrep.exe" /e /r /s /spath="%USERPROFILE%\AppData\Local\Temp\OnboardLogs" /stypes="app*4007*20170310*" /stext=" 00:.+((SYSTEM_STATE.+slice.+state.+changed )|(ment ac)|(multiple cpu faults)|(system.+state.+changed )|(\[timeout)|(PRM\|1\|D)|(kpr)|(kdp)|(\|lc)|(penalty))"</v>
      </c>
      <c r="AG188" s="1" t="str">
        <f t="shared" si="70"/>
        <v>NW</v>
      </c>
      <c r="AH188" s="86" t="str">
        <f t="shared" si="71"/>
        <v>"%USERPROFILE%\Documents\GitHub\eaglep3\Utilities\RefineRTDCRunTimes.py" --tripid 831-09 --locoid 4007 --swversion DE.1.0.9.0 --startMP 204:1088 --initTime 2017-03-09T16:47:10 --startdatetime 2017-03-09T16:51:20 --delay 1 --endMP 300:58088 --enddatetime 2017-03-09T17:05:25 --enforcementcount 0 &gt;&gt;C:\Users\stu\Documents\GitHub\eaglep3-reporting\EC\2017-03-09-refined-times.txt</v>
      </c>
      <c r="AI188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{"issue":{"subject":"","project_id":79,"tracker_id":40,"status_id":1,"priority_id":2,"assigned_to_id":23,"start_date":"2017-03-09","description":"","custom_fields":[{"id":1,"name":"Subdivision","value":"NW"},{"id":4,"name":"Milepost","value":"5.8088"},{"id":17,"name":"Train ID","value":"831-09"},{"id":16,"name":"Locomotive ID","value":"4007"},{"id":130,"name":"Impact","value":""},{"id":150,"name":"Time of Event (Mountain Time)","value":"17:05:25"},{"id":151,"name":"Denver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73"/>
        <v>start /low /b %USERPROFILE%\Documents\GitHub\eaglep3\Utilities\DownloadLogsFromS3.py --loco 4007 --day 2017-03-09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"%USERPROFILE%\AppData\Local\Temp\OnboardLogs"\RTDC4007\*4007*20170309* | grep -SE "(Enforcement Action)|(\[TIMEOUT)|(CHR.+\|PRM\|1\|D.+(SWITCH|SIGNAL).+UNKNOWN)" - &gt;&gt; 2017-03-09-UncaughtWiMAX.txt</v>
      </c>
    </row>
    <row r="189" spans="1:91" x14ac:dyDescent="0.25">
      <c r="A189" s="33" t="s">
        <v>750</v>
      </c>
      <c r="B189" s="7">
        <v>4008</v>
      </c>
      <c r="C189" s="21" t="s">
        <v>242</v>
      </c>
      <c r="D189" s="21" t="s">
        <v>965</v>
      </c>
      <c r="E189" s="13">
        <v>42803.713067129633</v>
      </c>
      <c r="F189" s="13">
        <v>42803.71775462963</v>
      </c>
      <c r="G189" s="7">
        <v>2</v>
      </c>
      <c r="H189" s="21" t="s">
        <v>966</v>
      </c>
      <c r="I189" s="13">
        <v>42803.727361111109</v>
      </c>
      <c r="J189" s="7">
        <v>0</v>
      </c>
      <c r="K189" s="98" t="str">
        <f t="shared" si="56"/>
        <v>4007/4008</v>
      </c>
      <c r="L189" s="21" t="str">
        <f>VLOOKUP(A189,'Trips&amp;Operators'!$C$1:$G$99999,5,FALSE)</f>
        <v>STORY SAMANTHA</v>
      </c>
      <c r="M189" s="6">
        <f t="shared" si="57"/>
        <v>9.6064814788405783E-3</v>
      </c>
      <c r="N189" s="7">
        <f t="shared" si="58"/>
        <v>13.833333329530433</v>
      </c>
      <c r="O189" s="7"/>
      <c r="P189" s="7"/>
      <c r="Q189" s="22"/>
      <c r="R189" s="22"/>
      <c r="S189" s="31">
        <f t="shared" si="59"/>
        <v>1</v>
      </c>
      <c r="T189" s="46" t="str">
        <f t="shared" si="60"/>
        <v>Southbound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61"/>
        <v>https://d0f6bd738d7f1b3e5a7ca70fe4ff75f0.us-east-1.aws.found.io/app/kibana#/discover/Steve-Slow-Train-Analysis-(2080s-and-2083s)?_g=(refreshInterval:(display:Off,pause:!f,section:0,value:0),time:(from:'2017-03-09T16:06:49-0700',mode:absolute,to:'2017-03-09T18:27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9" s="187" t="str">
        <f t="shared" si="62"/>
        <v>N</v>
      </c>
      <c r="X189" s="187">
        <f t="shared" si="63"/>
        <v>1</v>
      </c>
      <c r="Y189" s="62">
        <f t="shared" si="64"/>
        <v>5.7339000000000002</v>
      </c>
      <c r="Z189" s="62">
        <f t="shared" si="65"/>
        <v>6.3100000000000003E-2</v>
      </c>
      <c r="AA189" s="62">
        <f t="shared" si="66"/>
        <v>5.6707999999999998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67"/>
        <v>0832-09</v>
      </c>
      <c r="AE189" s="85" t="str">
        <f t="shared" si="68"/>
        <v>aws s3 cp s3://rtdc.mdm.uploadarchive.raw/RTDC4008/ "%USERPROFILE%\AppData\Local\Temp\OnboardLogs"\RTDC4008\2017-03-09 --exclude "*" --recursive --include "*20170309*" &amp; "%USERPROFILE%\Documents\GitHub\mrs-test-scripts\Headless Mode &amp; Sideloading\WalkAndUnGZ.bat" "%USERPROFILE%\AppData\Local\Temp\OnboardLogs"\RTDC4008\2017-03-09 &amp; aws s3 cp s3://rtdc.mdm.uploadarchive.raw/RTDC4008/ "%USERPROFILE%\AppData\Local\Temp\OnboardLogs"\RTDC4008\2017-03-10 --exclude "*" --recursive --include "*20170310*" &amp; "%USERPROFILE%\Documents\GitHub\mrs-test-scripts\Headless Mode &amp; Sideloading\WalkAndUnGZ.bat" "%USERPROFILE%\AppData\Local\Temp\OnboardLogs"\RTDC4008\2017-03-10</v>
      </c>
      <c r="AF189" s="82" t="str">
        <f t="shared" si="69"/>
        <v>"C:\Program Files (x86)\AstroGrep\AstroGrep.exe" /e /r /s /spath="%USERPROFILE%\AppData\Local\Temp\OnboardLogs" /stypes="app*4008*20170310*" /stext=" 00:.+((SYSTEM_STATE.+slice.+state.+changed )|(ment ac)|(multiple cpu faults)|(system.+state.+changed )|(\[timeout)|(PRM\|1\|D)|(kpr)|(kdp)|(\|lc)|(penalty))"</v>
      </c>
      <c r="AG189" s="1" t="str">
        <f t="shared" si="70"/>
        <v>NW</v>
      </c>
      <c r="AH189" s="86" t="str">
        <f t="shared" si="71"/>
        <v>"%USERPROFILE%\Documents\GitHub\eaglep3\Utilities\RefineRTDCRunTimes.py" --tripid 832-09 --locoid 4008 --swversion DE.1.0.9.0 --startMP 300:57339 --initTime 2017-03-09T17:06:49 --startdatetime 2017-03-09T17:13:34 --delay 2 --endMP 204:631 --enddatetime 2017-03-09T17:27:24 --enforcementcount 0 &gt;&gt;C:\Users\stu\Documents\GitHub\eaglep3-reporting\EC\2017-03-09-refined-times.txt</v>
      </c>
      <c r="AI189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{"issue":{"subject":"","project_id":79,"tracker_id":40,"status_id":1,"priority_id":2,"assigned_to_id":23,"start_date":"2017-03-09","description":"","custom_fields":[{"id":1,"name":"Subdivision","value":"NW"},{"id":4,"name":"Milepost","value":"0.0631"},{"id":17,"name":"Train ID","value":"832-09"},{"id":16,"name":"Locomotive ID","value":"4008"},{"id":130,"name":"Impact","value":""},{"id":150,"name":"Time of Event (Mountain Time)","value":"17:27:24"},{"id":151,"name":"Denver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73"/>
        <v>start /low /b %USERPROFILE%\Documents\GitHub\eaglep3\Utilities\DownloadLogsFromS3.py --loco 4008 --day 2017-03-09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"%USERPROFILE%\AppData\Local\Temp\OnboardLogs"\RTDC4008\*4008*20170310* | grep -SE "(Enforcement Action)|(\[TIMEOUT)|(CHR.+\|PRM\|1\|D.+(SWITCH|SIGNAL).+UNKNOWN)" - &gt;&gt; 2017-03-09-UncaughtWiMAX.txt</v>
      </c>
    </row>
    <row r="190" spans="1:91" x14ac:dyDescent="0.25">
      <c r="A190" s="33" t="s">
        <v>751</v>
      </c>
      <c r="B190" s="7">
        <v>4011</v>
      </c>
      <c r="C190" s="21" t="s">
        <v>242</v>
      </c>
      <c r="D190" s="21" t="s">
        <v>967</v>
      </c>
      <c r="E190" s="13">
        <v>42803.71707175926</v>
      </c>
      <c r="F190" s="13">
        <v>42803.72315972222</v>
      </c>
      <c r="G190" s="7">
        <v>1</v>
      </c>
      <c r="H190" s="21" t="s">
        <v>968</v>
      </c>
      <c r="I190" s="13">
        <v>42803.733148148145</v>
      </c>
      <c r="J190" s="7">
        <v>0</v>
      </c>
      <c r="K190" s="98" t="str">
        <f t="shared" si="56"/>
        <v>4011/4012</v>
      </c>
      <c r="L190" s="21" t="str">
        <f>VLOOKUP(A190,'Trips&amp;Operators'!$C$1:$G$99999,5,FALSE)</f>
        <v>LEVERE CRAIG</v>
      </c>
      <c r="M190" s="6">
        <f t="shared" si="57"/>
        <v>9.9884259252576157E-3</v>
      </c>
      <c r="N190" s="7">
        <f t="shared" si="58"/>
        <v>14.383333332370967</v>
      </c>
      <c r="O190" s="7"/>
      <c r="P190" s="7"/>
      <c r="Q190" s="22"/>
      <c r="R190" s="22"/>
      <c r="S190" s="31">
        <f t="shared" si="59"/>
        <v>1</v>
      </c>
      <c r="T190" s="46" t="str">
        <f t="shared" si="60"/>
        <v>NorthBound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61"/>
        <v>https://d0f6bd738d7f1b3e5a7ca70fe4ff75f0.us-east-1.aws.found.io/app/kibana#/discover/Steve-Slow-Train-Analysis-(2080s-and-2083s)?_g=(refreshInterval:(display:Off,pause:!f,section:0,value:0),time:(from:'2017-03-09T16:12:35-0700',mode:absolute,to:'2017-03-09T18:35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0" s="187" t="str">
        <f t="shared" si="62"/>
        <v>N</v>
      </c>
      <c r="X190" s="187">
        <f t="shared" si="63"/>
        <v>1</v>
      </c>
      <c r="Y190" s="62">
        <f t="shared" si="64"/>
        <v>9.7900000000000001E-2</v>
      </c>
      <c r="Z190" s="62">
        <f t="shared" si="65"/>
        <v>5.8964999999999996</v>
      </c>
      <c r="AA190" s="62">
        <f t="shared" si="66"/>
        <v>5.7985999999999995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67"/>
        <v>0833-09</v>
      </c>
      <c r="AE190" s="85" t="str">
        <f t="shared" si="68"/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90" s="82" t="str">
        <f t="shared" si="69"/>
        <v>"C:\Program Files (x86)\AstroGrep\AstroGrep.exe" /e /r /s /spath="%USERPROFILE%\AppData\Local\Temp\OnboardLogs" /stypes="app*4011*20170310*" /stext=" 00:.+((SYSTEM_STATE.+slice.+state.+changed )|(ment ac)|(multiple cpu faults)|(system.+state.+changed )|(\[timeout)|(PRM\|1\|D)|(kpr)|(kdp)|(\|lc)|(penalty))"</v>
      </c>
      <c r="AG190" s="1" t="str">
        <f t="shared" si="70"/>
        <v>NW</v>
      </c>
      <c r="AH190" s="86" t="str">
        <f t="shared" si="71"/>
        <v>"%USERPROFILE%\Documents\GitHub\eaglep3\Utilities\RefineRTDCRunTimes.py" --tripid 833-09 --locoid 4011 --swversion DE.1.0.9.0 --startMP 204:979 --initTime 2017-03-09T17:12:35 --startdatetime 2017-03-09T17:21:21 --delay 1 --endMP 300:58965 --enddatetime 2017-03-09T17:35:44 --enforcementcount 0 &gt;&gt;C:\Users\stu\Documents\GitHub\eaglep3-reporting\EC\2017-03-09-refined-times.txt</v>
      </c>
      <c r="AI190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{"issue":{"subject":"","project_id":79,"tracker_id":40,"status_id":1,"priority_id":2,"assigned_to_id":23,"start_date":"2017-03-09","description":"","custom_fields":[{"id":1,"name":"Subdivision","value":"NW"},{"id":4,"name":"Milepost","value":"5.8965"},{"id":17,"name":"Train ID","value":"833-09"},{"id":16,"name":"Locomotive ID","value":"4011"},{"id":130,"name":"Impact","value":""},{"id":150,"name":"Time of Event (Mountain Time)","value":"17:35:44"},{"id":151,"name":"Denver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73"/>
        <v>start /low /b %USERPROFILE%\Documents\GitHub\eaglep3\Utilities\DownloadLogsFromS3.py --loco 4011 --day 2017-03-09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"%USERPROFILE%\AppData\Local\Temp\OnboardLogs"\RTDC4011\*4011*20170310* | grep -SE "(Enforcement Action)|(\[TIMEOUT)|(CHR.+\|PRM\|1\|D.+(SWITCH|SIGNAL).+UNKNOWN)" - &gt;&gt; 2017-03-09-UncaughtWiMAX.txt</v>
      </c>
    </row>
    <row r="191" spans="1:91" x14ac:dyDescent="0.25">
      <c r="A191" s="33" t="s">
        <v>759</v>
      </c>
      <c r="B191" s="7">
        <v>4012</v>
      </c>
      <c r="C191" s="21" t="s">
        <v>242</v>
      </c>
      <c r="D191" s="21" t="s">
        <v>928</v>
      </c>
      <c r="E191" s="13">
        <v>42803.73400462963</v>
      </c>
      <c r="F191" s="13">
        <v>42803.735625000001</v>
      </c>
      <c r="G191" s="7">
        <v>1</v>
      </c>
      <c r="H191" s="21" t="s">
        <v>568</v>
      </c>
      <c r="I191" s="13">
        <v>42803.750821759262</v>
      </c>
      <c r="J191" s="7">
        <v>0</v>
      </c>
      <c r="K191" s="98" t="str">
        <f t="shared" si="56"/>
        <v>4011/4012</v>
      </c>
      <c r="L191" s="21" t="str">
        <f>VLOOKUP(A191,'Trips&amp;Operators'!$C$1:$G$99999,5,FALSE)</f>
        <v>LEVERE CRAIG</v>
      </c>
      <c r="M191" s="6">
        <f t="shared" si="57"/>
        <v>1.5196759261016268E-2</v>
      </c>
      <c r="N191" s="7">
        <f t="shared" si="58"/>
        <v>21.883333335863426</v>
      </c>
      <c r="O191" s="7"/>
      <c r="P191" s="7"/>
      <c r="Q191" s="22"/>
      <c r="R191" s="22"/>
      <c r="S191" s="31">
        <f t="shared" si="59"/>
        <v>1</v>
      </c>
      <c r="T191" s="46" t="str">
        <f t="shared" si="60"/>
        <v>Southbound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61"/>
        <v>https://d0f6bd738d7f1b3e5a7ca70fe4ff75f0.us-east-1.aws.found.io/app/kibana#/discover/Steve-Slow-Train-Analysis-(2080s-and-2083s)?_g=(refreshInterval:(display:Off,pause:!f,section:0,value:0),time:(from:'2017-03-09T16:36:58-0700',mode:absolute,to:'2017-03-09T19:01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1" s="187" t="str">
        <f t="shared" si="62"/>
        <v>N</v>
      </c>
      <c r="X191" s="187">
        <f t="shared" si="63"/>
        <v>1</v>
      </c>
      <c r="Y191" s="62">
        <f t="shared" si="64"/>
        <v>5.8640999999999996</v>
      </c>
      <c r="Z191" s="62">
        <f t="shared" si="65"/>
        <v>6.9400000000000003E-2</v>
      </c>
      <c r="AA191" s="62">
        <f t="shared" si="66"/>
        <v>5.7946999999999997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67"/>
        <v>0834-09</v>
      </c>
      <c r="AE191" s="85" t="str">
        <f t="shared" si="68"/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91" s="82" t="str">
        <f t="shared" si="69"/>
        <v>"C:\Program Files (x86)\AstroGrep\AstroGrep.exe" /e /r /s /spath="%USERPROFILE%\AppData\Local\Temp\OnboardLogs" /stypes="app*4012*20170310*" /stext=" 01:.+((SYSTEM_STATE.+slice.+state.+changed )|(ment ac)|(multiple cpu faults)|(system.+state.+changed )|(\[timeout)|(PRM\|1\|D)|(kpr)|(kdp)|(\|lc)|(penalty))"</v>
      </c>
      <c r="AG191" s="1" t="str">
        <f t="shared" si="70"/>
        <v>NW</v>
      </c>
      <c r="AH191" s="86" t="str">
        <f t="shared" si="71"/>
        <v>"%USERPROFILE%\Documents\GitHub\eaglep3\Utilities\RefineRTDCRunTimes.py" --tripid 834-09 --locoid 4012 --swversion DE.1.0.9.0 --startMP 300:58641 --initTime 2017-03-09T17:36:58 --startdatetime 2017-03-09T17:39:18 --delay 1 --endMP 204:694 --enddatetime 2017-03-09T18:01:11 --enforcementcount 0 &gt;&gt;C:\Users\stu\Documents\GitHub\eaglep3-reporting\EC\2017-03-09-refined-times.txt</v>
      </c>
      <c r="AI191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{"issue":{"subject":"","project_id":79,"tracker_id":40,"status_id":1,"priority_id":2,"assigned_to_id":23,"start_date":"2017-03-09","description":"","custom_fields":[{"id":1,"name":"Subdivision","value":"NW"},{"id":4,"name":"Milepost","value":"0.0694"},{"id":17,"name":"Train ID","value":"834-09"},{"id":16,"name":"Locomotive ID","value":"4012"},{"id":130,"name":"Impact","value":""},{"id":150,"name":"Time of Event (Mountain Time)","value":"18:01:11"},{"id":151,"name":"Denver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73"/>
        <v>start /low /b %USERPROFILE%\Documents\GitHub\eaglep3\Utilities\DownloadLogsFromS3.py --loco 4012 --day 2017-03-09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"%USERPROFILE%\AppData\Local\Temp\OnboardLogs"\RTDC4012\*4012*20170310* | grep -SE "(Enforcement Action)|(\[TIMEOUT)|(CHR.+\|PRM\|1\|D.+(SWITCH|SIGNAL).+UNKNOWN)" - &gt;&gt; 2017-03-09-UncaughtWiMAX.txt</v>
      </c>
    </row>
    <row r="192" spans="1:91" x14ac:dyDescent="0.25">
      <c r="A192" s="33" t="s">
        <v>606</v>
      </c>
      <c r="B192" s="7">
        <v>4007</v>
      </c>
      <c r="C192" s="21" t="s">
        <v>242</v>
      </c>
      <c r="D192" s="21" t="s">
        <v>969</v>
      </c>
      <c r="E192" s="13">
        <v>42803.73841435185</v>
      </c>
      <c r="F192" s="13">
        <v>42803.746562499997</v>
      </c>
      <c r="G192" s="7">
        <v>1</v>
      </c>
      <c r="H192" s="21" t="s">
        <v>970</v>
      </c>
      <c r="I192" s="13">
        <v>42803.759467592594</v>
      </c>
      <c r="J192" s="7">
        <v>0</v>
      </c>
      <c r="K192" s="98" t="str">
        <f t="shared" si="56"/>
        <v>4007/4008</v>
      </c>
      <c r="L192" s="21" t="str">
        <f>VLOOKUP(A192,'Trips&amp;Operators'!$C$1:$G$99999,5,FALSE)</f>
        <v>STORY SAMANTHA</v>
      </c>
      <c r="M192" s="6">
        <f t="shared" si="57"/>
        <v>1.2905092597065959E-2</v>
      </c>
      <c r="N192" s="7">
        <f t="shared" si="58"/>
        <v>18.583333339774981</v>
      </c>
      <c r="O192" s="7"/>
      <c r="P192" s="7"/>
      <c r="Q192" s="22"/>
      <c r="R192" s="22"/>
      <c r="S192" s="31">
        <f t="shared" si="59"/>
        <v>1</v>
      </c>
      <c r="T192" s="46" t="str">
        <f t="shared" si="60"/>
        <v>NorthBound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61"/>
        <v>https://d0f6bd738d7f1b3e5a7ca70fe4ff75f0.us-east-1.aws.found.io/app/kibana#/discover/Steve-Slow-Train-Analysis-(2080s-and-2083s)?_g=(refreshInterval:(display:Off,pause:!f,section:0,value:0),time:(from:'2017-03-09T16:43:19-0700',mode:absolute,to:'2017-03-09T19:13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2" s="187" t="str">
        <f t="shared" si="62"/>
        <v>N</v>
      </c>
      <c r="X192" s="187">
        <f t="shared" si="63"/>
        <v>1</v>
      </c>
      <c r="Y192" s="62">
        <f t="shared" si="64"/>
        <v>9.0800000000000006E-2</v>
      </c>
      <c r="Z192" s="62">
        <f t="shared" si="65"/>
        <v>5.8983999999999996</v>
      </c>
      <c r="AA192" s="62">
        <f t="shared" si="66"/>
        <v>5.8075999999999999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67"/>
        <v>0835-09</v>
      </c>
      <c r="AE192" s="85" t="str">
        <f t="shared" si="68"/>
        <v>aws s3 cp s3://rtdc.mdm.uploadarchive.raw/RTDC4007/ "%USERPROFILE%\AppData\Local\Temp\OnboardLogs"\RTDC4007\2017-03-09 --exclude "*" --recursive --include "*20170309*" &amp; "%USERPROFILE%\Documents\GitHub\mrs-test-scripts\Headless Mode &amp; Sideloading\WalkAndUnGZ.bat" "%USERPROFILE%\AppData\Local\Temp\OnboardLogs"\RTDC4007\2017-03-09 &amp; aws s3 cp s3://rtdc.mdm.uploadarchive.raw/RTDC4007/ "%USERPROFILE%\AppData\Local\Temp\OnboardLogs"\RTDC4007\2017-03-10 --exclude "*" --recursive --include "*20170310*" &amp; "%USERPROFILE%\Documents\GitHub\mrs-test-scripts\Headless Mode &amp; Sideloading\WalkAndUnGZ.bat" "%USERPROFILE%\AppData\Local\Temp\OnboardLogs"\RTDC4007\2017-03-10</v>
      </c>
      <c r="AF192" s="82" t="str">
        <f t="shared" si="69"/>
        <v>"C:\Program Files (x86)\AstroGrep\AstroGrep.exe" /e /r /s /spath="%USERPROFILE%\AppData\Local\Temp\OnboardLogs" /stypes="app*4007*20170310*" /stext=" 01:.+((SYSTEM_STATE.+slice.+state.+changed )|(ment ac)|(multiple cpu faults)|(system.+state.+changed )|(\[timeout)|(PRM\|1\|D)|(kpr)|(kdp)|(\|lc)|(penalty))"</v>
      </c>
      <c r="AG192" s="1" t="str">
        <f t="shared" si="70"/>
        <v>NW</v>
      </c>
      <c r="AH192" s="86" t="str">
        <f t="shared" si="71"/>
        <v>"%USERPROFILE%\Documents\GitHub\eaglep3\Utilities\RefineRTDCRunTimes.py" --tripid 835-09 --locoid 4007 --swversion DE.1.0.9.0 --startMP 204:908 --initTime 2017-03-09T17:43:19 --startdatetime 2017-03-09T17:55:03 --delay 1 --endMP 300:58984 --enddatetime 2017-03-09T18:13:38 --enforcementcount 0 &gt;&gt;C:\Users\stu\Documents\GitHub\eaglep3-reporting\EC\2017-03-09-refined-times.txt</v>
      </c>
      <c r="AI192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{"issue":{"subject":"","project_id":79,"tracker_id":40,"status_id":1,"priority_id":2,"assigned_to_id":23,"start_date":"2017-03-09","description":"","custom_fields":[{"id":1,"name":"Subdivision","value":"NW"},{"id":4,"name":"Milepost","value":"5.8984"},{"id":17,"name":"Train ID","value":"835-09"},{"id":16,"name":"Locomotive ID","value":"4007"},{"id":130,"name":"Impact","value":""},{"id":150,"name":"Time of Event (Mountain Time)","value":"18:13:38"},{"id":151,"name":"Denver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73"/>
        <v>start /low /b %USERPROFILE%\Documents\GitHub\eaglep3\Utilities\DownloadLogsFromS3.py --loco 4007 --day 2017-03-09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"%USERPROFILE%\AppData\Local\Temp\OnboardLogs"\RTDC4007\*4007*20170310* | grep -SE "(Enforcement Action)|(\[TIMEOUT)|(CHR.+\|PRM\|1\|D.+(SWITCH|SIGNAL).+UNKNOWN)" - &gt;&gt; 2017-03-09-UncaughtWiMAX.txt</v>
      </c>
    </row>
    <row r="193" spans="1:40" x14ac:dyDescent="0.25">
      <c r="A193" s="33" t="s">
        <v>769</v>
      </c>
      <c r="B193" s="7">
        <v>4008</v>
      </c>
      <c r="C193" s="21" t="s">
        <v>242</v>
      </c>
      <c r="D193" s="21" t="s">
        <v>971</v>
      </c>
      <c r="E193" s="13">
        <v>42803.760254629633</v>
      </c>
      <c r="F193" s="13">
        <v>42803.761516203704</v>
      </c>
      <c r="G193" s="7">
        <v>1</v>
      </c>
      <c r="H193" s="21" t="s">
        <v>917</v>
      </c>
      <c r="I193" s="13">
        <v>42803.77034722222</v>
      </c>
      <c r="J193" s="7">
        <v>0</v>
      </c>
      <c r="K193" s="98" t="str">
        <f t="shared" si="56"/>
        <v>4007/4008</v>
      </c>
      <c r="L193" s="21" t="str">
        <f>VLOOKUP(A193,'Trips&amp;Operators'!$C$1:$G$99999,5,FALSE)</f>
        <v>STORY SAMANTHA</v>
      </c>
      <c r="M193" s="6">
        <f t="shared" si="57"/>
        <v>8.8310185165028088E-3</v>
      </c>
      <c r="N193" s="7">
        <f t="shared" si="58"/>
        <v>12.716666663764045</v>
      </c>
      <c r="O193" s="7"/>
      <c r="P193" s="7"/>
      <c r="Q193" s="22"/>
      <c r="R193" s="22"/>
      <c r="S193" s="31">
        <f t="shared" si="59"/>
        <v>1</v>
      </c>
      <c r="T193" s="46" t="str">
        <f t="shared" si="60"/>
        <v>Southbound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61"/>
        <v>https://d0f6bd738d7f1b3e5a7ca70fe4ff75f0.us-east-1.aws.found.io/app/kibana#/discover/Steve-Slow-Train-Analysis-(2080s-and-2083s)?_g=(refreshInterval:(display:Off,pause:!f,section:0,value:0),time:(from:'2017-03-09T17:14:46-0700',mode:absolute,to:'2017-03-09T19:29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3" s="187" t="str">
        <f t="shared" si="62"/>
        <v>N</v>
      </c>
      <c r="X193" s="187">
        <f t="shared" si="63"/>
        <v>1</v>
      </c>
      <c r="Y193" s="62">
        <f t="shared" si="64"/>
        <v>5.8663999999999996</v>
      </c>
      <c r="Z193" s="62">
        <f t="shared" si="65"/>
        <v>7.1900000000000006E-2</v>
      </c>
      <c r="AA193" s="62">
        <f t="shared" si="66"/>
        <v>5.7944999999999993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67"/>
        <v>0836-09</v>
      </c>
      <c r="AE193" s="85" t="str">
        <f t="shared" si="68"/>
        <v>aws s3 cp s3://rtdc.mdm.uploadarchive.raw/RTDC4008/ "%USERPROFILE%\AppData\Local\Temp\OnboardLogs"\RTDC4008\2017-03-09 --exclude "*" --recursive --include "*20170309*" &amp; "%USERPROFILE%\Documents\GitHub\mrs-test-scripts\Headless Mode &amp; Sideloading\WalkAndUnGZ.bat" "%USERPROFILE%\AppData\Local\Temp\OnboardLogs"\RTDC4008\2017-03-09 &amp; aws s3 cp s3://rtdc.mdm.uploadarchive.raw/RTDC4008/ "%USERPROFILE%\AppData\Local\Temp\OnboardLogs"\RTDC4008\2017-03-10 --exclude "*" --recursive --include "*20170310*" &amp; "%USERPROFILE%\Documents\GitHub\mrs-test-scripts\Headless Mode &amp; Sideloading\WalkAndUnGZ.bat" "%USERPROFILE%\AppData\Local\Temp\OnboardLogs"\RTDC4008\2017-03-10</v>
      </c>
      <c r="AF193" s="82" t="str">
        <f t="shared" si="69"/>
        <v>"C:\Program Files (x86)\AstroGrep\AstroGrep.exe" /e /r /s /spath="%USERPROFILE%\AppData\Local\Temp\OnboardLogs" /stypes="app*4008*20170310*" /stext=" 01:.+((SYSTEM_STATE.+slice.+state.+changed )|(ment ac)|(multiple cpu faults)|(system.+state.+changed )|(\[timeout)|(PRM\|1\|D)|(kpr)|(kdp)|(\|lc)|(penalty))"</v>
      </c>
      <c r="AG193" s="1" t="str">
        <f t="shared" si="70"/>
        <v>NW</v>
      </c>
      <c r="AH193" s="86" t="str">
        <f t="shared" si="71"/>
        <v>"%USERPROFILE%\Documents\GitHub\eaglep3\Utilities\RefineRTDCRunTimes.py" --tripid 836-09 --locoid 4008 --swversion DE.1.0.9.0 --startMP 300:58664 --initTime 2017-03-09T18:14:46 --startdatetime 2017-03-09T18:16:35 --delay 1 --endMP 204:719 --enddatetime 2017-03-09T18:29:18 --enforcementcount 0 &gt;&gt;C:\Users\stu\Documents\GitHub\eaglep3-reporting\EC\2017-03-09-refined-times.txt</v>
      </c>
      <c r="AI193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{"issue":{"subject":"","project_id":79,"tracker_id":40,"status_id":1,"priority_id":2,"assigned_to_id":23,"start_date":"2017-03-09","description":"","custom_fields":[{"id":1,"name":"Subdivision","value":"NW"},{"id":4,"name":"Milepost","value":"0.0719"},{"id":17,"name":"Train ID","value":"836-09"},{"id":16,"name":"Locomotive ID","value":"4008"},{"id":130,"name":"Impact","value":""},{"id":150,"name":"Time of Event (Mountain Time)","value":"18:29:18"},{"id":151,"name":"Denver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73"/>
        <v>start /low /b %USERPROFILE%\Documents\GitHub\eaglep3\Utilities\DownloadLogsFromS3.py --loco 4008 --day 2017-03-09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"%USERPROFILE%\AppData\Local\Temp\OnboardLogs"\RTDC4008\*4008*20170310* | grep -SE "(Enforcement Action)|(\[TIMEOUT)|(CHR.+\|PRM\|1\|D.+(SWITCH|SIGNAL).+UNKNOWN)" - &gt;&gt; 2017-03-09-UncaughtWiMAX.txt</v>
      </c>
    </row>
    <row r="194" spans="1:40" x14ac:dyDescent="0.25">
      <c r="A194" s="33" t="s">
        <v>768</v>
      </c>
      <c r="B194" s="7">
        <v>4011</v>
      </c>
      <c r="C194" s="21" t="s">
        <v>242</v>
      </c>
      <c r="D194" s="21" t="s">
        <v>569</v>
      </c>
      <c r="E194" s="13">
        <v>42803.756655092591</v>
      </c>
      <c r="F194" s="13">
        <v>42803.764803240738</v>
      </c>
      <c r="G194" s="7">
        <v>2</v>
      </c>
      <c r="H194" s="21" t="s">
        <v>439</v>
      </c>
      <c r="I194" s="13">
        <v>42803.774756944447</v>
      </c>
      <c r="J194" s="7">
        <v>0</v>
      </c>
      <c r="K194" s="98" t="str">
        <f t="shared" si="56"/>
        <v>4011/4012</v>
      </c>
      <c r="L194" s="21" t="str">
        <f>VLOOKUP(A194,'Trips&amp;Operators'!$C$1:$G$99999,5,FALSE)</f>
        <v>LEVERE CRAIG</v>
      </c>
      <c r="M194" s="6">
        <f t="shared" si="57"/>
        <v>9.9537037094705738E-3</v>
      </c>
      <c r="N194" s="7">
        <f t="shared" si="58"/>
        <v>14.333333341637626</v>
      </c>
      <c r="O194" s="7"/>
      <c r="P194" s="7"/>
      <c r="Q194" s="22"/>
      <c r="R194" s="22"/>
      <c r="S194" s="31">
        <f t="shared" si="59"/>
        <v>1</v>
      </c>
      <c r="T194" s="46" t="str">
        <f t="shared" si="60"/>
        <v>NorthBound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61"/>
        <v>https://d0f6bd738d7f1b3e5a7ca70fe4ff75f0.us-east-1.aws.found.io/app/kibana#/discover/Steve-Slow-Train-Analysis-(2080s-and-2083s)?_g=(refreshInterval:(display:Off,pause:!f,section:0,value:0),time:(from:'2017-03-09T17:09:35-0700',mode:absolute,to:'2017-03-09T19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4" s="187" t="str">
        <f t="shared" si="62"/>
        <v>N</v>
      </c>
      <c r="X194" s="187">
        <f t="shared" si="63"/>
        <v>1</v>
      </c>
      <c r="Y194" s="62">
        <f t="shared" si="64"/>
        <v>9.7100000000000006E-2</v>
      </c>
      <c r="Z194" s="62">
        <f t="shared" si="65"/>
        <v>5.8954000000000004</v>
      </c>
      <c r="AA194" s="62">
        <f t="shared" si="66"/>
        <v>5.7983000000000002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67"/>
        <v>0837-09</v>
      </c>
      <c r="AE194" s="85" t="str">
        <f t="shared" si="68"/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94" s="82" t="str">
        <f t="shared" si="69"/>
        <v>"C:\Program Files (x86)\AstroGrep\AstroGrep.exe" /e /r /s /spath="%USERPROFILE%\AppData\Local\Temp\OnboardLogs" /stypes="app*4011*20170310*" /stext=" 01:.+((SYSTEM_STATE.+slice.+state.+changed )|(ment ac)|(multiple cpu faults)|(system.+state.+changed )|(\[timeout)|(PRM\|1\|D)|(kpr)|(kdp)|(\|lc)|(penalty))"</v>
      </c>
      <c r="AG194" s="1" t="str">
        <f t="shared" si="70"/>
        <v>NW</v>
      </c>
      <c r="AH194" s="86" t="str">
        <f t="shared" si="71"/>
        <v>"%USERPROFILE%\Documents\GitHub\eaglep3\Utilities\RefineRTDCRunTimes.py" --tripid 837-09 --locoid 4011 --swversion DE.1.0.9.0 --startMP 204:971 --initTime 2017-03-09T18:09:35 --startdatetime 2017-03-09T18:21:19 --delay 2 --endMP 300:58954 --enddatetime 2017-03-09T18:35:39 --enforcementcount 0 &gt;&gt;C:\Users\stu\Documents\GitHub\eaglep3-reporting\EC\2017-03-09-refined-times.txt</v>
      </c>
      <c r="AI194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{"issue":{"subject":"","project_id":79,"tracker_id":40,"status_id":1,"priority_id":2,"assigned_to_id":23,"start_date":"2017-03-09","description":"","custom_fields":[{"id":1,"name":"Subdivision","value":"NW"},{"id":4,"name":"Milepost","value":"5.8954"},{"id":17,"name":"Train ID","value":"837-09"},{"id":16,"name":"Locomotive ID","value":"4011"},{"id":130,"name":"Impact","value":""},{"id":150,"name":"Time of Event (Mountain Time)","value":"18:35:39"},{"id":151,"name":"Denver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73"/>
        <v>start /low /b %USERPROFILE%\Documents\GitHub\eaglep3\Utilities\DownloadLogsFromS3.py --loco 4011 --day 2017-03-09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"%USERPROFILE%\AppData\Local\Temp\OnboardLogs"\RTDC4011\*4011*20170310* | grep -SE "(Enforcement Action)|(\[TIMEOUT)|(CHR.+\|PRM\|1\|D.+(SWITCH|SIGNAL).+UNKNOWN)" - &gt;&gt; 2017-03-09-UncaughtWiMAX.txt</v>
      </c>
    </row>
    <row r="195" spans="1:40" x14ac:dyDescent="0.25">
      <c r="A195" s="33" t="s">
        <v>773</v>
      </c>
      <c r="B195" s="7">
        <v>4012</v>
      </c>
      <c r="C195" s="21" t="s">
        <v>242</v>
      </c>
      <c r="D195" s="21" t="s">
        <v>565</v>
      </c>
      <c r="E195" s="13">
        <v>42803.775787037041</v>
      </c>
      <c r="F195" s="13">
        <v>42803.777604166666</v>
      </c>
      <c r="G195" s="7">
        <v>2</v>
      </c>
      <c r="H195" s="21" t="s">
        <v>972</v>
      </c>
      <c r="I195" s="13">
        <v>42803.788912037038</v>
      </c>
      <c r="J195" s="7">
        <v>0</v>
      </c>
      <c r="K195" s="98" t="str">
        <f t="shared" si="56"/>
        <v>4011/4012</v>
      </c>
      <c r="L195" s="21" t="str">
        <f>VLOOKUP(A195,'Trips&amp;Operators'!$C$1:$G$99999,5,FALSE)</f>
        <v>LEVERE CRAIG</v>
      </c>
      <c r="M195" s="6">
        <f t="shared" si="57"/>
        <v>1.1307870372547768E-2</v>
      </c>
      <c r="N195" s="7">
        <f t="shared" si="58"/>
        <v>16.283333336468786</v>
      </c>
      <c r="O195" s="7"/>
      <c r="P195" s="7"/>
      <c r="Q195" s="22"/>
      <c r="R195" s="22"/>
      <c r="S195" s="31">
        <f t="shared" si="59"/>
        <v>1</v>
      </c>
      <c r="T195" s="46" t="str">
        <f t="shared" si="60"/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61"/>
        <v>https://d0f6bd738d7f1b3e5a7ca70fe4ff75f0.us-east-1.aws.found.io/app/kibana#/discover/Steve-Slow-Train-Analysis-(2080s-and-2083s)?_g=(refreshInterval:(display:Off,pause:!f,section:0,value:0),time:(from:'2017-03-09T17:37:08-0700',mode:absolute,to:'2017-03-09T19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5" s="187" t="str">
        <f t="shared" si="62"/>
        <v>N</v>
      </c>
      <c r="X195" s="187">
        <f t="shared" si="63"/>
        <v>1</v>
      </c>
      <c r="Y195" s="62">
        <f t="shared" si="64"/>
        <v>5.8644999999999996</v>
      </c>
      <c r="Z195" s="62">
        <f t="shared" si="65"/>
        <v>6.9800000000000001E-2</v>
      </c>
      <c r="AA195" s="62">
        <f t="shared" si="66"/>
        <v>5.7946999999999997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67"/>
        <v>0838-09</v>
      </c>
      <c r="AE195" s="85" t="str">
        <f t="shared" si="68"/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95" s="82" t="str">
        <f t="shared" si="69"/>
        <v>"C:\Program Files (x86)\AstroGrep\AstroGrep.exe" /e /r /s /spath="%USERPROFILE%\AppData\Local\Temp\OnboardLogs" /stypes="app*4012*20170310*" /stext=" 01:.+((SYSTEM_STATE.+slice.+state.+changed )|(ment ac)|(multiple cpu faults)|(system.+state.+changed )|(\[timeout)|(PRM\|1\|D)|(kpr)|(kdp)|(\|lc)|(penalty))"</v>
      </c>
      <c r="AG195" s="1" t="str">
        <f t="shared" si="70"/>
        <v>NW</v>
      </c>
      <c r="AH195" s="86" t="str">
        <f t="shared" si="71"/>
        <v>"%USERPROFILE%\Documents\GitHub\eaglep3\Utilities\RefineRTDCRunTimes.py" --tripid 838-09 --locoid 4012 --swversion DE.1.0.9.0 --startMP 300:58645 --initTime 2017-03-09T18:37:08 --startdatetime 2017-03-09T18:39:45 --delay 2 --endMP 204:698 --enddatetime 2017-03-09T18:56:02 --enforcementcount 0 &gt;&gt;C:\Users\stu\Documents\GitHub\eaglep3-reporting\EC\2017-03-09-refined-times.txt</v>
      </c>
      <c r="AI195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{"issue":{"subject":"","project_id":79,"tracker_id":40,"status_id":1,"priority_id":2,"assigned_to_id":23,"start_date":"2017-03-09","description":"","custom_fields":[{"id":1,"name":"Subdivision","value":"NW"},{"id":4,"name":"Milepost","value":"0.0698"},{"id":17,"name":"Train ID","value":"838-09"},{"id":16,"name":"Locomotive ID","value":"4012"},{"id":130,"name":"Impact","value":""},{"id":150,"name":"Time of Event (Mountain Time)","value":"18:56:02"},{"id":151,"name":"Denver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73"/>
        <v>start /low /b %USERPROFILE%\Documents\GitHub\eaglep3\Utilities\DownloadLogsFromS3.py --loco 4012 --day 2017-03-09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"%USERPROFILE%\AppData\Local\Temp\OnboardLogs"\RTDC4012\*4012*20170310* | grep -SE "(Enforcement Action)|(\[TIMEOUT)|(CHR.+\|PRM\|1\|D.+(SWITCH|SIGNAL).+UNKNOWN)" - &gt;&gt; 2017-03-09-UncaughtWiMAX.txt</v>
      </c>
    </row>
    <row r="196" spans="1:40" x14ac:dyDescent="0.25">
      <c r="A196" s="33" t="s">
        <v>775</v>
      </c>
      <c r="B196" s="7">
        <v>4007</v>
      </c>
      <c r="C196" s="21" t="s">
        <v>242</v>
      </c>
      <c r="D196" s="21" t="s">
        <v>973</v>
      </c>
      <c r="E196" s="13">
        <v>42803.780358796299</v>
      </c>
      <c r="F196" s="13">
        <v>42803.785682870373</v>
      </c>
      <c r="G196" s="7">
        <v>2</v>
      </c>
      <c r="H196" s="21" t="s">
        <v>974</v>
      </c>
      <c r="I196" s="13">
        <v>42803.79587962963</v>
      </c>
      <c r="J196" s="7">
        <v>0</v>
      </c>
      <c r="K196" s="98" t="str">
        <f t="shared" si="56"/>
        <v>4007/4008</v>
      </c>
      <c r="L196" s="21" t="str">
        <f>VLOOKUP(A196,'Trips&amp;Operators'!$C$1:$G$99999,5,FALSE)</f>
        <v>STORY SAMANTHA</v>
      </c>
      <c r="M196" s="6">
        <f t="shared" si="57"/>
        <v>1.0196759256359655E-2</v>
      </c>
      <c r="N196" s="7">
        <f t="shared" si="58"/>
        <v>14.683333329157904</v>
      </c>
      <c r="O196" s="7"/>
      <c r="P196" s="7"/>
      <c r="Q196" s="22"/>
      <c r="R196" s="22"/>
      <c r="S196" s="31">
        <f t="shared" si="59"/>
        <v>1</v>
      </c>
      <c r="T196" s="46" t="str">
        <f t="shared" si="60"/>
        <v>NorthBound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61"/>
        <v>https://d0f6bd738d7f1b3e5a7ca70fe4ff75f0.us-east-1.aws.found.io/app/kibana#/discover/Steve-Slow-Train-Analysis-(2080s-and-2083s)?_g=(refreshInterval:(display:Off,pause:!f,section:0,value:0),time:(from:'2017-03-09T17:43:43-0700',mode:absolute,to:'2017-03-09T20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6" s="187" t="str">
        <f t="shared" si="62"/>
        <v>N</v>
      </c>
      <c r="X196" s="187">
        <f t="shared" si="63"/>
        <v>1</v>
      </c>
      <c r="Y196" s="62">
        <f t="shared" si="64"/>
        <v>0.1</v>
      </c>
      <c r="Z196" s="62">
        <f t="shared" si="65"/>
        <v>5.8986000000000001</v>
      </c>
      <c r="AA196" s="62">
        <f t="shared" si="66"/>
        <v>5.7986000000000004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67"/>
        <v>0839-09</v>
      </c>
      <c r="AE196" s="85" t="str">
        <f t="shared" si="68"/>
        <v>aws s3 cp s3://rtdc.mdm.uploadarchive.raw/RTDC4007/ "%USERPROFILE%\AppData\Local\Temp\OnboardLogs"\RTDC4007\2017-03-09 --exclude "*" --recursive --include "*20170309*" &amp; "%USERPROFILE%\Documents\GitHub\mrs-test-scripts\Headless Mode &amp; Sideloading\WalkAndUnGZ.bat" "%USERPROFILE%\AppData\Local\Temp\OnboardLogs"\RTDC4007\2017-03-09 &amp; aws s3 cp s3://rtdc.mdm.uploadarchive.raw/RTDC4007/ "%USERPROFILE%\AppData\Local\Temp\OnboardLogs"\RTDC4007\2017-03-10 --exclude "*" --recursive --include "*20170310*" &amp; "%USERPROFILE%\Documents\GitHub\mrs-test-scripts\Headless Mode &amp; Sideloading\WalkAndUnGZ.bat" "%USERPROFILE%\AppData\Local\Temp\OnboardLogs"\RTDC4007\2017-03-10</v>
      </c>
      <c r="AF196" s="82" t="str">
        <f t="shared" si="69"/>
        <v>"C:\Program Files (x86)\AstroGrep\AstroGrep.exe" /e /r /s /spath="%USERPROFILE%\AppData\Local\Temp\OnboardLogs" /stypes="app*4007*20170310*" /stext=" 02:.+((SYSTEM_STATE.+slice.+state.+changed )|(ment ac)|(multiple cpu faults)|(system.+state.+changed )|(\[timeout)|(PRM\|1\|D)|(kpr)|(kdp)|(\|lc)|(penalty))"</v>
      </c>
      <c r="AG196" s="1" t="str">
        <f t="shared" si="70"/>
        <v>NW</v>
      </c>
      <c r="AH196" s="86" t="str">
        <f t="shared" si="71"/>
        <v>"%USERPROFILE%\Documents\GitHub\eaglep3\Utilities\RefineRTDCRunTimes.py" --tripid 839-09 --locoid 4007 --swversion DE.1.0.9.0 --startMP 204:1000 --initTime 2017-03-09T18:43:43 --startdatetime 2017-03-09T18:51:23 --delay 2 --endMP 300:58986 --enddatetime 2017-03-09T19:06:04 --enforcementcount 0 &gt;&gt;C:\Users\stu\Documents\GitHub\eaglep3-reporting\EC\2017-03-09-refined-times.txt</v>
      </c>
      <c r="AI196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{"issue":{"subject":"","project_id":79,"tracker_id":40,"status_id":1,"priority_id":2,"assigned_to_id":23,"start_date":"2017-03-09","description":"","custom_fields":[{"id":1,"name":"Subdivision","value":"NW"},{"id":4,"name":"Milepost","value":"5.8986"},{"id":17,"name":"Train ID","value":"839-09"},{"id":16,"name":"Locomotive ID","value":"4007"},{"id":130,"name":"Impact","value":""},{"id":150,"name":"Time of Event (Mountain Time)","value":"19:06:04"},{"id":151,"name":"Denver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73"/>
        <v>start /low /b %USERPROFILE%\Documents\GitHub\eaglep3\Utilities\DownloadLogsFromS3.py --loco 4007 --day 2017-03-09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"%USERPROFILE%\AppData\Local\Temp\OnboardLogs"\RTDC4007\*4007*20170310* | grep -SE "(Enforcement Action)|(\[TIMEOUT)|(CHR.+\|PRM\|1\|D.+(SWITCH|SIGNAL).+UNKNOWN)" - &gt;&gt; 2017-03-09-UncaughtWiMAX.txt</v>
      </c>
    </row>
    <row r="197" spans="1:40" x14ac:dyDescent="0.25">
      <c r="A197" s="33" t="s">
        <v>785</v>
      </c>
      <c r="B197" s="7">
        <v>4012</v>
      </c>
      <c r="C197" s="21" t="s">
        <v>242</v>
      </c>
      <c r="D197" s="21" t="s">
        <v>939</v>
      </c>
      <c r="E197" s="13">
        <v>42803.817002314812</v>
      </c>
      <c r="F197" s="13">
        <v>42803.81890046296</v>
      </c>
      <c r="G197" s="7">
        <v>1</v>
      </c>
      <c r="H197" s="21" t="s">
        <v>945</v>
      </c>
      <c r="I197" s="13">
        <v>42803.83021990741</v>
      </c>
      <c r="J197" s="7">
        <v>0</v>
      </c>
      <c r="K197" s="98" t="str">
        <f t="shared" si="56"/>
        <v>4011/4012</v>
      </c>
      <c r="L197" s="21" t="str">
        <f>VLOOKUP(A197,'Trips&amp;Operators'!$C$1:$G$99999,5,FALSE)</f>
        <v>LOPES KIMBERLY</v>
      </c>
      <c r="M197" s="6">
        <f t="shared" si="57"/>
        <v>1.131944444932742E-2</v>
      </c>
      <c r="N197" s="7">
        <f t="shared" si="58"/>
        <v>16.300000007031485</v>
      </c>
      <c r="O197" s="7"/>
      <c r="P197" s="7"/>
      <c r="Q197" s="22"/>
      <c r="R197" s="22"/>
      <c r="S197" s="31">
        <f t="shared" si="59"/>
        <v>1</v>
      </c>
      <c r="T197" s="46" t="str">
        <f t="shared" si="60"/>
        <v>Southbound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61"/>
        <v>https://d0f6bd738d7f1b3e5a7ca70fe4ff75f0.us-east-1.aws.found.io/app/kibana#/discover/Steve-Slow-Train-Analysis-(2080s-and-2083s)?_g=(refreshInterval:(display:Off,pause:!f,section:0,value:0),time:(from:'2017-03-09T18:36:29-0700',mode:absolute,to:'2017-03-09T20:55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7" s="187" t="str">
        <f t="shared" si="62"/>
        <v>N</v>
      </c>
      <c r="X197" s="187">
        <f t="shared" si="63"/>
        <v>1</v>
      </c>
      <c r="Y197" s="62">
        <f t="shared" si="64"/>
        <v>5.8630000000000004</v>
      </c>
      <c r="Z197" s="62">
        <f t="shared" si="65"/>
        <v>7.17E-2</v>
      </c>
      <c r="AA197" s="62">
        <f t="shared" si="66"/>
        <v>5.7913000000000006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67"/>
        <v>0840-09</v>
      </c>
      <c r="AE197" s="85" t="str">
        <f t="shared" si="68"/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97" s="82" t="str">
        <f t="shared" si="69"/>
        <v>"C:\Program Files (x86)\AstroGrep\AstroGrep.exe" /e /r /s /spath="%USERPROFILE%\AppData\Local\Temp\OnboardLogs" /stypes="app*4012*20170310*" /stext=" 02:.+((SYSTEM_STATE.+slice.+state.+changed )|(ment ac)|(multiple cpu faults)|(system.+state.+changed )|(\[timeout)|(PRM\|1\|D)|(kpr)|(kdp)|(\|lc)|(penalty))"</v>
      </c>
      <c r="AG197" s="1" t="str">
        <f t="shared" si="70"/>
        <v>NW</v>
      </c>
      <c r="AH197" s="86" t="str">
        <f t="shared" si="71"/>
        <v>"%USERPROFILE%\Documents\GitHub\eaglep3\Utilities\RefineRTDCRunTimes.py" --tripid 840-09 --locoid 4012 --swversion DE.1.0.9.0 --startMP 300:58630 --initTime 2017-03-09T19:36:29 --startdatetime 2017-03-09T19:39:13 --delay 1 --endMP 204:717 --enddatetime 2017-03-09T19:55:31 --enforcementcount 0 &gt;&gt;C:\Users\stu\Documents\GitHub\eaglep3-reporting\EC\2017-03-09-refined-times.txt</v>
      </c>
      <c r="AI197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{"issue":{"subject":"","project_id":79,"tracker_id":40,"status_id":1,"priority_id":2,"assigned_to_id":23,"start_date":"2017-03-09","description":"","custom_fields":[{"id":1,"name":"Subdivision","value":"NW"},{"id":4,"name":"Milepost","value":"0.0717"},{"id":17,"name":"Train ID","value":"840-09"},{"id":16,"name":"Locomotive ID","value":"4012"},{"id":130,"name":"Impact","value":""},{"id":150,"name":"Time of Event (Mountain Time)","value":"19:55:31"},{"id":151,"name":"Denver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73"/>
        <v>start /low /b %USERPROFILE%\Documents\GitHub\eaglep3\Utilities\DownloadLogsFromS3.py --loco 4012 --day 2017-03-09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"%USERPROFILE%\AppData\Local\Temp\OnboardLogs"\RTDC4012\*4012*20170310* | grep -SE "(Enforcement Action)|(\[TIMEOUT)|(CHR.+\|PRM\|1\|D.+(SWITCH|SIGNAL).+UNKNOWN)" - &gt;&gt; 2017-03-09-UncaughtWiMAX.txt</v>
      </c>
    </row>
    <row r="198" spans="1:40" x14ac:dyDescent="0.25">
      <c r="A198" s="33" t="s">
        <v>781</v>
      </c>
      <c r="B198" s="7">
        <v>4011</v>
      </c>
      <c r="C198" s="21" t="s">
        <v>242</v>
      </c>
      <c r="D198" s="21" t="s">
        <v>555</v>
      </c>
      <c r="E198" s="13">
        <v>42803.802893518521</v>
      </c>
      <c r="F198" s="13">
        <v>42803.806400462963</v>
      </c>
      <c r="G198" s="7">
        <v>1</v>
      </c>
      <c r="H198" s="21" t="s">
        <v>944</v>
      </c>
      <c r="I198" s="13">
        <v>42803.815601851849</v>
      </c>
      <c r="J198" s="7">
        <v>0</v>
      </c>
      <c r="K198" s="98" t="str">
        <f t="shared" si="56"/>
        <v>4011/4012</v>
      </c>
      <c r="L198" s="21" t="str">
        <f>VLOOKUP(A198,'Trips&amp;Operators'!$C$1:$G$99999,5,FALSE)</f>
        <v>LOPES KIMBERLY</v>
      </c>
      <c r="M198" s="6">
        <f t="shared" si="57"/>
        <v>9.2013888861401938E-3</v>
      </c>
      <c r="N198" s="7">
        <f t="shared" si="58"/>
        <v>13.249999996041879</v>
      </c>
      <c r="O198" s="7"/>
      <c r="P198" s="7"/>
      <c r="Q198" s="22"/>
      <c r="R198" s="22"/>
      <c r="S198" s="31">
        <f t="shared" si="59"/>
        <v>1</v>
      </c>
      <c r="T198" s="46" t="str">
        <f t="shared" si="60"/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61"/>
        <v>https://d0f6bd738d7f1b3e5a7ca70fe4ff75f0.us-east-1.aws.found.io/app/kibana#/discover/Steve-Slow-Train-Analysis-(2080s-and-2083s)?_g=(refreshInterval:(display:Off,pause:!f,section:0,value:0),time:(from:'2017-03-09T18:16:10-0700',mode:absolute,to:'2017-03-09T20:34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8" s="187" t="str">
        <f t="shared" si="62"/>
        <v>N</v>
      </c>
      <c r="X198" s="187">
        <f t="shared" si="63"/>
        <v>1</v>
      </c>
      <c r="Y198" s="62">
        <f t="shared" si="64"/>
        <v>0.1002</v>
      </c>
      <c r="Z198" s="62">
        <f t="shared" si="65"/>
        <v>5.8945999999999996</v>
      </c>
      <c r="AA198" s="62">
        <f t="shared" si="66"/>
        <v>5.7943999999999996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67"/>
        <v>0841-09</v>
      </c>
      <c r="AE198" s="85" t="str">
        <f t="shared" si="68"/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198" s="82" t="str">
        <f t="shared" si="69"/>
        <v>"C:\Program Files (x86)\AstroGrep\AstroGrep.exe" /e /r /s /spath="%USERPROFILE%\AppData\Local\Temp\OnboardLogs" /stypes="app*4011*20170310*" /stext=" 02:.+((SYSTEM_STATE.+slice.+state.+changed )|(ment ac)|(multiple cpu faults)|(system.+state.+changed )|(\[timeout)|(PRM\|1\|D)|(kpr)|(kdp)|(\|lc)|(penalty))"</v>
      </c>
      <c r="AG198" s="1" t="str">
        <f t="shared" si="70"/>
        <v>NW</v>
      </c>
      <c r="AH198" s="86" t="str">
        <f t="shared" si="71"/>
        <v>"%USERPROFILE%\Documents\GitHub\eaglep3\Utilities\RefineRTDCRunTimes.py" --tripid 841-09 --locoid 4011 --swversion DE.1.0.9.0 --startMP 204:1002 --initTime 2017-03-09T19:16:10 --startdatetime 2017-03-09T19:21:13 --delay 1 --endMP 300:58946 --enddatetime 2017-03-09T19:34:28 --enforcementcount 0 &gt;&gt;C:\Users\stu\Documents\GitHub\eaglep3-reporting\EC\2017-03-09-refined-times.txt</v>
      </c>
      <c r="AI198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{"issue":{"subject":"","project_id":79,"tracker_id":40,"status_id":1,"priority_id":2,"assigned_to_id":23,"start_date":"2017-03-09","description":"","custom_fields":[{"id":1,"name":"Subdivision","value":"NW"},{"id":4,"name":"Milepost","value":"5.8946"},{"id":17,"name":"Train ID","value":"841-09"},{"id":16,"name":"Locomotive ID","value":"4011"},{"id":130,"name":"Impact","value":""},{"id":150,"name":"Time of Event (Mountain Time)","value":"19:34:28"},{"id":151,"name":"Denver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73"/>
        <v>start /low /b %USERPROFILE%\Documents\GitHub\eaglep3\Utilities\DownloadLogsFromS3.py --loco 4011 --day 2017-03-09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"%USERPROFILE%\AppData\Local\Temp\OnboardLogs"\RTDC4011\*4011*20170310* | grep -SE "(Enforcement Action)|(\[TIMEOUT)|(CHR.+\|PRM\|1\|D.+(SWITCH|SIGNAL).+UNKNOWN)" - &gt;&gt; 2017-03-09-UncaughtWiMAX.txt</v>
      </c>
    </row>
    <row r="199" spans="1:40" x14ac:dyDescent="0.25">
      <c r="A199" s="33" t="s">
        <v>792</v>
      </c>
      <c r="B199" s="7">
        <v>4012</v>
      </c>
      <c r="C199" s="21" t="s">
        <v>242</v>
      </c>
      <c r="D199" s="21" t="s">
        <v>975</v>
      </c>
      <c r="E199" s="13">
        <v>42803.859166666669</v>
      </c>
      <c r="F199" s="13">
        <v>42803.860856481479</v>
      </c>
      <c r="G199" s="7">
        <v>1</v>
      </c>
      <c r="H199" s="21" t="s">
        <v>564</v>
      </c>
      <c r="I199" s="13">
        <v>42803.87190972222</v>
      </c>
      <c r="J199" s="7">
        <v>0</v>
      </c>
      <c r="K199" s="98" t="str">
        <f t="shared" si="56"/>
        <v>4011/4012</v>
      </c>
      <c r="L199" s="21" t="str">
        <f>VLOOKUP(A199,'Trips&amp;Operators'!$C$1:$G$99999,5,FALSE)</f>
        <v>LEVERE CRAIG</v>
      </c>
      <c r="M199" s="6">
        <f t="shared" si="57"/>
        <v>1.1053240741603076E-2</v>
      </c>
      <c r="N199" s="7">
        <f t="shared" si="58"/>
        <v>15.91666666790843</v>
      </c>
      <c r="O199" s="7"/>
      <c r="P199" s="7"/>
      <c r="Q199" s="22"/>
      <c r="R199" s="22"/>
      <c r="S199" s="31">
        <f t="shared" si="59"/>
        <v>1</v>
      </c>
      <c r="T199" s="46" t="str">
        <f t="shared" si="60"/>
        <v>Southbound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61"/>
        <v>https://d0f6bd738d7f1b3e5a7ca70fe4ff75f0.us-east-1.aws.found.io/app/kibana#/discover/Steve-Slow-Train-Analysis-(2080s-and-2083s)?_g=(refreshInterval:(display:Off,pause:!f,section:0,value:0),time:(from:'2017-03-09T19:37:12-0700',mode:absolute,to:'2017-03-09T21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9" s="187" t="str">
        <f t="shared" si="62"/>
        <v>N</v>
      </c>
      <c r="X199" s="187">
        <f t="shared" si="63"/>
        <v>1</v>
      </c>
      <c r="Y199" s="62">
        <f t="shared" si="64"/>
        <v>5.8648999999999996</v>
      </c>
      <c r="Z199" s="62">
        <f t="shared" si="65"/>
        <v>6.8500000000000005E-2</v>
      </c>
      <c r="AA199" s="62">
        <f t="shared" si="66"/>
        <v>5.7963999999999993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67"/>
        <v>0842-09</v>
      </c>
      <c r="AE199" s="85" t="str">
        <f t="shared" si="68"/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199" s="82" t="str">
        <f t="shared" si="69"/>
        <v>"C:\Program Files (x86)\AstroGrep\AstroGrep.exe" /e /r /s /spath="%USERPROFILE%\AppData\Local\Temp\OnboardLogs" /stypes="app*4012*20170310*" /stext=" 03:.+((SYSTEM_STATE.+slice.+state.+changed )|(ment ac)|(multiple cpu faults)|(system.+state.+changed )|(\[timeout)|(PRM\|1\|D)|(kpr)|(kdp)|(\|lc)|(penalty))"</v>
      </c>
      <c r="AG199" s="1" t="str">
        <f t="shared" si="70"/>
        <v>NW</v>
      </c>
      <c r="AH199" s="86" t="str">
        <f t="shared" si="71"/>
        <v>"%USERPROFILE%\Documents\GitHub\eaglep3\Utilities\RefineRTDCRunTimes.py" --tripid 842-09 --locoid 4012 --swversion DE.1.0.9.0 --startMP 300:58649 --initTime 2017-03-09T20:37:12 --startdatetime 2017-03-09T20:39:38 --delay 1 --endMP 204:685 --enddatetime 2017-03-09T20:55:33 --enforcementcount 0 &gt;&gt;C:\Users\stu\Documents\GitHub\eaglep3-reporting\EC\2017-03-09-refined-times.txt</v>
      </c>
      <c r="AI199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{"issue":{"subject":"","project_id":79,"tracker_id":40,"status_id":1,"priority_id":2,"assigned_to_id":23,"start_date":"2017-03-09","description":"","custom_fields":[{"id":1,"name":"Subdivision","value":"NW"},{"id":4,"name":"Milepost","value":"0.0685"},{"id":17,"name":"Train ID","value":"842-09"},{"id":16,"name":"Locomotive ID","value":"4012"},{"id":130,"name":"Impact","value":""},{"id":150,"name":"Time of Event (Mountain Time)","value":"20:55:33"},{"id":151,"name":"Denver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73"/>
        <v>start /low /b %USERPROFILE%\Documents\GitHub\eaglep3\Utilities\DownloadLogsFromS3.py --loco 4012 --day 2017-03-09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"%USERPROFILE%\AppData\Local\Temp\OnboardLogs"\RTDC4012\*4012*20170310* | grep -SE "(Enforcement Action)|(\[TIMEOUT)|(CHR.+\|PRM\|1\|D.+(SWITCH|SIGNAL).+UNKNOWN)" - &gt;&gt; 2017-03-09-UncaughtWiMAX.txt</v>
      </c>
    </row>
    <row r="200" spans="1:40" x14ac:dyDescent="0.25">
      <c r="A200" s="33" t="s">
        <v>789</v>
      </c>
      <c r="B200" s="7">
        <v>4011</v>
      </c>
      <c r="C200" s="21" t="s">
        <v>242</v>
      </c>
      <c r="D200" s="21" t="s">
        <v>976</v>
      </c>
      <c r="E200" s="13">
        <v>42803.838784722226</v>
      </c>
      <c r="F200" s="13">
        <v>42803.848124999997</v>
      </c>
      <c r="G200" s="7">
        <v>1</v>
      </c>
      <c r="H200" s="21" t="s">
        <v>960</v>
      </c>
      <c r="I200" s="13">
        <v>42803.858032407406</v>
      </c>
      <c r="J200" s="7">
        <v>0</v>
      </c>
      <c r="K200" s="98" t="str">
        <f t="shared" si="56"/>
        <v>4011/4012</v>
      </c>
      <c r="L200" s="21" t="str">
        <f>VLOOKUP(A200,'Trips&amp;Operators'!$C$1:$G$99999,5,FALSE)</f>
        <v>LEVERE CRAIG</v>
      </c>
      <c r="M200" s="6">
        <f t="shared" si="57"/>
        <v>9.9074074096279219E-3</v>
      </c>
      <c r="N200" s="7">
        <f t="shared" si="58"/>
        <v>14.266666669864208</v>
      </c>
      <c r="O200" s="7"/>
      <c r="P200" s="7"/>
      <c r="Q200" s="22"/>
      <c r="R200" s="22"/>
      <c r="S200" s="31">
        <f t="shared" si="59"/>
        <v>1</v>
      </c>
      <c r="T200" s="46" t="str">
        <f t="shared" si="60"/>
        <v>NorthBound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61"/>
        <v>https://d0f6bd738d7f1b3e5a7ca70fe4ff75f0.us-east-1.aws.found.io/app/kibana#/discover/Steve-Slow-Train-Analysis-(2080s-and-2083s)?_g=(refreshInterval:(display:Off,pause:!f,section:0,value:0),time:(from:'2017-03-09T19:07:51-0700',mode:absolute,to:'2017-03-09T21:35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0" s="187" t="str">
        <f t="shared" si="62"/>
        <v>N</v>
      </c>
      <c r="X200" s="187">
        <f t="shared" si="63"/>
        <v>1</v>
      </c>
      <c r="Y200" s="62">
        <f t="shared" si="64"/>
        <v>0.1004</v>
      </c>
      <c r="Z200" s="62">
        <f t="shared" si="65"/>
        <v>5.8968999999999996</v>
      </c>
      <c r="AA200" s="62">
        <f t="shared" si="66"/>
        <v>5.7965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67"/>
        <v>0843-09</v>
      </c>
      <c r="AE200" s="85" t="str">
        <f t="shared" si="68"/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200" s="82" t="str">
        <f t="shared" si="69"/>
        <v>"C:\Program Files (x86)\AstroGrep\AstroGrep.exe" /e /r /s /spath="%USERPROFILE%\AppData\Local\Temp\OnboardLogs" /stypes="app*4011*20170310*" /stext=" 03:.+((SYSTEM_STATE.+slice.+state.+changed )|(ment ac)|(multiple cpu faults)|(system.+state.+changed )|(\[timeout)|(PRM\|1\|D)|(kpr)|(kdp)|(\|lc)|(penalty))"</v>
      </c>
      <c r="AG200" s="1" t="str">
        <f t="shared" si="70"/>
        <v>NW</v>
      </c>
      <c r="AH200" s="86" t="str">
        <f t="shared" si="71"/>
        <v>"%USERPROFILE%\Documents\GitHub\eaglep3\Utilities\RefineRTDCRunTimes.py" --tripid 843-09 --locoid 4011 --swversion DE.1.0.9.0 --startMP 204:1004 --initTime 2017-03-09T20:07:51 --startdatetime 2017-03-09T20:21:18 --delay 1 --endMP 300:58969 --enddatetime 2017-03-09T20:35:34 --enforcementcount 0 &gt;&gt;C:\Users\stu\Documents\GitHub\eaglep3-reporting\EC\2017-03-09-refined-times.txt</v>
      </c>
      <c r="AI200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{"issue":{"subject":"","project_id":79,"tracker_id":40,"status_id":1,"priority_id":2,"assigned_to_id":23,"start_date":"2017-03-09","description":"","custom_fields":[{"id":1,"name":"Subdivision","value":"NW"},{"id":4,"name":"Milepost","value":"5.8969"},{"id":17,"name":"Train ID","value":"843-09"},{"id":16,"name":"Locomotive ID","value":"4011"},{"id":130,"name":"Impact","value":""},{"id":150,"name":"Time of Event (Mountain Time)","value":"20:35:34"},{"id":151,"name":"Denver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73"/>
        <v>start /low /b %USERPROFILE%\Documents\GitHub\eaglep3\Utilities\DownloadLogsFromS3.py --loco 4011 --day 2017-03-09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"%USERPROFILE%\AppData\Local\Temp\OnboardLogs"\RTDC4011\*4011*20170310* | grep -SE "(Enforcement Action)|(\[TIMEOUT)|(CHR.+\|PRM\|1\|D.+(SWITCH|SIGNAL).+UNKNOWN)" - &gt;&gt; 2017-03-09-UncaughtWiMAX.txt</v>
      </c>
    </row>
    <row r="201" spans="1:40" x14ac:dyDescent="0.25">
      <c r="A201" s="33" t="s">
        <v>610</v>
      </c>
      <c r="B201" s="7">
        <v>4012</v>
      </c>
      <c r="C201" s="21" t="s">
        <v>242</v>
      </c>
      <c r="D201" s="21" t="s">
        <v>977</v>
      </c>
      <c r="E201" s="13">
        <v>42803.900821759256</v>
      </c>
      <c r="F201" s="13">
        <v>42803.90247685185</v>
      </c>
      <c r="G201" s="7">
        <v>2</v>
      </c>
      <c r="H201" s="21" t="s">
        <v>570</v>
      </c>
      <c r="I201" s="13">
        <v>42803.913564814815</v>
      </c>
      <c r="J201" s="7">
        <v>0</v>
      </c>
      <c r="K201" s="98" t="str">
        <f t="shared" si="56"/>
        <v>4011/4012</v>
      </c>
      <c r="L201" s="21" t="str">
        <f>VLOOKUP(A201,'Trips&amp;Operators'!$C$1:$G$99999,5,FALSE)</f>
        <v>STORY SAMANTHA</v>
      </c>
      <c r="M201" s="6">
        <f t="shared" si="57"/>
        <v>1.1087962964666076E-2</v>
      </c>
      <c r="N201" s="7">
        <f t="shared" si="58"/>
        <v>15.966666669119149</v>
      </c>
      <c r="O201" s="7"/>
      <c r="P201" s="7"/>
      <c r="Q201" s="22"/>
      <c r="R201" s="22"/>
      <c r="S201" s="31">
        <f t="shared" si="59"/>
        <v>1</v>
      </c>
      <c r="T201" s="46" t="str">
        <f t="shared" si="60"/>
        <v>Southbound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61"/>
        <v>https://d0f6bd738d7f1b3e5a7ca70fe4ff75f0.us-east-1.aws.found.io/app/kibana#/discover/Steve-Slow-Train-Analysis-(2080s-and-2083s)?_g=(refreshInterval:(display:Off,pause:!f,section:0,value:0),time:(from:'2017-03-09T20:37:11-0700',mode:absolute,to:'2017-03-09T22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1" s="187" t="str">
        <f t="shared" si="62"/>
        <v>N</v>
      </c>
      <c r="X201" s="187">
        <f t="shared" si="63"/>
        <v>1</v>
      </c>
      <c r="Y201" s="62">
        <f t="shared" si="64"/>
        <v>5.8686999999999996</v>
      </c>
      <c r="Z201" s="62">
        <f t="shared" si="65"/>
        <v>6.8699999999999997E-2</v>
      </c>
      <c r="AA201" s="62">
        <f t="shared" si="66"/>
        <v>5.8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67"/>
        <v>0844-09</v>
      </c>
      <c r="AE201" s="85" t="str">
        <f t="shared" si="68"/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201" s="82" t="str">
        <f t="shared" si="69"/>
        <v>"C:\Program Files (x86)\AstroGrep\AstroGrep.exe" /e /r /s /spath="%USERPROFILE%\AppData\Local\Temp\OnboardLogs" /stypes="app*4012*20170310*" /stext=" 04:.+((SYSTEM_STATE.+slice.+state.+changed )|(ment ac)|(multiple cpu faults)|(system.+state.+changed )|(\[timeout)|(PRM\|1\|D)|(kpr)|(kdp)|(\|lc)|(penalty))"</v>
      </c>
      <c r="AG201" s="1" t="str">
        <f t="shared" si="70"/>
        <v>NW</v>
      </c>
      <c r="AH201" s="86" t="str">
        <f t="shared" si="71"/>
        <v>"%USERPROFILE%\Documents\GitHub\eaglep3\Utilities\RefineRTDCRunTimes.py" --tripid 844-09 --locoid 4012 --swversion DE.1.0.9.0 --startMP 300:58687 --initTime 2017-03-09T21:37:11 --startdatetime 2017-03-09T21:39:34 --delay 2 --endMP 204:687 --enddatetime 2017-03-09T21:55:32 --enforcementcount 0 &gt;&gt;C:\Users\stu\Documents\GitHub\eaglep3-reporting\EC\2017-03-09-refined-times.txt</v>
      </c>
      <c r="AI201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{"issue":{"subject":"","project_id":79,"tracker_id":40,"status_id":1,"priority_id":2,"assigned_to_id":23,"start_date":"2017-03-09","description":"","custom_fields":[{"id":1,"name":"Subdivision","value":"NW"},{"id":4,"name":"Milepost","value":"0.0687"},{"id":17,"name":"Train ID","value":"844-09"},{"id":16,"name":"Locomotive ID","value":"4012"},{"id":130,"name":"Impact","value":""},{"id":150,"name":"Time of Event (Mountain Time)","value":"21:55:32"},{"id":151,"name":"Denver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73"/>
        <v>start /low /b %USERPROFILE%\Documents\GitHub\eaglep3\Utilities\DownloadLogsFromS3.py --loco 4012 --day 2017-03-09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"%USERPROFILE%\AppData\Local\Temp\OnboardLogs"\RTDC4012\*4012*20170310* | grep -SE "(Enforcement Action)|(\[TIMEOUT)|(CHR.+\|PRM\|1\|D.+(SWITCH|SIGNAL).+UNKNOWN)" - &gt;&gt; 2017-03-09-UncaughtWiMAX.txt</v>
      </c>
    </row>
    <row r="202" spans="1:40" x14ac:dyDescent="0.25">
      <c r="A202" s="33" t="s">
        <v>609</v>
      </c>
      <c r="B202" s="7">
        <v>4011</v>
      </c>
      <c r="C202" s="21" t="s">
        <v>242</v>
      </c>
      <c r="D202" s="21" t="s">
        <v>978</v>
      </c>
      <c r="E202" s="13">
        <v>42803.878067129626</v>
      </c>
      <c r="F202" s="13">
        <v>42803.889907407407</v>
      </c>
      <c r="G202" s="7">
        <v>1</v>
      </c>
      <c r="H202" s="21" t="s">
        <v>979</v>
      </c>
      <c r="I202" s="13">
        <v>42803.899826388886</v>
      </c>
      <c r="J202" s="7">
        <v>0</v>
      </c>
      <c r="K202" s="98" t="str">
        <f t="shared" si="56"/>
        <v>4011/4012</v>
      </c>
      <c r="L202" s="21" t="str">
        <f>VLOOKUP(A202,'Trips&amp;Operators'!$C$1:$G$99999,5,FALSE)</f>
        <v>STORY SAMANTHA</v>
      </c>
      <c r="M202" s="6">
        <f t="shared" si="57"/>
        <v>9.9189814791316167E-3</v>
      </c>
      <c r="N202" s="7">
        <f t="shared" si="58"/>
        <v>14.283333329949528</v>
      </c>
      <c r="O202" s="7"/>
      <c r="P202" s="7"/>
      <c r="Q202" s="22"/>
      <c r="R202" s="22"/>
      <c r="S202" s="31">
        <f t="shared" si="59"/>
        <v>1</v>
      </c>
      <c r="T202" s="46" t="str">
        <f t="shared" si="60"/>
        <v>NorthBound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61"/>
        <v>https://d0f6bd738d7f1b3e5a7ca70fe4ff75f0.us-east-1.aws.found.io/app/kibana#/discover/Steve-Slow-Train-Analysis-(2080s-and-2083s)?_g=(refreshInterval:(display:Off,pause:!f,section:0,value:0),time:(from:'2017-03-09T20:04:25-0700',mode:absolute,to:'2017-03-09T22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2" s="187" t="str">
        <f t="shared" si="62"/>
        <v>N</v>
      </c>
      <c r="X202" s="187">
        <f t="shared" si="63"/>
        <v>1</v>
      </c>
      <c r="Y202" s="62">
        <f t="shared" si="64"/>
        <v>9.8599999999999993E-2</v>
      </c>
      <c r="Z202" s="62">
        <f t="shared" si="65"/>
        <v>5.9005000000000001</v>
      </c>
      <c r="AA202" s="62">
        <f t="shared" si="66"/>
        <v>5.8018999999999998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67"/>
        <v>0845-09</v>
      </c>
      <c r="AE202" s="85" t="str">
        <f t="shared" si="68"/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202" s="82" t="str">
        <f t="shared" si="69"/>
        <v>"C:\Program Files (x86)\AstroGrep\AstroGrep.exe" /e /r /s /spath="%USERPROFILE%\AppData\Local\Temp\OnboardLogs" /stypes="app*4011*20170310*" /stext=" 04:.+((SYSTEM_STATE.+slice.+state.+changed )|(ment ac)|(multiple cpu faults)|(system.+state.+changed )|(\[timeout)|(PRM\|1\|D)|(kpr)|(kdp)|(\|lc)|(penalty))"</v>
      </c>
      <c r="AG202" s="1" t="str">
        <f t="shared" si="70"/>
        <v>NW</v>
      </c>
      <c r="AH202" s="86" t="str">
        <f t="shared" si="71"/>
        <v>"%USERPROFILE%\Documents\GitHub\eaglep3\Utilities\RefineRTDCRunTimes.py" --tripid 845-09 --locoid 4011 --swversion DE.1.0.9.0 --startMP 204:986 --initTime 2017-03-09T21:04:25 --startdatetime 2017-03-09T21:21:28 --delay 1 --endMP 300:59005 --enddatetime 2017-03-09T21:35:45 --enforcementcount 0 &gt;&gt;C:\Users\stu\Documents\GitHub\eaglep3-reporting\EC\2017-03-09-refined-times.txt</v>
      </c>
      <c r="AI202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{"issue":{"subject":"","project_id":79,"tracker_id":40,"status_id":1,"priority_id":2,"assigned_to_id":23,"start_date":"2017-03-09","description":"","custom_fields":[{"id":1,"name":"Subdivision","value":"NW"},{"id":4,"name":"Milepost","value":"5.9005"},{"id":17,"name":"Train ID","value":"845-09"},{"id":16,"name":"Locomotive ID","value":"4011"},{"id":130,"name":"Impact","value":""},{"id":150,"name":"Time of Event (Mountain Time)","value":"21:35:45"},{"id":151,"name":"Denver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73"/>
        <v>start /low /b %USERPROFILE%\Documents\GitHub\eaglep3\Utilities\DownloadLogsFromS3.py --loco 4011 --day 2017-03-09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"%USERPROFILE%\AppData\Local\Temp\OnboardLogs"\RTDC4011\*4011*20170310* | grep -SE "(Enforcement Action)|(\[TIMEOUT)|(CHR.+\|PRM\|1\|D.+(SWITCH|SIGNAL).+UNKNOWN)" - &gt;&gt; 2017-03-09-UncaughtWiMAX.txt</v>
      </c>
    </row>
    <row r="203" spans="1:40" x14ac:dyDescent="0.25">
      <c r="A203" s="33" t="s">
        <v>799</v>
      </c>
      <c r="B203" s="7">
        <v>4011</v>
      </c>
      <c r="C203" s="21" t="s">
        <v>242</v>
      </c>
      <c r="D203" s="21" t="s">
        <v>472</v>
      </c>
      <c r="E203" s="13">
        <v>42803.927800925929</v>
      </c>
      <c r="F203" s="13">
        <v>42803.932175925926</v>
      </c>
      <c r="G203" s="7">
        <v>2</v>
      </c>
      <c r="H203" s="21" t="s">
        <v>980</v>
      </c>
      <c r="I203" s="13">
        <v>42803.942326388889</v>
      </c>
      <c r="J203" s="7">
        <v>0</v>
      </c>
      <c r="K203" s="98" t="str">
        <f t="shared" si="56"/>
        <v>4011/4012</v>
      </c>
      <c r="L203" s="21" t="str">
        <f>VLOOKUP(A203,'Trips&amp;Operators'!$C$1:$G$99999,5,FALSE)</f>
        <v>STORY SAMANTHA</v>
      </c>
      <c r="M203" s="6">
        <f t="shared" si="57"/>
        <v>1.0150462963792961E-2</v>
      </c>
      <c r="N203" s="7">
        <f t="shared" si="58"/>
        <v>14.616666667861864</v>
      </c>
      <c r="O203" s="7"/>
      <c r="P203" s="7"/>
      <c r="Q203" s="22"/>
      <c r="R203" s="22"/>
      <c r="S203" s="31">
        <f t="shared" si="59"/>
        <v>1</v>
      </c>
      <c r="T203" s="46" t="str">
        <f t="shared" si="60"/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61"/>
        <v>https://d0f6bd738d7f1b3e5a7ca70fe4ff75f0.us-east-1.aws.found.io/app/kibana#/discover/Steve-Slow-Train-Analysis-(2080s-and-2083s)?_g=(refreshInterval:(display:Off,pause:!f,section:0,value:0),time:(from:'2017-03-09T21:16:02-0700',mode:absolute,to:'2017-03-09T23:36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3" s="187" t="str">
        <f t="shared" si="62"/>
        <v>N</v>
      </c>
      <c r="X203" s="187">
        <f t="shared" si="63"/>
        <v>2</v>
      </c>
      <c r="Y203" s="62">
        <f t="shared" si="64"/>
        <v>9.6000000000000002E-2</v>
      </c>
      <c r="Z203" s="62">
        <f t="shared" si="65"/>
        <v>5.8978000000000002</v>
      </c>
      <c r="AA203" s="62">
        <f t="shared" si="66"/>
        <v>5.8018000000000001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67"/>
        <v>0847-09</v>
      </c>
      <c r="AE203" s="85" t="str">
        <f t="shared" si="68"/>
        <v>aws s3 cp s3://rtdc.mdm.uploadarchive.raw/RTDC4011/ "%USERPROFILE%\AppData\Local\Temp\OnboardLogs"\RTDC4011\2017-03-09 --exclude "*" --recursive --include "*20170309*" &amp; "%USERPROFILE%\Documents\GitHub\mrs-test-scripts\Headless Mode &amp; Sideloading\WalkAndUnGZ.bat" "%USERPROFILE%\AppData\Local\Temp\OnboardLogs"\RTDC4011\2017-03-09 &amp; aws s3 cp s3://rtdc.mdm.uploadarchive.raw/RTDC4011/ "%USERPROFILE%\AppData\Local\Temp\OnboardLogs"\RTDC4011\2017-03-10 --exclude "*" --recursive --include "*20170310*" &amp; "%USERPROFILE%\Documents\GitHub\mrs-test-scripts\Headless Mode &amp; Sideloading\WalkAndUnGZ.bat" "%USERPROFILE%\AppData\Local\Temp\OnboardLogs"\RTDC4011\2017-03-10</v>
      </c>
      <c r="AF203" s="82" t="str">
        <f t="shared" si="69"/>
        <v>"C:\Program Files (x86)\AstroGrep\AstroGrep.exe" /e /r /s /spath="%USERPROFILE%\AppData\Local\Temp\OnboardLogs" /stypes="app*4011*20170310*" /stext=" 05:.+((SYSTEM_STATE.+slice.+state.+changed )|(ment ac)|(multiple cpu faults)|(system.+state.+changed )|(\[timeout)|(PRM\|1\|D)|(kpr)|(kdp)|(\|lc)|(penalty))"</v>
      </c>
      <c r="AG203" s="1" t="str">
        <f t="shared" si="70"/>
        <v>NW</v>
      </c>
      <c r="AH203" s="86" t="str">
        <f t="shared" si="71"/>
        <v>"%USERPROFILE%\Documents\GitHub\eaglep3\Utilities\RefineRTDCRunTimes.py" --tripid 847-09 --locoid 4011 --swversion DE.1.0.9.0 --startMP 204:960 --initTime 2017-03-09T22:16:02 --startdatetime 2017-03-09T22:22:20 --delay 2 --endMP 300:58978 --enddatetime 2017-03-09T22:36:57 --enforcementcount 0 &gt;&gt;C:\Users\stu\Documents\GitHub\eaglep3-reporting\EC\2017-03-09-refined-times.txt</v>
      </c>
      <c r="AI203" s="108" t="str">
        <f t="shared" si="72"/>
        <v>echo {"issue":{"subject":"","project_id":79,"tracker_id":40,"status_id":1,"priority_id":2,"assigned_to_id":23,"start_date":"2017-03-09","description":"","custom_fields":[{"id":1,"name":"Subdivision","value":"NW"},{"id":4,"name":"Milepost","value":"5.8978"},{"id":17,"name":"Train ID","value":"847-09"},{"id":16,"name":"Locomotive ID","value":"4011"},{"id":130,"name":"Impact","value":""},{"id":150,"name":"Time of Event (Mountain Time)","value":"22:36:57"},{"id":151,"name":"Denver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73"/>
        <v>start /low /b %USERPROFILE%\Documents\GitHub\eaglep3\Utilities\DownloadLogsFromS3.py --loco 4011 --day 2017-03-09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"%USERPROFILE%\AppData\Local\Temp\OnboardLogs"\RTDC4011\*4011*20170310* | grep -SE "(Enforcement Action)|(\[TIMEOUT)|(CHR.+\|PRM\|1\|D.+(SWITCH|SIGNAL).+UNKNOWN)" - &gt;&gt; 2017-03-09-UncaughtWiMAX.txt</v>
      </c>
    </row>
    <row r="204" spans="1:40" x14ac:dyDescent="0.25">
      <c r="A204" s="33" t="s">
        <v>614</v>
      </c>
      <c r="B204" s="7">
        <v>4021</v>
      </c>
      <c r="C204" s="21" t="s">
        <v>242</v>
      </c>
      <c r="D204" s="21" t="s">
        <v>883</v>
      </c>
      <c r="E204" s="13">
        <v>42803.119016203702</v>
      </c>
      <c r="F204" s="13">
        <v>42803.122418981482</v>
      </c>
      <c r="G204" s="7">
        <v>4</v>
      </c>
      <c r="H204" s="21" t="s">
        <v>432</v>
      </c>
      <c r="I204" s="13">
        <v>42803.129178240742</v>
      </c>
      <c r="J204" s="7">
        <v>0</v>
      </c>
      <c r="K204" s="98" t="str">
        <f t="shared" si="56"/>
        <v>4021/4022</v>
      </c>
      <c r="L204" s="21" t="str">
        <f>VLOOKUP(A204,'Trips&amp;Operators'!$C$1:$G$99999,5,FALSE)</f>
        <v>YOUNG ELIZABETH</v>
      </c>
      <c r="M204" s="6">
        <f t="shared" si="57"/>
        <v>6.7592592604341917E-3</v>
      </c>
      <c r="N204" s="7">
        <f t="shared" si="58"/>
        <v>9.733333335025236</v>
      </c>
      <c r="O204" s="7"/>
      <c r="P204" s="7"/>
      <c r="Q204" s="22"/>
      <c r="R204" s="22"/>
      <c r="S204" s="31">
        <f t="shared" si="59"/>
        <v>1</v>
      </c>
      <c r="T204" s="46" t="str">
        <f t="shared" si="60"/>
        <v>Southbound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61"/>
        <v>https://d0f6bd738d7f1b3e5a7ca70fe4ff75f0.us-east-1.aws.found.io/app/kibana#/discover/Steve-Slow-Train-Analysis-(2080s-and-2083s)?_g=(refreshInterval:(display:Off,pause:!f,section:0,value:0),time:(from:'2017-03-09T01:51:23-0700',mode:absolute,to:'2017-03-09T04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4" s="187" t="str">
        <f t="shared" si="62"/>
        <v>Y</v>
      </c>
      <c r="X204" s="187">
        <f t="shared" si="63"/>
        <v>-545</v>
      </c>
      <c r="Y204" s="62">
        <f t="shared" si="64"/>
        <v>2.2496999999999998</v>
      </c>
      <c r="Z204" s="62">
        <f t="shared" si="65"/>
        <v>1.6E-2</v>
      </c>
      <c r="AA204" s="62">
        <f t="shared" si="66"/>
        <v>2.2336999999999998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67"/>
        <v>0302-09</v>
      </c>
      <c r="AE204" s="85" t="str">
        <f t="shared" si="68"/>
        <v>aws s3 cp s3://rtdc.mdm.uploadarchive.raw/RTDC4021/ "%USERPROFILE%\AppData\Local\Temp\OnboardLogs"\RTDC4021\2017-03-09 --exclude "*" --recursive --include "*20170309*" &amp; "%USERPROFILE%\Documents\GitHub\mrs-test-scripts\Headless Mode &amp; Sideloading\WalkAndUnGZ.bat" "%USERPROFILE%\AppData\Local\Temp\OnboardLogs"\RTDC4021\2017-03-09 &amp; aws s3 cp s3://rtdc.mdm.uploadarchive.raw/RTDC4021/ "%USERPROFILE%\AppData\Local\Temp\OnboardLogs"\RTDC4021\2017-03-10 --exclude "*" --recursive --include "*20170310*" &amp; "%USERPROFILE%\Documents\GitHub\mrs-test-scripts\Headless Mode &amp; Sideloading\WalkAndUnGZ.bat" "%USERPROFILE%\AppData\Local\Temp\OnboardLogs"\RTDC4021\2017-03-10</v>
      </c>
      <c r="AF204" s="82" t="str">
        <f t="shared" si="69"/>
        <v>"C:\Program Files (x86)\AstroGrep\AstroGrep.exe" /e /r /s /spath="%USERPROFILE%\AppData\Local\Temp\OnboardLogs" /stypes="app*4021*20170309*" /stext=" 10:.+((SYSTEM_STATE.+slice.+state.+changed )|(ment ac)|(multiple cpu faults)|(system.+state.+changed )|(\[timeout)|(PRM\|1\|D)|(kpr)|(kdp)|(\|lc)|(penalty))"</v>
      </c>
      <c r="AG204" s="1" t="str">
        <f t="shared" si="70"/>
        <v>Other</v>
      </c>
      <c r="AH204" s="86" t="str">
        <f t="shared" si="71"/>
        <v>"%USERPROFILE%\Documents\GitHub\eaglep3\Utilities\RefineRTDCRunTimes.py" --tripid 302-09 --locoid 4021 --swversion DE.1.0.9.0 --startMP 300:22497 --initTime 2017-03-09T02:51:23 --startdatetime 2017-03-09T02:56:17 --delay 4 --endMP 204:160 --enddatetime 2017-03-09T03:06:01 --enforcementcount 0 &gt;&gt;C:\Users\stu\Documents\GitHub\eaglep3-reporting\EC\2017-03-09-refined-times.txt</v>
      </c>
      <c r="AI204" s="108" t="str">
        <f t="shared" si="72"/>
        <v>echo {"issue":{"subject":"","project_id":79,"tracker_id":40,"status_id":1,"priority_id":2,"assigned_to_id":23,"start_date":"2017-03-09","description":"","custom_fields":[{"id":1,"name":"Subdivision","value":"Other"},{"id":4,"name":"Milepost","value":"0.016"},{"id":17,"name":"Train ID","value":"302-09"},{"id":16,"name":"Locomotive ID","value":"4021"},{"id":130,"name":"Impact","value":""},{"id":150,"name":"Time of Event (Mountain Time)","value":"03:06:01"},{"id":151,"name":"Denver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73"/>
        <v>start /low /b %USERPROFILE%\Documents\GitHub\eaglep3\Utilities\DownloadLogsFromS3.py --loco 4021 --day 2017-03-09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"%USERPROFILE%\AppData\Local\Temp\OnboardLogs"\RTDC4021\*4021*20170309* | grep -SE "(Enforcement Action)|(\[TIMEOUT)|(CHR.+\|PRM\|1\|D.+(SWITCH|SIGNAL).+UNKNOWN)" - &gt;&gt; 2017-03-09-UncaughtWiMAX.txt</v>
      </c>
    </row>
    <row r="205" spans="1:40" x14ac:dyDescent="0.25">
      <c r="A205" s="33" t="s">
        <v>614</v>
      </c>
      <c r="B205" s="7">
        <v>4021</v>
      </c>
      <c r="C205" s="21" t="s">
        <v>242</v>
      </c>
      <c r="D205" s="21" t="s">
        <v>884</v>
      </c>
      <c r="E205" s="13">
        <v>42803.115486111114</v>
      </c>
      <c r="F205" s="13">
        <v>42803.122418981482</v>
      </c>
      <c r="G205" s="7">
        <v>1</v>
      </c>
      <c r="H205" s="21" t="s">
        <v>885</v>
      </c>
      <c r="I205" s="13">
        <v>42803.129178240742</v>
      </c>
      <c r="J205" s="7">
        <v>0</v>
      </c>
      <c r="K205" s="98" t="str">
        <f t="shared" si="56"/>
        <v>4021/4022</v>
      </c>
      <c r="L205" s="21" t="str">
        <f>VLOOKUP(A205,'Trips&amp;Operators'!$C$1:$G$99999,5,FALSE)</f>
        <v>YOUNG ELIZABETH</v>
      </c>
      <c r="M205" s="6">
        <f t="shared" si="57"/>
        <v>6.7592592604341917E-3</v>
      </c>
      <c r="N205" s="7">
        <f t="shared" si="58"/>
        <v>9.733333335025236</v>
      </c>
      <c r="O205" s="7"/>
      <c r="P205" s="7"/>
      <c r="Q205" s="22"/>
      <c r="R205" s="22"/>
      <c r="S205" s="31">
        <f t="shared" si="59"/>
        <v>0</v>
      </c>
      <c r="T205" s="46" t="str">
        <f t="shared" si="60"/>
        <v>Southbound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86" t="str">
        <f t="shared" si="61"/>
        <v>https://d0f6bd738d7f1b3e5a7ca70fe4ff75f0.us-east-1.aws.found.io/app/kibana#/discover/Steve-Slow-Train-Analysis-(2080s-and-2083s)?_g=(refreshInterval:(display:Off,pause:!f,section:0,value:0),time:(from:'2017-03-09T01:46:18-0700',mode:absolute,to:'2017-03-09T04:06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5" s="187" t="str">
        <f t="shared" si="62"/>
        <v>Y</v>
      </c>
      <c r="X205" s="187">
        <f t="shared" si="63"/>
        <v>0</v>
      </c>
      <c r="Y205" s="62">
        <f t="shared" si="64"/>
        <v>2.5127999999999999</v>
      </c>
      <c r="Z205" s="62">
        <f t="shared" si="65"/>
        <v>2.4407000000000001</v>
      </c>
      <c r="AA205" s="62">
        <f t="shared" si="66"/>
        <v>7.2099999999999831E-2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si="67"/>
        <v>0302-09</v>
      </c>
      <c r="AE205" s="85" t="str">
        <f t="shared" si="68"/>
        <v>aws s3 cp s3://rtdc.mdm.uploadarchive.raw/RTDC4021/ "%USERPROFILE%\AppData\Local\Temp\OnboardLogs"\RTDC4021\2017-03-09 --exclude "*" --recursive --include "*20170309*" &amp; "%USERPROFILE%\Documents\GitHub\mrs-test-scripts\Headless Mode &amp; Sideloading\WalkAndUnGZ.bat" "%USERPROFILE%\AppData\Local\Temp\OnboardLogs"\RTDC4021\2017-03-09 &amp; aws s3 cp s3://rtdc.mdm.uploadarchive.raw/RTDC4021/ "%USERPROFILE%\AppData\Local\Temp\OnboardLogs"\RTDC4021\2017-03-10 --exclude "*" --recursive --include "*20170310*" &amp; "%USERPROFILE%\Documents\GitHub\mrs-test-scripts\Headless Mode &amp; Sideloading\WalkAndUnGZ.bat" "%USERPROFILE%\AppData\Local\Temp\OnboardLogs"\RTDC4021\2017-03-10</v>
      </c>
      <c r="AF205" s="82" t="str">
        <f t="shared" si="69"/>
        <v>"C:\Program Files (x86)\AstroGrep\AstroGrep.exe" /e /r /s /spath="%USERPROFILE%\AppData\Local\Temp\OnboardLogs" /stypes="app*4021*20170309*" /stext=" 10:.+((SYSTEM_STATE.+slice.+state.+changed )|(ment ac)|(multiple cpu faults)|(system.+state.+changed )|(\[timeout)|(PRM\|1\|D)|(kpr)|(kdp)|(\|lc)|(penalty))"</v>
      </c>
      <c r="AG205" s="1" t="str">
        <f t="shared" si="70"/>
        <v>Other</v>
      </c>
      <c r="AH205" s="86" t="str">
        <f t="shared" si="71"/>
        <v>"%USERPROFILE%\Documents\GitHub\eaglep3\Utilities\RefineRTDCRunTimes.py" --tripid 302-09 --locoid 4021 --swversion DE.1.0.9.0 --startMP 300:25128 --initTime 2017-03-09T02:46:18 --startdatetime 2017-03-09T02:56:17 --delay 1 --endMP 300:24407 --enddatetime 2017-03-09T03:06:01 --enforcementcount 0 &gt;&gt;C:\Users\stu\Documents\GitHub\eaglep3-reporting\EC\2017-03-09-refined-times.txt</v>
      </c>
      <c r="AI205" s="108" t="str">
        <f t="shared" si="72"/>
        <v>echo {"issue":{"subject":"","project_id":79,"tracker_id":40,"status_id":1,"priority_id":2,"assigned_to_id":23,"start_date":"2017-03-09","description":"","custom_fields":[{"id":1,"name":"Subdivision","value":"Other"},{"id":4,"name":"Milepost","value":"2.4407"},{"id":17,"name":"Train ID","value":"302-09"},{"id":16,"name":"Locomotive ID","value":"4021"},{"id":130,"name":"Impact","value":""},{"id":150,"name":"Time of Event (Mountain Time)","value":"03:06:01"},{"id":151,"name":"Denver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73"/>
        <v>start /low /b %USERPROFILE%\Documents\GitHub\eaglep3\Utilities\DownloadLogsFromS3.py --loco 4021 --day 2017-03-09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"%USERPROFILE%\AppData\Local\Temp\OnboardLogs"\RTDC4021\*4021*20170309* | grep -SE "(Enforcement Action)|(\[TIMEOUT)|(CHR.+\|PRM\|1\|D.+(SWITCH|SIGNAL).+UNKNOWN)" - &gt;&gt; 2017-03-09-UncaughtWiMAX.txt</v>
      </c>
    </row>
    <row r="206" spans="1:40" x14ac:dyDescent="0.25">
      <c r="A206" s="33" t="s">
        <v>774</v>
      </c>
      <c r="B206" s="7">
        <v>4040</v>
      </c>
      <c r="C206" s="21" t="s">
        <v>242</v>
      </c>
      <c r="D206" s="21" t="s">
        <v>550</v>
      </c>
      <c r="E206" s="13">
        <v>42803.779351851852</v>
      </c>
      <c r="F206" s="13">
        <v>42803.780810185184</v>
      </c>
      <c r="G206" s="7">
        <v>1</v>
      </c>
      <c r="H206" s="21" t="s">
        <v>886</v>
      </c>
      <c r="I206" s="13">
        <v>42803.785925925928</v>
      </c>
      <c r="J206" s="7">
        <v>0</v>
      </c>
      <c r="K206" s="98" t="str">
        <f t="shared" ref="K206:K243" si="74">IF(ISEVEN(B206),(B206-1)&amp;"/"&amp;B206,B206&amp;"/"&amp;(B206+1))</f>
        <v>4039/4040</v>
      </c>
      <c r="L206" s="21" t="str">
        <f>VLOOKUP(A206,'Trips&amp;Operators'!$C$1:$G$99999,5,FALSE)</f>
        <v>SMITH MICHAEL</v>
      </c>
      <c r="M206" s="6">
        <f t="shared" ref="M206:M243" si="75">I206-F206</f>
        <v>5.1157407433493063E-3</v>
      </c>
      <c r="N206" s="7">
        <f t="shared" ref="N206:N243" si="76">24*60*SUM($M206:$M206)</f>
        <v>7.3666666704230011</v>
      </c>
      <c r="O206" s="7"/>
      <c r="P206" s="7"/>
      <c r="Q206" s="22"/>
      <c r="R206" s="22"/>
      <c r="S206" s="31">
        <f t="shared" ref="S206:S243" si="77">SUM(U206:U206)/IF(AG206="EC",12,1)</f>
        <v>1</v>
      </c>
      <c r="T206" s="46" t="str">
        <f t="shared" ref="T206:T243" si="78">IF(ISEVEN(LEFT(AD206,4)),"Southbound","NorthBound")</f>
        <v>NorthBound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ref="V206:V243" si="79"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-03-09T17:42:16-0700',mode:absolute,to:'2017-03-09T19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6" s="187" t="str">
        <f t="shared" ref="W206:W243" si="80">IF(AA206&lt;IF(AG206="EC",23,5.65),"Y","N")</f>
        <v>Y</v>
      </c>
      <c r="X206" s="187">
        <f t="shared" ref="X206:X243" si="81">VALUE(LEFT(AD206,4))-VALUE(LEFT(AD205,4))</f>
        <v>1</v>
      </c>
      <c r="Y206" s="62">
        <f t="shared" ref="Y206:Y243" si="82">RIGHT(D206,LEN(D206)-4)/10000</f>
        <v>4.8599999999999997E-2</v>
      </c>
      <c r="Z206" s="62">
        <f t="shared" ref="Z206:Z243" si="83">RIGHT(H206,LEN(H206)-4)/10000</f>
        <v>2.2991999999999999</v>
      </c>
      <c r="AA206" s="62">
        <f t="shared" ref="AA206:AA243" si="84">ABS(Z206-Y206)</f>
        <v>2.2505999999999999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ref="AD206:AD243" si="85">IF(LEN(A206)=6,"0"&amp;A206,A206)</f>
        <v>0303-09</v>
      </c>
      <c r="AE206" s="85" t="str">
        <f t="shared" ref="AE206:AE243" si="86"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s3://rtdc.mdm.uploadarchive.raw/RTDC4040/ "%USERPROFILE%\AppData\Local\Temp\OnboardLogs"\RTDC4040\2017-03-09 --exclude "*" --recursive --include "*20170309*" &amp; "%USERPROFILE%\Documents\GitHub\mrs-test-scripts\Headless Mode &amp; Sideloading\WalkAndUnGZ.bat" "%USERPROFILE%\AppData\Local\Temp\OnboardLogs"\RTDC4040\2017-03-09 &amp; aws s3 cp s3://rtdc.mdm.uploadarchive.raw/RTDC4040/ "%USERPROFILE%\AppData\Local\Temp\OnboardLogs"\RTDC4040\2017-03-10 --exclude "*" --recursive --include "*20170310*" &amp; "%USERPROFILE%\Documents\GitHub\mrs-test-scripts\Headless Mode &amp; Sideloading\WalkAndUnGZ.bat" "%USERPROFILE%\AppData\Local\Temp\OnboardLogs"\RTDC4040\2017-03-10</v>
      </c>
      <c r="AF206" s="82" t="str">
        <f t="shared" ref="AF206:AF243" si="87"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/stypes="app*4040*20170310*" /stext=" 01:.+((SYSTEM_STATE.+slice.+state.+changed )|(ment ac)|(multiple cpu faults)|(system.+state.+changed )|(\[timeout)|(PRM\|1\|D)|(kpr)|(kdp)|(\|lc)|(penalty))"</v>
      </c>
      <c r="AG206" s="1" t="str">
        <f t="shared" ref="AG206:AG243" si="88">IFERROR(IF(VALUE(LEFT(AD206,2))&lt;=2,"EC",IF(OR(VALUE(LEFT(AD206,2))=8,VALUE(LEFT(AD206,2))=18),"NW","Other")),"Other")</f>
        <v>Other</v>
      </c>
      <c r="AH206" s="86" t="str">
        <f t="shared" si="71"/>
        <v>"%USERPROFILE%\Documents\GitHub\eaglep3\Utilities\RefineRTDCRunTimes.py" --tripid 303-09 --locoid 4040 --swversion DE.1.0.9.0 --startMP 204:486 --initTime 2017-03-09T18:42:16 --startdatetime 2017-03-09T18:44:22 --delay 1 --endMP 300:22992 --enddatetime 2017-03-09T18:51:44 --enforcementcount 0 &gt;&gt;C:\Users\stu\Documents\GitHub\eaglep3-reporting\EC\2017-03-09-refined-times.txt</v>
      </c>
      <c r="AI206" s="108" t="str">
        <f t="shared" si="72"/>
        <v>echo {"issue":{"subject":"","project_id":79,"tracker_id":40,"status_id":1,"priority_id":2,"assigned_to_id":23,"start_date":"2017-03-09","description":"","custom_fields":[{"id":1,"name":"Subdivision","value":"Other"},{"id":4,"name":"Milepost","value":"2.2992"},{"id":17,"name":"Train ID","value":"303-09"},{"id":16,"name":"Locomotive ID","value":"4040"},{"id":130,"name":"Impact","value":""},{"id":150,"name":"Time of Event (Mountain Time)","value":"18:51:44"},{"id":151,"name":"Denver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si="73"/>
        <v>start /low /b %USERPROFILE%\Documents\GitHub\eaglep3\Utilities\DownloadLogsFromS3.py --loco 4040 --day 2017-03-09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"%USERPROFILE%\AppData\Local\Temp\OnboardLogs"\RTDC4040\*4040*20170310* | grep -SE "(Enforcement Action)|(\[TIMEOUT)|(CHR.+\|PRM\|1\|D.+(SWITCH|SIGNAL).+UNKNOWN)" - &gt;&gt; 2017-03-09-UncaughtWiMAX.txt</v>
      </c>
    </row>
    <row r="207" spans="1:40" x14ac:dyDescent="0.25">
      <c r="A207" s="33" t="s">
        <v>619</v>
      </c>
      <c r="B207" s="7">
        <v>4017</v>
      </c>
      <c r="C207" s="21" t="s">
        <v>242</v>
      </c>
      <c r="D207" s="21" t="s">
        <v>887</v>
      </c>
      <c r="E207" s="13">
        <v>42803.141400462962</v>
      </c>
      <c r="F207" s="13">
        <v>42803.145567129628</v>
      </c>
      <c r="G207" s="7">
        <v>4</v>
      </c>
      <c r="H207" s="21" t="s">
        <v>270</v>
      </c>
      <c r="I207" s="13">
        <v>42803.150902777779</v>
      </c>
      <c r="J207" s="7">
        <v>0</v>
      </c>
      <c r="K207" s="98" t="str">
        <f t="shared" si="74"/>
        <v>4017/4018</v>
      </c>
      <c r="L207" s="21" t="str">
        <f>VLOOKUP(A207,'Trips&amp;Operators'!$C$1:$G$99999,5,FALSE)</f>
        <v>BONDS REYNALDO</v>
      </c>
      <c r="M207" s="6">
        <f t="shared" si="75"/>
        <v>5.3356481512309983E-3</v>
      </c>
      <c r="N207" s="7">
        <f t="shared" si="76"/>
        <v>7.6833333377726376</v>
      </c>
      <c r="O207" s="7"/>
      <c r="P207" s="7"/>
      <c r="Q207" s="22"/>
      <c r="R207" s="22"/>
      <c r="S207" s="31">
        <f t="shared" si="77"/>
        <v>1</v>
      </c>
      <c r="T207" s="46" t="str">
        <f t="shared" si="78"/>
        <v>Southbound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79"/>
        <v>https://d0f6bd738d7f1b3e5a7ca70fe4ff75f0.us-east-1.aws.found.io/app/kibana#/discover/Steve-Slow-Train-Analysis-(2080s-and-2083s)?_g=(refreshInterval:(display:Off,pause:!f,section:0,value:0),time:(from:'2017-03-09T02:23:37-0700',mode:absolute,to:'2017-03-09T04:37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7" s="187" t="str">
        <f t="shared" si="80"/>
        <v>Y</v>
      </c>
      <c r="X207" s="187">
        <f t="shared" si="81"/>
        <v>1</v>
      </c>
      <c r="Y207" s="62">
        <f t="shared" si="82"/>
        <v>2.2061999999999999</v>
      </c>
      <c r="Z207" s="62">
        <f t="shared" si="83"/>
        <v>1.61E-2</v>
      </c>
      <c r="AA207" s="62">
        <f t="shared" si="84"/>
        <v>2.1901000000000002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85"/>
        <v>0304-09</v>
      </c>
      <c r="AE207" s="85" t="str">
        <f t="shared" si="86"/>
        <v>aws s3 cp s3://rtdc.mdm.uploadarchive.raw/RTDC4017/ "%USERPROFILE%\AppData\Local\Temp\OnboardLogs"\RTDC4017\2017-03-09 --exclude "*" --recursive --include "*20170309*" &amp; "%USERPROFILE%\Documents\GitHub\mrs-test-scripts\Headless Mode &amp; Sideloading\WalkAndUnGZ.bat" "%USERPROFILE%\AppData\Local\Temp\OnboardLogs"\RTDC4017\2017-03-09 &amp; aws s3 cp s3://rtdc.mdm.uploadarchive.raw/RTDC4017/ "%USERPROFILE%\AppData\Local\Temp\OnboardLogs"\RTDC4017\2017-03-10 --exclude "*" --recursive --include "*20170310*" &amp; "%USERPROFILE%\Documents\GitHub\mrs-test-scripts\Headless Mode &amp; Sideloading\WalkAndUnGZ.bat" "%USERPROFILE%\AppData\Local\Temp\OnboardLogs"\RTDC4017\2017-03-10</v>
      </c>
      <c r="AF207" s="82" t="str">
        <f t="shared" si="87"/>
        <v>"C:\Program Files (x86)\AstroGrep\AstroGrep.exe" /e /r /s /spath="%USERPROFILE%\AppData\Local\Temp\OnboardLogs" /stypes="app*4017*20170309*" /stext=" 10:.+((SYSTEM_STATE.+slice.+state.+changed )|(ment ac)|(multiple cpu faults)|(system.+state.+changed )|(\[timeout)|(PRM\|1\|D)|(kpr)|(kdp)|(\|lc)|(penalty))"</v>
      </c>
      <c r="AG207" s="1" t="str">
        <f t="shared" si="88"/>
        <v>Other</v>
      </c>
      <c r="AH207" s="86" t="str">
        <f t="shared" ref="AH207:AH243" si="89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304-09 --locoid 4017 --swversion DE.1.0.9.0 --startMP 300:22062 --initTime 2017-03-09T03:23:37 --startdatetime 2017-03-09T03:29:37 --delay 4 --endMP 204:161 --enddatetime 2017-03-09T03:37:18 --enforcementcount 0 &gt;&gt;C:\Users\stu\Documents\GitHub\eaglep3-reporting\EC\2017-03-09-refined-times.txt</v>
      </c>
      <c r="AI207" s="108" t="str">
        <f t="shared" ref="AI207:AI243" si="90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{"issue":{"subject":"","project_id":79,"tracker_id":40,"status_id":1,"priority_id":2,"assigned_to_id":23,"start_date":"2017-03-09","description":"","custom_fields":[{"id":1,"name":"Subdivision","value":"Other"},{"id":4,"name":"Milepost","value":"0.0161"},{"id":17,"name":"Train ID","value":"304-09"},{"id":16,"name":"Locomotive ID","value":"4017"},{"id":130,"name":"Impact","value":""},{"id":150,"name":"Time of Event (Mountain Time)","value":"03:37:18"},{"id":151,"name":"Denver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ref="AM207:AM243" si="91">"start /low /b "&amp;dls3logs&amp;" --loco "&amp;B207&amp;" --day "&amp;TEXT(F207,"YYYY-MM-DD")</f>
        <v>start /low /b %USERPROFILE%\Documents\GitHub\eaglep3\Utilities\DownloadLogsFromS3.py --loco 4017 --day 2017-03-09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"%USERPROFILE%\AppData\Local\Temp\OnboardLogs"\RTDC4017\*4017*20170309* | grep -SE "(Enforcement Action)|(\[TIMEOUT)|(CHR.+\|PRM\|1\|D.+(SWITCH|SIGNAL).+UNKNOWN)" - &gt;&gt; 2017-03-09-UncaughtWiMAX.txt</v>
      </c>
    </row>
    <row r="208" spans="1:40" x14ac:dyDescent="0.25">
      <c r="A208" s="33" t="s">
        <v>779</v>
      </c>
      <c r="B208" s="7">
        <v>4014</v>
      </c>
      <c r="C208" s="21" t="s">
        <v>242</v>
      </c>
      <c r="D208" s="21" t="s">
        <v>277</v>
      </c>
      <c r="E208" s="13">
        <v>42803.798750000002</v>
      </c>
      <c r="F208" s="13">
        <v>42803.800243055557</v>
      </c>
      <c r="G208" s="7">
        <v>1</v>
      </c>
      <c r="H208" s="21" t="s">
        <v>888</v>
      </c>
      <c r="I208" s="13">
        <v>42803.804988425924</v>
      </c>
      <c r="J208" s="7">
        <v>0</v>
      </c>
      <c r="K208" s="98" t="str">
        <f t="shared" si="74"/>
        <v>4013/4014</v>
      </c>
      <c r="L208" s="21" t="str">
        <f>VLOOKUP(A208,'Trips&amp;Operators'!$C$1:$G$99999,5,FALSE)</f>
        <v>LOCKLEAR TRAVIS</v>
      </c>
      <c r="M208" s="6">
        <f t="shared" si="75"/>
        <v>4.7453703664359637E-3</v>
      </c>
      <c r="N208" s="7">
        <f t="shared" si="76"/>
        <v>6.8333333276677877</v>
      </c>
      <c r="O208" s="7"/>
      <c r="P208" s="7"/>
      <c r="Q208" s="22"/>
      <c r="R208" s="22"/>
      <c r="S208" s="31">
        <f t="shared" si="77"/>
        <v>1</v>
      </c>
      <c r="T208" s="46" t="str">
        <f t="shared" si="78"/>
        <v>NorthBound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79"/>
        <v>https://d0f6bd738d7f1b3e5a7ca70fe4ff75f0.us-east-1.aws.found.io/app/kibana#/discover/Steve-Slow-Train-Analysis-(2080s-and-2083s)?_g=(refreshInterval:(display:Off,pause:!f,section:0,value:0),time:(from:'2017-03-09T18:10:12-0700',mode:absolute,to:'2017-03-09T20:19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8" s="187" t="str">
        <f t="shared" si="80"/>
        <v>Y</v>
      </c>
      <c r="X208" s="187">
        <f t="shared" si="81"/>
        <v>1</v>
      </c>
      <c r="Y208" s="62">
        <f t="shared" si="82"/>
        <v>4.7699999999999999E-2</v>
      </c>
      <c r="Z208" s="62">
        <f t="shared" si="83"/>
        <v>2.3136000000000001</v>
      </c>
      <c r="AA208" s="62">
        <f t="shared" si="84"/>
        <v>2.2659000000000002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85"/>
        <v>0305-09</v>
      </c>
      <c r="AE208" s="85" t="str">
        <f t="shared" si="86"/>
        <v>aws s3 cp s3://rtdc.mdm.uploadarchive.raw/RTDC4014/ "%USERPROFILE%\AppData\Local\Temp\OnboardLogs"\RTDC4014\2017-03-09 --exclude "*" --recursive --include "*20170309*" &amp; "%USERPROFILE%\Documents\GitHub\mrs-test-scripts\Headless Mode &amp; Sideloading\WalkAndUnGZ.bat" "%USERPROFILE%\AppData\Local\Temp\OnboardLogs"\RTDC4014\2017-03-09 &amp; aws s3 cp s3://rtdc.mdm.uploadarchive.raw/RTDC4014/ "%USERPROFILE%\AppData\Local\Temp\OnboardLogs"\RTDC4014\2017-03-10 --exclude "*" --recursive --include "*20170310*" &amp; "%USERPROFILE%\Documents\GitHub\mrs-test-scripts\Headless Mode &amp; Sideloading\WalkAndUnGZ.bat" "%USERPROFILE%\AppData\Local\Temp\OnboardLogs"\RTDC4014\2017-03-10</v>
      </c>
      <c r="AF208" s="82" t="str">
        <f t="shared" si="87"/>
        <v>"C:\Program Files (x86)\AstroGrep\AstroGrep.exe" /e /r /s /spath="%USERPROFILE%\AppData\Local\Temp\OnboardLogs" /stypes="app*4014*20170310*" /stext=" 02:.+((SYSTEM_STATE.+slice.+state.+changed )|(ment ac)|(multiple cpu faults)|(system.+state.+changed )|(\[timeout)|(PRM\|1\|D)|(kpr)|(kdp)|(\|lc)|(penalty))"</v>
      </c>
      <c r="AG208" s="1" t="str">
        <f t="shared" si="88"/>
        <v>Other</v>
      </c>
      <c r="AH208" s="86" t="str">
        <f t="shared" si="89"/>
        <v>"%USERPROFILE%\Documents\GitHub\eaglep3\Utilities\RefineRTDCRunTimes.py" --tripid 305-09 --locoid 4014 --swversion DE.1.0.9.0 --startMP 204:477 --initTime 2017-03-09T19:10:12 --startdatetime 2017-03-09T19:12:21 --delay 1 --endMP 300:23136 --enddatetime 2017-03-09T19:19:11 --enforcementcount 0 &gt;&gt;C:\Users\stu\Documents\GitHub\eaglep3-reporting\EC\2017-03-09-refined-times.txt</v>
      </c>
      <c r="AI208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{"issue":{"subject":"","project_id":79,"tracker_id":40,"status_id":1,"priority_id":2,"assigned_to_id":23,"start_date":"2017-03-09","description":"","custom_fields":[{"id":1,"name":"Subdivision","value":"Other"},{"id":4,"name":"Milepost","value":"2.3136"},{"id":17,"name":"Train ID","value":"305-09"},{"id":16,"name":"Locomotive ID","value":"4014"},{"id":130,"name":"Impact","value":""},{"id":150,"name":"Time of Event (Mountain Time)","value":"19:19:11"},{"id":151,"name":"Denver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91"/>
        <v>start /low /b %USERPROFILE%\Documents\GitHub\eaglep3\Utilities\DownloadLogsFromS3.py --loco 4014 --day 2017-03-09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"%USERPROFILE%\AppData\Local\Temp\OnboardLogs"\RTDC4014\*4014*20170310* | grep -SE "(Enforcement Action)|(\[TIMEOUT)|(CHR.+\|PRM\|1\|D.+(SWITCH|SIGNAL).+UNKNOWN)" - &gt;&gt; 2017-03-09-UncaughtWiMAX.txt</v>
      </c>
    </row>
    <row r="209" spans="1:40" x14ac:dyDescent="0.25">
      <c r="A209" s="33" t="s">
        <v>621</v>
      </c>
      <c r="B209" s="7">
        <v>4043</v>
      </c>
      <c r="C209" s="21" t="s">
        <v>242</v>
      </c>
      <c r="D209" s="21" t="s">
        <v>889</v>
      </c>
      <c r="E209" s="13">
        <v>42803.156759259262</v>
      </c>
      <c r="F209" s="13">
        <v>42803.159861111111</v>
      </c>
      <c r="G209" s="7">
        <v>4</v>
      </c>
      <c r="H209" s="21" t="s">
        <v>232</v>
      </c>
      <c r="I209" s="13">
        <v>42803.165185185186</v>
      </c>
      <c r="J209" s="7">
        <v>0</v>
      </c>
      <c r="K209" s="98" t="str">
        <f t="shared" si="74"/>
        <v>4043/4044</v>
      </c>
      <c r="L209" s="21" t="str">
        <f>VLOOKUP(A209,'Trips&amp;Operators'!$C$1:$G$99999,5,FALSE)</f>
        <v>ROBINSON KADDIBA</v>
      </c>
      <c r="M209" s="6">
        <f t="shared" si="75"/>
        <v>5.324074074451346E-3</v>
      </c>
      <c r="N209" s="7">
        <f t="shared" si="76"/>
        <v>7.6666666672099382</v>
      </c>
      <c r="O209" s="7"/>
      <c r="P209" s="7"/>
      <c r="Q209" s="22"/>
      <c r="R209" s="22"/>
      <c r="S209" s="31">
        <f t="shared" si="77"/>
        <v>1</v>
      </c>
      <c r="T209" s="46" t="str">
        <f t="shared" si="78"/>
        <v>Southbound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 t="shared" si="79"/>
        <v>https://d0f6bd738d7f1b3e5a7ca70fe4ff75f0.us-east-1.aws.found.io/app/kibana#/discover/Steve-Slow-Train-Analysis-(2080s-and-2083s)?_g=(refreshInterval:(display:Off,pause:!f,section:0,value:0),time:(from:'2017-03-09T02:45:44-0700',mode:absolute,to:'2017-03-09T04:57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9" s="187" t="str">
        <f t="shared" si="80"/>
        <v>Y</v>
      </c>
      <c r="X209" s="187">
        <f t="shared" si="81"/>
        <v>1</v>
      </c>
      <c r="Y209" s="62">
        <f t="shared" si="82"/>
        <v>2.1970999999999998</v>
      </c>
      <c r="Z209" s="62">
        <f t="shared" si="83"/>
        <v>1.5599999999999999E-2</v>
      </c>
      <c r="AA209" s="62">
        <f t="shared" si="84"/>
        <v>2.1814999999999998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85"/>
        <v>0306-09</v>
      </c>
      <c r="AE209" s="85" t="str">
        <f t="shared" si="86"/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AF209" s="82" t="str">
        <f t="shared" si="87"/>
        <v>"C:\Program Files (x86)\AstroGrep\AstroGrep.exe" /e /r /s /spath="%USERPROFILE%\AppData\Local\Temp\OnboardLogs" /stypes="app*4043*20170309*" /stext=" 10:.+((SYSTEM_STATE.+slice.+state.+changed )|(ment ac)|(multiple cpu faults)|(system.+state.+changed )|(\[timeout)|(PRM\|1\|D)|(kpr)|(kdp)|(\|lc)|(penalty))"</v>
      </c>
      <c r="AG209" s="1" t="str">
        <f t="shared" si="88"/>
        <v>Other</v>
      </c>
      <c r="AH209" s="86" t="str">
        <f t="shared" si="89"/>
        <v>"%USERPROFILE%\Documents\GitHub\eaglep3\Utilities\RefineRTDCRunTimes.py" --tripid 306-09 --locoid 4043 --swversion DE.1.0.9.0 --startMP 300:21971 --initTime 2017-03-09T03:45:44 --startdatetime 2017-03-09T03:50:12 --delay 4 --endMP 204:156 --enddatetime 2017-03-09T03:57:52 --enforcementcount 0 &gt;&gt;C:\Users\stu\Documents\GitHub\eaglep3-reporting\EC\2017-03-09-refined-times.txt</v>
      </c>
      <c r="AI209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{"issue":{"subject":"","project_id":79,"tracker_id":40,"status_id":1,"priority_id":2,"assigned_to_id":23,"start_date":"2017-03-09","description":"","custom_fields":[{"id":1,"name":"Subdivision","value":"Other"},{"id":4,"name":"Milepost","value":"0.0156"},{"id":17,"name":"Train ID","value":"306-09"},{"id":16,"name":"Locomotive ID","value":"4043"},{"id":130,"name":"Impact","value":""},{"id":150,"name":"Time of Event (Mountain Time)","value":"03:57:52"},{"id":151,"name":"Denver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91"/>
        <v>start /low /b %USERPROFILE%\Documents\GitHub\eaglep3\Utilities\DownloadLogsFromS3.py --loco 4043 --day 2017-03-09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"%USERPROFILE%\AppData\Local\Temp\OnboardLogs"\RTDC4043\*4043*20170309* | grep -SE "(Enforcement Action)|(\[TIMEOUT)|(CHR.+\|PRM\|1\|D.+(SWITCH|SIGNAL).+UNKNOWN)" - &gt;&gt; 2017-03-09-UncaughtWiMAX.txt</v>
      </c>
    </row>
    <row r="210" spans="1:40" x14ac:dyDescent="0.25">
      <c r="A210" s="33" t="s">
        <v>786</v>
      </c>
      <c r="B210" s="7">
        <v>4016</v>
      </c>
      <c r="C210" s="21" t="s">
        <v>242</v>
      </c>
      <c r="D210" s="21" t="s">
        <v>237</v>
      </c>
      <c r="E210" s="13">
        <v>42803.823865740742</v>
      </c>
      <c r="F210" s="13">
        <v>42803.826053240744</v>
      </c>
      <c r="G210" s="7">
        <v>1</v>
      </c>
      <c r="H210" s="21" t="s">
        <v>890</v>
      </c>
      <c r="I210" s="13">
        <v>42803.83153935185</v>
      </c>
      <c r="J210" s="7">
        <v>0</v>
      </c>
      <c r="K210" s="98" t="str">
        <f t="shared" si="74"/>
        <v>4015/4016</v>
      </c>
      <c r="L210" s="21" t="str">
        <f>VLOOKUP(A210,'Trips&amp;Operators'!$C$1:$G$99999,5,FALSE)</f>
        <v>BRANDNER MELINDA</v>
      </c>
      <c r="M210" s="6">
        <f t="shared" si="75"/>
        <v>5.4861111057107337E-3</v>
      </c>
      <c r="N210" s="7">
        <f t="shared" si="76"/>
        <v>7.8999999922234565</v>
      </c>
      <c r="O210" s="7"/>
      <c r="P210" s="7"/>
      <c r="Q210" s="22"/>
      <c r="R210" s="22"/>
      <c r="S210" s="31">
        <f t="shared" si="77"/>
        <v>1</v>
      </c>
      <c r="T210" s="46" t="str">
        <f t="shared" si="78"/>
        <v>NorthBound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 t="shared" si="79"/>
        <v>https://d0f6bd738d7f1b3e5a7ca70fe4ff75f0.us-east-1.aws.found.io/app/kibana#/discover/Steve-Slow-Train-Analysis-(2080s-and-2083s)?_g=(refreshInterval:(display:Off,pause:!f,section:0,value:0),time:(from:'2017-03-09T18:46:22-0700',mode:absolute,to:'2017-03-09T20:57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0" s="187" t="str">
        <f t="shared" si="80"/>
        <v>Y</v>
      </c>
      <c r="X210" s="187">
        <f t="shared" si="81"/>
        <v>1</v>
      </c>
      <c r="Y210" s="62">
        <f t="shared" si="82"/>
        <v>4.6600000000000003E-2</v>
      </c>
      <c r="Z210" s="62">
        <f t="shared" si="83"/>
        <v>2.3294999999999999</v>
      </c>
      <c r="AA210" s="62">
        <f t="shared" si="84"/>
        <v>2.2828999999999997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85"/>
        <v>0307-09</v>
      </c>
      <c r="AE210" s="85" t="str">
        <f t="shared" si="86"/>
        <v>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 &amp; aws s3 cp s3://rtdc.mdm.uploadarchive.raw/RTDC4016/ "%USERPROFILE%\AppData\Local\Temp\OnboardLogs"\RTDC4016\2017-03-10 --exclude "*" --recursive --include "*20170310*" &amp; "%USERPROFILE%\Documents\GitHub\mrs-test-scripts\Headless Mode &amp; Sideloading\WalkAndUnGZ.bat" "%USERPROFILE%\AppData\Local\Temp\OnboardLogs"\RTDC4016\2017-03-10</v>
      </c>
      <c r="AF210" s="82" t="str">
        <f t="shared" si="87"/>
        <v>"C:\Program Files (x86)\AstroGrep\AstroGrep.exe" /e /r /s /spath="%USERPROFILE%\AppData\Local\Temp\OnboardLogs" /stypes="app*4016*20170310*" /stext=" 02:.+((SYSTEM_STATE.+slice.+state.+changed )|(ment ac)|(multiple cpu faults)|(system.+state.+changed )|(\[timeout)|(PRM\|1\|D)|(kpr)|(kdp)|(\|lc)|(penalty))"</v>
      </c>
      <c r="AG210" s="1" t="str">
        <f t="shared" si="88"/>
        <v>Other</v>
      </c>
      <c r="AH210" s="86" t="str">
        <f t="shared" si="89"/>
        <v>"%USERPROFILE%\Documents\GitHub\eaglep3\Utilities\RefineRTDCRunTimes.py" --tripid 307-09 --locoid 4016 --swversion DE.1.0.9.0 --startMP 204:466 --initTime 2017-03-09T19:46:22 --startdatetime 2017-03-09T19:49:31 --delay 1 --endMP 300:23295 --enddatetime 2017-03-09T19:57:25 --enforcementcount 0 &gt;&gt;C:\Users\stu\Documents\GitHub\eaglep3-reporting\EC\2017-03-09-refined-times.txt</v>
      </c>
      <c r="AI210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{"issue":{"subject":"","project_id":79,"tracker_id":40,"status_id":1,"priority_id":2,"assigned_to_id":23,"start_date":"2017-03-09","description":"","custom_fields":[{"id":1,"name":"Subdivision","value":"Other"},{"id":4,"name":"Milepost","value":"2.3295"},{"id":17,"name":"Train ID","value":"307-09"},{"id":16,"name":"Locomotive ID","value":"4016"},{"id":130,"name":"Impact","value":""},{"id":150,"name":"Time of Event (Mountain Time)","value":"19:57:25"},{"id":151,"name":"Denver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91"/>
        <v>start /low /b %USERPROFILE%\Documents\GitHub\eaglep3\Utilities\DownloadLogsFromS3.py --loco 4016 --day 2017-03-09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"%USERPROFILE%\AppData\Local\Temp\OnboardLogs"\RTDC4016\*4016*20170310* | grep -SE "(Enforcement Action)|(\[TIMEOUT)|(CHR.+\|PRM\|1\|D.+(SWITCH|SIGNAL).+UNKNOWN)" - &gt;&gt; 2017-03-09-UncaughtWiMAX.txt</v>
      </c>
    </row>
    <row r="211" spans="1:40" x14ac:dyDescent="0.25">
      <c r="A211" s="33" t="s">
        <v>625</v>
      </c>
      <c r="B211" s="7">
        <v>4030</v>
      </c>
      <c r="C211" s="21" t="s">
        <v>242</v>
      </c>
      <c r="D211" s="21" t="s">
        <v>891</v>
      </c>
      <c r="E211" s="13">
        <v>42803.171203703707</v>
      </c>
      <c r="F211" s="13">
        <v>42803.173819444448</v>
      </c>
      <c r="G211" s="7">
        <v>3</v>
      </c>
      <c r="H211" s="21" t="s">
        <v>892</v>
      </c>
      <c r="I211" s="13">
        <v>42803.180231481485</v>
      </c>
      <c r="J211" s="7">
        <v>0</v>
      </c>
      <c r="K211" s="98" t="str">
        <f t="shared" si="74"/>
        <v>4029/4030</v>
      </c>
      <c r="L211" s="21" t="str">
        <f>VLOOKUP(A211,'Trips&amp;Operators'!$C$1:$G$99999,5,FALSE)</f>
        <v>GEBRETEKLE DAGNEW</v>
      </c>
      <c r="M211" s="6">
        <f t="shared" si="75"/>
        <v>6.4120370370801538E-3</v>
      </c>
      <c r="N211" s="7">
        <f t="shared" si="76"/>
        <v>9.2333333333954215</v>
      </c>
      <c r="O211" s="7"/>
      <c r="P211" s="7"/>
      <c r="Q211" s="22"/>
      <c r="R211" s="22"/>
      <c r="S211" s="31">
        <f t="shared" si="77"/>
        <v>1</v>
      </c>
      <c r="T211" s="46" t="str">
        <f t="shared" si="78"/>
        <v>Southbound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 t="shared" si="79"/>
        <v>https://d0f6bd738d7f1b3e5a7ca70fe4ff75f0.us-east-1.aws.found.io/app/kibana#/discover/Steve-Slow-Train-Analysis-(2080s-and-2083s)?_g=(refreshInterval:(display:Off,pause:!f,section:0,value:0),time:(from:'2017-03-09T03:06:32-0700',mode:absolute,to:'2017-03-09T05:19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1" s="187" t="str">
        <f t="shared" si="80"/>
        <v>Y</v>
      </c>
      <c r="X211" s="187">
        <f t="shared" si="81"/>
        <v>1</v>
      </c>
      <c r="Y211" s="62">
        <f t="shared" si="82"/>
        <v>2.3506</v>
      </c>
      <c r="Z211" s="62">
        <f t="shared" si="83"/>
        <v>1.7600000000000001E-2</v>
      </c>
      <c r="AA211" s="62">
        <f t="shared" si="84"/>
        <v>2.3330000000000002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85"/>
        <v>0308-09</v>
      </c>
      <c r="AE211" s="85" t="str">
        <f t="shared" si="86"/>
        <v>aws s3 cp s3://rtdc.mdm.uploadarchive.raw/RTDC4030/ "%USERPROFILE%\AppData\Local\Temp\OnboardLogs"\RTDC4030\2017-03-09 --exclude "*" --recursive --include "*20170309*" &amp; "%USERPROFILE%\Documents\GitHub\mrs-test-scripts\Headless Mode &amp; Sideloading\WalkAndUnGZ.bat" "%USERPROFILE%\AppData\Local\Temp\OnboardLogs"\RTDC4030\2017-03-09 &amp; aws s3 cp s3://rtdc.mdm.uploadarchive.raw/RTDC4030/ "%USERPROFILE%\AppData\Local\Temp\OnboardLogs"\RTDC4030\2017-03-10 --exclude "*" --recursive --include "*20170310*" &amp; "%USERPROFILE%\Documents\GitHub\mrs-test-scripts\Headless Mode &amp; Sideloading\WalkAndUnGZ.bat" "%USERPROFILE%\AppData\Local\Temp\OnboardLogs"\RTDC4030\2017-03-10</v>
      </c>
      <c r="AF211" s="82" t="str">
        <f t="shared" si="87"/>
        <v>"C:\Program Files (x86)\AstroGrep\AstroGrep.exe" /e /r /s /spath="%USERPROFILE%\AppData\Local\Temp\OnboardLogs" /stypes="app*4030*20170309*" /stext=" 11:.+((SYSTEM_STATE.+slice.+state.+changed )|(ment ac)|(multiple cpu faults)|(system.+state.+changed )|(\[timeout)|(PRM\|1\|D)|(kpr)|(kdp)|(\|lc)|(penalty))"</v>
      </c>
      <c r="AG211" s="1" t="str">
        <f t="shared" si="88"/>
        <v>Other</v>
      </c>
      <c r="AH211" s="86" t="str">
        <f t="shared" si="89"/>
        <v>"%USERPROFILE%\Documents\GitHub\eaglep3\Utilities\RefineRTDCRunTimes.py" --tripid 308-09 --locoid 4030 --swversion DE.1.0.9.0 --startMP 300:23506 --initTime 2017-03-09T04:06:32 --startdatetime 2017-03-09T04:10:18 --delay 3 --endMP 204:176 --enddatetime 2017-03-09T04:19:32 --enforcementcount 0 &gt;&gt;C:\Users\stu\Documents\GitHub\eaglep3-reporting\EC\2017-03-09-refined-times.txt</v>
      </c>
      <c r="AI211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{"issue":{"subject":"","project_id":79,"tracker_id":40,"status_id":1,"priority_id":2,"assigned_to_id":23,"start_date":"2017-03-09","description":"","custom_fields":[{"id":1,"name":"Subdivision","value":"Other"},{"id":4,"name":"Milepost","value":"0.0176"},{"id":17,"name":"Train ID","value":"308-09"},{"id":16,"name":"Locomotive ID","value":"4030"},{"id":130,"name":"Impact","value":""},{"id":150,"name":"Time of Event (Mountain Time)","value":"04:19:32"},{"id":151,"name":"Denver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91"/>
        <v>start /low /b %USERPROFILE%\Documents\GitHub\eaglep3\Utilities\DownloadLogsFromS3.py --loco 4030 --day 2017-03-09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"%USERPROFILE%\AppData\Local\Temp\OnboardLogs"\RTDC4030\*4030*20170309* | grep -SE "(Enforcement Action)|(\[TIMEOUT)|(CHR.+\|PRM\|1\|D.+(SWITCH|SIGNAL).+UNKNOWN)" - &gt;&gt; 2017-03-09-UncaughtWiMAX.txt</v>
      </c>
    </row>
    <row r="212" spans="1:40" x14ac:dyDescent="0.25">
      <c r="A212" s="33" t="s">
        <v>811</v>
      </c>
      <c r="B212" s="7">
        <v>4020</v>
      </c>
      <c r="C212" s="21" t="s">
        <v>242</v>
      </c>
      <c r="D212" s="21" t="s">
        <v>893</v>
      </c>
      <c r="E212" s="13">
        <v>42804.049479166664</v>
      </c>
      <c r="F212" s="13">
        <v>42804.05259259259</v>
      </c>
      <c r="G212" s="7">
        <v>1</v>
      </c>
      <c r="H212" s="21" t="s">
        <v>894</v>
      </c>
      <c r="I212" s="13">
        <v>42804.060393518521</v>
      </c>
      <c r="J212" s="7">
        <v>0</v>
      </c>
      <c r="K212" s="98" t="str">
        <f t="shared" si="74"/>
        <v>4019/4020</v>
      </c>
      <c r="L212" s="21" t="str">
        <f>VLOOKUP(A212,'Trips&amp;Operators'!$C$1:$G$99999,5,FALSE)</f>
        <v>NEWELL JAMES</v>
      </c>
      <c r="M212" s="6">
        <f t="shared" si="75"/>
        <v>7.8009259304963052E-3</v>
      </c>
      <c r="N212" s="7">
        <f t="shared" si="76"/>
        <v>11.23333333991468</v>
      </c>
      <c r="O212" s="7"/>
      <c r="P212" s="7"/>
      <c r="Q212" s="22"/>
      <c r="R212" s="22"/>
      <c r="S212" s="31">
        <f t="shared" si="77"/>
        <v>1</v>
      </c>
      <c r="T212" s="46" t="str">
        <f t="shared" si="78"/>
        <v>NorthBound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79"/>
        <v>https://d0f6bd738d7f1b3e5a7ca70fe4ff75f0.us-east-1.aws.found.io/app/kibana#/discover/Steve-Slow-Train-Analysis-(2080s-and-2083s)?_g=(refreshInterval:(display:Off,pause:!f,section:0,value:0),time:(from:'2017-03-10T00:11:15-0700',mode:absolute,to:'2017-03-10T02:26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2" s="187" t="str">
        <f t="shared" si="80"/>
        <v>Y</v>
      </c>
      <c r="X212" s="187">
        <f t="shared" si="81"/>
        <v>1</v>
      </c>
      <c r="Y212" s="62">
        <f t="shared" si="82"/>
        <v>9.5299999999999996E-2</v>
      </c>
      <c r="Z212" s="62">
        <f t="shared" si="83"/>
        <v>2.3313999999999999</v>
      </c>
      <c r="AA212" s="62">
        <f t="shared" si="84"/>
        <v>2.2361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85"/>
        <v>0309-09</v>
      </c>
      <c r="AE212" s="85" t="str">
        <f t="shared" si="86"/>
        <v>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 &amp; aws s3 cp s3://rtdc.mdm.uploadarchive.raw/RTDC4020/ "%USERPROFILE%\AppData\Local\Temp\OnboardLogs"\RTDC4020\2017-03-11 --exclude "*" --recursive --include "*20170311*" &amp; "%USERPROFILE%\Documents\GitHub\mrs-test-scripts\Headless Mode &amp; Sideloading\WalkAndUnGZ.bat" "%USERPROFILE%\AppData\Local\Temp\OnboardLogs"\RTDC4020\2017-03-11</v>
      </c>
      <c r="AF212" s="82" t="str">
        <f t="shared" si="87"/>
        <v>"C:\Program Files (x86)\AstroGrep\AstroGrep.exe" /e /r /s /spath="%USERPROFILE%\AppData\Local\Temp\OnboardLogs" /stypes="app*4020*20170310*" /stext=" 08:.+((SYSTEM_STATE.+slice.+state.+changed )|(ment ac)|(multiple cpu faults)|(system.+state.+changed )|(\[timeout)|(PRM\|1\|D)|(kpr)|(kdp)|(\|lc)|(penalty))"</v>
      </c>
      <c r="AG212" s="1" t="str">
        <f t="shared" si="88"/>
        <v>Other</v>
      </c>
      <c r="AH212" s="86" t="str">
        <f t="shared" si="89"/>
        <v>"%USERPROFILE%\Documents\GitHub\eaglep3\Utilities\RefineRTDCRunTimes.py" --tripid 309-09 --locoid 4020 --swversion DE.1.0.9.0 --startMP 204:953 --initTime 2017-03-10T01:11:15 --startdatetime 2017-03-10T01:15:44 --delay 1 --endMP 300:23314 --enddatetime 2017-03-10T01:26:58 --enforcementcount 0 &gt;&gt;C:\Users\stu\Documents\GitHub\eaglep3-reporting\EC\2017-03-09-refined-times.txt</v>
      </c>
      <c r="AI212" s="108" t="str">
        <f t="shared" si="90"/>
        <v>echo {"issue":{"subject":"","project_id":79,"tracker_id":40,"status_id":1,"priority_id":2,"assigned_to_id":23,"start_date":"2017-03-10","description":"","custom_fields":[{"id":1,"name":"Subdivision","value":"Other"},{"id":4,"name":"Milepost","value":"2.3314"},{"id":17,"name":"Train ID","value":"309-09"},{"id":16,"name":"Locomotive ID","value":"4020"},{"id":130,"name":"Impact","value":""},{"id":150,"name":"Time of Event (Mountain Time)","value":"01:26:58"},{"id":151,"name":"Denver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91"/>
        <v>start /low /b %USERPROFILE%\Documents\GitHub\eaglep3\Utilities\DownloadLogsFromS3.py --loco 4020 --day 2017-03-10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"%USERPROFILE%\AppData\Local\Temp\OnboardLogs"\RTDC4020\*4020*20170310* | grep -SE "(Enforcement Action)|(\[TIMEOUT)|(CHR.+\|PRM\|1\|D.+(SWITCH|SIGNAL).+UNKNOWN)" - &gt;&gt; 2017-03-09-UncaughtWiMAX.txt</v>
      </c>
    </row>
    <row r="213" spans="1:40" x14ac:dyDescent="0.25">
      <c r="A213" s="33" t="s">
        <v>627</v>
      </c>
      <c r="B213" s="7">
        <v>4039</v>
      </c>
      <c r="C213" s="21" t="s">
        <v>242</v>
      </c>
      <c r="D213" s="21" t="s">
        <v>895</v>
      </c>
      <c r="E213" s="13">
        <v>42803.185810185183</v>
      </c>
      <c r="F213" s="13">
        <v>42803.188206018516</v>
      </c>
      <c r="G213" s="7">
        <v>3</v>
      </c>
      <c r="H213" s="21" t="s">
        <v>194</v>
      </c>
      <c r="I213" s="13">
        <v>42803.193344907406</v>
      </c>
      <c r="J213" s="7">
        <v>0</v>
      </c>
      <c r="K213" s="98" t="str">
        <f t="shared" si="74"/>
        <v>4039/4040</v>
      </c>
      <c r="L213" s="21" t="str">
        <f>VLOOKUP(A213,'Trips&amp;Operators'!$C$1:$G$99999,5,FALSE)</f>
        <v>ROCHA YAOTL</v>
      </c>
      <c r="M213" s="6">
        <f t="shared" si="75"/>
        <v>5.1388888896326534E-3</v>
      </c>
      <c r="N213" s="7">
        <f t="shared" si="76"/>
        <v>7.400000001071021</v>
      </c>
      <c r="O213" s="7"/>
      <c r="P213" s="7"/>
      <c r="Q213" s="22"/>
      <c r="R213" s="22"/>
      <c r="S213" s="31">
        <f t="shared" si="77"/>
        <v>1</v>
      </c>
      <c r="T213" s="46" t="str">
        <f t="shared" si="78"/>
        <v>Southbound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 t="shared" si="79"/>
        <v>https://d0f6bd738d7f1b3e5a7ca70fe4ff75f0.us-east-1.aws.found.io/app/kibana#/discover/Steve-Slow-Train-Analysis-(2080s-and-2083s)?_g=(refreshInterval:(display:Off,pause:!f,section:0,value:0),time:(from:'2017-03-09T03:27:34-0700',mode:absolute,to:'2017-03-09T05:38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13" s="187" t="str">
        <f t="shared" si="80"/>
        <v>Y</v>
      </c>
      <c r="X213" s="187">
        <f t="shared" si="81"/>
        <v>1</v>
      </c>
      <c r="Y213" s="62">
        <f t="shared" si="82"/>
        <v>2.351</v>
      </c>
      <c r="Z213" s="62">
        <f t="shared" si="83"/>
        <v>1.4500000000000001E-2</v>
      </c>
      <c r="AA213" s="62">
        <f t="shared" si="84"/>
        <v>2.3365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85"/>
        <v>0310-09</v>
      </c>
      <c r="AE213" s="85" t="str">
        <f t="shared" si="86"/>
        <v>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 &amp; 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</v>
      </c>
      <c r="AF213" s="82" t="str">
        <f t="shared" si="87"/>
        <v>"C:\Program Files (x86)\AstroGrep\AstroGrep.exe" /e /r /s /spath="%USERPROFILE%\AppData\Local\Temp\OnboardLogs" /stypes="app*4039*20170309*" /stext=" 11:.+((SYSTEM_STATE.+slice.+state.+changed )|(ment ac)|(multiple cpu faults)|(system.+state.+changed )|(\[timeout)|(PRM\|1\|D)|(kpr)|(kdp)|(\|lc)|(penalty))"</v>
      </c>
      <c r="AG213" s="1" t="str">
        <f t="shared" si="88"/>
        <v>Other</v>
      </c>
      <c r="AH213" s="86" t="str">
        <f t="shared" si="89"/>
        <v>"%USERPROFILE%\Documents\GitHub\eaglep3\Utilities\RefineRTDCRunTimes.py" --tripid 310-09 --locoid 4039 --swversion DE.1.0.9.0 --startMP 300:23510 --initTime 2017-03-09T04:27:34 --startdatetime 2017-03-09T04:31:01 --delay 3 --endMP 204:145 --enddatetime 2017-03-09T04:38:25 --enforcementcount 0 &gt;&gt;C:\Users\stu\Documents\GitHub\eaglep3-reporting\EC\2017-03-09-refined-times.txt</v>
      </c>
      <c r="AI213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{"issue":{"subject":"","project_id":79,"tracker_id":40,"status_id":1,"priority_id":2,"assigned_to_id":23,"start_date":"2017-03-09","description":"","custom_fields":[{"id":1,"name":"Subdivision","value":"Other"},{"id":4,"name":"Milepost","value":"0.0145"},{"id":17,"name":"Train ID","value":"310-09"},{"id":16,"name":"Locomotive ID","value":"4039"},{"id":130,"name":"Impact","value":""},{"id":150,"name":"Time of Event (Mountain Time)","value":"04:38:25"},{"id":151,"name":"Denver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91"/>
        <v>start /low /b %USERPROFILE%\Documents\GitHub\eaglep3\Utilities\DownloadLogsFromS3.py --loco 4039 --day 2017-03-09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"%USERPROFILE%\AppData\Local\Temp\OnboardLogs"\RTDC4039\*4039*20170309* | grep -SE "(Enforcement Action)|(\[TIMEOUT)|(CHR.+\|PRM\|1\|D.+(SWITCH|SIGNAL).+UNKNOWN)" - &gt;&gt; 2017-03-09-UncaughtWiMAX.txt</v>
      </c>
    </row>
    <row r="214" spans="1:40" x14ac:dyDescent="0.25">
      <c r="A214" s="33" t="s">
        <v>538</v>
      </c>
      <c r="B214" s="7">
        <v>4046</v>
      </c>
      <c r="C214" s="21" t="s">
        <v>242</v>
      </c>
      <c r="D214" s="21" t="s">
        <v>262</v>
      </c>
      <c r="E214" s="13">
        <v>42803.09002314815</v>
      </c>
      <c r="F214" s="13">
        <v>42803.091168981482</v>
      </c>
      <c r="G214" s="7">
        <v>0</v>
      </c>
      <c r="H214" s="21" t="s">
        <v>469</v>
      </c>
      <c r="I214" s="13">
        <v>42803.09815972222</v>
      </c>
      <c r="J214" s="7">
        <v>0</v>
      </c>
      <c r="K214" s="98" t="str">
        <f t="shared" si="74"/>
        <v>4045/4046</v>
      </c>
      <c r="L214" s="21" t="str">
        <f>VLOOKUP(A214,'Trips&amp;Operators'!$C$1:$G$99999,5,FALSE)</f>
        <v>NEWELL JAMES</v>
      </c>
      <c r="M214" s="6">
        <f t="shared" si="75"/>
        <v>6.9907407378195785E-3</v>
      </c>
      <c r="N214" s="7">
        <f t="shared" si="76"/>
        <v>10.066666662460193</v>
      </c>
      <c r="O214" s="7"/>
      <c r="P214" s="7"/>
      <c r="Q214" s="22"/>
      <c r="R214" s="22"/>
      <c r="S214" s="31">
        <f t="shared" si="77"/>
        <v>1</v>
      </c>
      <c r="T214" s="46" t="str">
        <f t="shared" si="78"/>
        <v>NorthBound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 t="shared" si="79"/>
        <v>https://d0f6bd738d7f1b3e5a7ca70fe4ff75f0.us-east-1.aws.found.io/app/kibana#/discover/Steve-Slow-Train-Analysis-(2080s-and-2083s)?_g=(refreshInterval:(display:Off,pause:!f,section:0,value:0),time:(from:'2017-03-09T01:09:38-0700',mode:absolute,to:'2017-03-09T03:21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4" s="187" t="str">
        <f t="shared" si="80"/>
        <v>Y</v>
      </c>
      <c r="X214" s="187">
        <f t="shared" si="81"/>
        <v>3</v>
      </c>
      <c r="Y214" s="62">
        <f t="shared" si="82"/>
        <v>4.6699999999999998E-2</v>
      </c>
      <c r="Z214" s="62">
        <f t="shared" si="83"/>
        <v>2.331</v>
      </c>
      <c r="AA214" s="62">
        <f t="shared" si="84"/>
        <v>2.2843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85"/>
        <v>0313-08</v>
      </c>
      <c r="AE214" s="85" t="str">
        <f t="shared" si="86"/>
        <v>aws s3 cp s3://rtdc.mdm.uploadarchive.raw/RTDC4046/ "%USERPROFILE%\AppData\Local\Temp\OnboardLogs"\RTDC4046\2017-03-09 --exclude "*" --recursive --include "*20170309*" &amp; "%USERPROFILE%\Documents\GitHub\mrs-test-scripts\Headless Mode &amp; Sideloading\WalkAndUnGZ.bat" "%USERPROFILE%\AppData\Local\Temp\OnboardLogs"\RTDC4046\2017-03-09 &amp; aws s3 cp s3://rtdc.mdm.uploadarchive.raw/RTDC4046/ "%USERPROFILE%\AppData\Local\Temp\OnboardLogs"\RTDC4046\2017-03-10 --exclude "*" --recursive --include "*20170310*" &amp; "%USERPROFILE%\Documents\GitHub\mrs-test-scripts\Headless Mode &amp; Sideloading\WalkAndUnGZ.bat" "%USERPROFILE%\AppData\Local\Temp\OnboardLogs"\RTDC4046\2017-03-10</v>
      </c>
      <c r="AF214" s="82" t="str">
        <f t="shared" si="87"/>
        <v>"C:\Program Files (x86)\AstroGrep\AstroGrep.exe" /e /r /s /spath="%USERPROFILE%\AppData\Local\Temp\OnboardLogs" /stypes="app*4046*20170309*" /stext=" 09:.+((SYSTEM_STATE.+slice.+state.+changed )|(ment ac)|(multiple cpu faults)|(system.+state.+changed )|(\[timeout)|(PRM\|1\|D)|(kpr)|(kdp)|(\|lc)|(penalty))"</v>
      </c>
      <c r="AG214" s="1" t="str">
        <f t="shared" si="88"/>
        <v>Other</v>
      </c>
      <c r="AH214" s="86" t="str">
        <f t="shared" si="89"/>
        <v>"%USERPROFILE%\Documents\GitHub\eaglep3\Utilities\RefineRTDCRunTimes.py" --tripid 313-08 --locoid 4046 --swversion DE.1.0.9.0 --startMP 204:467 --initTime 2017-03-09T02:09:38 --startdatetime 2017-03-09T02:11:17 --delay 0 --endMP 300:23310 --enddatetime 2017-03-09T02:21:21 --enforcementcount 0 &gt;&gt;C:\Users\stu\Documents\GitHub\eaglep3-reporting\EC\2017-03-09-refined-times.txt</v>
      </c>
      <c r="AI214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{"issue":{"subject":"","project_id":79,"tracker_id":40,"status_id":1,"priority_id":2,"assigned_to_id":23,"start_date":"2017-03-09","description":"","custom_fields":[{"id":1,"name":"Subdivision","value":"Other"},{"id":4,"name":"Milepost","value":"2.331"},{"id":17,"name":"Train ID","value":"313-08"},{"id":16,"name":"Locomotive ID","value":"4046"},{"id":130,"name":"Impact","value":""},{"id":150,"name":"Time of Event (Mountain Time)","value":"02:21:21"},{"id":151,"name":"Denver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91"/>
        <v>start /low /b %USERPROFILE%\Documents\GitHub\eaglep3\Utilities\DownloadLogsFromS3.py --loco 4046 --day 2017-03-09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"%USERPROFILE%\AppData\Local\Temp\OnboardLogs"\RTDC4046\*4046*20170309* | grep -SE "(Enforcement Action)|(\[TIMEOUT)|(CHR.+\|PRM\|1\|D.+(SWITCH|SIGNAL).+UNKNOWN)" - &gt;&gt; 2017-03-09-UncaughtWiMAX.txt</v>
      </c>
    </row>
    <row r="215" spans="1:40" x14ac:dyDescent="0.25">
      <c r="A215" s="33" t="s">
        <v>814</v>
      </c>
      <c r="B215" s="7">
        <v>4018</v>
      </c>
      <c r="C215" s="21" t="s">
        <v>242</v>
      </c>
      <c r="D215" s="21" t="s">
        <v>828</v>
      </c>
      <c r="E215" s="13">
        <v>42804.091620370367</v>
      </c>
      <c r="F215" s="13">
        <v>42804.094768518517</v>
      </c>
      <c r="G215" s="7">
        <v>1</v>
      </c>
      <c r="H215" s="21" t="s">
        <v>896</v>
      </c>
      <c r="I215" s="13">
        <v>42804.10255787037</v>
      </c>
      <c r="J215" s="7">
        <v>0</v>
      </c>
      <c r="K215" s="98" t="str">
        <f t="shared" si="74"/>
        <v>4017/4018</v>
      </c>
      <c r="L215" s="21" t="str">
        <f>VLOOKUP(A215,'Trips&amp;Operators'!$C$1:$G$99999,5,FALSE)</f>
        <v>SWANSON BRYCE</v>
      </c>
      <c r="M215" s="6">
        <f t="shared" si="75"/>
        <v>7.7893518537166528E-3</v>
      </c>
      <c r="N215" s="7">
        <f t="shared" si="76"/>
        <v>11.21666666935198</v>
      </c>
      <c r="O215" s="7"/>
      <c r="P215" s="7"/>
      <c r="Q215" s="22"/>
      <c r="R215" s="22"/>
      <c r="S215" s="31">
        <f t="shared" si="77"/>
        <v>1</v>
      </c>
      <c r="T215" s="46" t="str">
        <f t="shared" si="78"/>
        <v>NorthBound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 t="shared" si="79"/>
        <v>https://d0f6bd738d7f1b3e5a7ca70fe4ff75f0.us-east-1.aws.found.io/app/kibana#/discover/Steve-Slow-Train-Analysis-(2080s-and-2083s)?_g=(refreshInterval:(display:Off,pause:!f,section:0,value:0),time:(from:'2017-03-10T01:11:56-0700',mode:absolute,to:'2017-03-10T03:27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5" s="187" t="str">
        <f t="shared" si="80"/>
        <v>Y</v>
      </c>
      <c r="X215" s="187">
        <f t="shared" si="81"/>
        <v>0</v>
      </c>
      <c r="Y215" s="62">
        <f t="shared" si="82"/>
        <v>4.2599999999999999E-2</v>
      </c>
      <c r="Z215" s="62">
        <f t="shared" si="83"/>
        <v>2.3346</v>
      </c>
      <c r="AA215" s="62">
        <f t="shared" si="84"/>
        <v>2.2919999999999998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85"/>
        <v>0313-09</v>
      </c>
      <c r="AE215" s="85" t="str">
        <f t="shared" si="86"/>
        <v>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 &amp; aws s3 cp s3://rtdc.mdm.uploadarchive.raw/RTDC4018/ "%USERPROFILE%\AppData\Local\Temp\OnboardLogs"\RTDC4018\2017-03-11 --exclude "*" --recursive --include "*20170311*" &amp; "%USERPROFILE%\Documents\GitHub\mrs-test-scripts\Headless Mode &amp; Sideloading\WalkAndUnGZ.bat" "%USERPROFILE%\AppData\Local\Temp\OnboardLogs"\RTDC4018\2017-03-11</v>
      </c>
      <c r="AF215" s="82" t="str">
        <f t="shared" si="87"/>
        <v>"C:\Program Files (x86)\AstroGrep\AstroGrep.exe" /e /r /s /spath="%USERPROFILE%\AppData\Local\Temp\OnboardLogs" /stypes="app*4018*20170310*" /stext=" 09:.+((SYSTEM_STATE.+slice.+state.+changed )|(ment ac)|(multiple cpu faults)|(system.+state.+changed )|(\[timeout)|(PRM\|1\|D)|(kpr)|(kdp)|(\|lc)|(penalty))"</v>
      </c>
      <c r="AG215" s="1" t="str">
        <f t="shared" si="88"/>
        <v>Other</v>
      </c>
      <c r="AH215" s="86" t="str">
        <f t="shared" si="89"/>
        <v>"%USERPROFILE%\Documents\GitHub\eaglep3\Utilities\RefineRTDCRunTimes.py" --tripid 313-09 --locoid 4018 --swversion DE.1.0.9.0 --startMP 204:426 --initTime 2017-03-10T02:11:56 --startdatetime 2017-03-10T02:16:28 --delay 1 --endMP 300:23346 --enddatetime 2017-03-10T02:27:41 --enforcementcount 0 &gt;&gt;C:\Users\stu\Documents\GitHub\eaglep3-reporting\EC\2017-03-09-refined-times.txt</v>
      </c>
      <c r="AI215" s="108" t="str">
        <f t="shared" si="90"/>
        <v>echo {"issue":{"subject":"","project_id":79,"tracker_id":40,"status_id":1,"priority_id":2,"assigned_to_id":23,"start_date":"2017-03-10","description":"","custom_fields":[{"id":1,"name":"Subdivision","value":"Other"},{"id":4,"name":"Milepost","value":"2.3346"},{"id":17,"name":"Train ID","value":"313-09"},{"id":16,"name":"Locomotive ID","value":"4018"},{"id":130,"name":"Impact","value":""},{"id":150,"name":"Time of Event (Mountain Time)","value":"02:27:41"},{"id":151,"name":"Denver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91"/>
        <v>start /low /b %USERPROFILE%\Documents\GitHub\eaglep3\Utilities\DownloadLogsFromS3.py --loco 4018 --day 2017-03-10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"%USERPROFILE%\AppData\Local\Temp\OnboardLogs"\RTDC4018\*4018*20170310* | grep -SE "(Enforcement Action)|(\[TIMEOUT)|(CHR.+\|PRM\|1\|D.+(SWITCH|SIGNAL).+UNKNOWN)" - &gt;&gt; 2017-03-09-UncaughtWiMAX.txt</v>
      </c>
    </row>
    <row r="216" spans="1:40" x14ac:dyDescent="0.25">
      <c r="A216" s="33" t="s">
        <v>630</v>
      </c>
      <c r="B216" s="7">
        <v>4007</v>
      </c>
      <c r="C216" s="21" t="s">
        <v>242</v>
      </c>
      <c r="D216" s="21" t="s">
        <v>987</v>
      </c>
      <c r="E216" s="13">
        <v>42803.197962962964</v>
      </c>
      <c r="F216" s="13">
        <v>42803.202627314815</v>
      </c>
      <c r="G216" s="7">
        <v>6</v>
      </c>
      <c r="H216" s="21" t="s">
        <v>925</v>
      </c>
      <c r="I216" s="13">
        <v>42803.208460648151</v>
      </c>
      <c r="J216" s="7">
        <v>0</v>
      </c>
      <c r="K216" s="98" t="str">
        <f t="shared" si="74"/>
        <v>4007/4008</v>
      </c>
      <c r="L216" s="21" t="str">
        <f>VLOOKUP(A216,'Trips&amp;Operators'!$C$1:$G$99999,5,FALSE)</f>
        <v>SHOOK JOHN</v>
      </c>
      <c r="M216" s="6">
        <f t="shared" si="75"/>
        <v>5.8333333363407291E-3</v>
      </c>
      <c r="N216" s="7">
        <f t="shared" si="76"/>
        <v>8.40000000433065</v>
      </c>
      <c r="O216" s="7"/>
      <c r="P216" s="7"/>
      <c r="Q216" s="22"/>
      <c r="R216" s="22"/>
      <c r="S216" s="31">
        <f t="shared" si="77"/>
        <v>0</v>
      </c>
      <c r="T216" s="46" t="str">
        <f t="shared" si="78"/>
        <v>NorthBound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86" t="str">
        <f t="shared" si="79"/>
        <v>https://d0f6bd738d7f1b3e5a7ca70fe4ff75f0.us-east-1.aws.found.io/app/kibana#/discover/Steve-Slow-Train-Analysis-(2080s-and-2083s)?_g=(refreshInterval:(display:Off,pause:!f,section:0,value:0),time:(from:'2017-03-09T03:45:04-0700',mode:absolute,to:'2017-03-09T06:00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6" s="187" t="str">
        <f t="shared" si="80"/>
        <v>Y</v>
      </c>
      <c r="X216" s="187">
        <f t="shared" si="81"/>
        <v>588</v>
      </c>
      <c r="Y216" s="62">
        <f t="shared" si="82"/>
        <v>3.0160999999999998</v>
      </c>
      <c r="Z216" s="62">
        <f t="shared" si="83"/>
        <v>5.8994999999999997</v>
      </c>
      <c r="AA216" s="62">
        <f t="shared" si="84"/>
        <v>2.8834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85"/>
        <v>0901-09</v>
      </c>
      <c r="AE216" s="85" t="str">
        <f t="shared" si="86"/>
        <v>aws s3 cp s3://rtdc.mdm.uploadarchive.raw/RTDC4007/ "%USERPROFILE%\AppData\Local\Temp\OnboardLogs"\RTDC4007\2017-03-09 --exclude "*" --recursive --include "*20170309*" &amp; "%USERPROFILE%\Documents\GitHub\mrs-test-scripts\Headless Mode &amp; Sideloading\WalkAndUnGZ.bat" "%USERPROFILE%\AppData\Local\Temp\OnboardLogs"\RTDC4007\2017-03-09 &amp; aws s3 cp s3://rtdc.mdm.uploadarchive.raw/RTDC4007/ "%USERPROFILE%\AppData\Local\Temp\OnboardLogs"\RTDC4007\2017-03-10 --exclude "*" --recursive --include "*20170310*" &amp; "%USERPROFILE%\Documents\GitHub\mrs-test-scripts\Headless Mode &amp; Sideloading\WalkAndUnGZ.bat" "%USERPROFILE%\AppData\Local\Temp\OnboardLogs"\RTDC4007\2017-03-10</v>
      </c>
      <c r="AF216" s="82" t="str">
        <f t="shared" si="87"/>
        <v>"C:\Program Files (x86)\AstroGrep\AstroGrep.exe" /e /r /s /spath="%USERPROFILE%\AppData\Local\Temp\OnboardLogs" /stypes="app*4007*20170309*" /stext=" 12:.+((SYSTEM_STATE.+slice.+state.+changed )|(ment ac)|(multiple cpu faults)|(system.+state.+changed )|(\[timeout)|(PRM\|1\|D)|(kpr)|(kdp)|(\|lc)|(penalty))"</v>
      </c>
      <c r="AG216" s="1" t="str">
        <f t="shared" si="88"/>
        <v>Other</v>
      </c>
      <c r="AH216" s="86" t="str">
        <f t="shared" si="89"/>
        <v>"%USERPROFILE%\Documents\GitHub\eaglep3\Utilities\RefineRTDCRunTimes.py" --tripid 901-09 --locoid 4007 --swversion DE.1.0.9.0 --startMP 300:30161 --initTime 2017-03-09T04:45:04 --startdatetime 2017-03-09T04:51:47 --delay 6 --endMP 300:58995 --enddatetime 2017-03-09T05:00:11 --enforcementcount 0 &gt;&gt;C:\Users\stu\Documents\GitHub\eaglep3-reporting\EC\2017-03-09-refined-times.txt</v>
      </c>
      <c r="AI216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{"issue":{"subject":"","project_id":79,"tracker_id":40,"status_id":1,"priority_id":2,"assigned_to_id":23,"start_date":"2017-03-09","description":"","custom_fields":[{"id":1,"name":"Subdivision","value":"Other"},{"id":4,"name":"Milepost","value":"5.8995"},{"id":17,"name":"Train ID","value":"901-09"},{"id":16,"name":"Locomotive ID","value":"4007"},{"id":130,"name":"Impact","value":""},{"id":150,"name":"Time of Event (Mountain Time)","value":"05:00:11"},{"id":151,"name":"Denver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91"/>
        <v>start /low /b %USERPROFILE%\Documents\GitHub\eaglep3\Utilities\DownloadLogsFromS3.py --loco 4007 --day 2017-03-09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"%USERPROFILE%\AppData\Local\Temp\OnboardLogs"\RTDC4007\*4007*20170309* | grep -SE "(Enforcement Action)|(\[TIMEOUT)|(CHR.+\|PRM\|1\|D.+(SWITCH|SIGNAL).+UNKNOWN)" - &gt;&gt; 2017-03-09-UncaughtWiMAX.txt</v>
      </c>
    </row>
    <row r="217" spans="1:40" x14ac:dyDescent="0.25">
      <c r="A217" s="33" t="s">
        <v>643</v>
      </c>
      <c r="B217" s="7">
        <v>4012</v>
      </c>
      <c r="C217" s="21" t="s">
        <v>242</v>
      </c>
      <c r="D217" s="21" t="s">
        <v>988</v>
      </c>
      <c r="E217" s="13">
        <v>42803.253530092596</v>
      </c>
      <c r="F217" s="13">
        <v>42803.2578125</v>
      </c>
      <c r="G217" s="7">
        <v>6</v>
      </c>
      <c r="H217" s="21" t="s">
        <v>471</v>
      </c>
      <c r="I217" s="13">
        <v>42803.262777777774</v>
      </c>
      <c r="J217" s="7">
        <v>0</v>
      </c>
      <c r="K217" s="98" t="str">
        <f t="shared" si="74"/>
        <v>4011/4012</v>
      </c>
      <c r="L217" s="21" t="str">
        <f>VLOOKUP(A217,'Trips&amp;Operators'!$C$1:$G$99999,5,FALSE)</f>
        <v>LOZA FIDEL</v>
      </c>
      <c r="M217" s="6">
        <f t="shared" si="75"/>
        <v>4.9652777743176557E-3</v>
      </c>
      <c r="N217" s="7">
        <f t="shared" si="76"/>
        <v>7.1499999950174242</v>
      </c>
      <c r="O217" s="7"/>
      <c r="P217" s="7"/>
      <c r="Q217" s="22"/>
      <c r="R217" s="22"/>
      <c r="S217" s="31">
        <f t="shared" si="77"/>
        <v>1</v>
      </c>
      <c r="T217" s="46" t="str">
        <f t="shared" si="78"/>
        <v>Southbound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6" t="str">
        <f t="shared" si="79"/>
        <v>https://d0f6bd738d7f1b3e5a7ca70fe4ff75f0.us-east-1.aws.found.io/app/kibana#/discover/Steve-Slow-Train-Analysis-(2080s-and-2083s)?_g=(refreshInterval:(display:Off,pause:!f,section:0,value:0),time:(from:'2017-03-09T05:05:05-0700',mode:absolute,to:'2017-03-09T07:18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7" s="187" t="str">
        <f t="shared" si="80"/>
        <v>Y</v>
      </c>
      <c r="X217" s="187">
        <f t="shared" si="81"/>
        <v>1</v>
      </c>
      <c r="Y217" s="62">
        <f t="shared" si="82"/>
        <v>2.3473999999999999</v>
      </c>
      <c r="Z217" s="62">
        <f t="shared" si="83"/>
        <v>6.8199999999999997E-2</v>
      </c>
      <c r="AA217" s="62">
        <f t="shared" si="84"/>
        <v>2.2791999999999999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85"/>
        <v>0902-09</v>
      </c>
      <c r="AE217" s="85" t="str">
        <f t="shared" si="86"/>
        <v>aws s3 cp s3://rtdc.mdm.uploadarchive.raw/RTDC4012/ "%USERPROFILE%\AppData\Local\Temp\OnboardLogs"\RTDC4012\2017-03-09 --exclude "*" --recursive --include "*20170309*" &amp; "%USERPROFILE%\Documents\GitHub\mrs-test-scripts\Headless Mode &amp; Sideloading\WalkAndUnGZ.bat" "%USERPROFILE%\AppData\Local\Temp\OnboardLogs"\RTDC4012\2017-03-09 &amp; aws s3 cp s3://rtdc.mdm.uploadarchive.raw/RTDC4012/ "%USERPROFILE%\AppData\Local\Temp\OnboardLogs"\RTDC4012\2017-03-10 --exclude "*" --recursive --include "*20170310*" &amp; "%USERPROFILE%\Documents\GitHub\mrs-test-scripts\Headless Mode &amp; Sideloading\WalkAndUnGZ.bat" "%USERPROFILE%\AppData\Local\Temp\OnboardLogs"\RTDC4012\2017-03-10</v>
      </c>
      <c r="AF217" s="82" t="str">
        <f t="shared" si="87"/>
        <v>"C:\Program Files (x86)\AstroGrep\AstroGrep.exe" /e /r /s /spath="%USERPROFILE%\AppData\Local\Temp\OnboardLogs" /stypes="app*4012*20170309*" /stext=" 13:.+((SYSTEM_STATE.+slice.+state.+changed )|(ment ac)|(multiple cpu faults)|(system.+state.+changed )|(\[timeout)|(PRM\|1\|D)|(kpr)|(kdp)|(\|lc)|(penalty))"</v>
      </c>
      <c r="AG217" s="1" t="str">
        <f t="shared" si="88"/>
        <v>Other</v>
      </c>
      <c r="AH217" s="86" t="str">
        <f t="shared" si="89"/>
        <v>"%USERPROFILE%\Documents\GitHub\eaglep3\Utilities\RefineRTDCRunTimes.py" --tripid 902-09 --locoid 4012 --swversion DE.1.0.9.0 --startMP 300:23474 --initTime 2017-03-09T06:05:05 --startdatetime 2017-03-09T06:11:15 --delay 6 --endMP 204:682 --enddatetime 2017-03-09T06:18:24 --enforcementcount 0 &gt;&gt;C:\Users\stu\Documents\GitHub\eaglep3-reporting\EC\2017-03-09-refined-times.txt</v>
      </c>
      <c r="AI217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{"issue":{"subject":"","project_id":79,"tracker_id":40,"status_id":1,"priority_id":2,"assigned_to_id":23,"start_date":"2017-03-09","description":"","custom_fields":[{"id":1,"name":"Subdivision","value":"Other"},{"id":4,"name":"Milepost","value":"0.0682"},{"id":17,"name":"Train ID","value":"902-09"},{"id":16,"name":"Locomotive ID","value":"4012"},{"id":130,"name":"Impact","value":""},{"id":150,"name":"Time of Event (Mountain Time)","value":"06:18:24"},{"id":151,"name":"Denver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91"/>
        <v>start /low /b %USERPROFILE%\Documents\GitHub\eaglep3\Utilities\DownloadLogsFromS3.py --loco 4012 --day 2017-03-09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"%USERPROFILE%\AppData\Local\Temp\OnboardLogs"\RTDC4012\*4012*20170309* | grep -SE "(Enforcement Action)|(\[TIMEOUT)|(CHR.+\|PRM\|1\|D.+(SWITCH|SIGNAL).+UNKNOWN)" - &gt;&gt; 2017-03-09-UncaughtWiMAX.txt</v>
      </c>
    </row>
    <row r="218" spans="1:40" x14ac:dyDescent="0.25">
      <c r="A218" s="33" t="s">
        <v>670</v>
      </c>
      <c r="B218" s="7">
        <v>4007</v>
      </c>
      <c r="C218" s="21" t="s">
        <v>242</v>
      </c>
      <c r="D218" s="21" t="s">
        <v>989</v>
      </c>
      <c r="E218" s="13">
        <v>42803.353263888886</v>
      </c>
      <c r="F218" s="13">
        <v>42803.355254629627</v>
      </c>
      <c r="G218" s="7">
        <v>1</v>
      </c>
      <c r="H218" s="21" t="s">
        <v>990</v>
      </c>
      <c r="I218" s="13">
        <v>42803.361944444441</v>
      </c>
      <c r="J218" s="7">
        <v>0</v>
      </c>
      <c r="K218" s="98" t="str">
        <f t="shared" si="74"/>
        <v>4007/4008</v>
      </c>
      <c r="L218" s="21" t="str">
        <f>VLOOKUP(A218,'Trips&amp;Operators'!$C$1:$G$99999,5,FALSE)</f>
        <v>SHOOK JOHN</v>
      </c>
      <c r="M218" s="6">
        <f t="shared" si="75"/>
        <v>6.6898148143081926E-3</v>
      </c>
      <c r="N218" s="7">
        <f t="shared" si="76"/>
        <v>9.6333333326037973</v>
      </c>
      <c r="O218" s="7"/>
      <c r="P218" s="7"/>
      <c r="Q218" s="22"/>
      <c r="R218" s="22"/>
      <c r="S218" s="31">
        <f t="shared" si="77"/>
        <v>1</v>
      </c>
      <c r="T218" s="46" t="str">
        <f t="shared" si="78"/>
        <v>NorthBound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6" t="str">
        <f t="shared" si="79"/>
        <v>https://d0f6bd738d7f1b3e5a7ca70fe4ff75f0.us-east-1.aws.found.io/app/kibana#/discover/Steve-Slow-Train-Analysis-(2080s-and-2083s)?_g=(refreshInterval:(display:Off,pause:!f,section:0,value:0),time:(from:'2017-03-09T07:28:42-0700',mode:absolute,to:'2017-03-09T09:41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18" s="187" t="str">
        <f t="shared" si="80"/>
        <v>Y</v>
      </c>
      <c r="X218" s="187">
        <f t="shared" si="81"/>
        <v>1</v>
      </c>
      <c r="Y218" s="62">
        <f t="shared" si="82"/>
        <v>4.4999999999999998E-2</v>
      </c>
      <c r="Z218" s="62">
        <f t="shared" si="83"/>
        <v>2.4262999999999999</v>
      </c>
      <c r="AA218" s="62">
        <f t="shared" si="84"/>
        <v>2.3813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85"/>
        <v>0903-09</v>
      </c>
      <c r="AE218" s="85" t="str">
        <f t="shared" si="86"/>
        <v>aws s3 cp s3://rtdc.mdm.uploadarchive.raw/RTDC4007/ "%USERPROFILE%\AppData\Local\Temp\OnboardLogs"\RTDC4007\2017-03-09 --exclude "*" --recursive --include "*20170309*" &amp; "%USERPROFILE%\Documents\GitHub\mrs-test-scripts\Headless Mode &amp; Sideloading\WalkAndUnGZ.bat" "%USERPROFILE%\AppData\Local\Temp\OnboardLogs"\RTDC4007\2017-03-09 &amp; aws s3 cp s3://rtdc.mdm.uploadarchive.raw/RTDC4007/ "%USERPROFILE%\AppData\Local\Temp\OnboardLogs"\RTDC4007\2017-03-10 --exclude "*" --recursive --include "*20170310*" &amp; "%USERPROFILE%\Documents\GitHub\mrs-test-scripts\Headless Mode &amp; Sideloading\WalkAndUnGZ.bat" "%USERPROFILE%\AppData\Local\Temp\OnboardLogs"\RTDC4007\2017-03-10</v>
      </c>
      <c r="AF218" s="82" t="str">
        <f t="shared" si="87"/>
        <v>"C:\Program Files (x86)\AstroGrep\AstroGrep.exe" /e /r /s /spath="%USERPROFILE%\AppData\Local\Temp\OnboardLogs" /stypes="app*4007*20170309*" /stext=" 15:.+((SYSTEM_STATE.+slice.+state.+changed )|(ment ac)|(multiple cpu faults)|(system.+state.+changed )|(\[timeout)|(PRM\|1\|D)|(kpr)|(kdp)|(\|lc)|(penalty))"</v>
      </c>
      <c r="AG218" s="1" t="str">
        <f t="shared" si="88"/>
        <v>Other</v>
      </c>
      <c r="AH218" s="86" t="str">
        <f t="shared" si="89"/>
        <v>"%USERPROFILE%\Documents\GitHub\eaglep3\Utilities\RefineRTDCRunTimes.py" --tripid 903-09 --locoid 4007 --swversion DE.1.0.9.0 --startMP 204:450 --initTime 2017-03-09T08:28:42 --startdatetime 2017-03-09T08:31:34 --delay 1 --endMP 300:24263 --enddatetime 2017-03-09T08:41:12 --enforcementcount 0 &gt;&gt;C:\Users\stu\Documents\GitHub\eaglep3-reporting\EC\2017-03-09-refined-times.txt</v>
      </c>
      <c r="AI218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{"issue":{"subject":"","project_id":79,"tracker_id":40,"status_id":1,"priority_id":2,"assigned_to_id":23,"start_date":"2017-03-09","description":"","custom_fields":[{"id":1,"name":"Subdivision","value":"Other"},{"id":4,"name":"Milepost","value":"2.4263"},{"id":17,"name":"Train ID","value":"903-09"},{"id":16,"name":"Locomotive ID","value":"4007"},{"id":130,"name":"Impact","value":""},{"id":150,"name":"Time of Event (Mountain Time)","value":"08:41:12"},{"id":151,"name":"Denver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91"/>
        <v>start /low /b %USERPROFILE%\Documents\GitHub\eaglep3\Utilities\DownloadLogsFromS3.py --loco 4007 --day 2017-03-09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"%USERPROFILE%\AppData\Local\Temp\OnboardLogs"\RTDC4007\*4007*20170309* | grep -SE "(Enforcement Action)|(\[TIMEOUT)|(CHR.+\|PRM\|1\|D.+(SWITCH|SIGNAL).+UNKNOWN)" - &gt;&gt; 2017-03-09-UncaughtWiMAX.txt</v>
      </c>
    </row>
    <row r="219" spans="1:40" x14ac:dyDescent="0.25">
      <c r="A219" s="33" t="s">
        <v>595</v>
      </c>
      <c r="B219" s="7">
        <v>4008</v>
      </c>
      <c r="C219" s="21" t="s">
        <v>242</v>
      </c>
      <c r="D219" s="21" t="s">
        <v>991</v>
      </c>
      <c r="E219" s="13">
        <v>42803.635011574072</v>
      </c>
      <c r="F219" s="13">
        <v>42803.638819444444</v>
      </c>
      <c r="G219" s="7">
        <v>5</v>
      </c>
      <c r="H219" s="21" t="s">
        <v>972</v>
      </c>
      <c r="I219" s="13">
        <v>42803.643912037034</v>
      </c>
      <c r="J219" s="7">
        <v>0</v>
      </c>
      <c r="K219" s="98" t="str">
        <f t="shared" si="74"/>
        <v>4007/4008</v>
      </c>
      <c r="L219" s="21" t="str">
        <f>VLOOKUP(A219,'Trips&amp;Operators'!$C$1:$G$99999,5,FALSE)</f>
        <v>STORY SAMANTHA</v>
      </c>
      <c r="M219" s="6">
        <f t="shared" si="75"/>
        <v>5.0925925897900015E-3</v>
      </c>
      <c r="N219" s="7">
        <f t="shared" si="76"/>
        <v>7.3333333292976022</v>
      </c>
      <c r="O219" s="7"/>
      <c r="P219" s="7"/>
      <c r="Q219" s="22"/>
      <c r="R219" s="22"/>
      <c r="S219" s="31">
        <f t="shared" si="77"/>
        <v>1</v>
      </c>
      <c r="T219" s="46" t="str">
        <f t="shared" si="78"/>
        <v>Southbound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86" t="str">
        <f t="shared" si="79"/>
        <v>https://d0f6bd738d7f1b3e5a7ca70fe4ff75f0.us-east-1.aws.found.io/app/kibana#/discover/Steve-Slow-Train-Analysis-(2080s-and-2083s)?_g=(refreshInterval:(display:Off,pause:!f,section:0,value:0),time:(from:'2017-03-09T14:14:25-0700',mode:absolute,to:'2017-03-09T16:27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9" s="187" t="str">
        <f t="shared" si="80"/>
        <v>Y</v>
      </c>
      <c r="X219" s="187">
        <f t="shared" si="81"/>
        <v>1</v>
      </c>
      <c r="Y219" s="62">
        <f t="shared" si="82"/>
        <v>2.3243</v>
      </c>
      <c r="Z219" s="62">
        <f t="shared" si="83"/>
        <v>6.9800000000000001E-2</v>
      </c>
      <c r="AA219" s="62">
        <f t="shared" si="84"/>
        <v>2.2545000000000002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85"/>
        <v>0904-09</v>
      </c>
      <c r="AE219" s="85" t="str">
        <f t="shared" si="86"/>
        <v>aws s3 cp s3://rtdc.mdm.uploadarchive.raw/RTDC4008/ "%USERPROFILE%\AppData\Local\Temp\OnboardLogs"\RTDC4008\2017-03-09 --exclude "*" --recursive --include "*20170309*" &amp; "%USERPROFILE%\Documents\GitHub\mrs-test-scripts\Headless Mode &amp; Sideloading\WalkAndUnGZ.bat" "%USERPROFILE%\AppData\Local\Temp\OnboardLogs"\RTDC4008\2017-03-09 &amp; aws s3 cp s3://rtdc.mdm.uploadarchive.raw/RTDC4008/ "%USERPROFILE%\AppData\Local\Temp\OnboardLogs"\RTDC4008\2017-03-10 --exclude "*" --recursive --include "*20170310*" &amp; "%USERPROFILE%\Documents\GitHub\mrs-test-scripts\Headless Mode &amp; Sideloading\WalkAndUnGZ.bat" "%USERPROFILE%\AppData\Local\Temp\OnboardLogs"\RTDC4008\2017-03-10</v>
      </c>
      <c r="AF219" s="82" t="str">
        <f t="shared" si="87"/>
        <v>"C:\Program Files (x86)\AstroGrep\AstroGrep.exe" /e /r /s /spath="%USERPROFILE%\AppData\Local\Temp\OnboardLogs" /stypes="app*4008*20170309*" /stext=" 22:.+((SYSTEM_STATE.+slice.+state.+changed )|(ment ac)|(multiple cpu faults)|(system.+state.+changed )|(\[timeout)|(PRM\|1\|D)|(kpr)|(kdp)|(\|lc)|(penalty))"</v>
      </c>
      <c r="AG219" s="1" t="str">
        <f t="shared" si="88"/>
        <v>Other</v>
      </c>
      <c r="AH219" s="86" t="str">
        <f t="shared" si="89"/>
        <v>"%USERPROFILE%\Documents\GitHub\eaglep3\Utilities\RefineRTDCRunTimes.py" --tripid 904-09 --locoid 4008 --swversion DE.1.0.9.0 --startMP 300:23243 --initTime 2017-03-09T15:14:25 --startdatetime 2017-03-09T15:19:54 --delay 5 --endMP 204:698 --enddatetime 2017-03-09T15:27:14 --enforcementcount 0 &gt;&gt;C:\Users\stu\Documents\GitHub\eaglep3-reporting\EC\2017-03-09-refined-times.txt</v>
      </c>
      <c r="AI219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{"issue":{"subject":"","project_id":79,"tracker_id":40,"status_id":1,"priority_id":2,"assigned_to_id":23,"start_date":"2017-03-09","description":"","custom_fields":[{"id":1,"name":"Subdivision","value":"Other"},{"id":4,"name":"Milepost","value":"0.0698"},{"id":17,"name":"Train ID","value":"904-09"},{"id":16,"name":"Locomotive ID","value":"4008"},{"id":130,"name":"Impact","value":""},{"id":150,"name":"Time of Event (Mountain Time)","value":"15:27:14"},{"id":151,"name":"Denver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91"/>
        <v>start /low /b %USERPROFILE%\Documents\GitHub\eaglep3\Utilities\DownloadLogsFromS3.py --loco 4008 --day 2017-03-09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"%USERPROFILE%\AppData\Local\Temp\OnboardLogs"\RTDC4008\*4008*20170309* | grep -SE "(Enforcement Action)|(\[TIMEOUT)|(CHR.+\|PRM\|1\|D.+(SWITCH|SIGNAL).+UNKNOWN)" - &gt;&gt; 2017-03-09-UncaughtWiMAX.txt</v>
      </c>
    </row>
    <row r="220" spans="1:40" x14ac:dyDescent="0.25">
      <c r="A220" s="33" t="s">
        <v>608</v>
      </c>
      <c r="B220" s="7">
        <v>4008</v>
      </c>
      <c r="C220" s="21" t="s">
        <v>242</v>
      </c>
      <c r="D220" s="21" t="s">
        <v>992</v>
      </c>
      <c r="E220" s="13">
        <v>42803.796793981484</v>
      </c>
      <c r="F220" s="13">
        <v>42803.798182870371</v>
      </c>
      <c r="G220" s="7">
        <v>1</v>
      </c>
      <c r="H220" s="21" t="s">
        <v>993</v>
      </c>
      <c r="I220" s="13">
        <v>42803.809953703705</v>
      </c>
      <c r="J220" s="7">
        <v>0</v>
      </c>
      <c r="K220" s="98" t="str">
        <f t="shared" si="74"/>
        <v>4007/4008</v>
      </c>
      <c r="L220" s="21" t="str">
        <f>VLOOKUP(A220,'Trips&amp;Operators'!$C$1:$G$99999,5,FALSE)</f>
        <v>STORY SAMANTHA</v>
      </c>
      <c r="M220" s="6">
        <f t="shared" si="75"/>
        <v>1.1770833334594499E-2</v>
      </c>
      <c r="N220" s="7">
        <f t="shared" si="76"/>
        <v>16.950000001816079</v>
      </c>
      <c r="O220" s="7"/>
      <c r="P220" s="7"/>
      <c r="Q220" s="22"/>
      <c r="R220" s="22"/>
      <c r="S220" s="31">
        <f t="shared" si="77"/>
        <v>0</v>
      </c>
      <c r="T220" s="46" t="str">
        <f t="shared" si="78"/>
        <v>Southbound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6" t="str">
        <f t="shared" si="79"/>
        <v>https://d0f6bd738d7f1b3e5a7ca70fe4ff75f0.us-east-1.aws.found.io/app/kibana#/discover/Steve-Slow-Train-Analysis-(2080s-and-2083s)?_g=(refreshInterval:(display:Off,pause:!f,section:0,value:0),time:(from:'2017-03-09T18:07:23-0700',mode:absolute,to:'2017-03-09T20:26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0" s="187" t="str">
        <f t="shared" si="80"/>
        <v>Y</v>
      </c>
      <c r="X220" s="187">
        <f t="shared" si="81"/>
        <v>2</v>
      </c>
      <c r="Y220" s="62">
        <f t="shared" si="82"/>
        <v>5.8673999999999999</v>
      </c>
      <c r="Z220" s="62">
        <f t="shared" si="83"/>
        <v>2.8795000000000002</v>
      </c>
      <c r="AA220" s="62">
        <f t="shared" si="84"/>
        <v>2.9878999999999998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85"/>
        <v>0906-09</v>
      </c>
      <c r="AE220" s="85" t="str">
        <f t="shared" si="86"/>
        <v>aws s3 cp s3://rtdc.mdm.uploadarchive.raw/RTDC4008/ "%USERPROFILE%\AppData\Local\Temp\OnboardLogs"\RTDC4008\2017-03-09 --exclude "*" --recursive --include "*20170309*" &amp; "%USERPROFILE%\Documents\GitHub\mrs-test-scripts\Headless Mode &amp; Sideloading\WalkAndUnGZ.bat" "%USERPROFILE%\AppData\Local\Temp\OnboardLogs"\RTDC4008\2017-03-09 &amp; aws s3 cp s3://rtdc.mdm.uploadarchive.raw/RTDC4008/ "%USERPROFILE%\AppData\Local\Temp\OnboardLogs"\RTDC4008\2017-03-10 --exclude "*" --recursive --include "*20170310*" &amp; "%USERPROFILE%\Documents\GitHub\mrs-test-scripts\Headless Mode &amp; Sideloading\WalkAndUnGZ.bat" "%USERPROFILE%\AppData\Local\Temp\OnboardLogs"\RTDC4008\2017-03-10</v>
      </c>
      <c r="AF220" s="82" t="str">
        <f t="shared" si="87"/>
        <v>"C:\Program Files (x86)\AstroGrep\AstroGrep.exe" /e /r /s /spath="%USERPROFILE%\AppData\Local\Temp\OnboardLogs" /stypes="app*4008*20170310*" /stext=" 02:.+((SYSTEM_STATE.+slice.+state.+changed )|(ment ac)|(multiple cpu faults)|(system.+state.+changed )|(\[timeout)|(PRM\|1\|D)|(kpr)|(kdp)|(\|lc)|(penalty))"</v>
      </c>
      <c r="AG220" s="1" t="str">
        <f t="shared" si="88"/>
        <v>Other</v>
      </c>
      <c r="AH220" s="86" t="str">
        <f t="shared" si="89"/>
        <v>"%USERPROFILE%\Documents\GitHub\eaglep3\Utilities\RefineRTDCRunTimes.py" --tripid 906-09 --locoid 4008 --swversion DE.1.0.9.0 --startMP 300:58674 --initTime 2017-03-09T19:07:23 --startdatetime 2017-03-09T19:09:23 --delay 1 --endMP 300:28795 --enddatetime 2017-03-09T19:26:20 --enforcementcount 0 &gt;&gt;C:\Users\stu\Documents\GitHub\eaglep3-reporting\EC\2017-03-09-refined-times.txt</v>
      </c>
      <c r="AI220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{"issue":{"subject":"","project_id":79,"tracker_id":40,"status_id":1,"priority_id":2,"assigned_to_id":23,"start_date":"2017-03-09","description":"","custom_fields":[{"id":1,"name":"Subdivision","value":"Other"},{"id":4,"name":"Milepost","value":"2.8795"},{"id":17,"name":"Train ID","value":"906-09"},{"id":16,"name":"Locomotive ID","value":"4008"},{"id":130,"name":"Impact","value":""},{"id":150,"name":"Time of Event (Mountain Time)","value":"19:26:20"},{"id":151,"name":"Denver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91"/>
        <v>start /low /b %USERPROFILE%\Documents\GitHub\eaglep3\Utilities\DownloadLogsFromS3.py --loco 4008 --day 2017-03-09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"%USERPROFILE%\AppData\Local\Temp\OnboardLogs"\RTDC4008\*4008*20170310* | grep -SE "(Enforcement Action)|(\[TIMEOUT)|(CHR.+\|PRM\|1\|D.+(SWITCH|SIGNAL).+UNKNOWN)" - &gt;&gt; 2017-03-09-UncaughtWiMAX.txt</v>
      </c>
    </row>
    <row r="221" spans="1:40" x14ac:dyDescent="0.25">
      <c r="A221" s="33" t="s">
        <v>802</v>
      </c>
      <c r="B221" s="7">
        <v>4012</v>
      </c>
      <c r="C221" s="21" t="s">
        <v>242</v>
      </c>
      <c r="D221" s="21" t="s">
        <v>994</v>
      </c>
      <c r="E221" s="13">
        <v>42803.943356481483</v>
      </c>
      <c r="F221" s="13">
        <v>25568.708333333332</v>
      </c>
      <c r="G221" s="7">
        <v>1</v>
      </c>
      <c r="H221" s="21" t="s">
        <v>995</v>
      </c>
      <c r="I221" s="13">
        <v>25568.708333333332</v>
      </c>
      <c r="J221" s="7">
        <v>0</v>
      </c>
      <c r="K221" s="98" t="str">
        <f t="shared" si="74"/>
        <v>4011/4012</v>
      </c>
      <c r="L221" s="21" t="str">
        <f>VLOOKUP(A221,'Trips&amp;Operators'!$C$1:$G$99999,5,FALSE)</f>
        <v>STORY SAMANTHA</v>
      </c>
      <c r="M221" s="6">
        <f t="shared" si="75"/>
        <v>0</v>
      </c>
      <c r="N221" s="7">
        <f t="shared" si="76"/>
        <v>0</v>
      </c>
      <c r="O221" s="7"/>
      <c r="P221" s="7"/>
      <c r="Q221" s="22"/>
      <c r="R221" s="22"/>
      <c r="S221" s="31">
        <f t="shared" si="77"/>
        <v>0</v>
      </c>
      <c r="T221" s="46" t="str">
        <f t="shared" si="78"/>
        <v>Southbound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6" t="str">
        <f t="shared" si="79"/>
        <v>https://d0f6bd738d7f1b3e5a7ca70fe4ff75f0.us-east-1.aws.found.io/app/kibana#/discover/Steve-Slow-Train-Analysis-(2080s-and-2083s)?_g=(refreshInterval:(display:Off,pause:!f,section:0,value:0),time:(from:'2017-03-09T21:38:26-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1" s="187" t="str">
        <f t="shared" si="80"/>
        <v>Y</v>
      </c>
      <c r="X221" s="187">
        <f t="shared" si="81"/>
        <v>2</v>
      </c>
      <c r="Y221" s="62">
        <f t="shared" si="82"/>
        <v>5.8667999999999996</v>
      </c>
      <c r="Z221" s="62">
        <f t="shared" si="83"/>
        <v>2.1608000000000001</v>
      </c>
      <c r="AA221" s="62">
        <f t="shared" si="84"/>
        <v>3.7059999999999995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85"/>
        <v>0908-09</v>
      </c>
      <c r="AE221" s="85" t="str">
        <f t="shared" si="86"/>
        <v>aws s3 cp s3://rtdc.mdm.uploadarchive.raw/RTDC4012/ "%USERPROFILE%\AppData\Local\Temp\OnboardLogs"\RTDC4012\1969-12-31 --exclude "*" --recursive --include "*19691231*" &amp; "%USERPROFILE%\Documents\GitHub\mrs-test-scripts\Headless Mode &amp; Sideloading\WalkAndUnGZ.bat" "%USERPROFILE%\AppData\Local\Temp\OnboardLogs"\RTDC4012\1969-12-31 &amp; aws s3 cp s3://rtdc.mdm.uploadarchive.raw/RTDC4012/ "%USERPROFILE%\AppData\Local\Temp\OnboardLogs"\RTDC4012\1970-01-01 --exclude "*" --recursive --include "*19700101*" &amp; "%USERPROFILE%\Documents\GitHub\mrs-test-scripts\Headless Mode &amp; Sideloading\WalkAndUnGZ.bat" "%USERPROFILE%\AppData\Local\Temp\OnboardLogs"\RTDC4012\1970-01-01</v>
      </c>
      <c r="AF221" s="82" t="str">
        <f t="shared" si="87"/>
        <v>"C:\Program Files (x86)\AstroGrep\AstroGrep.exe" /e /r /s /spath="%USERPROFILE%\AppData\Local\Temp\OnboardLogs" /stypes="app*4012*19700101*" /stext=" 00:.+((SYSTEM_STATE.+slice.+state.+changed )|(ment ac)|(multiple cpu faults)|(system.+state.+changed )|(\[timeout)|(PRM\|1\|D)|(kpr)|(kdp)|(\|lc)|(penalty))"</v>
      </c>
      <c r="AG221" s="1" t="str">
        <f t="shared" si="88"/>
        <v>Other</v>
      </c>
      <c r="AH221" s="86" t="str">
        <f t="shared" si="89"/>
        <v>"%USERPROFILE%\Documents\GitHub\eaglep3\Utilities\RefineRTDCRunTimes.py" --tripid 908-09 --locoid 4012 --swversion DE.1.0.9.0 --startMP 300:58668 --initTime 2017-03-09T22:38:26 --startdatetime 1969-12-31T17:00:00 --delay 1 --endMP 300:21608 --enddatetime 1969-12-31T17:00:00 --enforcementcount 0 &gt;&gt;C:\Users\stu\Documents\GitHub\eaglep3-reporting\EC\2017-03-09-refined-times.txt</v>
      </c>
      <c r="AI221" s="108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{"issue":{"subject":"","project_id":79,"tracker_id":40,"status_id":1,"priority_id":2,"assigned_to_id":23,"start_date":"1969-12-31","description":"","custom_fields":[{"id":1,"name":"Subdivision","value":"Other"},{"id":4,"name":"Milepost","value":"2.1608"},{"id":17,"name":"Train ID","value":"908-09"},{"id":16,"name":"Locomotive ID","value":"4012"},{"id":130,"name":"Impact","value":""},{"id":150,"name":"Time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91"/>
        <v>start /low /b %USERPROFILE%\Documents\GitHub\eaglep3\Utilities\DownloadLogsFromS3.py --loco 4012 --day 1969-12-31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"%USERPROFILE%\AppData\Local\Temp\OnboardLogs"\RTDC4012\*4012*19700101* | grep -SE "(Enforcement Action)|(\[TIMEOUT)|(CHR.+\|PRM\|1\|D.+(SWITCH|SIGNAL).+UNKNOWN)" - &gt;&gt; 2017-03-09-UncaughtWiMAX.txt</v>
      </c>
    </row>
    <row r="222" spans="1:40" x14ac:dyDescent="0.25">
      <c r="A222" s="33" t="s">
        <v>586</v>
      </c>
      <c r="B222" s="7">
        <v>4023</v>
      </c>
      <c r="C222" s="21" t="s">
        <v>242</v>
      </c>
      <c r="D222" s="21" t="s">
        <v>897</v>
      </c>
      <c r="E222" s="13">
        <v>42803.451354166667</v>
      </c>
      <c r="F222" s="13">
        <v>42803.455405092594</v>
      </c>
      <c r="G222" s="7">
        <v>5</v>
      </c>
      <c r="H222" s="21" t="s">
        <v>898</v>
      </c>
      <c r="I222" s="13">
        <v>42803.460462962961</v>
      </c>
      <c r="J222" s="7">
        <v>0</v>
      </c>
      <c r="K222" s="98" t="str">
        <f t="shared" si="74"/>
        <v>4023/4024</v>
      </c>
      <c r="L222" s="21" t="str">
        <f>VLOOKUP(A222,'Trips&amp;Operators'!$C$1:$G$99999,5,FALSE)</f>
        <v>DE LA ROSA ALEX</v>
      </c>
      <c r="M222" s="6">
        <f t="shared" si="75"/>
        <v>5.057870366727002E-3</v>
      </c>
      <c r="N222" s="7">
        <f t="shared" si="76"/>
        <v>7.2833333280868828</v>
      </c>
      <c r="O222" s="7"/>
      <c r="P222" s="7"/>
      <c r="Q222" s="22"/>
      <c r="R222" s="22"/>
      <c r="S222" s="31">
        <f t="shared" si="77"/>
        <v>0</v>
      </c>
      <c r="T222" s="46" t="e">
        <f t="shared" si="78"/>
        <v>#VALUE!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6" t="str">
        <f t="shared" si="79"/>
        <v>https://d0f6bd738d7f1b3e5a7ca70fe4ff75f0.us-east-1.aws.found.io/app/kibana#/discover/Steve-Slow-Train-Analysis-(2080s-and-2083s)?_g=(refreshInterval:(display:Off,pause:!f,section:0,value:0),time:(from:'2017-03-09T09:49:57-0700',mode:absolute,to:'2017-03-09T12:03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22" s="187" t="str">
        <f t="shared" si="80"/>
        <v>Y</v>
      </c>
      <c r="X222" s="187" t="e">
        <f t="shared" si="81"/>
        <v>#VALUE!</v>
      </c>
      <c r="Y222" s="62">
        <f t="shared" si="82"/>
        <v>2.1926000000000001</v>
      </c>
      <c r="Z222" s="62">
        <f t="shared" si="83"/>
        <v>8.5900000000000004E-2</v>
      </c>
      <c r="AA222" s="62">
        <f t="shared" si="84"/>
        <v>2.1067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85"/>
        <v>50-09</v>
      </c>
      <c r="AE222" s="85" t="str">
        <f t="shared" si="86"/>
        <v>aws s3 cp s3://rtdc.mdm.uploadarchive.raw/RTDC4023/ "%USERPROFILE%\AppData\Local\Temp\OnboardLogs"\RTDC4023\2017-03-09 --exclude "*" --recursive --include "*20170309*" &amp; "%USERPROFILE%\Documents\GitHub\mrs-test-scripts\Headless Mode &amp; Sideloading\WalkAndUnGZ.bat" "%USERPROFILE%\AppData\Local\Temp\OnboardLogs"\RTDC4023\2017-03-09 &amp; aws s3 cp s3://rtdc.mdm.uploadarchive.raw/RTDC4023/ "%USERPROFILE%\AppData\Local\Temp\OnboardLogs"\RTDC4023\2017-03-10 --exclude "*" --recursive --include "*20170310*" &amp; "%USERPROFILE%\Documents\GitHub\mrs-test-scripts\Headless Mode &amp; Sideloading\WalkAndUnGZ.bat" "%USERPROFILE%\AppData\Local\Temp\OnboardLogs"\RTDC4023\2017-03-10</v>
      </c>
      <c r="AF222" s="82" t="str">
        <f t="shared" si="87"/>
        <v>"C:\Program Files (x86)\AstroGrep\AstroGrep.exe" /e /r /s /spath="%USERPROFILE%\AppData\Local\Temp\OnboardLogs" /stypes="app*4023*20170309*" /stext=" 18:.+((SYSTEM_STATE.+slice.+state.+changed )|(ment ac)|(multiple cpu faults)|(system.+state.+changed )|(\[timeout)|(PRM\|1\|D)|(kpr)|(kdp)|(\|lc)|(penalty))"</v>
      </c>
      <c r="AG222" s="1" t="str">
        <f t="shared" si="88"/>
        <v>Other</v>
      </c>
      <c r="AH222" s="86" t="str">
        <f t="shared" si="89"/>
        <v>"%USERPROFILE%\Documents\GitHub\eaglep3\Utilities\RefineRTDCRunTimes.py" --tripid 50-09 --locoid 4023 --swversion DE.1.0.9.0 --startMP 300:21926 --initTime 2017-03-09T10:49:57 --startdatetime 2017-03-09T10:55:47 --delay 5 --endMP 204:859 --enddatetime 2017-03-09T11:03:04 --enforcementcount 0 &gt;&gt;C:\Users\stu\Documents\GitHub\eaglep3-reporting\EC\2017-03-09-refined-times.txt</v>
      </c>
      <c r="AI222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{"issue":{"subject":"","project_id":79,"tracker_id":40,"status_id":1,"priority_id":2,"assigned_to_id":23,"start_date":"2017-03-09","description":"","custom_fields":[{"id":1,"name":"Subdivision","value":"Other"},{"id":4,"name":"Milepost","value":"0.0859"},{"id":17,"name":"Train ID","value":"50-09"},{"id":16,"name":"Locomotive ID","value":"4023"},{"id":130,"name":"Impact","value":""},{"id":150,"name":"Time of Event (Mountain Time)","value":"11:03:04"},{"id":151,"name":"Denver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91"/>
        <v>start /low /b %USERPROFILE%\Documents\GitHub\eaglep3\Utilities\DownloadLogsFromS3.py --loco 4023 --day 2017-03-09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"%USERPROFILE%\AppData\Local\Temp\OnboardLogs"\RTDC4023\*4023*20170309* | grep -SE "(Enforcement Action)|(\[TIMEOUT)|(CHR.+\|PRM\|1\|D.+(SWITCH|SIGNAL).+UNKNOWN)" - &gt;&gt; 2017-03-09-UncaughtWiMAX.txt</v>
      </c>
    </row>
    <row r="223" spans="1:40" x14ac:dyDescent="0.25">
      <c r="A223" s="33" t="s">
        <v>615</v>
      </c>
      <c r="B223" s="7">
        <v>4014</v>
      </c>
      <c r="C223" s="21" t="s">
        <v>242</v>
      </c>
      <c r="D223" s="21" t="s">
        <v>899</v>
      </c>
      <c r="E223" s="13">
        <v>42803.121134259258</v>
      </c>
      <c r="F223" s="13">
        <v>42803.124467592592</v>
      </c>
      <c r="G223" s="7">
        <v>1</v>
      </c>
      <c r="H223" s="21" t="s">
        <v>900</v>
      </c>
      <c r="I223" s="13">
        <v>42803.15047453704</v>
      </c>
      <c r="J223" s="7">
        <v>0</v>
      </c>
      <c r="K223" s="98" t="str">
        <f t="shared" si="74"/>
        <v>4013/4014</v>
      </c>
      <c r="L223" s="21" t="str">
        <f>VLOOKUP(A223,'Trips&amp;Operators'!$C$1:$G$99999,5,FALSE)</f>
        <v>SPECTOR MICHAEL</v>
      </c>
      <c r="M223" s="6">
        <f t="shared" si="75"/>
        <v>2.6006944448454306E-2</v>
      </c>
      <c r="N223" s="7">
        <f t="shared" si="76"/>
        <v>37.4500000057742</v>
      </c>
      <c r="O223" s="7"/>
      <c r="P223" s="7"/>
      <c r="Q223" s="22"/>
      <c r="R223" s="22"/>
      <c r="S223" s="31">
        <f t="shared" si="77"/>
        <v>0</v>
      </c>
      <c r="T223" s="46" t="e">
        <f t="shared" si="78"/>
        <v>#VALUE!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 t="shared" si="79"/>
        <v>https://d0f6bd738d7f1b3e5a7ca70fe4ff75f0.us-east-1.aws.found.io/app/kibana#/discover/Steve-Slow-Train-Analysis-(2080s-and-2083s)?_g=(refreshInterval:(display:Off,pause:!f,section:0,value:0),time:(from:'2017-03-09T01:54:26-0700',mode:absolute,to:'2017-03-09T04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3" s="187" t="str">
        <f t="shared" si="80"/>
        <v>N</v>
      </c>
      <c r="X223" s="187" t="e">
        <f t="shared" si="81"/>
        <v>#VALUE!</v>
      </c>
      <c r="Y223" s="62">
        <f t="shared" si="82"/>
        <v>0.1167</v>
      </c>
      <c r="Z223" s="62">
        <f t="shared" si="83"/>
        <v>10.742900000000001</v>
      </c>
      <c r="AA223" s="62">
        <f t="shared" si="84"/>
        <v>10.626200000000001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85"/>
        <v>51-09</v>
      </c>
      <c r="AE223" s="85" t="str">
        <f t="shared" si="86"/>
        <v>aws s3 cp s3://rtdc.mdm.uploadarchive.raw/RTDC4014/ "%USERPROFILE%\AppData\Local\Temp\OnboardLogs"\RTDC4014\2017-03-09 --exclude "*" --recursive --include "*20170309*" &amp; "%USERPROFILE%\Documents\GitHub\mrs-test-scripts\Headless Mode &amp; Sideloading\WalkAndUnGZ.bat" "%USERPROFILE%\AppData\Local\Temp\OnboardLogs"\RTDC4014\2017-03-09 &amp; aws s3 cp s3://rtdc.mdm.uploadarchive.raw/RTDC4014/ "%USERPROFILE%\AppData\Local\Temp\OnboardLogs"\RTDC4014\2017-03-10 --exclude "*" --recursive --include "*20170310*" &amp; "%USERPROFILE%\Documents\GitHub\mrs-test-scripts\Headless Mode &amp; Sideloading\WalkAndUnGZ.bat" "%USERPROFILE%\AppData\Local\Temp\OnboardLogs"\RTDC4014\2017-03-10</v>
      </c>
      <c r="AF223" s="82" t="str">
        <f t="shared" si="87"/>
        <v>"C:\Program Files (x86)\AstroGrep\AstroGrep.exe" /e /r /s /spath="%USERPROFILE%\AppData\Local\Temp\OnboardLogs" /stypes="app*4014*20170309*" /stext=" 10:.+((SYSTEM_STATE.+slice.+state.+changed )|(ment ac)|(multiple cpu faults)|(system.+state.+changed )|(\[timeout)|(PRM\|1\|D)|(kpr)|(kdp)|(\|lc)|(penalty))"</v>
      </c>
      <c r="AG223" s="1" t="str">
        <f t="shared" si="88"/>
        <v>Other</v>
      </c>
      <c r="AH223" s="86" t="str">
        <f t="shared" si="89"/>
        <v>"%USERPROFILE%\Documents\GitHub\eaglep3\Utilities\RefineRTDCRunTimes.py" --tripid 51-09 --locoid 4014 --swversion DE.1.0.9.0 --startMP 204:1167 --initTime 2017-03-09T02:54:26 --startdatetime 2017-03-09T02:59:14 --delay 1 --endMP 204:107429 --enddatetime 2017-03-09T03:36:41 --enforcementcount 0 &gt;&gt;C:\Users\stu\Documents\GitHub\eaglep3-reporting\EC\2017-03-09-refined-times.txt</v>
      </c>
      <c r="AI223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{"issue":{"subject":"","project_id":79,"tracker_id":40,"status_id":1,"priority_id":2,"assigned_to_id":23,"start_date":"2017-03-09","description":"","custom_fields":[{"id":1,"name":"Subdivision","value":"Other"},{"id":4,"name":"Milepost","value":"10.7429"},{"id":17,"name":"Train ID","value":"51-09"},{"id":16,"name":"Locomotive ID","value":"4014"},{"id":130,"name":"Impact","value":""},{"id":150,"name":"Time of Event (Mountain Time)","value":"03:36:41"},{"id":151,"name":"Denver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91"/>
        <v>start /low /b %USERPROFILE%\Documents\GitHub\eaglep3\Utilities\DownloadLogsFromS3.py --loco 4014 --day 2017-03-09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"%USERPROFILE%\AppData\Local\Temp\OnboardLogs"\RTDC4014\*4014*20170309* | grep -SE "(Enforcement Action)|(\[TIMEOUT)|(CHR.+\|PRM\|1\|D.+(SWITCH|SIGNAL).+UNKNOWN)" - &gt;&gt; 2017-03-09-UncaughtWiMAX.txt</v>
      </c>
    </row>
    <row r="224" spans="1:40" x14ac:dyDescent="0.25">
      <c r="A224" s="33" t="s">
        <v>574</v>
      </c>
      <c r="B224" s="7">
        <v>4013</v>
      </c>
      <c r="C224" s="21" t="s">
        <v>242</v>
      </c>
      <c r="D224" s="21" t="s">
        <v>901</v>
      </c>
      <c r="E224" s="13">
        <v>42803.152627314812</v>
      </c>
      <c r="F224" s="13">
        <v>42803.155277777776</v>
      </c>
      <c r="G224" s="7">
        <v>1</v>
      </c>
      <c r="H224" s="21" t="s">
        <v>902</v>
      </c>
      <c r="I224" s="13">
        <v>42803.172037037039</v>
      </c>
      <c r="J224" s="7">
        <v>0</v>
      </c>
      <c r="K224" s="98" t="str">
        <f t="shared" si="74"/>
        <v>4013/4014</v>
      </c>
      <c r="L224" s="21" t="str">
        <f>VLOOKUP(A224,'Trips&amp;Operators'!$C$1:$G$99999,5,FALSE)</f>
        <v>SPECTOR MICHAEL</v>
      </c>
      <c r="M224" s="6">
        <f t="shared" si="75"/>
        <v>1.675925926247146E-2</v>
      </c>
      <c r="N224" s="7">
        <f t="shared" si="76"/>
        <v>24.133333337958902</v>
      </c>
      <c r="O224" s="7"/>
      <c r="P224" s="7"/>
      <c r="Q224" s="22"/>
      <c r="R224" s="22"/>
      <c r="S224" s="31">
        <f t="shared" si="77"/>
        <v>0</v>
      </c>
      <c r="T224" s="46" t="e">
        <f t="shared" si="78"/>
        <v>#VALUE!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79"/>
        <v>https://d0f6bd738d7f1b3e5a7ca70fe4ff75f0.us-east-1.aws.found.io/app/kibana#/discover/Steve-Slow-Train-Analysis-(2080s-and-2083s)?_g=(refreshInterval:(display:Off,pause:!f,section:0,value:0),time:(from:'2017-03-09T02:39:47-0700',mode:absolute,to:'2017-03-09T05:07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4" s="187" t="str">
        <f t="shared" si="80"/>
        <v>N</v>
      </c>
      <c r="X224" s="187" t="e">
        <f t="shared" si="81"/>
        <v>#VALUE!</v>
      </c>
      <c r="Y224" s="62">
        <f t="shared" si="82"/>
        <v>10.7103</v>
      </c>
      <c r="Z224" s="62">
        <f t="shared" si="83"/>
        <v>8.77E-2</v>
      </c>
      <c r="AA224" s="62">
        <f t="shared" si="84"/>
        <v>10.6226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85"/>
        <v>52-09</v>
      </c>
      <c r="AE224" s="85" t="str">
        <f t="shared" si="86"/>
        <v>aws s3 cp s3://rtdc.mdm.uploadarchive.raw/RTDC4013/ "%USERPROFILE%\AppData\Local\Temp\OnboardLogs"\RTDC4013\2017-03-09 --exclude "*" --recursive --include "*20170309*" &amp; "%USERPROFILE%\Documents\GitHub\mrs-test-scripts\Headless Mode &amp; Sideloading\WalkAndUnGZ.bat" "%USERPROFILE%\AppData\Local\Temp\OnboardLogs"\RTDC4013\2017-03-09 &amp; aws s3 cp s3://rtdc.mdm.uploadarchive.raw/RTDC4013/ "%USERPROFILE%\AppData\Local\Temp\OnboardLogs"\RTDC4013\2017-03-10 --exclude "*" --recursive --include "*20170310*" &amp; "%USERPROFILE%\Documents\GitHub\mrs-test-scripts\Headless Mode &amp; Sideloading\WalkAndUnGZ.bat" "%USERPROFILE%\AppData\Local\Temp\OnboardLogs"\RTDC4013\2017-03-10</v>
      </c>
      <c r="AF224" s="82" t="str">
        <f t="shared" si="87"/>
        <v>"C:\Program Files (x86)\AstroGrep\AstroGrep.exe" /e /r /s /spath="%USERPROFILE%\AppData\Local\Temp\OnboardLogs" /stypes="app*4013*20170309*" /stext=" 11:.+((SYSTEM_STATE.+slice.+state.+changed )|(ment ac)|(multiple cpu faults)|(system.+state.+changed )|(\[timeout)|(PRM\|1\|D)|(kpr)|(kdp)|(\|lc)|(penalty))"</v>
      </c>
      <c r="AG224" s="1" t="str">
        <f t="shared" si="88"/>
        <v>Other</v>
      </c>
      <c r="AH224" s="86" t="str">
        <f t="shared" si="89"/>
        <v>"%USERPROFILE%\Documents\GitHub\eaglep3\Utilities\RefineRTDCRunTimes.py" --tripid 52-09 --locoid 4013 --swversion DE.1.0.9.0 --startMP 204:107103 --initTime 2017-03-09T03:39:47 --startdatetime 2017-03-09T03:43:36 --delay 1 --endMP 204:877 --enddatetime 2017-03-09T04:07:44 --enforcementcount 0 &gt;&gt;C:\Users\stu\Documents\GitHub\eaglep3-reporting\EC\2017-03-09-refined-times.txt</v>
      </c>
      <c r="AI224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{"issue":{"subject":"","project_id":79,"tracker_id":40,"status_id":1,"priority_id":2,"assigned_to_id":23,"start_date":"2017-03-09","description":"","custom_fields":[{"id":1,"name":"Subdivision","value":"Other"},{"id":4,"name":"Milepost","value":"0.0877"},{"id":17,"name":"Train ID","value":"52-09"},{"id":16,"name":"Locomotive ID","value":"4013"},{"id":130,"name":"Impact","value":""},{"id":150,"name":"Time of Event (Mountain Time)","value":"04:07:44"},{"id":151,"name":"Denver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91"/>
        <v>start /low /b %USERPROFILE%\Documents\GitHub\eaglep3\Utilities\DownloadLogsFromS3.py --loco 4013 --day 2017-03-09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"%USERPROFILE%\AppData\Local\Temp\OnboardLogs"\RTDC4013\*4013*20170309* | grep -SE "(Enforcement Action)|(\[TIMEOUT)|(CHR.+\|PRM\|1\|D.+(SWITCH|SIGNAL).+UNKNOWN)" - &gt;&gt; 2017-03-09-UncaughtWiMAX.txt</v>
      </c>
    </row>
    <row r="225" spans="1:40" x14ac:dyDescent="0.25">
      <c r="A225" s="33" t="s">
        <v>702</v>
      </c>
      <c r="B225" s="7">
        <v>4024</v>
      </c>
      <c r="C225" s="21" t="s">
        <v>242</v>
      </c>
      <c r="D225" s="21" t="s">
        <v>903</v>
      </c>
      <c r="E225" s="13">
        <v>42803.490844907406</v>
      </c>
      <c r="F225" s="13">
        <v>42803.49291666667</v>
      </c>
      <c r="G225" s="7">
        <v>2</v>
      </c>
      <c r="H225" s="21" t="s">
        <v>904</v>
      </c>
      <c r="I225" s="13">
        <v>42803.500104166669</v>
      </c>
      <c r="J225" s="7">
        <v>0</v>
      </c>
      <c r="K225" s="98" t="str">
        <f t="shared" si="74"/>
        <v>4023/4024</v>
      </c>
      <c r="L225" s="21" t="str">
        <f>VLOOKUP(A225,'Trips&amp;Operators'!$C$1:$G$99999,5,FALSE)</f>
        <v>GEBRETEKLE DAGNEW</v>
      </c>
      <c r="M225" s="6">
        <f t="shared" si="75"/>
        <v>7.1874999994179234E-3</v>
      </c>
      <c r="N225" s="7">
        <f t="shared" si="76"/>
        <v>10.34999999916181</v>
      </c>
      <c r="O225" s="7"/>
      <c r="P225" s="7"/>
      <c r="Q225" s="22"/>
      <c r="R225" s="22"/>
      <c r="S225" s="31">
        <f t="shared" si="77"/>
        <v>0</v>
      </c>
      <c r="T225" s="46" t="e">
        <f t="shared" si="78"/>
        <v>#VALUE!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79"/>
        <v>https://d0f6bd738d7f1b3e5a7ca70fe4ff75f0.us-east-1.aws.found.io/app/kibana#/discover/Steve-Slow-Train-Analysis-(2080s-and-2083s)?_g=(refreshInterval:(display:Off,pause:!f,section:0,value:0),time:(from:'2017-03-09T10:46:49-0700',mode:absolute,to:'2017-03-09T13:00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25" s="187" t="str">
        <f t="shared" si="80"/>
        <v>Y</v>
      </c>
      <c r="X225" s="187" t="e">
        <f t="shared" si="81"/>
        <v>#VALUE!</v>
      </c>
      <c r="Y225" s="62">
        <f t="shared" si="82"/>
        <v>0.1181</v>
      </c>
      <c r="Z225" s="62">
        <f t="shared" si="83"/>
        <v>2.4247999999999998</v>
      </c>
      <c r="AA225" s="62">
        <f t="shared" si="84"/>
        <v>2.3066999999999998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85"/>
        <v>53-09</v>
      </c>
      <c r="AE225" s="85" t="str">
        <f t="shared" si="86"/>
        <v>aws s3 cp s3://rtdc.mdm.uploadarchive.raw/RTDC4024/ "%USERPROFILE%\AppData\Local\Temp\OnboardLogs"\RTDC4024\2017-03-09 --exclude "*" --recursive --include "*20170309*" &amp; "%USERPROFILE%\Documents\GitHub\mrs-test-scripts\Headless Mode &amp; Sideloading\WalkAndUnGZ.bat" "%USERPROFILE%\AppData\Local\Temp\OnboardLogs"\RTDC4024\2017-03-09 &amp; aws s3 cp s3://rtdc.mdm.uploadarchive.raw/RTDC4024/ "%USERPROFILE%\AppData\Local\Temp\OnboardLogs"\RTDC4024\2017-03-10 --exclude "*" --recursive --include "*20170310*" &amp; "%USERPROFILE%\Documents\GitHub\mrs-test-scripts\Headless Mode &amp; Sideloading\WalkAndUnGZ.bat" "%USERPROFILE%\AppData\Local\Temp\OnboardLogs"\RTDC4024\2017-03-10</v>
      </c>
      <c r="AF225" s="82" t="str">
        <f t="shared" si="87"/>
        <v>"C:\Program Files (x86)\AstroGrep\AstroGrep.exe" /e /r /s /spath="%USERPROFILE%\AppData\Local\Temp\OnboardLogs" /stypes="app*4024*20170309*" /stext=" 19:.+((SYSTEM_STATE.+slice.+state.+changed )|(ment ac)|(multiple cpu faults)|(system.+state.+changed )|(\[timeout)|(PRM\|1\|D)|(kpr)|(kdp)|(\|lc)|(penalty))"</v>
      </c>
      <c r="AG225" s="1" t="str">
        <f t="shared" si="88"/>
        <v>Other</v>
      </c>
      <c r="AH225" s="86" t="str">
        <f t="shared" si="89"/>
        <v>"%USERPROFILE%\Documents\GitHub\eaglep3\Utilities\RefineRTDCRunTimes.py" --tripid 53-09 --locoid 4024 --swversion DE.1.0.9.0 --startMP 204:1181 --initTime 2017-03-09T11:46:49 --startdatetime 2017-03-09T11:49:48 --delay 2 --endMP 300:24248 --enddatetime 2017-03-09T12:00:09 --enforcementcount 0 &gt;&gt;C:\Users\stu\Documents\GitHub\eaglep3-reporting\EC\2017-03-09-refined-times.txt</v>
      </c>
      <c r="AI225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{"issue":{"subject":"","project_id":79,"tracker_id":40,"status_id":1,"priority_id":2,"assigned_to_id":23,"start_date":"2017-03-09","description":"","custom_fields":[{"id":1,"name":"Subdivision","value":"Other"},{"id":4,"name":"Milepost","value":"2.4248"},{"id":17,"name":"Train ID","value":"53-09"},{"id":16,"name":"Locomotive ID","value":"4024"},{"id":130,"name":"Impact","value":""},{"id":150,"name":"Time of Event (Mountain Time)","value":"12:00:09"},{"id":151,"name":"Denver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91"/>
        <v>start /low /b %USERPROFILE%\Documents\GitHub\eaglep3\Utilities\DownloadLogsFromS3.py --loco 4024 --day 2017-03-09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"%USERPROFILE%\AppData\Local\Temp\OnboardLogs"\RTDC4024\*4024*20170309* | grep -SE "(Enforcement Action)|(\[TIMEOUT)|(CHR.+\|PRM\|1\|D.+(SWITCH|SIGNAL).+UNKNOWN)" - &gt;&gt; 2017-03-09-UncaughtWiMAX.txt</v>
      </c>
    </row>
    <row r="226" spans="1:40" x14ac:dyDescent="0.25">
      <c r="A226" s="33" t="s">
        <v>698</v>
      </c>
      <c r="B226" s="7">
        <v>4041</v>
      </c>
      <c r="C226" s="21" t="s">
        <v>242</v>
      </c>
      <c r="D226" s="21" t="s">
        <v>905</v>
      </c>
      <c r="E226" s="13">
        <v>42803.482777777775</v>
      </c>
      <c r="F226" s="13">
        <v>42803.484247685185</v>
      </c>
      <c r="G226" s="7">
        <v>1</v>
      </c>
      <c r="H226" s="21" t="s">
        <v>906</v>
      </c>
      <c r="I226" s="13">
        <v>42803.488842592589</v>
      </c>
      <c r="J226" s="7">
        <v>0</v>
      </c>
      <c r="K226" s="98" t="str">
        <f t="shared" si="74"/>
        <v>4041/4042</v>
      </c>
      <c r="L226" s="21" t="str">
        <f>VLOOKUP(A226,'Trips&amp;Operators'!$C$1:$G$99999,5,FALSE)</f>
        <v>HELVIE ADAM</v>
      </c>
      <c r="M226" s="6">
        <f t="shared" si="75"/>
        <v>4.5949074046802707E-3</v>
      </c>
      <c r="N226" s="7">
        <f t="shared" si="76"/>
        <v>6.6166666627395898</v>
      </c>
      <c r="O226" s="7"/>
      <c r="P226" s="7"/>
      <c r="Q226" s="22"/>
      <c r="R226" s="22"/>
      <c r="S226" s="31">
        <f t="shared" si="77"/>
        <v>0</v>
      </c>
      <c r="T226" s="46" t="e">
        <f t="shared" si="78"/>
        <v>#VALUE!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 t="shared" si="79"/>
        <v>https://d0f6bd738d7f1b3e5a7ca70fe4ff75f0.us-east-1.aws.found.io/app/kibana#/discover/Steve-Slow-Train-Analysis-(2080s-and-2083s)?_g=(refreshInterval:(display:Off,pause:!f,section:0,value:0),time:(from:'2017-03-09T10:35:12-0700',mode:absolute,to:'2017-03-09T12:43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6" s="187" t="str">
        <f t="shared" si="80"/>
        <v>Y</v>
      </c>
      <c r="X226" s="187" t="e">
        <f t="shared" si="81"/>
        <v>#VALUE!</v>
      </c>
      <c r="Y226" s="62">
        <f t="shared" si="82"/>
        <v>2.3022</v>
      </c>
      <c r="Z226" s="62">
        <f t="shared" si="83"/>
        <v>1.17E-2</v>
      </c>
      <c r="AA226" s="62">
        <f t="shared" si="84"/>
        <v>2.2905000000000002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85"/>
        <v>54-09</v>
      </c>
      <c r="AE226" s="85" t="str">
        <f t="shared" si="86"/>
        <v>aws s3 cp s3://rtdc.mdm.uploadarchive.raw/RTDC4041/ "%USERPROFILE%\AppData\Local\Temp\OnboardLogs"\RTDC4041\2017-03-09 --exclude "*" --recursive --include "*20170309*" &amp; "%USERPROFILE%\Documents\GitHub\mrs-test-scripts\Headless Mode &amp; Sideloading\WalkAndUnGZ.bat" "%USERPROFILE%\AppData\Local\Temp\OnboardLogs"\RTDC4041\2017-03-09 &amp; aws s3 cp s3://rtdc.mdm.uploadarchive.raw/RTDC4041/ "%USERPROFILE%\AppData\Local\Temp\OnboardLogs"\RTDC4041\2017-03-10 --exclude "*" --recursive --include "*20170310*" &amp; "%USERPROFILE%\Documents\GitHub\mrs-test-scripts\Headless Mode &amp; Sideloading\WalkAndUnGZ.bat" "%USERPROFILE%\AppData\Local\Temp\OnboardLogs"\RTDC4041\2017-03-10</v>
      </c>
      <c r="AF226" s="82" t="str">
        <f t="shared" si="87"/>
        <v>"C:\Program Files (x86)\AstroGrep\AstroGrep.exe" /e /r /s /spath="%USERPROFILE%\AppData\Local\Temp\OnboardLogs" /stypes="app*4041*20170309*" /stext=" 18:.+((SYSTEM_STATE.+slice.+state.+changed )|(ment ac)|(multiple cpu faults)|(system.+state.+changed )|(\[timeout)|(PRM\|1\|D)|(kpr)|(kdp)|(\|lc)|(penalty))"</v>
      </c>
      <c r="AG226" s="1" t="str">
        <f t="shared" si="88"/>
        <v>Other</v>
      </c>
      <c r="AH226" s="86" t="str">
        <f t="shared" si="89"/>
        <v>"%USERPROFILE%\Documents\GitHub\eaglep3\Utilities\RefineRTDCRunTimes.py" --tripid 54-09 --locoid 4041 --swversion DE.1.0.9.0 --startMP 300:23022 --initTime 2017-03-09T11:35:12 --startdatetime 2017-03-09T11:37:19 --delay 1 --endMP 204:117 --enddatetime 2017-03-09T11:43:56 --enforcementcount 0 &gt;&gt;C:\Users\stu\Documents\GitHub\eaglep3-reporting\EC\2017-03-09-refined-times.txt</v>
      </c>
      <c r="AI226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{"issue":{"subject":"","project_id":79,"tracker_id":40,"status_id":1,"priority_id":2,"assigned_to_id":23,"start_date":"2017-03-09","description":"","custom_fields":[{"id":1,"name":"Subdivision","value":"Other"},{"id":4,"name":"Milepost","value":"0.0117"},{"id":17,"name":"Train ID","value":"54-09"},{"id":16,"name":"Locomotive ID","value":"4041"},{"id":130,"name":"Impact","value":""},{"id":150,"name":"Time of Event (Mountain Time)","value":"11:43:56"},{"id":151,"name":"Denver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91"/>
        <v>start /low /b %USERPROFILE%\Documents\GitHub\eaglep3\Utilities\DownloadLogsFromS3.py --loco 4041 --day 2017-03-09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"%USERPROFILE%\AppData\Local\Temp\OnboardLogs"\RTDC4041\*4041*20170309* | grep -SE "(Enforcement Action)|(\[TIMEOUT)|(CHR.+\|PRM\|1\|D.+(SWITCH|SIGNAL).+UNKNOWN)" - &gt;&gt; 2017-03-09-UncaughtWiMAX.txt</v>
      </c>
    </row>
    <row r="227" spans="1:40" x14ac:dyDescent="0.25">
      <c r="A227" s="33" t="s">
        <v>707</v>
      </c>
      <c r="B227" s="7">
        <v>4042</v>
      </c>
      <c r="C227" s="21" t="s">
        <v>242</v>
      </c>
      <c r="D227" s="21" t="s">
        <v>907</v>
      </c>
      <c r="E227" s="13">
        <v>42803.510138888887</v>
      </c>
      <c r="F227" s="13">
        <v>42803.513344907406</v>
      </c>
      <c r="G227" s="7">
        <v>1</v>
      </c>
      <c r="H227" s="21" t="s">
        <v>908</v>
      </c>
      <c r="I227" s="13">
        <v>42803.518275462964</v>
      </c>
      <c r="J227" s="7">
        <v>0</v>
      </c>
      <c r="K227" s="98" t="str">
        <f t="shared" si="74"/>
        <v>4041/4042</v>
      </c>
      <c r="L227" s="21" t="str">
        <f>VLOOKUP(A227,'Trips&amp;Operators'!$C$1:$G$99999,5,FALSE)</f>
        <v>YORK EDGAR</v>
      </c>
      <c r="M227" s="6">
        <f t="shared" si="75"/>
        <v>4.9305555585306138E-3</v>
      </c>
      <c r="N227" s="7">
        <f t="shared" si="76"/>
        <v>7.1000000042840838</v>
      </c>
      <c r="O227" s="7"/>
      <c r="P227" s="7"/>
      <c r="Q227" s="22"/>
      <c r="R227" s="22"/>
      <c r="S227" s="31">
        <f t="shared" si="77"/>
        <v>0</v>
      </c>
      <c r="T227" s="46" t="e">
        <f t="shared" si="78"/>
        <v>#VALUE!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 t="shared" si="79"/>
        <v>https://d0f6bd738d7f1b3e5a7ca70fe4ff75f0.us-east-1.aws.found.io/app/kibana#/discover/Steve-Slow-Train-Analysis-(2080s-and-2083s)?_g=(refreshInterval:(display:Off,pause:!f,section:0,value:0),time:(from:'2017-03-09T11:14:36-0700',mode:absolute,to:'2017-03-09T13:26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27" s="187" t="str">
        <f t="shared" si="80"/>
        <v>Y</v>
      </c>
      <c r="X227" s="187" t="e">
        <f t="shared" si="81"/>
        <v>#VALUE!</v>
      </c>
      <c r="Y227" s="62">
        <f t="shared" si="82"/>
        <v>4.1700000000000001E-2</v>
      </c>
      <c r="Z227" s="62">
        <f t="shared" si="83"/>
        <v>2.4241000000000001</v>
      </c>
      <c r="AA227" s="62">
        <f t="shared" si="84"/>
        <v>2.3824000000000001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85"/>
        <v>55-09</v>
      </c>
      <c r="AE227" s="85" t="str">
        <f t="shared" si="86"/>
        <v>aws s3 cp s3://rtdc.mdm.uploadarchive.raw/RTDC4042/ "%USERPROFILE%\AppData\Local\Temp\OnboardLogs"\RTDC4042\2017-03-09 --exclude "*" --recursive --include "*20170309*" &amp; "%USERPROFILE%\Documents\GitHub\mrs-test-scripts\Headless Mode &amp; Sideloading\WalkAndUnGZ.bat" "%USERPROFILE%\AppData\Local\Temp\OnboardLogs"\RTDC4042\2017-03-09 &amp; aws s3 cp s3://rtdc.mdm.uploadarchive.raw/RTDC4042/ "%USERPROFILE%\AppData\Local\Temp\OnboardLogs"\RTDC4042\2017-03-10 --exclude "*" --recursive --include "*20170310*" &amp; "%USERPROFILE%\Documents\GitHub\mrs-test-scripts\Headless Mode &amp; Sideloading\WalkAndUnGZ.bat" "%USERPROFILE%\AppData\Local\Temp\OnboardLogs"\RTDC4042\2017-03-10</v>
      </c>
      <c r="AF227" s="82" t="str">
        <f t="shared" si="87"/>
        <v>"C:\Program Files (x86)\AstroGrep\AstroGrep.exe" /e /r /s /spath="%USERPROFILE%\AppData\Local\Temp\OnboardLogs" /stypes="app*4042*20170309*" /stext=" 19:.+((SYSTEM_STATE.+slice.+state.+changed )|(ment ac)|(multiple cpu faults)|(system.+state.+changed )|(\[timeout)|(PRM\|1\|D)|(kpr)|(kdp)|(\|lc)|(penalty))"</v>
      </c>
      <c r="AG227" s="1" t="str">
        <f t="shared" si="88"/>
        <v>Other</v>
      </c>
      <c r="AH227" s="86" t="str">
        <f t="shared" si="89"/>
        <v>"%USERPROFILE%\Documents\GitHub\eaglep3\Utilities\RefineRTDCRunTimes.py" --tripid 55-09 --locoid 4042 --swversion DE.1.0.9.0 --startMP 204:417 --initTime 2017-03-09T12:14:36 --startdatetime 2017-03-09T12:19:13 --delay 1 --endMP 300:24241 --enddatetime 2017-03-09T12:26:19 --enforcementcount 0 &gt;&gt;C:\Users\stu\Documents\GitHub\eaglep3-reporting\EC\2017-03-09-refined-times.txt</v>
      </c>
      <c r="AI227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{"issue":{"subject":"","project_id":79,"tracker_id":40,"status_id":1,"priority_id":2,"assigned_to_id":23,"start_date":"2017-03-09","description":"","custom_fields":[{"id":1,"name":"Subdivision","value":"Other"},{"id":4,"name":"Milepost","value":"2.4241"},{"id":17,"name":"Train ID","value":"55-09"},{"id":16,"name":"Locomotive ID","value":"4042"},{"id":130,"name":"Impact","value":""},{"id":150,"name":"Time of Event (Mountain Time)","value":"12:26:19"},{"id":151,"name":"Denver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91"/>
        <v>start /low /b %USERPROFILE%\Documents\GitHub\eaglep3\Utilities\DownloadLogsFromS3.py --loco 4042 --day 2017-03-09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"%USERPROFILE%\AppData\Local\Temp\OnboardLogs"\RTDC4042\*4042*20170309* | grep -SE "(Enforcement Action)|(\[TIMEOUT)|(CHR.+\|PRM\|1\|D.+(SWITCH|SIGNAL).+UNKNOWN)" - &gt;&gt; 2017-03-09-UncaughtWiMAX.txt</v>
      </c>
    </row>
    <row r="228" spans="1:40" x14ac:dyDescent="0.25">
      <c r="A228" s="33" t="s">
        <v>803</v>
      </c>
      <c r="B228" s="7">
        <v>4063</v>
      </c>
      <c r="C228" s="21" t="s">
        <v>242</v>
      </c>
      <c r="D228" s="21" t="s">
        <v>555</v>
      </c>
      <c r="E228" s="13">
        <v>42804.07303240741</v>
      </c>
      <c r="F228" s="13">
        <v>42804.102129629631</v>
      </c>
      <c r="G228" s="7">
        <v>1</v>
      </c>
      <c r="H228" s="21" t="s">
        <v>909</v>
      </c>
      <c r="I228" s="13">
        <v>42804.111585648148</v>
      </c>
      <c r="J228" s="7">
        <v>0</v>
      </c>
      <c r="K228" s="98" t="str">
        <f t="shared" si="74"/>
        <v>4063/4064</v>
      </c>
      <c r="L228" s="21" t="str">
        <f>VLOOKUP(A228,'Trips&amp;Operators'!$C$1:$G$99999,5,FALSE)</f>
        <v>YANG JAN</v>
      </c>
      <c r="M228" s="6">
        <f t="shared" si="75"/>
        <v>9.4560185170848854E-3</v>
      </c>
      <c r="N228" s="7">
        <f t="shared" si="76"/>
        <v>13.616666664602235</v>
      </c>
      <c r="O228" s="7"/>
      <c r="P228" s="7"/>
      <c r="Q228" s="22"/>
      <c r="R228" s="22"/>
      <c r="S228" s="31">
        <f t="shared" si="77"/>
        <v>0</v>
      </c>
      <c r="T228" s="46" t="e">
        <f t="shared" si="78"/>
        <v>#VALUE!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 t="shared" si="79"/>
        <v>https://d0f6bd738d7f1b3e5a7ca70fe4ff75f0.us-east-1.aws.found.io/app/kibana#/discover/Steve-Slow-Train-Analysis-(2080s-and-2083s)?_g=(refreshInterval:(display:Off,pause:!f,section:0,value:0),time:(from:'2017-03-10T00:45:10-0700',mode:absolute,to:'2017-03-10T03:40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8" s="187" t="str">
        <f t="shared" si="80"/>
        <v>N</v>
      </c>
      <c r="X228" s="187" t="e">
        <f t="shared" si="81"/>
        <v>#VALUE!</v>
      </c>
      <c r="Y228" s="62">
        <f t="shared" si="82"/>
        <v>0.1002</v>
      </c>
      <c r="Z228" s="62">
        <f t="shared" si="83"/>
        <v>5.8929</v>
      </c>
      <c r="AA228" s="62">
        <f t="shared" si="84"/>
        <v>5.7927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85"/>
        <v>57-09</v>
      </c>
      <c r="AE228" s="85" t="str">
        <f t="shared" si="86"/>
        <v>aws s3 cp s3://rtdc.mdm.uploadarchive.raw/RTDC4063/ "%USERPROFILE%\AppData\Local\Temp\OnboardLogs"\RTDC4063\2017-03-10 --exclude "*" --recursive --include "*20170310*" &amp; "%USERPROFILE%\Documents\GitHub\mrs-test-scripts\Headless Mode &amp; Sideloading\WalkAndUnGZ.bat" "%USERPROFILE%\AppData\Local\Temp\OnboardLogs"\RTDC4063\2017-03-10 &amp; aws s3 cp s3://rtdc.mdm.uploadarchive.raw/RTDC4063/ "%USERPROFILE%\AppData\Local\Temp\OnboardLogs"\RTDC4063\2017-03-11 --exclude "*" --recursive --include "*20170311*" &amp; "%USERPROFILE%\Documents\GitHub\mrs-test-scripts\Headless Mode &amp; Sideloading\WalkAndUnGZ.bat" "%USERPROFILE%\AppData\Local\Temp\OnboardLogs"\RTDC4063\2017-03-11</v>
      </c>
      <c r="AF228" s="82" t="str">
        <f t="shared" si="87"/>
        <v>"C:\Program Files (x86)\AstroGrep\AstroGrep.exe" /e /r /s /spath="%USERPROFILE%\AppData\Local\Temp\OnboardLogs" /stypes="app*4063*20170310*" /stext=" 09:.+((SYSTEM_STATE.+slice.+state.+changed )|(ment ac)|(multiple cpu faults)|(system.+state.+changed )|(\[timeout)|(PRM\|1\|D)|(kpr)|(kdp)|(\|lc)|(penalty))"</v>
      </c>
      <c r="AG228" s="1" t="str">
        <f t="shared" si="88"/>
        <v>Other</v>
      </c>
      <c r="AH228" s="86" t="str">
        <f t="shared" si="89"/>
        <v>"%USERPROFILE%\Documents\GitHub\eaglep3\Utilities\RefineRTDCRunTimes.py" --tripid 57-09 --locoid 4063 --swversion DE.1.0.9.0 --startMP 204:1002 --initTime 2017-03-10T01:45:10 --startdatetime 2017-03-10T02:27:04 --delay 1 --endMP 300:58929 --enddatetime 2017-03-10T02:40:41 --enforcementcount 0 &gt;&gt;C:\Users\stu\Documents\GitHub\eaglep3-reporting\EC\2017-03-09-refined-times.txt</v>
      </c>
      <c r="AI228" s="108" t="str">
        <f t="shared" si="90"/>
        <v>echo {"issue":{"subject":"","project_id":79,"tracker_id":40,"status_id":1,"priority_id":2,"assigned_to_id":23,"start_date":"2017-03-10","description":"","custom_fields":[{"id":1,"name":"Subdivision","value":"Other"},{"id":4,"name":"Milepost","value":"5.8929"},{"id":17,"name":"Train ID","value":"57-09"},{"id":16,"name":"Locomotive ID","value":"4063"},{"id":130,"name":"Impact","value":""},{"id":150,"name":"Time of Event (Mountain Time)","value":"02:40:41"},{"id":151,"name":"Denver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91"/>
        <v>start /low /b %USERPROFILE%\Documents\GitHub\eaglep3\Utilities\DownloadLogsFromS3.py --loco 4063 --day 2017-03-10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"%USERPROFILE%\AppData\Local\Temp\OnboardLogs"\RTDC4063\*4063*20170310* | grep -SE "(Enforcement Action)|(\[TIMEOUT)|(CHR.+\|PRM\|1\|D.+(SWITCH|SIGNAL).+UNKNOWN)" - &gt;&gt; 2017-03-09-UncaughtWiMAX.txt</v>
      </c>
    </row>
    <row r="229" spans="1:40" x14ac:dyDescent="0.25">
      <c r="A229" s="33" t="s">
        <v>803</v>
      </c>
      <c r="B229" s="7">
        <v>4063</v>
      </c>
      <c r="C229" s="21" t="s">
        <v>242</v>
      </c>
      <c r="D229" s="21" t="s">
        <v>910</v>
      </c>
      <c r="E229" s="13">
        <v>42804.100474537037</v>
      </c>
      <c r="F229" s="13">
        <v>42804.102129629631</v>
      </c>
      <c r="G229" s="7">
        <v>1</v>
      </c>
      <c r="H229" s="21" t="s">
        <v>911</v>
      </c>
      <c r="I229" s="13">
        <v>42804.111585648148</v>
      </c>
      <c r="J229" s="7">
        <v>0</v>
      </c>
      <c r="K229" s="98" t="str">
        <f t="shared" si="74"/>
        <v>4063/4064</v>
      </c>
      <c r="L229" s="21" t="str">
        <f>VLOOKUP(A229,'Trips&amp;Operators'!$C$1:$G$99999,5,FALSE)</f>
        <v>YANG JAN</v>
      </c>
      <c r="M229" s="6">
        <f t="shared" si="75"/>
        <v>9.4560185170848854E-3</v>
      </c>
      <c r="N229" s="7">
        <f t="shared" si="76"/>
        <v>13.616666664602235</v>
      </c>
      <c r="O229" s="7"/>
      <c r="P229" s="7"/>
      <c r="Q229" s="22"/>
      <c r="R229" s="22"/>
      <c r="S229" s="31">
        <f t="shared" si="77"/>
        <v>0</v>
      </c>
      <c r="T229" s="46" t="e">
        <f t="shared" si="78"/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79"/>
        <v>https://d0f6bd738d7f1b3e5a7ca70fe4ff75f0.us-east-1.aws.found.io/app/kibana#/discover/Steve-Slow-Train-Analysis-(2080s-and-2083s)?_g=(refreshInterval:(display:Off,pause:!f,section:0,value:0),time:(from:'2017-03-10T01:24:41-0700',mode:absolute,to:'2017-03-10T03:40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9" s="187" t="str">
        <f t="shared" si="80"/>
        <v>N</v>
      </c>
      <c r="X229" s="187" t="e">
        <f t="shared" si="81"/>
        <v>#VALUE!</v>
      </c>
      <c r="Y229" s="62">
        <f t="shared" si="82"/>
        <v>0.1021</v>
      </c>
      <c r="Z229" s="62">
        <f t="shared" si="83"/>
        <v>5.8928000000000003</v>
      </c>
      <c r="AA229" s="62">
        <f t="shared" si="84"/>
        <v>5.7907000000000002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85"/>
        <v>57-09</v>
      </c>
      <c r="AE229" s="85" t="str">
        <f t="shared" si="86"/>
        <v>aws s3 cp s3://rtdc.mdm.uploadarchive.raw/RTDC4063/ "%USERPROFILE%\AppData\Local\Temp\OnboardLogs"\RTDC4063\2017-03-10 --exclude "*" --recursive --include "*20170310*" &amp; "%USERPROFILE%\Documents\GitHub\mrs-test-scripts\Headless Mode &amp; Sideloading\WalkAndUnGZ.bat" "%USERPROFILE%\AppData\Local\Temp\OnboardLogs"\RTDC4063\2017-03-10 &amp; aws s3 cp s3://rtdc.mdm.uploadarchive.raw/RTDC4063/ "%USERPROFILE%\AppData\Local\Temp\OnboardLogs"\RTDC4063\2017-03-11 --exclude "*" --recursive --include "*20170311*" &amp; "%USERPROFILE%\Documents\GitHub\mrs-test-scripts\Headless Mode &amp; Sideloading\WalkAndUnGZ.bat" "%USERPROFILE%\AppData\Local\Temp\OnboardLogs"\RTDC4063\2017-03-11</v>
      </c>
      <c r="AF229" s="82" t="str">
        <f t="shared" si="87"/>
        <v>"C:\Program Files (x86)\AstroGrep\AstroGrep.exe" /e /r /s /spath="%USERPROFILE%\AppData\Local\Temp\OnboardLogs" /stypes="app*4063*20170310*" /stext=" 09:.+((SYSTEM_STATE.+slice.+state.+changed )|(ment ac)|(multiple cpu faults)|(system.+state.+changed )|(\[timeout)|(PRM\|1\|D)|(kpr)|(kdp)|(\|lc)|(penalty))"</v>
      </c>
      <c r="AG229" s="1" t="str">
        <f t="shared" si="88"/>
        <v>Other</v>
      </c>
      <c r="AH229" s="86" t="str">
        <f t="shared" si="89"/>
        <v>"%USERPROFILE%\Documents\GitHub\eaglep3\Utilities\RefineRTDCRunTimes.py" --tripid 57-09 --locoid 4063 --swversion DE.1.0.9.0 --startMP 204:1021 --initTime 2017-03-10T02:24:41 --startdatetime 2017-03-10T02:27:04 --delay 1 --endMP 300:58928 --enddatetime 2017-03-10T02:40:41 --enforcementcount 0 &gt;&gt;C:\Users\stu\Documents\GitHub\eaglep3-reporting\EC\2017-03-09-refined-times.txt</v>
      </c>
      <c r="AI229" s="108" t="str">
        <f t="shared" si="90"/>
        <v>echo {"issue":{"subject":"","project_id":79,"tracker_id":40,"status_id":1,"priority_id":2,"assigned_to_id":23,"start_date":"2017-03-10","description":"","custom_fields":[{"id":1,"name":"Subdivision","value":"Other"},{"id":4,"name":"Milepost","value":"5.8928"},{"id":17,"name":"Train ID","value":"57-09"},{"id":16,"name":"Locomotive ID","value":"4063"},{"id":130,"name":"Impact","value":""},{"id":150,"name":"Time of Event (Mountain Time)","value":"02:40:41"},{"id":151,"name":"Denver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91"/>
        <v>start /low /b %USERPROFILE%\Documents\GitHub\eaglep3\Utilities\DownloadLogsFromS3.py --loco 4063 --day 2017-03-10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"%USERPROFILE%\AppData\Local\Temp\OnboardLogs"\RTDC4063\*4063*20170310* | grep -SE "(Enforcement Action)|(\[TIMEOUT)|(CHR.+\|PRM\|1\|D.+(SWITCH|SIGNAL).+UNKNOWN)" - &gt;&gt; 2017-03-09-UncaughtWiMAX.txt</v>
      </c>
    </row>
    <row r="230" spans="1:40" x14ac:dyDescent="0.25">
      <c r="A230" s="33" t="s">
        <v>803</v>
      </c>
      <c r="B230" s="7">
        <v>4063</v>
      </c>
      <c r="C230" s="21" t="s">
        <v>242</v>
      </c>
      <c r="D230" s="21" t="s">
        <v>912</v>
      </c>
      <c r="E230" s="13">
        <v>42803.954664351855</v>
      </c>
      <c r="F230" s="13">
        <v>42803.962870370371</v>
      </c>
      <c r="G230" s="7">
        <v>1</v>
      </c>
      <c r="H230" s="21" t="s">
        <v>248</v>
      </c>
      <c r="I230" s="13">
        <v>42803.991678240738</v>
      </c>
      <c r="J230" s="7">
        <v>0</v>
      </c>
      <c r="K230" s="98" t="str">
        <f t="shared" si="74"/>
        <v>4063/4064</v>
      </c>
      <c r="L230" s="21" t="str">
        <f>VLOOKUP(A230,'Trips&amp;Operators'!$C$1:$G$99999,5,FALSE)</f>
        <v>YANG JAN</v>
      </c>
      <c r="M230" s="6">
        <f t="shared" si="75"/>
        <v>2.880787036701804E-2</v>
      </c>
      <c r="N230" s="7">
        <f t="shared" si="76"/>
        <v>41.483333328505978</v>
      </c>
      <c r="O230" s="7"/>
      <c r="P230" s="7"/>
      <c r="Q230" s="22"/>
      <c r="R230" s="22"/>
      <c r="S230" s="31">
        <f t="shared" si="77"/>
        <v>0</v>
      </c>
      <c r="T230" s="46" t="e">
        <f t="shared" si="78"/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79"/>
        <v>https://d0f6bd738d7f1b3e5a7ca70fe4ff75f0.us-east-1.aws.found.io/app/kibana#/discover/Steve-Slow-Train-Analysis-(2080s-and-2083s)?_g=(refreshInterval:(display:Off,pause:!f,section:0,value:0),time:(from:'2017-03-09T21:54:43-0700',mode:absolute,to:'2017-03-10T00:48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0" s="187" t="str">
        <f t="shared" si="80"/>
        <v>N</v>
      </c>
      <c r="X230" s="187" t="e">
        <f t="shared" si="81"/>
        <v>#VALUE!</v>
      </c>
      <c r="Y230" s="62">
        <f t="shared" si="82"/>
        <v>0.1477</v>
      </c>
      <c r="Z230" s="62">
        <f t="shared" si="83"/>
        <v>23.329699999999999</v>
      </c>
      <c r="AA230" s="62">
        <f t="shared" si="84"/>
        <v>23.181999999999999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85"/>
        <v>57-09</v>
      </c>
      <c r="AE230" s="85" t="str">
        <f t="shared" si="86"/>
        <v>aws s3 cp s3://rtdc.mdm.uploadarchive.raw/RTDC4063/ "%USERPROFILE%\AppData\Local\Temp\OnboardLogs"\RTDC4063\2017-03-09 --exclude "*" --recursive --include "*20170309*" &amp; "%USERPROFILE%\Documents\GitHub\mrs-test-scripts\Headless Mode &amp; Sideloading\WalkAndUnGZ.bat" "%USERPROFILE%\AppData\Local\Temp\OnboardLogs"\RTDC4063\2017-03-09 &amp; aws s3 cp s3://rtdc.mdm.uploadarchive.raw/RTDC4063/ "%USERPROFILE%\AppData\Local\Temp\OnboardLogs"\RTDC4063\2017-03-10 --exclude "*" --recursive --include "*20170310*" &amp; "%USERPROFILE%\Documents\GitHub\mrs-test-scripts\Headless Mode &amp; Sideloading\WalkAndUnGZ.bat" "%USERPROFILE%\AppData\Local\Temp\OnboardLogs"\RTDC4063\2017-03-10</v>
      </c>
      <c r="AF230" s="82" t="str">
        <f t="shared" si="87"/>
        <v>"C:\Program Files (x86)\AstroGrep\AstroGrep.exe" /e /r /s /spath="%USERPROFILE%\AppData\Local\Temp\OnboardLogs" /stypes="app*4063*20170310*" /stext=" 06:.+((SYSTEM_STATE.+slice.+state.+changed )|(ment ac)|(multiple cpu faults)|(system.+state.+changed )|(\[timeout)|(PRM\|1\|D)|(kpr)|(kdp)|(\|lc)|(penalty))"</v>
      </c>
      <c r="AG230" s="1" t="str">
        <f t="shared" si="88"/>
        <v>Other</v>
      </c>
      <c r="AH230" s="86" t="str">
        <f t="shared" si="89"/>
        <v>"%USERPROFILE%\Documents\GitHub\eaglep3\Utilities\RefineRTDCRunTimes.py" --tripid 57-09 --locoid 4063 --swversion DE.1.0.9.0 --startMP 204:1477 --initTime 2017-03-09T22:54:43 --startdatetime 2017-03-09T23:06:32 --delay 1 --endMP 204:233297 --enddatetime 2017-03-09T23:48:01 --enforcementcount 0 &gt;&gt;C:\Users\stu\Documents\GitHub\eaglep3-reporting\EC\2017-03-09-refined-times.txt</v>
      </c>
      <c r="AI230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{"issue":{"subject":"","project_id":79,"tracker_id":40,"status_id":1,"priority_id":2,"assigned_to_id":23,"start_date":"2017-03-09","description":"","custom_fields":[{"id":1,"name":"Subdivision","value":"Other"},{"id":4,"name":"Milepost","value":"23.3297"},{"id":17,"name":"Train ID","value":"57-09"},{"id":16,"name":"Locomotive ID","value":"4063"},{"id":130,"name":"Impact","value":""},{"id":150,"name":"Time of Event (Mountain Time)","value":"23:48:01"},{"id":151,"name":"Denver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91"/>
        <v>start /low /b %USERPROFILE%\Documents\GitHub\eaglep3\Utilities\DownloadLogsFromS3.py --loco 4063 --day 2017-03-09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"%USERPROFILE%\AppData\Local\Temp\OnboardLogs"\RTDC4063\*4063*20170310* | grep -SE "(Enforcement Action)|(\[TIMEOUT)|(CHR.+\|PRM\|1\|D.+(SWITCH|SIGNAL).+UNKNOWN)" - &gt;&gt; 2017-03-09-UncaughtWiMAX.txt</v>
      </c>
    </row>
    <row r="231" spans="1:40" x14ac:dyDescent="0.25">
      <c r="A231" s="33" t="s">
        <v>803</v>
      </c>
      <c r="B231" s="7">
        <v>4063</v>
      </c>
      <c r="C231" s="21" t="s">
        <v>242</v>
      </c>
      <c r="D231" s="21" t="s">
        <v>217</v>
      </c>
      <c r="E231" s="13">
        <v>42804.042453703703</v>
      </c>
      <c r="F231" s="13">
        <v>42804.075162037036</v>
      </c>
      <c r="G231" s="7">
        <v>1</v>
      </c>
      <c r="H231" s="21" t="s">
        <v>913</v>
      </c>
      <c r="I231" s="13">
        <v>42804.084513888891</v>
      </c>
      <c r="J231" s="7">
        <v>0</v>
      </c>
      <c r="K231" s="98" t="str">
        <f t="shared" si="74"/>
        <v>4063/4064</v>
      </c>
      <c r="L231" s="21" t="str">
        <f>VLOOKUP(A231,'Trips&amp;Operators'!$C$1:$G$99999,5,FALSE)</f>
        <v>YANG JAN</v>
      </c>
      <c r="M231" s="6">
        <f t="shared" si="75"/>
        <v>9.3518518551718444E-3</v>
      </c>
      <c r="N231" s="7">
        <f t="shared" si="76"/>
        <v>13.466666671447456</v>
      </c>
      <c r="O231" s="7"/>
      <c r="P231" s="7"/>
      <c r="Q231" s="22"/>
      <c r="R231" s="22"/>
      <c r="S231" s="31">
        <f t="shared" si="77"/>
        <v>0</v>
      </c>
      <c r="T231" s="46" t="e">
        <f t="shared" si="78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79"/>
        <v>https://d0f6bd738d7f1b3e5a7ca70fe4ff75f0.us-east-1.aws.found.io/app/kibana#/discover/Steve-Slow-Train-Analysis-(2080s-and-2083s)?_g=(refreshInterval:(display:Off,pause:!f,section:0,value:0),time:(from:'2017-03-10T00:01:08-0700',mode:absolute,to:'2017-03-10T03:01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31" s="187" t="str">
        <f t="shared" si="80"/>
        <v>N</v>
      </c>
      <c r="X231" s="187" t="e">
        <f t="shared" si="81"/>
        <v>#VALUE!</v>
      </c>
      <c r="Y231" s="62">
        <f t="shared" si="82"/>
        <v>4.5699999999999998E-2</v>
      </c>
      <c r="Z231" s="62">
        <f t="shared" si="83"/>
        <v>5.8917999999999999</v>
      </c>
      <c r="AA231" s="62">
        <f t="shared" si="84"/>
        <v>5.8460999999999999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85"/>
        <v>57-09</v>
      </c>
      <c r="AE231" s="85" t="str">
        <f t="shared" si="86"/>
        <v>aws s3 cp s3://rtdc.mdm.uploadarchive.raw/RTDC4063/ "%USERPROFILE%\AppData\Local\Temp\OnboardLogs"\RTDC4063\2017-03-10 --exclude "*" --recursive --include "*20170310*" &amp; "%USERPROFILE%\Documents\GitHub\mrs-test-scripts\Headless Mode &amp; Sideloading\WalkAndUnGZ.bat" "%USERPROFILE%\AppData\Local\Temp\OnboardLogs"\RTDC4063\2017-03-10 &amp; aws s3 cp s3://rtdc.mdm.uploadarchive.raw/RTDC4063/ "%USERPROFILE%\AppData\Local\Temp\OnboardLogs"\RTDC4063\2017-03-11 --exclude "*" --recursive --include "*20170311*" &amp; "%USERPROFILE%\Documents\GitHub\mrs-test-scripts\Headless Mode &amp; Sideloading\WalkAndUnGZ.bat" "%USERPROFILE%\AppData\Local\Temp\OnboardLogs"\RTDC4063\2017-03-11</v>
      </c>
      <c r="AF231" s="82" t="str">
        <f t="shared" si="87"/>
        <v>"C:\Program Files (x86)\AstroGrep\AstroGrep.exe" /e /r /s /spath="%USERPROFILE%\AppData\Local\Temp\OnboardLogs" /stypes="app*4063*20170310*" /stext=" 09:.+((SYSTEM_STATE.+slice.+state.+changed )|(ment ac)|(multiple cpu faults)|(system.+state.+changed )|(\[timeout)|(PRM\|1\|D)|(kpr)|(kdp)|(\|lc)|(penalty))"</v>
      </c>
      <c r="AG231" s="1" t="str">
        <f t="shared" si="88"/>
        <v>Other</v>
      </c>
      <c r="AH231" s="86" t="str">
        <f t="shared" si="89"/>
        <v>"%USERPROFILE%\Documents\GitHub\eaglep3\Utilities\RefineRTDCRunTimes.py" --tripid 57-09 --locoid 4063 --swversion DE.1.0.9.0 --startMP 204:457 --initTime 2017-03-10T01:01:08 --startdatetime 2017-03-10T01:48:14 --delay 1 --endMP 300:58918 --enddatetime 2017-03-10T02:01:42 --enforcementcount 0 &gt;&gt;C:\Users\stu\Documents\GitHub\eaglep3-reporting\EC\2017-03-09-refined-times.txt</v>
      </c>
      <c r="AI231" s="108" t="str">
        <f t="shared" si="90"/>
        <v>echo {"issue":{"subject":"","project_id":79,"tracker_id":40,"status_id":1,"priority_id":2,"assigned_to_id":23,"start_date":"2017-03-10","description":"","custom_fields":[{"id":1,"name":"Subdivision","value":"Other"},{"id":4,"name":"Milepost","value":"5.8918"},{"id":17,"name":"Train ID","value":"57-09"},{"id":16,"name":"Locomotive ID","value":"4063"},{"id":130,"name":"Impact","value":""},{"id":150,"name":"Time of Event (Mountain Time)","value":"02:01:42"},{"id":151,"name":"Denver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91"/>
        <v>start /low /b %USERPROFILE%\Documents\GitHub\eaglep3\Utilities\DownloadLogsFromS3.py --loco 4063 --day 2017-03-10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"%USERPROFILE%\AppData\Local\Temp\OnboardLogs"\RTDC4063\*4063*20170310* | grep -SE "(Enforcement Action)|(\[TIMEOUT)|(CHR.+\|PRM\|1\|D.+(SWITCH|SIGNAL).+UNKNOWN)" - &gt;&gt; 2017-03-09-UncaughtWiMAX.txt</v>
      </c>
    </row>
    <row r="232" spans="1:40" x14ac:dyDescent="0.25">
      <c r="A232" s="33" t="s">
        <v>801</v>
      </c>
      <c r="B232" s="7">
        <v>4064</v>
      </c>
      <c r="C232" s="21" t="s">
        <v>242</v>
      </c>
      <c r="D232" s="21" t="s">
        <v>437</v>
      </c>
      <c r="E232" s="13">
        <v>42803.996655092589</v>
      </c>
      <c r="F232" s="13">
        <v>42804.000347222223</v>
      </c>
      <c r="G232" s="7">
        <v>2</v>
      </c>
      <c r="H232" s="21" t="s">
        <v>914</v>
      </c>
      <c r="I232" s="13">
        <v>42804.036805555559</v>
      </c>
      <c r="J232" s="7">
        <v>0</v>
      </c>
      <c r="K232" s="98" t="str">
        <f t="shared" si="74"/>
        <v>4063/4064</v>
      </c>
      <c r="L232" s="21" t="str">
        <f>VLOOKUP(A232,'Trips&amp;Operators'!$C$1:$G$99999,5,FALSE)</f>
        <v>YANG JAN</v>
      </c>
      <c r="M232" s="6">
        <f t="shared" si="75"/>
        <v>3.6458333335758653E-2</v>
      </c>
      <c r="N232" s="7">
        <f t="shared" si="76"/>
        <v>52.50000000349246</v>
      </c>
      <c r="O232" s="7"/>
      <c r="P232" s="7"/>
      <c r="Q232" s="22"/>
      <c r="R232" s="22"/>
      <c r="S232" s="31">
        <f t="shared" si="77"/>
        <v>0</v>
      </c>
      <c r="T232" s="46" t="e">
        <f t="shared" si="78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79"/>
        <v>https://d0f6bd738d7f1b3e5a7ca70fe4ff75f0.us-east-1.aws.found.io/app/kibana#/discover/Steve-Slow-Train-Analysis-(2080s-and-2083s)?_g=(refreshInterval:(display:Off,pause:!f,section:0,value:0),time:(from:'2017-03-09T22:55:11-0700',mode:absolute,to:'2017-03-10T01:53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2" s="187" t="str">
        <f t="shared" si="80"/>
        <v>N</v>
      </c>
      <c r="X232" s="187" t="e">
        <f t="shared" si="81"/>
        <v>#VALUE!</v>
      </c>
      <c r="Y232" s="62">
        <f t="shared" si="82"/>
        <v>23.297999999999998</v>
      </c>
      <c r="Z232" s="62">
        <f t="shared" si="83"/>
        <v>1.38E-2</v>
      </c>
      <c r="AA232" s="62">
        <f t="shared" si="84"/>
        <v>23.284199999999998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85"/>
        <v>58-09</v>
      </c>
      <c r="AE232" s="85" t="str">
        <f t="shared" si="86"/>
        <v>aws s3 cp s3://rtdc.mdm.uploadarchive.raw/RTDC4064/ "%USERPROFILE%\AppData\Local\Temp\OnboardLogs"\RTDC4064\2017-03-10 --exclude "*" --recursive --include "*20170310*" &amp; "%USERPROFILE%\Documents\GitHub\mrs-test-scripts\Headless Mode &amp; Sideloading\WalkAndUnGZ.bat" "%USERPROFILE%\AppData\Local\Temp\OnboardLogs"\RTDC4064\2017-03-10 &amp; aws s3 cp s3://rtdc.mdm.uploadarchive.raw/RTDC4064/ "%USERPROFILE%\AppData\Local\Temp\OnboardLogs"\RTDC4064\2017-03-11 --exclude "*" --recursive --include "*20170311*" &amp; "%USERPROFILE%\Documents\GitHub\mrs-test-scripts\Headless Mode &amp; Sideloading\WalkAndUnGZ.bat" "%USERPROFILE%\AppData\Local\Temp\OnboardLogs"\RTDC4064\2017-03-11</v>
      </c>
      <c r="AF232" s="82" t="str">
        <f t="shared" si="87"/>
        <v>"C:\Program Files (x86)\AstroGrep\AstroGrep.exe" /e /r /s /spath="%USERPROFILE%\AppData\Local\Temp\OnboardLogs" /stypes="app*4064*20170310*" /stext=" 07:.+((SYSTEM_STATE.+slice.+state.+changed )|(ment ac)|(multiple cpu faults)|(system.+state.+changed )|(\[timeout)|(PRM\|1\|D)|(kpr)|(kdp)|(\|lc)|(penalty))"</v>
      </c>
      <c r="AG232" s="1" t="str">
        <f t="shared" si="88"/>
        <v>Other</v>
      </c>
      <c r="AH232" s="86" t="str">
        <f t="shared" si="89"/>
        <v>"%USERPROFILE%\Documents\GitHub\eaglep3\Utilities\RefineRTDCRunTimes.py" --tripid 58-09 --locoid 4064 --swversion DE.1.0.9.0 --startMP 204:232980 --initTime 2017-03-09T23:55:11 --startdatetime 2017-03-10T00:00:30 --delay 2 --endMP 204:138 --enddatetime 2017-03-10T00:53:00 --enforcementcount 0 &gt;&gt;C:\Users\stu\Documents\GitHub\eaglep3-reporting\EC\2017-03-09-refined-times.txt</v>
      </c>
      <c r="AI232" s="108" t="str">
        <f t="shared" si="90"/>
        <v>echo {"issue":{"subject":"","project_id":79,"tracker_id":40,"status_id":1,"priority_id":2,"assigned_to_id":23,"start_date":"2017-03-10","description":"","custom_fields":[{"id":1,"name":"Subdivision","value":"Other"},{"id":4,"name":"Milepost","value":"0.0138"},{"id":17,"name":"Train ID","value":"58-09"},{"id":16,"name":"Locomotive ID","value":"4064"},{"id":130,"name":"Impact","value":""},{"id":150,"name":"Time of Event (Mountain Time)","value":"00:53:00"},{"id":151,"name":"Denver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91"/>
        <v>start /low /b %USERPROFILE%\Documents\GitHub\eaglep3\Utilities\DownloadLogsFromS3.py --loco 4064 --day 2017-03-10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"%USERPROFILE%\AppData\Local\Temp\OnboardLogs"\RTDC4064\*4064*20170310* | grep -SE "(Enforcement Action)|(\[TIMEOUT)|(CHR.+\|PRM\|1\|D.+(SWITCH|SIGNAL).+UNKNOWN)" - &gt;&gt; 2017-03-09-UncaughtWiMAX.txt</v>
      </c>
    </row>
    <row r="233" spans="1:40" x14ac:dyDescent="0.25">
      <c r="A233" s="33" t="s">
        <v>801</v>
      </c>
      <c r="B233" s="7">
        <v>4064</v>
      </c>
      <c r="C233" s="21" t="s">
        <v>242</v>
      </c>
      <c r="D233" s="21" t="s">
        <v>915</v>
      </c>
      <c r="E233" s="13">
        <v>42803.935185185182</v>
      </c>
      <c r="F233" s="13">
        <v>42803.937118055554</v>
      </c>
      <c r="G233" s="7">
        <v>2</v>
      </c>
      <c r="H233" s="21" t="s">
        <v>916</v>
      </c>
      <c r="I233" s="13">
        <v>42803.946828703702</v>
      </c>
      <c r="J233" s="7">
        <v>0</v>
      </c>
      <c r="K233" s="98" t="str">
        <f t="shared" si="74"/>
        <v>4063/4064</v>
      </c>
      <c r="L233" s="21" t="str">
        <f>VLOOKUP(A233,'Trips&amp;Operators'!$C$1:$G$99999,5,FALSE)</f>
        <v>YANG JAN</v>
      </c>
      <c r="M233" s="6">
        <f t="shared" si="75"/>
        <v>9.710648148029577E-3</v>
      </c>
      <c r="N233" s="7">
        <f t="shared" si="76"/>
        <v>13.983333333162591</v>
      </c>
      <c r="O233" s="7"/>
      <c r="P233" s="7"/>
      <c r="Q233" s="22"/>
      <c r="R233" s="22"/>
      <c r="S233" s="31">
        <f t="shared" si="77"/>
        <v>0</v>
      </c>
      <c r="T233" s="46" t="e">
        <f t="shared" si="78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79"/>
        <v>https://d0f6bd738d7f1b3e5a7ca70fe4ff75f0.us-east-1.aws.found.io/app/kibana#/discover/Steve-Slow-Train-Analysis-(2080s-and-2083s)?_g=(refreshInterval:(display:Off,pause:!f,section:0,value:0),time:(from:'2017-03-09T21:26:40-0700',mode:absolute,to:'2017-03-09T23:43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3" s="187" t="str">
        <f t="shared" si="80"/>
        <v>Y</v>
      </c>
      <c r="X233" s="187" t="e">
        <f t="shared" si="81"/>
        <v>#VALUE!</v>
      </c>
      <c r="Y233" s="62">
        <f t="shared" si="82"/>
        <v>2.3153999999999999</v>
      </c>
      <c r="Z233" s="62">
        <f t="shared" si="83"/>
        <v>0.11650000000000001</v>
      </c>
      <c r="AA233" s="62">
        <f t="shared" si="84"/>
        <v>2.1989000000000001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85"/>
        <v>58-09</v>
      </c>
      <c r="AE233" s="85" t="str">
        <f t="shared" si="86"/>
        <v>aws s3 cp s3://rtdc.mdm.uploadarchive.raw/RTDC4064/ "%USERPROFILE%\AppData\Local\Temp\OnboardLogs"\RTDC4064\2017-03-09 --exclude "*" --recursive --include "*20170309*" &amp; "%USERPROFILE%\Documents\GitHub\mrs-test-scripts\Headless Mode &amp; Sideloading\WalkAndUnGZ.bat" "%USERPROFILE%\AppData\Local\Temp\OnboardLogs"\RTDC4064\2017-03-09 &amp; aws s3 cp s3://rtdc.mdm.uploadarchive.raw/RTDC4064/ "%USERPROFILE%\AppData\Local\Temp\OnboardLogs"\RTDC4064\2017-03-10 --exclude "*" --recursive --include "*20170310*" &amp; "%USERPROFILE%\Documents\GitHub\mrs-test-scripts\Headless Mode &amp; Sideloading\WalkAndUnGZ.bat" "%USERPROFILE%\AppData\Local\Temp\OnboardLogs"\RTDC4064\2017-03-10</v>
      </c>
      <c r="AF233" s="82" t="str">
        <f t="shared" si="87"/>
        <v>"C:\Program Files (x86)\AstroGrep\AstroGrep.exe" /e /r /s /spath="%USERPROFILE%\AppData\Local\Temp\OnboardLogs" /stypes="app*4064*20170310*" /stext=" 05:.+((SYSTEM_STATE.+slice.+state.+changed )|(ment ac)|(multiple cpu faults)|(system.+state.+changed )|(\[timeout)|(PRM\|1\|D)|(kpr)|(kdp)|(\|lc)|(penalty))"</v>
      </c>
      <c r="AG233" s="1" t="str">
        <f t="shared" si="88"/>
        <v>Other</v>
      </c>
      <c r="AH233" s="86" t="str">
        <f t="shared" si="89"/>
        <v>"%USERPROFILE%\Documents\GitHub\eaglep3\Utilities\RefineRTDCRunTimes.py" --tripid 58-09 --locoid 4064 --swversion DE.1.0.9.0 --startMP 300:23154 --initTime 2017-03-09T22:26:40 --startdatetime 2017-03-09T22:29:27 --delay 2 --endMP 204:1165 --enddatetime 2017-03-09T22:43:26 --enforcementcount 0 &gt;&gt;C:\Users\stu\Documents\GitHub\eaglep3-reporting\EC\2017-03-09-refined-times.txt</v>
      </c>
      <c r="AI233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{"issue":{"subject":"","project_id":79,"tracker_id":40,"status_id":1,"priority_id":2,"assigned_to_id":23,"start_date":"2017-03-09","description":"","custom_fields":[{"id":1,"name":"Subdivision","value":"Other"},{"id":4,"name":"Milepost","value":"0.1165"},{"id":17,"name":"Train ID","value":"58-09"},{"id":16,"name":"Locomotive ID","value":"4064"},{"id":130,"name":"Impact","value":""},{"id":150,"name":"Time of Event (Mountain Time)","value":"22:43:26"},{"id":151,"name":"Denver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91"/>
        <v>start /low /b %USERPROFILE%\Documents\GitHub\eaglep3\Utilities\DownloadLogsFromS3.py --loco 4064 --day 2017-03-09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"%USERPROFILE%\AppData\Local\Temp\OnboardLogs"\RTDC4064\*4064*20170310* | grep -SE "(Enforcement Action)|(\[TIMEOUT)|(CHR.+\|PRM\|1\|D.+(SWITCH|SIGNAL).+UNKNOWN)" - &gt;&gt; 2017-03-09-UncaughtWiMAX.txt</v>
      </c>
    </row>
    <row r="234" spans="1:40" x14ac:dyDescent="0.25">
      <c r="A234" s="33" t="s">
        <v>801</v>
      </c>
      <c r="B234" s="7">
        <v>4064</v>
      </c>
      <c r="C234" s="21" t="s">
        <v>242</v>
      </c>
      <c r="D234" s="21" t="s">
        <v>470</v>
      </c>
      <c r="E234" s="13">
        <v>42804.060358796298</v>
      </c>
      <c r="F234" s="13">
        <v>42804.088692129626</v>
      </c>
      <c r="G234" s="7">
        <v>1</v>
      </c>
      <c r="H234" s="21" t="s">
        <v>917</v>
      </c>
      <c r="I234" s="13">
        <v>42804.09814814815</v>
      </c>
      <c r="J234" s="7">
        <v>0</v>
      </c>
      <c r="K234" s="98" t="str">
        <f t="shared" si="74"/>
        <v>4063/4064</v>
      </c>
      <c r="L234" s="21" t="str">
        <f>VLOOKUP(A234,'Trips&amp;Operators'!$C$1:$G$99999,5,FALSE)</f>
        <v>YANG JAN</v>
      </c>
      <c r="M234" s="6">
        <f t="shared" si="75"/>
        <v>9.456018524360843E-3</v>
      </c>
      <c r="N234" s="7">
        <f t="shared" si="76"/>
        <v>13.616666675079614</v>
      </c>
      <c r="O234" s="7"/>
      <c r="P234" s="7"/>
      <c r="Q234" s="22"/>
      <c r="R234" s="22"/>
      <c r="S234" s="31">
        <f t="shared" si="77"/>
        <v>0</v>
      </c>
      <c r="T234" s="46" t="e">
        <f t="shared" si="78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79"/>
        <v>https://d0f6bd738d7f1b3e5a7ca70fe4ff75f0.us-east-1.aws.found.io/app/kibana#/discover/Steve-Slow-Train-Analysis-(2080s-and-2083s)?_g=(refreshInterval:(display:Off,pause:!f,section:0,value:0),time:(from:'2017-03-10T00:26:55-0700',mode:absolute,to:'2017-03-10T03:21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4" s="187" t="str">
        <f t="shared" si="80"/>
        <v>N</v>
      </c>
      <c r="X234" s="187" t="e">
        <f t="shared" si="81"/>
        <v>#VALUE!</v>
      </c>
      <c r="Y234" s="62">
        <f t="shared" si="82"/>
        <v>5.8597999999999999</v>
      </c>
      <c r="Z234" s="62">
        <f t="shared" si="83"/>
        <v>7.1900000000000006E-2</v>
      </c>
      <c r="AA234" s="62">
        <f t="shared" si="84"/>
        <v>5.7878999999999996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85"/>
        <v>58-09</v>
      </c>
      <c r="AE234" s="85" t="str">
        <f t="shared" si="86"/>
        <v>aws s3 cp s3://rtdc.mdm.uploadarchive.raw/RTDC4064/ "%USERPROFILE%\AppData\Local\Temp\OnboardLogs"\RTDC4064\2017-03-10 --exclude "*" --recursive --include "*20170310*" &amp; "%USERPROFILE%\Documents\GitHub\mrs-test-scripts\Headless Mode &amp; Sideloading\WalkAndUnGZ.bat" "%USERPROFILE%\AppData\Local\Temp\OnboardLogs"\RTDC4064\2017-03-10 &amp; aws s3 cp s3://rtdc.mdm.uploadarchive.raw/RTDC4064/ "%USERPROFILE%\AppData\Local\Temp\OnboardLogs"\RTDC4064\2017-03-11 --exclude "*" --recursive --include "*20170311*" &amp; "%USERPROFILE%\Documents\GitHub\mrs-test-scripts\Headless Mode &amp; Sideloading\WalkAndUnGZ.bat" "%USERPROFILE%\AppData\Local\Temp\OnboardLogs"\RTDC4064\2017-03-11</v>
      </c>
      <c r="AF234" s="82" t="str">
        <f t="shared" si="87"/>
        <v>"C:\Program Files (x86)\AstroGrep\AstroGrep.exe" /e /r /s /spath="%USERPROFILE%\AppData\Local\Temp\OnboardLogs" /stypes="app*4064*20170310*" /stext=" 09:.+((SYSTEM_STATE.+slice.+state.+changed )|(ment ac)|(multiple cpu faults)|(system.+state.+changed )|(\[timeout)|(PRM\|1\|D)|(kpr)|(kdp)|(\|lc)|(penalty))"</v>
      </c>
      <c r="AG234" s="1" t="str">
        <f t="shared" si="88"/>
        <v>Other</v>
      </c>
      <c r="AH234" s="86" t="str">
        <f t="shared" si="89"/>
        <v>"%USERPROFILE%\Documents\GitHub\eaglep3\Utilities\RefineRTDCRunTimes.py" --tripid 58-09 --locoid 4064 --swversion DE.1.0.9.0 --startMP 300:58598 --initTime 2017-03-10T01:26:55 --startdatetime 2017-03-10T02:07:43 --delay 1 --endMP 204:719 --enddatetime 2017-03-10T02:21:20 --enforcementcount 0 &gt;&gt;C:\Users\stu\Documents\GitHub\eaglep3-reporting\EC\2017-03-09-refined-times.txt</v>
      </c>
      <c r="AI234" s="108" t="str">
        <f t="shared" si="90"/>
        <v>echo {"issue":{"subject":"","project_id":79,"tracker_id":40,"status_id":1,"priority_id":2,"assigned_to_id":23,"start_date":"2017-03-10","description":"","custom_fields":[{"id":1,"name":"Subdivision","value":"Other"},{"id":4,"name":"Milepost","value":"0.0719"},{"id":17,"name":"Train ID","value":"58-09"},{"id":16,"name":"Locomotive ID","value":"4064"},{"id":130,"name":"Impact","value":""},{"id":150,"name":"Time of Event (Mountain Time)","value":"02:21:20"},{"id":151,"name":"Denver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91"/>
        <v>start /low /b %USERPROFILE%\Documents\GitHub\eaglep3\Utilities\DownloadLogsFromS3.py --loco 4064 --day 2017-03-10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"%USERPROFILE%\AppData\Local\Temp\OnboardLogs"\RTDC4064\*4064*20170310* | grep -SE "(Enforcement Action)|(\[TIMEOUT)|(CHR.+\|PRM\|1\|D.+(SWITCH|SIGNAL).+UNKNOWN)" - &gt;&gt; 2017-03-09-UncaughtWiMAX.txt</v>
      </c>
    </row>
    <row r="235" spans="1:40" x14ac:dyDescent="0.25">
      <c r="A235" s="33" t="s">
        <v>801</v>
      </c>
      <c r="B235" s="7">
        <v>4064</v>
      </c>
      <c r="C235" s="21" t="s">
        <v>242</v>
      </c>
      <c r="D235" s="21" t="s">
        <v>918</v>
      </c>
      <c r="E235" s="13">
        <v>42804.085405092592</v>
      </c>
      <c r="F235" s="13">
        <v>42804.114687499998</v>
      </c>
      <c r="G235" s="7">
        <v>2</v>
      </c>
      <c r="H235" s="21" t="s">
        <v>919</v>
      </c>
      <c r="I235" s="13">
        <v>42804.121990740743</v>
      </c>
      <c r="J235" s="7">
        <v>0</v>
      </c>
      <c r="K235" s="98" t="str">
        <f t="shared" si="74"/>
        <v>4063/4064</v>
      </c>
      <c r="L235" s="21" t="str">
        <f>VLOOKUP(A235,'Trips&amp;Operators'!$C$1:$G$99999,5,FALSE)</f>
        <v>YANG JAN</v>
      </c>
      <c r="M235" s="6">
        <f t="shared" si="75"/>
        <v>7.3032407453865744E-3</v>
      </c>
      <c r="N235" s="7">
        <f t="shared" si="76"/>
        <v>10.516666673356667</v>
      </c>
      <c r="O235" s="7"/>
      <c r="P235" s="7"/>
      <c r="Q235" s="22"/>
      <c r="R235" s="22"/>
      <c r="S235" s="31">
        <f t="shared" si="77"/>
        <v>0</v>
      </c>
      <c r="T235" s="46" t="e">
        <f t="shared" si="78"/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 t="shared" si="79"/>
        <v>https://d0f6bd738d7f1b3e5a7ca70fe4ff75f0.us-east-1.aws.found.io/app/kibana#/discover/Steve-Slow-Train-Analysis-(2080s-and-2083s)?_g=(refreshInterval:(display:Off,pause:!f,section:0,value:0),time:(from:'2017-03-10T01:02:59-0700',mode:absolute,to:'2017-03-10T03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5" s="187" t="str">
        <f t="shared" si="80"/>
        <v>N</v>
      </c>
      <c r="X235" s="187" t="e">
        <f t="shared" si="81"/>
        <v>#VALUE!</v>
      </c>
      <c r="Y235" s="62">
        <f t="shared" si="82"/>
        <v>5.8611000000000004</v>
      </c>
      <c r="Z235" s="62">
        <f t="shared" si="83"/>
        <v>7.3300000000000004E-2</v>
      </c>
      <c r="AA235" s="62">
        <f t="shared" si="84"/>
        <v>5.7878000000000007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85"/>
        <v>58-09</v>
      </c>
      <c r="AE235" s="85" t="str">
        <f t="shared" si="86"/>
        <v>aws s3 cp s3://rtdc.mdm.uploadarchive.raw/RTDC4064/ "%USERPROFILE%\AppData\Local\Temp\OnboardLogs"\RTDC4064\2017-03-10 --exclude "*" --recursive --include "*20170310*" &amp; "%USERPROFILE%\Documents\GitHub\mrs-test-scripts\Headless Mode &amp; Sideloading\WalkAndUnGZ.bat" "%USERPROFILE%\AppData\Local\Temp\OnboardLogs"\RTDC4064\2017-03-10 &amp; aws s3 cp s3://rtdc.mdm.uploadarchive.raw/RTDC4064/ "%USERPROFILE%\AppData\Local\Temp\OnboardLogs"\RTDC4064\2017-03-11 --exclude "*" --recursive --include "*20170311*" &amp; "%USERPROFILE%\Documents\GitHub\mrs-test-scripts\Headless Mode &amp; Sideloading\WalkAndUnGZ.bat" "%USERPROFILE%\AppData\Local\Temp\OnboardLogs"\RTDC4064\2017-03-11</v>
      </c>
      <c r="AF235" s="82" t="str">
        <f t="shared" si="87"/>
        <v>"C:\Program Files (x86)\AstroGrep\AstroGrep.exe" /e /r /s /spath="%USERPROFILE%\AppData\Local\Temp\OnboardLogs" /stypes="app*4064*20170310*" /stext=" 09:.+((SYSTEM_STATE.+slice.+state.+changed )|(ment ac)|(multiple cpu faults)|(system.+state.+changed )|(\[timeout)|(PRM\|1\|D)|(kpr)|(kdp)|(\|lc)|(penalty))"</v>
      </c>
      <c r="AG235" s="1" t="str">
        <f t="shared" si="88"/>
        <v>Other</v>
      </c>
      <c r="AH235" s="86" t="str">
        <f t="shared" si="89"/>
        <v>"%USERPROFILE%\Documents\GitHub\eaglep3\Utilities\RefineRTDCRunTimes.py" --tripid 58-09 --locoid 4064 --swversion DE.1.0.9.0 --startMP 300:58611 --initTime 2017-03-10T02:02:59 --startdatetime 2017-03-10T02:45:09 --delay 2 --endMP 204:733 --enddatetime 2017-03-10T02:55:40 --enforcementcount 0 &gt;&gt;C:\Users\stu\Documents\GitHub\eaglep3-reporting\EC\2017-03-09-refined-times.txt</v>
      </c>
      <c r="AI235" s="108" t="str">
        <f t="shared" si="90"/>
        <v>echo {"issue":{"subject":"","project_id":79,"tracker_id":40,"status_id":1,"priority_id":2,"assigned_to_id":23,"start_date":"2017-03-10","description":"","custom_fields":[{"id":1,"name":"Subdivision","value":"Other"},{"id":4,"name":"Milepost","value":"0.0733"},{"id":17,"name":"Train ID","value":"58-09"},{"id":16,"name":"Locomotive ID","value":"4064"},{"id":130,"name":"Impact","value":""},{"id":150,"name":"Time of Event (Mountain Time)","value":"02:55:40"},{"id":151,"name":"Denver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91"/>
        <v>start /low /b %USERPROFILE%\Documents\GitHub\eaglep3\Utilities\DownloadLogsFromS3.py --loco 4064 --day 2017-03-10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"%USERPROFILE%\AppData\Local\Temp\OnboardLogs"\RTDC4064\*4064*20170310* | grep -SE "(Enforcement Action)|(\[TIMEOUT)|(CHR.+\|PRM\|1\|D.+(SWITCH|SIGNAL).+UNKNOWN)" - &gt;&gt; 2017-03-09-UncaughtWiMAX.txt</v>
      </c>
    </row>
    <row r="236" spans="1:40" x14ac:dyDescent="0.25">
      <c r="A236" s="33" t="s">
        <v>801</v>
      </c>
      <c r="B236" s="7">
        <v>4064</v>
      </c>
      <c r="C236" s="21" t="s">
        <v>242</v>
      </c>
      <c r="D236" s="21" t="s">
        <v>918</v>
      </c>
      <c r="E236" s="13">
        <v>42804.112847222219</v>
      </c>
      <c r="F236" s="13">
        <v>42804.114687499998</v>
      </c>
      <c r="G236" s="7">
        <v>1</v>
      </c>
      <c r="H236" s="21" t="s">
        <v>920</v>
      </c>
      <c r="I236" s="13">
        <v>42804.121990740743</v>
      </c>
      <c r="J236" s="7">
        <v>0</v>
      </c>
      <c r="K236" s="98" t="str">
        <f t="shared" si="74"/>
        <v>4063/4064</v>
      </c>
      <c r="L236" s="21" t="str">
        <f>VLOOKUP(A236,'Trips&amp;Operators'!$C$1:$G$99999,5,FALSE)</f>
        <v>YANG JAN</v>
      </c>
      <c r="M236" s="6">
        <f t="shared" si="75"/>
        <v>7.3032407453865744E-3</v>
      </c>
      <c r="N236" s="7">
        <f t="shared" si="76"/>
        <v>10.516666673356667</v>
      </c>
      <c r="O236" s="7"/>
      <c r="P236" s="7"/>
      <c r="Q236" s="22"/>
      <c r="R236" s="22"/>
      <c r="S236" s="31">
        <f t="shared" si="77"/>
        <v>0</v>
      </c>
      <c r="T236" s="46" t="e">
        <f t="shared" si="78"/>
        <v>#VALUE!</v>
      </c>
      <c r="U236" s="18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6" t="str">
        <f t="shared" si="79"/>
        <v>https://d0f6bd738d7f1b3e5a7ca70fe4ff75f0.us-east-1.aws.found.io/app/kibana#/discover/Steve-Slow-Train-Analysis-(2080s-and-2083s)?_g=(refreshInterval:(display:Off,pause:!f,section:0,value:0),time:(from:'2017-03-10T01:42:30-0700',mode:absolute,to:'2017-03-10T03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36" s="187" t="str">
        <f t="shared" si="80"/>
        <v>Y</v>
      </c>
      <c r="X236" s="187" t="e">
        <f t="shared" si="81"/>
        <v>#VALUE!</v>
      </c>
      <c r="Y236" s="62">
        <f t="shared" si="82"/>
        <v>5.8611000000000004</v>
      </c>
      <c r="Z236" s="62">
        <f t="shared" si="83"/>
        <v>2.8782000000000001</v>
      </c>
      <c r="AA236" s="62">
        <f t="shared" si="84"/>
        <v>2.9829000000000003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85"/>
        <v>58-09</v>
      </c>
      <c r="AE236" s="85" t="str">
        <f t="shared" si="86"/>
        <v>aws s3 cp s3://rtdc.mdm.uploadarchive.raw/RTDC4064/ "%USERPROFILE%\AppData\Local\Temp\OnboardLogs"\RTDC4064\2017-03-10 --exclude "*" --recursive --include "*20170310*" &amp; "%USERPROFILE%\Documents\GitHub\mrs-test-scripts\Headless Mode &amp; Sideloading\WalkAndUnGZ.bat" "%USERPROFILE%\AppData\Local\Temp\OnboardLogs"\RTDC4064\2017-03-10 &amp; aws s3 cp s3://rtdc.mdm.uploadarchive.raw/RTDC4064/ "%USERPROFILE%\AppData\Local\Temp\OnboardLogs"\RTDC4064\2017-03-11 --exclude "*" --recursive --include "*20170311*" &amp; "%USERPROFILE%\Documents\GitHub\mrs-test-scripts\Headless Mode &amp; Sideloading\WalkAndUnGZ.bat" "%USERPROFILE%\AppData\Local\Temp\OnboardLogs"\RTDC4064\2017-03-11</v>
      </c>
      <c r="AF236" s="82" t="str">
        <f t="shared" si="87"/>
        <v>"C:\Program Files (x86)\AstroGrep\AstroGrep.exe" /e /r /s /spath="%USERPROFILE%\AppData\Local\Temp\OnboardLogs" /stypes="app*4064*20170310*" /stext=" 09:.+((SYSTEM_STATE.+slice.+state.+changed )|(ment ac)|(multiple cpu faults)|(system.+state.+changed )|(\[timeout)|(PRM\|1\|D)|(kpr)|(kdp)|(\|lc)|(penalty))"</v>
      </c>
      <c r="AG236" s="1" t="str">
        <f t="shared" si="88"/>
        <v>Other</v>
      </c>
      <c r="AH236" s="86" t="str">
        <f t="shared" si="89"/>
        <v>"%USERPROFILE%\Documents\GitHub\eaglep3\Utilities\RefineRTDCRunTimes.py" --tripid 58-09 --locoid 4064 --swversion DE.1.0.9.0 --startMP 300:58611 --initTime 2017-03-10T02:42:30 --startdatetime 2017-03-10T02:45:09 --delay 1 --endMP 300:28782 --enddatetime 2017-03-10T02:55:40 --enforcementcount 0 &gt;&gt;C:\Users\stu\Documents\GitHub\eaglep3-reporting\EC\2017-03-09-refined-times.txt</v>
      </c>
      <c r="AI236" s="108" t="str">
        <f t="shared" si="90"/>
        <v>echo {"issue":{"subject":"","project_id":79,"tracker_id":40,"status_id":1,"priority_id":2,"assigned_to_id":23,"start_date":"2017-03-10","description":"","custom_fields":[{"id":1,"name":"Subdivision","value":"Other"},{"id":4,"name":"Milepost","value":"2.8782"},{"id":17,"name":"Train ID","value":"58-09"},{"id":16,"name":"Locomotive ID","value":"4064"},{"id":130,"name":"Impact","value":""},{"id":150,"name":"Time of Event (Mountain Time)","value":"02:55:40"},{"id":151,"name":"Denver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91"/>
        <v>start /low /b %USERPROFILE%\Documents\GitHub\eaglep3\Utilities\DownloadLogsFromS3.py --loco 4064 --day 2017-03-10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"%USERPROFILE%\AppData\Local\Temp\OnboardLogs"\RTDC4064\*4064*20170310* | grep -SE "(Enforcement Action)|(\[TIMEOUT)|(CHR.+\|PRM\|1\|D.+(SWITCH|SIGNAL).+UNKNOWN)" - &gt;&gt; 2017-03-09-UncaughtWiMAX.txt</v>
      </c>
    </row>
    <row r="237" spans="1:40" x14ac:dyDescent="0.25">
      <c r="A237" s="33" t="s">
        <v>770</v>
      </c>
      <c r="B237" s="7">
        <v>4042</v>
      </c>
      <c r="C237" s="21" t="s">
        <v>242</v>
      </c>
      <c r="D237" s="21" t="s">
        <v>921</v>
      </c>
      <c r="E237" s="13">
        <v>42803.7656712963</v>
      </c>
      <c r="F237" s="13">
        <v>42803.770636574074</v>
      </c>
      <c r="G237" s="7">
        <v>1</v>
      </c>
      <c r="H237" s="21" t="s">
        <v>896</v>
      </c>
      <c r="I237" s="13">
        <v>42803.777361111112</v>
      </c>
      <c r="J237" s="7">
        <v>0</v>
      </c>
      <c r="K237" s="98" t="str">
        <f t="shared" si="74"/>
        <v>4041/4042</v>
      </c>
      <c r="L237" s="21" t="str">
        <f>VLOOKUP(A237,'Trips&amp;Operators'!$C$1:$G$99999,5,FALSE)</f>
        <v>MOSES BRADLEY</v>
      </c>
      <c r="M237" s="6">
        <f t="shared" si="75"/>
        <v>6.7245370373711921E-3</v>
      </c>
      <c r="N237" s="7">
        <f t="shared" si="76"/>
        <v>9.6833333338145167</v>
      </c>
      <c r="O237" s="7"/>
      <c r="P237" s="7"/>
      <c r="Q237" s="22"/>
      <c r="R237" s="22"/>
      <c r="S237" s="31">
        <f t="shared" si="77"/>
        <v>0</v>
      </c>
      <c r="T237" s="46" t="e">
        <f t="shared" si="78"/>
        <v>#VALUE!</v>
      </c>
      <c r="U237" s="18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6" t="str">
        <f t="shared" si="79"/>
        <v>https://d0f6bd738d7f1b3e5a7ca70fe4ff75f0.us-east-1.aws.found.io/app/kibana#/discover/Steve-Slow-Train-Analysis-(2080s-and-2083s)?_g=(refreshInterval:(display:Off,pause:!f,section:0,value:0),time:(from:'2017-03-09T17:22:34-0700',mode:absolute,to:'2017-03-09T19:39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37" s="187" t="str">
        <f t="shared" si="80"/>
        <v>Y</v>
      </c>
      <c r="X237" s="187" t="e">
        <f t="shared" si="81"/>
        <v>#VALUE!</v>
      </c>
      <c r="Y237" s="62">
        <f t="shared" si="82"/>
        <v>0.12089999999999999</v>
      </c>
      <c r="Z237" s="62">
        <f t="shared" si="83"/>
        <v>2.3346</v>
      </c>
      <c r="AA237" s="62">
        <f t="shared" si="84"/>
        <v>2.2137000000000002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85"/>
        <v>71-09</v>
      </c>
      <c r="AE237" s="85" t="str">
        <f t="shared" si="86"/>
        <v>aws s3 cp s3://rtdc.mdm.uploadarchive.raw/RTDC4042/ "%USERPROFILE%\AppData\Local\Temp\OnboardLogs"\RTDC4042\2017-03-09 --exclude "*" --recursive --include "*20170309*" &amp; "%USERPROFILE%\Documents\GitHub\mrs-test-scripts\Headless Mode &amp; Sideloading\WalkAndUnGZ.bat" "%USERPROFILE%\AppData\Local\Temp\OnboardLogs"\RTDC4042\2017-03-09 &amp; aws s3 cp s3://rtdc.mdm.uploadarchive.raw/RTDC4042/ "%USERPROFILE%\AppData\Local\Temp\OnboardLogs"\RTDC4042\2017-03-10 --exclude "*" --recursive --include "*20170310*" &amp; "%USERPROFILE%\Documents\GitHub\mrs-test-scripts\Headless Mode &amp; Sideloading\WalkAndUnGZ.bat" "%USERPROFILE%\AppData\Local\Temp\OnboardLogs"\RTDC4042\2017-03-10</v>
      </c>
      <c r="AF237" s="82" t="str">
        <f t="shared" si="87"/>
        <v>"C:\Program Files (x86)\AstroGrep\AstroGrep.exe" /e /r /s /spath="%USERPROFILE%\AppData\Local\Temp\OnboardLogs" /stypes="app*4042*20170310*" /stext=" 01:.+((SYSTEM_STATE.+slice.+state.+changed )|(ment ac)|(multiple cpu faults)|(system.+state.+changed )|(\[timeout)|(PRM\|1\|D)|(kpr)|(kdp)|(\|lc)|(penalty))"</v>
      </c>
      <c r="AG237" s="1" t="str">
        <f t="shared" si="88"/>
        <v>Other</v>
      </c>
      <c r="AH237" s="86" t="str">
        <f t="shared" si="89"/>
        <v>"%USERPROFILE%\Documents\GitHub\eaglep3\Utilities\RefineRTDCRunTimes.py" --tripid 71-09 --locoid 4042 --swversion DE.1.0.9.0 --startMP 204:1209 --initTime 2017-03-09T18:22:34 --startdatetime 2017-03-09T18:29:43 --delay 1 --endMP 300:23346 --enddatetime 2017-03-09T18:39:24 --enforcementcount 0 &gt;&gt;C:\Users\stu\Documents\GitHub\eaglep3-reporting\EC\2017-03-09-refined-times.txt</v>
      </c>
      <c r="AI237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{"issue":{"subject":"","project_id":79,"tracker_id":40,"status_id":1,"priority_id":2,"assigned_to_id":23,"start_date":"2017-03-09","description":"","custom_fields":[{"id":1,"name":"Subdivision","value":"Other"},{"id":4,"name":"Milepost","value":"2.3346"},{"id":17,"name":"Train ID","value":"71-09"},{"id":16,"name":"Locomotive ID","value":"4042"},{"id":130,"name":"Impact","value":""},{"id":150,"name":"Time of Event (Mountain Time)","value":"18:39:24"},{"id":151,"name":"Denver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91"/>
        <v>start /low /b %USERPROFILE%\Documents\GitHub\eaglep3\Utilities\DownloadLogsFromS3.py --loco 4042 --day 2017-03-09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"%USERPROFILE%\AppData\Local\Temp\OnboardLogs"\RTDC4042\*4042*20170310* | grep -SE "(Enforcement Action)|(\[TIMEOUT)|(CHR.+\|PRM\|1\|D.+(SWITCH|SIGNAL).+UNKNOWN)" - &gt;&gt; 2017-03-09-UncaughtWiMAX.txt</v>
      </c>
    </row>
    <row r="238" spans="1:40" x14ac:dyDescent="0.25">
      <c r="A238" s="33" t="s">
        <v>761</v>
      </c>
      <c r="B238" s="7">
        <v>4010</v>
      </c>
      <c r="C238" s="21" t="s">
        <v>242</v>
      </c>
      <c r="D238" s="21" t="s">
        <v>922</v>
      </c>
      <c r="E238" s="13">
        <v>42803.738888888889</v>
      </c>
      <c r="F238" s="13">
        <v>42803.740081018521</v>
      </c>
      <c r="G238" s="7">
        <v>1</v>
      </c>
      <c r="H238" s="21">
        <v>8.5347222222222232</v>
      </c>
      <c r="I238" s="13">
        <v>42803.74858796296</v>
      </c>
      <c r="J238" s="7">
        <v>0</v>
      </c>
      <c r="K238" s="98" t="str">
        <f t="shared" si="74"/>
        <v>4009/4010</v>
      </c>
      <c r="L238" s="21" t="str">
        <f>VLOOKUP(A238,'Trips&amp;Operators'!$C$1:$G$99999,5,FALSE)</f>
        <v>PERKINS DARREN</v>
      </c>
      <c r="M238" s="6">
        <f t="shared" si="75"/>
        <v>8.5069444394321181E-3</v>
      </c>
      <c r="N238" s="7">
        <f t="shared" si="76"/>
        <v>12.24999999278225</v>
      </c>
      <c r="O238" s="7"/>
      <c r="P238" s="7"/>
      <c r="Q238" s="22"/>
      <c r="R238" s="22"/>
      <c r="S238" s="31">
        <f t="shared" si="77"/>
        <v>0</v>
      </c>
      <c r="T238" s="46" t="e">
        <f t="shared" si="78"/>
        <v>#VALUE!</v>
      </c>
      <c r="U238" s="18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6" t="str">
        <f t="shared" si="79"/>
        <v>https://d0f6bd738d7f1b3e5a7ca70fe4ff75f0.us-east-1.aws.found.io/app/kibana#/discover/Steve-Slow-Train-Analysis-(2080s-and-2083s)?_g=(refreshInterval:(display:Off,pause:!f,section:0,value:0),time:(from:'2017-03-09T16:44:00-0700',mode:absolute,to:'2017-03-09T18:57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8" s="187" t="str">
        <f t="shared" si="80"/>
        <v>N</v>
      </c>
      <c r="X238" s="187" t="e">
        <f t="shared" si="81"/>
        <v>#VALUE!</v>
      </c>
      <c r="Y238" s="62">
        <f t="shared" si="82"/>
        <v>2.319</v>
      </c>
      <c r="Z238" s="62">
        <f t="shared" si="83"/>
        <v>47222222.222199999</v>
      </c>
      <c r="AA238" s="62">
        <f t="shared" si="84"/>
        <v>47222219.903200001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85"/>
        <v>72-09</v>
      </c>
      <c r="AE238" s="85" t="str">
        <f t="shared" si="86"/>
        <v>aws s3 cp s3://rtdc.mdm.uploadarchive.raw/RTDC4010/ "%USERPROFILE%\AppData\Local\Temp\OnboardLogs"\RTDC4010\2017-03-09 --exclude "*" --recursive --include "*20170309*" &amp; "%USERPROFILE%\Documents\GitHub\mrs-test-scripts\Headless Mode &amp; Sideloading\WalkAndUnGZ.bat" "%USERPROFILE%\AppData\Local\Temp\OnboardLogs"\RTDC4010\2017-03-09 &amp; aws s3 cp s3://rtdc.mdm.uploadarchive.raw/RTDC4010/ "%USERPROFILE%\AppData\Local\Temp\OnboardLogs"\RTDC4010\2017-03-10 --exclude "*" --recursive --include "*20170310*" &amp; "%USERPROFILE%\Documents\GitHub\mrs-test-scripts\Headless Mode &amp; Sideloading\WalkAndUnGZ.bat" "%USERPROFILE%\AppData\Local\Temp\OnboardLogs"\RTDC4010\2017-03-10</v>
      </c>
      <c r="AF238" s="82" t="str">
        <f t="shared" si="87"/>
        <v>"C:\Program Files (x86)\AstroGrep\AstroGrep.exe" /e /r /s /spath="%USERPROFILE%\AppData\Local\Temp\OnboardLogs" /stypes="app*4010*20170310*" /stext=" 00:.+((SYSTEM_STATE.+slice.+state.+changed )|(ment ac)|(multiple cpu faults)|(system.+state.+changed )|(\[timeout)|(PRM\|1\|D)|(kpr)|(kdp)|(\|lc)|(penalty))"</v>
      </c>
      <c r="AG238" s="1" t="str">
        <f t="shared" si="88"/>
        <v>Other</v>
      </c>
      <c r="AH238" s="86" t="str">
        <f t="shared" si="89"/>
        <v>"%USERPROFILE%\Documents\GitHub\eaglep3\Utilities\RefineRTDCRunTimes.py" --tripid 72-09 --locoid 4010 --swversion DE.1.0.9.0 --startMP 300:23190 --initTime 2017-03-09T17:44:00 --startdatetime 2017-03-09T17:45:43 --delay 1 --endMP 8.53472222222222 --enddatetime 2017-03-09T17:57:58 --enforcementcount 0 &gt;&gt;C:\Users\stu\Documents\GitHub\eaglep3-reporting\EC\2017-03-09-refined-times.txt</v>
      </c>
      <c r="AI238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47222222.2222"},{"id":17,"name":"Train ID","value":"72-09"},{"id":16,"name":"Locomotive ID","value":"4010"},{"id":130,"name":"Impact","value":""},{"id":150,"name":"Time of Event (Mountain Time)","value":"17:57:58"},{"id":151,"name":"Denver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48"/>
      <c r="AK238" s="48"/>
      <c r="AL238" s="48"/>
      <c r="AM238" s="154" t="str">
        <f t="shared" si="91"/>
        <v>start /low /b %USERPROFILE%\Documents\GitHub\eaglep3\Utilities\DownloadLogsFromS3.py --loco 4010 --day 2017-03-09</v>
      </c>
      <c r="AN238" s="163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"%USERPROFILE%\AppData\Local\Temp\OnboardLogs"\RTDC4010\*4010*20170310* | grep -SE "(Enforcement Action)|(\[TIMEOUT)|(CHR.+\|PRM\|1\|D.+(SWITCH|SIGNAL).+UNKNOWN)" - &gt;&gt; 2017-03-09-UncaughtWiMAX.txt</v>
      </c>
    </row>
    <row r="239" spans="1:40" x14ac:dyDescent="0.25">
      <c r="A239" s="33" t="s">
        <v>756</v>
      </c>
      <c r="B239" s="7">
        <v>4029</v>
      </c>
      <c r="C239" s="21" t="s">
        <v>242</v>
      </c>
      <c r="D239" s="21" t="s">
        <v>923</v>
      </c>
      <c r="E239" s="13">
        <v>42803.727083333331</v>
      </c>
      <c r="F239" s="13">
        <v>42803.728437500002</v>
      </c>
      <c r="G239" s="7">
        <v>1</v>
      </c>
      <c r="H239" s="21" t="s">
        <v>554</v>
      </c>
      <c r="I239" s="13">
        <v>42803.73265046296</v>
      </c>
      <c r="J239" s="7">
        <v>0</v>
      </c>
      <c r="K239" s="98" t="str">
        <f t="shared" si="74"/>
        <v>4029/4030</v>
      </c>
      <c r="L239" s="21" t="str">
        <f>VLOOKUP(A239,'Trips&amp;Operators'!$C$1:$G$99999,5,FALSE)</f>
        <v>BEAM ROSS</v>
      </c>
      <c r="M239" s="6">
        <f t="shared" si="75"/>
        <v>4.2129629582632333E-3</v>
      </c>
      <c r="N239" s="7">
        <f t="shared" si="76"/>
        <v>6.066666659899056</v>
      </c>
      <c r="O239" s="7"/>
      <c r="P239" s="7"/>
      <c r="Q239" s="22"/>
      <c r="R239" s="22"/>
      <c r="S239" s="31">
        <f t="shared" si="77"/>
        <v>0</v>
      </c>
      <c r="T239" s="46" t="e">
        <f t="shared" si="78"/>
        <v>#VALUE!</v>
      </c>
      <c r="U239" s="18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6" t="str">
        <f t="shared" si="79"/>
        <v>https://d0f6bd738d7f1b3e5a7ca70fe4ff75f0.us-east-1.aws.found.io/app/kibana#/discover/Steve-Slow-Train-Analysis-(2080s-and-2083s)?_g=(refreshInterval:(display:Off,pause:!f,section:0,value:0),time:(from:'2017-03-09T16:27:00-0700',mode:absolute,to:'2017-03-09T18:35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9" s="187" t="str">
        <f t="shared" si="80"/>
        <v>Y</v>
      </c>
      <c r="X239" s="187" t="e">
        <f t="shared" si="81"/>
        <v>#VALUE!</v>
      </c>
      <c r="Y239" s="62">
        <f t="shared" si="82"/>
        <v>0.1138</v>
      </c>
      <c r="Z239" s="62">
        <f t="shared" si="83"/>
        <v>2.3304</v>
      </c>
      <c r="AA239" s="62">
        <f t="shared" si="84"/>
        <v>2.2166000000000001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85"/>
        <v>75-09</v>
      </c>
      <c r="AE239" s="85" t="str">
        <f t="shared" si="86"/>
        <v>aws s3 cp s3://rtdc.mdm.uploadarchive.raw/RTDC4029/ "%USERPROFILE%\AppData\Local\Temp\OnboardLogs"\RTDC4029\2017-03-09 --exclude "*" --recursive --include "*20170309*" &amp; "%USERPROFILE%\Documents\GitHub\mrs-test-scripts\Headless Mode &amp; Sideloading\WalkAndUnGZ.bat" "%USERPROFILE%\AppData\Local\Temp\OnboardLogs"\RTDC4029\2017-03-09 &amp; aws s3 cp s3://rtdc.mdm.uploadarchive.raw/RTDC4029/ "%USERPROFILE%\AppData\Local\Temp\OnboardLogs"\RTDC4029\2017-03-10 --exclude "*" --recursive --include "*20170310*" &amp; "%USERPROFILE%\Documents\GitHub\mrs-test-scripts\Headless Mode &amp; Sideloading\WalkAndUnGZ.bat" "%USERPROFILE%\AppData\Local\Temp\OnboardLogs"\RTDC4029\2017-03-10</v>
      </c>
      <c r="AF239" s="82" t="str">
        <f t="shared" si="87"/>
        <v>"C:\Program Files (x86)\AstroGrep\AstroGrep.exe" /e /r /s /spath="%USERPROFILE%\AppData\Local\Temp\OnboardLogs" /stypes="app*4029*20170310*" /stext=" 00:.+((SYSTEM_STATE.+slice.+state.+changed )|(ment ac)|(multiple cpu faults)|(system.+state.+changed )|(\[timeout)|(PRM\|1\|D)|(kpr)|(kdp)|(\|lc)|(penalty))"</v>
      </c>
      <c r="AG239" s="1" t="str">
        <f t="shared" si="88"/>
        <v>Other</v>
      </c>
      <c r="AH239" s="86" t="str">
        <f t="shared" si="89"/>
        <v>"%USERPROFILE%\Documents\GitHub\eaglep3\Utilities\RefineRTDCRunTimes.py" --tripid 75-09 --locoid 4029 --swversion DE.1.0.9.0 --startMP 204:1138 --initTime 2017-03-09T17:27:00 --startdatetime 2017-03-09T17:28:57 --delay 1 --endMP 300:23304 --enddatetime 2017-03-09T17:35:01 --enforcementcount 0 &gt;&gt;C:\Users\stu\Documents\GitHub\eaglep3-reporting\EC\2017-03-09-refined-times.txt</v>
      </c>
      <c r="AI239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{"issue":{"subject":"","project_id":79,"tracker_id":40,"status_id":1,"priority_id":2,"assigned_to_id":23,"start_date":"2017-03-09","description":"","custom_fields":[{"id":1,"name":"Subdivision","value":"Other"},{"id":4,"name":"Milepost","value":"2.3304"},{"id":17,"name":"Train ID","value":"75-09"},{"id":16,"name":"Locomotive ID","value":"4029"},{"id":130,"name":"Impact","value":""},{"id":150,"name":"Time of Event (Mountain Time)","value":"17:35:01"},{"id":151,"name":"Denver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48"/>
      <c r="AK239" s="48"/>
      <c r="AL239" s="48"/>
      <c r="AM239" s="154" t="str">
        <f t="shared" si="91"/>
        <v>start /low /b %USERPROFILE%\Documents\GitHub\eaglep3\Utilities\DownloadLogsFromS3.py --loco 4029 --day 2017-03-09</v>
      </c>
      <c r="AN239" s="163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"%USERPROFILE%\AppData\Local\Temp\OnboardLogs"\RTDC4029\*4029*20170310* | grep -SE "(Enforcement Action)|(\[TIMEOUT)|(CHR.+\|PRM\|1\|D.+(SWITCH|SIGNAL).+UNKNOWN)" - &gt;&gt; 2017-03-09-UncaughtWiMAX.txt</v>
      </c>
    </row>
    <row r="240" spans="1:40" x14ac:dyDescent="0.25">
      <c r="A240" s="33" t="s">
        <v>532</v>
      </c>
      <c r="B240" s="7">
        <v>4063</v>
      </c>
      <c r="C240" s="21" t="s">
        <v>242</v>
      </c>
      <c r="D240" s="21" t="s">
        <v>563</v>
      </c>
      <c r="E240" s="13">
        <v>42803.075844907406</v>
      </c>
      <c r="F240" s="13">
        <v>42803.077881944446</v>
      </c>
      <c r="G240" s="7">
        <v>1</v>
      </c>
      <c r="H240" s="21" t="s">
        <v>468</v>
      </c>
      <c r="I240" s="13">
        <v>42803.086539351854</v>
      </c>
      <c r="J240" s="7">
        <v>0</v>
      </c>
      <c r="K240" s="98" t="str">
        <f t="shared" si="74"/>
        <v>4063/4064</v>
      </c>
      <c r="L240" s="21" t="str">
        <f>VLOOKUP(A240,'Trips&amp;Operators'!$C$1:$G$99999,5,FALSE)</f>
        <v>YANG JAN</v>
      </c>
      <c r="M240" s="6">
        <f t="shared" si="75"/>
        <v>8.6574074084637687E-3</v>
      </c>
      <c r="N240" s="7">
        <f t="shared" si="76"/>
        <v>12.466666668187827</v>
      </c>
      <c r="O240" s="7"/>
      <c r="P240" s="7"/>
      <c r="Q240" s="22"/>
      <c r="R240" s="22"/>
      <c r="S240" s="31">
        <f t="shared" si="77"/>
        <v>0</v>
      </c>
      <c r="T240" s="46" t="e">
        <f t="shared" si="78"/>
        <v>#VALUE!</v>
      </c>
      <c r="U240" s="18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6" t="str">
        <f t="shared" si="79"/>
        <v>https://d0f6bd738d7f1b3e5a7ca70fe4ff75f0.us-east-1.aws.found.io/app/kibana#/discover/Steve-Slow-Train-Analysis-(2080s-and-2083s)?_g=(refreshInterval:(display:Off,pause:!f,section:0,value:0),time:(from:'2017-03-09T00:49:13-0700',mode:absolute,to:'2017-03-09T03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40" s="187" t="str">
        <f t="shared" si="80"/>
        <v>Y</v>
      </c>
      <c r="X240" s="187" t="e">
        <f t="shared" si="81"/>
        <v>#VALUE!</v>
      </c>
      <c r="Y240" s="62">
        <f t="shared" si="82"/>
        <v>0.14219999999999999</v>
      </c>
      <c r="Z240" s="62">
        <f t="shared" si="83"/>
        <v>2.3302</v>
      </c>
      <c r="AA240" s="62">
        <f t="shared" si="84"/>
        <v>2.1880000000000002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85"/>
        <v>81-08</v>
      </c>
      <c r="AE240" s="85" t="str">
        <f t="shared" si="86"/>
        <v>aws s3 cp s3://rtdc.mdm.uploadarchive.raw/RTDC4063/ "%USERPROFILE%\AppData\Local\Temp\OnboardLogs"\RTDC4063\2017-03-09 --exclude "*" --recursive --include "*20170309*" &amp; "%USERPROFILE%\Documents\GitHub\mrs-test-scripts\Headless Mode &amp; Sideloading\WalkAndUnGZ.bat" "%USERPROFILE%\AppData\Local\Temp\OnboardLogs"\RTDC4063\2017-03-09 &amp; aws s3 cp s3://rtdc.mdm.uploadarchive.raw/RTDC4063/ "%USERPROFILE%\AppData\Local\Temp\OnboardLogs"\RTDC4063\2017-03-10 --exclude "*" --recursive --include "*20170310*" &amp; "%USERPROFILE%\Documents\GitHub\mrs-test-scripts\Headless Mode &amp; Sideloading\WalkAndUnGZ.bat" "%USERPROFILE%\AppData\Local\Temp\OnboardLogs"\RTDC4063\2017-03-10</v>
      </c>
      <c r="AF240" s="82" t="str">
        <f t="shared" si="87"/>
        <v>"C:\Program Files (x86)\AstroGrep\AstroGrep.exe" /e /r /s /spath="%USERPROFILE%\AppData\Local\Temp\OnboardLogs" /stypes="app*4063*20170309*" /stext=" 09:.+((SYSTEM_STATE.+slice.+state.+changed )|(ment ac)|(multiple cpu faults)|(system.+state.+changed )|(\[timeout)|(PRM\|1\|D)|(kpr)|(kdp)|(\|lc)|(penalty))"</v>
      </c>
      <c r="AG240" s="1" t="str">
        <f t="shared" si="88"/>
        <v>Other</v>
      </c>
      <c r="AH240" s="86" t="str">
        <f t="shared" si="89"/>
        <v>"%USERPROFILE%\Documents\GitHub\eaglep3\Utilities\RefineRTDCRunTimes.py" --tripid 81-08 --locoid 4063 --swversion DE.1.0.9.0 --startMP 204:1422 --initTime 2017-03-09T01:49:13 --startdatetime 2017-03-09T01:52:09 --delay 1 --endMP 300:23302 --enddatetime 2017-03-09T02:04:37 --enforcementcount 0 &gt;&gt;C:\Users\stu\Documents\GitHub\eaglep3-reporting\EC\2017-03-09-refined-times.txt</v>
      </c>
      <c r="AI240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{"issue":{"subject":"","project_id":79,"tracker_id":40,"status_id":1,"priority_id":2,"assigned_to_id":23,"start_date":"2017-03-09","description":"","custom_fields":[{"id":1,"name":"Subdivision","value":"Other"},{"id":4,"name":"Milepost","value":"2.3302"},{"id":17,"name":"Train ID","value":"81-08"},{"id":16,"name":"Locomotive ID","value":"4063"},{"id":130,"name":"Impact","value":""},{"id":150,"name":"Time of Event (Mountain Time)","value":"02:04:37"},{"id":151,"name":"Denver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48"/>
      <c r="AK240" s="48"/>
      <c r="AL240" s="48"/>
      <c r="AM240" s="154" t="str">
        <f t="shared" si="91"/>
        <v>start /low /b %USERPROFILE%\Documents\GitHub\eaglep3\Utilities\DownloadLogsFromS3.py --loco 4063 --day 2017-03-09</v>
      </c>
      <c r="AN240" s="163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"%USERPROFILE%\AppData\Local\Temp\OnboardLogs"\RTDC4063\*4063*20170309* | grep -SE "(Enforcement Action)|(\[TIMEOUT)|(CHR.+\|PRM\|1\|D.+(SWITCH|SIGNAL).+UNKNOWN)" - &gt;&gt; 2017-03-09-UncaughtWiMAX.txt</v>
      </c>
    </row>
    <row r="241" spans="1:40" x14ac:dyDescent="0.25">
      <c r="A241" s="33" t="s">
        <v>758</v>
      </c>
      <c r="B241" s="7">
        <v>4041</v>
      </c>
      <c r="C241" s="21" t="s">
        <v>242</v>
      </c>
      <c r="D241" s="21" t="s">
        <v>981</v>
      </c>
      <c r="E241" s="13">
        <v>42803.729490740741</v>
      </c>
      <c r="F241" s="13">
        <v>42803.731689814813</v>
      </c>
      <c r="G241" s="7">
        <v>3</v>
      </c>
      <c r="H241" s="21" t="s">
        <v>982</v>
      </c>
      <c r="I241" s="13">
        <v>42803.737893518519</v>
      </c>
      <c r="J241" s="7">
        <v>0</v>
      </c>
      <c r="K241" s="98" t="str">
        <f t="shared" si="74"/>
        <v>4041/4042</v>
      </c>
      <c r="L241" s="21" t="str">
        <f>VLOOKUP(A241,'Trips&amp;Operators'!$C$1:$G$99999,5,FALSE)</f>
        <v>MCREYNOLDS KYLE</v>
      </c>
      <c r="M241" s="6">
        <f t="shared" si="75"/>
        <v>6.2037037059781142E-3</v>
      </c>
      <c r="N241" s="7">
        <f t="shared" si="76"/>
        <v>8.9333333366084844</v>
      </c>
      <c r="O241" s="7"/>
      <c r="P241" s="7"/>
      <c r="Q241" s="22"/>
      <c r="R241" s="22"/>
      <c r="S241" s="31">
        <f t="shared" si="77"/>
        <v>0</v>
      </c>
      <c r="T241" s="46" t="e">
        <f t="shared" si="78"/>
        <v>#VALUE!</v>
      </c>
      <c r="U241" s="18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6" t="str">
        <f t="shared" si="79"/>
        <v>https://d0f6bd738d7f1b3e5a7ca70fe4ff75f0.us-east-1.aws.found.io/app/kibana#/discover/Steve-Slow-Train-Analysis-(2080s-and-2083s)?_g=(refreshInterval:(display:Off,pause:!f,section:0,value:0),time:(from:'2017-03-09T16:30:28-0700',mode:absolute,to:'2017-03-09T18:42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41" s="187" t="str">
        <f t="shared" si="80"/>
        <v>Y</v>
      </c>
      <c r="X241" s="187" t="e">
        <f t="shared" si="81"/>
        <v>#VALUE!</v>
      </c>
      <c r="Y241" s="62">
        <f t="shared" si="82"/>
        <v>2.3492999999999999</v>
      </c>
      <c r="Z241" s="62">
        <f t="shared" si="83"/>
        <v>8.9099999999999999E-2</v>
      </c>
      <c r="AA241" s="62">
        <f t="shared" si="84"/>
        <v>2.2601999999999998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85"/>
        <v>86-09</v>
      </c>
      <c r="AE241" s="85" t="str">
        <f t="shared" si="86"/>
        <v>aws s3 cp s3://rtdc.mdm.uploadarchive.raw/RTDC4041/ "%USERPROFILE%\AppData\Local\Temp\OnboardLogs"\RTDC4041\2017-03-09 --exclude "*" --recursive --include "*20170309*" &amp; "%USERPROFILE%\Documents\GitHub\mrs-test-scripts\Headless Mode &amp; Sideloading\WalkAndUnGZ.bat" "%USERPROFILE%\AppData\Local\Temp\OnboardLogs"\RTDC4041\2017-03-09 &amp; aws s3 cp s3://rtdc.mdm.uploadarchive.raw/RTDC4041/ "%USERPROFILE%\AppData\Local\Temp\OnboardLogs"\RTDC4041\2017-03-10 --exclude "*" --recursive --include "*20170310*" &amp; "%USERPROFILE%\Documents\GitHub\mrs-test-scripts\Headless Mode &amp; Sideloading\WalkAndUnGZ.bat" "%USERPROFILE%\AppData\Local\Temp\OnboardLogs"\RTDC4041\2017-03-10</v>
      </c>
      <c r="AF241" s="82" t="str">
        <f t="shared" si="87"/>
        <v>"C:\Program Files (x86)\AstroGrep\AstroGrep.exe" /e /r /s /spath="%USERPROFILE%\AppData\Local\Temp\OnboardLogs" /stypes="app*4041*20170310*" /stext=" 00:.+((SYSTEM_STATE.+slice.+state.+changed )|(ment ac)|(multiple cpu faults)|(system.+state.+changed )|(\[timeout)|(PRM\|1\|D)|(kpr)|(kdp)|(\|lc)|(penalty))"</v>
      </c>
      <c r="AG241" s="1" t="str">
        <f t="shared" si="88"/>
        <v>Other</v>
      </c>
      <c r="AH241" s="86" t="str">
        <f t="shared" si="89"/>
        <v>"%USERPROFILE%\Documents\GitHub\eaglep3\Utilities\RefineRTDCRunTimes.py" --tripid 86-09 --locoid 4041 --swversion DE.1.0.9.0 --startMP 300:23493 --initTime 2017-03-09T17:30:28 --startdatetime 2017-03-09T17:33:38 --delay 3 --endMP 204:891 --enddatetime 2017-03-09T17:42:34 --enforcementcount 0 &gt;&gt;C:\Users\stu\Documents\GitHub\eaglep3-reporting\EC\2017-03-09-refined-times.txt</v>
      </c>
      <c r="AI241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{"issue":{"subject":"","project_id":79,"tracker_id":40,"status_id":1,"priority_id":2,"assigned_to_id":23,"start_date":"2017-03-09","description":"","custom_fields":[{"id":1,"name":"Subdivision","value":"Other"},{"id":4,"name":"Milepost","value":"0.0891"},{"id":17,"name":"Train ID","value":"86-09"},{"id":16,"name":"Locomotive ID","value":"4041"},{"id":130,"name":"Impact","value":""},{"id":150,"name":"Time of Event (Mountain Time)","value":"17:42:34"},{"id":151,"name":"Denver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48"/>
      <c r="AK241" s="48"/>
      <c r="AL241" s="48"/>
      <c r="AM241" s="154" t="str">
        <f t="shared" si="91"/>
        <v>start /low /b %USERPROFILE%\Documents\GitHub\eaglep3\Utilities\DownloadLogsFromS3.py --loco 4041 --day 2017-03-09</v>
      </c>
      <c r="AN241" s="163" t="str">
        <f>"grep -SE -B400 ""CHR.+\|PRM\|1\|D.+(SWITCH|SIGNAL).+UNKNOWN"" "&amp;search_path&amp;"\RTDC"&amp;B241&amp;"\*"&amp;B241&amp;"*"&amp;TEXT(AVERAGE(F241,I241)-utc_offset/24,"YYYYMMDD")&amp;"*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"%USERPROFILE%\AppData\Local\Temp\OnboardLogs"\RTDC4041\*4041*20170310* | grep -SE "(Enforcement Action)|(\[TIMEOUT)|(CHR.+\|PRM\|1\|D.+(SWITCH|SIGNAL).+UNKNOWN)" - &gt;&gt; 2017-03-09-UncaughtWiMAX.txt</v>
      </c>
    </row>
    <row r="242" spans="1:40" x14ac:dyDescent="0.25">
      <c r="A242" s="33" t="s">
        <v>682</v>
      </c>
      <c r="B242" s="7">
        <v>4019</v>
      </c>
      <c r="C242" s="21" t="s">
        <v>242</v>
      </c>
      <c r="D242" s="21" t="s">
        <v>983</v>
      </c>
      <c r="E242" s="13">
        <v>42803.429826388892</v>
      </c>
      <c r="F242" s="13">
        <v>42803.431006944447</v>
      </c>
      <c r="G242" s="7">
        <v>1</v>
      </c>
      <c r="H242" s="21" t="s">
        <v>984</v>
      </c>
      <c r="I242" s="13">
        <v>42803.444293981483</v>
      </c>
      <c r="J242" s="7">
        <v>0</v>
      </c>
      <c r="K242" s="98" t="str">
        <f t="shared" si="74"/>
        <v>4019/4020</v>
      </c>
      <c r="L242" s="21" t="str">
        <f>VLOOKUP(A242,'Trips&amp;Operators'!$C$1:$G$99999,5,FALSE)</f>
        <v>YANAI IAN</v>
      </c>
      <c r="M242" s="6">
        <f t="shared" si="75"/>
        <v>1.3287037036207039E-2</v>
      </c>
      <c r="N242" s="7">
        <f t="shared" si="76"/>
        <v>19.133333332138136</v>
      </c>
      <c r="O242" s="7"/>
      <c r="P242" s="7"/>
      <c r="Q242" s="22"/>
      <c r="R242" s="22"/>
      <c r="S242" s="31">
        <f t="shared" si="77"/>
        <v>0</v>
      </c>
      <c r="T242" s="46" t="e">
        <f t="shared" si="78"/>
        <v>#VALUE!</v>
      </c>
      <c r="U242" s="18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6" t="str">
        <f t="shared" si="79"/>
        <v>https://d0f6bd738d7f1b3e5a7ca70fe4ff75f0.us-east-1.aws.found.io/app/kibana#/discover/Steve-Slow-Train-Analysis-(2080s-and-2083s)?_g=(refreshInterval:(display:Off,pause:!f,section:0,value:0),time:(from:'2017-03-09T09:18:57-0700',mode:absolute,to:'2017-03-09T11:39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42" s="187" t="str">
        <f t="shared" si="80"/>
        <v>Y</v>
      </c>
      <c r="X242" s="187" t="e">
        <f t="shared" si="81"/>
        <v>#VALUE!</v>
      </c>
      <c r="Y242" s="62">
        <f t="shared" si="82"/>
        <v>3.0991</v>
      </c>
      <c r="Z242" s="62">
        <f t="shared" si="83"/>
        <v>0.16880000000000001</v>
      </c>
      <c r="AA242" s="62">
        <f t="shared" si="84"/>
        <v>2.9302999999999999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 t="shared" si="85"/>
        <v>88-09</v>
      </c>
      <c r="AE242" s="85" t="str">
        <f t="shared" si="86"/>
        <v>aws s3 cp s3://rtdc.mdm.uploadarchive.raw/RTDC4019/ "%USERPROFILE%\AppData\Local\Temp\OnboardLogs"\RTDC4019\2017-03-09 --exclude "*" --recursive --include "*20170309*" &amp; "%USERPROFILE%\Documents\GitHub\mrs-test-scripts\Headless Mode &amp; Sideloading\WalkAndUnGZ.bat" "%USERPROFILE%\AppData\Local\Temp\OnboardLogs"\RTDC4019\2017-03-09 &amp; 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</v>
      </c>
      <c r="AF242" s="82" t="str">
        <f t="shared" si="87"/>
        <v>"C:\Program Files (x86)\AstroGrep\AstroGrep.exe" /e /r /s /spath="%USERPROFILE%\AppData\Local\Temp\OnboardLogs" /stypes="app*4019*20170309*" /stext=" 17:.+((SYSTEM_STATE.+slice.+state.+changed )|(ment ac)|(multiple cpu faults)|(system.+state.+changed )|(\[timeout)|(PRM\|1\|D)|(kpr)|(kdp)|(\|lc)|(penalty))"</v>
      </c>
      <c r="AG242" s="1" t="str">
        <f t="shared" si="88"/>
        <v>Other</v>
      </c>
      <c r="AH242" s="86" t="str">
        <f t="shared" si="89"/>
        <v>"%USERPROFILE%\Documents\GitHub\eaglep3\Utilities\RefineRTDCRunTimes.py" --tripid 88-09 --locoid 4019 --swversion DE.1.0.9.0 --startMP 300:30991 --initTime 2017-03-09T10:18:57 --startdatetime 2017-03-09T10:20:39 --delay 1 --endMP 204:1688 --enddatetime 2017-03-09T10:39:47 --enforcementcount 0 &gt;&gt;C:\Users\stu\Documents\GitHub\eaglep3-reporting\EC\2017-03-09-refined-times.txt</v>
      </c>
      <c r="AI242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{"issue":{"subject":"","project_id":79,"tracker_id":40,"status_id":1,"priority_id":2,"assigned_to_id":23,"start_date":"2017-03-09","description":"","custom_fields":[{"id":1,"name":"Subdivision","value":"Other"},{"id":4,"name":"Milepost","value":"0.1688"},{"id":17,"name":"Train ID","value":"88-09"},{"id":16,"name":"Locomotive ID","value":"4019"},{"id":130,"name":"Impact","value":""},{"id":150,"name":"Time of Event (Mountain Time)","value":"10:39:47"},{"id":151,"name":"Denver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48"/>
      <c r="AK242" s="48"/>
      <c r="AL242" s="48"/>
      <c r="AM242" s="154" t="str">
        <f t="shared" si="91"/>
        <v>start /low /b %USERPROFILE%\Documents\GitHub\eaglep3\Utilities\DownloadLogsFromS3.py --loco 4019 --day 2017-03-09</v>
      </c>
      <c r="AN242" s="163" t="str">
        <f>"grep -SE -B400 ""CHR.+\|PRM\|1\|D.+(SWITCH|SIGNAL).+UNKNOWN"" "&amp;search_path&amp;"\RTDC"&amp;B242&amp;"\*"&amp;B242&amp;"*"&amp;TEXT(AVERAGE(F242,I242)-utc_offset/24,"YYYYMMDD")&amp;"*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"%USERPROFILE%\AppData\Local\Temp\OnboardLogs"\RTDC4019\*4019*20170309* | grep -SE "(Enforcement Action)|(\[TIMEOUT)|(CHR.+\|PRM\|1\|D.+(SWITCH|SIGNAL).+UNKNOWN)" - &gt;&gt; 2017-03-09-UncaughtWiMAX.txt</v>
      </c>
    </row>
    <row r="243" spans="1:40" x14ac:dyDescent="0.25">
      <c r="A243" s="33" t="s">
        <v>682</v>
      </c>
      <c r="B243" s="7">
        <v>4020</v>
      </c>
      <c r="C243" s="21" t="s">
        <v>242</v>
      </c>
      <c r="D243" s="21" t="s">
        <v>985</v>
      </c>
      <c r="E243" s="13">
        <v>42803.421550925923</v>
      </c>
      <c r="F243" s="13">
        <v>42803.431006944447</v>
      </c>
      <c r="G243" s="7">
        <v>1</v>
      </c>
      <c r="H243" s="21" t="s">
        <v>986</v>
      </c>
      <c r="I243" s="13">
        <v>42803.444293981483</v>
      </c>
      <c r="J243" s="7">
        <v>0</v>
      </c>
      <c r="K243" s="98" t="str">
        <f t="shared" si="74"/>
        <v>4019/4020</v>
      </c>
      <c r="L243" s="21" t="str">
        <f>VLOOKUP(A243,'Trips&amp;Operators'!$C$1:$G$99999,5,FALSE)</f>
        <v>YANAI IAN</v>
      </c>
      <c r="M243" s="6">
        <f t="shared" si="75"/>
        <v>1.3287037036207039E-2</v>
      </c>
      <c r="N243" s="7">
        <f t="shared" si="76"/>
        <v>19.133333332138136</v>
      </c>
      <c r="O243" s="7"/>
      <c r="P243" s="7"/>
      <c r="Q243" s="22"/>
      <c r="R243" s="22"/>
      <c r="S243" s="31">
        <f t="shared" si="77"/>
        <v>0</v>
      </c>
      <c r="T243" s="46" t="e">
        <f t="shared" si="78"/>
        <v>#VALUE!</v>
      </c>
      <c r="U243" s="18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86" t="str">
        <f t="shared" si="79"/>
        <v>https://d0f6bd738d7f1b3e5a7ca70fe4ff75f0.us-east-1.aws.found.io/app/kibana#/discover/Steve-Slow-Train-Analysis-(2080s-and-2083s)?_g=(refreshInterval:(display:Off,pause:!f,section:0,value:0),time:(from:'2017-03-09T09:07:02-0700',mode:absolute,to:'2017-03-09T11:39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43" s="187" t="str">
        <f t="shared" si="80"/>
        <v>Y</v>
      </c>
      <c r="X243" s="187" t="e">
        <f t="shared" si="81"/>
        <v>#VALUE!</v>
      </c>
      <c r="Y243" s="62">
        <f t="shared" si="82"/>
        <v>0.14879999999999999</v>
      </c>
      <c r="Z243" s="62">
        <f t="shared" si="83"/>
        <v>3.1305000000000001</v>
      </c>
      <c r="AA243" s="62">
        <f t="shared" si="84"/>
        <v>2.9817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 t="shared" si="85"/>
        <v>88-09</v>
      </c>
      <c r="AE243" s="85" t="str">
        <f t="shared" si="86"/>
        <v>aws s3 cp s3://rtdc.mdm.uploadarchive.raw/RTDC4020/ "%USERPROFILE%\AppData\Local\Temp\OnboardLogs"\RTDC4020\2017-03-09 --exclude "*" --recursive --include "*20170309*" &amp; "%USERPROFILE%\Documents\GitHub\mrs-test-scripts\Headless Mode &amp; Sideloading\WalkAndUnGZ.bat" "%USERPROFILE%\AppData\Local\Temp\OnboardLogs"\RTDC4020\2017-03-09 &amp; aws s3 cp s3://rtdc.mdm.uploadarchive.raw/RTDC4020/ "%USERPROFILE%\AppData\Local\Temp\OnboardLogs"\RTDC4020\2017-03-10 --exclude "*" --recursive --include "*20170310*" &amp; "%USERPROFILE%\Documents\GitHub\mrs-test-scripts\Headless Mode &amp; Sideloading\WalkAndUnGZ.bat" "%USERPROFILE%\AppData\Local\Temp\OnboardLogs"\RTDC4020\2017-03-10</v>
      </c>
      <c r="AF243" s="82" t="str">
        <f t="shared" si="87"/>
        <v>"C:\Program Files (x86)\AstroGrep\AstroGrep.exe" /e /r /s /spath="%USERPROFILE%\AppData\Local\Temp\OnboardLogs" /stypes="app*4020*20170309*" /stext=" 17:.+((SYSTEM_STATE.+slice.+state.+changed )|(ment ac)|(multiple cpu faults)|(system.+state.+changed )|(\[timeout)|(PRM\|1\|D)|(kpr)|(kdp)|(\|lc)|(penalty))"</v>
      </c>
      <c r="AG243" s="1" t="str">
        <f t="shared" si="88"/>
        <v>Other</v>
      </c>
      <c r="AH243" s="86" t="str">
        <f t="shared" si="89"/>
        <v>"%USERPROFILE%\Documents\GitHub\eaglep3\Utilities\RefineRTDCRunTimes.py" --tripid 88-09 --locoid 4020 --swversion DE.1.0.9.0 --startMP 204:1488 --initTime 2017-03-09T10:07:02 --startdatetime 2017-03-09T10:20:39 --delay 1 --endMP 300:31305 --enddatetime 2017-03-09T10:39:47 --enforcementcount 0 &gt;&gt;C:\Users\stu\Documents\GitHub\eaglep3-reporting\EC\2017-03-09-refined-times.txt</v>
      </c>
      <c r="AI243" s="108" t="str">
        <f t="shared" si="90"/>
        <v>echo {"issue":{"subject":"","project_id":79,"tracker_id":40,"status_id":1,"priority_id":2,"assigned_to_id":23,"start_date":"2017-03-09","description":"","custom_fields":[{"id":1,"name":"Subdivision","value":"Other"},{"id":4,"name":"Milepost","value":"3.1305"},{"id":17,"name":"Train ID","value":"88-09"},{"id":16,"name":"Locomotive ID","value":"4020"},{"id":130,"name":"Impact","value":""},{"id":150,"name":"Time of Event (Mountain Time)","value":"10:39:47"},{"id":151,"name":"Denver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48"/>
      <c r="AK243" s="48"/>
      <c r="AL243" s="48"/>
      <c r="AM243" s="154" t="str">
        <f t="shared" si="91"/>
        <v>start /low /b %USERPROFILE%\Documents\GitHub\eaglep3\Utilities\DownloadLogsFromS3.py --loco 4020 --day 2017-03-09</v>
      </c>
      <c r="AN243" s="163" t="str">
        <f>"grep -SE -B400 ""CHR.+\|PRM\|1\|D.+(SWITCH|SIGNAL).+UNKNOWN"" "&amp;search_path&amp;"\RTDC"&amp;B243&amp;"\*"&amp;B243&amp;"*"&amp;TEXT(AVERAGE(F243,I243)-utc_offset/24,"YYYYMMDD")&amp;"*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"%USERPROFILE%\AppData\Local\Temp\OnboardLogs"\RTDC4020\*4020*20170309* | grep -SE "(Enforcement Action)|(\[TIMEOUT)|(CHR.+\|PRM\|1\|D.+(SWITCH|SIGNAL).+UNKNOWN)" - &gt;&gt; 2017-03-09-UncaughtWiMAX.txt</v>
      </c>
    </row>
    <row r="244" spans="1:40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4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S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S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S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S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S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</sheetData>
  <autoFilter ref="A12:AG258">
    <sortState ref="A13:AG257">
      <sortCondition ref="AG13:AG242"/>
      <sortCondition ref="AD13:AD242"/>
    </sortState>
  </autoFilter>
  <sortState ref="A13:AH200">
    <sortCondition ref="AG13:AG200"/>
    <sortCondition ref="AD13:AD200"/>
  </sortState>
  <mergeCells count="1">
    <mergeCell ref="A11:P11"/>
  </mergeCells>
  <conditionalFormatting sqref="W11:W12 W277:X1048576 W13:X243">
    <cfRule type="cellIs" dxfId="10" priority="363" operator="equal">
      <formula>"Y"</formula>
    </cfRule>
  </conditionalFormatting>
  <conditionalFormatting sqref="X277:X1048576 X13:X243">
    <cfRule type="cellIs" dxfId="9" priority="346" operator="greaterThan">
      <formula>1</formula>
    </cfRule>
  </conditionalFormatting>
  <conditionalFormatting sqref="X277:X1048576 X12:X243">
    <cfRule type="cellIs" dxfId="8" priority="343" operator="equal">
      <formula>0</formula>
    </cfRule>
  </conditionalFormatting>
  <conditionalFormatting sqref="A13:S243">
    <cfRule type="expression" dxfId="7" priority="337" stopIfTrue="1">
      <formula>$P13&gt;0</formula>
    </cfRule>
    <cfRule type="expression" dxfId="6" priority="338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9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A13:S243</xm:sqref>
        </x14:conditionalFormatting>
        <x14:conditionalFormatting xmlns:xm="http://schemas.microsoft.com/office/excel/2006/main">
          <x14:cfRule type="expression" priority="22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AK13:AK243</xm:sqref>
        </x14:dataValidation>
        <x14:dataValidation type="list" allowBlank="1" showInputMessage="1" showErrorMessage="1">
          <x14:formula1>
            <xm:f>'Redmine List Values'!$C$2:$C$15</xm:f>
          </x14:formula1>
          <xm:sqref>AL13:AL243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workbookViewId="0">
      <selection activeCell="A22" sqref="A2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COUNTIF($O$7:$O$313,"=Y")</f>
        <v>2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COUNTA($O$7:$O$313)-O2</f>
        <v>35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220" t="str">
        <f>"Eagle P3 Braking Events - "&amp;TEXT(Variables!$A$2,"YYYY-mm-dd")</f>
        <v>Eagle P3 Braking Events - 2017-03-09</v>
      </c>
      <c r="B5" s="220"/>
      <c r="C5" s="220"/>
      <c r="D5" s="220"/>
      <c r="E5" s="220"/>
      <c r="F5" s="220"/>
      <c r="G5" s="220"/>
      <c r="H5" s="220"/>
      <c r="I5" s="220"/>
      <c r="J5" s="220"/>
      <c r="K5" s="220"/>
      <c r="L5" s="220"/>
      <c r="M5" s="220"/>
      <c r="N5" s="220"/>
      <c r="O5" s="220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193</v>
      </c>
      <c r="AE6" s="155" t="s">
        <v>205</v>
      </c>
    </row>
    <row r="7" spans="1:32" s="1" customFormat="1" x14ac:dyDescent="0.25">
      <c r="A7" s="32">
        <v>42803.651666666665</v>
      </c>
      <c r="B7" s="30" t="s">
        <v>596</v>
      </c>
      <c r="C7" s="30" t="s">
        <v>597</v>
      </c>
      <c r="D7" s="30" t="s">
        <v>98</v>
      </c>
      <c r="E7" s="30" t="s">
        <v>195</v>
      </c>
      <c r="F7" s="43">
        <v>230</v>
      </c>
      <c r="G7" s="43">
        <v>283</v>
      </c>
      <c r="H7" s="43">
        <v>30935</v>
      </c>
      <c r="I7" s="43">
        <v>31608</v>
      </c>
      <c r="J7" s="30" t="s">
        <v>196</v>
      </c>
      <c r="K7" s="43">
        <v>30830</v>
      </c>
      <c r="L7" s="143" t="s">
        <v>50</v>
      </c>
      <c r="M7" s="144">
        <f t="shared" ref="M7:M43" si="0">CONVERT((I7-K7)/10000,"mi","ft")*IF(L7="Increasing Mileposts (1)",-1,1)</f>
        <v>-410.78399999999999</v>
      </c>
      <c r="N7" s="145" t="str">
        <f>VLOOKUP(C7,'Trips&amp;Operators'!$C$1:$G$99999,5,FALSE)</f>
        <v>LOCKLEAR TRAVIS</v>
      </c>
      <c r="O7" s="194" t="s">
        <v>185</v>
      </c>
      <c r="P7" s="146" t="s">
        <v>1016</v>
      </c>
      <c r="Q7" s="30"/>
      <c r="R7" s="89" t="str">
        <f>IF(VLOOKUP(C7,'Train Runs'!$A$13:$AE$9946,1,1)=C7,VLOOKUP(C7,'Train Runs'!$A$13:$AE$9946,31,1),NA())</f>
        <v>aws s3 cp s3://rtdc.mdm.uploadarchive.raw/RTDC4044/ "%USERPROFILE%\AppData\Local\Temp\OnboardLogs"\RTDC4044\2017-03-09 --exclude "*" --recursive --include "*20170309*" &amp; "%USERPROFILE%\Documents\GitHub\mrs-test-scripts\Headless Mode &amp; Sideloading\WalkAndUnGZ.bat" "%USERPROFILE%\AppData\Local\Temp\OnboardLogs"\RTDC4044\2017-03-09 &amp; aws s3 cp s3://rtdc.mdm.uploadarchive.raw/RTDC4044/ "%USERPROFILE%\AppData\Local\Temp\OnboardLogs"\RTDC4044\2017-03-10 --exclude "*" --recursive --include "*20170310*" &amp; "%USERPROFILE%\Documents\GitHub\mrs-test-scripts\Headless Mode &amp; Sideloading\WalkAndUnGZ.bat" "%USERPROFILE%\AppData\Local\Temp\OnboardLogs"\RTDC4044\2017-03-10</v>
      </c>
      <c r="S7" s="92" t="str">
        <f>IF(VLOOKUP(C7,'Train Runs'!$A$13:$AE$9946,1,1)=C7,VLOOKUP(C7,'Train Runs'!$A$13:$AE$9946,22,1),NA())</f>
        <v>https://d0f6bd738d7f1b3e5a7ca70fe4ff75f0.us-east-1.aws.found.io/app/kibana#/discover/Steve-Slow-Train-Analysis-(2080s-and-2083s)?_g=(refreshInterval:(display:Off,pause:!f,section:0,value:0),time:(from:'2017-03-09T14:23:46-0700',mode:absolute,to:'2017-03-09T17:07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7" s="94" t="str">
        <f t="shared" ref="T7:T4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/stypes="*4044*201703092*" /stext=" 22:.+((SYSTEM_STATE.+slice.+state.+changed )|(ment ac)|(multiple cpu faults)|(system.+state.+changed )|(\[timeout)|(PRM\|1\|D)|(kpr)|(kdp)|(\|lc)|(penalty))"</v>
      </c>
      <c r="U7" s="9" t="str">
        <f t="shared" ref="U7:U43" si="2">MID(B7,13,4)</f>
        <v>4044</v>
      </c>
      <c r="V7" s="32">
        <f t="shared" ref="V7:V43" si="3">A7-utc_offset/24</f>
        <v>42803.943333333329</v>
      </c>
      <c r="W7" s="46" t="str">
        <f t="shared" ref="W7:W43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3" si="5">IF(AND(E7="TRACK WARRANT AUTHORITY",G7&lt;10),"OMIT","KEEP")</f>
        <v>KEEP</v>
      </c>
      <c r="Y7" s="108" t="str">
        <f t="shared" ref="Y7:Y4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arrival","project_id":79,"tracker_id":40,"status_id":1,"priority_id":2,"assigned_to_id":23,"start_date":"2017-03-09","description":"","custom_fields":[{"id":1,"name":"Subdivision","value":"EC"},{"id":4,"name":"Milepost","value":"3.083"},{"id":17,"name":"Train ID","value":"195-09"},{"id":16,"name":"Locomotive ID","value":"4044"},{"id":130,"name":"Impact","value":""},{"id":150,"name":"Time of Event (Mountain Time)","value":"15:38:24"},{"id":151,"name":"Denver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43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"%USERPROFILE%\AppData\Local\Temp\OnboardLogs"\RTDC4044\*4044*201703092*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"%USERPROFILE%\AppData\Local\Temp\OnboardLogs"\RTDC4044\*4044*201703092* &gt;&gt; 2017-03-09-SliceDisagreementCheck.txt</v>
      </c>
      <c r="AE7" s="157" t="str">
        <f t="shared" ref="AE7" si="8">"start /low /b "&amp;dls3logs&amp;" --loco "&amp;U7&amp;" --day "&amp;TEXT(V7,"YYYY-MM-DD")</f>
        <v>start /low /b %USERPROFILE%\Documents\GitHub\eaglep3\Utilities\DownloadLogsFromS3.py --loco 4044 --day 2017-03-09</v>
      </c>
    </row>
    <row r="8" spans="1:32" s="1" customFormat="1" x14ac:dyDescent="0.25">
      <c r="A8" s="32">
        <v>42803.958958333336</v>
      </c>
      <c r="B8" s="30" t="s">
        <v>418</v>
      </c>
      <c r="C8" s="30" t="s">
        <v>611</v>
      </c>
      <c r="D8" s="30" t="s">
        <v>49</v>
      </c>
      <c r="E8" s="30" t="s">
        <v>195</v>
      </c>
      <c r="F8" s="43">
        <v>0</v>
      </c>
      <c r="G8" s="43">
        <v>68</v>
      </c>
      <c r="H8" s="43">
        <v>31396</v>
      </c>
      <c r="I8" s="43">
        <v>31347</v>
      </c>
      <c r="J8" s="30" t="s">
        <v>196</v>
      </c>
      <c r="K8" s="43">
        <v>30970</v>
      </c>
      <c r="L8" s="143" t="s">
        <v>51</v>
      </c>
      <c r="M8" s="144">
        <f t="shared" si="0"/>
        <v>199.05600000000001</v>
      </c>
      <c r="N8" s="145" t="str">
        <f>VLOOKUP(C8,'Trips&amp;Operators'!$C$1:$G$99999,5,FALSE)</f>
        <v>NEWELL JAMES</v>
      </c>
      <c r="O8" s="194" t="s">
        <v>185</v>
      </c>
      <c r="P8" s="146" t="s">
        <v>1018</v>
      </c>
      <c r="Q8" s="30"/>
      <c r="R8" s="89" t="str">
        <f>IF(VLOOKUP(C8,'Train Runs'!$A$13:$AE$9946,1,1)=C8,VLOOKUP(C8,'Train Runs'!$A$13:$AE$9946,31,1),NA())</f>
        <v>aws s3 cp s3://rtdc.mdm.uploadarchive.raw/RTDC4019/ "%USERPROFILE%\AppData\Local\Temp\OnboardLogs"\RTDC4019\2017-03-09 --exclude "*" --recursive --include "*20170309*" &amp; "%USERPROFILE%\Documents\GitHub\mrs-test-scripts\Headless Mode &amp; Sideloading\WalkAndUnGZ.bat" "%USERPROFILE%\AppData\Local\Temp\OnboardLogs"\RTDC4019\2017-03-09 &amp; 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</v>
      </c>
      <c r="S8" s="92" t="str">
        <f>IF(VLOOKUP(C8,'Train Runs'!$A$13:$AE$9946,1,1)=C8,VLOOKUP(C8,'Train Runs'!$A$13:$AE$9946,22,1),NA())</f>
        <v>https://d0f6bd738d7f1b3e5a7ca70fe4ff75f0.us-east-1.aws.found.io/app/kibana#/discover/Steve-Slow-Train-Analysis-(2080s-and-2083s)?_g=(refreshInterval:(display:Off,pause:!f,section:0,value:0),time:(from:'2017-03-09T21:08:06-0700',mode:absolute,to:'2017-03-10T00:10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8" s="94" t="str">
        <f t="shared" si="1"/>
        <v>"C:\Program Files (x86)\AstroGrep\AstroGrep.exe" /e /r /s /spath="%USERPROFILE%\AppData\Local\Temp\OnboardLogs" /stypes="*4019*201703100*" /stext=" 06:.+((SYSTEM_STATE.+slice.+state.+changed )|(ment ac)|(multiple cpu faults)|(system.+state.+changed )|(\[timeout)|(PRM\|1\|D)|(kpr)|(kdp)|(\|lc)|(penalty))"</v>
      </c>
      <c r="U8" s="9" t="str">
        <f t="shared" si="2"/>
        <v>4019</v>
      </c>
      <c r="V8" s="32">
        <f t="shared" si="3"/>
        <v>42804.250625000001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{"issue":{"subject":"Form C","project_id":79,"tracker_id":40,"status_id":1,"priority_id":2,"assigned_to_id":23,"start_date":"2017-03-09","description":"","custom_fields":[{"id":1,"name":"Subdivision","value":"EC"},{"id":4,"name":"Milepost","value":"3.097"},{"id":17,"name":"Train ID","value":"232-09"},{"id":16,"name":"Locomotive ID","value":"4019"},{"id":130,"name":"Impact","value":""},{"id":150,"name":"Time of Event (Mountain Time)","value":"23:00:54"},{"id":151,"name":"Denver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"%USERPROFILE%\AppData\Local\Temp\OnboardLogs"\RTDC4019\*4019*201703100*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"%USERPROFILE%\AppData\Local\Temp\OnboardLogs"\RTDC4019\*4019*201703100* &gt;&gt; 2017-03-09-SliceDisagreementCheck.txt</v>
      </c>
      <c r="AE8" s="157" t="str">
        <f t="shared" ref="AE8:AE43" si="9">"start /low /b "&amp;dls3logs&amp;" --loco "&amp;U8&amp;" --day "&amp;TEXT(V8,"YYYY-MM-DD")</f>
        <v>start /low /b %USERPROFILE%\Documents\GitHub\eaglep3\Utilities\DownloadLogsFromS3.py --loco 4019 --day 2017-03-10</v>
      </c>
    </row>
    <row r="9" spans="1:32" s="1" customFormat="1" x14ac:dyDescent="0.25">
      <c r="A9" s="32">
        <v>42803.381481481483</v>
      </c>
      <c r="B9" s="30" t="s">
        <v>271</v>
      </c>
      <c r="C9" s="30" t="s">
        <v>583</v>
      </c>
      <c r="D9" s="30" t="s">
        <v>49</v>
      </c>
      <c r="E9" s="30" t="s">
        <v>195</v>
      </c>
      <c r="F9" s="43">
        <v>350</v>
      </c>
      <c r="G9" s="43">
        <v>403</v>
      </c>
      <c r="H9" s="43">
        <v>32553</v>
      </c>
      <c r="I9" s="43">
        <v>33451</v>
      </c>
      <c r="J9" s="30" t="s">
        <v>196</v>
      </c>
      <c r="K9" s="43">
        <v>33137</v>
      </c>
      <c r="L9" s="143" t="s">
        <v>50</v>
      </c>
      <c r="M9" s="144">
        <f t="shared" si="0"/>
        <v>-165.79199999999997</v>
      </c>
      <c r="N9" s="145" t="str">
        <f>VLOOKUP(C9,'Trips&amp;Operators'!$C$1:$G$99999,5,FALSE)</f>
        <v>STARKS ANGELINA</v>
      </c>
      <c r="O9" s="194" t="s">
        <v>185</v>
      </c>
      <c r="P9" s="146" t="s">
        <v>1016</v>
      </c>
      <c r="Q9" s="30"/>
      <c r="R9" s="89" t="str">
        <f>IF(VLOOKUP(C9,'Train Runs'!$A$13:$AE$9946,1,1)=C9,VLOOKUP(C9,'Train Runs'!$A$13:$AE$9946,31,1),NA())</f>
        <v>aws s3 cp s3://rtdc.mdm.uploadarchive.raw/RTDC4016/ "%USERPROFILE%\AppData\Local\Temp\OnboardLogs"\RTDC4016\2017-03-09 --exclude "*" --recursive --include "*20170309*" &amp; "%USERPROFILE%\Documents\GitHub\mrs-test-scripts\Headless Mode &amp; Sideloading\WalkAndUnGZ.bat" "%USERPROFILE%\AppData\Local\Temp\OnboardLogs"\RTDC4016\2017-03-09 &amp; aws s3 cp s3://rtdc.mdm.uploadarchive.raw/RTDC4016/ "%USERPROFILE%\AppData\Local\Temp\OnboardLogs"\RTDC4016\2017-03-10 --exclude "*" --recursive --include "*20170310*" &amp; "%USERPROFILE%\Documents\GitHub\mrs-test-scripts\Headless Mode &amp; Sideloading\WalkAndUnGZ.bat" "%USERPROFILE%\AppData\Local\Temp\OnboardLogs"\RTDC4016\2017-03-10</v>
      </c>
      <c r="S9" s="92" t="str">
        <f>IF(VLOOKUP(C9,'Train Runs'!$A$13:$AE$9946,1,1)=C9,VLOOKUP(C9,'Train Runs'!$A$13:$AE$9946,22,1),NA())</f>
        <v>https://d0f6bd738d7f1b3e5a7ca70fe4ff75f0.us-east-1.aws.found.io/app/kibana#/discover/Steve-Slow-Train-Analysis-(2080s-and-2083s)?_g=(refreshInterval:(display:Off,pause:!f,section:0,value:0),time:(from:'2017-03-09T07:55:36-0700',mode:absolute,to:'2017-03-09T10:38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9" s="94" t="str">
        <f t="shared" si="1"/>
        <v>"C:\Program Files (x86)\AstroGrep\AstroGrep.exe" /e /r /s /spath="%USERPROFILE%\AppData\Local\Temp\OnboardLogs" /stypes="*4016*201703091*" /stext=" 16:.+((SYSTEM_STATE.+slice.+state.+changed )|(ment ac)|(multiple cpu faults)|(system.+state.+changed )|(\[timeout)|(PRM\|1\|D)|(kpr)|(kdp)|(\|lc)|(penalty))"</v>
      </c>
      <c r="U9" s="9" t="str">
        <f t="shared" si="2"/>
        <v>4016</v>
      </c>
      <c r="V9" s="32">
        <f t="shared" si="3"/>
        <v>42803.673148148147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arrival","project_id":79,"tracker_id":40,"status_id":1,"priority_id":2,"assigned_to_id":23,"start_date":"2017-03-09","description":"","custom_fields":[{"id":1,"name":"Subdivision","value":"EC"},{"id":4,"name":"Milepost","value":"3.3137"},{"id":17,"name":"Train ID","value":"143-09"},{"id":16,"name":"Locomotive ID","value":"4016"},{"id":130,"name":"Impact","value":""},{"id":150,"name":"Time of Event (Mountain Time)","value":"09:09:20"},{"id":151,"name":"Denver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"%USERPROFILE%\AppData\Local\Temp\OnboardLogs"\RTDC4016\*4016*201703091*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"%USERPROFILE%\AppData\Local\Temp\OnboardLogs"\RTDC4016\*4016*201703091* &gt;&gt; 2017-03-09-SliceDisagreementCheck.txt</v>
      </c>
      <c r="AE9" s="157" t="str">
        <f t="shared" si="9"/>
        <v>start /low /b %USERPROFILE%\Documents\GitHub\eaglep3\Utilities\DownloadLogsFromS3.py --loco 4016 --day 2017-03-09</v>
      </c>
    </row>
    <row r="10" spans="1:32" s="1" customFormat="1" x14ac:dyDescent="0.25">
      <c r="A10" s="32">
        <v>42803.278900462959</v>
      </c>
      <c r="B10" s="30" t="s">
        <v>575</v>
      </c>
      <c r="C10" s="30" t="s">
        <v>578</v>
      </c>
      <c r="D10" s="30" t="s">
        <v>49</v>
      </c>
      <c r="E10" s="30" t="s">
        <v>195</v>
      </c>
      <c r="F10" s="43">
        <v>360</v>
      </c>
      <c r="G10" s="43">
        <v>410</v>
      </c>
      <c r="H10" s="43">
        <v>44292</v>
      </c>
      <c r="I10" s="43">
        <v>43013</v>
      </c>
      <c r="J10" s="30" t="s">
        <v>196</v>
      </c>
      <c r="K10" s="43">
        <v>42961</v>
      </c>
      <c r="L10" s="143" t="s">
        <v>51</v>
      </c>
      <c r="M10" s="144">
        <f t="shared" si="0"/>
        <v>27.456</v>
      </c>
      <c r="N10" s="145" t="str">
        <f>VLOOKUP(C10,'Trips&amp;Operators'!$C$1:$G$99999,5,FALSE)</f>
        <v>YOUNG ELIZABETH</v>
      </c>
      <c r="O10" s="194" t="s">
        <v>185</v>
      </c>
      <c r="P10" s="146" t="s">
        <v>1016</v>
      </c>
      <c r="Q10" s="30"/>
      <c r="R10" s="89" t="str">
        <f>IF(VLOOKUP(C10,'Train Runs'!$A$13:$AE$9946,1,1)=C10,VLOOKUP(C10,'Train Runs'!$A$13:$AE$9946,31,1),NA())</f>
        <v>aws s3 cp s3://rtdc.mdm.uploadarchive.raw/RTDC4021/ "%USERPROFILE%\AppData\Local\Temp\OnboardLogs"\RTDC4021\2017-03-09 --exclude "*" --recursive --include "*20170309*" &amp; "%USERPROFILE%\Documents\GitHub\mrs-test-scripts\Headless Mode &amp; Sideloading\WalkAndUnGZ.bat" "%USERPROFILE%\AppData\Local\Temp\OnboardLogs"\RTDC4021\2017-03-09 &amp; aws s3 cp s3://rtdc.mdm.uploadarchive.raw/RTDC4021/ "%USERPROFILE%\AppData\Local\Temp\OnboardLogs"\RTDC4021\2017-03-10 --exclude "*" --recursive --include "*20170310*" &amp; "%USERPROFILE%\Documents\GitHub\mrs-test-scripts\Headless Mode &amp; Sideloading\WalkAndUnGZ.bat" "%USERPROFILE%\AppData\Local\Temp\OnboardLogs"\RTDC4021\2017-03-10</v>
      </c>
      <c r="S10" s="92" t="str">
        <f>IF(VLOOKUP(C10,'Train Runs'!$A$13:$AE$9946,1,1)=C10,VLOOKUP(C10,'Train Runs'!$A$13:$AE$9946,22,1),NA())</f>
        <v>https://d0f6bd738d7f1b3e5a7ca70fe4ff75f0.us-east-1.aws.found.io/app/kibana#/discover/Steve-Slow-Train-Analysis-(2080s-and-2083s)?_g=(refreshInterval:(display:Off,pause:!f,section:0,value:0),time:(from:'2017-03-09T04:57:30-0700',mode:absolute,to:'2017-03-09T07:56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0" s="94" t="str">
        <f t="shared" si="1"/>
        <v>"C:\Program Files (x86)\AstroGrep\AstroGrep.exe" /e /r /s /spath="%USERPROFILE%\AppData\Local\Temp\OnboardLogs" /stypes="*4021*201703091*" /stext=" 13:.+((SYSTEM_STATE.+slice.+state.+changed )|(ment ac)|(multiple cpu faults)|(system.+state.+changed )|(\[timeout)|(PRM\|1\|D)|(kpr)|(kdp)|(\|lc)|(penalty))"</v>
      </c>
      <c r="U10" s="9" t="str">
        <f t="shared" si="2"/>
        <v>4021</v>
      </c>
      <c r="V10" s="32">
        <f t="shared" si="3"/>
        <v>42803.570567129624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arrival","project_id":79,"tracker_id":40,"status_id":1,"priority_id":2,"assigned_to_id":23,"start_date":"2017-03-09","description":"","custom_fields":[{"id":1,"name":"Subdivision","value":"EC"},{"id":4,"name":"Milepost","value":"4.2961"},{"id":17,"name":"Train ID","value":"114-09"},{"id":16,"name":"Locomotive ID","value":"4021"},{"id":130,"name":"Impact","value":""},{"id":150,"name":"Time of Event (Mountain Time)","value":"06:41:37"},{"id":151,"name":"Denver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"%USERPROFILE%\AppData\Local\Temp\OnboardLogs"\RTDC4021\*4021*201703091*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"%USERPROFILE%\AppData\Local\Temp\OnboardLogs"\RTDC4021\*4021*201703091* &gt;&gt; 2017-03-09-SliceDisagreementCheck.txt</v>
      </c>
      <c r="AE10" s="157" t="str">
        <f t="shared" si="9"/>
        <v>start /low /b %USERPROFILE%\Documents\GitHub\eaglep3\Utilities\DownloadLogsFromS3.py --loco 4021 --day 2017-03-09</v>
      </c>
    </row>
    <row r="11" spans="1:32" s="1" customFormat="1" x14ac:dyDescent="0.25">
      <c r="A11" s="32">
        <v>42803.433518518519</v>
      </c>
      <c r="B11" s="30" t="s">
        <v>272</v>
      </c>
      <c r="C11" s="30" t="s">
        <v>584</v>
      </c>
      <c r="D11" s="30" t="s">
        <v>49</v>
      </c>
      <c r="E11" s="30" t="s">
        <v>195</v>
      </c>
      <c r="F11" s="43">
        <v>540</v>
      </c>
      <c r="G11" s="43">
        <v>602</v>
      </c>
      <c r="H11" s="43">
        <v>44437</v>
      </c>
      <c r="I11" s="43">
        <v>42340</v>
      </c>
      <c r="J11" s="30" t="s">
        <v>196</v>
      </c>
      <c r="K11" s="43">
        <v>42961</v>
      </c>
      <c r="L11" s="143" t="s">
        <v>51</v>
      </c>
      <c r="M11" s="144">
        <f t="shared" si="0"/>
        <v>-327.88799999999998</v>
      </c>
      <c r="N11" s="145" t="str">
        <f>VLOOKUP(C11,'Trips&amp;Operators'!$C$1:$G$99999,5,FALSE)</f>
        <v>STARKS ANGELINA</v>
      </c>
      <c r="O11" s="194" t="s">
        <v>185</v>
      </c>
      <c r="P11" s="146" t="s">
        <v>1016</v>
      </c>
      <c r="Q11" s="30"/>
      <c r="R11" s="89" t="str">
        <f>IF(VLOOKUP(C11,'Train Runs'!$A$13:$AE$9946,1,1)=C11,VLOOKUP(C11,'Train Runs'!$A$13:$AE$9946,31,1),NA())</f>
        <v>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 &amp; aws s3 cp s3://rtdc.mdm.uploadarchive.raw/RTDC4015/ "%USERPROFILE%\AppData\Local\Temp\OnboardLogs"\RTDC4015\2017-03-10 --exclude "*" --recursive --include "*20170310*" &amp; "%USERPROFILE%\Documents\GitHub\mrs-test-scripts\Headless Mode &amp; Sideloading\WalkAndUnGZ.bat" "%USERPROFILE%\AppData\Local\Temp\OnboardLogs"\RTDC4015\2017-03-10</v>
      </c>
      <c r="S11" s="92" t="str">
        <f>IF(VLOOKUP(C11,'Train Runs'!$A$13:$AE$9946,1,1)=C11,VLOOKUP(C11,'Train Runs'!$A$13:$AE$9946,22,1),NA())</f>
        <v>https://d0f6bd738d7f1b3e5a7ca70fe4ff75f0.us-east-1.aws.found.io/app/kibana#/discover/Steve-Slow-Train-Analysis-(2080s-and-2083s)?_g=(refreshInterval:(display:Off,pause:!f,section:0,value:0),time:(from:'2017-03-09T08:52:42-0700',mode:absolute,to:'2017-03-09T11:37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1" s="94" t="str">
        <f t="shared" si="1"/>
        <v>"C:\Program Files (x86)\AstroGrep\AstroGrep.exe" /e /r /s /spath="%USERPROFILE%\AppData\Local\Temp\OnboardLogs" /stypes="*4015*201703091*" /stext=" 17:.+((SYSTEM_STATE.+slice.+state.+changed )|(ment ac)|(multiple cpu faults)|(system.+state.+changed )|(\[timeout)|(PRM\|1\|D)|(kpr)|(kdp)|(\|lc)|(penalty))"</v>
      </c>
      <c r="U11" s="9" t="str">
        <f t="shared" si="2"/>
        <v>4015</v>
      </c>
      <c r="V11" s="32">
        <f t="shared" si="3"/>
        <v>42803.725185185183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arrival","project_id":79,"tracker_id":40,"status_id":1,"priority_id":2,"assigned_to_id":23,"start_date":"2017-03-09","description":"","custom_fields":[{"id":1,"name":"Subdivision","value":"EC"},{"id":4,"name":"Milepost","value":"4.2961"},{"id":17,"name":"Train ID","value":"144-09"},{"id":16,"name":"Locomotive ID","value":"4015"},{"id":130,"name":"Impact","value":""},{"id":150,"name":"Time of Event (Mountain Time)","value":"10:24:16"},{"id":151,"name":"Denver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"%USERPROFILE%\AppData\Local\Temp\OnboardLogs"\RTDC4015\*4015*201703091*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"%USERPROFILE%\AppData\Local\Temp\OnboardLogs"\RTDC4015\*4015*201703091* &gt;&gt; 2017-03-09-SliceDisagreementCheck.txt</v>
      </c>
      <c r="AE11" s="157" t="str">
        <f t="shared" si="9"/>
        <v>start /low /b %USERPROFILE%\Documents\GitHub\eaglep3\Utilities\DownloadLogsFromS3.py --loco 4015 --day 2017-03-09</v>
      </c>
    </row>
    <row r="12" spans="1:32" s="1" customFormat="1" x14ac:dyDescent="0.25">
      <c r="A12" s="32">
        <v>42803.331203703703</v>
      </c>
      <c r="B12" s="30" t="s">
        <v>420</v>
      </c>
      <c r="C12" s="30" t="s">
        <v>580</v>
      </c>
      <c r="D12" s="30" t="s">
        <v>49</v>
      </c>
      <c r="E12" s="30" t="s">
        <v>195</v>
      </c>
      <c r="F12" s="43">
        <v>470</v>
      </c>
      <c r="G12" s="43">
        <v>542</v>
      </c>
      <c r="H12" s="43">
        <v>46615</v>
      </c>
      <c r="I12" s="43">
        <v>48516</v>
      </c>
      <c r="J12" s="30" t="s">
        <v>196</v>
      </c>
      <c r="K12" s="43">
        <v>47866</v>
      </c>
      <c r="L12" s="143" t="s">
        <v>50</v>
      </c>
      <c r="M12" s="144">
        <f t="shared" si="0"/>
        <v>-343.2</v>
      </c>
      <c r="N12" s="145" t="str">
        <f>VLOOKUP(C12,'Trips&amp;Operators'!$C$1:$G$99999,5,FALSE)</f>
        <v>COOLAHAN JOHN</v>
      </c>
      <c r="O12" s="194" t="s">
        <v>185</v>
      </c>
      <c r="P12" s="146" t="s">
        <v>1016</v>
      </c>
      <c r="Q12" s="30"/>
      <c r="R12" s="89" t="str">
        <f>IF(VLOOKUP(C12,'Train Runs'!$A$13:$AE$9946,1,1)=C12,VLOOKUP(C12,'Train Runs'!$A$13:$AE$9946,31,1),NA())</f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S12" s="92" t="str">
        <f>IF(VLOOKUP(C12,'Train Runs'!$A$13:$AE$9946,1,1)=C12,VLOOKUP(C12,'Train Runs'!$A$13:$AE$9946,22,1),NA())</f>
        <v>https://d0f6bd738d7f1b3e5a7ca70fe4ff75f0.us-east-1.aws.found.io/app/kibana#/discover/Steve-Slow-Train-Analysis-(2080s-and-2083s)?_g=(refreshInterval:(display:Off,pause:!f,section:0,value:0),time:(from:'2017-03-09T06:38:07-0700',mode:absolute,to:'2017-03-09T09:21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2" s="94" t="str">
        <f t="shared" si="1"/>
        <v>"C:\Program Files (x86)\AstroGrep\AstroGrep.exe" /e /r /s /spath="%USERPROFILE%\AppData\Local\Temp\OnboardLogs" /stypes="*4003*201703091*" /stext=" 14:.+((SYSTEM_STATE.+slice.+state.+changed )|(ment ac)|(multiple cpu faults)|(system.+state.+changed )|(\[timeout)|(PRM\|1\|D)|(kpr)|(kdp)|(\|lc)|(penalty))"</v>
      </c>
      <c r="U12" s="9" t="str">
        <f t="shared" si="2"/>
        <v>4003</v>
      </c>
      <c r="V12" s="32">
        <f t="shared" si="3"/>
        <v>42803.622870370367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arrival","project_id":79,"tracker_id":40,"status_id":1,"priority_id":2,"assigned_to_id":23,"start_date":"2017-03-09","description":"","custom_fields":[{"id":1,"name":"Subdivision","value":"EC"},{"id":4,"name":"Milepost","value":"4.7866"},{"id":17,"name":"Train ID","value":"133-09"},{"id":16,"name":"Locomotive ID","value":"4003"},{"id":130,"name":"Impact","value":""},{"id":150,"name":"Time of Event (Mountain Time)","value":"07:56:56"},{"id":151,"name":"Denver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"%USERPROFILE%\AppData\Local\Temp\OnboardLogs"\RTDC4003\*4003*201703091*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"%USERPROFILE%\AppData\Local\Temp\OnboardLogs"\RTDC4003\*4003*201703091* &gt;&gt; 2017-03-09-SliceDisagreementCheck.txt</v>
      </c>
      <c r="AE12" s="157" t="str">
        <f t="shared" si="9"/>
        <v>start /low /b %USERPROFILE%\Documents\GitHub\eaglep3\Utilities\DownloadLogsFromS3.py --loco 4003 --day 2017-03-09</v>
      </c>
    </row>
    <row r="13" spans="1:32" s="1" customFormat="1" x14ac:dyDescent="0.25">
      <c r="A13" s="32">
        <v>42803.552627314813</v>
      </c>
      <c r="B13" s="30" t="s">
        <v>420</v>
      </c>
      <c r="C13" s="30" t="s">
        <v>591</v>
      </c>
      <c r="D13" s="30" t="s">
        <v>49</v>
      </c>
      <c r="E13" s="30" t="s">
        <v>195</v>
      </c>
      <c r="F13" s="43">
        <v>20</v>
      </c>
      <c r="G13" s="43">
        <v>83</v>
      </c>
      <c r="H13" s="43">
        <v>62993</v>
      </c>
      <c r="I13" s="43">
        <v>63137</v>
      </c>
      <c r="J13" s="30" t="s">
        <v>196</v>
      </c>
      <c r="K13" s="43">
        <v>63069</v>
      </c>
      <c r="L13" s="143" t="s">
        <v>50</v>
      </c>
      <c r="M13" s="144">
        <f t="shared" si="0"/>
        <v>-35.904000000000003</v>
      </c>
      <c r="N13" s="145" t="str">
        <f>VLOOKUP(C13,'Trips&amp;Operators'!$C$1:$G$99999,5,FALSE)</f>
        <v>STRICKLAND EVAN</v>
      </c>
      <c r="O13" s="194" t="s">
        <v>185</v>
      </c>
      <c r="P13" s="146" t="s">
        <v>1016</v>
      </c>
      <c r="Q13" s="30"/>
      <c r="R13" s="89" t="str">
        <f>IF(VLOOKUP(C13,'Train Runs'!$A$13:$AE$9946,1,1)=C13,VLOOKUP(C13,'Train Runs'!$A$13:$AE$9946,31,1),NA())</f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S13" s="92" t="str">
        <f>IF(VLOOKUP(C13,'Train Runs'!$A$13:$AE$9946,1,1)=C13,VLOOKUP(C13,'Train Runs'!$A$13:$AE$9946,22,1),NA())</f>
        <v>https://d0f6bd738d7f1b3e5a7ca70fe4ff75f0.us-east-1.aws.found.io/app/kibana#/discover/Steve-Slow-Train-Analysis-(2080s-and-2083s)?_g=(refreshInterval:(display:Off,pause:!f,section:0,value:0),time:(from:'2017-03-09T11:52:55-0700',mode:absolute,to:'2017-03-09T14:48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3" s="94" t="str">
        <f t="shared" si="1"/>
        <v>"C:\Program Files (x86)\AstroGrep\AstroGrep.exe" /e /r /s /spath="%USERPROFILE%\AppData\Local\Temp\OnboardLogs" /stypes="*4003*201703092*" /stext=" 20:.+((SYSTEM_STATE.+slice.+state.+changed )|(ment ac)|(multiple cpu faults)|(system.+state.+changed )|(\[timeout)|(PRM\|1\|D)|(kpr)|(kdp)|(\|lc)|(penalty))"</v>
      </c>
      <c r="U13" s="9" t="str">
        <f t="shared" si="2"/>
        <v>4003</v>
      </c>
      <c r="V13" s="32">
        <f t="shared" si="3"/>
        <v>42803.844293981478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arrival","project_id":79,"tracker_id":40,"status_id":1,"priority_id":2,"assigned_to_id":23,"start_date":"2017-03-09","description":"","custom_fields":[{"id":1,"name":"Subdivision","value":"EC"},{"id":4,"name":"Milepost","value":"6.3069"},{"id":17,"name":"Train ID","value":"175-09"},{"id":16,"name":"Locomotive ID","value":"4003"},{"id":130,"name":"Impact","value":""},{"id":150,"name":"Time of Event (Mountain Time)","value":"13:15:47"},{"id":151,"name":"Denver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"%USERPROFILE%\AppData\Local\Temp\OnboardLogs"\RTDC4003\*4003*201703092*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"%USERPROFILE%\AppData\Local\Temp\OnboardLogs"\RTDC4003\*4003*201703092* &gt;&gt; 2017-03-09-SliceDisagreementCheck.txt</v>
      </c>
      <c r="AE13" s="157" t="str">
        <f t="shared" si="9"/>
        <v>start /low /b %USERPROFILE%\Documents\GitHub\eaglep3\Utilities\DownloadLogsFromS3.py --loco 4003 --day 2017-03-09</v>
      </c>
    </row>
    <row r="14" spans="1:32" x14ac:dyDescent="0.25">
      <c r="A14" s="32">
        <v>42803.552106481482</v>
      </c>
      <c r="B14" s="30" t="s">
        <v>420</v>
      </c>
      <c r="C14" s="30" t="s">
        <v>591</v>
      </c>
      <c r="D14" s="30" t="s">
        <v>49</v>
      </c>
      <c r="E14" s="30" t="s">
        <v>195</v>
      </c>
      <c r="F14" s="43">
        <v>410</v>
      </c>
      <c r="G14" s="43">
        <v>541</v>
      </c>
      <c r="H14" s="43">
        <v>60758</v>
      </c>
      <c r="I14" s="43">
        <v>62870</v>
      </c>
      <c r="J14" s="30" t="s">
        <v>196</v>
      </c>
      <c r="K14" s="43">
        <v>63069</v>
      </c>
      <c r="L14" s="143" t="s">
        <v>50</v>
      </c>
      <c r="M14" s="144">
        <f t="shared" si="0"/>
        <v>105.072</v>
      </c>
      <c r="N14" s="145" t="str">
        <f>VLOOKUP(C14,'Trips&amp;Operators'!$C$1:$G$99999,5,FALSE)</f>
        <v>STRICKLAND EVAN</v>
      </c>
      <c r="O14" s="194" t="s">
        <v>185</v>
      </c>
      <c r="P14" s="146" t="s">
        <v>1016</v>
      </c>
      <c r="Q14" s="30"/>
      <c r="R14" s="89" t="str">
        <f>IF(VLOOKUP(C14,'Train Runs'!$A$13:$AE$9946,1,1)=C14,VLOOKUP(C14,'Train Runs'!$A$13:$AE$9946,31,1),NA())</f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S14" s="92" t="str">
        <f>IF(VLOOKUP(C14,'Train Runs'!$A$13:$AE$9946,1,1)=C14,VLOOKUP(C14,'Train Runs'!$A$13:$AE$9946,22,1),NA())</f>
        <v>https://d0f6bd738d7f1b3e5a7ca70fe4ff75f0.us-east-1.aws.found.io/app/kibana#/discover/Steve-Slow-Train-Analysis-(2080s-and-2083s)?_g=(refreshInterval:(display:Off,pause:!f,section:0,value:0),time:(from:'2017-03-09T11:52:55-0700',mode:absolute,to:'2017-03-09T14:48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4" s="94" t="str">
        <f t="shared" si="1"/>
        <v>"C:\Program Files (x86)\AstroGrep\AstroGrep.exe" /e /r /s /spath="%USERPROFILE%\AppData\Local\Temp\OnboardLogs" /stypes="*4003*201703092*" /stext=" 20:.+((SYSTEM_STATE.+slice.+state.+changed )|(ment ac)|(multiple cpu faults)|(system.+state.+changed )|(\[timeout)|(PRM\|1\|D)|(kpr)|(kdp)|(\|lc)|(penalty))"</v>
      </c>
      <c r="U14" s="9" t="str">
        <f t="shared" si="2"/>
        <v>4003</v>
      </c>
      <c r="V14" s="32">
        <f t="shared" si="3"/>
        <v>42803.843773148146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arrival","project_id":79,"tracker_id":40,"status_id":1,"priority_id":2,"assigned_to_id":23,"start_date":"2017-03-09","description":"","custom_fields":[{"id":1,"name":"Subdivision","value":"EC"},{"id":4,"name":"Milepost","value":"6.3069"},{"id":17,"name":"Train ID","value":"175-09"},{"id":16,"name":"Locomotive ID","value":"4003"},{"id":130,"name":"Impact","value":""},{"id":150,"name":"Time of Event (Mountain Time)","value":"13:15:02"},{"id":151,"name":"Denver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"%USERPROFILE%\AppData\Local\Temp\OnboardLogs"\RTDC4003\*4003*201703092*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"%USERPROFILE%\AppData\Local\Temp\OnboardLogs"\RTDC4003\*4003*201703092* &gt;&gt; 2017-03-09-SliceDisagreementCheck.txt</v>
      </c>
      <c r="AE14" s="157" t="str">
        <f t="shared" si="9"/>
        <v>start /low /b %USERPROFILE%\Documents\GitHub\eaglep3\Utilities\DownloadLogsFromS3.py --loco 4003 --day 2017-03-09</v>
      </c>
      <c r="AF14" s="1"/>
    </row>
    <row r="15" spans="1:32" x14ac:dyDescent="0.25">
      <c r="A15" s="32">
        <v>42804.015011574076</v>
      </c>
      <c r="B15" s="30" t="s">
        <v>602</v>
      </c>
      <c r="C15" s="30" t="s">
        <v>613</v>
      </c>
      <c r="D15" s="30" t="s">
        <v>98</v>
      </c>
      <c r="E15" s="30" t="s">
        <v>195</v>
      </c>
      <c r="F15" s="43">
        <v>0</v>
      </c>
      <c r="G15" s="43">
        <v>84</v>
      </c>
      <c r="H15" s="43">
        <v>63309</v>
      </c>
      <c r="I15" s="43">
        <v>63220</v>
      </c>
      <c r="J15" s="30" t="s">
        <v>196</v>
      </c>
      <c r="K15" s="43">
        <v>63309</v>
      </c>
      <c r="L15" s="143" t="s">
        <v>51</v>
      </c>
      <c r="M15" s="144">
        <f t="shared" si="0"/>
        <v>-46.991999999999997</v>
      </c>
      <c r="N15" s="145" t="str">
        <f>VLOOKUP(C15,'Trips&amp;Operators'!$C$1:$G$99999,5,FALSE)</f>
        <v>CHANDLER KELVIN</v>
      </c>
      <c r="O15" s="194" t="s">
        <v>185</v>
      </c>
      <c r="P15" s="146" t="s">
        <v>1016</v>
      </c>
      <c r="Q15" s="30"/>
      <c r="R15" s="89" t="str">
        <f>IF(VLOOKUP(C15,'Train Runs'!$A$13:$AE$9946,1,1)=C15,VLOOKUP(C15,'Train Runs'!$A$13:$AE$9946,31,1),NA())</f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S15" s="92" t="str">
        <f>IF(VLOOKUP(C15,'Train Runs'!$A$13:$AE$9946,1,1)=C15,VLOOKUP(C15,'Train Runs'!$A$13:$AE$9946,22,1),NA())</f>
        <v>https://d0f6bd738d7f1b3e5a7ca70fe4ff75f0.us-east-1.aws.found.io/app/kibana#/discover/Steve-Slow-Train-Analysis-(2080s-and-2083s)?_g=(refreshInterval:(display:Off,pause:!f,section:0,value:0),time:(from:'2017-03-09T22:54:03-0700',mode:absolute,to:'2017-03-10T01:37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5" s="94" t="str">
        <f t="shared" si="1"/>
        <v>"C:\Program Files (x86)\AstroGrep\AstroGrep.exe" /e /r /s /spath="%USERPROFILE%\AppData\Local\Temp\OnboardLogs" /stypes="*4043*201703100*" /stext=" 07:.+((SYSTEM_STATE.+slice.+state.+changed )|(ment ac)|(multiple cpu faults)|(system.+state.+changed )|(\[timeout)|(PRM\|1\|D)|(kpr)|(kdp)|(\|lc)|(penalty))"</v>
      </c>
      <c r="U15" s="9" t="str">
        <f t="shared" si="2"/>
        <v>4043</v>
      </c>
      <c r="V15" s="32">
        <f t="shared" si="3"/>
        <v>42804.30667824074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arrival","project_id":79,"tracker_id":40,"status_id":1,"priority_id":2,"assigned_to_id":23,"start_date":"2017-03-10","description":"","custom_fields":[{"id":1,"name":"Subdivision","value":"EC"},{"id":4,"name":"Milepost","value":"6.3309"},{"id":17,"name":"Train ID","value":"238-09"},{"id":16,"name":"Locomotive ID","value":"4043"},{"id":130,"name":"Impact","value":""},{"id":150,"name":"Time of Event (Mountain Time)","value":"00:21:37"},{"id":151,"name":"Denver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"%USERPROFILE%\AppData\Local\Temp\OnboardLogs"\RTDC4043\*4043*201703100*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"%USERPROFILE%\AppData\Local\Temp\OnboardLogs"\RTDC4043\*4043*201703100* &gt;&gt; 2017-03-09-SliceDisagreementCheck.txt</v>
      </c>
      <c r="AE15" s="157" t="str">
        <f t="shared" si="9"/>
        <v>start /low /b %USERPROFILE%\Documents\GitHub\eaglep3\Utilities\DownloadLogsFromS3.py --loco 4043 --day 2017-03-10</v>
      </c>
      <c r="AF15" s="1"/>
    </row>
    <row r="16" spans="1:32" x14ac:dyDescent="0.25">
      <c r="A16" s="32">
        <v>42803.54650462963</v>
      </c>
      <c r="B16" s="30" t="s">
        <v>502</v>
      </c>
      <c r="C16" s="30" t="s">
        <v>588</v>
      </c>
      <c r="D16" s="30" t="s">
        <v>49</v>
      </c>
      <c r="E16" s="30" t="s">
        <v>195</v>
      </c>
      <c r="F16" s="43">
        <v>80</v>
      </c>
      <c r="G16" s="43">
        <v>136</v>
      </c>
      <c r="H16" s="43">
        <v>64002</v>
      </c>
      <c r="I16" s="43">
        <v>63748</v>
      </c>
      <c r="J16" s="30" t="s">
        <v>196</v>
      </c>
      <c r="K16" s="43">
        <v>63309</v>
      </c>
      <c r="L16" s="143" t="s">
        <v>51</v>
      </c>
      <c r="M16" s="144">
        <f t="shared" si="0"/>
        <v>231.792</v>
      </c>
      <c r="N16" s="145" t="str">
        <f>VLOOKUP(C16,'Trips&amp;Operators'!$C$1:$G$99999,5,FALSE)</f>
        <v>SMITH MICHAEL</v>
      </c>
      <c r="O16" s="194" t="s">
        <v>185</v>
      </c>
      <c r="P16" s="146" t="s">
        <v>1016</v>
      </c>
      <c r="Q16" s="30"/>
      <c r="R16" s="89" t="str">
        <f>IF(VLOOKUP(C16,'Train Runs'!$A$13:$AE$9946,1,1)=C16,VLOOKUP(C16,'Train Runs'!$A$13:$AE$9946,31,1),NA())</f>
        <v>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 &amp; 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</v>
      </c>
      <c r="S16" s="92" t="str">
        <f>IF(VLOOKUP(C16,'Train Runs'!$A$13:$AE$9946,1,1)=C16,VLOOKUP(C16,'Train Runs'!$A$13:$AE$9946,22,1),NA())</f>
        <v>https://d0f6bd738d7f1b3e5a7ca70fe4ff75f0.us-east-1.aws.found.io/app/kibana#/discover/Steve-Slow-Train-Analysis-(2080s-and-2083s)?_g=(refreshInterval:(display:Off,pause:!f,section:0,value:0),time:(from:'2017-03-09T11:35:18-0700',mode:absolute,to:'2017-03-09T14:23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6" s="94" t="str">
        <f t="shared" si="1"/>
        <v>"C:\Program Files (x86)\AstroGrep\AstroGrep.exe" /e /r /s /spath="%USERPROFILE%\AppData\Local\Temp\OnboardLogs" /stypes="*4039*201703092*" /stext=" 20:.+((SYSTEM_STATE.+slice.+state.+changed )|(ment ac)|(multiple cpu faults)|(system.+state.+changed )|(\[timeout)|(PRM\|1\|D)|(kpr)|(kdp)|(\|lc)|(penalty))"</v>
      </c>
      <c r="U16" s="9" t="str">
        <f t="shared" si="2"/>
        <v>4039</v>
      </c>
      <c r="V16" s="32">
        <f t="shared" si="3"/>
        <v>42803.838171296295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arrival","project_id":79,"tracker_id":40,"status_id":1,"priority_id":2,"assigned_to_id":23,"start_date":"2017-03-09","description":"","custom_fields":[{"id":1,"name":"Subdivision","value":"EC"},{"id":4,"name":"Milepost","value":"6.3309"},{"id":17,"name":"Train ID","value":"166-09"},{"id":16,"name":"Locomotive ID","value":"4039"},{"id":130,"name":"Impact","value":""},{"id":150,"name":"Time of Event (Mountain Time)","value":"13:06:58"},{"id":151,"name":"Denver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"%USERPROFILE%\AppData\Local\Temp\OnboardLogs"\RTDC4039\*4039*201703092*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"%USERPROFILE%\AppData\Local\Temp\OnboardLogs"\RTDC4039\*4039*201703092* &gt;&gt; 2017-03-09-SliceDisagreementCheck.txt</v>
      </c>
      <c r="AE16" s="157" t="str">
        <f t="shared" si="9"/>
        <v>start /low /b %USERPROFILE%\Documents\GitHub\eaglep3\Utilities\DownloadLogsFromS3.py --loco 4039 --day 2017-03-09</v>
      </c>
      <c r="AF16" s="1"/>
    </row>
    <row r="17" spans="1:32" x14ac:dyDescent="0.25">
      <c r="A17" s="32">
        <v>42803.658553240741</v>
      </c>
      <c r="B17" s="30" t="s">
        <v>272</v>
      </c>
      <c r="C17" s="30" t="s">
        <v>598</v>
      </c>
      <c r="D17" s="30" t="s">
        <v>49</v>
      </c>
      <c r="E17" s="30" t="s">
        <v>195</v>
      </c>
      <c r="F17" s="43">
        <v>470</v>
      </c>
      <c r="G17" s="43">
        <v>559</v>
      </c>
      <c r="H17" s="43">
        <v>79641</v>
      </c>
      <c r="I17" s="43">
        <v>78099</v>
      </c>
      <c r="J17" s="30" t="s">
        <v>196</v>
      </c>
      <c r="K17" s="43">
        <v>78469</v>
      </c>
      <c r="L17" s="143" t="s">
        <v>51</v>
      </c>
      <c r="M17" s="144">
        <f t="shared" si="0"/>
        <v>-195.36</v>
      </c>
      <c r="N17" s="145" t="str">
        <f>VLOOKUP(C17,'Trips&amp;Operators'!$C$1:$G$99999,5,FALSE)</f>
        <v>BRANDNER MELINDA</v>
      </c>
      <c r="O17" s="194" t="s">
        <v>185</v>
      </c>
      <c r="P17" s="146" t="s">
        <v>1016</v>
      </c>
      <c r="Q17" s="30"/>
      <c r="R17" s="89" t="str">
        <f>IF(VLOOKUP(C17,'Train Runs'!$A$13:$AE$9946,1,1)=C17,VLOOKUP(C17,'Train Runs'!$A$13:$AE$9946,31,1),NA())</f>
        <v>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 &amp; aws s3 cp s3://rtdc.mdm.uploadarchive.raw/RTDC4015/ "%USERPROFILE%\AppData\Local\Temp\OnboardLogs"\RTDC4015\2017-03-10 --exclude "*" --recursive --include "*20170310*" &amp; "%USERPROFILE%\Documents\GitHub\mrs-test-scripts\Headless Mode &amp; Sideloading\WalkAndUnGZ.bat" "%USERPROFILE%\AppData\Local\Temp\OnboardLogs"\RTDC4015\2017-03-10</v>
      </c>
      <c r="S17" s="92" t="str">
        <f>IF(VLOOKUP(C17,'Train Runs'!$A$13:$AE$9946,1,1)=C17,VLOOKUP(C17,'Train Runs'!$A$13:$AE$9946,22,1),NA())</f>
        <v>https://d0f6bd738d7f1b3e5a7ca70fe4ff75f0.us-east-1.aws.found.io/app/kibana#/discover/Steve-Slow-Train-Analysis-(2080s-and-2083s)?_g=(refreshInterval:(display:Off,pause:!f,section:0,value:0),time:(from:'2017-03-09T14:19:06-0700',mode:absolute,to:'2017-03-09T17:10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7" s="94" t="str">
        <f t="shared" si="1"/>
        <v>"C:\Program Files (x86)\AstroGrep\AstroGrep.exe" /e /r /s /spath="%USERPROFILE%\AppData\Local\Temp\OnboardLogs" /stypes="*4015*201703092*" /stext=" 22:.+((SYSTEM_STATE.+slice.+state.+changed )|(ment ac)|(multiple cpu faults)|(system.+state.+changed )|(\[timeout)|(PRM\|1\|D)|(kpr)|(kdp)|(\|lc)|(penalty))"</v>
      </c>
      <c r="U17" s="9" t="str">
        <f t="shared" si="2"/>
        <v>4015</v>
      </c>
      <c r="V17" s="32">
        <f t="shared" si="3"/>
        <v>42803.950219907405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arrival","project_id":79,"tracker_id":40,"status_id":1,"priority_id":2,"assigned_to_id":23,"start_date":"2017-03-09","description":"","custom_fields":[{"id":1,"name":"Subdivision","value":"EC"},{"id":4,"name":"Milepost","value":"7.8469"},{"id":17,"name":"Train ID","value":"188-09"},{"id":16,"name":"Locomotive ID","value":"4015"},{"id":130,"name":"Impact","value":""},{"id":150,"name":"Time of Event (Mountain Time)","value":"15:48:19"},{"id":151,"name":"Denver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"%USERPROFILE%\AppData\Local\Temp\OnboardLogs"\RTDC4015\*4015*201703092*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"%USERPROFILE%\AppData\Local\Temp\OnboardLogs"\RTDC4015\*4015*201703092* &gt;&gt; 2017-03-09-SliceDisagreementCheck.txt</v>
      </c>
      <c r="AE17" s="157" t="str">
        <f t="shared" si="9"/>
        <v>start /low /b %USERPROFILE%\Documents\GitHub\eaglep3\Utilities\DownloadLogsFromS3.py --loco 4015 --day 2017-03-09</v>
      </c>
      <c r="AF17" s="1"/>
    </row>
    <row r="18" spans="1:32" ht="15" customHeight="1" x14ac:dyDescent="0.25">
      <c r="A18" s="32">
        <v>42803.281157407408</v>
      </c>
      <c r="B18" s="30" t="s">
        <v>272</v>
      </c>
      <c r="C18" s="30" t="s">
        <v>579</v>
      </c>
      <c r="D18" s="30" t="s">
        <v>49</v>
      </c>
      <c r="E18" s="30" t="s">
        <v>195</v>
      </c>
      <c r="F18" s="43">
        <v>390</v>
      </c>
      <c r="G18" s="43">
        <v>441</v>
      </c>
      <c r="H18" s="43">
        <v>104884</v>
      </c>
      <c r="I18" s="43">
        <v>103718</v>
      </c>
      <c r="J18" s="30" t="s">
        <v>196</v>
      </c>
      <c r="K18" s="43">
        <v>103800</v>
      </c>
      <c r="L18" s="143" t="s">
        <v>51</v>
      </c>
      <c r="M18" s="144">
        <f t="shared" si="0"/>
        <v>-43.296000000000006</v>
      </c>
      <c r="N18" s="145" t="str">
        <f>VLOOKUP(C18,'Trips&amp;Operators'!$C$1:$G$99999,5,FALSE)</f>
        <v>STARKS ANGELINA</v>
      </c>
      <c r="O18" s="194" t="s">
        <v>185</v>
      </c>
      <c r="P18" s="146" t="s">
        <v>1016</v>
      </c>
      <c r="Q18" s="30"/>
      <c r="R18" s="89" t="str">
        <f>IF(VLOOKUP(C18,'Train Runs'!$A$13:$AE$9946,1,1)=C18,VLOOKUP(C18,'Train Runs'!$A$13:$AE$9946,31,1),NA())</f>
        <v>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 &amp; aws s3 cp s3://rtdc.mdm.uploadarchive.raw/RTDC4015/ "%USERPROFILE%\AppData\Local\Temp\OnboardLogs"\RTDC4015\2017-03-10 --exclude "*" --recursive --include "*20170310*" &amp; "%USERPROFILE%\Documents\GitHub\mrs-test-scripts\Headless Mode &amp; Sideloading\WalkAndUnGZ.bat" "%USERPROFILE%\AppData\Local\Temp\OnboardLogs"\RTDC4015\2017-03-10</v>
      </c>
      <c r="S18" s="92" t="str">
        <f>IF(VLOOKUP(C18,'Train Runs'!$A$13:$AE$9946,1,1)=C18,VLOOKUP(C18,'Train Runs'!$A$13:$AE$9946,22,1),NA())</f>
        <v>https://d0f6bd738d7f1b3e5a7ca70fe4ff75f0.us-east-1.aws.found.io/app/kibana#/discover/Steve-Slow-Train-Analysis-(2080s-and-2083s)?_g=(refreshInterval:(display:Off,pause:!f,section:0,value:0),time:(from:'2017-03-09T05:22:12-0700',mode:absolute,to:'2017-03-09T08:07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8" s="94" t="str">
        <f t="shared" si="1"/>
        <v>"C:\Program Files (x86)\AstroGrep\AstroGrep.exe" /e /r /s /spath="%USERPROFILE%\AppData\Local\Temp\OnboardLogs" /stypes="*4015*201703091*" /stext=" 13:.+((SYSTEM_STATE.+slice.+state.+changed )|(ment ac)|(multiple cpu faults)|(system.+state.+changed )|(\[timeout)|(PRM\|1\|D)|(kpr)|(kdp)|(\|lc)|(penalty))"</v>
      </c>
      <c r="U18" s="9" t="str">
        <f t="shared" si="2"/>
        <v>4015</v>
      </c>
      <c r="V18" s="32">
        <f t="shared" si="3"/>
        <v>42803.572824074072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arrival","project_id":79,"tracker_id":40,"status_id":1,"priority_id":2,"assigned_to_id":23,"start_date":"2017-03-09","description":"","custom_fields":[{"id":1,"name":"Subdivision","value":"EC"},{"id":4,"name":"Milepost","value":"10.38"},{"id":17,"name":"Train ID","value":"116-09"},{"id":16,"name":"Locomotive ID","value":"4015"},{"id":130,"name":"Impact","value":""},{"id":150,"name":"Time of Event (Mountain Time)","value":"06:44:52"},{"id":151,"name":"Denver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"%USERPROFILE%\AppData\Local\Temp\OnboardLogs"\RTDC4015\*4015*201703091*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"%USERPROFILE%\AppData\Local\Temp\OnboardLogs"\RTDC4015\*4015*201703091* &gt;&gt; 2017-03-09-SliceDisagreementCheck.txt</v>
      </c>
      <c r="AE18" s="157" t="str">
        <f t="shared" si="9"/>
        <v>start /low /b %USERPROFILE%\Documents\GitHub\eaglep3\Utilities\DownloadLogsFromS3.py --loco 4015 --day 2017-03-09</v>
      </c>
      <c r="AF18" s="1"/>
    </row>
    <row r="19" spans="1:32" x14ac:dyDescent="0.25">
      <c r="A19" s="32">
        <v>42803.550370370373</v>
      </c>
      <c r="B19" s="30" t="s">
        <v>589</v>
      </c>
      <c r="C19" s="30" t="s">
        <v>590</v>
      </c>
      <c r="D19" s="30" t="s">
        <v>49</v>
      </c>
      <c r="E19" s="30" t="s">
        <v>195</v>
      </c>
      <c r="F19" s="43">
        <v>0</v>
      </c>
      <c r="G19" s="43">
        <v>124</v>
      </c>
      <c r="H19" s="43">
        <v>127142</v>
      </c>
      <c r="I19" s="43">
        <v>127307</v>
      </c>
      <c r="J19" s="30" t="s">
        <v>196</v>
      </c>
      <c r="K19" s="43">
        <v>127560</v>
      </c>
      <c r="L19" s="143" t="s">
        <v>50</v>
      </c>
      <c r="M19" s="144">
        <f t="shared" si="0"/>
        <v>133.584</v>
      </c>
      <c r="N19" s="145" t="str">
        <f>VLOOKUP(C19,'Trips&amp;Operators'!$C$1:$G$99999,5,FALSE)</f>
        <v>CLARK KATHLEEN</v>
      </c>
      <c r="O19" s="194" t="s">
        <v>185</v>
      </c>
      <c r="P19" s="146" t="s">
        <v>1018</v>
      </c>
      <c r="Q19" s="30"/>
      <c r="R19" s="89" t="str">
        <f>IF(VLOOKUP(C19,'Train Runs'!$A$13:$AE$9946,1,1)=C19,VLOOKUP(C19,'Train Runs'!$A$13:$AE$9946,31,1),NA())</f>
        <v>aws s3 cp s3://rtdc.mdm.uploadarchive.raw/RTDC4018/ "%USERPROFILE%\AppData\Local\Temp\OnboardLogs"\RTDC4018\2017-03-09 --exclude "*" --recursive --include "*20170309*" &amp; "%USERPROFILE%\Documents\GitHub\mrs-test-scripts\Headless Mode &amp; Sideloading\WalkAndUnGZ.bat" "%USERPROFILE%\AppData\Local\Temp\OnboardLogs"\RTDC4018\2017-03-09 &amp; 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</v>
      </c>
      <c r="S19" s="92" t="str">
        <f>IF(VLOOKUP(C19,'Train Runs'!$A$13:$AE$9946,1,1)=C19,VLOOKUP(C19,'Train Runs'!$A$13:$AE$9946,22,1),NA())</f>
        <v>https://d0f6bd738d7f1b3e5a7ca70fe4ff75f0.us-east-1.aws.found.io/app/kibana#/discover/Steve-Slow-Train-Analysis-(2080s-and-2083s)?_g=(refreshInterval:(display:Off,pause:!f,section:0,value:0),time:(from:'2017-03-09T11:41:06-0700',mode:absolute,to:'2017-03-09T14:32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9" s="94" t="str">
        <f t="shared" si="1"/>
        <v>"C:\Program Files (x86)\AstroGrep\AstroGrep.exe" /e /r /s /spath="%USERPROFILE%\AppData\Local\Temp\OnboardLogs" /stypes="*4018*201703092*" /stext=" 20:.+((SYSTEM_STATE.+slice.+state.+changed )|(ment ac)|(multiple cpu faults)|(system.+state.+changed )|(\[timeout)|(PRM\|1\|D)|(kpr)|(kdp)|(\|lc)|(penalty))"</v>
      </c>
      <c r="U19" s="9" t="str">
        <f t="shared" si="2"/>
        <v>4018</v>
      </c>
      <c r="V19" s="32">
        <f t="shared" si="3"/>
        <v>42803.842037037037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{"issue":{"subject":"Form C","project_id":79,"tracker_id":40,"status_id":1,"priority_id":2,"assigned_to_id":23,"start_date":"2017-03-09","description":"","custom_fields":[{"id":1,"name":"Subdivision","value":"EC"},{"id":4,"name":"Milepost","value":"12.756"},{"id":17,"name":"Train ID","value":"173-09"},{"id":16,"name":"Locomotive ID","value":"4018"},{"id":130,"name":"Impact","value":""},{"id":150,"name":"Time of Event (Mountain Time)","value":"13:12:32"},{"id":151,"name":"Denver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"%USERPROFILE%\AppData\Local\Temp\OnboardLogs"\RTDC4018\*4018*201703092*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"%USERPROFILE%\AppData\Local\Temp\OnboardLogs"\RTDC4018\*4018*201703092* &gt;&gt; 2017-03-09-SliceDisagreementCheck.txt</v>
      </c>
      <c r="AE19" s="157" t="str">
        <f t="shared" si="9"/>
        <v>start /low /b %USERPROFILE%\Documents\GitHub\eaglep3\Utilities\DownloadLogsFromS3.py --loco 4018 --day 2017-03-09</v>
      </c>
      <c r="AF19" s="1"/>
    </row>
    <row r="20" spans="1:32" x14ac:dyDescent="0.25">
      <c r="A20" s="32">
        <v>42803.719039351854</v>
      </c>
      <c r="B20" s="30" t="s">
        <v>589</v>
      </c>
      <c r="C20" s="30" t="s">
        <v>604</v>
      </c>
      <c r="D20" s="30" t="s">
        <v>98</v>
      </c>
      <c r="E20" s="30" t="s">
        <v>238</v>
      </c>
      <c r="F20" s="43">
        <v>700</v>
      </c>
      <c r="G20" s="43">
        <v>750</v>
      </c>
      <c r="H20" s="43">
        <v>174512</v>
      </c>
      <c r="I20" s="43">
        <v>177271</v>
      </c>
      <c r="J20" s="30" t="s">
        <v>239</v>
      </c>
      <c r="K20" s="43">
        <v>161962</v>
      </c>
      <c r="L20" s="143" t="s">
        <v>50</v>
      </c>
      <c r="M20" s="144">
        <f t="shared" si="0"/>
        <v>-8083.152</v>
      </c>
      <c r="N20" s="145" t="str">
        <f>VLOOKUP(C20,'Trips&amp;Operators'!$C$1:$G$99999,5,FALSE)</f>
        <v>STRICKLAND EVAN</v>
      </c>
      <c r="O20" s="194" t="s">
        <v>185</v>
      </c>
      <c r="P20" s="146"/>
      <c r="Q20" s="30"/>
      <c r="R20" s="89" t="str">
        <f>IF(VLOOKUP(C20,'Train Runs'!$A$13:$AE$9946,1,1)=C20,VLOOKUP(C20,'Train Runs'!$A$13:$AE$9946,31,1),NA())</f>
        <v>aws s3 cp s3://rtdc.mdm.uploadarchive.raw/RTDC4018/ "%USERPROFILE%\AppData\Local\Temp\OnboardLogs"\RTDC4018\2017-03-09 --exclude "*" --recursive --include "*20170309*" &amp; "%USERPROFILE%\Documents\GitHub\mrs-test-scripts\Headless Mode &amp; Sideloading\WalkAndUnGZ.bat" "%USERPROFILE%\AppData\Local\Temp\OnboardLogs"\RTDC4018\2017-03-09 &amp; aws s3 cp s3://rtdc.mdm.uploadarchive.raw/RTDC4018/ "%USERPROFILE%\AppData\Local\Temp\OnboardLogs"\RTDC4018\2017-03-10 --exclude "*" --recursive --include "*20170310*" &amp; "%USERPROFILE%\Documents\GitHub\mrs-test-scripts\Headless Mode &amp; Sideloading\WalkAndUnGZ.bat" "%USERPROFILE%\AppData\Local\Temp\OnboardLogs"\RTDC4018\2017-03-10</v>
      </c>
      <c r="S20" s="92" t="str">
        <f>IF(VLOOKUP(C20,'Train Runs'!$A$13:$AE$9946,1,1)=C20,VLOOKUP(C20,'Train Runs'!$A$13:$AE$9946,22,1),NA())</f>
        <v>https://d0f6bd738d7f1b3e5a7ca70fe4ff75f0.us-east-1.aws.found.io/app/kibana#/discover/Steve-Slow-Train-Analysis-(2080s-and-2083s)?_g=(refreshInterval:(display:Off,pause:!f,section:0,value:0),time:(from:'2017-03-09T15:31:14-0700',mode:absolute,to:'2017-03-09T18:23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0" s="94" t="str">
        <f t="shared" si="1"/>
        <v>"C:\Program Files (x86)\AstroGrep\AstroGrep.exe" /e /r /s /spath="%USERPROFILE%\AppData\Local\Temp\OnboardLogs" /stypes="*4018*201703100*" /stext=" 00:.+((SYSTEM_STATE.+slice.+state.+changed )|(ment ac)|(multiple cpu faults)|(system.+state.+changed )|(\[timeout)|(PRM\|1\|D)|(kpr)|(kdp)|(\|lc)|(penalty))"</v>
      </c>
      <c r="U20" s="9" t="str">
        <f t="shared" si="2"/>
        <v>4018</v>
      </c>
      <c r="V20" s="32">
        <f t="shared" si="3"/>
        <v>42804.010706018518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{"issue":{"subject":"","project_id":79,"tracker_id":40,"status_id":1,"priority_id":2,"assigned_to_id":23,"start_date":"2017-03-09","description":"","custom_fields":[{"id":1,"name":"Subdivision","value":"EC"},{"id":4,"name":"Milepost","value":"16.1962"},{"id":17,"name":"Train ID","value":"205-09"},{"id":16,"name":"Locomotive ID","value":"4018"},{"id":130,"name":"Impact","value":""},{"id":150,"name":"Time of Event (Mountain Time)","value":"17:15:25"},{"id":151,"name":"Denver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"%USERPROFILE%\AppData\Local\Temp\OnboardLogs"\RTDC4018\*4018*201703100*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"%USERPROFILE%\AppData\Local\Temp\OnboardLogs"\RTDC4018\*4018*201703100* &gt;&gt; 2017-03-09-SliceDisagreementCheck.txt</v>
      </c>
      <c r="AE20" s="157" t="str">
        <f t="shared" si="9"/>
        <v>start /low /b %USERPROFILE%\Documents\GitHub\eaglep3\Utilities\DownloadLogsFromS3.py --loco 4018 --day 2017-03-10</v>
      </c>
      <c r="AF20" s="1"/>
    </row>
    <row r="21" spans="1:32" x14ac:dyDescent="0.25">
      <c r="A21" s="32">
        <v>42803.346585648149</v>
      </c>
      <c r="B21" s="30" t="s">
        <v>272</v>
      </c>
      <c r="C21" s="30" t="s">
        <v>581</v>
      </c>
      <c r="D21" s="30" t="s">
        <v>98</v>
      </c>
      <c r="E21" s="30" t="s">
        <v>238</v>
      </c>
      <c r="F21" s="43">
        <v>700</v>
      </c>
      <c r="G21" s="43">
        <v>750</v>
      </c>
      <c r="H21" s="43">
        <v>179455</v>
      </c>
      <c r="I21" s="43">
        <v>175978</v>
      </c>
      <c r="J21" s="30" t="s">
        <v>239</v>
      </c>
      <c r="K21" s="43">
        <v>183829</v>
      </c>
      <c r="L21" s="143" t="s">
        <v>51</v>
      </c>
      <c r="M21" s="144">
        <f t="shared" si="0"/>
        <v>-4145.3280000000004</v>
      </c>
      <c r="N21" s="145" t="str">
        <f>VLOOKUP(C21,'Trips&amp;Operators'!$C$1:$G$99999,5,FALSE)</f>
        <v>STARKS ANGELINA</v>
      </c>
      <c r="O21" s="194" t="s">
        <v>185</v>
      </c>
      <c r="P21" s="146"/>
      <c r="Q21" s="30"/>
      <c r="R21" s="89" t="str">
        <f>IF(VLOOKUP(C21,'Train Runs'!$A$13:$AE$9946,1,1)=C21,VLOOKUP(C21,'Train Runs'!$A$13:$AE$9946,31,1),NA())</f>
        <v>aws s3 cp s3://rtdc.mdm.uploadarchive.raw/RTDC4015/ "%USERPROFILE%\AppData\Local\Temp\OnboardLogs"\RTDC4015\2017-03-09 --exclude "*" --recursive --include "*20170309*" &amp; "%USERPROFILE%\Documents\GitHub\mrs-test-scripts\Headless Mode &amp; Sideloading\WalkAndUnGZ.bat" "%USERPROFILE%\AppData\Local\Temp\OnboardLogs"\RTDC4015\2017-03-09 &amp; aws s3 cp s3://rtdc.mdm.uploadarchive.raw/RTDC4015/ "%USERPROFILE%\AppData\Local\Temp\OnboardLogs"\RTDC4015\2017-03-10 --exclude "*" --recursive --include "*20170310*" &amp; "%USERPROFILE%\Documents\GitHub\mrs-test-scripts\Headless Mode &amp; Sideloading\WalkAndUnGZ.bat" "%USERPROFILE%\AppData\Local\Temp\OnboardLogs"\RTDC4015\2017-03-10</v>
      </c>
      <c r="S21" s="92" t="str">
        <f>IF(VLOOKUP(C21,'Train Runs'!$A$13:$AE$9946,1,1)=C21,VLOOKUP(C21,'Train Runs'!$A$13:$AE$9946,22,1),NA())</f>
        <v>https://d0f6bd738d7f1b3e5a7ca70fe4ff75f0.us-east-1.aws.found.io/app/kibana#/discover/Steve-Slow-Train-Analysis-(2080s-and-2083s)?_g=(refreshInterval:(display:Off,pause:!f,section:0,value:0),time:(from:'2017-03-09T07:06:11-0700',mode:absolute,to:'2017-03-09T09:52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1" s="94" t="str">
        <f t="shared" si="1"/>
        <v>"C:\Program Files (x86)\AstroGrep\AstroGrep.exe" /e /r /s /spath="%USERPROFILE%\AppData\Local\Temp\OnboardLogs" /stypes="*4015*201703091*" /stext=" 15:.+((SYSTEM_STATE.+slice.+state.+changed )|(ment ac)|(multiple cpu faults)|(system.+state.+changed )|(\[timeout)|(PRM\|1\|D)|(kpr)|(kdp)|(\|lc)|(penalty))"</v>
      </c>
      <c r="U21" s="9" t="str">
        <f t="shared" si="2"/>
        <v>4015</v>
      </c>
      <c r="V21" s="32">
        <f t="shared" si="3"/>
        <v>42803.638252314813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{"issue":{"subject":"","project_id":79,"tracker_id":40,"status_id":1,"priority_id":2,"assigned_to_id":23,"start_date":"2017-03-09","description":"","custom_fields":[{"id":1,"name":"Subdivision","value":"EC"},{"id":4,"name":"Milepost","value":"18.3829"},{"id":17,"name":"Train ID","value":"130-09"},{"id":16,"name":"Locomotive ID","value":"4015"},{"id":130,"name":"Impact","value":""},{"id":150,"name":"Time of Event (Mountain Time)","value":"08:19:05"},{"id":151,"name":"Denver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"%USERPROFILE%\AppData\Local\Temp\OnboardLogs"\RTDC4015\*4015*201703091*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"%USERPROFILE%\AppData\Local\Temp\OnboardLogs"\RTDC4015\*4015*201703091* &gt;&gt; 2017-03-09-SliceDisagreementCheck.txt</v>
      </c>
      <c r="AE21" s="157" t="str">
        <f t="shared" si="9"/>
        <v>start /low /b %USERPROFILE%\Documents\GitHub\eaglep3\Utilities\DownloadLogsFromS3.py --loco 4015 --day 2017-03-09</v>
      </c>
      <c r="AF21" s="1"/>
    </row>
    <row r="22" spans="1:32" x14ac:dyDescent="0.25">
      <c r="A22" s="32">
        <v>42803.238599537035</v>
      </c>
      <c r="B22" s="30" t="s">
        <v>502</v>
      </c>
      <c r="C22" s="30" t="s">
        <v>577</v>
      </c>
      <c r="D22" s="30" t="s">
        <v>98</v>
      </c>
      <c r="E22" s="30" t="s">
        <v>238</v>
      </c>
      <c r="F22" s="43">
        <v>350</v>
      </c>
      <c r="G22" s="43">
        <v>405</v>
      </c>
      <c r="H22" s="43">
        <v>224682</v>
      </c>
      <c r="I22" s="43">
        <v>222922</v>
      </c>
      <c r="J22" s="30" t="s">
        <v>239</v>
      </c>
      <c r="K22" s="43">
        <v>232080</v>
      </c>
      <c r="L22" s="143" t="s">
        <v>51</v>
      </c>
      <c r="M22" s="144">
        <f t="shared" si="0"/>
        <v>-4835.424</v>
      </c>
      <c r="N22" s="145" t="str">
        <f>VLOOKUP(C22,'Trips&amp;Operators'!$C$1:$G$99999,5,FALSE)</f>
        <v>ROCHA YAOTL</v>
      </c>
      <c r="O22" s="194" t="s">
        <v>185</v>
      </c>
      <c r="P22" s="146"/>
      <c r="Q22" s="30"/>
      <c r="R22" s="89" t="str">
        <f>IF(VLOOKUP(C22,'Train Runs'!$A$13:$AE$9946,1,1)=C22,VLOOKUP(C22,'Train Runs'!$A$13:$AE$9946,31,1),NA())</f>
        <v>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 &amp; 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</v>
      </c>
      <c r="S22" s="92" t="str">
        <f>IF(VLOOKUP(C22,'Train Runs'!$A$13:$AE$9946,1,1)=C22,VLOOKUP(C22,'Train Runs'!$A$13:$AE$9946,22,1),NA())</f>
        <v>https://d0f6bd738d7f1b3e5a7ca70fe4ff75f0.us-east-1.aws.found.io/app/kibana#/discover/Steve-Slow-Train-Analysis-(2080s-and-2083s)?_g=(refreshInterval:(display:Off,pause:!f,section:0,value:0),time:(from:'2017-03-09T04:38:55-0700',mode:absolute,to:'2017-03-09T07:21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2" s="94" t="str">
        <f t="shared" si="1"/>
        <v>"C:\Program Files (x86)\AstroGrep\AstroGrep.exe" /e /r /s /spath="%USERPROFILE%\AppData\Local\Temp\OnboardLogs" /stypes="*4039*201703091*" /stext=" 12:.+((SYSTEM_STATE.+slice.+state.+changed )|(ment ac)|(multiple cpu faults)|(system.+state.+changed )|(\[timeout)|(PRM\|1\|D)|(kpr)|(kdp)|(\|lc)|(penalty))"</v>
      </c>
      <c r="U22" s="9" t="str">
        <f t="shared" si="2"/>
        <v>4039</v>
      </c>
      <c r="V22" s="32">
        <f t="shared" si="3"/>
        <v>42803.530266203699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{"issue":{"subject":"","project_id":79,"tracker_id":40,"status_id":1,"priority_id":2,"assigned_to_id":23,"start_date":"2017-03-09","description":"","custom_fields":[{"id":1,"name":"Subdivision","value":"EC"},{"id":4,"name":"Milepost","value":"23.208"},{"id":17,"name":"Train ID","value":"110-09"},{"id":16,"name":"Locomotive ID","value":"4039"},{"id":130,"name":"Impact","value":""},{"id":150,"name":"Time of Event (Mountain Time)","value":"05:43:35"},{"id":151,"name":"Denver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"%USERPROFILE%\AppData\Local\Temp\OnboardLogs"\RTDC4039\*4039*201703091*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"%USERPROFILE%\AppData\Local\Temp\OnboardLogs"\RTDC4039\*4039*201703091* &gt;&gt; 2017-03-09-SliceDisagreementCheck.txt</v>
      </c>
      <c r="AE22" s="157" t="str">
        <f t="shared" si="9"/>
        <v>start /low /b %USERPROFILE%\Documents\GitHub\eaglep3\Utilities\DownloadLogsFromS3.py --loco 4039 --day 2017-03-09</v>
      </c>
      <c r="AF22" s="1"/>
    </row>
    <row r="23" spans="1:32" x14ac:dyDescent="0.25">
      <c r="A23" s="32">
        <v>42803.564108796294</v>
      </c>
      <c r="B23" s="30" t="s">
        <v>420</v>
      </c>
      <c r="C23" s="30" t="s">
        <v>591</v>
      </c>
      <c r="D23" s="30" t="s">
        <v>49</v>
      </c>
      <c r="E23" s="30" t="s">
        <v>442</v>
      </c>
      <c r="F23" s="43">
        <v>0</v>
      </c>
      <c r="G23" s="43">
        <v>673</v>
      </c>
      <c r="H23" s="43">
        <v>172929</v>
      </c>
      <c r="I23" s="43">
        <v>176273</v>
      </c>
      <c r="J23" s="30" t="s">
        <v>443</v>
      </c>
      <c r="K23" s="43">
        <v>175383</v>
      </c>
      <c r="L23" s="143" t="s">
        <v>50</v>
      </c>
      <c r="M23" s="144">
        <f t="shared" si="0"/>
        <v>-469.92</v>
      </c>
      <c r="N23" s="145" t="str">
        <f>VLOOKUP(C23,'Trips&amp;Operators'!$C$1:$G$99999,5,FALSE)</f>
        <v>STRICKLAND EVAN</v>
      </c>
      <c r="O23" s="194" t="s">
        <v>445</v>
      </c>
      <c r="P23" s="146" t="s">
        <v>1020</v>
      </c>
      <c r="Q23" s="30"/>
      <c r="R23" s="89" t="str">
        <f>IF(VLOOKUP(C23,'Train Runs'!$A$13:$AE$9946,1,1)=C23,VLOOKUP(C23,'Train Runs'!$A$13:$AE$9946,31,1),NA())</f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S23" s="92" t="str">
        <f>IF(VLOOKUP(C23,'Train Runs'!$A$13:$AE$9946,1,1)=C23,VLOOKUP(C23,'Train Runs'!$A$13:$AE$9946,22,1),NA())</f>
        <v>https://d0f6bd738d7f1b3e5a7ca70fe4ff75f0.us-east-1.aws.found.io/app/kibana#/discover/Steve-Slow-Train-Analysis-(2080s-and-2083s)?_g=(refreshInterval:(display:Off,pause:!f,section:0,value:0),time:(from:'2017-03-09T11:52:55-0700',mode:absolute,to:'2017-03-09T14:48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3" s="94" t="str">
        <f t="shared" si="1"/>
        <v>"C:\Program Files (x86)\AstroGrep\AstroGrep.exe" /e /r /s /spath="%USERPROFILE%\AppData\Local\Temp\OnboardLogs" /stypes="*4003*201703092*" /stext=" 20:.+((SYSTEM_STATE.+slice.+state.+changed )|(ment ac)|(multiple cpu faults)|(system.+state.+changed )|(\[timeout)|(PRM\|1\|D)|(kpr)|(kdp)|(\|lc)|(penalty))"</v>
      </c>
      <c r="U23" s="9" t="str">
        <f t="shared" si="2"/>
        <v>4003</v>
      </c>
      <c r="V23" s="32">
        <f t="shared" si="3"/>
        <v>42803.855775462958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{"issue":{"subject":"CP Pena ELXS dropped into standby","project_id":79,"tracker_id":40,"status_id":1,"priority_id":2,"assigned_to_id":23,"start_date":"2017-03-09","description":"At roughly 16:31:47, EC1752RH 167-1T 1N and EC1827RH 175-1T 1N dropped from 270 to 0. Customer incident reports also indicate CP Pena dropping to standby around this time. Do logs tell us anything notable?","custom_fields":[{"id":1,"name":"Subdivision","value":"EC"},{"id":4,"name":"Milepost","value":"17.5383"},{"id":17,"name":"Train ID","value":"175-09"},{"id":16,"name":"Locomotive ID","value":"4003"},{"id":130,"name":"Impact","value":"Enforcement"},{"id":150,"name":"Time of Event (Mountain Time)","value":"13:32:19"},{"id":151,"name":"Denver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3" s="48" t="s">
        <v>1021</v>
      </c>
      <c r="AA23" s="48" t="s">
        <v>124</v>
      </c>
      <c r="AB23" s="48" t="s">
        <v>129</v>
      </c>
      <c r="AC23" s="127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"%USERPROFILE%\AppData\Local\Temp\OnboardLogs"\RTDC4003\*4003*201703092*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"%USERPROFILE%\AppData\Local\Temp\OnboardLogs"\RTDC4003\*4003*201703092* &gt;&gt; 2017-03-09-SliceDisagreementCheck.txt</v>
      </c>
      <c r="AE23" s="157" t="str">
        <f t="shared" si="9"/>
        <v>start /low /b %USERPROFILE%\Documents\GitHub\eaglep3\Utilities\DownloadLogsFromS3.py --loco 4003 --day 2017-03-09</v>
      </c>
      <c r="AF23" s="1"/>
    </row>
    <row r="24" spans="1:32" x14ac:dyDescent="0.25">
      <c r="A24" s="32">
        <v>42803.567002314812</v>
      </c>
      <c r="B24" s="30" t="s">
        <v>420</v>
      </c>
      <c r="C24" s="30" t="s">
        <v>591</v>
      </c>
      <c r="D24" s="30" t="s">
        <v>49</v>
      </c>
      <c r="E24" s="30" t="s">
        <v>442</v>
      </c>
      <c r="F24" s="43">
        <v>0</v>
      </c>
      <c r="G24" s="43">
        <v>156</v>
      </c>
      <c r="H24" s="43">
        <v>182183</v>
      </c>
      <c r="I24" s="43">
        <v>182354</v>
      </c>
      <c r="J24" s="30" t="s">
        <v>443</v>
      </c>
      <c r="K24" s="43">
        <v>182907</v>
      </c>
      <c r="L24" s="143" t="s">
        <v>50</v>
      </c>
      <c r="M24" s="144">
        <f t="shared" si="0"/>
        <v>291.98399999999998</v>
      </c>
      <c r="N24" s="145" t="str">
        <f>VLOOKUP(C24,'Trips&amp;Operators'!$C$1:$G$99999,5,FALSE)</f>
        <v>STRICKLAND EVAN</v>
      </c>
      <c r="O24" s="194" t="s">
        <v>445</v>
      </c>
      <c r="P24" s="146" t="s">
        <v>1020</v>
      </c>
      <c r="Q24" s="30"/>
      <c r="R24" s="89" t="str">
        <f>IF(VLOOKUP(C24,'Train Runs'!$A$13:$AE$9946,1,1)=C24,VLOOKUP(C24,'Train Runs'!$A$13:$AE$9946,31,1),NA())</f>
        <v>aws s3 cp s3://rtdc.mdm.uploadarchive.raw/RTDC4003/ "%USERPROFILE%\AppData\Local\Temp\OnboardLogs"\RTDC4003\2017-03-09 --exclude "*" --recursive --include "*20170309*" &amp; "%USERPROFILE%\Documents\GitHub\mrs-test-scripts\Headless Mode &amp; Sideloading\WalkAndUnGZ.bat" "%USERPROFILE%\AppData\Local\Temp\OnboardLogs"\RTDC4003\2017-03-09 &amp; aws s3 cp s3://rtdc.mdm.uploadarchive.raw/RTDC4003/ "%USERPROFILE%\AppData\Local\Temp\OnboardLogs"\RTDC4003\2017-03-10 --exclude "*" --recursive --include "*20170310*" &amp; "%USERPROFILE%\Documents\GitHub\mrs-test-scripts\Headless Mode &amp; Sideloading\WalkAndUnGZ.bat" "%USERPROFILE%\AppData\Local\Temp\OnboardLogs"\RTDC4003\2017-03-10</v>
      </c>
      <c r="S24" s="92" t="str">
        <f>IF(VLOOKUP(C24,'Train Runs'!$A$13:$AE$9946,1,1)=C24,VLOOKUP(C24,'Train Runs'!$A$13:$AE$9946,22,1),NA())</f>
        <v>https://d0f6bd738d7f1b3e5a7ca70fe4ff75f0.us-east-1.aws.found.io/app/kibana#/discover/Steve-Slow-Train-Analysis-(2080s-and-2083s)?_g=(refreshInterval:(display:Off,pause:!f,section:0,value:0),time:(from:'2017-03-09T11:52:55-0700',mode:absolute,to:'2017-03-09T14:48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4" s="94" t="str">
        <f t="shared" si="1"/>
        <v>"C:\Program Files (x86)\AstroGrep\AstroGrep.exe" /e /r /s /spath="%USERPROFILE%\AppData\Local\Temp\OnboardLogs" /stypes="*4003*201703092*" /stext=" 20:.+((SYSTEM_STATE.+slice.+state.+changed )|(ment ac)|(multiple cpu faults)|(system.+state.+changed )|(\[timeout)|(PRM\|1\|D)|(kpr)|(kdp)|(\|lc)|(penalty))"</v>
      </c>
      <c r="U24" s="9" t="str">
        <f t="shared" si="2"/>
        <v>4003</v>
      </c>
      <c r="V24" s="32">
        <f t="shared" si="3"/>
        <v>42803.858668981477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{"issue":{"subject":"CP Pena ELXS dropped into standby","project_id":79,"tracker_id":40,"status_id":1,"priority_id":2,"assigned_to_id":23,"start_date":"2017-03-09","description":"","custom_fields":[{"id":1,"name":"Subdivision","value":"EC"},{"id":4,"name":"Milepost","value":"18.2907"},{"id":17,"name":"Train ID","value":"175-09"},{"id":16,"name":"Locomotive ID","value":"4003"},{"id":130,"name":"Impact","value":""},{"id":150,"name":"Time of Event (Mountain Time)","value":"13:36:29"},{"id":151,"name":"Denver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"%USERPROFILE%\AppData\Local\Temp\OnboardLogs"\RTDC4003\*4003*201703092*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"%USERPROFILE%\AppData\Local\Temp\OnboardLogs"\RTDC4003\*4003*201703092* &gt;&gt; 2017-03-09-SliceDisagreementCheck.txt</v>
      </c>
      <c r="AE24" s="157" t="str">
        <f t="shared" si="9"/>
        <v>start /low /b %USERPROFILE%\Documents\GitHub\eaglep3\Utilities\DownloadLogsFromS3.py --loco 4003 --day 2017-03-09</v>
      </c>
      <c r="AF24" s="1"/>
    </row>
    <row r="25" spans="1:32" x14ac:dyDescent="0.25">
      <c r="A25" s="32">
        <v>42803.783310185187</v>
      </c>
      <c r="B25" s="30" t="s">
        <v>418</v>
      </c>
      <c r="C25" s="30" t="s">
        <v>607</v>
      </c>
      <c r="D25" s="30" t="s">
        <v>49</v>
      </c>
      <c r="E25" s="30" t="s">
        <v>442</v>
      </c>
      <c r="F25" s="43">
        <v>0</v>
      </c>
      <c r="G25" s="43">
        <v>116</v>
      </c>
      <c r="H25" s="43">
        <v>192154</v>
      </c>
      <c r="I25" s="43">
        <v>191943</v>
      </c>
      <c r="J25" s="30" t="s">
        <v>443</v>
      </c>
      <c r="K25" s="43">
        <v>191723</v>
      </c>
      <c r="L25" s="143" t="s">
        <v>51</v>
      </c>
      <c r="M25" s="144">
        <f t="shared" si="0"/>
        <v>116.16</v>
      </c>
      <c r="N25" s="145" t="str">
        <f>VLOOKUP(C25,'Trips&amp;Operators'!$C$1:$G$99999,5,FALSE)</f>
        <v>NEWELL JAMES</v>
      </c>
      <c r="O25" s="194" t="s">
        <v>185</v>
      </c>
      <c r="P25" s="146" t="s">
        <v>1019</v>
      </c>
      <c r="Q25" s="30"/>
      <c r="R25" s="89" t="str">
        <f>IF(VLOOKUP(C25,'Train Runs'!$A$13:$AE$9946,1,1)=C25,VLOOKUP(C25,'Train Runs'!$A$13:$AE$9946,31,1),NA())</f>
        <v>aws s3 cp s3://rtdc.mdm.uploadarchive.raw/RTDC4019/ "%USERPROFILE%\AppData\Local\Temp\OnboardLogs"\RTDC4019\2017-03-09 --exclude "*" --recursive --include "*20170309*" &amp; "%USERPROFILE%\Documents\GitHub\mrs-test-scripts\Headless Mode &amp; Sideloading\WalkAndUnGZ.bat" "%USERPROFILE%\AppData\Local\Temp\OnboardLogs"\RTDC4019\2017-03-09 &amp; aws s3 cp s3://rtdc.mdm.uploadarchive.raw/RTDC4019/ "%USERPROFILE%\AppData\Local\Temp\OnboardLogs"\RTDC4019\2017-03-10 --exclude "*" --recursive --include "*20170310*" &amp; "%USERPROFILE%\Documents\GitHub\mrs-test-scripts\Headless Mode &amp; Sideloading\WalkAndUnGZ.bat" "%USERPROFILE%\AppData\Local\Temp\OnboardLogs"\RTDC4019\2017-03-10</v>
      </c>
      <c r="S25" s="92" t="str">
        <f>IF(VLOOKUP(C25,'Train Runs'!$A$13:$AE$9946,1,1)=C25,VLOOKUP(C25,'Train Runs'!$A$13:$AE$9946,22,1),NA())</f>
        <v>https://d0f6bd738d7f1b3e5a7ca70fe4ff75f0.us-east-1.aws.found.io/app/kibana#/discover/Steve-Slow-Train-Analysis-(2080s-and-2083s)?_g=(refreshInterval:(display:Off,pause:!f,section:0,value:0),time:(from:'2017-03-09T17:27:13-0700',mode:absolute,to:'2017-03-09T20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25" s="94" t="str">
        <f t="shared" si="1"/>
        <v>"C:\Program Files (x86)\AstroGrep\AstroGrep.exe" /e /r /s /spath="%USERPROFILE%\AppData\Local\Temp\OnboardLogs" /stypes="*4019*201703100*" /stext=" 01:.+((SYSTEM_STATE.+slice.+state.+changed )|(ment ac)|(multiple cpu faults)|(system.+state.+changed )|(\[timeout)|(PRM\|1\|D)|(kpr)|(kdp)|(\|lc)|(penalty))"</v>
      </c>
      <c r="U25" s="9" t="str">
        <f t="shared" si="2"/>
        <v>4019</v>
      </c>
      <c r="V25" s="32">
        <f t="shared" si="3"/>
        <v>42804.074976851851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{"issue":{"subject":"Pena 4S STOP","project_id":79,"tracker_id":40,"status_id":1,"priority_id":2,"assigned_to_id":23,"start_date":"2017-03-09","description":"","custom_fields":[{"id":1,"name":"Subdivision","value":"EC"},{"id":4,"name":"Milepost","value":"19.1723"},{"id":17,"name":"Train ID","value":"214-09"},{"id":16,"name":"Locomotive ID","value":"4019"},{"id":130,"name":"Impact","value":""},{"id":150,"name":"Time of Event (Mountain Time)","value":"18:47:58"},{"id":151,"name":"Denver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"%USERPROFILE%\AppData\Local\Temp\OnboardLogs"\RTDC4019\*4019*201703100*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"%USERPROFILE%\AppData\Local\Temp\OnboardLogs"\RTDC4019\*4019*201703100* &gt;&gt; 2017-03-09-SliceDisagreementCheck.txt</v>
      </c>
      <c r="AE25" s="157" t="str">
        <f t="shared" si="9"/>
        <v>start /low /b %USERPROFILE%\Documents\GitHub\eaglep3\Utilities\DownloadLogsFromS3.py --loco 4019 --day 2017-03-10</v>
      </c>
      <c r="AF25" s="1"/>
    </row>
    <row r="26" spans="1:32" x14ac:dyDescent="0.25">
      <c r="A26" s="32">
        <v>42803.984849537039</v>
      </c>
      <c r="B26" s="30" t="s">
        <v>596</v>
      </c>
      <c r="C26" s="30" t="s">
        <v>612</v>
      </c>
      <c r="D26" s="30" t="s">
        <v>49</v>
      </c>
      <c r="E26" s="30" t="s">
        <v>442</v>
      </c>
      <c r="F26" s="43">
        <v>0</v>
      </c>
      <c r="G26" s="43">
        <v>20</v>
      </c>
      <c r="H26" s="43">
        <v>227262</v>
      </c>
      <c r="I26" s="43">
        <v>227333</v>
      </c>
      <c r="J26" s="30" t="s">
        <v>443</v>
      </c>
      <c r="K26" s="43">
        <v>228572</v>
      </c>
      <c r="L26" s="143" t="s">
        <v>50</v>
      </c>
      <c r="M26" s="144">
        <f t="shared" si="0"/>
        <v>654.19200000000001</v>
      </c>
      <c r="N26" s="145" t="str">
        <f>VLOOKUP(C26,'Trips&amp;Operators'!$C$1:$G$99999,5,FALSE)</f>
        <v>CHANDLER KELVIN</v>
      </c>
      <c r="O26" s="194" t="s">
        <v>185</v>
      </c>
      <c r="P26" s="146" t="s">
        <v>1017</v>
      </c>
      <c r="Q26" s="30"/>
      <c r="R26" s="89" t="str">
        <f>IF(VLOOKUP(C26,'Train Runs'!$A$13:$AE$9946,1,1)=C26,VLOOKUP(C26,'Train Runs'!$A$13:$AE$9946,31,1),NA())</f>
        <v>aws s3 cp s3://rtdc.mdm.uploadarchive.raw/RTDC4044/ "%USERPROFILE%\AppData\Local\Temp\OnboardLogs"\RTDC4044\2017-03-09 --exclude "*" --recursive --include "*20170309*" &amp; "%USERPROFILE%\Documents\GitHub\mrs-test-scripts\Headless Mode &amp; Sideloading\WalkAndUnGZ.bat" "%USERPROFILE%\AppData\Local\Temp\OnboardLogs"\RTDC4044\2017-03-09 &amp; aws s3 cp s3://rtdc.mdm.uploadarchive.raw/RTDC4044/ "%USERPROFILE%\AppData\Local\Temp\OnboardLogs"\RTDC4044\2017-03-10 --exclude "*" --recursive --include "*20170310*" &amp; "%USERPROFILE%\Documents\GitHub\mrs-test-scripts\Headless Mode &amp; Sideloading\WalkAndUnGZ.bat" "%USERPROFILE%\AppData\Local\Temp\OnboardLogs"\RTDC4044\2017-03-10</v>
      </c>
      <c r="S26" s="92" t="str">
        <f>IF(VLOOKUP(C26,'Train Runs'!$A$13:$AE$9946,1,1)=C26,VLOOKUP(C26,'Train Runs'!$A$13:$AE$9946,22,1),NA())</f>
        <v>https://d0f6bd738d7f1b3e5a7ca70fe4ff75f0.us-east-1.aws.found.io/app/kibana#/discover/Steve-Slow-Train-Analysis-(2080s-and-2083s)?_g=(refreshInterval:(display:Off,pause:!f,section:0,value:0),time:(from:'2017-03-09T21:48:19-0700',mode:absolute,to:'2017-03-10T00:41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6" s="94" t="str">
        <f t="shared" si="1"/>
        <v>"C:\Program Files (x86)\AstroGrep\AstroGrep.exe" /e /r /s /spath="%USERPROFILE%\AppData\Local\Temp\OnboardLogs" /stypes="*4044*201703100*" /stext=" 06:.+((SYSTEM_STATE.+slice.+state.+changed )|(ment ac)|(multiple cpu faults)|(system.+state.+changed )|(\[timeout)|(PRM\|1\|D)|(kpr)|(kdp)|(\|lc)|(penalty))"</v>
      </c>
      <c r="U26" s="9" t="str">
        <f t="shared" si="2"/>
        <v>4044</v>
      </c>
      <c r="V26" s="32">
        <f t="shared" si="3"/>
        <v>42804.276516203703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{"issue":{"subject":"DTO Efficiency Test","project_id":79,"tracker_id":40,"status_id":1,"priority_id":2,"assigned_to_id":23,"start_date":"2017-03-09","description":"","custom_fields":[{"id":1,"name":"Subdivision","value":"EC"},{"id":4,"name":"Milepost","value":"22.8572"},{"id":17,"name":"Train ID","value":"237-09"},{"id":16,"name":"Locomotive ID","value":"4044"},{"id":130,"name":"Impact","value":""},{"id":150,"name":"Time of Event (Mountain Time)","value":"23:38:11"},{"id":151,"name":"Denver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"%USERPROFILE%\AppData\Local\Temp\OnboardLogs"\RTDC4044\*4044*201703100*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"%USERPROFILE%\AppData\Local\Temp\OnboardLogs"\RTDC4044\*4044*201703100* &gt;&gt; 2017-03-09-SliceDisagreementCheck.txt</v>
      </c>
      <c r="AE26" s="157" t="str">
        <f t="shared" si="9"/>
        <v>start /low /b %USERPROFILE%\Documents\GitHub\eaglep3\Utilities\DownloadLogsFromS3.py --loco 4044 --day 2017-03-10</v>
      </c>
      <c r="AF26" s="1"/>
    </row>
    <row r="27" spans="1:32" x14ac:dyDescent="0.25">
      <c r="A27" s="32">
        <v>42803.205243055556</v>
      </c>
      <c r="B27" s="30" t="s">
        <v>575</v>
      </c>
      <c r="C27" s="30" t="s">
        <v>576</v>
      </c>
      <c r="D27" s="30" t="s">
        <v>49</v>
      </c>
      <c r="E27" s="30" t="s">
        <v>186</v>
      </c>
      <c r="F27" s="43">
        <v>0</v>
      </c>
      <c r="G27" s="43">
        <v>42</v>
      </c>
      <c r="H27" s="43">
        <v>145</v>
      </c>
      <c r="I27" s="43">
        <v>116</v>
      </c>
      <c r="J27" s="30" t="s">
        <v>187</v>
      </c>
      <c r="K27" s="43">
        <v>1</v>
      </c>
      <c r="L27" s="143" t="s">
        <v>51</v>
      </c>
      <c r="M27" s="144">
        <f t="shared" si="0"/>
        <v>60.72</v>
      </c>
      <c r="N27" s="145" t="str">
        <f>VLOOKUP(C27,'Trips&amp;Operators'!$C$1:$G$99999,5,FALSE)</f>
        <v>YOUNG ELIZABETH</v>
      </c>
      <c r="O27" s="194" t="s">
        <v>185</v>
      </c>
      <c r="P27" s="146"/>
      <c r="Q27" s="30"/>
      <c r="R27" s="89" t="str">
        <f>IF(VLOOKUP(C27,'Train Runs'!$A$13:$AE$9946,1,1)=C27,VLOOKUP(C27,'Train Runs'!$A$13:$AE$9946,31,1),NA())</f>
        <v>aws s3 cp s3://rtdc.mdm.uploadarchive.raw/RTDC4021/ "%USERPROFILE%\AppData\Local\Temp\OnboardLogs"\RTDC4021\2017-03-09 --exclude "*" --recursive --include "*20170309*" &amp; "%USERPROFILE%\Documents\GitHub\mrs-test-scripts\Headless Mode &amp; Sideloading\WalkAndUnGZ.bat" "%USERPROFILE%\AppData\Local\Temp\OnboardLogs"\RTDC4021\2017-03-09 &amp; aws s3 cp s3://rtdc.mdm.uploadarchive.raw/RTDC4021/ "%USERPROFILE%\AppData\Local\Temp\OnboardLogs"\RTDC4021\2017-03-10 --exclude "*" --recursive --include "*20170310*" &amp; "%USERPROFILE%\Documents\GitHub\mrs-test-scripts\Headless Mode &amp; Sideloading\WalkAndUnGZ.bat" "%USERPROFILE%\AppData\Local\Temp\OnboardLogs"\RTDC4021\2017-03-10</v>
      </c>
      <c r="S27" s="92" t="str">
        <f>IF(VLOOKUP(C27,'Train Runs'!$A$13:$AE$9946,1,1)=C27,VLOOKUP(C27,'Train Runs'!$A$13:$AE$9946,22,1),NA())</f>
        <v>https://d0f6bd738d7f1b3e5a7ca70fe4ff75f0.us-east-1.aws.found.io/app/kibana#/discover/Steve-Slow-Train-Analysis-(2080s-and-2083s)?_g=(refreshInterval:(display:Off,pause:!f,section:0,value:0),time:(from:'2017-03-09T03:01:19-0700',mode:absolute,to:'2017-03-09T05:55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7" s="94" t="str">
        <f t="shared" si="1"/>
        <v>"C:\Program Files (x86)\AstroGrep\AstroGrep.exe" /e /r /s /spath="%USERPROFILE%\AppData\Local\Temp\OnboardLogs" /stypes="*4021*201703091*" /stext=" 11:.+((SYSTEM_STATE.+slice.+state.+changed )|(ment ac)|(multiple cpu faults)|(system.+state.+changed )|(\[timeout)|(PRM\|1\|D)|(kpr)|(kdp)|(\|lc)|(penalty))"</v>
      </c>
      <c r="U27" s="9" t="str">
        <f t="shared" si="2"/>
        <v>4021</v>
      </c>
      <c r="V27" s="32">
        <f t="shared" si="3"/>
        <v>42803.49690972222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{"issue":{"subject":"","project_id":79,"tracker_id":40,"status_id":1,"priority_id":2,"assigned_to_id":23,"start_date":"2017-03-09","description":"","custom_fields":[{"id":1,"name":"Subdivision","value":"EC"},{"id":4,"name":"Milepost","value":"0.0001"},{"id":17,"name":"Train ID","value":"102-09"},{"id":16,"name":"Locomotive ID","value":"4021"},{"id":130,"name":"Impact","value":""},{"id":150,"name":"Time of Event (Mountain Time)","value":"04:55:33"},{"id":151,"name":"Denver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"%USERPROFILE%\AppData\Local\Temp\OnboardLogs"\RTDC4021\*4021*201703091*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"%USERPROFILE%\AppData\Local\Temp\OnboardLogs"\RTDC4021\*4021*201703091* &gt;&gt; 2017-03-09-SliceDisagreementCheck.txt</v>
      </c>
      <c r="AE27" s="157" t="str">
        <f t="shared" si="9"/>
        <v>start /low /b %USERPROFILE%\Documents\GitHub\eaglep3\Utilities\DownloadLogsFromS3.py --loco 4021 --day 2017-03-09</v>
      </c>
      <c r="AF27" s="1"/>
    </row>
    <row r="28" spans="1:32" x14ac:dyDescent="0.25">
      <c r="A28" s="32">
        <v>42803.63009259259</v>
      </c>
      <c r="B28" s="30" t="s">
        <v>502</v>
      </c>
      <c r="C28" s="30" t="s">
        <v>593</v>
      </c>
      <c r="D28" s="30" t="s">
        <v>49</v>
      </c>
      <c r="E28" s="30" t="s">
        <v>186</v>
      </c>
      <c r="F28" s="43">
        <v>0</v>
      </c>
      <c r="G28" s="43">
        <v>25</v>
      </c>
      <c r="H28" s="43">
        <v>139</v>
      </c>
      <c r="I28" s="43">
        <v>123</v>
      </c>
      <c r="J28" s="30" t="s">
        <v>187</v>
      </c>
      <c r="K28" s="43">
        <v>1</v>
      </c>
      <c r="L28" s="143" t="s">
        <v>51</v>
      </c>
      <c r="M28" s="144">
        <f t="shared" si="0"/>
        <v>64.415999999999997</v>
      </c>
      <c r="N28" s="145" t="str">
        <f>VLOOKUP(C28,'Trips&amp;Operators'!$C$1:$G$99999,5,FALSE)</f>
        <v>SMITH MICHAEL</v>
      </c>
      <c r="O28" s="194" t="s">
        <v>185</v>
      </c>
      <c r="P28" s="146"/>
      <c r="Q28" s="30"/>
      <c r="R28" s="89" t="str">
        <f>IF(VLOOKUP(C28,'Train Runs'!$A$13:$AE$9946,1,1)=C28,VLOOKUP(C28,'Train Runs'!$A$13:$AE$9946,31,1),NA())</f>
        <v>aws s3 cp s3://rtdc.mdm.uploadarchive.raw/RTDC4039/ "%USERPROFILE%\AppData\Local\Temp\OnboardLogs"\RTDC4039\2017-03-09 --exclude "*" --recursive --include "*20170309*" &amp; "%USERPROFILE%\Documents\GitHub\mrs-test-scripts\Headless Mode &amp; Sideloading\WalkAndUnGZ.bat" "%USERPROFILE%\AppData\Local\Temp\OnboardLogs"\RTDC4039\2017-03-09 &amp; aws s3 cp s3://rtdc.mdm.uploadarchive.raw/RTDC4039/ "%USERPROFILE%\AppData\Local\Temp\OnboardLogs"\RTDC4039\2017-03-10 --exclude "*" --recursive --include "*20170310*" &amp; "%USERPROFILE%\Documents\GitHub\mrs-test-scripts\Headless Mode &amp; Sideloading\WalkAndUnGZ.bat" "%USERPROFILE%\AppData\Local\Temp\OnboardLogs"\RTDC4039\2017-03-10</v>
      </c>
      <c r="S28" s="92" t="str">
        <f>IF(VLOOKUP(C28,'Train Runs'!$A$13:$AE$9946,1,1)=C28,VLOOKUP(C28,'Train Runs'!$A$13:$AE$9946,22,1),NA())</f>
        <v>https://d0f6bd738d7f1b3e5a7ca70fe4ff75f0.us-east-1.aws.found.io/app/kibana#/discover/Steve-Slow-Train-Analysis-(2080s-and-2083s)?_g=(refreshInterval:(display:Off,pause:!f,section:0,value:0),time:(from:'2017-03-09T13:21:19-0700',mode:absolute,to:'2017-03-09T16:07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8" s="94" t="str">
        <f t="shared" si="1"/>
        <v>"C:\Program Files (x86)\AstroGrep\AstroGrep.exe" /e /r /s /spath="%USERPROFILE%\AppData\Local\Temp\OnboardLogs" /stypes="*4039*201703092*" /stext=" 22:.+((SYSTEM_STATE.+slice.+state.+changed )|(ment ac)|(multiple cpu faults)|(system.+state.+changed )|(\[timeout)|(PRM\|1\|D)|(kpr)|(kdp)|(\|lc)|(penalty))"</v>
      </c>
      <c r="U28" s="9" t="str">
        <f t="shared" si="2"/>
        <v>4039</v>
      </c>
      <c r="V28" s="32">
        <f t="shared" si="3"/>
        <v>42803.921759259254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{"issue":{"subject":"","project_id":79,"tracker_id":40,"status_id":1,"priority_id":2,"assigned_to_id":23,"start_date":"2017-03-09","description":"","custom_fields":[{"id":1,"name":"Subdivision","value":"EC"},{"id":4,"name":"Milepost","value":"0.0001"},{"id":17,"name":"Train ID","value":"180-09"},{"id":16,"name":"Locomotive ID","value":"4039"},{"id":130,"name":"Impact","value":""},{"id":150,"name":"Time of Event (Mountain Time)","value":"15:07:20"},{"id":151,"name":"Denver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"%USERPROFILE%\AppData\Local\Temp\OnboardLogs"\RTDC4039\*4039*201703092*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"%USERPROFILE%\AppData\Local\Temp\OnboardLogs"\RTDC4039\*4039*201703092* &gt;&gt; 2017-03-09-SliceDisagreementCheck.txt</v>
      </c>
      <c r="AE28" s="157" t="str">
        <f t="shared" si="9"/>
        <v>start /low /b %USERPROFILE%\Documents\GitHub\eaglep3\Utilities\DownloadLogsFromS3.py --loco 4039 --day 2017-03-09</v>
      </c>
      <c r="AF28" s="1"/>
    </row>
    <row r="29" spans="1:32" x14ac:dyDescent="0.25">
      <c r="A29" s="32">
        <v>42803.715439814812</v>
      </c>
      <c r="B29" s="30" t="s">
        <v>602</v>
      </c>
      <c r="C29" s="30" t="s">
        <v>603</v>
      </c>
      <c r="D29" s="30" t="s">
        <v>49</v>
      </c>
      <c r="E29" s="30" t="s">
        <v>186</v>
      </c>
      <c r="F29" s="43">
        <v>0</v>
      </c>
      <c r="G29" s="43">
        <v>77</v>
      </c>
      <c r="H29" s="43">
        <v>273</v>
      </c>
      <c r="I29" s="43">
        <v>181</v>
      </c>
      <c r="J29" s="30" t="s">
        <v>187</v>
      </c>
      <c r="K29" s="43">
        <v>1</v>
      </c>
      <c r="L29" s="143" t="s">
        <v>51</v>
      </c>
      <c r="M29" s="144">
        <f t="shared" si="0"/>
        <v>95.04</v>
      </c>
      <c r="N29" s="145" t="str">
        <f>VLOOKUP(C29,'Trips&amp;Operators'!$C$1:$G$99999,5,FALSE)</f>
        <v>LOCKLEAR TRAVIS</v>
      </c>
      <c r="O29" s="194" t="s">
        <v>185</v>
      </c>
      <c r="P29" s="146"/>
      <c r="Q29" s="30"/>
      <c r="R29" s="89" t="str">
        <f>IF(VLOOKUP(C29,'Train Runs'!$A$13:$AE$9946,1,1)=C29,VLOOKUP(C29,'Train Runs'!$A$13:$AE$9946,31,1),NA())</f>
        <v>aws s3 cp s3://rtdc.mdm.uploadarchive.raw/RTDC4043/ "%USERPROFILE%\AppData\Local\Temp\OnboardLogs"\RTDC4043\2017-03-09 --exclude "*" --recursive --include "*20170309*" &amp; "%USERPROFILE%\Documents\GitHub\mrs-test-scripts\Headless Mode &amp; Sideloading\WalkAndUnGZ.bat" "%USERPROFILE%\AppData\Local\Temp\OnboardLogs"\RTDC4043\2017-03-09 &amp; aws s3 cp s3://rtdc.mdm.uploadarchive.raw/RTDC4043/ "%USERPROFILE%\AppData\Local\Temp\OnboardLogs"\RTDC4043\2017-03-10 --exclude "*" --recursive --include "*20170310*" &amp; "%USERPROFILE%\Documents\GitHub\mrs-test-scripts\Headless Mode &amp; Sideloading\WalkAndUnGZ.bat" "%USERPROFILE%\AppData\Local\Temp\OnboardLogs"\RTDC4043\2017-03-10</v>
      </c>
      <c r="S29" s="92" t="str">
        <f>IF(VLOOKUP(C29,'Train Runs'!$A$13:$AE$9946,1,1)=C29,VLOOKUP(C29,'Train Runs'!$A$13:$AE$9946,22,1),NA())</f>
        <v>https://d0f6bd738d7f1b3e5a7ca70fe4ff75f0.us-east-1.aws.found.io/app/kibana#/discover/Steve-Slow-Train-Analysis-(2080s-and-2083s)?_g=(refreshInterval:(display:Off,pause:!f,section:0,value:0),time:(from:'2017-03-09T15:22:04-0700',mode:absolute,to:'2017-03-09T18:10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29" s="94" t="str">
        <f t="shared" si="1"/>
        <v>"C:\Program Files (x86)\AstroGrep\AstroGrep.exe" /e /r /s /spath="%USERPROFILE%\AppData\Local\Temp\OnboardLogs" /stypes="*4043*201703100*" /stext=" 00:.+((SYSTEM_STATE.+slice.+state.+changed )|(ment ac)|(multiple cpu faults)|(system.+state.+changed )|(\[timeout)|(PRM\|1\|D)|(kpr)|(kdp)|(\|lc)|(penalty))"</v>
      </c>
      <c r="U29" s="9" t="str">
        <f t="shared" si="2"/>
        <v>4043</v>
      </c>
      <c r="V29" s="32">
        <f t="shared" si="3"/>
        <v>42804.007106481477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{"issue":{"subject":"","project_id":79,"tracker_id":40,"status_id":1,"priority_id":2,"assigned_to_id":23,"start_date":"2017-03-09","description":"","custom_fields":[{"id":1,"name":"Subdivision","value":"EC"},{"id":4,"name":"Milepost","value":"0.0001"},{"id":17,"name":"Train ID","value":"196-09"},{"id":16,"name":"Locomotive ID","value":"4043"},{"id":130,"name":"Impact","value":""},{"id":150,"name":"Time of Event (Mountain Time)","value":"17:10:14"},{"id":151,"name":"Denver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"%USERPROFILE%\AppData\Local\Temp\OnboardLogs"\RTDC4043\*4043*201703100*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"%USERPROFILE%\AppData\Local\Temp\OnboardLogs"\RTDC4043\*4043*201703100* &gt;&gt; 2017-03-09-SliceDisagreementCheck.txt</v>
      </c>
      <c r="AE29" s="157" t="str">
        <f t="shared" si="9"/>
        <v>start /low /b %USERPROFILE%\Documents\GitHub\eaglep3\Utilities\DownloadLogsFromS3.py --loco 4043 --day 2017-03-10</v>
      </c>
      <c r="AF29" s="1"/>
    </row>
    <row r="30" spans="1:32" x14ac:dyDescent="0.25">
      <c r="A30" s="32">
        <v>42803.724212962959</v>
      </c>
      <c r="B30" s="30" t="s">
        <v>252</v>
      </c>
      <c r="C30" s="30" t="s">
        <v>605</v>
      </c>
      <c r="D30" s="30" t="s">
        <v>49</v>
      </c>
      <c r="E30" s="30" t="s">
        <v>186</v>
      </c>
      <c r="F30" s="43">
        <v>0</v>
      </c>
      <c r="G30" s="43">
        <v>50</v>
      </c>
      <c r="H30" s="43">
        <v>170</v>
      </c>
      <c r="I30" s="43">
        <v>132</v>
      </c>
      <c r="J30" s="30" t="s">
        <v>187</v>
      </c>
      <c r="K30" s="43">
        <v>1</v>
      </c>
      <c r="L30" s="143" t="s">
        <v>51</v>
      </c>
      <c r="M30" s="144">
        <f t="shared" si="0"/>
        <v>69.168000000000006</v>
      </c>
      <c r="N30" s="145" t="str">
        <f>VLOOKUP(C30,'Trips&amp;Operators'!$C$1:$G$99999,5,FALSE)</f>
        <v>HELVIE ADAM</v>
      </c>
      <c r="O30" s="194" t="s">
        <v>185</v>
      </c>
      <c r="P30" s="146"/>
      <c r="Q30" s="30"/>
      <c r="R30" s="89" t="str">
        <f>IF(VLOOKUP(C30,'Train Runs'!$A$13:$AE$9946,1,1)=C30,VLOOKUP(C30,'Train Runs'!$A$13:$AE$9946,31,1),NA())</f>
        <v>aws s3 cp s3://rtdc.mdm.uploadarchive.raw/RTDC4013/ "%USERPROFILE%\AppData\Local\Temp\OnboardLogs"\RTDC4013\2017-03-09 --exclude "*" --recursive --include "*20170309*" &amp; "%USERPROFILE%\Documents\GitHub\mrs-test-scripts\Headless Mode &amp; Sideloading\WalkAndUnGZ.bat" "%USERPROFILE%\AppData\Local\Temp\OnboardLogs"\RTDC4013\2017-03-09 &amp; aws s3 cp s3://rtdc.mdm.uploadarchive.raw/RTDC4013/ "%USERPROFILE%\AppData\Local\Temp\OnboardLogs"\RTDC4013\2017-03-10 --exclude "*" --recursive --include "*20170310*" &amp; "%USERPROFILE%\Documents\GitHub\mrs-test-scripts\Headless Mode &amp; Sideloading\WalkAndUnGZ.bat" "%USERPROFILE%\AppData\Local\Temp\OnboardLogs"\RTDC4013\2017-03-10</v>
      </c>
      <c r="S30" s="92" t="str">
        <f>IF(VLOOKUP(C30,'Train Runs'!$A$13:$AE$9946,1,1)=C30,VLOOKUP(C30,'Train Runs'!$A$13:$AE$9946,22,1),NA())</f>
        <v>https://d0f6bd738d7f1b3e5a7ca70fe4ff75f0.us-east-1.aws.found.io/app/kibana#/discover/Steve-Slow-Train-Analysis-(2080s-and-2083s)?_g=(refreshInterval:(display:Off,pause:!f,section:0,value:0),time:(from:'2017-03-09T15:38:00-0700',mode:absolute,to:'2017-03-09T18:22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0" s="94" t="str">
        <f t="shared" si="1"/>
        <v>"C:\Program Files (x86)\AstroGrep\AstroGrep.exe" /e /r /s /spath="%USERPROFILE%\AppData\Local\Temp\OnboardLogs" /stypes="*4013*201703100*" /stext=" 00:.+((SYSTEM_STATE.+slice.+state.+changed )|(ment ac)|(multiple cpu faults)|(system.+state.+changed )|(\[timeout)|(PRM\|1\|D)|(kpr)|(kdp)|(\|lc)|(penalty))"</v>
      </c>
      <c r="U30" s="9" t="str">
        <f t="shared" si="2"/>
        <v>4013</v>
      </c>
      <c r="V30" s="32">
        <f t="shared" si="3"/>
        <v>42804.015879629624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{"issue":{"subject":"","project_id":79,"tracker_id":40,"status_id":1,"priority_id":2,"assigned_to_id":23,"start_date":"2017-03-09","description":"","custom_fields":[{"id":1,"name":"Subdivision","value":"EC"},{"id":4,"name":"Milepost","value":"0.0001"},{"id":17,"name":"Train ID","value":"198-09"},{"id":16,"name":"Locomotive ID","value":"4013"},{"id":130,"name":"Impact","value":""},{"id":150,"name":"Time of Event (Mountain Time)","value":"17:22:52"},{"id":151,"name":"Denver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"%USERPROFILE%\AppData\Local\Temp\OnboardLogs"\RTDC4013\*4013*201703100*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"%USERPROFILE%\AppData\Local\Temp\OnboardLogs"\RTDC4013\*4013*201703100* &gt;&gt; 2017-03-09-SliceDisagreementCheck.txt</v>
      </c>
      <c r="AE30" s="157" t="str">
        <f t="shared" si="9"/>
        <v>start /low /b %USERPROFILE%\Documents\GitHub\eaglep3\Utilities\DownloadLogsFromS3.py --loco 4013 --day 2017-03-10</v>
      </c>
      <c r="AF30" s="1"/>
    </row>
    <row r="31" spans="1:32" x14ac:dyDescent="0.25">
      <c r="A31" s="32">
        <v>42803.437025462961</v>
      </c>
      <c r="B31" s="30" t="s">
        <v>575</v>
      </c>
      <c r="C31" s="30" t="s">
        <v>585</v>
      </c>
      <c r="D31" s="30" t="s">
        <v>49</v>
      </c>
      <c r="E31" s="30" t="s">
        <v>186</v>
      </c>
      <c r="F31" s="43">
        <v>0</v>
      </c>
      <c r="G31" s="43">
        <v>26</v>
      </c>
      <c r="H31" s="43">
        <v>911</v>
      </c>
      <c r="I31" s="43">
        <v>884</v>
      </c>
      <c r="J31" s="30" t="s">
        <v>187</v>
      </c>
      <c r="K31" s="43">
        <v>839</v>
      </c>
      <c r="L31" s="143" t="s">
        <v>51</v>
      </c>
      <c r="M31" s="144">
        <f t="shared" si="0"/>
        <v>23.76</v>
      </c>
      <c r="N31" s="145" t="str">
        <f>VLOOKUP(C31,'Trips&amp;Operators'!$C$1:$G$99999,5,FALSE)</f>
        <v>YOUNG ELIZABETH</v>
      </c>
      <c r="O31" s="194" t="s">
        <v>185</v>
      </c>
      <c r="P31" s="146"/>
      <c r="Q31" s="30"/>
      <c r="R31" s="89" t="str">
        <f>IF(VLOOKUP(C31,'Train Runs'!$A$13:$AE$9946,1,1)=C31,VLOOKUP(C31,'Train Runs'!$A$13:$AE$9946,31,1),NA())</f>
        <v>aws s3 cp s3://rtdc.mdm.uploadarchive.raw/RTDC4021/ "%USERPROFILE%\AppData\Local\Temp\OnboardLogs"\RTDC4021\2017-03-09 --exclude "*" --recursive --include "*20170309*" &amp; "%USERPROFILE%\Documents\GitHub\mrs-test-scripts\Headless Mode &amp; Sideloading\WalkAndUnGZ.bat" "%USERPROFILE%\AppData\Local\Temp\OnboardLogs"\RTDC4021\2017-03-09 &amp; aws s3 cp s3://rtdc.mdm.uploadarchive.raw/RTDC4021/ "%USERPROFILE%\AppData\Local\Temp\OnboardLogs"\RTDC4021\2017-03-10 --exclude "*" --recursive --include "*20170310*" &amp; "%USERPROFILE%\Documents\GitHub\mrs-test-scripts\Headless Mode &amp; Sideloading\WalkAndUnGZ.bat" "%USERPROFILE%\AppData\Local\Temp\OnboardLogs"\RTDC4021\2017-03-10</v>
      </c>
      <c r="S31" s="92" t="str">
        <f>IF(VLOOKUP(C31,'Train Runs'!$A$13:$AE$9946,1,1)=C31,VLOOKUP(C31,'Train Runs'!$A$13:$AE$9946,22,1),NA())</f>
        <v>https://d0f6bd738d7f1b3e5a7ca70fe4ff75f0.us-east-1.aws.found.io/app/kibana#/discover/Steve-Slow-Train-Analysis-(2080s-and-2083s)?_g=(refreshInterval:(display:Off,pause:!f,section:0,value:0),time:(from:'2017-03-09T08:27:56-0700',mode:absolute,to:'2017-03-09T11:29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31" s="94" t="str">
        <f t="shared" si="1"/>
        <v>"C:\Program Files (x86)\AstroGrep\AstroGrep.exe" /e /r /s /spath="%USERPROFILE%\AppData\Local\Temp\OnboardLogs" /stypes="*4021*201703091*" /stext=" 17:.+((SYSTEM_STATE.+slice.+state.+changed )|(ment ac)|(multiple cpu faults)|(system.+state.+changed )|(\[timeout)|(PRM\|1\|D)|(kpr)|(kdp)|(\|lc)|(penalty))"</v>
      </c>
      <c r="U31" s="9" t="str">
        <f t="shared" si="2"/>
        <v>4021</v>
      </c>
      <c r="V31" s="32">
        <f t="shared" si="3"/>
        <v>42803.728692129625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{"issue":{"subject":"","project_id":79,"tracker_id":40,"status_id":1,"priority_id":2,"assigned_to_id":23,"start_date":"2017-03-09","description":"","custom_fields":[{"id":1,"name":"Subdivision","value":"EC"},{"id":4,"name":"Milepost","value":"0.0839"},{"id":17,"name":"Train ID","value":"142-09"},{"id":16,"name":"Locomotive ID","value":"4021"},{"id":130,"name":"Impact","value":""},{"id":150,"name":"Time of Event (Mountain Time)","value":"10:29:19"},{"id":151,"name":"Denver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"%USERPROFILE%\AppData\Local\Temp\OnboardLogs"\RTDC4021\*4021*201703091*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"%USERPROFILE%\AppData\Local\Temp\OnboardLogs"\RTDC4021\*4021*201703091* &gt;&gt; 2017-03-09-SliceDisagreementCheck.txt</v>
      </c>
      <c r="AE31" s="157" t="str">
        <f t="shared" si="9"/>
        <v>start /low /b %USERPROFILE%\Documents\GitHub\eaglep3\Utilities\DownloadLogsFromS3.py --loco 4021 --day 2017-03-09</v>
      </c>
      <c r="AF31" s="1"/>
    </row>
    <row r="32" spans="1:32" x14ac:dyDescent="0.25">
      <c r="A32" s="32">
        <v>42803.751898148148</v>
      </c>
      <c r="B32" s="30" t="s">
        <v>600</v>
      </c>
      <c r="C32" s="30" t="s">
        <v>606</v>
      </c>
      <c r="D32" s="30" t="s">
        <v>49</v>
      </c>
      <c r="E32" s="30" t="s">
        <v>195</v>
      </c>
      <c r="F32" s="43">
        <v>0</v>
      </c>
      <c r="G32" s="43">
        <v>350</v>
      </c>
      <c r="H32" s="43">
        <v>10329</v>
      </c>
      <c r="I32" s="43">
        <v>11097</v>
      </c>
      <c r="J32" s="30" t="s">
        <v>196</v>
      </c>
      <c r="K32" s="43">
        <v>10714</v>
      </c>
      <c r="L32" s="143" t="s">
        <v>50</v>
      </c>
      <c r="M32" s="144">
        <f t="shared" si="0"/>
        <v>-202.22399999999999</v>
      </c>
      <c r="N32" s="145" t="str">
        <f>VLOOKUP(C32,'Trips&amp;Operators'!$C$1:$G$99999,5,FALSE)</f>
        <v>STORY SAMANTHA</v>
      </c>
      <c r="O32" s="194" t="s">
        <v>185</v>
      </c>
      <c r="P32" s="146" t="s">
        <v>1016</v>
      </c>
      <c r="Q32" s="30"/>
      <c r="R32" s="89" t="e">
        <f>IF(VLOOKUP(C32,'Train Runs'!$A$13:$AE$9946,1,1)=C32,VLOOKUP(C32,'Train Runs'!$A$13:$AE$9946,31,1),NA())</f>
        <v>#N/A</v>
      </c>
      <c r="S32" s="92" t="e">
        <f>IF(VLOOKUP(C32,'Train Runs'!$A$13:$AE$9946,1,1)=C32,VLOOKUP(C32,'Train Runs'!$A$13:$AE$9946,22,1),NA())</f>
        <v>#N/A</v>
      </c>
      <c r="T32" s="94" t="str">
        <f t="shared" si="1"/>
        <v>"C:\Program Files (x86)\AstroGrep\AstroGrep.exe" /e /r /s /spath="%USERPROFILE%\AppData\Local\Temp\OnboardLogs" /stypes="*4007*201703100*" /stext=" 01:.+((SYSTEM_STATE.+slice.+state.+changed )|(ment ac)|(multiple cpu faults)|(system.+state.+changed )|(\[timeout)|(PRM\|1\|D)|(kpr)|(kdp)|(\|lc)|(penalty))"</v>
      </c>
      <c r="U32" s="9" t="str">
        <f t="shared" si="2"/>
        <v>4007</v>
      </c>
      <c r="V32" s="32">
        <f t="shared" si="3"/>
        <v>42804.043564814812</v>
      </c>
      <c r="W32" s="46" t="str">
        <f t="shared" si="4"/>
        <v>NW</v>
      </c>
      <c r="X32" s="46" t="str">
        <f t="shared" si="5"/>
        <v>KEEP</v>
      </c>
      <c r="Y32" s="108" t="str">
        <f t="shared" si="6"/>
        <v>echo {"issue":{"subject":"Early arrival","project_id":79,"tracker_id":40,"status_id":1,"priority_id":2,"assigned_to_id":23,"start_date":"2017-03-09","description":"","custom_fields":[{"id":1,"name":"Subdivision","value":"NW"},{"id":4,"name":"Milepost","value":"1.0714"},{"id":17,"name":"Train ID","value":"835-09"},{"id":16,"name":"Locomotive ID","value":"4007"},{"id":130,"name":"Impact","value":""},{"id":150,"name":"Time of Event (Mountain Time)","value":"18:02:44"},{"id":151,"name":"Denver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"%USERPROFILE%\AppData\Local\Temp\OnboardLogs"\RTDC4007\*4007*201703100*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"%USERPROFILE%\AppData\Local\Temp\OnboardLogs"\RTDC4007\*4007*201703100* &gt;&gt; 2017-03-09-SliceDisagreementCheck.txt</v>
      </c>
      <c r="AE32" s="157" t="str">
        <f t="shared" si="9"/>
        <v>start /low /b %USERPROFILE%\Documents\GitHub\eaglep3\Utilities\DownloadLogsFromS3.py --loco 4007 --day 2017-03-10</v>
      </c>
      <c r="AF32" s="1"/>
    </row>
    <row r="33" spans="1:32" x14ac:dyDescent="0.25">
      <c r="A33" s="32">
        <v>42803.35560185185</v>
      </c>
      <c r="B33" s="30" t="s">
        <v>190</v>
      </c>
      <c r="C33" s="30" t="s">
        <v>582</v>
      </c>
      <c r="D33" s="30" t="s">
        <v>49</v>
      </c>
      <c r="E33" s="30" t="s">
        <v>238</v>
      </c>
      <c r="F33" s="43">
        <v>150</v>
      </c>
      <c r="G33" s="43">
        <v>201</v>
      </c>
      <c r="H33" s="43">
        <v>56568</v>
      </c>
      <c r="I33" s="43">
        <v>56838</v>
      </c>
      <c r="J33" s="30" t="s">
        <v>239</v>
      </c>
      <c r="K33" s="43">
        <v>57008</v>
      </c>
      <c r="L33" s="143" t="s">
        <v>50</v>
      </c>
      <c r="M33" s="144">
        <f t="shared" si="0"/>
        <v>89.76</v>
      </c>
      <c r="N33" s="145" t="str">
        <f>VLOOKUP(C33,'Trips&amp;Operators'!$C$1:$G$99999,5,FALSE)</f>
        <v>LOZA FIDEL</v>
      </c>
      <c r="O33" s="194" t="s">
        <v>185</v>
      </c>
      <c r="P33" s="146"/>
      <c r="Q33" s="30"/>
      <c r="R33" s="89" t="e">
        <f>IF(VLOOKUP(C33,'Train Runs'!$A$13:$AE$9946,1,1)=C33,VLOOKUP(C33,'Train Runs'!$A$13:$AE$9946,31,1),NA())</f>
        <v>#N/A</v>
      </c>
      <c r="S33" s="92" t="e">
        <f>IF(VLOOKUP(C33,'Train Runs'!$A$13:$AE$9946,1,1)=C33,VLOOKUP(C33,'Train Runs'!$A$13:$AE$9946,22,1),NA())</f>
        <v>#N/A</v>
      </c>
      <c r="T33" s="94" t="str">
        <f t="shared" si="1"/>
        <v>"C:\Program Files (x86)\AstroGrep\AstroGrep.exe" /e /r /s /spath="%USERPROFILE%\AppData\Local\Temp\OnboardLogs" /stypes="*4011*201703091*" /stext=" 15:.+((SYSTEM_STATE.+slice.+state.+changed )|(ment ac)|(multiple cpu faults)|(system.+state.+changed )|(\[timeout)|(PRM\|1\|D)|(kpr)|(kdp)|(\|lc)|(penalty))"</v>
      </c>
      <c r="U33" s="9" t="str">
        <f t="shared" si="2"/>
        <v>4011</v>
      </c>
      <c r="V33" s="32">
        <f t="shared" si="3"/>
        <v>42803.647268518514</v>
      </c>
      <c r="W33" s="46" t="str">
        <f t="shared" si="4"/>
        <v>NW</v>
      </c>
      <c r="X33" s="46" t="str">
        <f t="shared" si="5"/>
        <v>KEEP</v>
      </c>
      <c r="Y33" s="108" t="str">
        <f t="shared" si="6"/>
        <v>echo {"issue":{"subject":"","project_id":79,"tracker_id":40,"status_id":1,"priority_id":2,"assigned_to_id":23,"start_date":"2017-03-09","description":"","custom_fields":[{"id":1,"name":"Subdivision","value":"NW"},{"id":4,"name":"Milepost","value":"5.7008"},{"id":17,"name":"Train ID","value":"811-09"},{"id":16,"name":"Locomotive ID","value":"4011"},{"id":130,"name":"Impact","value":""},{"id":150,"name":"Time of Event (Mountain Time)","value":"08:32:04"},{"id":151,"name":"Denver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"%USERPROFILE%\AppData\Local\Temp\OnboardLogs"\RTDC4011\*4011*201703091*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"%USERPROFILE%\AppData\Local\Temp\OnboardLogs"\RTDC4011\*4011*201703091* &gt;&gt; 2017-03-09-SliceDisagreementCheck.txt</v>
      </c>
      <c r="AE33" s="157" t="str">
        <f t="shared" si="9"/>
        <v>start /low /b %USERPROFILE%\Documents\GitHub\eaglep3\Utilities\DownloadLogsFromS3.py --loco 4011 --day 2017-03-09</v>
      </c>
      <c r="AF33" s="1"/>
    </row>
    <row r="34" spans="1:32" x14ac:dyDescent="0.25">
      <c r="A34" s="32">
        <v>42803.496099537035</v>
      </c>
      <c r="B34" s="30" t="s">
        <v>231</v>
      </c>
      <c r="C34" s="30" t="s">
        <v>587</v>
      </c>
      <c r="D34" s="30" t="s">
        <v>49</v>
      </c>
      <c r="E34" s="30" t="s">
        <v>186</v>
      </c>
      <c r="F34" s="43">
        <v>0</v>
      </c>
      <c r="G34" s="43">
        <v>54</v>
      </c>
      <c r="H34" s="43">
        <v>722</v>
      </c>
      <c r="I34" s="43">
        <v>678</v>
      </c>
      <c r="J34" s="30" t="s">
        <v>187</v>
      </c>
      <c r="K34" s="43">
        <v>575</v>
      </c>
      <c r="L34" s="143" t="s">
        <v>51</v>
      </c>
      <c r="M34" s="144">
        <f t="shared" si="0"/>
        <v>54.384</v>
      </c>
      <c r="N34" s="145" t="str">
        <f>VLOOKUP(C34,'Trips&amp;Operators'!$C$1:$G$99999,5,FALSE)</f>
        <v>LOZA FIDEL</v>
      </c>
      <c r="O34" s="194" t="s">
        <v>185</v>
      </c>
      <c r="P34" s="146"/>
      <c r="Q34" s="30"/>
      <c r="R34" s="89" t="e">
        <f>IF(VLOOKUP(C34,'Train Runs'!$A$13:$AE$9946,1,1)=C34,VLOOKUP(C34,'Train Runs'!$A$13:$AE$9946,31,1),NA())</f>
        <v>#N/A</v>
      </c>
      <c r="S34" s="92" t="e">
        <f>IF(VLOOKUP(C34,'Train Runs'!$A$13:$AE$9946,1,1)=C34,VLOOKUP(C34,'Train Runs'!$A$13:$AE$9946,22,1),NA())</f>
        <v>#N/A</v>
      </c>
      <c r="T34" s="94" t="str">
        <f t="shared" si="1"/>
        <v>"C:\Program Files (x86)\AstroGrep\AstroGrep.exe" /e /r /s /spath="%USERPROFILE%\AppData\Local\Temp\OnboardLogs" /stypes="*4012*201703091*" /stext=" 18:.+((SYSTEM_STATE.+slice.+state.+changed )|(ment ac)|(multiple cpu faults)|(system.+state.+changed )|(\[timeout)|(PRM\|1\|D)|(kpr)|(kdp)|(\|lc)|(penalty))"</v>
      </c>
      <c r="U34" s="9" t="str">
        <f t="shared" si="2"/>
        <v>4012</v>
      </c>
      <c r="V34" s="32">
        <f t="shared" si="3"/>
        <v>42803.787766203699</v>
      </c>
      <c r="W34" s="46" t="str">
        <f t="shared" si="4"/>
        <v>NW</v>
      </c>
      <c r="X34" s="46" t="str">
        <f t="shared" si="5"/>
        <v>KEEP</v>
      </c>
      <c r="Y34" s="108" t="str">
        <f t="shared" si="6"/>
        <v>echo {"issue":{"subject":"","project_id":79,"tracker_id":40,"status_id":1,"priority_id":2,"assigned_to_id":23,"start_date":"2017-03-09","description":"","custom_fields":[{"id":1,"name":"Subdivision","value":"NW"},{"id":4,"name":"Milepost","value":"0.0575"},{"id":17,"name":"Train ID","value":"818-09"},{"id":16,"name":"Locomotive ID","value":"4012"},{"id":130,"name":"Impact","value":""},{"id":150,"name":"Time of Event (Mountain Time)","value":"11:54:23"},{"id":151,"name":"Denver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"%USERPROFILE%\AppData\Local\Temp\OnboardLogs"\RTDC4012\*4012*201703091*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"%USERPROFILE%\AppData\Local\Temp\OnboardLogs"\RTDC4012\*4012*201703091* &gt;&gt; 2017-03-09-SliceDisagreementCheck.txt</v>
      </c>
      <c r="AE34" s="157" t="str">
        <f t="shared" si="9"/>
        <v>start /low /b %USERPROFILE%\Documents\GitHub\eaglep3\Utilities\DownloadLogsFromS3.py --loco 4012 --day 2017-03-09</v>
      </c>
      <c r="AF34" s="1"/>
    </row>
    <row r="35" spans="1:32" x14ac:dyDescent="0.25">
      <c r="A35" s="32">
        <v>42803.579733796294</v>
      </c>
      <c r="B35" s="30" t="s">
        <v>231</v>
      </c>
      <c r="C35" s="30" t="s">
        <v>592</v>
      </c>
      <c r="D35" s="30" t="s">
        <v>49</v>
      </c>
      <c r="E35" s="30" t="s">
        <v>186</v>
      </c>
      <c r="F35" s="43">
        <v>0</v>
      </c>
      <c r="G35" s="43">
        <v>56</v>
      </c>
      <c r="H35" s="43">
        <v>757</v>
      </c>
      <c r="I35" s="43">
        <v>717</v>
      </c>
      <c r="J35" s="30" t="s">
        <v>187</v>
      </c>
      <c r="K35" s="43">
        <v>575</v>
      </c>
      <c r="L35" s="143" t="s">
        <v>51</v>
      </c>
      <c r="M35" s="144">
        <f t="shared" si="0"/>
        <v>74.975999999999999</v>
      </c>
      <c r="N35" s="145" t="str">
        <f>VLOOKUP(C35,'Trips&amp;Operators'!$C$1:$G$99999,5,FALSE)</f>
        <v>LEVERE CRAIG</v>
      </c>
      <c r="O35" s="194" t="s">
        <v>185</v>
      </c>
      <c r="P35" s="146"/>
      <c r="Q35" s="30"/>
      <c r="R35" s="89" t="e">
        <f>IF(VLOOKUP(C35,'Train Runs'!$A$13:$AE$9946,1,1)=C35,VLOOKUP(C35,'Train Runs'!$A$13:$AE$9946,31,1),NA())</f>
        <v>#N/A</v>
      </c>
      <c r="S35" s="92" t="e">
        <f>IF(VLOOKUP(C35,'Train Runs'!$A$13:$AE$9946,1,1)=C35,VLOOKUP(C35,'Train Runs'!$A$13:$AE$9946,22,1),NA())</f>
        <v>#N/A</v>
      </c>
      <c r="T35" s="94" t="str">
        <f t="shared" si="1"/>
        <v>"C:\Program Files (x86)\AstroGrep\AstroGrep.exe" /e /r /s /spath="%USERPROFILE%\AppData\Local\Temp\OnboardLogs" /stypes="*4012*201703092*" /stext=" 20:.+((SYSTEM_STATE.+slice.+state.+changed )|(ment ac)|(multiple cpu faults)|(system.+state.+changed )|(\[timeout)|(PRM\|1\|D)|(kpr)|(kdp)|(\|lc)|(penalty))"</v>
      </c>
      <c r="U35" s="9" t="str">
        <f t="shared" si="2"/>
        <v>4012</v>
      </c>
      <c r="V35" s="32">
        <f t="shared" si="3"/>
        <v>42803.871400462958</v>
      </c>
      <c r="W35" s="46" t="str">
        <f t="shared" si="4"/>
        <v>NW</v>
      </c>
      <c r="X35" s="46" t="str">
        <f t="shared" si="5"/>
        <v>KEEP</v>
      </c>
      <c r="Y35" s="108" t="str">
        <f t="shared" si="6"/>
        <v>echo {"issue":{"subject":"","project_id":79,"tracker_id":40,"status_id":1,"priority_id":2,"assigned_to_id":23,"start_date":"2017-03-09","description":"","custom_fields":[{"id":1,"name":"Subdivision","value":"NW"},{"id":4,"name":"Milepost","value":"0.0575"},{"id":17,"name":"Train ID","value":"822-09"},{"id":16,"name":"Locomotive ID","value":"4012"},{"id":130,"name":"Impact","value":""},{"id":150,"name":"Time of Event (Mountain Time)","value":"13:54:49"},{"id":151,"name":"Denver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"%USERPROFILE%\AppData\Local\Temp\OnboardLogs"\RTDC4012\*4012*201703092*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"%USERPROFILE%\AppData\Local\Temp\OnboardLogs"\RTDC4012\*4012*201703092* &gt;&gt; 2017-03-09-SliceDisagreementCheck.txt</v>
      </c>
      <c r="AE35" s="157" t="str">
        <f t="shared" si="9"/>
        <v>start /low /b %USERPROFILE%\Documents\GitHub\eaglep3\Utilities\DownloadLogsFromS3.py --loco 4012 --day 2017-03-09</v>
      </c>
      <c r="AF35" s="1"/>
    </row>
    <row r="36" spans="1:32" x14ac:dyDescent="0.25">
      <c r="A36" s="32">
        <v>42803.667175925926</v>
      </c>
      <c r="B36" s="30" t="s">
        <v>231</v>
      </c>
      <c r="C36" s="30" t="s">
        <v>599</v>
      </c>
      <c r="D36" s="30" t="s">
        <v>49</v>
      </c>
      <c r="E36" s="30" t="s">
        <v>186</v>
      </c>
      <c r="F36" s="43">
        <v>0</v>
      </c>
      <c r="G36" s="43">
        <v>49</v>
      </c>
      <c r="H36" s="43">
        <v>759</v>
      </c>
      <c r="I36" s="43">
        <v>715</v>
      </c>
      <c r="J36" s="30" t="s">
        <v>187</v>
      </c>
      <c r="K36" s="43">
        <v>575</v>
      </c>
      <c r="L36" s="143" t="s">
        <v>51</v>
      </c>
      <c r="M36" s="144">
        <f t="shared" si="0"/>
        <v>73.92</v>
      </c>
      <c r="N36" s="145" t="str">
        <f>VLOOKUP(C36,'Trips&amp;Operators'!$C$1:$G$99999,5,FALSE)</f>
        <v>LEVERE CRAIG</v>
      </c>
      <c r="O36" s="194" t="s">
        <v>185</v>
      </c>
      <c r="P36" s="146"/>
      <c r="Q36" s="30"/>
      <c r="R36" s="89" t="e">
        <f>IF(VLOOKUP(C36,'Train Runs'!$A$13:$AE$9946,1,1)=C36,VLOOKUP(C36,'Train Runs'!$A$13:$AE$9946,31,1),NA())</f>
        <v>#N/A</v>
      </c>
      <c r="S36" s="92" t="e">
        <f>IF(VLOOKUP(C36,'Train Runs'!$A$13:$AE$9946,1,1)=C36,VLOOKUP(C36,'Train Runs'!$A$13:$AE$9946,22,1),NA())</f>
        <v>#N/A</v>
      </c>
      <c r="T36" s="94" t="str">
        <f t="shared" si="1"/>
        <v>"C:\Program Files (x86)\AstroGrep\AstroGrep.exe" /e /r /s /spath="%USERPROFILE%\AppData\Local\Temp\OnboardLogs" /stypes="*4012*201703092*" /stext=" 23:.+((SYSTEM_STATE.+slice.+state.+changed )|(ment ac)|(multiple cpu faults)|(system.+state.+changed )|(\[timeout)|(PRM\|1\|D)|(kpr)|(kdp)|(\|lc)|(penalty))"</v>
      </c>
      <c r="U36" s="9" t="str">
        <f t="shared" si="2"/>
        <v>4012</v>
      </c>
      <c r="V36" s="32">
        <f t="shared" si="3"/>
        <v>42803.95884259259</v>
      </c>
      <c r="W36" s="46" t="str">
        <f t="shared" si="4"/>
        <v>NW</v>
      </c>
      <c r="X36" s="46" t="str">
        <f t="shared" si="5"/>
        <v>KEEP</v>
      </c>
      <c r="Y36" s="108" t="str">
        <f t="shared" si="6"/>
        <v>echo {"issue":{"subject":"","project_id":79,"tracker_id":40,"status_id":1,"priority_id":2,"assigned_to_id":23,"start_date":"2017-03-09","description":"","custom_fields":[{"id":1,"name":"Subdivision","value":"NW"},{"id":4,"name":"Milepost","value":"0.0575"},{"id":17,"name":"Train ID","value":"826-09"},{"id":16,"name":"Locomotive ID","value":"4012"},{"id":130,"name":"Impact","value":""},{"id":150,"name":"Time of Event (Mountain Time)","value":"16:00:44"},{"id":151,"name":"Denver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"%USERPROFILE%\AppData\Local\Temp\OnboardLogs"\RTDC4012\*4012*201703092*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"%USERPROFILE%\AppData\Local\Temp\OnboardLogs"\RTDC4012\*4012*201703092* &gt;&gt; 2017-03-09-SliceDisagreementCheck.txt</v>
      </c>
      <c r="AE36" s="157" t="str">
        <f t="shared" si="9"/>
        <v>start /low /b %USERPROFILE%\Documents\GitHub\eaglep3\Utilities\DownloadLogsFromS3.py --loco 4012 --day 2017-03-09</v>
      </c>
      <c r="AF36" s="1"/>
    </row>
    <row r="37" spans="1:32" x14ac:dyDescent="0.25">
      <c r="A37" s="32">
        <v>42803.913576388892</v>
      </c>
      <c r="B37" s="30" t="s">
        <v>231</v>
      </c>
      <c r="C37" s="30" t="s">
        <v>610</v>
      </c>
      <c r="D37" s="30" t="s">
        <v>49</v>
      </c>
      <c r="E37" s="30" t="s">
        <v>186</v>
      </c>
      <c r="F37" s="43">
        <v>0</v>
      </c>
      <c r="G37" s="43">
        <v>34</v>
      </c>
      <c r="H37" s="43">
        <v>691</v>
      </c>
      <c r="I37" s="43">
        <v>657</v>
      </c>
      <c r="J37" s="30" t="s">
        <v>187</v>
      </c>
      <c r="K37" s="43">
        <v>575</v>
      </c>
      <c r="L37" s="143" t="s">
        <v>51</v>
      </c>
      <c r="M37" s="144">
        <f t="shared" si="0"/>
        <v>43.296000000000006</v>
      </c>
      <c r="N37" s="145" t="str">
        <f>VLOOKUP(C37,'Trips&amp;Operators'!$C$1:$G$99999,5,FALSE)</f>
        <v>STORY SAMANTHA</v>
      </c>
      <c r="O37" s="194" t="s">
        <v>185</v>
      </c>
      <c r="P37" s="146"/>
      <c r="Q37" s="30"/>
      <c r="R37" s="89" t="e">
        <f>IF(VLOOKUP(C37,'Train Runs'!$A$13:$AE$9946,1,1)=C37,VLOOKUP(C37,'Train Runs'!$A$13:$AE$9946,31,1),NA())</f>
        <v>#N/A</v>
      </c>
      <c r="S37" s="92" t="e">
        <f>IF(VLOOKUP(C37,'Train Runs'!$A$13:$AE$9946,1,1)=C37,VLOOKUP(C37,'Train Runs'!$A$13:$AE$9946,22,1),NA())</f>
        <v>#N/A</v>
      </c>
      <c r="T37" s="94" t="str">
        <f t="shared" si="1"/>
        <v>"C:\Program Files (x86)\AstroGrep\AstroGrep.exe" /e /r /s /spath="%USERPROFILE%\AppData\Local\Temp\OnboardLogs" /stypes="*4012*201703100*" /stext=" 04:.+((SYSTEM_STATE.+slice.+state.+changed )|(ment ac)|(multiple cpu faults)|(system.+state.+changed )|(\[timeout)|(PRM\|1\|D)|(kpr)|(kdp)|(\|lc)|(penalty))"</v>
      </c>
      <c r="U37" s="9" t="str">
        <f t="shared" si="2"/>
        <v>4012</v>
      </c>
      <c r="V37" s="32">
        <f t="shared" si="3"/>
        <v>42804.205243055556</v>
      </c>
      <c r="W37" s="46" t="str">
        <f t="shared" si="4"/>
        <v>NW</v>
      </c>
      <c r="X37" s="46" t="str">
        <f t="shared" si="5"/>
        <v>KEEP</v>
      </c>
      <c r="Y37" s="108" t="str">
        <f t="shared" si="6"/>
        <v>echo {"issue":{"subject":"","project_id":79,"tracker_id":40,"status_id":1,"priority_id":2,"assigned_to_id":23,"start_date":"2017-03-09","description":"","custom_fields":[{"id":1,"name":"Subdivision","value":"NW"},{"id":4,"name":"Milepost","value":"0.0575"},{"id":17,"name":"Train ID","value":"844-09"},{"id":16,"name":"Locomotive ID","value":"4012"},{"id":130,"name":"Impact","value":""},{"id":150,"name":"Time of Event (Mountain Time)","value":"21:55:33"},{"id":151,"name":"Denver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"%USERPROFILE%\AppData\Local\Temp\OnboardLogs"\RTDC4012\*4012*201703100*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"%USERPROFILE%\AppData\Local\Temp\OnboardLogs"\RTDC4012\*4012*201703100* &gt;&gt; 2017-03-09-SliceDisagreementCheck.txt</v>
      </c>
      <c r="AE37" s="157" t="str">
        <f t="shared" si="9"/>
        <v>start /low /b %USERPROFILE%\Documents\GitHub\eaglep3\Utilities\DownloadLogsFromS3.py --loco 4012 --day 2017-03-10</v>
      </c>
      <c r="AF37" s="1"/>
    </row>
    <row r="38" spans="1:32" x14ac:dyDescent="0.25">
      <c r="A38" s="32">
        <v>42803.712094907409</v>
      </c>
      <c r="B38" s="30" t="s">
        <v>600</v>
      </c>
      <c r="C38" s="30" t="s">
        <v>601</v>
      </c>
      <c r="D38" s="30" t="s">
        <v>98</v>
      </c>
      <c r="E38" s="30" t="s">
        <v>186</v>
      </c>
      <c r="F38" s="43">
        <v>0</v>
      </c>
      <c r="G38" s="43">
        <v>8</v>
      </c>
      <c r="H38" s="43">
        <v>59048</v>
      </c>
      <c r="I38" s="43">
        <v>0</v>
      </c>
      <c r="J38" s="30" t="s">
        <v>187</v>
      </c>
      <c r="K38" s="43">
        <v>59048</v>
      </c>
      <c r="L38" s="143" t="s">
        <v>50</v>
      </c>
      <c r="M38" s="144">
        <f t="shared" si="0"/>
        <v>31177.344000000001</v>
      </c>
      <c r="N38" s="145" t="str">
        <f>VLOOKUP(C38,'Trips&amp;Operators'!$C$1:$G$99999,5,FALSE)</f>
        <v>STORY SAMANTHA</v>
      </c>
      <c r="O38" s="194" t="s">
        <v>185</v>
      </c>
      <c r="P38" s="146"/>
      <c r="Q38" s="30"/>
      <c r="R38" s="89" t="e">
        <f>IF(VLOOKUP(C38,'Train Runs'!$A$13:$AE$9946,1,1)=C38,VLOOKUP(C38,'Train Runs'!$A$13:$AE$9946,31,1),NA())</f>
        <v>#N/A</v>
      </c>
      <c r="S38" s="92" t="e">
        <f>IF(VLOOKUP(C38,'Train Runs'!$A$13:$AE$9946,1,1)=C38,VLOOKUP(C38,'Train Runs'!$A$13:$AE$9946,22,1),NA())</f>
        <v>#N/A</v>
      </c>
      <c r="T38" s="94" t="str">
        <f t="shared" si="1"/>
        <v>"C:\Program Files (x86)\AstroGrep\AstroGrep.exe" /e /r /s /spath="%USERPROFILE%\AppData\Local\Temp\OnboardLogs" /stypes="*4007*201703100*" /stext=" 00:.+((SYSTEM_STATE.+slice.+state.+changed )|(ment ac)|(multiple cpu faults)|(system.+state.+changed )|(\[timeout)|(PRM\|1\|D)|(kpr)|(kdp)|(\|lc)|(penalty))"</v>
      </c>
      <c r="U38" s="9" t="str">
        <f t="shared" si="2"/>
        <v>4007</v>
      </c>
      <c r="V38" s="32">
        <f t="shared" si="3"/>
        <v>42804.003761574073</v>
      </c>
      <c r="W38" s="46" t="str">
        <f t="shared" si="4"/>
        <v>NW</v>
      </c>
      <c r="X38" s="46" t="str">
        <f t="shared" si="5"/>
        <v>OMIT</v>
      </c>
      <c r="Y38" s="108" t="str">
        <f t="shared" si="6"/>
        <v>echo {"issue":{"subject":"","project_id":79,"tracker_id":40,"status_id":1,"priority_id":2,"assigned_to_id":23,"start_date":"2017-03-09","description":"","custom_fields":[{"id":1,"name":"Subdivision","value":"NW"},{"id":4,"name":"Milepost","value":"5.9048"},{"id":17,"name":"Train ID","value":"831-09"},{"id":16,"name":"Locomotive ID","value":"4007"},{"id":130,"name":"Impact","value":""},{"id":150,"name":"Time of Event (Mountain Time)","value":"17:05:25"},{"id":151,"name":"Denver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"%USERPROFILE%\AppData\Local\Temp\OnboardLogs"\RTDC4007\*4007*201703100*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"%USERPROFILE%\AppData\Local\Temp\OnboardLogs"\RTDC4007\*4007*201703100* &gt;&gt; 2017-03-09-SliceDisagreementCheck.txt</v>
      </c>
      <c r="AE38" s="157" t="str">
        <f t="shared" si="9"/>
        <v>start /low /b %USERPROFILE%\Documents\GitHub\eaglep3\Utilities\DownloadLogsFromS3.py --loco 4007 --day 2017-03-10</v>
      </c>
      <c r="AF38" s="1"/>
    </row>
    <row r="39" spans="1:32" x14ac:dyDescent="0.25">
      <c r="A39" s="32">
        <v>42803.899143518516</v>
      </c>
      <c r="B39" s="30" t="s">
        <v>190</v>
      </c>
      <c r="C39" s="30" t="s">
        <v>609</v>
      </c>
      <c r="D39" s="30" t="s">
        <v>49</v>
      </c>
      <c r="E39" s="30" t="s">
        <v>186</v>
      </c>
      <c r="F39" s="43">
        <v>0</v>
      </c>
      <c r="G39" s="43">
        <v>103</v>
      </c>
      <c r="H39" s="43">
        <v>58645</v>
      </c>
      <c r="I39" s="43">
        <v>58801</v>
      </c>
      <c r="J39" s="30" t="s">
        <v>187</v>
      </c>
      <c r="K39" s="43">
        <v>59058</v>
      </c>
      <c r="L39" s="143" t="s">
        <v>50</v>
      </c>
      <c r="M39" s="144">
        <f t="shared" si="0"/>
        <v>135.696</v>
      </c>
      <c r="N39" s="145" t="str">
        <f>VLOOKUP(C39,'Trips&amp;Operators'!$C$1:$G$99999,5,FALSE)</f>
        <v>STORY SAMANTHA</v>
      </c>
      <c r="O39" s="194" t="s">
        <v>185</v>
      </c>
      <c r="P39" s="146"/>
      <c r="Q39" s="30"/>
      <c r="R39" s="89" t="e">
        <f>IF(VLOOKUP(C39,'Train Runs'!$A$13:$AE$9946,1,1)=C39,VLOOKUP(C39,'Train Runs'!$A$13:$AE$9946,31,1),NA())</f>
        <v>#N/A</v>
      </c>
      <c r="S39" s="92" t="e">
        <f>IF(VLOOKUP(C39,'Train Runs'!$A$13:$AE$9946,1,1)=C39,VLOOKUP(C39,'Train Runs'!$A$13:$AE$9946,22,1),NA())</f>
        <v>#N/A</v>
      </c>
      <c r="T39" s="94" t="str">
        <f t="shared" si="1"/>
        <v>"C:\Program Files (x86)\AstroGrep\AstroGrep.exe" /e /r /s /spath="%USERPROFILE%\AppData\Local\Temp\OnboardLogs" /stypes="*4011*201703100*" /stext=" 04:.+((SYSTEM_STATE.+slice.+state.+changed )|(ment ac)|(multiple cpu faults)|(system.+state.+changed )|(\[timeout)|(PRM\|1\|D)|(kpr)|(kdp)|(\|lc)|(penalty))"</v>
      </c>
      <c r="U39" s="9" t="str">
        <f t="shared" si="2"/>
        <v>4011</v>
      </c>
      <c r="V39" s="32">
        <f t="shared" si="3"/>
        <v>42804.19081018518</v>
      </c>
      <c r="W39" s="46" t="str">
        <f t="shared" si="4"/>
        <v>NW</v>
      </c>
      <c r="X39" s="46" t="str">
        <f t="shared" si="5"/>
        <v>KEEP</v>
      </c>
      <c r="Y39" s="108" t="str">
        <f t="shared" si="6"/>
        <v>echo {"issue":{"subject":"","project_id":79,"tracker_id":40,"status_id":1,"priority_id":2,"assigned_to_id":23,"start_date":"2017-03-09","description":"","custom_fields":[{"id":1,"name":"Subdivision","value":"NW"},{"id":4,"name":"Milepost","value":"5.9058"},{"id":17,"name":"Train ID","value":"845-09"},{"id":16,"name":"Locomotive ID","value":"4011"},{"id":130,"name":"Impact","value":""},{"id":150,"name":"Time of Event (Mountain Time)","value":"21:34:46"},{"id":151,"name":"Denver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si="7"/>
        <v>grep -hSE -A400 "Enforcement Action" "%USERPROFILE%\AppData\Local\Temp\OnboardLogs"\RTDC4011\*4011*201703100*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"%USERPROFILE%\AppData\Local\Temp\OnboardLogs"\RTDC4011\*4011*201703100* &gt;&gt; 2017-03-09-SliceDisagreementCheck.txt</v>
      </c>
      <c r="AE39" s="157" t="str">
        <f t="shared" si="9"/>
        <v>start /low /b %USERPROFILE%\Documents\GitHub\eaglep3\Utilities\DownloadLogsFromS3.py --loco 4011 --day 2017-03-10</v>
      </c>
      <c r="AF39" s="1"/>
    </row>
    <row r="40" spans="1:32" x14ac:dyDescent="0.25">
      <c r="A40" s="32">
        <v>42803.799270833333</v>
      </c>
      <c r="B40" s="30" t="s">
        <v>594</v>
      </c>
      <c r="C40" s="30" t="s">
        <v>608</v>
      </c>
      <c r="D40" s="30" t="s">
        <v>98</v>
      </c>
      <c r="E40" s="30" t="s">
        <v>238</v>
      </c>
      <c r="F40" s="43">
        <v>150</v>
      </c>
      <c r="G40" s="43">
        <v>200</v>
      </c>
      <c r="H40" s="43">
        <v>57039</v>
      </c>
      <c r="I40" s="43">
        <v>56695</v>
      </c>
      <c r="J40" s="30" t="s">
        <v>239</v>
      </c>
      <c r="K40" s="43">
        <v>59060</v>
      </c>
      <c r="L40" s="143" t="s">
        <v>51</v>
      </c>
      <c r="M40" s="144">
        <f t="shared" si="0"/>
        <v>-1248.72</v>
      </c>
      <c r="N40" s="145" t="str">
        <f>VLOOKUP(C40,'Trips&amp;Operators'!$C$1:$G$99999,5,FALSE)</f>
        <v>STORY SAMANTHA</v>
      </c>
      <c r="O40" s="194" t="s">
        <v>185</v>
      </c>
      <c r="P40" s="146"/>
      <c r="Q40" s="30"/>
      <c r="R40" s="89" t="e">
        <f>IF(VLOOKUP(C40,'Train Runs'!$A$13:$AE$9946,1,1)=C40,VLOOKUP(C40,'Train Runs'!$A$13:$AE$9946,31,1),NA())</f>
        <v>#N/A</v>
      </c>
      <c r="S40" s="92" t="e">
        <f>IF(VLOOKUP(C40,'Train Runs'!$A$13:$AE$9946,1,1)=C40,VLOOKUP(C40,'Train Runs'!$A$13:$AE$9946,22,1),NA())</f>
        <v>#N/A</v>
      </c>
      <c r="T40" s="94" t="str">
        <f t="shared" si="1"/>
        <v>"C:\Program Files (x86)\AstroGrep\AstroGrep.exe" /e /r /s /spath="%USERPROFILE%\AppData\Local\Temp\OnboardLogs" /stypes="*4008*201703100*" /stext=" 02:.+((SYSTEM_STATE.+slice.+state.+changed )|(ment ac)|(multiple cpu faults)|(system.+state.+changed )|(\[timeout)|(PRM\|1\|D)|(kpr)|(kdp)|(\|lc)|(penalty))"</v>
      </c>
      <c r="U40" s="9" t="str">
        <f t="shared" si="2"/>
        <v>4008</v>
      </c>
      <c r="V40" s="32">
        <f t="shared" si="3"/>
        <v>42804.090937499997</v>
      </c>
      <c r="W40" s="46" t="str">
        <f t="shared" si="4"/>
        <v>Other</v>
      </c>
      <c r="X40" s="46" t="str">
        <f t="shared" si="5"/>
        <v>KEEP</v>
      </c>
      <c r="Y40" s="108" t="str">
        <f t="shared" si="6"/>
        <v>echo {"issue":{"subject":"","project_id":79,"tracker_id":40,"status_id":1,"priority_id":2,"assigned_to_id":23,"start_date":"2017-03-09","description":"","custom_fields":[{"id":1,"name":"Subdivision","value":"Other"},{"id":4,"name":"Milepost","value":"5.906"},{"id":17,"name":"Train ID","value":"906-09"},{"id":16,"name":"Locomotive ID","value":"4008"},{"id":130,"name":"Impact","value":""},{"id":150,"name":"Time of Event (Mountain Time)","value":"19:10:57"},{"id":151,"name":"Denver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7"/>
        <v>grep -hSE -A400 "Enforcement Action" "%USERPROFILE%\AppData\Local\Temp\OnboardLogs"\RTDC4008\*4008*201703100*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"%USERPROFILE%\AppData\Local\Temp\OnboardLogs"\RTDC4008\*4008*201703100* &gt;&gt; 2017-03-09-SliceDisagreementCheck.txt</v>
      </c>
      <c r="AE40" s="157" t="str">
        <f t="shared" si="9"/>
        <v>start /low /b %USERPROFILE%\Documents\GitHub\eaglep3\Utilities\DownloadLogsFromS3.py --loco 4008 --day 2017-03-10</v>
      </c>
      <c r="AF40" s="1"/>
    </row>
    <row r="41" spans="1:32" x14ac:dyDescent="0.25">
      <c r="A41" s="32">
        <v>42803.643912037034</v>
      </c>
      <c r="B41" s="30" t="s">
        <v>594</v>
      </c>
      <c r="C41" s="30" t="s">
        <v>595</v>
      </c>
      <c r="D41" s="30" t="s">
        <v>49</v>
      </c>
      <c r="E41" s="30" t="s">
        <v>186</v>
      </c>
      <c r="F41" s="43">
        <v>0</v>
      </c>
      <c r="G41" s="43">
        <v>46</v>
      </c>
      <c r="H41" s="43">
        <v>713</v>
      </c>
      <c r="I41" s="43">
        <v>664</v>
      </c>
      <c r="J41" s="30" t="s">
        <v>187</v>
      </c>
      <c r="K41" s="43">
        <v>575</v>
      </c>
      <c r="L41" s="143" t="s">
        <v>51</v>
      </c>
      <c r="M41" s="144">
        <f t="shared" si="0"/>
        <v>46.991999999999997</v>
      </c>
      <c r="N41" s="145" t="str">
        <f>VLOOKUP(C41,'Trips&amp;Operators'!$C$1:$G$99999,5,FALSE)</f>
        <v>STORY SAMANTHA</v>
      </c>
      <c r="O41" s="194" t="s">
        <v>185</v>
      </c>
      <c r="P41" s="146"/>
      <c r="Q41" s="30"/>
      <c r="R41" s="89" t="e">
        <f>IF(VLOOKUP(C41,'Train Runs'!$A$13:$AE$9946,1,1)=C41,VLOOKUP(C41,'Train Runs'!$A$13:$AE$9946,31,1),NA())</f>
        <v>#N/A</v>
      </c>
      <c r="S41" s="92" t="e">
        <f>IF(VLOOKUP(C41,'Train Runs'!$A$13:$AE$9946,1,1)=C41,VLOOKUP(C41,'Train Runs'!$A$13:$AE$9946,22,1),NA())</f>
        <v>#N/A</v>
      </c>
      <c r="T41" s="94" t="str">
        <f t="shared" si="1"/>
        <v>"C:\Program Files (x86)\AstroGrep\AstroGrep.exe" /e /r /s /spath="%USERPROFILE%\AppData\Local\Temp\OnboardLogs" /stypes="*4008*201703092*" /stext=" 22:.+((SYSTEM_STATE.+slice.+state.+changed )|(ment ac)|(multiple cpu faults)|(system.+state.+changed )|(\[timeout)|(PRM\|1\|D)|(kpr)|(kdp)|(\|lc)|(penalty))"</v>
      </c>
      <c r="U41" s="9" t="str">
        <f t="shared" si="2"/>
        <v>4008</v>
      </c>
      <c r="V41" s="32">
        <f t="shared" si="3"/>
        <v>42803.935578703698</v>
      </c>
      <c r="W41" s="46" t="str">
        <f t="shared" si="4"/>
        <v>Other</v>
      </c>
      <c r="X41" s="46" t="str">
        <f t="shared" si="5"/>
        <v>KEEP</v>
      </c>
      <c r="Y41" s="108" t="str">
        <f t="shared" si="6"/>
        <v>echo {"issue":{"subject":"","project_id":79,"tracker_id":40,"status_id":1,"priority_id":2,"assigned_to_id":23,"start_date":"2017-03-09","description":"","custom_fields":[{"id":1,"name":"Subdivision","value":"Other"},{"id":4,"name":"Milepost","value":"0.0575"},{"id":17,"name":"Train ID","value":"904-09"},{"id":16,"name":"Locomotive ID","value":"4008"},{"id":130,"name":"Impact","value":""},{"id":150,"name":"Time of Event (Mountain Time)","value":"15:27:14"},{"id":151,"name":"Denver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7"/>
        <v>grep -hSE -A400 "Enforcement Action" "%USERPROFILE%\AppData\Local\Temp\OnboardLogs"\RTDC4008\*4008*201703092*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"%USERPROFILE%\AppData\Local\Temp\OnboardLogs"\RTDC4008\*4008*201703092* &gt;&gt; 2017-03-09-SliceDisagreementCheck.txt</v>
      </c>
      <c r="AE41" s="157" t="str">
        <f t="shared" si="9"/>
        <v>start /low /b %USERPROFILE%\Documents\GitHub\eaglep3\Utilities\DownloadLogsFromS3.py --loco 4008 --day 2017-03-09</v>
      </c>
      <c r="AF41" s="1"/>
    </row>
    <row r="42" spans="1:32" x14ac:dyDescent="0.25">
      <c r="A42" s="32">
        <v>42803.460451388892</v>
      </c>
      <c r="B42" s="30" t="s">
        <v>503</v>
      </c>
      <c r="C42" s="30" t="s">
        <v>586</v>
      </c>
      <c r="D42" s="30" t="s">
        <v>49</v>
      </c>
      <c r="E42" s="30" t="s">
        <v>186</v>
      </c>
      <c r="F42" s="43">
        <v>0</v>
      </c>
      <c r="G42" s="43">
        <v>16</v>
      </c>
      <c r="H42" s="43">
        <v>835</v>
      </c>
      <c r="I42" s="43">
        <v>828</v>
      </c>
      <c r="J42" s="30" t="s">
        <v>187</v>
      </c>
      <c r="K42" s="43">
        <v>826</v>
      </c>
      <c r="L42" s="143" t="s">
        <v>51</v>
      </c>
      <c r="M42" s="144">
        <f t="shared" si="0"/>
        <v>1.056</v>
      </c>
      <c r="N42" s="145" t="str">
        <f>VLOOKUP(C42,'Trips&amp;Operators'!$C$1:$G$99999,5,FALSE)</f>
        <v>DE LA ROSA ALEX</v>
      </c>
      <c r="O42" s="194" t="s">
        <v>185</v>
      </c>
      <c r="P42" s="146"/>
      <c r="Q42" s="30"/>
      <c r="R42" s="89" t="e">
        <f>IF(VLOOKUP(C42,'Train Runs'!$A$13:$AE$9946,1,1)=C42,VLOOKUP(C42,'Train Runs'!$A$13:$AE$9946,31,1),NA())</f>
        <v>#N/A</v>
      </c>
      <c r="S42" s="92" t="e">
        <f>IF(VLOOKUP(C42,'Train Runs'!$A$13:$AE$9946,1,1)=C42,VLOOKUP(C42,'Train Runs'!$A$13:$AE$9946,22,1),NA())</f>
        <v>#N/A</v>
      </c>
      <c r="T42" s="94" t="str">
        <f t="shared" si="1"/>
        <v>"C:\Program Files (x86)\AstroGrep\AstroGrep.exe" /e /r /s /spath="%USERPROFILE%\AppData\Local\Temp\OnboardLogs" /stypes="*4023*201703091*" /stext=" 18:.+((SYSTEM_STATE.+slice.+state.+changed )|(ment ac)|(multiple cpu faults)|(system.+state.+changed )|(\[timeout)|(PRM\|1\|D)|(kpr)|(kdp)|(\|lc)|(penalty))"</v>
      </c>
      <c r="U42" s="9" t="str">
        <f t="shared" si="2"/>
        <v>4023</v>
      </c>
      <c r="V42" s="32">
        <f t="shared" si="3"/>
        <v>42803.752118055556</v>
      </c>
      <c r="W42" s="46" t="str">
        <f t="shared" si="4"/>
        <v>Other</v>
      </c>
      <c r="X42" s="46" t="str">
        <f t="shared" si="5"/>
        <v>KEEP</v>
      </c>
      <c r="Y42" s="108" t="str">
        <f t="shared" si="6"/>
        <v>echo {"issue":{"subject":"","project_id":79,"tracker_id":40,"status_id":1,"priority_id":2,"assigned_to_id":23,"start_date":"2017-03-09","description":"","custom_fields":[{"id":1,"name":"Subdivision","value":"Other"},{"id":4,"name":"Milepost","value":"0.0826"},{"id":17,"name":"Train ID","value":"50-09"},{"id":16,"name":"Locomotive ID","value":"4023"},{"id":130,"name":"Impact","value":""},{"id":150,"name":"Time of Event (Mountain Time)","value":"11:03:03"},{"id":151,"name":"Denver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7"/>
        <v>grep -hSE -A400 "Enforcement Action" "%USERPROFILE%\AppData\Local\Temp\OnboardLogs"\RTDC4023\*4023*201703091*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"%USERPROFILE%\AppData\Local\Temp\OnboardLogs"\RTDC4023\*4023*201703091* &gt;&gt; 2017-03-09-SliceDisagreementCheck.txt</v>
      </c>
      <c r="AE42" s="157" t="str">
        <f t="shared" si="9"/>
        <v>start /low /b %USERPROFILE%\Documents\GitHub\eaglep3\Utilities\DownloadLogsFromS3.py --loco 4023 --day 2017-03-09</v>
      </c>
      <c r="AF42" s="1"/>
    </row>
    <row r="43" spans="1:32" x14ac:dyDescent="0.25">
      <c r="A43" s="32">
        <v>42803.172037037039</v>
      </c>
      <c r="B43" s="30" t="s">
        <v>252</v>
      </c>
      <c r="C43" s="30" t="s">
        <v>574</v>
      </c>
      <c r="D43" s="30" t="s">
        <v>49</v>
      </c>
      <c r="E43" s="30" t="s">
        <v>186</v>
      </c>
      <c r="F43" s="43">
        <v>0</v>
      </c>
      <c r="G43" s="43">
        <v>13</v>
      </c>
      <c r="H43" s="43">
        <v>854</v>
      </c>
      <c r="I43" s="43">
        <v>845</v>
      </c>
      <c r="J43" s="30" t="s">
        <v>187</v>
      </c>
      <c r="K43" s="43">
        <v>839</v>
      </c>
      <c r="L43" s="143" t="s">
        <v>51</v>
      </c>
      <c r="M43" s="144">
        <f t="shared" si="0"/>
        <v>3.1680000000000001</v>
      </c>
      <c r="N43" s="145" t="str">
        <f>VLOOKUP(C43,'Trips&amp;Operators'!$C$1:$G$99999,5,FALSE)</f>
        <v>SPECTOR MICHAEL</v>
      </c>
      <c r="O43" s="194" t="s">
        <v>185</v>
      </c>
      <c r="P43" s="146"/>
      <c r="Q43" s="30"/>
      <c r="R43" s="89" t="e">
        <f>IF(VLOOKUP(C43,'Train Runs'!$A$13:$AE$9946,1,1)=C43,VLOOKUP(C43,'Train Runs'!$A$13:$AE$9946,31,1),NA())</f>
        <v>#N/A</v>
      </c>
      <c r="S43" s="92" t="e">
        <f>IF(VLOOKUP(C43,'Train Runs'!$A$13:$AE$9946,1,1)=C43,VLOOKUP(C43,'Train Runs'!$A$13:$AE$9946,22,1),NA())</f>
        <v>#N/A</v>
      </c>
      <c r="T43" s="94" t="str">
        <f t="shared" si="1"/>
        <v>"C:\Program Files (x86)\AstroGrep\AstroGrep.exe" /e /r /s /spath="%USERPROFILE%\AppData\Local\Temp\OnboardLogs" /stypes="*4013*201703091*" /stext=" 11:.+((SYSTEM_STATE.+slice.+state.+changed )|(ment ac)|(multiple cpu faults)|(system.+state.+changed )|(\[timeout)|(PRM\|1\|D)|(kpr)|(kdp)|(\|lc)|(penalty))"</v>
      </c>
      <c r="U43" s="9" t="str">
        <f t="shared" si="2"/>
        <v>4013</v>
      </c>
      <c r="V43" s="32">
        <f t="shared" si="3"/>
        <v>42803.463703703703</v>
      </c>
      <c r="W43" s="46" t="str">
        <f t="shared" si="4"/>
        <v>Other</v>
      </c>
      <c r="X43" s="46" t="str">
        <f t="shared" si="5"/>
        <v>KEEP</v>
      </c>
      <c r="Y43" s="108" t="str">
        <f t="shared" si="6"/>
        <v>echo {"issue":{"subject":"","project_id":79,"tracker_id":40,"status_id":1,"priority_id":2,"assigned_to_id":23,"start_date":"2017-03-09","description":"","custom_fields":[{"id":1,"name":"Subdivision","value":"Other"},{"id":4,"name":"Milepost","value":"0.0839"},{"id":17,"name":"Train ID","value":"52-09"},{"id":16,"name":"Locomotive ID","value":"4013"},{"id":130,"name":"Impact","value":""},{"id":150,"name":"Time of Event (Mountain Time)","value":"04:07:44"},{"id":151,"name":"Denver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7"/>
        <v>grep -hSE -A400 "Enforcement Action" "%USERPROFILE%\AppData\Local\Temp\OnboardLogs"\RTDC4013\*4013*201703091* | grep -SE "((Enforcement Ac)|(PRM.+XING))"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"%USERPROFILE%\AppData\Local\Temp\OnboardLogs"\RTDC4013\*4013*201703091* &gt;&gt; 2017-03-09-SliceDisagreementCheck.txt</v>
      </c>
      <c r="AE43" s="157" t="str">
        <f t="shared" si="9"/>
        <v>start /low /b %USERPROFILE%\Documents\GitHub\eaglep3\Utilities\DownloadLogsFromS3.py --loco 4013 --day 2017-03-09</v>
      </c>
      <c r="AF43" s="1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</sheetData>
  <autoFilter ref="A6:AC67">
    <sortState ref="A7:AC67">
      <sortCondition ref="W7:W43"/>
      <sortCondition ref="E7:E43"/>
      <sortCondition ref="K7:K43"/>
      <sortCondition ref="F7:F43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4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3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  <x14:dataValidation type="list" allowBlank="1" showInputMessage="1" showErrorMessage="1">
          <x14:formula1>
            <xm:f>'Redmine List Values'!$C$2:$C$15</xm:f>
          </x14:formula1>
          <xm:sqref>AB7:AB43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0"/>
  <sheetViews>
    <sheetView workbookViewId="0">
      <selection activeCell="A3" sqref="A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21" t="str">
        <f>"Trips that did not appear in PTC Data "&amp;TEXT(Variables!$A$2,"YYYY-mm-dd")</f>
        <v>Trips that did not appear in PTC Data 2017-03-09</v>
      </c>
      <c r="C1" s="221"/>
      <c r="D1" s="221"/>
      <c r="E1" s="221"/>
      <c r="F1" s="221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/>
      <c r="B3" s="43" t="str">
        <f>A3&amp;"-"&amp;IF(DAY(Variables!$A$2)&lt;10,0,"")&amp;DAY(Variables!$A$2)</f>
        <v>-09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1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" s="30" t="e">
        <f>VLOOKUP(B3,'Train Runs'!$A$13:$A$99943,1,FALSE)</f>
        <v>#N/A</v>
      </c>
    </row>
    <row r="4" spans="1:10" x14ac:dyDescent="0.25">
      <c r="A4" s="185"/>
      <c r="B4" s="43" t="str">
        <f>A4&amp;"-"&amp;IF(DAY(Variables!$A$2)&lt;10,0,"")&amp;DAY(Variables!$A$2)</f>
        <v>-09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" s="30" t="e">
        <f>VLOOKUP(B4,'Train Runs'!$A$13:$A$99943,1,FALSE)</f>
        <v>#N/A</v>
      </c>
    </row>
    <row r="5" spans="1:10" x14ac:dyDescent="0.25">
      <c r="A5" s="185"/>
      <c r="B5" s="43" t="str">
        <f>A5&amp;"-"&amp;IF(DAY(Variables!$A$2)&lt;10,0,"")&amp;DAY(Variables!$A$2)</f>
        <v>-09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" s="30" t="e">
        <f>VLOOKUP(B5,'Train Runs'!$A$13:$A$99943,1,FALSE)</f>
        <v>#N/A</v>
      </c>
    </row>
    <row r="6" spans="1:10" x14ac:dyDescent="0.25">
      <c r="A6" s="185"/>
      <c r="B6" s="43" t="str">
        <f>A6&amp;"-"&amp;IF(DAY(Variables!$A$2)&lt;10,0,"")&amp;DAY(Variables!$A$2)</f>
        <v>-09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" s="30" t="e">
        <f>VLOOKUP(B6,'Train Runs'!$A$13:$A$99943,1,FALSE)</f>
        <v>#N/A</v>
      </c>
    </row>
    <row r="7" spans="1:10" x14ac:dyDescent="0.25">
      <c r="A7" s="185"/>
      <c r="B7" s="43" t="str">
        <f>A7&amp;"-"&amp;IF(DAY(Variables!$A$2)&lt;10,0,"")&amp;DAY(Variables!$A$2)</f>
        <v>-09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" s="30" t="e">
        <f>VLOOKUP(B7,'Train Runs'!$A$13:$A$99943,1,FALSE)</f>
        <v>#N/A</v>
      </c>
    </row>
    <row r="8" spans="1:10" x14ac:dyDescent="0.25">
      <c r="A8" s="185"/>
      <c r="B8" s="43" t="str">
        <f>A8&amp;"-"&amp;IF(DAY(Variables!$A$2)&lt;10,0,"")&amp;DAY(Variables!$A$2)</f>
        <v>-09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" s="30" t="e">
        <f>VLOOKUP(B8,'Train Runs'!$A$13:$A$99943,1,FALSE)</f>
        <v>#N/A</v>
      </c>
    </row>
    <row r="9" spans="1:10" x14ac:dyDescent="0.25">
      <c r="A9" s="185"/>
      <c r="B9" s="43" t="str">
        <f>A9&amp;"-"&amp;IF(DAY(Variables!$A$2)&lt;10,0,"")&amp;DAY(Variables!$A$2)</f>
        <v>-09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" s="30" t="e">
        <f>VLOOKUP(B9,'Train Runs'!$A$13:$A$99943,1,FALSE)</f>
        <v>#N/A</v>
      </c>
    </row>
    <row r="10" spans="1:10" x14ac:dyDescent="0.25">
      <c r="A10" s="185"/>
      <c r="B10" s="43" t="str">
        <f>A10&amp;"-"&amp;IF(DAY(Variables!$A$2)&lt;10,0,"")&amp;DAY(Variables!$A$2)</f>
        <v>-09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" s="30" t="e">
        <f>VLOOKUP(B10,'Train Runs'!$A$13:$A$99943,1,FALSE)</f>
        <v>#N/A</v>
      </c>
    </row>
    <row r="11" spans="1:10" x14ac:dyDescent="0.25">
      <c r="A11" s="185"/>
      <c r="B11" s="43" t="str">
        <f>A11&amp;"-"&amp;IF(DAY(Variables!$A$2)&lt;10,0,"")&amp;DAY(Variables!$A$2)</f>
        <v>-09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1" s="30" t="e">
        <f>VLOOKUP(B11,'Train Runs'!$A$13:$A$99943,1,FALSE)</f>
        <v>#N/A</v>
      </c>
    </row>
    <row r="12" spans="1:10" x14ac:dyDescent="0.25">
      <c r="A12" s="185"/>
      <c r="B12" s="43" t="str">
        <f>A12&amp;"-"&amp;IF(DAY(Variables!$A$2)&lt;10,0,"")&amp;DAY(Variables!$A$2)</f>
        <v>-09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2" s="30" t="e">
        <f>VLOOKUP(B12,'Train Runs'!$A$13:$A$99943,1,FALSE)</f>
        <v>#N/A</v>
      </c>
    </row>
    <row r="13" spans="1:10" x14ac:dyDescent="0.25">
      <c r="A13" s="185"/>
      <c r="B13" s="43" t="str">
        <f>A13&amp;"-"&amp;IF(DAY(Variables!$A$2)&lt;10,0,"")&amp;DAY(Variables!$A$2)</f>
        <v>-09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3" s="30" t="e">
        <f>VLOOKUP(B13,'Train Runs'!$A$13:$A$99943,1,FALSE)</f>
        <v>#N/A</v>
      </c>
    </row>
    <row r="14" spans="1:10" x14ac:dyDescent="0.25">
      <c r="A14" s="185"/>
      <c r="B14" s="43" t="str">
        <f>A14&amp;"-"&amp;IF(DAY(Variables!$A$2)&lt;10,0,"")&amp;DAY(Variables!$A$2)</f>
        <v>-09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4" s="30" t="e">
        <f>VLOOKUP(B14,'Train Runs'!$A$13:$A$99943,1,FALSE)</f>
        <v>#N/A</v>
      </c>
    </row>
    <row r="15" spans="1:10" x14ac:dyDescent="0.25">
      <c r="A15" s="185"/>
      <c r="B15" s="43" t="str">
        <f>A15&amp;"-"&amp;IF(DAY(Variables!$A$2)&lt;10,0,"")&amp;DAY(Variables!$A$2)</f>
        <v>-09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ref="I15:I46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5" s="30" t="e">
        <f>VLOOKUP(B15,'Train Runs'!$A$13:$A$99943,1,FALSE)</f>
        <v>#N/A</v>
      </c>
    </row>
    <row r="16" spans="1:10" x14ac:dyDescent="0.25">
      <c r="A16" s="185"/>
      <c r="B16" s="43" t="str">
        <f>A16&amp;"-"&amp;IF(DAY(Variables!$A$2)&lt;10,0,"")&amp;DAY(Variables!$A$2)</f>
        <v>-09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6" s="30" t="e">
        <f>VLOOKUP(B16,'Train Runs'!$A$13:$A$99943,1,FALSE)</f>
        <v>#N/A</v>
      </c>
    </row>
    <row r="17" spans="1:10" x14ac:dyDescent="0.25">
      <c r="A17" s="185"/>
      <c r="B17" s="43" t="str">
        <f>A17&amp;"-"&amp;IF(DAY(Variables!$A$2)&lt;10,0,"")&amp;DAY(Variables!$A$2)</f>
        <v>-09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7" s="30" t="e">
        <f>VLOOKUP(B17,'Train Runs'!$A$13:$A$99943,1,FALSE)</f>
        <v>#N/A</v>
      </c>
    </row>
    <row r="18" spans="1:10" x14ac:dyDescent="0.25">
      <c r="A18" s="185"/>
      <c r="B18" s="43" t="str">
        <f>A18&amp;"-"&amp;IF(DAY(Variables!$A$2)&lt;10,0,"")&amp;DAY(Variables!$A$2)</f>
        <v>-09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8" s="30" t="e">
        <f>VLOOKUP(B18,'Train Runs'!$A$13:$A$99943,1,FALSE)</f>
        <v>#N/A</v>
      </c>
    </row>
    <row r="19" spans="1:10" x14ac:dyDescent="0.25">
      <c r="A19" s="185"/>
      <c r="B19" s="43" t="str">
        <f>A19&amp;"-"&amp;IF(DAY(Variables!$A$2)&lt;10,0,"")&amp;DAY(Variables!$A$2)</f>
        <v>-09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9" s="30" t="e">
        <f>VLOOKUP(B19,'Train Runs'!$A$13:$A$99943,1,FALSE)</f>
        <v>#N/A</v>
      </c>
    </row>
    <row r="20" spans="1:10" x14ac:dyDescent="0.25">
      <c r="A20" s="185"/>
      <c r="B20" s="43" t="str">
        <f>A20&amp;"-"&amp;IF(DAY(Variables!$A$2)&lt;10,0,"")&amp;DAY(Variables!$A$2)</f>
        <v>-09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0" s="30" t="e">
        <f>VLOOKUP(B20,'Train Runs'!$A$13:$A$99943,1,FALSE)</f>
        <v>#N/A</v>
      </c>
    </row>
    <row r="21" spans="1:10" x14ac:dyDescent="0.25">
      <c r="A21" s="185"/>
      <c r="B21" s="43" t="str">
        <f>A21&amp;"-"&amp;IF(DAY(Variables!$A$2)&lt;10,0,"")&amp;DAY(Variables!$A$2)</f>
        <v>-09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1" s="30" t="e">
        <f>VLOOKUP(B21,'Train Runs'!$A$13:$A$99943,1,FALSE)</f>
        <v>#N/A</v>
      </c>
    </row>
    <row r="22" spans="1:10" x14ac:dyDescent="0.25">
      <c r="A22" s="185"/>
      <c r="B22" s="43" t="str">
        <f>A22&amp;"-"&amp;IF(DAY(Variables!$A$2)&lt;10,0,"")&amp;DAY(Variables!$A$2)</f>
        <v>-09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2" s="30" t="e">
        <f>VLOOKUP(B22,'Train Runs'!$A$13:$A$99943,1,FALSE)</f>
        <v>#N/A</v>
      </c>
    </row>
    <row r="23" spans="1:10" x14ac:dyDescent="0.25">
      <c r="A23" s="185"/>
      <c r="B23" s="43" t="str">
        <f>A23&amp;"-"&amp;IF(DAY(Variables!$A$2)&lt;10,0,"")&amp;DAY(Variables!$A$2)</f>
        <v>-09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3" s="30" t="e">
        <f>VLOOKUP(B23,'Train Runs'!$A$13:$A$99943,1,FALSE)</f>
        <v>#N/A</v>
      </c>
    </row>
    <row r="24" spans="1:10" x14ac:dyDescent="0.25">
      <c r="A24" s="185"/>
      <c r="B24" s="43" t="str">
        <f>A24&amp;"-"&amp;IF(DAY(Variables!$A$2)&lt;10,0,"")&amp;DAY(Variables!$A$2)</f>
        <v>-09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4" s="30" t="e">
        <f>VLOOKUP(B24,'Train Runs'!$A$13:$A$99943,1,FALSE)</f>
        <v>#N/A</v>
      </c>
    </row>
    <row r="25" spans="1:10" x14ac:dyDescent="0.25">
      <c r="A25" s="185"/>
      <c r="B25" s="43" t="str">
        <f>A25&amp;"-"&amp;IF(DAY(Variables!$A$2)&lt;10,0,"")&amp;DAY(Variables!$A$2)</f>
        <v>-09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5" s="30" t="e">
        <f>VLOOKUP(B25,'Train Runs'!$A$13:$A$99943,1,FALSE)</f>
        <v>#N/A</v>
      </c>
    </row>
    <row r="26" spans="1:10" x14ac:dyDescent="0.25">
      <c r="A26" s="185"/>
      <c r="B26" s="43" t="str">
        <f>A26&amp;"-"&amp;IF(DAY(Variables!$A$2)&lt;10,0,"")&amp;DAY(Variables!$A$2)</f>
        <v>-09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6" s="30" t="e">
        <f>VLOOKUP(B26,'Train Runs'!$A$13:$A$99943,1,FALSE)</f>
        <v>#N/A</v>
      </c>
    </row>
    <row r="27" spans="1:10" x14ac:dyDescent="0.25">
      <c r="A27" s="185"/>
      <c r="B27" s="43" t="str">
        <f>A27&amp;"-"&amp;IF(DAY(Variables!$A$2)&lt;10,0,"")&amp;DAY(Variables!$A$2)</f>
        <v>-09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7" s="30" t="e">
        <f>VLOOKUP(B27,'Train Runs'!$A$13:$A$99943,1,FALSE)</f>
        <v>#N/A</v>
      </c>
    </row>
    <row r="28" spans="1:10" x14ac:dyDescent="0.25">
      <c r="A28" s="185"/>
      <c r="B28" s="43" t="str">
        <f>A28&amp;"-"&amp;IF(DAY(Variables!$A$2)&lt;10,0,"")&amp;DAY(Variables!$A$2)</f>
        <v>-09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8" s="30" t="e">
        <f>VLOOKUP(B28,'Train Runs'!$A$13:$A$99943,1,FALSE)</f>
        <v>#N/A</v>
      </c>
    </row>
    <row r="29" spans="1:10" x14ac:dyDescent="0.25">
      <c r="A29" s="185"/>
      <c r="B29" s="43" t="str">
        <f>A29&amp;"-"&amp;IF(DAY(Variables!$A$2)&lt;10,0,"")&amp;DAY(Variables!$A$2)</f>
        <v>-09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29" s="30" t="e">
        <f>VLOOKUP(B29,'Train Runs'!$A$13:$A$99943,1,FALSE)</f>
        <v>#N/A</v>
      </c>
    </row>
    <row r="30" spans="1:10" x14ac:dyDescent="0.25">
      <c r="A30" s="185"/>
      <c r="B30" s="43" t="str">
        <f>A30&amp;"-"&amp;IF(DAY(Variables!$A$2)&lt;10,0,"")&amp;DAY(Variables!$A$2)</f>
        <v>-09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0" s="30" t="e">
        <f>VLOOKUP(B30,'Train Runs'!$A$13:$A$99943,1,FALSE)</f>
        <v>#N/A</v>
      </c>
    </row>
    <row r="31" spans="1:10" x14ac:dyDescent="0.25">
      <c r="A31" s="185"/>
      <c r="B31" s="43" t="str">
        <f>A31&amp;"-"&amp;IF(DAY(Variables!$A$2)&lt;10,0,"")&amp;DAY(Variables!$A$2)</f>
        <v>-09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1" s="30" t="e">
        <f>VLOOKUP(B31,'Train Runs'!$A$13:$A$99943,1,FALSE)</f>
        <v>#N/A</v>
      </c>
    </row>
    <row r="32" spans="1:10" x14ac:dyDescent="0.25">
      <c r="A32" s="185"/>
      <c r="B32" s="43" t="str">
        <f>A32&amp;"-"&amp;IF(DAY(Variables!$A$2)&lt;10,0,"")&amp;DAY(Variables!$A$2)</f>
        <v>-09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2" s="30" t="e">
        <f>VLOOKUP(B32,'Train Runs'!$A$13:$A$99943,1,FALSE)</f>
        <v>#N/A</v>
      </c>
    </row>
    <row r="33" spans="1:10" x14ac:dyDescent="0.25">
      <c r="A33" s="185"/>
      <c r="B33" s="43" t="str">
        <f>A33&amp;"-"&amp;IF(DAY(Variables!$A$2)&lt;10,0,"")&amp;DAY(Variables!$A$2)</f>
        <v>-09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3" s="30" t="e">
        <f>VLOOKUP(B33,'Train Runs'!$A$13:$A$99943,1,FALSE)</f>
        <v>#N/A</v>
      </c>
    </row>
    <row r="34" spans="1:10" x14ac:dyDescent="0.25">
      <c r="A34" s="185"/>
      <c r="B34" s="43" t="str">
        <f>A34&amp;"-"&amp;IF(DAY(Variables!$A$2)&lt;10,0,"")&amp;DAY(Variables!$A$2)</f>
        <v>-09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4" s="30" t="e">
        <f>VLOOKUP(B34,'Train Runs'!$A$13:$A$99943,1,FALSE)</f>
        <v>#N/A</v>
      </c>
    </row>
    <row r="35" spans="1:10" x14ac:dyDescent="0.25">
      <c r="A35" s="185"/>
      <c r="B35" s="43" t="str">
        <f>A35&amp;"-"&amp;IF(DAY(Variables!$A$2)&lt;10,0,"")&amp;DAY(Variables!$A$2)</f>
        <v>-09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5" s="30" t="e">
        <f>VLOOKUP(B35,'Train Runs'!$A$13:$A$99943,1,FALSE)</f>
        <v>#N/A</v>
      </c>
    </row>
    <row r="36" spans="1:10" x14ac:dyDescent="0.25">
      <c r="A36" s="185"/>
      <c r="B36" s="43" t="str">
        <f>A36&amp;"-"&amp;IF(DAY(Variables!$A$2)&lt;10,0,"")&amp;DAY(Variables!$A$2)</f>
        <v>-09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6" s="30" t="e">
        <f>VLOOKUP(B36,'Train Runs'!$A$13:$A$99943,1,FALSE)</f>
        <v>#N/A</v>
      </c>
    </row>
    <row r="37" spans="1:10" x14ac:dyDescent="0.25">
      <c r="A37" s="185"/>
      <c r="B37" s="43" t="str">
        <f>A37&amp;"-"&amp;IF(DAY(Variables!$A$2)&lt;10,0,"")&amp;DAY(Variables!$A$2)</f>
        <v>-09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7" s="30" t="e">
        <f>VLOOKUP(B37,'Train Runs'!$A$13:$A$99943,1,FALSE)</f>
        <v>#N/A</v>
      </c>
    </row>
    <row r="38" spans="1:10" x14ac:dyDescent="0.25">
      <c r="A38" s="185"/>
      <c r="B38" s="43" t="str">
        <f>A38&amp;"-"&amp;IF(DAY(Variables!$A$2)&lt;10,0,"")&amp;DAY(Variables!$A$2)</f>
        <v>-09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8" s="30" t="e">
        <f>VLOOKUP(B38,'Train Runs'!$A$13:$A$99943,1,FALSE)</f>
        <v>#N/A</v>
      </c>
    </row>
    <row r="39" spans="1:10" x14ac:dyDescent="0.25">
      <c r="A39" s="185"/>
      <c r="B39" s="43" t="str">
        <f>A39&amp;"-"&amp;IF(DAY(Variables!$A$2)&lt;10,0,"")&amp;DAY(Variables!$A$2)</f>
        <v>-09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39" s="30" t="e">
        <f>VLOOKUP(B39,'Train Runs'!$A$13:$A$99943,1,FALSE)</f>
        <v>#N/A</v>
      </c>
    </row>
    <row r="40" spans="1:10" x14ac:dyDescent="0.25">
      <c r="A40" s="185"/>
      <c r="B40" s="43" t="str">
        <f>A40&amp;"-"&amp;IF(DAY(Variables!$A$2)&lt;10,0,"")&amp;DAY(Variables!$A$2)</f>
        <v>-09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0" s="30" t="e">
        <f>VLOOKUP(B40,'Train Runs'!$A$13:$A$99943,1,FALSE)</f>
        <v>#N/A</v>
      </c>
    </row>
    <row r="41" spans="1:10" x14ac:dyDescent="0.25">
      <c r="A41" s="185"/>
      <c r="B41" s="43" t="str">
        <f>A41&amp;"-"&amp;IF(DAY(Variables!$A$2)&lt;10,0,"")&amp;DAY(Variables!$A$2)</f>
        <v>-09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1" s="30" t="e">
        <f>VLOOKUP(B41,'Train Runs'!$A$13:$A$99943,1,FALSE)</f>
        <v>#N/A</v>
      </c>
    </row>
    <row r="42" spans="1:10" x14ac:dyDescent="0.25">
      <c r="A42" s="185"/>
      <c r="B42" s="43" t="str">
        <f>A42&amp;"-"&amp;IF(DAY(Variables!$A$2)&lt;10,0,"")&amp;DAY(Variables!$A$2)</f>
        <v>-09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2" s="30" t="e">
        <f>VLOOKUP(B42,'Train Runs'!$A$13:$A$99943,1,FALSE)</f>
        <v>#N/A</v>
      </c>
    </row>
    <row r="43" spans="1:10" x14ac:dyDescent="0.25">
      <c r="A43" s="185"/>
      <c r="B43" s="43" t="str">
        <f>A43&amp;"-"&amp;IF(DAY(Variables!$A$2)&lt;10,0,"")&amp;DAY(Variables!$A$2)</f>
        <v>-09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3" s="30" t="e">
        <f>VLOOKUP(B43,'Train Runs'!$A$13:$A$99943,1,FALSE)</f>
        <v>#N/A</v>
      </c>
    </row>
    <row r="44" spans="1:10" x14ac:dyDescent="0.25">
      <c r="A44" s="185"/>
      <c r="B44" s="43" t="str">
        <f>A44&amp;"-"&amp;IF(DAY(Variables!$A$2)&lt;10,0,"")&amp;DAY(Variables!$A$2)</f>
        <v>-09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4" s="30" t="e">
        <f>VLOOKUP(B44,'Train Runs'!$A$13:$A$99943,1,FALSE)</f>
        <v>#N/A</v>
      </c>
    </row>
    <row r="45" spans="1:10" x14ac:dyDescent="0.25">
      <c r="A45" s="185"/>
      <c r="B45" s="43" t="str">
        <f>A45&amp;"-"&amp;IF(DAY(Variables!$A$2)&lt;10,0,"")&amp;DAY(Variables!$A$2)</f>
        <v>-09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5" s="30" t="e">
        <f>VLOOKUP(B45,'Train Runs'!$A$13:$A$99943,1,FALSE)</f>
        <v>#N/A</v>
      </c>
    </row>
    <row r="46" spans="1:10" x14ac:dyDescent="0.25">
      <c r="A46" s="185"/>
      <c r="B46" s="43" t="str">
        <f>A46&amp;"-"&amp;IF(DAY(Variables!$A$2)&lt;10,0,"")&amp;DAY(Variables!$A$2)</f>
        <v>-09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6" s="30" t="e">
        <f>VLOOKUP(B46,'Train Runs'!$A$13:$A$99943,1,FALSE)</f>
        <v>#N/A</v>
      </c>
    </row>
    <row r="47" spans="1:10" x14ac:dyDescent="0.25">
      <c r="A47" s="185"/>
      <c r="B47" s="43" t="str">
        <f>A47&amp;"-"&amp;IF(DAY(Variables!$A$2)&lt;10,0,"")&amp;DAY(Variables!$A$2)</f>
        <v>-09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ref="I47:I78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47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7" s="30" t="e">
        <f>VLOOKUP(B47,'Train Runs'!$A$13:$A$99943,1,FALSE)</f>
        <v>#N/A</v>
      </c>
    </row>
    <row r="48" spans="1:10" x14ac:dyDescent="0.25">
      <c r="A48" s="185"/>
      <c r="B48" s="43" t="str">
        <f>A48&amp;"-"&amp;IF(DAY(Variables!$A$2)&lt;10,0,"")&amp;DAY(Variables!$A$2)</f>
        <v>-09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8" s="30" t="e">
        <f>VLOOKUP(B48,'Train Runs'!$A$13:$A$99943,1,FALSE)</f>
        <v>#N/A</v>
      </c>
    </row>
    <row r="49" spans="1:10" x14ac:dyDescent="0.25">
      <c r="A49" s="185"/>
      <c r="B49" s="43" t="str">
        <f>A49&amp;"-"&amp;IF(DAY(Variables!$A$2)&lt;10,0,"")&amp;DAY(Variables!$A$2)</f>
        <v>-09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49" s="30" t="e">
        <f>VLOOKUP(B49,'Train Runs'!$A$13:$A$99943,1,FALSE)</f>
        <v>#N/A</v>
      </c>
    </row>
    <row r="50" spans="1:10" x14ac:dyDescent="0.25">
      <c r="A50" s="185"/>
      <c r="B50" s="43" t="str">
        <f>A50&amp;"-"&amp;IF(DAY(Variables!$A$2)&lt;10,0,"")&amp;DAY(Variables!$A$2)</f>
        <v>-09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0" s="30" t="e">
        <f>VLOOKUP(B50,'Train Runs'!$A$13:$A$99943,1,FALSE)</f>
        <v>#N/A</v>
      </c>
    </row>
    <row r="51" spans="1:10" x14ac:dyDescent="0.25">
      <c r="A51" s="185"/>
      <c r="B51" s="43" t="str">
        <f>A51&amp;"-"&amp;IF(DAY(Variables!$A$2)&lt;10,0,"")&amp;DAY(Variables!$A$2)</f>
        <v>-09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1" s="30" t="e">
        <f>VLOOKUP(B51,'Train Runs'!$A$13:$A$99943,1,FALSE)</f>
        <v>#N/A</v>
      </c>
    </row>
    <row r="52" spans="1:10" x14ac:dyDescent="0.25">
      <c r="A52" s="185"/>
      <c r="B52" s="43" t="str">
        <f>A52&amp;"-"&amp;IF(DAY(Variables!$A$2)&lt;10,0,"")&amp;DAY(Variables!$A$2)</f>
        <v>-09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2" s="30" t="e">
        <f>VLOOKUP(B52,'Train Runs'!$A$13:$A$99943,1,FALSE)</f>
        <v>#N/A</v>
      </c>
    </row>
    <row r="53" spans="1:10" x14ac:dyDescent="0.25">
      <c r="A53" s="185"/>
      <c r="B53" s="43" t="str">
        <f>A53&amp;"-"&amp;IF(DAY(Variables!$A$2)&lt;10,0,"")&amp;DAY(Variables!$A$2)</f>
        <v>-09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3" s="30" t="e">
        <f>VLOOKUP(B53,'Train Runs'!$A$13:$A$99943,1,FALSE)</f>
        <v>#N/A</v>
      </c>
    </row>
    <row r="54" spans="1:10" x14ac:dyDescent="0.25">
      <c r="A54" s="185"/>
      <c r="B54" s="43" t="str">
        <f>A54&amp;"-"&amp;IF(DAY(Variables!$A$2)&lt;10,0,"")&amp;DAY(Variables!$A$2)</f>
        <v>-09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4" s="30" t="e">
        <f>VLOOKUP(B54,'Train Runs'!$A$13:$A$99943,1,FALSE)</f>
        <v>#N/A</v>
      </c>
    </row>
    <row r="55" spans="1:10" x14ac:dyDescent="0.25">
      <c r="A55" s="185"/>
      <c r="B55" s="43" t="str">
        <f>A55&amp;"-"&amp;IF(DAY(Variables!$A$2)&lt;10,0,"")&amp;DAY(Variables!$A$2)</f>
        <v>-09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5" s="30" t="e">
        <f>VLOOKUP(B55,'Train Runs'!$A$13:$A$99943,1,FALSE)</f>
        <v>#N/A</v>
      </c>
    </row>
    <row r="56" spans="1:10" x14ac:dyDescent="0.25">
      <c r="A56" s="185"/>
      <c r="B56" s="43" t="str">
        <f>A56&amp;"-"&amp;IF(DAY(Variables!$A$2)&lt;10,0,"")&amp;DAY(Variables!$A$2)</f>
        <v>-09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6" s="30" t="e">
        <f>VLOOKUP(B56,'Train Runs'!$A$13:$A$99943,1,FALSE)</f>
        <v>#N/A</v>
      </c>
    </row>
    <row r="57" spans="1:10" x14ac:dyDescent="0.25">
      <c r="A57" s="185"/>
      <c r="B57" s="43" t="str">
        <f>A57&amp;"-"&amp;IF(DAY(Variables!$A$2)&lt;10,0,"")&amp;DAY(Variables!$A$2)</f>
        <v>-09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7" s="30" t="e">
        <f>VLOOKUP(B57,'Train Runs'!$A$13:$A$99943,1,FALSE)</f>
        <v>#N/A</v>
      </c>
    </row>
    <row r="58" spans="1:10" x14ac:dyDescent="0.25">
      <c r="A58" s="185"/>
      <c r="B58" s="43" t="str">
        <f>A58&amp;"-"&amp;IF(DAY(Variables!$A$2)&lt;10,0,"")&amp;DAY(Variables!$A$2)</f>
        <v>-09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8" s="30" t="e">
        <f>VLOOKUP(B58,'Train Runs'!$A$13:$A$99943,1,FALSE)</f>
        <v>#N/A</v>
      </c>
    </row>
    <row r="59" spans="1:10" x14ac:dyDescent="0.25">
      <c r="A59" s="185"/>
      <c r="B59" s="43" t="str">
        <f>A59&amp;"-"&amp;IF(DAY(Variables!$A$2)&lt;10,0,"")&amp;DAY(Variables!$A$2)</f>
        <v>-09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59" s="30" t="e">
        <f>VLOOKUP(B59,'Train Runs'!$A$13:$A$99943,1,FALSE)</f>
        <v>#N/A</v>
      </c>
    </row>
    <row r="60" spans="1:10" x14ac:dyDescent="0.25">
      <c r="A60" s="185"/>
      <c r="B60" s="43" t="str">
        <f>A60&amp;"-"&amp;IF(DAY(Variables!$A$2)&lt;10,0,"")&amp;DAY(Variables!$A$2)</f>
        <v>-09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0" s="30" t="e">
        <f>VLOOKUP(B60,'Train Runs'!$A$13:$A$99943,1,FALSE)</f>
        <v>#N/A</v>
      </c>
    </row>
    <row r="61" spans="1:10" x14ac:dyDescent="0.25">
      <c r="A61" s="185"/>
      <c r="B61" s="43" t="str">
        <f>A61&amp;"-"&amp;IF(DAY(Variables!$A$2)&lt;10,0,"")&amp;DAY(Variables!$A$2)</f>
        <v>-09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1" s="30" t="e">
        <f>VLOOKUP(B61,'Train Runs'!$A$13:$A$99943,1,FALSE)</f>
        <v>#N/A</v>
      </c>
    </row>
    <row r="62" spans="1:10" x14ac:dyDescent="0.25">
      <c r="A62" s="185"/>
      <c r="B62" s="43" t="str">
        <f>A62&amp;"-"&amp;IF(DAY(Variables!$A$2)&lt;10,0,"")&amp;DAY(Variables!$A$2)</f>
        <v>-09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2" s="30" t="e">
        <f>VLOOKUP(B62,'Train Runs'!$A$13:$A$99943,1,FALSE)</f>
        <v>#N/A</v>
      </c>
    </row>
    <row r="63" spans="1:10" x14ac:dyDescent="0.25">
      <c r="A63" s="185"/>
      <c r="B63" s="43" t="str">
        <f>A63&amp;"-"&amp;IF(DAY(Variables!$A$2)&lt;10,0,"")&amp;DAY(Variables!$A$2)</f>
        <v>-09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3" s="30" t="e">
        <f>VLOOKUP(B63,'Train Runs'!$A$13:$A$99943,1,FALSE)</f>
        <v>#N/A</v>
      </c>
    </row>
    <row r="64" spans="1:10" x14ac:dyDescent="0.25">
      <c r="A64" s="185"/>
      <c r="B64" s="43" t="str">
        <f>A64&amp;"-"&amp;IF(DAY(Variables!$A$2)&lt;10,0,"")&amp;DAY(Variables!$A$2)</f>
        <v>-09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4" s="30" t="e">
        <f>VLOOKUP(B64,'Train Runs'!$A$13:$A$99943,1,FALSE)</f>
        <v>#N/A</v>
      </c>
    </row>
    <row r="65" spans="1:10" x14ac:dyDescent="0.25">
      <c r="A65" s="185"/>
      <c r="B65" s="43" t="str">
        <f>A65&amp;"-"&amp;IF(DAY(Variables!$A$2)&lt;10,0,"")&amp;DAY(Variables!$A$2)</f>
        <v>-09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5" s="30" t="e">
        <f>VLOOKUP(B65,'Train Runs'!$A$13:$A$99943,1,FALSE)</f>
        <v>#N/A</v>
      </c>
    </row>
    <row r="66" spans="1:10" x14ac:dyDescent="0.25">
      <c r="A66" s="185"/>
      <c r="B66" s="43" t="str">
        <f>A66&amp;"-"&amp;IF(DAY(Variables!$A$2)&lt;10,0,"")&amp;DAY(Variables!$A$2)</f>
        <v>-09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6" s="30" t="e">
        <f>VLOOKUP(B66,'Train Runs'!$A$13:$A$99943,1,FALSE)</f>
        <v>#N/A</v>
      </c>
    </row>
    <row r="67" spans="1:10" x14ac:dyDescent="0.25">
      <c r="A67" s="185"/>
      <c r="B67" s="43" t="str">
        <f>A67&amp;"-"&amp;IF(DAY(Variables!$A$2)&lt;10,0,"")&amp;DAY(Variables!$A$2)</f>
        <v>-09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7" s="30" t="e">
        <f>VLOOKUP(B67,'Train Runs'!$A$13:$A$99943,1,FALSE)</f>
        <v>#N/A</v>
      </c>
    </row>
    <row r="68" spans="1:10" x14ac:dyDescent="0.25">
      <c r="A68" s="185"/>
      <c r="B68" s="43" t="str">
        <f>A68&amp;"-"&amp;IF(DAY(Variables!$A$2)&lt;10,0,"")&amp;DAY(Variables!$A$2)</f>
        <v>-09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8" s="30" t="e">
        <f>VLOOKUP(B68,'Train Runs'!$A$13:$A$99943,1,FALSE)</f>
        <v>#N/A</v>
      </c>
    </row>
    <row r="69" spans="1:10" x14ac:dyDescent="0.25">
      <c r="A69" s="185"/>
      <c r="B69" s="43" t="str">
        <f>A69&amp;"-"&amp;IF(DAY(Variables!$A$2)&lt;10,0,"")&amp;DAY(Variables!$A$2)</f>
        <v>-09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69" s="30" t="e">
        <f>VLOOKUP(B69,'Train Runs'!$A$13:$A$99943,1,FALSE)</f>
        <v>#N/A</v>
      </c>
    </row>
    <row r="70" spans="1:10" x14ac:dyDescent="0.25">
      <c r="A70" s="185"/>
      <c r="B70" s="43" t="str">
        <f>A70&amp;"-"&amp;IF(DAY(Variables!$A$2)&lt;10,0,"")&amp;DAY(Variables!$A$2)</f>
        <v>-09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0" s="30" t="e">
        <f>VLOOKUP(B70,'Train Runs'!$A$13:$A$99943,1,FALSE)</f>
        <v>#N/A</v>
      </c>
    </row>
    <row r="71" spans="1:10" x14ac:dyDescent="0.25">
      <c r="A71" s="185"/>
      <c r="B71" s="43" t="str">
        <f>A71&amp;"-"&amp;IF(DAY(Variables!$A$2)&lt;10,0,"")&amp;DAY(Variables!$A$2)</f>
        <v>-09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1" s="30" t="e">
        <f>VLOOKUP(B71,'Train Runs'!$A$13:$A$99943,1,FALSE)</f>
        <v>#N/A</v>
      </c>
    </row>
    <row r="72" spans="1:10" x14ac:dyDescent="0.25">
      <c r="A72" s="185"/>
      <c r="B72" s="43" t="str">
        <f>A72&amp;"-"&amp;IF(DAY(Variables!$A$2)&lt;10,0,"")&amp;DAY(Variables!$A$2)</f>
        <v>-09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2" s="30" t="e">
        <f>VLOOKUP(B72,'Train Runs'!$A$13:$A$99943,1,FALSE)</f>
        <v>#N/A</v>
      </c>
    </row>
    <row r="73" spans="1:10" x14ac:dyDescent="0.25">
      <c r="A73" s="185"/>
      <c r="B73" s="43" t="str">
        <f>A73&amp;"-"&amp;IF(DAY(Variables!$A$2)&lt;10,0,"")&amp;DAY(Variables!$A$2)</f>
        <v>-09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3" s="30" t="e">
        <f>VLOOKUP(B73,'Train Runs'!$A$13:$A$99943,1,FALSE)</f>
        <v>#N/A</v>
      </c>
    </row>
    <row r="74" spans="1:10" x14ac:dyDescent="0.25">
      <c r="A74" s="185"/>
      <c r="B74" s="43" t="str">
        <f>A74&amp;"-"&amp;IF(DAY(Variables!$A$2)&lt;10,0,"")&amp;DAY(Variables!$A$2)</f>
        <v>-09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4" s="30" t="e">
        <f>VLOOKUP(B74,'Train Runs'!$A$13:$A$99943,1,FALSE)</f>
        <v>#N/A</v>
      </c>
    </row>
    <row r="75" spans="1:10" x14ac:dyDescent="0.25">
      <c r="A75" s="185"/>
      <c r="B75" s="43" t="str">
        <f>A75&amp;"-"&amp;IF(DAY(Variables!$A$2)&lt;10,0,"")&amp;DAY(Variables!$A$2)</f>
        <v>-09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5" s="30" t="e">
        <f>VLOOKUP(B75,'Train Runs'!$A$13:$A$99943,1,FALSE)</f>
        <v>#N/A</v>
      </c>
    </row>
    <row r="76" spans="1:10" x14ac:dyDescent="0.25">
      <c r="A76" s="185"/>
      <c r="B76" s="43" t="str">
        <f>A76&amp;"-"&amp;IF(DAY(Variables!$A$2)&lt;10,0,"")&amp;DAY(Variables!$A$2)</f>
        <v>-09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6" s="30" t="e">
        <f>VLOOKUP(B76,'Train Runs'!$A$13:$A$99943,1,FALSE)</f>
        <v>#N/A</v>
      </c>
    </row>
    <row r="77" spans="1:10" x14ac:dyDescent="0.25">
      <c r="A77" s="185"/>
      <c r="B77" s="43" t="str">
        <f>A77&amp;"-"&amp;IF(DAY(Variables!$A$2)&lt;10,0,"")&amp;DAY(Variables!$A$2)</f>
        <v>-09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7" s="30" t="e">
        <f>VLOOKUP(B77,'Train Runs'!$A$13:$A$99943,1,FALSE)</f>
        <v>#N/A</v>
      </c>
    </row>
    <row r="78" spans="1:10" x14ac:dyDescent="0.25">
      <c r="A78" s="185"/>
      <c r="B78" s="43" t="str">
        <f>A78&amp;"-"&amp;IF(DAY(Variables!$A$2)&lt;10,0,"")&amp;DAY(Variables!$A$2)</f>
        <v>-09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8" s="30" t="e">
        <f>VLOOKUP(B78,'Train Runs'!$A$13:$A$99943,1,FALSE)</f>
        <v>#N/A</v>
      </c>
    </row>
    <row r="79" spans="1:10" x14ac:dyDescent="0.25">
      <c r="A79" s="185"/>
      <c r="B79" s="43" t="str">
        <f>A79&amp;"-"&amp;IF(DAY(Variables!$A$2)&lt;10,0,"")&amp;DAY(Variables!$A$2)</f>
        <v>-09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ref="I79:I100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79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79" s="30" t="e">
        <f>VLOOKUP(B79,'Train Runs'!$A$13:$A$99943,1,FALSE)</f>
        <v>#N/A</v>
      </c>
    </row>
    <row r="80" spans="1:10" x14ac:dyDescent="0.25">
      <c r="A80" s="185"/>
      <c r="B80" s="43" t="str">
        <f>A80&amp;"-"&amp;IF(DAY(Variables!$A$2)&lt;10,0,"")&amp;DAY(Variables!$A$2)</f>
        <v>-09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0" s="30" t="e">
        <f>VLOOKUP(B80,'Train Runs'!$A$13:$A$99943,1,FALSE)</f>
        <v>#N/A</v>
      </c>
    </row>
    <row r="81" spans="1:10" x14ac:dyDescent="0.25">
      <c r="A81" s="185"/>
      <c r="B81" s="43" t="str">
        <f>A81&amp;"-"&amp;IF(DAY(Variables!$A$2)&lt;10,0,"")&amp;DAY(Variables!$A$2)</f>
        <v>-09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1" s="30" t="e">
        <f>VLOOKUP(B81,'Train Runs'!$A$13:$A$99943,1,FALSE)</f>
        <v>#N/A</v>
      </c>
    </row>
    <row r="82" spans="1:10" x14ac:dyDescent="0.25">
      <c r="A82" s="185"/>
      <c r="B82" s="43" t="str">
        <f>A82&amp;"-"&amp;IF(DAY(Variables!$A$2)&lt;10,0,"")&amp;DAY(Variables!$A$2)</f>
        <v>-09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2" s="30" t="e">
        <f>VLOOKUP(B82,'Train Runs'!$A$13:$A$99943,1,FALSE)</f>
        <v>#N/A</v>
      </c>
    </row>
    <row r="83" spans="1:10" x14ac:dyDescent="0.25">
      <c r="A83" s="185"/>
      <c r="B83" s="43" t="str">
        <f>A83&amp;"-"&amp;IF(DAY(Variables!$A$2)&lt;10,0,"")&amp;DAY(Variables!$A$2)</f>
        <v>-09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3" s="30" t="e">
        <f>VLOOKUP(B83,'Train Runs'!$A$13:$A$99943,1,FALSE)</f>
        <v>#N/A</v>
      </c>
    </row>
    <row r="84" spans="1:10" x14ac:dyDescent="0.25">
      <c r="A84" s="185"/>
      <c r="B84" s="43" t="str">
        <f>A84&amp;"-"&amp;IF(DAY(Variables!$A$2)&lt;10,0,"")&amp;DAY(Variables!$A$2)</f>
        <v>-09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4" s="30" t="e">
        <f>VLOOKUP(B84,'Train Runs'!$A$13:$A$99943,1,FALSE)</f>
        <v>#N/A</v>
      </c>
    </row>
    <row r="85" spans="1:10" x14ac:dyDescent="0.25">
      <c r="A85" s="185"/>
      <c r="B85" s="43" t="str">
        <f>A85&amp;"-"&amp;IF(DAY(Variables!$A$2)&lt;10,0,"")&amp;DAY(Variables!$A$2)</f>
        <v>-09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5" s="30" t="e">
        <f>VLOOKUP(B85,'Train Runs'!$A$13:$A$99943,1,FALSE)</f>
        <v>#N/A</v>
      </c>
    </row>
    <row r="86" spans="1:10" x14ac:dyDescent="0.25">
      <c r="A86" s="185"/>
      <c r="B86" s="43" t="str">
        <f>A86&amp;"-"&amp;IF(DAY(Variables!$A$2)&lt;10,0,"")&amp;DAY(Variables!$A$2)</f>
        <v>-09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6" s="30" t="e">
        <f>VLOOKUP(B86,'Train Runs'!$A$13:$A$99943,1,FALSE)</f>
        <v>#N/A</v>
      </c>
    </row>
    <row r="87" spans="1:10" x14ac:dyDescent="0.25">
      <c r="A87" s="185"/>
      <c r="B87" s="43" t="str">
        <f>A87&amp;"-"&amp;IF(DAY(Variables!$A$2)&lt;10,0,"")&amp;DAY(Variables!$A$2)</f>
        <v>-09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7" s="30" t="e">
        <f>VLOOKUP(B87,'Train Runs'!$A$13:$A$99943,1,FALSE)</f>
        <v>#N/A</v>
      </c>
    </row>
    <row r="88" spans="1:10" x14ac:dyDescent="0.25">
      <c r="A88" s="185"/>
      <c r="B88" s="43" t="str">
        <f>A88&amp;"-"&amp;IF(DAY(Variables!$A$2)&lt;10,0,"")&amp;DAY(Variables!$A$2)</f>
        <v>-09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8" s="30" t="e">
        <f>VLOOKUP(B88,'Train Runs'!$A$13:$A$99943,1,FALSE)</f>
        <v>#N/A</v>
      </c>
    </row>
    <row r="89" spans="1:10" x14ac:dyDescent="0.25">
      <c r="A89" s="185"/>
      <c r="B89" s="43" t="str">
        <f>A89&amp;"-"&amp;IF(DAY(Variables!$A$2)&lt;10,0,"")&amp;DAY(Variables!$A$2)</f>
        <v>-09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89" s="30" t="e">
        <f>VLOOKUP(B89,'Train Runs'!$A$13:$A$99943,1,FALSE)</f>
        <v>#N/A</v>
      </c>
    </row>
    <row r="90" spans="1:10" x14ac:dyDescent="0.25">
      <c r="A90" s="185"/>
      <c r="B90" s="43" t="str">
        <f>A90&amp;"-"&amp;IF(DAY(Variables!$A$2)&lt;10,0,"")&amp;DAY(Variables!$A$2)</f>
        <v>-09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0" s="30" t="e">
        <f>VLOOKUP(B90,'Train Runs'!$A$13:$A$99943,1,FALSE)</f>
        <v>#N/A</v>
      </c>
    </row>
    <row r="91" spans="1:10" x14ac:dyDescent="0.25">
      <c r="A91" s="185"/>
      <c r="B91" s="43" t="str">
        <f>A91&amp;"-"&amp;IF(DAY(Variables!$A$2)&lt;10,0,"")&amp;DAY(Variables!$A$2)</f>
        <v>-09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1" s="30" t="e">
        <f>VLOOKUP(B91,'Train Runs'!$A$13:$A$99943,1,FALSE)</f>
        <v>#N/A</v>
      </c>
    </row>
    <row r="92" spans="1:10" x14ac:dyDescent="0.25">
      <c r="A92" s="185"/>
      <c r="B92" s="43" t="str">
        <f>A92&amp;"-"&amp;IF(DAY(Variables!$A$2)&lt;10,0,"")&amp;DAY(Variables!$A$2)</f>
        <v>-09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2" s="30" t="e">
        <f>VLOOKUP(B92,'Train Runs'!$A$13:$A$99943,1,FALSE)</f>
        <v>#N/A</v>
      </c>
    </row>
    <row r="93" spans="1:10" x14ac:dyDescent="0.25">
      <c r="A93" s="185"/>
      <c r="B93" s="43" t="str">
        <f>A93&amp;"-"&amp;IF(DAY(Variables!$A$2)&lt;10,0,"")&amp;DAY(Variables!$A$2)</f>
        <v>-09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3" s="30" t="e">
        <f>VLOOKUP(B93,'Train Runs'!$A$13:$A$99943,1,FALSE)</f>
        <v>#N/A</v>
      </c>
    </row>
    <row r="94" spans="1:10" x14ac:dyDescent="0.25">
      <c r="A94" s="185"/>
      <c r="B94" s="43" t="str">
        <f>A94&amp;"-"&amp;IF(DAY(Variables!$A$2)&lt;10,0,"")&amp;DAY(Variables!$A$2)</f>
        <v>-09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4" s="30" t="e">
        <f>VLOOKUP(B94,'Train Runs'!$A$13:$A$99943,1,FALSE)</f>
        <v>#N/A</v>
      </c>
    </row>
    <row r="95" spans="1:10" x14ac:dyDescent="0.25">
      <c r="A95" s="185"/>
      <c r="B95" s="43" t="str">
        <f>A95&amp;"-"&amp;IF(DAY(Variables!$A$2)&lt;10,0,"")&amp;DAY(Variables!$A$2)</f>
        <v>-09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5" s="30" t="e">
        <f>VLOOKUP(B95,'Train Runs'!$A$13:$A$99943,1,FALSE)</f>
        <v>#N/A</v>
      </c>
    </row>
    <row r="96" spans="1:10" x14ac:dyDescent="0.25">
      <c r="A96" s="185"/>
      <c r="B96" s="43" t="str">
        <f>A96&amp;"-"&amp;IF(DAY(Variables!$A$2)&lt;10,0,"")&amp;DAY(Variables!$A$2)</f>
        <v>-09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6" s="30" t="e">
        <f>VLOOKUP(B96,'Train Runs'!$A$13:$A$99943,1,FALSE)</f>
        <v>#N/A</v>
      </c>
    </row>
    <row r="97" spans="1:10" x14ac:dyDescent="0.25">
      <c r="A97" s="185"/>
      <c r="B97" s="43" t="str">
        <f>A97&amp;"-"&amp;IF(DAY(Variables!$A$2)&lt;10,0,"")&amp;DAY(Variables!$A$2)</f>
        <v>-09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7" s="30" t="e">
        <f>VLOOKUP(B97,'Train Runs'!$A$13:$A$99943,1,FALSE)</f>
        <v>#N/A</v>
      </c>
    </row>
    <row r="98" spans="1:10" x14ac:dyDescent="0.25">
      <c r="A98" s="185"/>
      <c r="B98" s="43" t="str">
        <f>A98&amp;"-"&amp;IF(DAY(Variables!$A$2)&lt;10,0,"")&amp;DAY(Variables!$A$2)</f>
        <v>-09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8" s="30" t="e">
        <f>VLOOKUP(B98,'Train Runs'!$A$13:$A$99943,1,FALSE)</f>
        <v>#N/A</v>
      </c>
    </row>
    <row r="99" spans="1:10" x14ac:dyDescent="0.25">
      <c r="A99" s="185"/>
      <c r="B99" s="43" t="str">
        <f>A99&amp;"-"&amp;IF(DAY(Variables!$A$2)&lt;10,0,"")&amp;DAY(Variables!$A$2)</f>
        <v>-09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99" s="30" t="e">
        <f>VLOOKUP(B99,'Train Runs'!$A$13:$A$99943,1,FALSE)</f>
        <v>#N/A</v>
      </c>
    </row>
    <row r="100" spans="1:10" x14ac:dyDescent="0.25">
      <c r="A100" s="185"/>
      <c r="B100" s="43" t="str">
        <f>A100&amp;"-"&amp;IF(DAY(Variables!$A$2)&lt;10,0,"")&amp;DAY(Variables!$A$2)</f>
        <v>-09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-09%22)),sort:!(Time.ISO8601,asc))</v>
      </c>
      <c r="J100" s="30" t="e">
        <f>VLOOKUP(B100,'Train Runs'!$A$13:$A$99943,1,FALSE)</f>
        <v>#N/A</v>
      </c>
    </row>
  </sheetData>
  <autoFilter ref="A2:J100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202" bestFit="1" customWidth="1"/>
    <col min="2" max="2" width="26.5703125" style="208" customWidth="1"/>
    <col min="3" max="3" width="8.85546875" style="198" customWidth="1"/>
    <col min="4" max="4" width="10.5703125" style="212" customWidth="1"/>
    <col min="5" max="5" width="39.5703125" bestFit="1" customWidth="1"/>
    <col min="6" max="6" width="16.5703125" style="212" customWidth="1"/>
    <col min="7" max="7" width="7" style="216" customWidth="1"/>
    <col min="8" max="8" width="6.5703125" style="218" customWidth="1"/>
    <col min="9" max="9" width="6.5703125" style="214" customWidth="1"/>
    <col min="10" max="10" width="9.42578125" style="210" bestFit="1" customWidth="1"/>
    <col min="11" max="11" width="9.42578125" style="210" customWidth="1"/>
    <col min="12" max="12" width="10.140625" style="206" customWidth="1"/>
    <col min="13" max="13" width="6.42578125" style="206" customWidth="1"/>
    <col min="14" max="15" width="6" style="206" customWidth="1"/>
    <col min="16" max="16" width="6.28515625" style="206" customWidth="1"/>
    <col min="17" max="17" width="7.28515625" style="205" customWidth="1"/>
  </cols>
  <sheetData>
    <row r="1" spans="1:17" s="195" customFormat="1" ht="35.25" customHeight="1" x14ac:dyDescent="0.25">
      <c r="A1" s="200" t="s">
        <v>476</v>
      </c>
      <c r="B1" s="207" t="s">
        <v>477</v>
      </c>
      <c r="C1" s="199" t="s">
        <v>485</v>
      </c>
      <c r="D1" s="211" t="s">
        <v>58</v>
      </c>
      <c r="E1" s="196" t="s">
        <v>24</v>
      </c>
      <c r="F1" s="211" t="s">
        <v>491</v>
      </c>
      <c r="G1" s="215" t="s">
        <v>94</v>
      </c>
      <c r="H1" s="217" t="s">
        <v>495</v>
      </c>
      <c r="I1" s="213" t="s">
        <v>494</v>
      </c>
      <c r="J1" s="209" t="s">
        <v>84</v>
      </c>
      <c r="K1" s="209" t="s">
        <v>490</v>
      </c>
      <c r="L1" s="204" t="s">
        <v>487</v>
      </c>
      <c r="M1" s="204" t="s">
        <v>478</v>
      </c>
      <c r="N1" s="204" t="s">
        <v>480</v>
      </c>
      <c r="O1" s="204" t="s">
        <v>481</v>
      </c>
      <c r="P1" s="204" t="s">
        <v>482</v>
      </c>
      <c r="Q1" s="203" t="s">
        <v>479</v>
      </c>
    </row>
    <row r="2" spans="1:17" x14ac:dyDescent="0.25">
      <c r="A2" s="201">
        <v>42800.21875</v>
      </c>
      <c r="B2" s="208" t="s">
        <v>484</v>
      </c>
      <c r="C2" s="198" t="s">
        <v>486</v>
      </c>
      <c r="D2" s="212">
        <v>104</v>
      </c>
      <c r="E2" s="30" t="s">
        <v>489</v>
      </c>
      <c r="G2" s="216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/stypes="*4017*201703061*" /stext=" 12:.+((SYSTEM_STATE.+slice.+state.+changed )|(ment ac)|(multiple cpu faults)|(system.+state.+changed )|(\[timeout)|(PRM\|1\|D)|(kpr)|(kdp)|(\|loc)|(penalty)|(\|PRM\|1\|D)|(crossing.((167)|(168)|(199)|(200))))"</v>
      </c>
      <c r="H2" s="218" t="str">
        <f t="shared" ref="H2:H35" si="1">"grep -hSE "" "&amp;TEXT(J2,"HH")&amp;":.+("&amp;Q2&amp;")"" "&amp;search_path&amp;"\RTDC"&amp;L2&amp;"\*"&amp;L2&amp;"*"&amp;TEXT(J2,"YYYYMMDD")&amp;LEFT(TEXT(J2,"HH"),1)&amp;"*"</f>
        <v>grep -hSE " 12:.+((\|PRM\|1\|D)|(crossing.((167)|(168)|(199)|(200))))" "%USERPROFILE%\AppData\Local\Temp\OnboardLogs"\RTDC4017\*4017*201703061*</v>
      </c>
      <c r="I2" s="214" t="str">
        <f>IF(VLOOKUP(K2,'Train Runs'!$A$13:$V$999,1,TRUE)=K2,VLOOKUP(K2,'Train Runs'!$A$13:$V$999,22,TRUE),NA())</f>
        <v>https://d0f6bd738d7f1b3e5a7ca70fe4ff75f0.us-east-1.aws.found.io/app/kibana#/discover/Steve-Slow-Train-Analysis-(2080s-and-2083s)?_g=(refreshInterval:(display:Off,pause:!f,section:0,value:0),time:(from:'2017-03-09T03:35:34-0700',mode:absolute,to:'2017-03-09T06:23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" s="210">
        <f t="shared" ref="J2:J35" si="2">A2-utc_offset/24</f>
        <v>42800.510416666664</v>
      </c>
      <c r="K2" s="210" t="str">
        <f>D2&amp;"-"&amp;IF(DAY(Variables!$A$2)&lt;10,0,"")&amp;DAY(Variables!$A$2)</f>
        <v>104-09</v>
      </c>
      <c r="L2" s="206">
        <f>IF(VLOOKUP(K2,'Train Runs'!$A$12:$B$999,1,TRUE)=K2,VLOOKUP(K2,'Train Runs'!$A$12:$B$999,2,TRUE),NA())</f>
        <v>4017</v>
      </c>
      <c r="M2" s="206">
        <f>VLOOKUP(B2,Variables!$T$2:$X$99,2,FALSE)</f>
        <v>167</v>
      </c>
      <c r="N2" s="206">
        <f>VLOOKUP(B2,Variables!$T$2:$X$99,3,FALSE)</f>
        <v>168</v>
      </c>
      <c r="O2" s="206">
        <f>VLOOKUP(B2,Variables!$T$2:$X$99,4,FALSE)</f>
        <v>199</v>
      </c>
      <c r="P2" s="206">
        <f>VLOOKUP(B2,Variables!$T$2:$X$99,5,FALSE)</f>
        <v>200</v>
      </c>
      <c r="Q2" s="205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201">
        <v>42800.343055555553</v>
      </c>
      <c r="B3" s="208" t="s">
        <v>484</v>
      </c>
      <c r="C3" s="198" t="s">
        <v>486</v>
      </c>
      <c r="D3" s="212">
        <v>126</v>
      </c>
      <c r="E3" s="30" t="s">
        <v>488</v>
      </c>
      <c r="F3" s="212" t="b">
        <v>1</v>
      </c>
      <c r="G3" s="216" t="str">
        <f t="shared" si="0"/>
        <v>"C:\Program Files (x86)\AstroGrep\AstroGrep.exe" /e /r /s /spath="%USERPROFILE%\AppData\Local\Temp\OnboardLogs" /stypes="*4019*201703061*" /stext=" 15:.+((SYSTEM_STATE.+slice.+state.+changed )|(ment ac)|(multiple cpu faults)|(system.+state.+changed )|(\[timeout)|(PRM\|1\|D)|(kpr)|(kdp)|(\|lc)|(penalty)|(\|PRM\|1\|D)|(crossing.((167)|(168)|(199)|(200))))"</v>
      </c>
      <c r="H3" s="218" t="str">
        <f t="shared" si="1"/>
        <v>grep -hSE " 15:.+((\|PRM\|1\|D)|(crossing.((167)|(168)|(199)|(200))))" "%USERPROFILE%\AppData\Local\Temp\OnboardLogs"\RTDC4019\*4019*201703061*</v>
      </c>
      <c r="I3" s="214" t="str">
        <f>IF(VLOOKUP(K3,'Train Runs'!$A$13:$V$999,1,TRUE)=K3,VLOOKUP(K3,'Train Runs'!$A$13:$V$999,22,TRUE),NA())</f>
        <v>https://d0f6bd738d7f1b3e5a7ca70fe4ff75f0.us-east-1.aws.found.io/app/kibana#/discover/Steve-Slow-Train-Analysis-(2080s-and-2083s)?_g=(refreshInterval:(display:Off,pause:!f,section:0,value:0),time:(from:'2017-03-09T06:27:49-0700',mode:absolute,to:'2017-03-09T09:19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" s="210">
        <f t="shared" si="2"/>
        <v>42800.634722222218</v>
      </c>
      <c r="K3" s="210" t="str">
        <f>D3&amp;"-"&amp;IF(DAY(Variables!$A$2)&lt;10,0,"")&amp;DAY(Variables!$A$2)</f>
        <v>126-09</v>
      </c>
      <c r="L3" s="206">
        <f>IF(VLOOKUP(K3,'Train Runs'!$A$12:$B$999,1,TRUE)=K3,VLOOKUP(K3,'Train Runs'!$A$12:$B$999,2,TRUE),NA())</f>
        <v>4019</v>
      </c>
      <c r="M3" s="206">
        <f>VLOOKUP(B3,Variables!$T$2:$X$99,2,FALSE)</f>
        <v>167</v>
      </c>
      <c r="N3" s="206">
        <f>VLOOKUP(B3,Variables!$T$2:$X$99,3,FALSE)</f>
        <v>168</v>
      </c>
      <c r="O3" s="206">
        <f>VLOOKUP(B3,Variables!$T$2:$X$99,4,FALSE)</f>
        <v>199</v>
      </c>
      <c r="P3" s="206">
        <f>VLOOKUP(B3,Variables!$T$2:$X$99,5,FALSE)</f>
        <v>200</v>
      </c>
      <c r="Q3" s="205" t="str">
        <f t="shared" si="3"/>
        <v>(\|PRM\|1\|D)|(crossing.((167)|(168)|(199)|(200)))</v>
      </c>
    </row>
    <row r="4" spans="1:17" x14ac:dyDescent="0.25">
      <c r="A4" s="201">
        <v>42800.354861111111</v>
      </c>
      <c r="B4" s="208" t="s">
        <v>484</v>
      </c>
      <c r="C4" s="198" t="s">
        <v>486</v>
      </c>
      <c r="D4" s="212">
        <v>128</v>
      </c>
      <c r="E4" s="30" t="s">
        <v>488</v>
      </c>
      <c r="F4" s="212" t="b">
        <v>1</v>
      </c>
      <c r="G4" s="216" t="str">
        <f t="shared" si="0"/>
        <v>"C:\Program Files (x86)\AstroGrep\AstroGrep.exe" /e /r /s /spath="%USERPROFILE%\AppData\Local\Temp\OnboardLogs" /stypes="*4021*201703061*" /stext=" 15:.+((SYSTEM_STATE.+slice.+state.+changed )|(ment ac)|(multiple cpu faults)|(system.+state.+changed )|(\[timeout)|(PRM\|1\|D)|(kpr)|(kdp)|(\|lc)|(penalty)|(\|PRM\|1\|D)|(crossing.((167)|(168)|(199)|(200))))"</v>
      </c>
      <c r="H4" s="218" t="str">
        <f t="shared" si="1"/>
        <v>grep -hSE " 15:.+((\|PRM\|1\|D)|(crossing.((167)|(168)|(199)|(200))))" "%USERPROFILE%\AppData\Local\Temp\OnboardLogs"\RTDC4021\*4021*201703061*</v>
      </c>
      <c r="I4" s="214" t="str">
        <f>IF(VLOOKUP(K4,'Train Runs'!$A$13:$V$999,1,TRUE)=K4,VLOOKUP(K4,'Train Runs'!$A$13:$V$999,22,TRUE),NA())</f>
        <v>https://d0f6bd738d7f1b3e5a7ca70fe4ff75f0.us-east-1.aws.found.io/app/kibana#/discover/Steve-Slow-Train-Analysis-(2080s-and-2083s)?_g=(refreshInterval:(display:Off,pause:!f,section:0,value:0),time:(from:'2017-03-09T06:43:04-0700',mode:absolute,to:'2017-03-09T09:39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4" s="210">
        <f t="shared" si="2"/>
        <v>42800.646527777775</v>
      </c>
      <c r="K4" s="210" t="str">
        <f>D4&amp;"-"&amp;IF(DAY(Variables!$A$2)&lt;10,0,"")&amp;DAY(Variables!$A$2)</f>
        <v>128-09</v>
      </c>
      <c r="L4" s="206">
        <f>IF(VLOOKUP(K4,'Train Runs'!$A$12:$B$999,1,TRUE)=K4,VLOOKUP(K4,'Train Runs'!$A$12:$B$999,2,TRUE),NA())</f>
        <v>4021</v>
      </c>
      <c r="M4" s="206">
        <f>VLOOKUP(B4,Variables!$T$2:$X$99,2,FALSE)</f>
        <v>167</v>
      </c>
      <c r="N4" s="206">
        <f>VLOOKUP(B4,Variables!$T$2:$X$99,3,FALSE)</f>
        <v>168</v>
      </c>
      <c r="O4" s="206">
        <f>VLOOKUP(B4,Variables!$T$2:$X$99,4,FALSE)</f>
        <v>199</v>
      </c>
      <c r="P4" s="206">
        <f>VLOOKUP(B4,Variables!$T$2:$X$99,5,FALSE)</f>
        <v>200</v>
      </c>
      <c r="Q4" s="205" t="str">
        <f t="shared" si="3"/>
        <v>(\|PRM\|1\|D)|(crossing.((167)|(168)|(199)|(200)))</v>
      </c>
    </row>
    <row r="5" spans="1:17" x14ac:dyDescent="0.25">
      <c r="A5" s="201">
        <v>42800.364583333336</v>
      </c>
      <c r="B5" s="208" t="s">
        <v>484</v>
      </c>
      <c r="C5" s="198" t="s">
        <v>486</v>
      </c>
      <c r="D5" s="212">
        <f>D4+2</f>
        <v>130</v>
      </c>
      <c r="E5" s="30" t="s">
        <v>488</v>
      </c>
      <c r="F5" s="212" t="b">
        <v>1</v>
      </c>
      <c r="G5" s="216" t="str">
        <f t="shared" si="0"/>
        <v>"C:\Program Files (x86)\AstroGrep\AstroGrep.exe" /e /r /s /spath="%USERPROFILE%\AppData\Local\Temp\OnboardLogs" /stypes="*4015*201703061*" /stext=" 15:.+((SYSTEM_STATE.+slice.+state.+changed )|(ment ac)|(multiple cpu faults)|(system.+state.+changed )|(\[timeout)|(PRM\|1\|D)|(kpr)|(kdp)|(\|lc)|(penalty)|(\|PRM\|1\|D)|(crossing.((167)|(168)|(199)|(200))))"</v>
      </c>
      <c r="H5" s="218" t="str">
        <f t="shared" si="1"/>
        <v>grep -hSE " 15:.+((\|PRM\|1\|D)|(crossing.((167)|(168)|(199)|(200))))" "%USERPROFILE%\AppData\Local\Temp\OnboardLogs"\RTDC4015\*4015*201703061*</v>
      </c>
      <c r="I5" s="214" t="str">
        <f>IF(VLOOKUP(K5,'Train Runs'!$A$13:$V$999,1,TRUE)=K5,VLOOKUP(K5,'Train Runs'!$A$13:$V$999,22,TRUE),NA())</f>
        <v>https://d0f6bd738d7f1b3e5a7ca70fe4ff75f0.us-east-1.aws.found.io/app/kibana#/discover/Steve-Slow-Train-Analysis-(2080s-and-2083s)?_g=(refreshInterval:(display:Off,pause:!f,section:0,value:0),time:(from:'2017-03-09T07:06:11-0700',mode:absolute,to:'2017-03-09T09:52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5" s="210">
        <f t="shared" si="2"/>
        <v>42800.65625</v>
      </c>
      <c r="K5" s="210" t="str">
        <f>D5&amp;"-"&amp;IF(DAY(Variables!$A$2)&lt;10,0,"")&amp;DAY(Variables!$A$2)</f>
        <v>130-09</v>
      </c>
      <c r="L5" s="206">
        <f>IF(VLOOKUP(K5,'Train Runs'!$A$12:$B$999,1,TRUE)=K5,VLOOKUP(K5,'Train Runs'!$A$12:$B$999,2,TRUE),NA())</f>
        <v>4015</v>
      </c>
      <c r="M5" s="206">
        <f>VLOOKUP(B5,Variables!$T$2:$X$99,2,FALSE)</f>
        <v>167</v>
      </c>
      <c r="N5" s="206">
        <f>VLOOKUP(B5,Variables!$T$2:$X$99,3,FALSE)</f>
        <v>168</v>
      </c>
      <c r="O5" s="206">
        <f>VLOOKUP(B5,Variables!$T$2:$X$99,4,FALSE)</f>
        <v>199</v>
      </c>
      <c r="P5" s="206">
        <f>VLOOKUP(B5,Variables!$T$2:$X$99,5,FALSE)</f>
        <v>200</v>
      </c>
      <c r="Q5" s="205" t="str">
        <f t="shared" si="3"/>
        <v>(\|PRM\|1\|D)|(crossing.((167)|(168)|(199)|(200)))</v>
      </c>
    </row>
    <row r="6" spans="1:17" x14ac:dyDescent="0.25">
      <c r="A6" s="201">
        <v>42800.375</v>
      </c>
      <c r="B6" s="208" t="s">
        <v>484</v>
      </c>
      <c r="C6" s="198" t="s">
        <v>486</v>
      </c>
      <c r="D6" s="212">
        <f>D5+2</f>
        <v>132</v>
      </c>
      <c r="E6" s="30" t="s">
        <v>488</v>
      </c>
      <c r="F6" s="212" t="b">
        <v>1</v>
      </c>
      <c r="G6" s="216" t="str">
        <f t="shared" si="0"/>
        <v>"C:\Program Files (x86)\AstroGrep\AstroGrep.exe" /e /r /s /spath="%USERPROFILE%\AppData\Local\Temp\OnboardLogs" /stypes="*4017*201703061*" /stext=" 16:.+((SYSTEM_STATE.+slice.+state.+changed )|(ment ac)|(multiple cpu faults)|(system.+state.+changed )|(\[timeout)|(PRM\|1\|D)|(kpr)|(kdp)|(\|lc)|(penalty)|(\|PRM\|1\|D)|(crossing.((167)|(168)|(199)|(200))))"</v>
      </c>
      <c r="H6" s="218" t="str">
        <f t="shared" si="1"/>
        <v>grep -hSE " 16:.+((\|PRM\|1\|D)|(crossing.((167)|(168)|(199)|(200))))" "%USERPROFILE%\AppData\Local\Temp\OnboardLogs"\RTDC4017\*4017*201703061*</v>
      </c>
      <c r="I6" s="214" t="str">
        <f>IF(VLOOKUP(K6,'Train Runs'!$A$13:$V$999,1,TRUE)=K6,VLOOKUP(K6,'Train Runs'!$A$13:$V$999,22,TRUE),NA())</f>
        <v>https://d0f6bd738d7f1b3e5a7ca70fe4ff75f0.us-east-1.aws.found.io/app/kibana#/discover/Steve-Slow-Train-Analysis-(2080s-and-2083s)?_g=(refreshInterval:(display:Off,pause:!f,section:0,value:0),time:(from:'2017-03-09T07:19:21-0700',mode:absolute,to:'2017-03-09T10:07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6" s="210">
        <f t="shared" si="2"/>
        <v>42800.666666666664</v>
      </c>
      <c r="K6" s="210" t="str">
        <f>D6&amp;"-"&amp;IF(DAY(Variables!$A$2)&lt;10,0,"")&amp;DAY(Variables!$A$2)</f>
        <v>132-09</v>
      </c>
      <c r="L6" s="206">
        <f>IF(VLOOKUP(K6,'Train Runs'!$A$12:$B$999,1,TRUE)=K6,VLOOKUP(K6,'Train Runs'!$A$12:$B$999,2,TRUE),NA())</f>
        <v>4017</v>
      </c>
      <c r="M6" s="206">
        <f>VLOOKUP(B6,Variables!$T$2:$X$99,2,FALSE)</f>
        <v>167</v>
      </c>
      <c r="N6" s="206">
        <f>VLOOKUP(B6,Variables!$T$2:$X$99,3,FALSE)</f>
        <v>168</v>
      </c>
      <c r="O6" s="206">
        <f>VLOOKUP(B6,Variables!$T$2:$X$99,4,FALSE)</f>
        <v>199</v>
      </c>
      <c r="P6" s="206">
        <f>VLOOKUP(B6,Variables!$T$2:$X$99,5,FALSE)</f>
        <v>200</v>
      </c>
      <c r="Q6" s="205" t="str">
        <f t="shared" si="3"/>
        <v>(\|PRM\|1\|D)|(crossing.((167)|(168)|(199)|(200)))</v>
      </c>
    </row>
    <row r="7" spans="1:17" x14ac:dyDescent="0.25">
      <c r="A7" s="201">
        <v>42800.383333333331</v>
      </c>
      <c r="B7" s="208" t="s">
        <v>484</v>
      </c>
      <c r="C7" s="198" t="s">
        <v>486</v>
      </c>
      <c r="D7" s="212">
        <f t="shared" ref="D7:D11" si="4">D6+2</f>
        <v>134</v>
      </c>
      <c r="E7" s="30" t="s">
        <v>488</v>
      </c>
      <c r="F7" s="212" t="b">
        <v>1</v>
      </c>
      <c r="G7" s="216" t="str">
        <f t="shared" si="0"/>
        <v>"C:\Program Files (x86)\AstroGrep\AstroGrep.exe" /e /r /s /spath="%USERPROFILE%\AppData\Local\Temp\OnboardLogs" /stypes="*4004*201703061*" /stext=" 16:.+((SYSTEM_STATE.+slice.+state.+changed )|(ment ac)|(multiple cpu faults)|(system.+state.+changed )|(\[timeout)|(PRM\|1\|D)|(kpr)|(kdp)|(\|lc)|(penalty)|(\|PRM\|1\|D)|(crossing.((167)|(168)|(199)|(200))))"</v>
      </c>
      <c r="H7" s="218" t="str">
        <f t="shared" si="1"/>
        <v>grep -hSE " 16:.+((\|PRM\|1\|D)|(crossing.((167)|(168)|(199)|(200))))" "%USERPROFILE%\AppData\Local\Temp\OnboardLogs"\RTDC4004\*4004*201703061*</v>
      </c>
      <c r="I7" s="214" t="str">
        <f>IF(VLOOKUP(K7,'Train Runs'!$A$13:$V$999,1,TRUE)=K7,VLOOKUP(K7,'Train Runs'!$A$13:$V$999,22,TRUE),NA())</f>
        <v>https://d0f6bd738d7f1b3e5a7ca70fe4ff75f0.us-east-1.aws.found.io/app/kibana#/discover/Steve-Slow-Train-Analysis-(2080s-and-2083s)?_g=(refreshInterval:(display:Off,pause:!f,section:0,value:0),time:(from:'2017-03-09T07:28:19-0700',mode:absolute,to:'2017-03-09T10:22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7" s="210">
        <f t="shared" si="2"/>
        <v>42800.674999999996</v>
      </c>
      <c r="K7" s="210" t="str">
        <f>D7&amp;"-"&amp;IF(DAY(Variables!$A$2)&lt;10,0,"")&amp;DAY(Variables!$A$2)</f>
        <v>134-09</v>
      </c>
      <c r="L7" s="206">
        <f>IF(VLOOKUP(K7,'Train Runs'!$A$12:$B$999,1,TRUE)=K7,VLOOKUP(K7,'Train Runs'!$A$12:$B$999,2,TRUE),NA())</f>
        <v>4004</v>
      </c>
      <c r="M7" s="206">
        <f>VLOOKUP(B7,Variables!$T$2:$X$99,2,FALSE)</f>
        <v>167</v>
      </c>
      <c r="N7" s="206">
        <f>VLOOKUP(B7,Variables!$T$2:$X$99,3,FALSE)</f>
        <v>168</v>
      </c>
      <c r="O7" s="206">
        <f>VLOOKUP(B7,Variables!$T$2:$X$99,4,FALSE)</f>
        <v>199</v>
      </c>
      <c r="P7" s="206">
        <f>VLOOKUP(B7,Variables!$T$2:$X$99,5,FALSE)</f>
        <v>200</v>
      </c>
      <c r="Q7" s="205" t="str">
        <f t="shared" si="3"/>
        <v>(\|PRM\|1\|D)|(crossing.((167)|(168)|(199)|(200)))</v>
      </c>
    </row>
    <row r="8" spans="1:17" x14ac:dyDescent="0.25">
      <c r="A8" s="201">
        <v>42800.393750000003</v>
      </c>
      <c r="B8" s="208" t="s">
        <v>484</v>
      </c>
      <c r="C8" s="198" t="s">
        <v>486</v>
      </c>
      <c r="D8" s="212">
        <f t="shared" si="4"/>
        <v>136</v>
      </c>
      <c r="E8" s="30" t="s">
        <v>488</v>
      </c>
      <c r="F8" s="212" t="b">
        <v>1</v>
      </c>
      <c r="G8" s="216" t="str">
        <f t="shared" si="0"/>
        <v>"C:\Program Files (x86)\AstroGrep\AstroGrep.exe" /e /r /s /spath="%USERPROFILE%\AppData\Local\Temp\OnboardLogs" /stypes="*4030*201703061*" /stext=" 16:.+((SYSTEM_STATE.+slice.+state.+changed )|(ment ac)|(multiple cpu faults)|(system.+state.+changed )|(\[timeout)|(PRM\|1\|D)|(kpr)|(kdp)|(\|lc)|(penalty)|(\|PRM\|1\|D)|(crossing.((167)|(168)|(199)|(200))))"</v>
      </c>
      <c r="H8" s="218" t="str">
        <f t="shared" si="1"/>
        <v>grep -hSE " 16:.+((\|PRM\|1\|D)|(crossing.((167)|(168)|(199)|(200))))" "%USERPROFILE%\AppData\Local\Temp\OnboardLogs"\RTDC4030\*4030*201703061*</v>
      </c>
      <c r="I8" s="214" t="str">
        <f>IF(VLOOKUP(K8,'Train Runs'!$A$13:$V$999,1,TRUE)=K8,VLOOKUP(K8,'Train Runs'!$A$13:$V$999,22,TRUE),NA())</f>
        <v>https://d0f6bd738d7f1b3e5a7ca70fe4ff75f0.us-east-1.aws.found.io/app/kibana#/discover/Steve-Slow-Train-Analysis-(2080s-and-2083s)?_g=(refreshInterval:(display:Off,pause:!f,section:0,value:0),time:(from:'2017-03-09T07:51:25-0700',mode:absolute,to:'2017-03-09T10:42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8" s="210">
        <f t="shared" si="2"/>
        <v>42800.685416666667</v>
      </c>
      <c r="K8" s="210" t="str">
        <f>D8&amp;"-"&amp;IF(DAY(Variables!$A$2)&lt;10,0,"")&amp;DAY(Variables!$A$2)</f>
        <v>136-09</v>
      </c>
      <c r="L8" s="206">
        <f>IF(VLOOKUP(K8,'Train Runs'!$A$12:$B$999,1,TRUE)=K8,VLOOKUP(K8,'Train Runs'!$A$12:$B$999,2,TRUE),NA())</f>
        <v>4030</v>
      </c>
      <c r="M8" s="206">
        <f>VLOOKUP(B8,Variables!$T$2:$X$99,2,FALSE)</f>
        <v>167</v>
      </c>
      <c r="N8" s="206">
        <f>VLOOKUP(B8,Variables!$T$2:$X$99,3,FALSE)</f>
        <v>168</v>
      </c>
      <c r="O8" s="206">
        <f>VLOOKUP(B8,Variables!$T$2:$X$99,4,FALSE)</f>
        <v>199</v>
      </c>
      <c r="P8" s="206">
        <f>VLOOKUP(B8,Variables!$T$2:$X$99,5,FALSE)</f>
        <v>200</v>
      </c>
      <c r="Q8" s="205" t="str">
        <f t="shared" si="3"/>
        <v>(\|PRM\|1\|D)|(crossing.((167)|(168)|(199)|(200)))</v>
      </c>
    </row>
    <row r="9" spans="1:17" x14ac:dyDescent="0.25">
      <c r="A9" s="201">
        <v>42800.404861111114</v>
      </c>
      <c r="B9" s="208" t="s">
        <v>484</v>
      </c>
      <c r="C9" s="198" t="s">
        <v>486</v>
      </c>
      <c r="D9" s="212">
        <f t="shared" si="4"/>
        <v>138</v>
      </c>
      <c r="E9" s="30" t="s">
        <v>488</v>
      </c>
      <c r="F9" s="212" t="b">
        <v>1</v>
      </c>
      <c r="G9" s="216" t="str">
        <f t="shared" si="0"/>
        <v>"C:\Program Files (x86)\AstroGrep\AstroGrep.exe" /e /r /s /spath="%USERPROFILE%\AppData\Local\Temp\OnboardLogs" /stypes="*4039*201703061*" /stext=" 16:.+((SYSTEM_STATE.+slice.+state.+changed )|(ment ac)|(multiple cpu faults)|(system.+state.+changed )|(\[timeout)|(PRM\|1\|D)|(kpr)|(kdp)|(\|lc)|(penalty)|(\|PRM\|1\|D)|(crossing.((167)|(168)|(199)|(200))))"</v>
      </c>
      <c r="H9" s="218" t="str">
        <f t="shared" si="1"/>
        <v>grep -hSE " 16:.+((\|PRM\|1\|D)|(crossing.((167)|(168)|(199)|(200))))" "%USERPROFILE%\AppData\Local\Temp\OnboardLogs"\RTDC4039\*4039*201703061*</v>
      </c>
      <c r="I9" s="214" t="str">
        <f>IF(VLOOKUP(K9,'Train Runs'!$A$13:$V$999,1,TRUE)=K9,VLOOKUP(K9,'Train Runs'!$A$13:$V$999,22,TRUE),NA())</f>
        <v>https://d0f6bd738d7f1b3e5a7ca70fe4ff75f0.us-east-1.aws.found.io/app/kibana#/discover/Steve-Slow-Train-Analysis-(2080s-and-2083s)?_g=(refreshInterval:(display:Off,pause:!f,section:0,value:0),time:(from:'2017-03-09T07:55:33-0700',mode:absolute,to:'2017-03-09T10:53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9" s="210">
        <f t="shared" si="2"/>
        <v>42800.696527777778</v>
      </c>
      <c r="K9" s="210" t="str">
        <f>D9&amp;"-"&amp;IF(DAY(Variables!$A$2)&lt;10,0,"")&amp;DAY(Variables!$A$2)</f>
        <v>138-09</v>
      </c>
      <c r="L9" s="206">
        <f>IF(VLOOKUP(K9,'Train Runs'!$A$12:$B$999,1,TRUE)=K9,VLOOKUP(K9,'Train Runs'!$A$12:$B$999,2,TRUE),NA())</f>
        <v>4039</v>
      </c>
      <c r="M9" s="206">
        <f>VLOOKUP(B9,Variables!$T$2:$X$99,2,FALSE)</f>
        <v>167</v>
      </c>
      <c r="N9" s="206">
        <f>VLOOKUP(B9,Variables!$T$2:$X$99,3,FALSE)</f>
        <v>168</v>
      </c>
      <c r="O9" s="206">
        <f>VLOOKUP(B9,Variables!$T$2:$X$99,4,FALSE)</f>
        <v>199</v>
      </c>
      <c r="P9" s="206">
        <f>VLOOKUP(B9,Variables!$T$2:$X$99,5,FALSE)</f>
        <v>200</v>
      </c>
      <c r="Q9" s="205" t="str">
        <f t="shared" si="3"/>
        <v>(\|PRM\|1\|D)|(crossing.((167)|(168)|(199)|(200)))</v>
      </c>
    </row>
    <row r="10" spans="1:17" x14ac:dyDescent="0.25">
      <c r="A10" s="201">
        <v>42800.415972222225</v>
      </c>
      <c r="B10" s="208" t="s">
        <v>484</v>
      </c>
      <c r="C10" s="198" t="s">
        <v>486</v>
      </c>
      <c r="D10" s="212">
        <f t="shared" si="4"/>
        <v>140</v>
      </c>
      <c r="E10" s="30" t="s">
        <v>488</v>
      </c>
      <c r="F10" s="212" t="b">
        <v>1</v>
      </c>
      <c r="G10" s="216" t="str">
        <f t="shared" si="0"/>
        <v>"C:\Program Files (x86)\AstroGrep\AstroGrep.exe" /e /r /s /spath="%USERPROFILE%\AppData\Local\Temp\OnboardLogs" /stypes="*4043*201703061*" /stext=" 16:.+((SYSTEM_STATE.+slice.+state.+changed )|(ment ac)|(multiple cpu faults)|(system.+state.+changed )|(\[timeout)|(PRM\|1\|D)|(kpr)|(kdp)|(\|lc)|(penalty)|(\|PRM\|1\|D)|(crossing.((167)|(168)|(199)|(200))))"</v>
      </c>
      <c r="H10" s="218" t="str">
        <f t="shared" si="1"/>
        <v>grep -hSE " 16:.+((\|PRM\|1\|D)|(crossing.((167)|(168)|(199)|(200))))" "%USERPROFILE%\AppData\Local\Temp\OnboardLogs"\RTDC4043\*4043*201703061*</v>
      </c>
      <c r="I10" s="214" t="str">
        <f>IF(VLOOKUP(K10,'Train Runs'!$A$13:$V$999,1,TRUE)=K10,VLOOKUP(K10,'Train Runs'!$A$13:$V$999,22,TRUE),NA())</f>
        <v>https://d0f6bd738d7f1b3e5a7ca70fe4ff75f0.us-east-1.aws.found.io/app/kibana#/discover/Steve-Slow-Train-Analysis-(2080s-and-2083s)?_g=(refreshInterval:(display:Off,pause:!f,section:0,value:0),time:(from:'2017-03-09T08:07:36-0700',mode:absolute,to:'2017-03-09T11:04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0" s="210">
        <f t="shared" si="2"/>
        <v>42800.707638888889</v>
      </c>
      <c r="K10" s="210" t="str">
        <f>D10&amp;"-"&amp;IF(DAY(Variables!$A$2)&lt;10,0,"")&amp;DAY(Variables!$A$2)</f>
        <v>140-09</v>
      </c>
      <c r="L10" s="206">
        <f>IF(VLOOKUP(K10,'Train Runs'!$A$12:$B$999,1,TRUE)=K10,VLOOKUP(K10,'Train Runs'!$A$12:$B$999,2,TRUE),NA())</f>
        <v>4043</v>
      </c>
      <c r="M10" s="206">
        <f>VLOOKUP(B10,Variables!$T$2:$X$99,2,FALSE)</f>
        <v>167</v>
      </c>
      <c r="N10" s="206">
        <f>VLOOKUP(B10,Variables!$T$2:$X$99,3,FALSE)</f>
        <v>168</v>
      </c>
      <c r="O10" s="206">
        <f>VLOOKUP(B10,Variables!$T$2:$X$99,4,FALSE)</f>
        <v>199</v>
      </c>
      <c r="P10" s="206">
        <f>VLOOKUP(B10,Variables!$T$2:$X$99,5,FALSE)</f>
        <v>200</v>
      </c>
      <c r="Q10" s="205" t="str">
        <f t="shared" si="3"/>
        <v>(\|PRM\|1\|D)|(crossing.((167)|(168)|(199)|(200)))</v>
      </c>
    </row>
    <row r="11" spans="1:17" x14ac:dyDescent="0.25">
      <c r="A11" s="201">
        <v>42800.425000000003</v>
      </c>
      <c r="B11" s="208" t="s">
        <v>484</v>
      </c>
      <c r="C11" s="198" t="s">
        <v>486</v>
      </c>
      <c r="D11" s="212">
        <f t="shared" si="4"/>
        <v>142</v>
      </c>
      <c r="E11" s="30" t="s">
        <v>488</v>
      </c>
      <c r="F11" s="212" t="b">
        <v>1</v>
      </c>
      <c r="G11" s="216" t="str">
        <f t="shared" si="0"/>
        <v>"C:\Program Files (x86)\AstroGrep\AstroGrep.exe" /e /r /s /spath="%USERPROFILE%\AppData\Local\Temp\OnboardLogs" /stypes="*4021*201703061*" /stext=" 17:.+((SYSTEM_STATE.+slice.+state.+changed )|(ment ac)|(multiple cpu faults)|(system.+state.+changed )|(\[timeout)|(PRM\|1\|D)|(kpr)|(kdp)|(\|lc)|(penalty)|(\|PRM\|1\|D)|(crossing.((167)|(168)|(199)|(200))))"</v>
      </c>
      <c r="H11" s="218" t="str">
        <f t="shared" si="1"/>
        <v>grep -hSE " 17:.+((\|PRM\|1\|D)|(crossing.((167)|(168)|(199)|(200))))" "%USERPROFILE%\AppData\Local\Temp\OnboardLogs"\RTDC4021\*4021*201703061*</v>
      </c>
      <c r="I11" s="214" t="str">
        <f>IF(VLOOKUP(K11,'Train Runs'!$A$13:$V$999,1,TRUE)=K11,VLOOKUP(K11,'Train Runs'!$A$13:$V$999,22,TRUE),NA())</f>
        <v>https://d0f6bd738d7f1b3e5a7ca70fe4ff75f0.us-east-1.aws.found.io/app/kibana#/discover/Steve-Slow-Train-Analysis-(2080s-and-2083s)?_g=(refreshInterval:(display:Off,pause:!f,section:0,value:0),time:(from:'2017-03-09T08:27:56-0700',mode:absolute,to:'2017-03-09T11:29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J11" s="210">
        <f t="shared" si="2"/>
        <v>42800.716666666667</v>
      </c>
      <c r="K11" s="210" t="str">
        <f>D11&amp;"-"&amp;IF(DAY(Variables!$A$2)&lt;10,0,"")&amp;DAY(Variables!$A$2)</f>
        <v>142-09</v>
      </c>
      <c r="L11" s="206">
        <f>IF(VLOOKUP(K11,'Train Runs'!$A$12:$B$999,1,TRUE)=K11,VLOOKUP(K11,'Train Runs'!$A$12:$B$999,2,TRUE),NA())</f>
        <v>4021</v>
      </c>
      <c r="M11" s="206">
        <f>VLOOKUP(B11,Variables!$T$2:$X$99,2,FALSE)</f>
        <v>167</v>
      </c>
      <c r="N11" s="206">
        <f>VLOOKUP(B11,Variables!$T$2:$X$99,3,FALSE)</f>
        <v>168</v>
      </c>
      <c r="O11" s="206">
        <f>VLOOKUP(B11,Variables!$T$2:$X$99,4,FALSE)</f>
        <v>199</v>
      </c>
      <c r="P11" s="206">
        <f>VLOOKUP(B11,Variables!$T$2:$X$99,5,FALSE)</f>
        <v>200</v>
      </c>
      <c r="Q11" s="205" t="str">
        <f t="shared" si="3"/>
        <v>(\|PRM\|1\|D)|(crossing.((167)|(168)|(199)|(200)))</v>
      </c>
    </row>
    <row r="12" spans="1:17" x14ac:dyDescent="0.25">
      <c r="A12" s="201">
        <v>42800.435416666667</v>
      </c>
      <c r="B12" s="208" t="s">
        <v>484</v>
      </c>
      <c r="C12" s="198" t="s">
        <v>486</v>
      </c>
      <c r="D12" s="212">
        <v>144</v>
      </c>
      <c r="E12" s="30" t="s">
        <v>488</v>
      </c>
      <c r="F12" s="212" t="b">
        <v>1</v>
      </c>
      <c r="G12" s="216" t="str">
        <f t="shared" si="0"/>
        <v>"C:\Program Files (x86)\AstroGrep\AstroGrep.exe" /e /r /s /spath="%USERPROFILE%\AppData\Local\Temp\OnboardLogs" /stypes="*4015*201703061*" /stext=" 17:.+((SYSTEM_STATE.+slice.+state.+changed )|(ment ac)|(multiple cpu faults)|(system.+state.+changed )|(\[timeout)|(PRM\|1\|D)|(kpr)|(kdp)|(\|lc)|(penalty)|(\|PRM\|1\|D)|(crossing.((167)|(168)|(199)|(200))))"</v>
      </c>
      <c r="H12" s="218" t="str">
        <f t="shared" si="1"/>
        <v>grep -hSE " 17:.+((\|PRM\|1\|D)|(crossing.((167)|(168)|(199)|(200))))" "%USERPROFILE%\AppData\Local\Temp\OnboardLogs"\RTDC4015\*4015*201703061*</v>
      </c>
      <c r="I12" s="214" t="str">
        <f>IF(VLOOKUP(K12,'Train Runs'!$A$13:$V$999,1,TRUE)=K12,VLOOKUP(K12,'Train Runs'!$A$13:$V$999,22,TRUE),NA())</f>
        <v>https://d0f6bd738d7f1b3e5a7ca70fe4ff75f0.us-east-1.aws.found.io/app/kibana#/discover/Steve-Slow-Train-Analysis-(2080s-and-2083s)?_g=(refreshInterval:(display:Off,pause:!f,section:0,value:0),time:(from:'2017-03-09T08:52:42-0700',mode:absolute,to:'2017-03-09T11:37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12" s="210">
        <f t="shared" si="2"/>
        <v>42800.727083333331</v>
      </c>
      <c r="K12" s="210" t="str">
        <f>D12&amp;"-"&amp;IF(DAY(Variables!$A$2)&lt;10,0,"")&amp;DAY(Variables!$A$2)</f>
        <v>144-09</v>
      </c>
      <c r="L12" s="206">
        <f>IF(VLOOKUP(K12,'Train Runs'!$A$12:$B$999,1,TRUE)=K12,VLOOKUP(K12,'Train Runs'!$A$12:$B$999,2,TRUE),NA())</f>
        <v>4015</v>
      </c>
      <c r="M12" s="206">
        <f>VLOOKUP(B12,Variables!$T$2:$X$99,2,FALSE)</f>
        <v>167</v>
      </c>
      <c r="N12" s="206">
        <f>VLOOKUP(B12,Variables!$T$2:$X$99,3,FALSE)</f>
        <v>168</v>
      </c>
      <c r="O12" s="206">
        <f>VLOOKUP(B12,Variables!$T$2:$X$99,4,FALSE)</f>
        <v>199</v>
      </c>
      <c r="P12" s="206">
        <f>VLOOKUP(B12,Variables!$T$2:$X$99,5,FALSE)</f>
        <v>200</v>
      </c>
      <c r="Q12" s="205" t="str">
        <f t="shared" si="3"/>
        <v>(\|PRM\|1\|D)|(crossing.((167)|(168)|(199)|(200)))</v>
      </c>
    </row>
    <row r="13" spans="1:17" x14ac:dyDescent="0.25">
      <c r="A13" s="201">
        <v>42800.445833333331</v>
      </c>
      <c r="B13" s="208" t="s">
        <v>484</v>
      </c>
      <c r="C13" s="198" t="s">
        <v>486</v>
      </c>
      <c r="D13" s="212">
        <v>146</v>
      </c>
      <c r="E13" s="30" t="s">
        <v>488</v>
      </c>
      <c r="F13" s="212" t="b">
        <v>1</v>
      </c>
      <c r="G13" s="216" t="str">
        <f t="shared" si="0"/>
        <v>"C:\Program Files (x86)\AstroGrep\AstroGrep.exe" /e /r /s /spath="%USERPROFILE%\AppData\Local\Temp\OnboardLogs" /stypes="*4017*201703061*" /stext=" 17:.+((SYSTEM_STATE.+slice.+state.+changed )|(ment ac)|(multiple cpu faults)|(system.+state.+changed )|(\[timeout)|(PRM\|1\|D)|(kpr)|(kdp)|(\|lc)|(penalty)|(\|PRM\|1\|D)|(crossing.((167)|(168)|(199)|(200))))"</v>
      </c>
      <c r="H13" s="218" t="str">
        <f t="shared" si="1"/>
        <v>grep -hSE " 17:.+((\|PRM\|1\|D)|(crossing.((167)|(168)|(199)|(200))))" "%USERPROFILE%\AppData\Local\Temp\OnboardLogs"\RTDC4017\*4017*201703061*</v>
      </c>
      <c r="I13" s="214" t="str">
        <f>IF(VLOOKUP(K13,'Train Runs'!$A$13:$V$999,1,TRUE)=K13,VLOOKUP(K13,'Train Runs'!$A$13:$V$999,22,TRUE),NA())</f>
        <v>https://d0f6bd738d7f1b3e5a7ca70fe4ff75f0.us-east-1.aws.found.io/app/kibana#/discover/Steve-Slow-Train-Analysis-(2080s-and-2083s)?_g=(refreshInterval:(display:Off,pause:!f,section:0,value:0),time:(from:'2017-03-09T09:06:58-0700',mode:absolute,to:'2017-03-09T11:53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3" s="210">
        <f t="shared" si="2"/>
        <v>42800.737499999996</v>
      </c>
      <c r="K13" s="210" t="str">
        <f>D13&amp;"-"&amp;IF(DAY(Variables!$A$2)&lt;10,0,"")&amp;DAY(Variables!$A$2)</f>
        <v>146-09</v>
      </c>
      <c r="L13" s="206">
        <f>IF(VLOOKUP(K13,'Train Runs'!$A$12:$B$999,1,TRUE)=K13,VLOOKUP(K13,'Train Runs'!$A$12:$B$999,2,TRUE),NA())</f>
        <v>4017</v>
      </c>
      <c r="M13" s="206">
        <f>VLOOKUP(B13,Variables!$T$2:$X$99,2,FALSE)</f>
        <v>167</v>
      </c>
      <c r="N13" s="206">
        <f>VLOOKUP(B13,Variables!$T$2:$X$99,3,FALSE)</f>
        <v>168</v>
      </c>
      <c r="O13" s="206">
        <f>VLOOKUP(B13,Variables!$T$2:$X$99,4,FALSE)</f>
        <v>199</v>
      </c>
      <c r="P13" s="206">
        <f>VLOOKUP(B13,Variables!$T$2:$X$99,5,FALSE)</f>
        <v>200</v>
      </c>
      <c r="Q13" s="205" t="str">
        <f t="shared" si="3"/>
        <v>(\|PRM\|1\|D)|(crossing.((167)|(168)|(199)|(200)))</v>
      </c>
    </row>
    <row r="14" spans="1:17" x14ac:dyDescent="0.25">
      <c r="A14" s="201">
        <v>42800.456944444442</v>
      </c>
      <c r="B14" s="208" t="s">
        <v>484</v>
      </c>
      <c r="C14" s="198" t="s">
        <v>486</v>
      </c>
      <c r="D14" s="212">
        <v>148</v>
      </c>
      <c r="E14" s="30" t="s">
        <v>492</v>
      </c>
      <c r="F14" s="212" t="b">
        <v>1</v>
      </c>
      <c r="G14" s="216" t="str">
        <f t="shared" si="0"/>
        <v>"C:\Program Files (x86)\AstroGrep\AstroGrep.exe" /e /r /s /spath="%USERPROFILE%\AppData\Local\Temp\OnboardLogs" /stypes="*4004*201703061*" /stext=" 17:.+((SYSTEM_STATE.+slice.+state.+changed )|(ment ac)|(multiple cpu faults)|(system.+state.+changed )|(\[timeout)|(PRM\|1\|D)|(kpr)|(kdp)|(\|lc)|(penalty)|(\|PRM\|1\|D)|(crossing.((167)|(168)|(199)|(200))))"</v>
      </c>
      <c r="H14" s="218" t="str">
        <f t="shared" si="1"/>
        <v>grep -hSE " 17:.+((\|PRM\|1\|D)|(crossing.((167)|(168)|(199)|(200))))" "%USERPROFILE%\AppData\Local\Temp\OnboardLogs"\RTDC4004\*4004*201703061*</v>
      </c>
      <c r="I14" s="214" t="str">
        <f>IF(VLOOKUP(K14,'Train Runs'!$A$13:$V$999,1,TRUE)=K14,VLOOKUP(K14,'Train Runs'!$A$13:$V$999,22,TRUE),NA())</f>
        <v>https://d0f6bd738d7f1b3e5a7ca70fe4ff75f0.us-east-1.aws.found.io/app/kibana#/discover/Steve-Slow-Train-Analysis-(2080s-and-2083s)?_g=(refreshInterval:(display:Off,pause:!f,section:0,value:0),time:(from:'2017-03-09T09:19:47-0700',mode:absolute,to:'2017-03-09T12:07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14" s="210">
        <f t="shared" si="2"/>
        <v>42800.748611111107</v>
      </c>
      <c r="K14" s="210" t="str">
        <f>D14&amp;"-"&amp;IF(DAY(Variables!$A$2)&lt;10,0,"")&amp;DAY(Variables!$A$2)</f>
        <v>148-09</v>
      </c>
      <c r="L14" s="206">
        <f>IF(VLOOKUP(K14,'Train Runs'!$A$12:$B$999,1,TRUE)=K14,VLOOKUP(K14,'Train Runs'!$A$12:$B$999,2,TRUE),NA())</f>
        <v>4004</v>
      </c>
      <c r="M14" s="206">
        <f>VLOOKUP(B14,Variables!$T$2:$X$99,2,FALSE)</f>
        <v>167</v>
      </c>
      <c r="N14" s="206">
        <f>VLOOKUP(B14,Variables!$T$2:$X$99,3,FALSE)</f>
        <v>168</v>
      </c>
      <c r="O14" s="206">
        <f>VLOOKUP(B14,Variables!$T$2:$X$99,4,FALSE)</f>
        <v>199</v>
      </c>
      <c r="P14" s="206">
        <f>VLOOKUP(B14,Variables!$T$2:$X$99,5,FALSE)</f>
        <v>200</v>
      </c>
      <c r="Q14" s="205" t="str">
        <f t="shared" si="3"/>
        <v>(\|PRM\|1\|D)|(crossing.((167)|(168)|(199)|(200)))</v>
      </c>
    </row>
    <row r="15" spans="1:17" x14ac:dyDescent="0.25">
      <c r="A15" s="201">
        <v>42800.614583333336</v>
      </c>
      <c r="B15" s="208" t="s">
        <v>484</v>
      </c>
      <c r="C15" s="198" t="s">
        <v>486</v>
      </c>
      <c r="D15" s="212">
        <v>178</v>
      </c>
      <c r="E15" s="30" t="s">
        <v>493</v>
      </c>
      <c r="F15" s="212" t="b">
        <v>1</v>
      </c>
      <c r="G15" s="216" t="str">
        <f t="shared" si="0"/>
        <v>"C:\Program Files (x86)\AstroGrep\AstroGrep.exe" /e /r /s /spath="%USERPROFILE%\AppData\Local\Temp\OnboardLogs" /stypes="*4030*201703062*" /stext=" 21:.+((SYSTEM_STATE.+slice.+state.+changed )|(ment ac)|(multiple cpu faults)|(system.+state.+changed )|(\[timeout)|(PRM\|1\|D)|(kpr)|(kdp)|(\|lc)|(penalty)|(\|PRM\|1\|D)|(crossing.((167)|(168)|(199)|(200))))"</v>
      </c>
      <c r="H15" s="218" t="str">
        <f t="shared" si="1"/>
        <v>grep -hSE " 21:.+((\|PRM\|1\|D)|(crossing.((167)|(168)|(199)|(200))))" "%USERPROFILE%\AppData\Local\Temp\OnboardLogs"\RTDC4030\*4030*201703062*</v>
      </c>
      <c r="I15" s="214" t="str">
        <f>IF(VLOOKUP(K15,'Train Runs'!$A$13:$V$999,1,TRUE)=K15,VLOOKUP(K15,'Train Runs'!$A$13:$V$999,22,TRUE),NA())</f>
        <v>https://d0f6bd738d7f1b3e5a7ca70fe4ff75f0.us-east-1.aws.found.io/app/kibana#/discover/Steve-Slow-Train-Analysis-(2080s-and-2083s)?_g=(refreshInterval:(display:Off,pause:!f,section:0,value:0),time:(from:'2017-03-09T13:05:16-0700',mode:absolute,to:'2017-03-09T15:52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J15" s="210">
        <f t="shared" si="2"/>
        <v>42800.90625</v>
      </c>
      <c r="K15" s="210" t="str">
        <f>D15&amp;"-"&amp;IF(DAY(Variables!$A$2)&lt;10,0,"")&amp;DAY(Variables!$A$2)</f>
        <v>178-09</v>
      </c>
      <c r="L15" s="206">
        <f>IF(VLOOKUP(K15,'Train Runs'!$A$12:$B$999,1,TRUE)=K15,VLOOKUP(K15,'Train Runs'!$A$12:$B$999,2,TRUE),NA())</f>
        <v>4030</v>
      </c>
      <c r="M15" s="206">
        <f>VLOOKUP(B15,Variables!$T$2:$X$99,2,FALSE)</f>
        <v>167</v>
      </c>
      <c r="N15" s="206">
        <f>VLOOKUP(B15,Variables!$T$2:$X$99,3,FALSE)</f>
        <v>168</v>
      </c>
      <c r="O15" s="206">
        <f>VLOOKUP(B15,Variables!$T$2:$X$99,4,FALSE)</f>
        <v>199</v>
      </c>
      <c r="P15" s="206">
        <f>VLOOKUP(B15,Variables!$T$2:$X$99,5,FALSE)</f>
        <v>200</v>
      </c>
      <c r="Q15" s="205" t="str">
        <f t="shared" si="3"/>
        <v>(\|PRM\|1\|D)|(crossing.((167)|(168)|(199)|(200)))</v>
      </c>
    </row>
    <row r="16" spans="1:17" x14ac:dyDescent="0.25">
      <c r="A16" s="201">
        <v>42800.699305555558</v>
      </c>
      <c r="B16" s="208" t="s">
        <v>484</v>
      </c>
      <c r="C16" s="198" t="s">
        <v>486</v>
      </c>
      <c r="D16" s="212">
        <v>194</v>
      </c>
      <c r="E16" s="30" t="s">
        <v>493</v>
      </c>
      <c r="F16" s="212" t="b">
        <v>1</v>
      </c>
      <c r="G16" s="216" t="str">
        <f t="shared" si="0"/>
        <v>"C:\Program Files (x86)\AstroGrep\AstroGrep.exe" /e /r /s /spath="%USERPROFILE%\AppData\Local\Temp\OnboardLogs" /stypes="*4039*201703062*" /stext=" 23:.+((SYSTEM_STATE.+slice.+state.+changed )|(ment ac)|(multiple cpu faults)|(system.+state.+changed )|(\[timeout)|(PRM\|1\|D)|(kpr)|(kdp)|(\|lc)|(penalty)|(\|PRM\|1\|D)|(crossing.((167)|(168)|(199)|(200))))"</v>
      </c>
      <c r="H16" s="218" t="str">
        <f t="shared" si="1"/>
        <v>grep -hSE " 23:.+((\|PRM\|1\|D)|(crossing.((167)|(168)|(199)|(200))))" "%USERPROFILE%\AppData\Local\Temp\OnboardLogs"\RTDC4039\*4039*201703062*</v>
      </c>
      <c r="I16" s="214" t="str">
        <f>IF(VLOOKUP(K16,'Train Runs'!$A$13:$V$999,1,TRUE)=K16,VLOOKUP(K16,'Train Runs'!$A$13:$V$999,22,TRUE),NA())</f>
        <v>https://d0f6bd738d7f1b3e5a7ca70fe4ff75f0.us-east-1.aws.found.io/app/kibana#/discover/Steve-Slow-Train-Analysis-(2080s-and-2083s)?_g=(refreshInterval:(display:Off,pause:!f,section:0,value:0),time:(from:'2017-03-09T15:01:37-0700',mode:absolute,to:'2017-03-09T17:54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J16" s="210">
        <f t="shared" si="2"/>
        <v>42800.990972222222</v>
      </c>
      <c r="K16" s="210" t="str">
        <f>D16&amp;"-"&amp;IF(DAY(Variables!$A$2)&lt;10,0,"")&amp;DAY(Variables!$A$2)</f>
        <v>194-09</v>
      </c>
      <c r="L16" s="206">
        <f>IF(VLOOKUP(K16,'Train Runs'!$A$12:$B$999,1,TRUE)=K16,VLOOKUP(K16,'Train Runs'!$A$12:$B$999,2,TRUE),NA())</f>
        <v>4039</v>
      </c>
      <c r="M16" s="206">
        <f>VLOOKUP(B16,Variables!$T$2:$X$99,2,FALSE)</f>
        <v>167</v>
      </c>
      <c r="N16" s="206">
        <f>VLOOKUP(B16,Variables!$T$2:$X$99,3,FALSE)</f>
        <v>168</v>
      </c>
      <c r="O16" s="206">
        <f>VLOOKUP(B16,Variables!$T$2:$X$99,4,FALSE)</f>
        <v>199</v>
      </c>
      <c r="P16" s="206">
        <f>VLOOKUP(B16,Variables!$T$2:$X$99,5,FALSE)</f>
        <v>200</v>
      </c>
      <c r="Q16" s="205" t="str">
        <f t="shared" si="3"/>
        <v>(\|PRM\|1\|D)|(crossing.((167)|(168)|(199)|(200)))</v>
      </c>
    </row>
    <row r="17" spans="1:17" x14ac:dyDescent="0.25">
      <c r="A17" s="201">
        <v>42800.771527777775</v>
      </c>
      <c r="B17" s="208" t="s">
        <v>484</v>
      </c>
      <c r="C17" s="198" t="s">
        <v>486</v>
      </c>
      <c r="D17" s="212">
        <v>206</v>
      </c>
      <c r="E17" s="30" t="s">
        <v>488</v>
      </c>
      <c r="F17" s="212" t="b">
        <v>1</v>
      </c>
      <c r="G17" s="216" t="str">
        <f t="shared" si="0"/>
        <v>"C:\Program Files (x86)\AstroGrep\AstroGrep.exe" /e /r /s /spath="%USERPROFILE%\AppData\Local\Temp\OnboardLogs" /stypes="*4017*201703070*" /stext=" 01:.+((SYSTEM_STATE.+slice.+state.+changed )|(ment ac)|(multiple cpu faults)|(system.+state.+changed )|(\[timeout)|(PRM\|1\|D)|(kpr)|(kdp)|(\|lc)|(penalty)|(\|PRM\|1\|D)|(crossing.((167)|(168)|(199)|(200))))"</v>
      </c>
      <c r="H17" s="218" t="str">
        <f t="shared" si="1"/>
        <v>grep -hSE " 01:.+((\|PRM\|1\|D)|(crossing.((167)|(168)|(199)|(200))))" "%USERPROFILE%\AppData\Local\Temp\OnboardLogs"\RTDC4017\*4017*201703070*</v>
      </c>
      <c r="I17" s="214" t="str">
        <f>IF(VLOOKUP(K17,'Train Runs'!$A$13:$V$999,1,TRUE)=K17,VLOOKUP(K17,'Train Runs'!$A$13:$V$999,22,TRUE),NA())</f>
        <v>https://d0f6bd738d7f1b3e5a7ca70fe4ff75f0.us-east-1.aws.found.io/app/kibana#/discover/Steve-Slow-Train-Analysis-(2080s-and-2083s)?_g=(refreshInterval:(display:Off,pause:!f,section:0,value:0),time:(from:'2017-03-09T16:28:31-0700',mode:absolute,to:'2017-03-09T19:26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7" s="210">
        <f t="shared" si="2"/>
        <v>42801.063194444439</v>
      </c>
      <c r="K17" s="210" t="str">
        <f>D17&amp;"-"&amp;IF(DAY(Variables!$A$2)&lt;10,0,"")&amp;DAY(Variables!$A$2)</f>
        <v>206-09</v>
      </c>
      <c r="L17" s="206">
        <f>IF(VLOOKUP(K17,'Train Runs'!$A$12:$B$999,1,TRUE)=K17,VLOOKUP(K17,'Train Runs'!$A$12:$B$999,2,TRUE),NA())</f>
        <v>4017</v>
      </c>
      <c r="M17" s="206">
        <f>VLOOKUP(B17,Variables!$T$2:$X$99,2,FALSE)</f>
        <v>167</v>
      </c>
      <c r="N17" s="206">
        <f>VLOOKUP(B17,Variables!$T$2:$X$99,3,FALSE)</f>
        <v>168</v>
      </c>
      <c r="O17" s="206">
        <f>VLOOKUP(B17,Variables!$T$2:$X$99,4,FALSE)</f>
        <v>199</v>
      </c>
      <c r="P17" s="206">
        <f>VLOOKUP(B17,Variables!$T$2:$X$99,5,FALSE)</f>
        <v>200</v>
      </c>
      <c r="Q17" s="205" t="str">
        <f t="shared" si="3"/>
        <v>(\|PRM\|1\|D)|(crossing.((167)|(168)|(199)|(200)))</v>
      </c>
    </row>
    <row r="18" spans="1:17" x14ac:dyDescent="0.25">
      <c r="A18" s="201">
        <v>42800.784722222219</v>
      </c>
      <c r="B18" s="208" t="s">
        <v>484</v>
      </c>
      <c r="C18" s="198" t="s">
        <v>486</v>
      </c>
      <c r="D18" s="212">
        <v>210</v>
      </c>
      <c r="E18" s="30" t="s">
        <v>488</v>
      </c>
      <c r="F18" s="212" t="b">
        <v>1</v>
      </c>
      <c r="G18" s="216" t="str">
        <f t="shared" si="0"/>
        <v>"C:\Program Files (x86)\AstroGrep\AstroGrep.exe" /e /r /s /spath="%USERPROFILE%\AppData\Local\Temp\OnboardLogs" /stypes="*4043*201703070*" /stext=" 01:.+((SYSTEM_STATE.+slice.+state.+changed )|(ment ac)|(multiple cpu faults)|(system.+state.+changed )|(\[timeout)|(PRM\|1\|D)|(kpr)|(kdp)|(\|lc)|(penalty)|(\|PRM\|1\|D)|(crossing.((167)|(168)|(199)|(200))))"</v>
      </c>
      <c r="H18" s="218" t="str">
        <f t="shared" si="1"/>
        <v>grep -hSE " 01:.+((\|PRM\|1\|D)|(crossing.((167)|(168)|(199)|(200))))" "%USERPROFILE%\AppData\Local\Temp\OnboardLogs"\RTDC4043\*4043*201703070*</v>
      </c>
      <c r="I18" s="214" t="str">
        <f>IF(VLOOKUP(K18,'Train Runs'!$A$13:$V$999,1,TRUE)=K18,VLOOKUP(K18,'Train Runs'!$A$13:$V$999,22,TRUE),NA())</f>
        <v>https://d0f6bd738d7f1b3e5a7ca70fe4ff75f0.us-east-1.aws.found.io/app/kibana#/discover/Steve-Slow-Train-Analysis-(2080s-and-2083s)?_g=(refreshInterval:(display:Off,pause:!f,section:0,value:0),time:(from:'2017-03-09T17:08:08-0700',mode:absolute,to:'2017-03-09T19:52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8" s="210">
        <f t="shared" si="2"/>
        <v>42801.076388888883</v>
      </c>
      <c r="K18" s="210" t="str">
        <f>D18&amp;"-"&amp;IF(DAY(Variables!$A$2)&lt;10,0,"")&amp;DAY(Variables!$A$2)</f>
        <v>210-09</v>
      </c>
      <c r="L18" s="206">
        <f>IF(VLOOKUP(K18,'Train Runs'!$A$12:$B$999,1,TRUE)=K18,VLOOKUP(K18,'Train Runs'!$A$12:$B$999,2,TRUE),NA())</f>
        <v>4043</v>
      </c>
      <c r="M18" s="206">
        <f>VLOOKUP(B18,Variables!$T$2:$X$99,2,FALSE)</f>
        <v>167</v>
      </c>
      <c r="N18" s="206">
        <f>VLOOKUP(B18,Variables!$T$2:$X$99,3,FALSE)</f>
        <v>168</v>
      </c>
      <c r="O18" s="206">
        <f>VLOOKUP(B18,Variables!$T$2:$X$99,4,FALSE)</f>
        <v>199</v>
      </c>
      <c r="P18" s="206">
        <f>VLOOKUP(B18,Variables!$T$2:$X$99,5,FALSE)</f>
        <v>200</v>
      </c>
      <c r="Q18" s="205" t="str">
        <f t="shared" si="3"/>
        <v>(\|PRM\|1\|D)|(crossing.((167)|(168)|(199)|(200)))</v>
      </c>
    </row>
    <row r="19" spans="1:17" x14ac:dyDescent="0.25">
      <c r="A19" s="201">
        <v>42800.790277777778</v>
      </c>
      <c r="B19" s="208" t="s">
        <v>484</v>
      </c>
      <c r="C19" s="198" t="s">
        <v>486</v>
      </c>
      <c r="D19" s="212">
        <f>D18+2</f>
        <v>212</v>
      </c>
      <c r="E19" s="30" t="s">
        <v>488</v>
      </c>
      <c r="F19" s="212" t="b">
        <v>1</v>
      </c>
      <c r="G19" s="216" t="str">
        <f t="shared" si="0"/>
        <v>"C:\Program Files (x86)\AstroGrep\AstroGrep.exe" /e /r /s /spath="%USERPROFILE%\AppData\Local\Temp\OnboardLogs" /stypes="*4013*201703070*" /stext=" 01:.+((SYSTEM_STATE.+slice.+state.+changed )|(ment ac)|(multiple cpu faults)|(system.+state.+changed )|(\[timeout)|(PRM\|1\|D)|(kpr)|(kdp)|(\|lc)|(penalty)|(\|PRM\|1\|D)|(crossing.((167)|(168)|(199)|(200))))"</v>
      </c>
      <c r="H19" s="218" t="str">
        <f t="shared" si="1"/>
        <v>grep -hSE " 01:.+((\|PRM\|1\|D)|(crossing.((167)|(168)|(199)|(200))))" "%USERPROFILE%\AppData\Local\Temp\OnboardLogs"\RTDC4013\*4013*201703070*</v>
      </c>
      <c r="I19" s="214" t="str">
        <f>IF(VLOOKUP(K19,'Train Runs'!$A$13:$V$999,1,TRUE)=K19,VLOOKUP(K19,'Train Runs'!$A$13:$V$999,22,TRUE),NA())</f>
        <v>https://d0f6bd738d7f1b3e5a7ca70fe4ff75f0.us-east-1.aws.found.io/app/kibana#/discover/Steve-Slow-Train-Analysis-(2080s-and-2083s)?_g=(refreshInterval:(display:Off,pause:!f,section:0,value:0),time:(from:'2017-03-09T17:22:47-0700',mode:absolute,to:'2017-03-09T20:07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9" s="210">
        <f t="shared" si="2"/>
        <v>42801.081944444442</v>
      </c>
      <c r="K19" s="210" t="str">
        <f>D19&amp;"-"&amp;IF(DAY(Variables!$A$2)&lt;10,0,"")&amp;DAY(Variables!$A$2)</f>
        <v>212-09</v>
      </c>
      <c r="L19" s="206">
        <f>IF(VLOOKUP(K19,'Train Runs'!$A$12:$B$999,1,TRUE)=K19,VLOOKUP(K19,'Train Runs'!$A$12:$B$999,2,TRUE),NA())</f>
        <v>4013</v>
      </c>
      <c r="M19" s="206">
        <f>VLOOKUP(B19,Variables!$T$2:$X$99,2,FALSE)</f>
        <v>167</v>
      </c>
      <c r="N19" s="206">
        <f>VLOOKUP(B19,Variables!$T$2:$X$99,3,FALSE)</f>
        <v>168</v>
      </c>
      <c r="O19" s="206">
        <f>VLOOKUP(B19,Variables!$T$2:$X$99,4,FALSE)</f>
        <v>199</v>
      </c>
      <c r="P19" s="206">
        <f>VLOOKUP(B19,Variables!$T$2:$X$99,5,FALSE)</f>
        <v>200</v>
      </c>
      <c r="Q19" s="205" t="str">
        <f t="shared" si="3"/>
        <v>(\|PRM\|1\|D)|(crossing.((167)|(168)|(199)|(200)))</v>
      </c>
    </row>
    <row r="20" spans="1:17" x14ac:dyDescent="0.25">
      <c r="A20" s="201">
        <v>42800.803472222222</v>
      </c>
      <c r="B20" s="208" t="s">
        <v>484</v>
      </c>
      <c r="C20" s="198" t="s">
        <v>486</v>
      </c>
      <c r="D20" s="212">
        <v>214</v>
      </c>
      <c r="E20" s="30" t="s">
        <v>488</v>
      </c>
      <c r="F20" s="212" t="b">
        <v>1</v>
      </c>
      <c r="G20" s="216" t="str">
        <f t="shared" si="0"/>
        <v>"C:\Program Files (x86)\AstroGrep\AstroGrep.exe" /e /r /s /spath="%USERPROFILE%\AppData\Local\Temp\OnboardLogs" /stypes="*4019*201703070*" /stext=" 02:.+((SYSTEM_STATE.+slice.+state.+changed )|(ment ac)|(multiple cpu faults)|(system.+state.+changed )|(\[timeout)|(PRM\|1\|D)|(kpr)|(kdp)|(\|lc)|(penalty)|(\|PRM\|1\|D)|(crossing.((167)|(168)|(199)|(200))))"</v>
      </c>
      <c r="H20" s="218" t="str">
        <f t="shared" si="1"/>
        <v>grep -hSE " 02:.+((\|PRM\|1\|D)|(crossing.((167)|(168)|(199)|(200))))" "%USERPROFILE%\AppData\Local\Temp\OnboardLogs"\RTDC4019\*4019*201703070*</v>
      </c>
      <c r="I20" s="214" t="str">
        <f>IF(VLOOKUP(K20,'Train Runs'!$A$13:$V$999,1,TRUE)=K20,VLOOKUP(K20,'Train Runs'!$A$13:$V$999,22,TRUE),NA())</f>
        <v>https://d0f6bd738d7f1b3e5a7ca70fe4ff75f0.us-east-1.aws.found.io/app/kibana#/discover/Steve-Slow-Train-Analysis-(2080s-and-2083s)?_g=(refreshInterval:(display:Off,pause:!f,section:0,value:0),time:(from:'2017-03-09T17:27:13-0700',mode:absolute,to:'2017-03-09T20:21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0" s="210">
        <f t="shared" si="2"/>
        <v>42801.095138888886</v>
      </c>
      <c r="K20" s="210" t="str">
        <f>D20&amp;"-"&amp;IF(DAY(Variables!$A$2)&lt;10,0,"")&amp;DAY(Variables!$A$2)</f>
        <v>214-09</v>
      </c>
      <c r="L20" s="206">
        <f>IF(VLOOKUP(K20,'Train Runs'!$A$12:$B$999,1,TRUE)=K20,VLOOKUP(K20,'Train Runs'!$A$12:$B$999,2,TRUE),NA())</f>
        <v>4019</v>
      </c>
      <c r="M20" s="206">
        <f>VLOOKUP(B20,Variables!$T$2:$X$99,2,FALSE)</f>
        <v>167</v>
      </c>
      <c r="N20" s="206">
        <f>VLOOKUP(B20,Variables!$T$2:$X$99,3,FALSE)</f>
        <v>168</v>
      </c>
      <c r="O20" s="206">
        <f>VLOOKUP(B20,Variables!$T$2:$X$99,4,FALSE)</f>
        <v>199</v>
      </c>
      <c r="P20" s="206">
        <f>VLOOKUP(B20,Variables!$T$2:$X$99,5,FALSE)</f>
        <v>200</v>
      </c>
      <c r="Q20" s="205" t="str">
        <f t="shared" si="3"/>
        <v>(\|PRM\|1\|D)|(crossing.((167)|(168)|(199)|(200)))</v>
      </c>
    </row>
    <row r="21" spans="1:17" x14ac:dyDescent="0.25">
      <c r="A21" s="201">
        <v>42800.819444444445</v>
      </c>
      <c r="B21" s="208" t="s">
        <v>484</v>
      </c>
      <c r="C21" s="198" t="s">
        <v>486</v>
      </c>
      <c r="D21" s="212">
        <v>216</v>
      </c>
      <c r="E21" s="30" t="s">
        <v>488</v>
      </c>
      <c r="F21" s="212" t="b">
        <v>1</v>
      </c>
      <c r="G21" s="216" t="str">
        <f t="shared" si="0"/>
        <v>"C:\Program Files (x86)\AstroGrep\AstroGrep.exe" /e /r /s /spath="%USERPROFILE%\AppData\Local\Temp\OnboardLogs" /stypes="*4015*201703070*" /stext=" 02:.+((SYSTEM_STATE.+slice.+state.+changed )|(ment ac)|(multiple cpu faults)|(system.+state.+changed )|(\[timeout)|(PRM\|1\|D)|(kpr)|(kdp)|(\|lc)|(penalty)|(\|PRM\|1\|D)|(crossing.((167)|(168)|(199)|(200))))"</v>
      </c>
      <c r="H21" s="218" t="str">
        <f t="shared" si="1"/>
        <v>grep -hSE " 02:.+((\|PRM\|1\|D)|(crossing.((167)|(168)|(199)|(200))))" "%USERPROFILE%\AppData\Local\Temp\OnboardLogs"\RTDC4015\*4015*201703070*</v>
      </c>
      <c r="I21" s="214" t="str">
        <f>IF(VLOOKUP(K21,'Train Runs'!$A$13:$V$999,1,TRUE)=K21,VLOOKUP(K21,'Train Runs'!$A$13:$V$999,22,TRUE),NA())</f>
        <v>https://d0f6bd738d7f1b3e5a7ca70fe4ff75f0.us-east-1.aws.found.io/app/kibana#/discover/Steve-Slow-Train-Analysis-(2080s-and-2083s)?_g=(refreshInterval:(display:Off,pause:!f,section:0,value:0),time:(from:'2017-03-09T17:58:54-0700',mode:absolute,to:'2017-03-09T20:43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21" s="210">
        <f t="shared" si="2"/>
        <v>42801.111111111109</v>
      </c>
      <c r="K21" s="210" t="str">
        <f>D21&amp;"-"&amp;IF(DAY(Variables!$A$2)&lt;10,0,"")&amp;DAY(Variables!$A$2)</f>
        <v>216-09</v>
      </c>
      <c r="L21" s="206">
        <f>IF(VLOOKUP(K21,'Train Runs'!$A$12:$B$999,1,TRUE)=K21,VLOOKUP(K21,'Train Runs'!$A$12:$B$999,2,TRUE),NA())</f>
        <v>4015</v>
      </c>
      <c r="M21" s="206">
        <f>VLOOKUP(B21,Variables!$T$2:$X$99,2,FALSE)</f>
        <v>167</v>
      </c>
      <c r="N21" s="206">
        <f>VLOOKUP(B21,Variables!$T$2:$X$99,3,FALSE)</f>
        <v>168</v>
      </c>
      <c r="O21" s="206">
        <f>VLOOKUP(B21,Variables!$T$2:$X$99,4,FALSE)</f>
        <v>199</v>
      </c>
      <c r="P21" s="206">
        <f>VLOOKUP(B21,Variables!$T$2:$X$99,5,FALSE)</f>
        <v>200</v>
      </c>
      <c r="Q21" s="205" t="str">
        <f t="shared" si="3"/>
        <v>(\|PRM\|1\|D)|(crossing.((167)|(168)|(199)|(200)))</v>
      </c>
    </row>
    <row r="22" spans="1:17" x14ac:dyDescent="0.25">
      <c r="A22" s="201">
        <v>42800.828472222223</v>
      </c>
      <c r="B22" s="208" t="s">
        <v>484</v>
      </c>
      <c r="C22" s="198" t="s">
        <v>486</v>
      </c>
      <c r="D22" s="212">
        <f>D21+2</f>
        <v>218</v>
      </c>
      <c r="E22" s="30" t="s">
        <v>488</v>
      </c>
      <c r="F22" s="212" t="b">
        <v>1</v>
      </c>
      <c r="G22" s="216" t="str">
        <f t="shared" si="0"/>
        <v>"C:\Program Files (x86)\AstroGrep\AstroGrep.exe" /e /r /s /spath="%USERPROFILE%\AppData\Local\Temp\OnboardLogs" /stypes="*4004*201703070*" /stext=" 02:.+((SYSTEM_STATE.+slice.+state.+changed )|(ment ac)|(multiple cpu faults)|(system.+state.+changed )|(\[timeout)|(PRM\|1\|D)|(kpr)|(kdp)|(\|lc)|(penalty)|(\|PRM\|1\|D)|(crossing.((167)|(168)|(199)|(200))))"</v>
      </c>
      <c r="H22" s="218" t="str">
        <f t="shared" si="1"/>
        <v>grep -hSE " 02:.+((\|PRM\|1\|D)|(crossing.((167)|(168)|(199)|(200))))" "%USERPROFILE%\AppData\Local\Temp\OnboardLogs"\RTDC4004\*4004*201703070*</v>
      </c>
      <c r="I22" s="214" t="str">
        <f>IF(VLOOKUP(K22,'Train Runs'!$A$13:$V$999,1,TRUE)=K22,VLOOKUP(K22,'Train Runs'!$A$13:$V$999,22,TRUE),NA())</f>
        <v>https://d0f6bd738d7f1b3e5a7ca70fe4ff75f0.us-east-1.aws.found.io/app/kibana#/discover/Steve-Slow-Train-Analysis-(2080s-and-2083s)?_g=(refreshInterval:(display:Off,pause:!f,section:0,value:0),time:(from:'2017-03-09T18:02:23-0700',mode:absolute,to:'2017-03-09T20:51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2" s="210">
        <f t="shared" si="2"/>
        <v>42801.120138888888</v>
      </c>
      <c r="K22" s="210" t="str">
        <f>D22&amp;"-"&amp;IF(DAY(Variables!$A$2)&lt;10,0,"")&amp;DAY(Variables!$A$2)</f>
        <v>218-09</v>
      </c>
      <c r="L22" s="206">
        <f>IF(VLOOKUP(K22,'Train Runs'!$A$12:$B$999,1,TRUE)=K22,VLOOKUP(K22,'Train Runs'!$A$12:$B$999,2,TRUE),NA())</f>
        <v>4004</v>
      </c>
      <c r="M22" s="206">
        <f>VLOOKUP(B22,Variables!$T$2:$X$99,2,FALSE)</f>
        <v>167</v>
      </c>
      <c r="N22" s="206">
        <f>VLOOKUP(B22,Variables!$T$2:$X$99,3,FALSE)</f>
        <v>168</v>
      </c>
      <c r="O22" s="206">
        <f>VLOOKUP(B22,Variables!$T$2:$X$99,4,FALSE)</f>
        <v>199</v>
      </c>
      <c r="P22" s="206">
        <f>VLOOKUP(B22,Variables!$T$2:$X$99,5,FALSE)</f>
        <v>200</v>
      </c>
      <c r="Q22" s="205" t="str">
        <f t="shared" si="3"/>
        <v>(\|PRM\|1\|D)|(crossing.((167)|(168)|(199)|(200)))</v>
      </c>
    </row>
    <row r="23" spans="1:17" x14ac:dyDescent="0.25">
      <c r="A23" s="201">
        <v>42800.835416666669</v>
      </c>
      <c r="B23" s="208" t="s">
        <v>484</v>
      </c>
      <c r="C23" s="198" t="s">
        <v>486</v>
      </c>
      <c r="D23" s="212">
        <f>D22+2</f>
        <v>220</v>
      </c>
      <c r="E23" s="30" t="s">
        <v>488</v>
      </c>
      <c r="F23" s="212" t="b">
        <v>1</v>
      </c>
      <c r="G23" s="216" t="str">
        <f t="shared" si="0"/>
        <v>"C:\Program Files (x86)\AstroGrep\AstroGrep.exe" /e /r /s /spath="%USERPROFILE%\AppData\Local\Temp\OnboardLogs" /stypes="*4017*201703070*" /stext=" 03:.+((SYSTEM_STATE.+slice.+state.+changed )|(ment ac)|(multiple cpu faults)|(system.+state.+changed )|(\[timeout)|(PRM\|1\|D)|(kpr)|(kdp)|(\|lc)|(penalty)|(\|PRM\|1\|D)|(crossing.((167)|(168)|(199)|(200))))"</v>
      </c>
      <c r="H23" s="218" t="str">
        <f t="shared" si="1"/>
        <v>grep -hSE " 03:.+((\|PRM\|1\|D)|(crossing.((167)|(168)|(199)|(200))))" "%USERPROFILE%\AppData\Local\Temp\OnboardLogs"\RTDC4017\*4017*201703070*</v>
      </c>
      <c r="I23" s="214" t="str">
        <f>IF(VLOOKUP(K23,'Train Runs'!$A$13:$V$999,1,TRUE)=K23,VLOOKUP(K23,'Train Runs'!$A$13:$V$999,22,TRUE),NA())</f>
        <v>https://d0f6bd738d7f1b3e5a7ca70fe4ff75f0.us-east-1.aws.found.io/app/kibana#/discover/Steve-Slow-Train-Analysis-(2080s-and-2083s)?_g=(refreshInterval:(display:Off,pause:!f,section:0,value:0),time:(from:'2017-03-09T18:13:56-0700',mode:absolute,to:'2017-03-09T21:10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3" s="210">
        <f t="shared" si="2"/>
        <v>42801.127083333333</v>
      </c>
      <c r="K23" s="210" t="str">
        <f>D23&amp;"-"&amp;IF(DAY(Variables!$A$2)&lt;10,0,"")&amp;DAY(Variables!$A$2)</f>
        <v>220-09</v>
      </c>
      <c r="L23" s="206">
        <f>IF(VLOOKUP(K23,'Train Runs'!$A$12:$B$999,1,TRUE)=K23,VLOOKUP(K23,'Train Runs'!$A$12:$B$999,2,TRUE),NA())</f>
        <v>4017</v>
      </c>
      <c r="M23" s="206">
        <f>VLOOKUP(B23,Variables!$T$2:$X$99,2,FALSE)</f>
        <v>167</v>
      </c>
      <c r="N23" s="206">
        <f>VLOOKUP(B23,Variables!$T$2:$X$99,3,FALSE)</f>
        <v>168</v>
      </c>
      <c r="O23" s="206">
        <f>VLOOKUP(B23,Variables!$T$2:$X$99,4,FALSE)</f>
        <v>199</v>
      </c>
      <c r="P23" s="206">
        <f>VLOOKUP(B23,Variables!$T$2:$X$99,5,FALSE)</f>
        <v>200</v>
      </c>
      <c r="Q23" s="205" t="str">
        <f t="shared" si="3"/>
        <v>(\|PRM\|1\|D)|(crossing.((167)|(168)|(199)|(200)))</v>
      </c>
    </row>
    <row r="24" spans="1:17" x14ac:dyDescent="0.25">
      <c r="A24" s="201">
        <v>42800.854166666664</v>
      </c>
      <c r="B24" s="208" t="s">
        <v>484</v>
      </c>
      <c r="C24" s="198" t="s">
        <v>486</v>
      </c>
      <c r="D24" s="212">
        <f>D23+2</f>
        <v>222</v>
      </c>
      <c r="E24" s="30" t="s">
        <v>488</v>
      </c>
      <c r="F24" s="212" t="b">
        <v>1</v>
      </c>
      <c r="G24" s="216" t="str">
        <f t="shared" si="0"/>
        <v>"C:\Program Files (x86)\AstroGrep\AstroGrep.exe" /e /r /s /spath="%USERPROFILE%\AppData\Local\Temp\OnboardLogs" /stypes="*4043*201703070*" /stext=" 03:.+((SYSTEM_STATE.+slice.+state.+changed )|(ment ac)|(multiple cpu faults)|(system.+state.+changed )|(\[timeout)|(PRM\|1\|D)|(kpr)|(kdp)|(\|lc)|(penalty)|(\|PRM\|1\|D)|(crossing.((167)|(168)|(199)|(200))))"</v>
      </c>
      <c r="H24" s="218" t="str">
        <f t="shared" si="1"/>
        <v>grep -hSE " 03:.+((\|PRM\|1\|D)|(crossing.((167)|(168)|(199)|(200))))" "%USERPROFILE%\AppData\Local\Temp\OnboardLogs"\RTDC4043\*4043*201703070*</v>
      </c>
      <c r="I24" s="214" t="str">
        <f>IF(VLOOKUP(K24,'Train Runs'!$A$13:$V$999,1,TRUE)=K24,VLOOKUP(K24,'Train Runs'!$A$13:$V$999,22,TRUE),NA())</f>
        <v>https://d0f6bd738d7f1b3e5a7ca70fe4ff75f0.us-east-1.aws.found.io/app/kibana#/discover/Steve-Slow-Train-Analysis-(2080s-and-2083s)?_g=(refreshInterval:(display:Off,pause:!f,section:0,value:0),time:(from:'2017-03-09T18:52:09-0700',mode:absolute,to:'2017-03-09T21:37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4" s="210">
        <f t="shared" si="2"/>
        <v>42801.145833333328</v>
      </c>
      <c r="K24" s="210" t="str">
        <f>D24&amp;"-"&amp;IF(DAY(Variables!$A$2)&lt;10,0,"")&amp;DAY(Variables!$A$2)</f>
        <v>222-09</v>
      </c>
      <c r="L24" s="206">
        <f>IF(VLOOKUP(K24,'Train Runs'!$A$12:$B$999,1,TRUE)=K24,VLOOKUP(K24,'Train Runs'!$A$12:$B$999,2,TRUE),NA())</f>
        <v>4043</v>
      </c>
      <c r="M24" s="206">
        <f>VLOOKUP(B24,Variables!$T$2:$X$99,2,FALSE)</f>
        <v>167</v>
      </c>
      <c r="N24" s="206">
        <f>VLOOKUP(B24,Variables!$T$2:$X$99,3,FALSE)</f>
        <v>168</v>
      </c>
      <c r="O24" s="206">
        <f>VLOOKUP(B24,Variables!$T$2:$X$99,4,FALSE)</f>
        <v>199</v>
      </c>
      <c r="P24" s="206">
        <f>VLOOKUP(B24,Variables!$T$2:$X$99,5,FALSE)</f>
        <v>200</v>
      </c>
      <c r="Q24" s="205" t="str">
        <f t="shared" si="3"/>
        <v>(\|PRM\|1\|D)|(crossing.((167)|(168)|(199)|(200)))</v>
      </c>
    </row>
    <row r="25" spans="1:17" x14ac:dyDescent="0.25">
      <c r="A25" s="201">
        <v>42800.872916666667</v>
      </c>
      <c r="B25" s="208" t="s">
        <v>484</v>
      </c>
      <c r="C25" s="198" t="s">
        <v>486</v>
      </c>
      <c r="D25" s="212">
        <f>D24+2</f>
        <v>224</v>
      </c>
      <c r="E25" s="30" t="s">
        <v>488</v>
      </c>
      <c r="F25" s="212" t="b">
        <v>1</v>
      </c>
      <c r="G25" s="216" t="str">
        <f t="shared" si="0"/>
        <v>"C:\Program Files (x86)\AstroGrep\AstroGrep.exe" /e /r /s /spath="%USERPROFILE%\AppData\Local\Temp\OnboardLogs" /stypes="*4019*201703070*" /stext=" 03:.+((SYSTEM_STATE.+slice.+state.+changed )|(ment ac)|(multiple cpu faults)|(system.+state.+changed )|(\[timeout)|(PRM\|1\|D)|(kpr)|(kdp)|(\|lc)|(penalty)|(\|PRM\|1\|D)|(crossing.((167)|(168)|(199)|(200))))"</v>
      </c>
      <c r="H25" s="218" t="str">
        <f t="shared" si="1"/>
        <v>grep -hSE " 03:.+((\|PRM\|1\|D)|(crossing.((167)|(168)|(199)|(200))))" "%USERPROFILE%\AppData\Local\Temp\OnboardLogs"\RTDC4019\*4019*201703070*</v>
      </c>
      <c r="I25" s="214" t="str">
        <f>IF(VLOOKUP(K25,'Train Runs'!$A$13:$V$999,1,TRUE)=K25,VLOOKUP(K25,'Train Runs'!$A$13:$V$999,22,TRUE),NA())</f>
        <v>https://d0f6bd738d7f1b3e5a7ca70fe4ff75f0.us-east-1.aws.found.io/app/kibana#/discover/Steve-Slow-Train-Analysis-(2080s-and-2083s)?_g=(refreshInterval:(display:Off,pause:!f,section:0,value:0),time:(from:'2017-03-09T19:21:48-0700',mode:absolute,to:'2017-03-09T22:09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5" s="210">
        <f t="shared" si="2"/>
        <v>42801.164583333331</v>
      </c>
      <c r="K25" s="210" t="str">
        <f>D25&amp;"-"&amp;IF(DAY(Variables!$A$2)&lt;10,0,"")&amp;DAY(Variables!$A$2)</f>
        <v>224-09</v>
      </c>
      <c r="L25" s="206">
        <f>IF(VLOOKUP(K25,'Train Runs'!$A$12:$B$999,1,TRUE)=K25,VLOOKUP(K25,'Train Runs'!$A$12:$B$999,2,TRUE),NA())</f>
        <v>4019</v>
      </c>
      <c r="M25" s="206">
        <f>VLOOKUP(B25,Variables!$T$2:$X$99,2,FALSE)</f>
        <v>167</v>
      </c>
      <c r="N25" s="206">
        <f>VLOOKUP(B25,Variables!$T$2:$X$99,3,FALSE)</f>
        <v>168</v>
      </c>
      <c r="O25" s="206">
        <f>VLOOKUP(B25,Variables!$T$2:$X$99,4,FALSE)</f>
        <v>199</v>
      </c>
      <c r="P25" s="206">
        <f>VLOOKUP(B25,Variables!$T$2:$X$99,5,FALSE)</f>
        <v>200</v>
      </c>
      <c r="Q25" s="205" t="str">
        <f t="shared" si="3"/>
        <v>(\|PRM\|1\|D)|(crossing.((167)|(168)|(199)|(200)))</v>
      </c>
    </row>
    <row r="26" spans="1:17" x14ac:dyDescent="0.25">
      <c r="A26" s="201">
        <v>42800.895138888889</v>
      </c>
      <c r="B26" s="208" t="s">
        <v>484</v>
      </c>
      <c r="C26" s="198" t="s">
        <v>486</v>
      </c>
      <c r="D26" s="212">
        <f>D25+2</f>
        <v>226</v>
      </c>
      <c r="E26" s="30" t="s">
        <v>488</v>
      </c>
      <c r="F26" s="212" t="b">
        <v>1</v>
      </c>
      <c r="G26" s="216" t="str">
        <f t="shared" si="0"/>
        <v>"C:\Program Files (x86)\AstroGrep\AstroGrep.exe" /e /r /s /spath="%USERPROFILE%\AppData\Local\Temp\OnboardLogs" /stypes="*4004*201703070*" /stext=" 04:.+((SYSTEM_STATE.+slice.+state.+changed )|(ment ac)|(multiple cpu faults)|(system.+state.+changed )|(\[timeout)|(PRM\|1\|D)|(kpr)|(kdp)|(\|lc)|(penalty)|(\|PRM\|1\|D)|(crossing.((167)|(168)|(199)|(200))))"</v>
      </c>
      <c r="H26" s="218" t="str">
        <f t="shared" si="1"/>
        <v>grep -hSE " 04:.+((\|PRM\|1\|D)|(crossing.((167)|(168)|(199)|(200))))" "%USERPROFILE%\AppData\Local\Temp\OnboardLogs"\RTDC4004\*4004*201703070*</v>
      </c>
      <c r="I26" s="214" t="str">
        <f>IF(VLOOKUP(K26,'Train Runs'!$A$13:$V$999,1,TRUE)=K26,VLOOKUP(K26,'Train Runs'!$A$13:$V$999,22,TRUE),NA())</f>
        <v>https://d0f6bd738d7f1b3e5a7ca70fe4ff75f0.us-east-1.aws.found.io/app/kibana#/discover/Steve-Slow-Train-Analysis-(2080s-and-2083s)?_g=(refreshInterval:(display:Off,pause:!f,section:0,value:0),time:(from:'2017-03-09T19:47:24-0700',mode:absolute,to:'2017-03-09T22:38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26" s="210">
        <f t="shared" si="2"/>
        <v>42801.186805555553</v>
      </c>
      <c r="K26" s="210" t="str">
        <f>D26&amp;"-"&amp;IF(DAY(Variables!$A$2)&lt;10,0,"")&amp;DAY(Variables!$A$2)</f>
        <v>226-09</v>
      </c>
      <c r="L26" s="206">
        <f>IF(VLOOKUP(K26,'Train Runs'!$A$12:$B$999,1,TRUE)=K26,VLOOKUP(K26,'Train Runs'!$A$12:$B$999,2,TRUE),NA())</f>
        <v>4004</v>
      </c>
      <c r="M26" s="206">
        <f>VLOOKUP(B26,Variables!$T$2:$X$99,2,FALSE)</f>
        <v>167</v>
      </c>
      <c r="N26" s="206">
        <f>VLOOKUP(B26,Variables!$T$2:$X$99,3,FALSE)</f>
        <v>168</v>
      </c>
      <c r="O26" s="206">
        <f>VLOOKUP(B26,Variables!$T$2:$X$99,4,FALSE)</f>
        <v>199</v>
      </c>
      <c r="P26" s="206">
        <f>VLOOKUP(B26,Variables!$T$2:$X$99,5,FALSE)</f>
        <v>200</v>
      </c>
      <c r="Q26" s="205" t="str">
        <f t="shared" si="3"/>
        <v>(\|PRM\|1\|D)|(crossing.((167)|(168)|(199)|(200)))</v>
      </c>
    </row>
    <row r="27" spans="1:17" x14ac:dyDescent="0.25">
      <c r="A27" s="201">
        <v>42800.916666666664</v>
      </c>
      <c r="B27" s="208" t="s">
        <v>484</v>
      </c>
      <c r="C27" s="198" t="s">
        <v>486</v>
      </c>
      <c r="D27" s="212">
        <f t="shared" ref="D27:D33" si="5">D26+2</f>
        <v>228</v>
      </c>
      <c r="E27" s="30" t="s">
        <v>488</v>
      </c>
      <c r="F27" s="212" t="b">
        <v>1</v>
      </c>
      <c r="G27" s="216" t="str">
        <f t="shared" si="0"/>
        <v>"C:\Program Files (x86)\AstroGrep\AstroGrep.exe" /e /r /s /spath="%USERPROFILE%\AppData\Local\Temp\OnboardLogs" /stypes="*4017*201703070*" /stext=" 05:.+((SYSTEM_STATE.+slice.+state.+changed )|(ment ac)|(multiple cpu faults)|(system.+state.+changed )|(\[timeout)|(PRM\|1\|D)|(kpr)|(kdp)|(\|lc)|(penalty)|(\|PRM\|1\|D)|(crossing.((167)|(168)|(199)|(200))))"</v>
      </c>
      <c r="H27" s="218" t="str">
        <f t="shared" si="1"/>
        <v>grep -hSE " 05:.+((\|PRM\|1\|D)|(crossing.((167)|(168)|(199)|(200))))" "%USERPROFILE%\AppData\Local\Temp\OnboardLogs"\RTDC4017\*4017*201703070*</v>
      </c>
      <c r="I27" s="214" t="str">
        <f>IF(VLOOKUP(K27,'Train Runs'!$A$13:$V$999,1,TRUE)=K27,VLOOKUP(K27,'Train Runs'!$A$13:$V$999,22,TRUE),NA())</f>
        <v>https://d0f6bd738d7f1b3e5a7ca70fe4ff75f0.us-east-1.aws.found.io/app/kibana#/discover/Steve-Slow-Train-Analysis-(2080s-and-2083s)?_g=(refreshInterval:(display:Off,pause:!f,section:0,value:0),time:(from:'2017-03-09T20:24:53-0700',mode:absolute,to:'2017-03-09T23:09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7" s="210">
        <f t="shared" si="2"/>
        <v>42801.208333333328</v>
      </c>
      <c r="K27" s="210" t="str">
        <f>D27&amp;"-"&amp;IF(DAY(Variables!$A$2)&lt;10,0,"")&amp;DAY(Variables!$A$2)</f>
        <v>228-09</v>
      </c>
      <c r="L27" s="206">
        <f>IF(VLOOKUP(K27,'Train Runs'!$A$12:$B$999,1,TRUE)=K27,VLOOKUP(K27,'Train Runs'!$A$12:$B$999,2,TRUE),NA())</f>
        <v>4017</v>
      </c>
      <c r="M27" s="206">
        <f>VLOOKUP(B27,Variables!$T$2:$X$99,2,FALSE)</f>
        <v>167</v>
      </c>
      <c r="N27" s="206">
        <f>VLOOKUP(B27,Variables!$T$2:$X$99,3,FALSE)</f>
        <v>168</v>
      </c>
      <c r="O27" s="206">
        <f>VLOOKUP(B27,Variables!$T$2:$X$99,4,FALSE)</f>
        <v>199</v>
      </c>
      <c r="P27" s="206">
        <f>VLOOKUP(B27,Variables!$T$2:$X$99,5,FALSE)</f>
        <v>200</v>
      </c>
      <c r="Q27" s="205" t="str">
        <f t="shared" si="3"/>
        <v>(\|PRM\|1\|D)|(crossing.((167)|(168)|(199)|(200)))</v>
      </c>
    </row>
    <row r="28" spans="1:17" x14ac:dyDescent="0.25">
      <c r="A28" s="201">
        <v>42800.939583333333</v>
      </c>
      <c r="B28" s="208" t="s">
        <v>484</v>
      </c>
      <c r="C28" s="198" t="s">
        <v>486</v>
      </c>
      <c r="D28" s="212">
        <f t="shared" si="5"/>
        <v>230</v>
      </c>
      <c r="E28" s="30" t="s">
        <v>488</v>
      </c>
      <c r="F28" s="212" t="b">
        <v>1</v>
      </c>
      <c r="G28" s="216" t="str">
        <f t="shared" si="0"/>
        <v>"C:\Program Files (x86)\AstroGrep\AstroGrep.exe" /e /r /s /spath="%USERPROFILE%\AppData\Local\Temp\OnboardLogs" /stypes="*4043*201703070*" /stext=" 05:.+((SYSTEM_STATE.+slice.+state.+changed )|(ment ac)|(multiple cpu faults)|(system.+state.+changed )|(\[timeout)|(PRM\|1\|D)|(kpr)|(kdp)|(\|lc)|(penalty)|(\|PRM\|1\|D)|(crossing.((167)|(168)|(199)|(200))))"</v>
      </c>
      <c r="H28" s="218" t="str">
        <f t="shared" si="1"/>
        <v>grep -hSE " 05:.+((\|PRM\|1\|D)|(crossing.((167)|(168)|(199)|(200))))" "%USERPROFILE%\AppData\Local\Temp\OnboardLogs"\RTDC4043\*4043*201703070*</v>
      </c>
      <c r="I28" s="214" t="str">
        <f>IF(VLOOKUP(K28,'Train Runs'!$A$13:$V$999,1,TRUE)=K28,VLOOKUP(K28,'Train Runs'!$A$13:$V$999,22,TRUE),NA())</f>
        <v>https://d0f6bd738d7f1b3e5a7ca70fe4ff75f0.us-east-1.aws.found.io/app/kibana#/discover/Steve-Slow-Train-Analysis-(2080s-and-2083s)?_g=(refreshInterval:(display:Off,pause:!f,section:0,value:0),time:(from:'2017-03-09T20:49:40-0700',mode:absolute,to:'2017-03-09T23:25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8" s="210">
        <f t="shared" si="2"/>
        <v>42801.231249999997</v>
      </c>
      <c r="K28" s="210" t="str">
        <f>D28&amp;"-"&amp;IF(DAY(Variables!$A$2)&lt;10,0,"")&amp;DAY(Variables!$A$2)</f>
        <v>230-09</v>
      </c>
      <c r="L28" s="206">
        <f>IF(VLOOKUP(K28,'Train Runs'!$A$12:$B$999,1,TRUE)=K28,VLOOKUP(K28,'Train Runs'!$A$12:$B$999,2,TRUE),NA())</f>
        <v>4043</v>
      </c>
      <c r="M28" s="206">
        <f>VLOOKUP(B28,Variables!$T$2:$X$99,2,FALSE)</f>
        <v>167</v>
      </c>
      <c r="N28" s="206">
        <f>VLOOKUP(B28,Variables!$T$2:$X$99,3,FALSE)</f>
        <v>168</v>
      </c>
      <c r="O28" s="206">
        <f>VLOOKUP(B28,Variables!$T$2:$X$99,4,FALSE)</f>
        <v>199</v>
      </c>
      <c r="P28" s="206">
        <f>VLOOKUP(B28,Variables!$T$2:$X$99,5,FALSE)</f>
        <v>200</v>
      </c>
      <c r="Q28" s="205" t="str">
        <f t="shared" si="3"/>
        <v>(\|PRM\|1\|D)|(crossing.((167)|(168)|(199)|(200)))</v>
      </c>
    </row>
    <row r="29" spans="1:17" x14ac:dyDescent="0.25">
      <c r="A29" s="201">
        <v>42800.957638888889</v>
      </c>
      <c r="B29" s="208" t="s">
        <v>484</v>
      </c>
      <c r="C29" s="198" t="s">
        <v>486</v>
      </c>
      <c r="D29" s="212">
        <f t="shared" si="5"/>
        <v>232</v>
      </c>
      <c r="E29" s="30" t="s">
        <v>488</v>
      </c>
      <c r="F29" s="212" t="b">
        <v>1</v>
      </c>
      <c r="G29" s="216" t="str">
        <f t="shared" si="0"/>
        <v>"C:\Program Files (x86)\AstroGrep\AstroGrep.exe" /e /r /s /spath="%USERPROFILE%\AppData\Local\Temp\OnboardLogs" /stypes="*4019*201703070*" /stext=" 05:.+((SYSTEM_STATE.+slice.+state.+changed )|(ment ac)|(multiple cpu faults)|(system.+state.+changed )|(\[timeout)|(PRM\|1\|D)|(kpr)|(kdp)|(\|lc)|(penalty)|(\|PRM\|1\|D)|(crossing.((167)|(168)|(199)|(200))))"</v>
      </c>
      <c r="H29" s="218" t="str">
        <f t="shared" si="1"/>
        <v>grep -hSE " 05:.+((\|PRM\|1\|D)|(crossing.((167)|(168)|(199)|(200))))" "%USERPROFILE%\AppData\Local\Temp\OnboardLogs"\RTDC4019\*4019*201703070*</v>
      </c>
      <c r="I29" s="214" t="str">
        <f>IF(VLOOKUP(K29,'Train Runs'!$A$13:$V$999,1,TRUE)=K29,VLOOKUP(K29,'Train Runs'!$A$13:$V$999,22,TRUE),NA())</f>
        <v>https://d0f6bd738d7f1b3e5a7ca70fe4ff75f0.us-east-1.aws.found.io/app/kibana#/discover/Steve-Slow-Train-Analysis-(2080s-and-2083s)?_g=(refreshInterval:(display:Off,pause:!f,section:0,value:0),time:(from:'2017-03-09T21:08:06-0700',mode:absolute,to:'2017-03-10T00:10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29" s="210">
        <f t="shared" si="2"/>
        <v>42801.249305555553</v>
      </c>
      <c r="K29" s="210" t="str">
        <f>D29&amp;"-"&amp;IF(DAY(Variables!$A$2)&lt;10,0,"")&amp;DAY(Variables!$A$2)</f>
        <v>232-09</v>
      </c>
      <c r="L29" s="206">
        <f>IF(VLOOKUP(K29,'Train Runs'!$A$12:$B$999,1,TRUE)=K29,VLOOKUP(K29,'Train Runs'!$A$12:$B$999,2,TRUE),NA())</f>
        <v>4019</v>
      </c>
      <c r="M29" s="206">
        <f>VLOOKUP(B29,Variables!$T$2:$X$99,2,FALSE)</f>
        <v>167</v>
      </c>
      <c r="N29" s="206">
        <f>VLOOKUP(B29,Variables!$T$2:$X$99,3,FALSE)</f>
        <v>168</v>
      </c>
      <c r="O29" s="206">
        <f>VLOOKUP(B29,Variables!$T$2:$X$99,4,FALSE)</f>
        <v>199</v>
      </c>
      <c r="P29" s="206">
        <f>VLOOKUP(B29,Variables!$T$2:$X$99,5,FALSE)</f>
        <v>200</v>
      </c>
      <c r="Q29" s="205" t="str">
        <f t="shared" si="3"/>
        <v>(\|PRM\|1\|D)|(crossing.((167)|(168)|(199)|(200)))</v>
      </c>
    </row>
    <row r="30" spans="1:17" x14ac:dyDescent="0.25">
      <c r="A30" s="201">
        <v>42800.96875</v>
      </c>
      <c r="B30" s="208" t="s">
        <v>484</v>
      </c>
      <c r="C30" s="198" t="s">
        <v>486</v>
      </c>
      <c r="D30" s="212">
        <f t="shared" si="5"/>
        <v>234</v>
      </c>
      <c r="E30" s="30" t="s">
        <v>488</v>
      </c>
      <c r="F30" s="212" t="b">
        <v>1</v>
      </c>
      <c r="G30" s="216" t="str">
        <f t="shared" si="0"/>
        <v>"C:\Program Files (x86)\AstroGrep\AstroGrep.exe" /e /r /s /spath="%USERPROFILE%\AppData\Local\Temp\OnboardLogs" /stypes="*4004*201703070*" /stext=" 06:.+((SYSTEM_STATE.+slice.+state.+changed )|(ment ac)|(multiple cpu faults)|(system.+state.+changed )|(\[timeout)|(PRM\|1\|D)|(kpr)|(kdp)|(\|lc)|(penalty)|(\|PRM\|1\|D)|(crossing.((167)|(168)|(199)|(200))))"</v>
      </c>
      <c r="H30" s="218" t="str">
        <f t="shared" si="1"/>
        <v>grep -hSE " 06:.+((\|PRM\|1\|D)|(crossing.((167)|(168)|(199)|(200))))" "%USERPROFILE%\AppData\Local\Temp\OnboardLogs"\RTDC4004\*4004*201703070*</v>
      </c>
      <c r="I30" s="214" t="str">
        <f>IF(VLOOKUP(K30,'Train Runs'!$A$13:$V$999,1,TRUE)=K30,VLOOKUP(K30,'Train Runs'!$A$13:$V$999,22,TRUE),NA())</f>
        <v>https://d0f6bd738d7f1b3e5a7ca70fe4ff75f0.us-east-1.aws.found.io/app/kibana#/discover/Steve-Slow-Train-Analysis-(2080s-and-2083s)?_g=(refreshInterval:(display:Off,pause:!f,section:0,value:0),time:(from:'2017-03-09T21:51:58-0700',mode:absolute,to:'2017-03-10T00:40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30" s="210">
        <f t="shared" si="2"/>
        <v>42801.260416666664</v>
      </c>
      <c r="K30" s="210" t="str">
        <f>D30&amp;"-"&amp;IF(DAY(Variables!$A$2)&lt;10,0,"")&amp;DAY(Variables!$A$2)</f>
        <v>234-09</v>
      </c>
      <c r="L30" s="206">
        <f>IF(VLOOKUP(K30,'Train Runs'!$A$12:$B$999,1,TRUE)=K30,VLOOKUP(K30,'Train Runs'!$A$12:$B$999,2,TRUE),NA())</f>
        <v>4004</v>
      </c>
      <c r="M30" s="206">
        <f>VLOOKUP(B30,Variables!$T$2:$X$99,2,FALSE)</f>
        <v>167</v>
      </c>
      <c r="N30" s="206">
        <f>VLOOKUP(B30,Variables!$T$2:$X$99,3,FALSE)</f>
        <v>168</v>
      </c>
      <c r="O30" s="206">
        <f>VLOOKUP(B30,Variables!$T$2:$X$99,4,FALSE)</f>
        <v>199</v>
      </c>
      <c r="P30" s="206">
        <f>VLOOKUP(B30,Variables!$T$2:$X$99,5,FALSE)</f>
        <v>200</v>
      </c>
      <c r="Q30" s="205" t="str">
        <f t="shared" si="3"/>
        <v>(\|PRM\|1\|D)|(crossing.((167)|(168)|(199)|(200)))</v>
      </c>
    </row>
    <row r="31" spans="1:17" x14ac:dyDescent="0.25">
      <c r="A31" s="201">
        <v>42800.979861111111</v>
      </c>
      <c r="B31" s="208" t="s">
        <v>484</v>
      </c>
      <c r="C31" s="198" t="s">
        <v>486</v>
      </c>
      <c r="D31" s="212">
        <f t="shared" si="5"/>
        <v>236</v>
      </c>
      <c r="E31" s="30" t="s">
        <v>488</v>
      </c>
      <c r="F31" s="212" t="b">
        <v>1</v>
      </c>
      <c r="G31" s="216" t="str">
        <f t="shared" si="0"/>
        <v>"C:\Program Files (x86)\AstroGrep\AstroGrep.exe" /e /r /s /spath="%USERPROFILE%\AppData\Local\Temp\OnboardLogs" /stypes="*4017*201703070*" /stext=" 06:.+((SYSTEM_STATE.+slice.+state.+changed )|(ment ac)|(multiple cpu faults)|(system.+state.+changed )|(\[timeout)|(PRM\|1\|D)|(kpr)|(kdp)|(\|lc)|(penalty)|(\|PRM\|1\|D)|(crossing.((167)|(168)|(199)|(200))))"</v>
      </c>
      <c r="H31" s="218" t="str">
        <f t="shared" si="1"/>
        <v>grep -hSE " 06:.+((\|PRM\|1\|D)|(crossing.((167)|(168)|(199)|(200))))" "%USERPROFILE%\AppData\Local\Temp\OnboardLogs"\RTDC4017\*4017*201703070*</v>
      </c>
      <c r="I31" s="214" t="str">
        <f>IF(VLOOKUP(K31,'Train Runs'!$A$13:$V$999,1,TRUE)=K31,VLOOKUP(K31,'Train Runs'!$A$13:$V$999,22,TRUE),NA())</f>
        <v>https://d0f6bd738d7f1b3e5a7ca70fe4ff75f0.us-east-1.aws.found.io/app/kibana#/discover/Steve-Slow-Train-Analysis-(2080s-and-2083s)?_g=(refreshInterval:(display:Off,pause:!f,section:0,value:0),time:(from:'2017-03-09T22:10:52-0700',mode:absolute,to:'2017-03-10T01:09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31" s="210">
        <f t="shared" si="2"/>
        <v>42801.271527777775</v>
      </c>
      <c r="K31" s="210" t="str">
        <f>D31&amp;"-"&amp;IF(DAY(Variables!$A$2)&lt;10,0,"")&amp;DAY(Variables!$A$2)</f>
        <v>236-09</v>
      </c>
      <c r="L31" s="206">
        <f>IF(VLOOKUP(K31,'Train Runs'!$A$12:$B$999,1,TRUE)=K31,VLOOKUP(K31,'Train Runs'!$A$12:$B$999,2,TRUE),NA())</f>
        <v>4017</v>
      </c>
      <c r="M31" s="206">
        <f>VLOOKUP(B31,Variables!$T$2:$X$99,2,FALSE)</f>
        <v>167</v>
      </c>
      <c r="N31" s="206">
        <f>VLOOKUP(B31,Variables!$T$2:$X$99,3,FALSE)</f>
        <v>168</v>
      </c>
      <c r="O31" s="206">
        <f>VLOOKUP(B31,Variables!$T$2:$X$99,4,FALSE)</f>
        <v>199</v>
      </c>
      <c r="P31" s="206">
        <f>VLOOKUP(B31,Variables!$T$2:$X$99,5,FALSE)</f>
        <v>200</v>
      </c>
      <c r="Q31" s="205" t="str">
        <f t="shared" si="3"/>
        <v>(\|PRM\|1\|D)|(crossing.((167)|(168)|(199)|(200)))</v>
      </c>
    </row>
    <row r="32" spans="1:17" x14ac:dyDescent="0.25">
      <c r="A32" s="201">
        <v>42800.999305555553</v>
      </c>
      <c r="B32" s="208" t="s">
        <v>484</v>
      </c>
      <c r="C32" s="198" t="s">
        <v>486</v>
      </c>
      <c r="D32" s="212">
        <f t="shared" si="5"/>
        <v>238</v>
      </c>
      <c r="E32" s="30" t="s">
        <v>488</v>
      </c>
      <c r="F32" s="212" t="b">
        <v>1</v>
      </c>
      <c r="G32" s="216" t="str">
        <f t="shared" si="0"/>
        <v>"C:\Program Files (x86)\AstroGrep\AstroGrep.exe" /e /r /s /spath="%USERPROFILE%\AppData\Local\Temp\OnboardLogs" /stypes="*4043*201703070*" /stext=" 06:.+((SYSTEM_STATE.+slice.+state.+changed )|(ment ac)|(multiple cpu faults)|(system.+state.+changed )|(\[timeout)|(PRM\|1\|D)|(kpr)|(kdp)|(\|lc)|(penalty)|(\|PRM\|1\|D)|(crossing.((167)|(168)|(199)|(200))))"</v>
      </c>
      <c r="H32" s="218" t="str">
        <f t="shared" si="1"/>
        <v>grep -hSE " 06:.+((\|PRM\|1\|D)|(crossing.((167)|(168)|(199)|(200))))" "%USERPROFILE%\AppData\Local\Temp\OnboardLogs"\RTDC4043\*4043*201703070*</v>
      </c>
      <c r="I32" s="214" t="str">
        <f>IF(VLOOKUP(K32,'Train Runs'!$A$13:$V$999,1,TRUE)=K32,VLOOKUP(K32,'Train Runs'!$A$13:$V$999,22,TRUE),NA())</f>
        <v>https://d0f6bd738d7f1b3e5a7ca70fe4ff75f0.us-east-1.aws.found.io/app/kibana#/discover/Steve-Slow-Train-Analysis-(2080s-and-2083s)?_g=(refreshInterval:(display:Off,pause:!f,section:0,value:0),time:(from:'2017-03-09T22:54:03-0700',mode:absolute,to:'2017-03-10T01:37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32" s="210">
        <f t="shared" si="2"/>
        <v>42801.290972222218</v>
      </c>
      <c r="K32" s="210" t="str">
        <f>D32&amp;"-"&amp;IF(DAY(Variables!$A$2)&lt;10,0,"")&amp;DAY(Variables!$A$2)</f>
        <v>238-09</v>
      </c>
      <c r="L32" s="206">
        <f>IF(VLOOKUP(K32,'Train Runs'!$A$12:$B$999,1,TRUE)=K32,VLOOKUP(K32,'Train Runs'!$A$12:$B$999,2,TRUE),NA())</f>
        <v>4043</v>
      </c>
      <c r="M32" s="206">
        <f>VLOOKUP(B32,Variables!$T$2:$X$99,2,FALSE)</f>
        <v>167</v>
      </c>
      <c r="N32" s="206">
        <f>VLOOKUP(B32,Variables!$T$2:$X$99,3,FALSE)</f>
        <v>168</v>
      </c>
      <c r="O32" s="206">
        <f>VLOOKUP(B32,Variables!$T$2:$X$99,4,FALSE)</f>
        <v>199</v>
      </c>
      <c r="P32" s="206">
        <f>VLOOKUP(B32,Variables!$T$2:$X$99,5,FALSE)</f>
        <v>200</v>
      </c>
      <c r="Q32" s="205" t="str">
        <f t="shared" si="3"/>
        <v>(\|PRM\|1\|D)|(crossing.((167)|(168)|(199)|(200)))</v>
      </c>
    </row>
    <row r="33" spans="1:17" x14ac:dyDescent="0.25">
      <c r="A33" s="202">
        <v>42801.022222222222</v>
      </c>
      <c r="B33" s="208" t="s">
        <v>484</v>
      </c>
      <c r="C33" s="198" t="s">
        <v>486</v>
      </c>
      <c r="D33" s="212">
        <f t="shared" si="5"/>
        <v>240</v>
      </c>
      <c r="E33" s="30" t="s">
        <v>488</v>
      </c>
      <c r="F33" s="212" t="b">
        <v>1</v>
      </c>
      <c r="G33" s="216" t="str">
        <f t="shared" si="0"/>
        <v>"C:\Program Files (x86)\AstroGrep\AstroGrep.exe" /e /r /s /spath="%USERPROFILE%\AppData\Local\Temp\OnboardLogs" /stypes="*4019*201703070*" /stext=" 07:.+((SYSTEM_STATE.+slice.+state.+changed )|(ment ac)|(multiple cpu faults)|(system.+state.+changed )|(\[timeout)|(PRM\|1\|D)|(kpr)|(kdp)|(\|lc)|(penalty)|(\|PRM\|1\|D)|(crossing.((167)|(168)|(199)|(200))))"</v>
      </c>
      <c r="H33" s="218" t="str">
        <f t="shared" si="1"/>
        <v>grep -hSE " 07:.+((\|PRM\|1\|D)|(crossing.((167)|(168)|(199)|(200))))" "%USERPROFILE%\AppData\Local\Temp\OnboardLogs"\RTDC4019\*4019*201703070*</v>
      </c>
      <c r="I33" s="214" t="str">
        <f>IF(VLOOKUP(K33,'Train Runs'!$A$13:$V$999,1,TRUE)=K33,VLOOKUP(K33,'Train Runs'!$A$13:$V$999,22,TRUE),NA())</f>
        <v>https://d0f6bd738d7f1b3e5a7ca70fe4ff75f0.us-east-1.aws.found.io/app/kibana#/discover/Steve-Slow-Train-Analysis-(2080s-and-2083s)?_g=(refreshInterval:(display:Off,pause:!f,section:0,value:0),time:(from:'2017-03-09T23:22:00-0700',mode:absolute,to:'2017-03-10T02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3" s="210">
        <f t="shared" si="2"/>
        <v>42801.313888888886</v>
      </c>
      <c r="K33" s="210" t="str">
        <f>D33&amp;"-"&amp;IF(DAY(Variables!$A$2)&lt;10,0,"")&amp;DAY(Variables!$A$2)</f>
        <v>240-09</v>
      </c>
      <c r="L33" s="206">
        <f>IF(VLOOKUP(K33,'Train Runs'!$A$12:$B$999,1,TRUE)=K33,VLOOKUP(K33,'Train Runs'!$A$12:$B$999,2,TRUE),NA())</f>
        <v>4019</v>
      </c>
      <c r="M33" s="206">
        <f>VLOOKUP(B33,Variables!$T$2:$X$99,2,FALSE)</f>
        <v>167</v>
      </c>
      <c r="N33" s="206">
        <f>VLOOKUP(B33,Variables!$T$2:$X$99,3,FALSE)</f>
        <v>168</v>
      </c>
      <c r="O33" s="206">
        <f>VLOOKUP(B33,Variables!$T$2:$X$99,4,FALSE)</f>
        <v>199</v>
      </c>
      <c r="P33" s="206">
        <f>VLOOKUP(B33,Variables!$T$2:$X$99,5,FALSE)</f>
        <v>200</v>
      </c>
      <c r="Q33" s="205" t="str">
        <f t="shared" si="3"/>
        <v>(\|PRM\|1\|D)|(crossing.((167)|(168)|(199)|(200)))</v>
      </c>
    </row>
    <row r="34" spans="1:17" x14ac:dyDescent="0.25">
      <c r="A34" s="202">
        <v>42801.040277777778</v>
      </c>
      <c r="B34" s="208" t="s">
        <v>484</v>
      </c>
      <c r="C34" s="198" t="s">
        <v>486</v>
      </c>
      <c r="D34" s="212">
        <v>240</v>
      </c>
      <c r="E34" s="30" t="s">
        <v>488</v>
      </c>
      <c r="F34" s="212" t="b">
        <v>1</v>
      </c>
      <c r="G34" s="216" t="str">
        <f t="shared" si="0"/>
        <v>"C:\Program Files (x86)\AstroGrep\AstroGrep.exe" /e /r /s /spath="%USERPROFILE%\AppData\Local\Temp\OnboardLogs" /stypes="*4019*201703070*" /stext=" 07:.+((SYSTEM_STATE.+slice.+state.+changed )|(ment ac)|(multiple cpu faults)|(system.+state.+changed )|(\[timeout)|(PRM\|1\|D)|(kpr)|(kdp)|(\|lc)|(penalty)|(\|PRM\|1\|D)|(crossing.((167)|(168)|(199)|(200))))"</v>
      </c>
      <c r="H34" s="218" t="str">
        <f t="shared" si="1"/>
        <v>grep -hSE " 07:.+((\|PRM\|1\|D)|(crossing.((167)|(168)|(199)|(200))))" "%USERPROFILE%\AppData\Local\Temp\OnboardLogs"\RTDC4019\*4019*201703070*</v>
      </c>
      <c r="I34" s="214" t="str">
        <f>IF(VLOOKUP(K34,'Train Runs'!$A$13:$V$999,1,TRUE)=K34,VLOOKUP(K34,'Train Runs'!$A$13:$V$999,22,TRUE),NA())</f>
        <v>https://d0f6bd738d7f1b3e5a7ca70fe4ff75f0.us-east-1.aws.found.io/app/kibana#/discover/Steve-Slow-Train-Analysis-(2080s-and-2083s)?_g=(refreshInterval:(display:Off,pause:!f,section:0,value:0),time:(from:'2017-03-09T23:22:00-0700',mode:absolute,to:'2017-03-10T02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J34" s="210">
        <f t="shared" si="2"/>
        <v>42801.331944444442</v>
      </c>
      <c r="K34" s="210" t="str">
        <f>D34&amp;"-"&amp;IF(DAY(Variables!$A$2)&lt;10,0,"")&amp;DAY(Variables!$A$2)</f>
        <v>240-09</v>
      </c>
      <c r="L34" s="206">
        <f>IF(VLOOKUP(K34,'Train Runs'!$A$12:$B$999,1,TRUE)=K34,VLOOKUP(K34,'Train Runs'!$A$12:$B$999,2,TRUE),NA())</f>
        <v>4019</v>
      </c>
      <c r="M34" s="206">
        <f>VLOOKUP(B34,Variables!$T$2:$X$99,2,FALSE)</f>
        <v>167</v>
      </c>
      <c r="N34" s="206">
        <f>VLOOKUP(B34,Variables!$T$2:$X$99,3,FALSE)</f>
        <v>168</v>
      </c>
      <c r="O34" s="206">
        <f>VLOOKUP(B34,Variables!$T$2:$X$99,4,FALSE)</f>
        <v>199</v>
      </c>
      <c r="P34" s="206">
        <f>VLOOKUP(B34,Variables!$T$2:$X$99,5,FALSE)</f>
        <v>200</v>
      </c>
      <c r="Q34" s="205" t="str">
        <f t="shared" si="3"/>
        <v>(\|PRM\|1\|D)|(crossing.((167)|(168)|(199)|(200)))</v>
      </c>
    </row>
    <row r="35" spans="1:17" x14ac:dyDescent="0.25">
      <c r="A35" s="202">
        <v>42801.061805555553</v>
      </c>
      <c r="B35" s="208" t="s">
        <v>484</v>
      </c>
      <c r="C35" s="198" t="s">
        <v>486</v>
      </c>
      <c r="D35" s="212">
        <v>242</v>
      </c>
      <c r="E35" s="30" t="s">
        <v>488</v>
      </c>
      <c r="F35" s="212" t="b">
        <v>1</v>
      </c>
      <c r="G35" s="216" t="str">
        <f t="shared" si="0"/>
        <v>"C:\Program Files (x86)\AstroGrep\AstroGrep.exe" /e /r /s /spath="%USERPROFILE%\AppData\Local\Temp\OnboardLogs" /stypes="*4004*201703070*" /stext=" 08:.+((SYSTEM_STATE.+slice.+state.+changed )|(ment ac)|(multiple cpu faults)|(system.+state.+changed )|(\[timeout)|(PRM\|1\|D)|(kpr)|(kdp)|(\|lc)|(penalty)|(\|PRM\|1\|D)|(crossing.((167)|(168)|(199)|(200))))"</v>
      </c>
      <c r="H35" s="218" t="str">
        <f t="shared" si="1"/>
        <v>grep -hSE " 08:.+((\|PRM\|1\|D)|(crossing.((167)|(168)|(199)|(200))))" "%USERPROFILE%\AppData\Local\Temp\OnboardLogs"\RTDC4004\*4004*201703070*</v>
      </c>
      <c r="I35" s="214" t="str">
        <f>IF(VLOOKUP(K35,'Train Runs'!$A$13:$V$999,1,TRUE)=K35,VLOOKUP(K35,'Train Runs'!$A$13:$V$999,22,TRUE),NA())</f>
        <v>https://d0f6bd738d7f1b3e5a7ca70fe4ff75f0.us-east-1.aws.found.io/app/kibana#/discover/Steve-Slow-Train-Analysis-(2080s-and-2083s)?_g=(refreshInterval:(display:Off,pause:!f,section:0,value:0),time:(from:'2017-03-09T23:47:05-0700',mode:absolute,to:'2017-03-10T02:38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J35" s="210">
        <f t="shared" si="2"/>
        <v>42801.353472222218</v>
      </c>
      <c r="K35" s="210" t="str">
        <f>D35&amp;"-"&amp;IF(DAY(Variables!$A$2)&lt;10,0,"")&amp;DAY(Variables!$A$2)</f>
        <v>242-09</v>
      </c>
      <c r="L35" s="206">
        <f>IF(VLOOKUP(K35,'Train Runs'!$A$12:$B$999,1,TRUE)=K35,VLOOKUP(K35,'Train Runs'!$A$12:$B$999,2,TRUE),NA())</f>
        <v>4004</v>
      </c>
      <c r="M35" s="206">
        <f>VLOOKUP(B35,Variables!$T$2:$X$99,2,FALSE)</f>
        <v>167</v>
      </c>
      <c r="N35" s="206">
        <f>VLOOKUP(B35,Variables!$T$2:$X$99,3,FALSE)</f>
        <v>168</v>
      </c>
      <c r="O35" s="206">
        <f>VLOOKUP(B35,Variables!$T$2:$X$99,4,FALSE)</f>
        <v>199</v>
      </c>
      <c r="P35" s="206">
        <f>VLOOKUP(B35,Variables!$T$2:$X$99,5,FALSE)</f>
        <v>200</v>
      </c>
      <c r="Q35" s="205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199</v>
      </c>
      <c r="G1" s="8" t="s">
        <v>198</v>
      </c>
    </row>
    <row r="2" spans="1:7" x14ac:dyDescent="0.25">
      <c r="A2" s="8">
        <v>42803.033553240741</v>
      </c>
      <c r="B2" s="20" t="s">
        <v>444</v>
      </c>
      <c r="C2" s="20" t="s">
        <v>533</v>
      </c>
      <c r="D2" s="150">
        <v>2150000</v>
      </c>
      <c r="E2" s="20" t="s">
        <v>526</v>
      </c>
      <c r="F2" s="20" t="s">
        <v>527</v>
      </c>
      <c r="G2" s="8" t="str">
        <f>E2&amp;" "&amp;F2</f>
        <v>SWANSON BRYCE</v>
      </c>
    </row>
    <row r="3" spans="1:7" x14ac:dyDescent="0.25">
      <c r="A3" s="8">
        <v>42803.036689814813</v>
      </c>
      <c r="B3" s="20" t="s">
        <v>500</v>
      </c>
      <c r="C3" s="20" t="s">
        <v>534</v>
      </c>
      <c r="D3" s="150">
        <v>2450000</v>
      </c>
      <c r="E3" s="20" t="s">
        <v>528</v>
      </c>
      <c r="F3" s="20" t="s">
        <v>529</v>
      </c>
      <c r="G3" s="8" t="str">
        <f t="shared" ref="G3:G66" si="0">E3&amp;" "&amp;F3</f>
        <v>NELSON ARIANE</v>
      </c>
    </row>
    <row r="4" spans="1:7" x14ac:dyDescent="0.25">
      <c r="A4" s="8">
        <v>42803.048831018517</v>
      </c>
      <c r="B4" s="20" t="s">
        <v>499</v>
      </c>
      <c r="C4" s="20" t="s">
        <v>531</v>
      </c>
      <c r="D4" s="150">
        <v>2730000</v>
      </c>
      <c r="E4" s="20" t="s">
        <v>240</v>
      </c>
      <c r="F4" s="20" t="s">
        <v>241</v>
      </c>
      <c r="G4" s="8" t="str">
        <f t="shared" si="0"/>
        <v>YANG JAN</v>
      </c>
    </row>
    <row r="5" spans="1:7" x14ac:dyDescent="0.25">
      <c r="A5" s="8">
        <v>42803.05740740741</v>
      </c>
      <c r="B5" s="20" t="s">
        <v>212</v>
      </c>
      <c r="C5" s="20" t="s">
        <v>535</v>
      </c>
      <c r="D5" s="150">
        <v>1810000</v>
      </c>
      <c r="E5" s="20" t="s">
        <v>201</v>
      </c>
      <c r="F5" s="20" t="s">
        <v>197</v>
      </c>
      <c r="G5" s="8" t="str">
        <f t="shared" si="0"/>
        <v>NEWELL JAMES</v>
      </c>
    </row>
    <row r="6" spans="1:7" x14ac:dyDescent="0.25">
      <c r="A6" s="8">
        <v>42803.069062499999</v>
      </c>
      <c r="B6" s="20" t="s">
        <v>427</v>
      </c>
      <c r="C6" s="20" t="s">
        <v>536</v>
      </c>
      <c r="D6" s="150">
        <v>1740000</v>
      </c>
      <c r="E6" s="20" t="s">
        <v>458</v>
      </c>
      <c r="F6" s="20" t="s">
        <v>459</v>
      </c>
      <c r="G6" s="8" t="str">
        <f t="shared" si="0"/>
        <v>STORY SAMANTHA</v>
      </c>
    </row>
    <row r="7" spans="1:7" x14ac:dyDescent="0.25">
      <c r="A7" s="8">
        <v>42803.07240740741</v>
      </c>
      <c r="B7" s="20" t="s">
        <v>501</v>
      </c>
      <c r="C7" s="20" t="s">
        <v>537</v>
      </c>
      <c r="D7" s="150">
        <v>2450000</v>
      </c>
      <c r="E7" s="20" t="s">
        <v>528</v>
      </c>
      <c r="F7" s="20" t="s">
        <v>529</v>
      </c>
      <c r="G7" s="8" t="str">
        <f t="shared" si="0"/>
        <v>NELSON ARIANE</v>
      </c>
    </row>
    <row r="8" spans="1:7" x14ac:dyDescent="0.25">
      <c r="A8" s="8">
        <v>42803.076689814814</v>
      </c>
      <c r="B8" s="20" t="s">
        <v>504</v>
      </c>
      <c r="C8" s="20" t="s">
        <v>532</v>
      </c>
      <c r="D8" s="150">
        <v>2730000</v>
      </c>
      <c r="E8" s="20" t="s">
        <v>240</v>
      </c>
      <c r="F8" s="20" t="s">
        <v>241</v>
      </c>
      <c r="G8" s="8" t="str">
        <f t="shared" si="0"/>
        <v>YANG JAN</v>
      </c>
    </row>
    <row r="9" spans="1:7" ht="15.75" thickBot="1" x14ac:dyDescent="0.3">
      <c r="A9" s="24">
        <v>42803.090300925927</v>
      </c>
      <c r="B9" s="20" t="s">
        <v>211</v>
      </c>
      <c r="C9" s="20" t="s">
        <v>538</v>
      </c>
      <c r="D9" s="150">
        <v>1810000</v>
      </c>
      <c r="E9" s="20" t="s">
        <v>201</v>
      </c>
      <c r="F9" s="20" t="s">
        <v>197</v>
      </c>
      <c r="G9" s="8" t="str">
        <f t="shared" si="0"/>
        <v>NEWELL JAMES</v>
      </c>
    </row>
    <row r="10" spans="1:7" x14ac:dyDescent="0.25">
      <c r="A10" s="8">
        <v>42803.116238425922</v>
      </c>
      <c r="B10" s="20" t="s">
        <v>575</v>
      </c>
      <c r="C10" s="20" t="s">
        <v>614</v>
      </c>
      <c r="D10" s="150">
        <v>1140000</v>
      </c>
      <c r="E10" s="20" t="s">
        <v>505</v>
      </c>
      <c r="F10" s="20" t="s">
        <v>506</v>
      </c>
      <c r="G10" s="8" t="str">
        <f t="shared" si="0"/>
        <v>YOUNG ELIZABETH</v>
      </c>
    </row>
    <row r="11" spans="1:7" x14ac:dyDescent="0.25">
      <c r="A11" s="8">
        <v>42803.119432870371</v>
      </c>
      <c r="B11" s="20" t="s">
        <v>575</v>
      </c>
      <c r="C11" s="20" t="s">
        <v>614</v>
      </c>
      <c r="D11" s="150">
        <v>1140000</v>
      </c>
      <c r="E11" s="20" t="s">
        <v>505</v>
      </c>
      <c r="F11" s="20" t="s">
        <v>506</v>
      </c>
      <c r="G11" s="8" t="str">
        <f t="shared" si="0"/>
        <v>YOUNG ELIZABETH</v>
      </c>
    </row>
    <row r="12" spans="1:7" x14ac:dyDescent="0.25">
      <c r="A12" s="8">
        <v>42803.121631944443</v>
      </c>
      <c r="B12" s="20" t="s">
        <v>254</v>
      </c>
      <c r="C12" s="20" t="s">
        <v>615</v>
      </c>
      <c r="D12" s="150">
        <v>1090000</v>
      </c>
      <c r="E12" s="20" t="s">
        <v>616</v>
      </c>
      <c r="F12" s="20" t="s">
        <v>200</v>
      </c>
      <c r="G12" s="8" t="str">
        <f t="shared" si="0"/>
        <v>SPECTOR MICHAEL</v>
      </c>
    </row>
    <row r="13" spans="1:7" x14ac:dyDescent="0.25">
      <c r="A13" s="8">
        <v>42803.133715277778</v>
      </c>
      <c r="B13" s="20" t="s">
        <v>278</v>
      </c>
      <c r="C13" s="20" t="s">
        <v>617</v>
      </c>
      <c r="D13" s="150">
        <v>1140000</v>
      </c>
      <c r="E13" s="20" t="s">
        <v>505</v>
      </c>
      <c r="F13" s="20" t="s">
        <v>506</v>
      </c>
      <c r="G13" s="8" t="str">
        <f t="shared" si="0"/>
        <v>YOUNG ELIZABETH</v>
      </c>
    </row>
    <row r="14" spans="1:7" x14ac:dyDescent="0.25">
      <c r="A14" s="8">
        <v>42803.141875000001</v>
      </c>
      <c r="B14" s="20" t="s">
        <v>618</v>
      </c>
      <c r="C14" s="20" t="s">
        <v>619</v>
      </c>
      <c r="D14" s="150">
        <v>940000</v>
      </c>
      <c r="E14" s="20" t="s">
        <v>448</v>
      </c>
      <c r="F14" s="20" t="s">
        <v>449</v>
      </c>
      <c r="G14" s="8" t="str">
        <f t="shared" si="0"/>
        <v>BONDS REYNALDO</v>
      </c>
    </row>
    <row r="15" spans="1:7" x14ac:dyDescent="0.25">
      <c r="A15" s="8">
        <v>42803.153032407405</v>
      </c>
      <c r="B15" s="20" t="s">
        <v>252</v>
      </c>
      <c r="C15" s="20" t="s">
        <v>574</v>
      </c>
      <c r="D15" s="150">
        <v>1090000</v>
      </c>
      <c r="E15" s="20" t="s">
        <v>616</v>
      </c>
      <c r="F15" s="20" t="s">
        <v>200</v>
      </c>
      <c r="G15" s="8" t="str">
        <f t="shared" si="0"/>
        <v>SPECTOR MICHAEL</v>
      </c>
    </row>
    <row r="16" spans="1:7" x14ac:dyDescent="0.25">
      <c r="A16" s="8">
        <v>42803.153391203705</v>
      </c>
      <c r="B16" s="20" t="s">
        <v>271</v>
      </c>
      <c r="C16" s="20" t="s">
        <v>620</v>
      </c>
      <c r="D16" s="150">
        <v>940000</v>
      </c>
      <c r="E16" s="20" t="s">
        <v>448</v>
      </c>
      <c r="F16" s="20" t="s">
        <v>449</v>
      </c>
      <c r="G16" s="8" t="str">
        <f t="shared" si="0"/>
        <v>BONDS REYNALDO</v>
      </c>
    </row>
    <row r="17" spans="1:7" x14ac:dyDescent="0.25">
      <c r="A17" s="8">
        <v>42803.157523148147</v>
      </c>
      <c r="B17" s="20" t="s">
        <v>602</v>
      </c>
      <c r="C17" s="20" t="s">
        <v>621</v>
      </c>
      <c r="D17" s="150">
        <v>2140000</v>
      </c>
      <c r="E17" s="20" t="s">
        <v>622</v>
      </c>
      <c r="F17" s="20" t="s">
        <v>623</v>
      </c>
      <c r="G17" s="8" t="str">
        <f t="shared" si="0"/>
        <v>ROBINSON KADDIBA</v>
      </c>
    </row>
    <row r="18" spans="1:7" x14ac:dyDescent="0.25">
      <c r="A18" s="8">
        <v>42803.168298611112</v>
      </c>
      <c r="B18" s="20" t="s">
        <v>420</v>
      </c>
      <c r="C18" s="20" t="s">
        <v>624</v>
      </c>
      <c r="D18" s="150">
        <v>2140000</v>
      </c>
      <c r="E18" s="20" t="s">
        <v>622</v>
      </c>
      <c r="F18" s="20" t="s">
        <v>623</v>
      </c>
      <c r="G18" s="8" t="str">
        <f t="shared" si="0"/>
        <v>ROBINSON KADDIBA</v>
      </c>
    </row>
    <row r="19" spans="1:7" x14ac:dyDescent="0.25">
      <c r="A19" s="8">
        <v>42803.168564814812</v>
      </c>
      <c r="B19" s="20" t="s">
        <v>575</v>
      </c>
      <c r="C19" s="20" t="s">
        <v>576</v>
      </c>
      <c r="D19" s="150">
        <v>1140000</v>
      </c>
      <c r="E19" s="20" t="s">
        <v>505</v>
      </c>
      <c r="F19" s="20" t="s">
        <v>506</v>
      </c>
      <c r="G19" s="8" t="str">
        <f t="shared" si="0"/>
        <v>YOUNG ELIZABETH</v>
      </c>
    </row>
    <row r="20" spans="1:7" x14ac:dyDescent="0.25">
      <c r="A20" s="8">
        <v>42803.170231481483</v>
      </c>
      <c r="B20" s="20" t="s">
        <v>204</v>
      </c>
      <c r="C20" s="20" t="s">
        <v>625</v>
      </c>
      <c r="D20" s="150">
        <v>1100000</v>
      </c>
      <c r="E20" s="20" t="s">
        <v>507</v>
      </c>
      <c r="F20" s="20" t="s">
        <v>508</v>
      </c>
      <c r="G20" s="8" t="str">
        <f t="shared" si="0"/>
        <v>GEBRETEKLE DAGNEW</v>
      </c>
    </row>
    <row r="21" spans="1:7" x14ac:dyDescent="0.25">
      <c r="A21" s="8">
        <v>42803.171585648146</v>
      </c>
      <c r="B21" s="20" t="s">
        <v>204</v>
      </c>
      <c r="C21" s="20" t="s">
        <v>625</v>
      </c>
      <c r="D21" s="150">
        <v>1100000</v>
      </c>
      <c r="E21" s="20" t="s">
        <v>507</v>
      </c>
      <c r="F21" s="20" t="s">
        <v>508</v>
      </c>
      <c r="G21" s="8" t="str">
        <f t="shared" si="0"/>
        <v>GEBRETEKLE DAGNEW</v>
      </c>
    </row>
    <row r="22" spans="1:7" x14ac:dyDescent="0.25">
      <c r="A22" s="26">
        <v>42803.182858796295</v>
      </c>
      <c r="B22" s="20" t="s">
        <v>425</v>
      </c>
      <c r="C22" s="20" t="s">
        <v>626</v>
      </c>
      <c r="D22" s="150">
        <v>1100000</v>
      </c>
      <c r="E22" s="20" t="s">
        <v>507</v>
      </c>
      <c r="F22" s="20" t="s">
        <v>508</v>
      </c>
      <c r="G22" s="8" t="str">
        <f t="shared" si="0"/>
        <v>GEBRETEKLE DAGNEW</v>
      </c>
    </row>
    <row r="23" spans="1:7" x14ac:dyDescent="0.25">
      <c r="A23" s="8">
        <v>42803.183993055558</v>
      </c>
      <c r="B23" s="20" t="s">
        <v>425</v>
      </c>
      <c r="C23" s="20" t="s">
        <v>626</v>
      </c>
      <c r="D23" s="150">
        <v>1100000</v>
      </c>
      <c r="E23" s="20" t="s">
        <v>507</v>
      </c>
      <c r="F23" s="20" t="s">
        <v>508</v>
      </c>
      <c r="G23" s="8" t="str">
        <f t="shared" si="0"/>
        <v>GEBRETEKLE DAGNEW</v>
      </c>
    </row>
    <row r="24" spans="1:7" x14ac:dyDescent="0.25">
      <c r="A24" s="8">
        <v>42803.186215277776</v>
      </c>
      <c r="B24" s="20" t="s">
        <v>502</v>
      </c>
      <c r="C24" s="20" t="s">
        <v>627</v>
      </c>
      <c r="D24" s="150">
        <v>900000</v>
      </c>
      <c r="E24" s="20" t="s">
        <v>452</v>
      </c>
      <c r="F24" s="20" t="s">
        <v>453</v>
      </c>
      <c r="G24" s="8" t="str">
        <f t="shared" si="0"/>
        <v>ROCHA YAOTL</v>
      </c>
    </row>
    <row r="25" spans="1:7" x14ac:dyDescent="0.25">
      <c r="A25" s="8">
        <v>42803.191666666666</v>
      </c>
      <c r="B25" s="20" t="s">
        <v>618</v>
      </c>
      <c r="C25" s="20" t="s">
        <v>628</v>
      </c>
      <c r="D25" s="150">
        <v>940000</v>
      </c>
      <c r="E25" s="20" t="s">
        <v>448</v>
      </c>
      <c r="F25" s="20" t="s">
        <v>449</v>
      </c>
      <c r="G25" s="8" t="str">
        <f t="shared" si="0"/>
        <v>BONDS REYNALDO</v>
      </c>
    </row>
    <row r="26" spans="1:7" x14ac:dyDescent="0.25">
      <c r="A26" s="8">
        <v>42803.196064814816</v>
      </c>
      <c r="B26" s="20" t="s">
        <v>510</v>
      </c>
      <c r="C26" s="20" t="s">
        <v>629</v>
      </c>
      <c r="D26" s="150">
        <v>900000</v>
      </c>
      <c r="E26" s="20" t="s">
        <v>452</v>
      </c>
      <c r="F26" s="20" t="s">
        <v>453</v>
      </c>
      <c r="G26" s="8" t="str">
        <f t="shared" si="0"/>
        <v>ROCHA YAOTL</v>
      </c>
    </row>
    <row r="27" spans="1:7" x14ac:dyDescent="0.25">
      <c r="A27" s="8">
        <v>42803.198495370372</v>
      </c>
      <c r="B27" s="20" t="s">
        <v>600</v>
      </c>
      <c r="C27" s="20" t="s">
        <v>630</v>
      </c>
      <c r="D27" s="150">
        <v>2020000</v>
      </c>
      <c r="E27" s="20" t="s">
        <v>631</v>
      </c>
      <c r="F27" s="20" t="s">
        <v>421</v>
      </c>
      <c r="G27" s="8" t="str">
        <f t="shared" si="0"/>
        <v>SHOOK JOHN</v>
      </c>
    </row>
    <row r="28" spans="1:7" x14ac:dyDescent="0.25">
      <c r="A28" s="8">
        <v>42803.207997685182</v>
      </c>
      <c r="B28" s="20" t="s">
        <v>278</v>
      </c>
      <c r="C28" s="20" t="s">
        <v>632</v>
      </c>
      <c r="D28" s="150">
        <v>1830000</v>
      </c>
      <c r="E28" s="20" t="s">
        <v>450</v>
      </c>
      <c r="F28" s="20" t="s">
        <v>451</v>
      </c>
      <c r="G28" s="8" t="str">
        <f t="shared" si="0"/>
        <v>YORK EDGAR</v>
      </c>
    </row>
    <row r="29" spans="1:7" x14ac:dyDescent="0.25">
      <c r="A29" s="8">
        <v>42803.210370370369</v>
      </c>
      <c r="B29" s="20" t="s">
        <v>602</v>
      </c>
      <c r="C29" s="20" t="s">
        <v>633</v>
      </c>
      <c r="D29" s="150">
        <v>2140000</v>
      </c>
      <c r="E29" s="20" t="s">
        <v>622</v>
      </c>
      <c r="F29" s="20" t="s">
        <v>623</v>
      </c>
      <c r="G29" s="8" t="str">
        <f t="shared" si="0"/>
        <v>ROBINSON KADDIBA</v>
      </c>
    </row>
    <row r="30" spans="1:7" x14ac:dyDescent="0.25">
      <c r="A30" s="8">
        <v>42803.211539351854</v>
      </c>
      <c r="B30" s="20" t="s">
        <v>594</v>
      </c>
      <c r="C30" s="20" t="s">
        <v>634</v>
      </c>
      <c r="D30" s="150">
        <v>2020000</v>
      </c>
      <c r="E30" s="20" t="s">
        <v>631</v>
      </c>
      <c r="F30" s="20" t="s">
        <v>421</v>
      </c>
      <c r="G30" s="8" t="str">
        <f t="shared" si="0"/>
        <v>SHOOK JOHN</v>
      </c>
    </row>
    <row r="31" spans="1:7" x14ac:dyDescent="0.25">
      <c r="A31" s="8">
        <v>42803.212650462963</v>
      </c>
      <c r="B31" s="20" t="s">
        <v>635</v>
      </c>
      <c r="C31" s="20" t="s">
        <v>636</v>
      </c>
      <c r="D31" s="150">
        <v>1140000</v>
      </c>
      <c r="E31" s="20" t="s">
        <v>505</v>
      </c>
      <c r="F31" s="20" t="s">
        <v>506</v>
      </c>
      <c r="G31" s="8" t="str">
        <f t="shared" si="0"/>
        <v>YOUNG ELIZABETH</v>
      </c>
    </row>
    <row r="32" spans="1:7" x14ac:dyDescent="0.25">
      <c r="A32" s="8">
        <v>42803.224282407406</v>
      </c>
      <c r="B32" s="20" t="s">
        <v>204</v>
      </c>
      <c r="C32" s="20" t="s">
        <v>637</v>
      </c>
      <c r="D32" s="150">
        <v>1100000</v>
      </c>
      <c r="E32" s="20" t="s">
        <v>507</v>
      </c>
      <c r="F32" s="20" t="s">
        <v>508</v>
      </c>
      <c r="G32" s="8" t="str">
        <f t="shared" si="0"/>
        <v>GEBRETEKLE DAGNEW</v>
      </c>
    </row>
    <row r="33" spans="1:7" x14ac:dyDescent="0.25">
      <c r="A33" s="8">
        <v>42803.228020833332</v>
      </c>
      <c r="B33" s="20" t="s">
        <v>271</v>
      </c>
      <c r="C33" s="20" t="s">
        <v>638</v>
      </c>
      <c r="D33" s="150">
        <v>1110000</v>
      </c>
      <c r="E33" s="20" t="s">
        <v>446</v>
      </c>
      <c r="F33" s="20" t="s">
        <v>447</v>
      </c>
      <c r="G33" s="8" t="str">
        <f t="shared" si="0"/>
        <v>STARKS ANGELINA</v>
      </c>
    </row>
    <row r="34" spans="1:7" x14ac:dyDescent="0.25">
      <c r="A34" s="8">
        <v>42803.228460648148</v>
      </c>
      <c r="B34" s="20" t="s">
        <v>600</v>
      </c>
      <c r="C34" s="20" t="s">
        <v>639</v>
      </c>
      <c r="D34" s="150">
        <v>2020000</v>
      </c>
      <c r="E34" s="20" t="s">
        <v>631</v>
      </c>
      <c r="F34" s="20" t="s">
        <v>421</v>
      </c>
      <c r="G34" s="8" t="str">
        <f t="shared" si="0"/>
        <v>SHOOK JOHN</v>
      </c>
    </row>
    <row r="35" spans="1:7" x14ac:dyDescent="0.25">
      <c r="A35" s="8">
        <v>42803.232187499998</v>
      </c>
      <c r="B35" s="20" t="s">
        <v>589</v>
      </c>
      <c r="C35" s="20" t="s">
        <v>640</v>
      </c>
      <c r="D35" s="150">
        <v>940000</v>
      </c>
      <c r="E35" s="20" t="s">
        <v>448</v>
      </c>
      <c r="F35" s="20" t="s">
        <v>449</v>
      </c>
      <c r="G35" s="8" t="str">
        <f t="shared" si="0"/>
        <v>BONDS REYNALDO</v>
      </c>
    </row>
    <row r="36" spans="1:7" x14ac:dyDescent="0.25">
      <c r="A36" s="8">
        <v>42803.233171296299</v>
      </c>
      <c r="B36" s="20" t="s">
        <v>589</v>
      </c>
      <c r="C36" s="20" t="s">
        <v>640</v>
      </c>
      <c r="D36" s="150">
        <v>940000</v>
      </c>
      <c r="E36" s="20" t="s">
        <v>448</v>
      </c>
      <c r="F36" s="20" t="s">
        <v>449</v>
      </c>
      <c r="G36" s="8" t="str">
        <f t="shared" si="0"/>
        <v>BONDS REYNALDO</v>
      </c>
    </row>
    <row r="37" spans="1:7" x14ac:dyDescent="0.25">
      <c r="A37" s="8">
        <v>42803.235879629632</v>
      </c>
      <c r="B37" s="20" t="s">
        <v>502</v>
      </c>
      <c r="C37" s="20" t="s">
        <v>577</v>
      </c>
      <c r="D37" s="150">
        <v>900000</v>
      </c>
      <c r="E37" s="20" t="s">
        <v>452</v>
      </c>
      <c r="F37" s="20" t="s">
        <v>453</v>
      </c>
      <c r="G37" s="8" t="str">
        <f t="shared" si="0"/>
        <v>ROCHA YAOTL</v>
      </c>
    </row>
    <row r="38" spans="1:7" x14ac:dyDescent="0.25">
      <c r="A38" s="8">
        <v>42803.246979166666</v>
      </c>
      <c r="B38" s="20" t="s">
        <v>418</v>
      </c>
      <c r="C38" s="20" t="s">
        <v>641</v>
      </c>
      <c r="D38" s="150">
        <v>1830000</v>
      </c>
      <c r="E38" s="20" t="s">
        <v>450</v>
      </c>
      <c r="F38" s="20" t="s">
        <v>451</v>
      </c>
      <c r="G38" s="8" t="str">
        <f t="shared" si="0"/>
        <v>YORK EDGAR</v>
      </c>
    </row>
    <row r="39" spans="1:7" x14ac:dyDescent="0.25">
      <c r="A39" s="8">
        <v>42803.247314814813</v>
      </c>
      <c r="B39" s="20" t="s">
        <v>420</v>
      </c>
      <c r="C39" s="20" t="s">
        <v>642</v>
      </c>
      <c r="D39" s="150">
        <v>1290000</v>
      </c>
      <c r="E39" s="20" t="s">
        <v>509</v>
      </c>
      <c r="F39" s="20" t="s">
        <v>421</v>
      </c>
      <c r="G39" s="8" t="str">
        <f t="shared" si="0"/>
        <v>COOLAHAN JOHN</v>
      </c>
    </row>
    <row r="40" spans="1:7" x14ac:dyDescent="0.25">
      <c r="A40" s="8">
        <v>42803.248622685183</v>
      </c>
      <c r="B40" s="25" t="s">
        <v>575</v>
      </c>
      <c r="C40" s="20" t="s">
        <v>578</v>
      </c>
      <c r="D40" s="150">
        <v>1140000</v>
      </c>
      <c r="E40" s="20" t="s">
        <v>505</v>
      </c>
      <c r="F40" s="20" t="s">
        <v>506</v>
      </c>
      <c r="G40" s="8" t="str">
        <f t="shared" si="0"/>
        <v>YOUNG ELIZABETH</v>
      </c>
    </row>
    <row r="41" spans="1:7" x14ac:dyDescent="0.25">
      <c r="A41" s="8">
        <v>42803.255324074074</v>
      </c>
      <c r="B41" s="20" t="s">
        <v>231</v>
      </c>
      <c r="C41" s="20" t="s">
        <v>643</v>
      </c>
      <c r="D41" s="150">
        <v>890000</v>
      </c>
      <c r="E41" s="20" t="s">
        <v>513</v>
      </c>
      <c r="F41" s="20" t="s">
        <v>514</v>
      </c>
      <c r="G41" s="8" t="str">
        <f t="shared" si="0"/>
        <v>LOZA FIDEL</v>
      </c>
    </row>
    <row r="42" spans="1:7" x14ac:dyDescent="0.25">
      <c r="A42" s="8">
        <v>42803.256377314814</v>
      </c>
      <c r="B42" s="20" t="s">
        <v>425</v>
      </c>
      <c r="C42" s="20" t="s">
        <v>644</v>
      </c>
      <c r="D42" s="150">
        <v>1100000</v>
      </c>
      <c r="E42" s="20" t="s">
        <v>507</v>
      </c>
      <c r="F42" s="20" t="s">
        <v>508</v>
      </c>
      <c r="G42" s="8" t="str">
        <f t="shared" si="0"/>
        <v>GEBRETEKLE DAGNEW</v>
      </c>
    </row>
    <row r="43" spans="1:7" x14ac:dyDescent="0.25">
      <c r="A43" s="8">
        <v>42803.256516203706</v>
      </c>
      <c r="B43" s="20" t="s">
        <v>594</v>
      </c>
      <c r="C43" s="20" t="s">
        <v>645</v>
      </c>
      <c r="D43" s="150">
        <v>2020000</v>
      </c>
      <c r="E43" s="20" t="s">
        <v>631</v>
      </c>
      <c r="F43" s="20" t="s">
        <v>421</v>
      </c>
      <c r="G43" s="8" t="str">
        <f t="shared" si="0"/>
        <v>SHOOK JOHN</v>
      </c>
    </row>
    <row r="44" spans="1:7" x14ac:dyDescent="0.25">
      <c r="A44" s="8">
        <v>42803.264398148145</v>
      </c>
      <c r="B44" s="20" t="s">
        <v>190</v>
      </c>
      <c r="C44" s="20" t="s">
        <v>646</v>
      </c>
      <c r="D44" s="150">
        <v>890000</v>
      </c>
      <c r="E44" s="20" t="s">
        <v>513</v>
      </c>
      <c r="F44" s="20" t="s">
        <v>514</v>
      </c>
      <c r="G44" s="8" t="str">
        <f t="shared" si="0"/>
        <v>LOZA FIDEL</v>
      </c>
    </row>
    <row r="45" spans="1:7" x14ac:dyDescent="0.25">
      <c r="A45" s="8">
        <v>42803.266238425924</v>
      </c>
      <c r="B45" s="20" t="s">
        <v>272</v>
      </c>
      <c r="C45" s="20" t="s">
        <v>579</v>
      </c>
      <c r="D45" s="150">
        <v>1110000</v>
      </c>
      <c r="E45" s="20" t="s">
        <v>446</v>
      </c>
      <c r="F45" s="20" t="s">
        <v>447</v>
      </c>
      <c r="G45" s="8" t="str">
        <f t="shared" si="0"/>
        <v>STARKS ANGELINA</v>
      </c>
    </row>
    <row r="46" spans="1:7" x14ac:dyDescent="0.25">
      <c r="A46" s="8">
        <v>42803.266377314816</v>
      </c>
      <c r="B46" s="20" t="s">
        <v>510</v>
      </c>
      <c r="C46" s="20" t="s">
        <v>647</v>
      </c>
      <c r="D46" s="150">
        <v>900000</v>
      </c>
      <c r="E46" s="20" t="s">
        <v>452</v>
      </c>
      <c r="F46" s="20" t="s">
        <v>453</v>
      </c>
      <c r="G46" s="8" t="str">
        <f t="shared" si="0"/>
        <v>ROCHA YAOTL</v>
      </c>
    </row>
    <row r="47" spans="1:7" x14ac:dyDescent="0.25">
      <c r="A47" s="8">
        <v>42803.269953703704</v>
      </c>
      <c r="B47" s="20" t="s">
        <v>600</v>
      </c>
      <c r="C47" s="20" t="s">
        <v>648</v>
      </c>
      <c r="D47" s="150">
        <v>2020000</v>
      </c>
      <c r="E47" s="20" t="s">
        <v>631</v>
      </c>
      <c r="F47" s="20" t="s">
        <v>421</v>
      </c>
      <c r="G47" s="8" t="str">
        <f t="shared" si="0"/>
        <v>SHOOK JOHN</v>
      </c>
    </row>
    <row r="48" spans="1:7" x14ac:dyDescent="0.25">
      <c r="A48" s="8">
        <v>42803.275879629633</v>
      </c>
      <c r="B48" s="20" t="s">
        <v>618</v>
      </c>
      <c r="C48" s="20" t="s">
        <v>649</v>
      </c>
      <c r="D48" s="150">
        <v>940000</v>
      </c>
      <c r="E48" s="20" t="s">
        <v>448</v>
      </c>
      <c r="F48" s="20" t="s">
        <v>449</v>
      </c>
      <c r="G48" s="8" t="str">
        <f t="shared" si="0"/>
        <v>BONDS REYNALDO</v>
      </c>
    </row>
    <row r="49" spans="1:7" x14ac:dyDescent="0.25">
      <c r="A49" s="8">
        <v>42803.276469907411</v>
      </c>
      <c r="B49" s="20" t="s">
        <v>231</v>
      </c>
      <c r="C49" s="20" t="s">
        <v>650</v>
      </c>
      <c r="D49" s="150">
        <v>890000</v>
      </c>
      <c r="E49" s="20" t="s">
        <v>513</v>
      </c>
      <c r="F49" s="20" t="s">
        <v>514</v>
      </c>
      <c r="G49" s="8" t="str">
        <f t="shared" si="0"/>
        <v>LOZA FIDEL</v>
      </c>
    </row>
    <row r="50" spans="1:7" x14ac:dyDescent="0.25">
      <c r="A50" s="8">
        <v>42803.277256944442</v>
      </c>
      <c r="B50" s="20" t="s">
        <v>278</v>
      </c>
      <c r="C50" s="20" t="s">
        <v>651</v>
      </c>
      <c r="D50" s="150">
        <v>1830000</v>
      </c>
      <c r="E50" s="20" t="s">
        <v>450</v>
      </c>
      <c r="F50" s="20" t="s">
        <v>451</v>
      </c>
      <c r="G50" s="8" t="str">
        <f t="shared" si="0"/>
        <v>YORK EDGAR</v>
      </c>
    </row>
    <row r="51" spans="1:7" x14ac:dyDescent="0.25">
      <c r="A51" s="8">
        <v>42803.283518518518</v>
      </c>
      <c r="B51" s="20" t="s">
        <v>419</v>
      </c>
      <c r="C51" s="20" t="s">
        <v>652</v>
      </c>
      <c r="D51" s="150">
        <v>1290000</v>
      </c>
      <c r="E51" s="20" t="s">
        <v>509</v>
      </c>
      <c r="F51" s="20" t="s">
        <v>421</v>
      </c>
      <c r="G51" s="8" t="str">
        <f t="shared" si="0"/>
        <v>COOLAHAN JOHN</v>
      </c>
    </row>
    <row r="52" spans="1:7" x14ac:dyDescent="0.25">
      <c r="A52" s="8">
        <v>42803.290393518517</v>
      </c>
      <c r="B52" s="20" t="s">
        <v>635</v>
      </c>
      <c r="C52" s="20" t="s">
        <v>653</v>
      </c>
      <c r="D52" s="150">
        <v>1140000</v>
      </c>
      <c r="E52" s="20" t="s">
        <v>505</v>
      </c>
      <c r="F52" s="20" t="s">
        <v>506</v>
      </c>
      <c r="G52" s="8" t="str">
        <f t="shared" si="0"/>
        <v>YOUNG ELIZABETH</v>
      </c>
    </row>
    <row r="53" spans="1:7" x14ac:dyDescent="0.25">
      <c r="A53" s="8">
        <v>42803.296875</v>
      </c>
      <c r="B53" s="20" t="s">
        <v>204</v>
      </c>
      <c r="C53" s="20" t="s">
        <v>654</v>
      </c>
      <c r="D53" s="150">
        <v>1100000</v>
      </c>
      <c r="E53" s="20" t="s">
        <v>507</v>
      </c>
      <c r="F53" s="20" t="s">
        <v>508</v>
      </c>
      <c r="G53" s="8" t="str">
        <f t="shared" si="0"/>
        <v>GEBRETEKLE DAGNEW</v>
      </c>
    </row>
    <row r="54" spans="1:7" x14ac:dyDescent="0.25">
      <c r="A54" s="8">
        <v>42803.297025462962</v>
      </c>
      <c r="B54" s="20" t="s">
        <v>594</v>
      </c>
      <c r="C54" s="20" t="s">
        <v>655</v>
      </c>
      <c r="D54" s="150">
        <v>2020000</v>
      </c>
      <c r="E54" s="20" t="s">
        <v>631</v>
      </c>
      <c r="F54" s="20" t="s">
        <v>421</v>
      </c>
      <c r="G54" s="8" t="str">
        <f t="shared" si="0"/>
        <v>SHOOK JOHN</v>
      </c>
    </row>
    <row r="55" spans="1:7" x14ac:dyDescent="0.25">
      <c r="A55" s="8">
        <v>42803.300682870373</v>
      </c>
      <c r="B55" s="20" t="s">
        <v>271</v>
      </c>
      <c r="C55" s="20" t="s">
        <v>656</v>
      </c>
      <c r="D55" s="150">
        <v>1110000</v>
      </c>
      <c r="E55" s="20" t="s">
        <v>446</v>
      </c>
      <c r="F55" s="20" t="s">
        <v>447</v>
      </c>
      <c r="G55" s="8" t="str">
        <f t="shared" si="0"/>
        <v>STARKS ANGELINA</v>
      </c>
    </row>
    <row r="56" spans="1:7" x14ac:dyDescent="0.25">
      <c r="A56" s="8">
        <v>42803.304548611108</v>
      </c>
      <c r="B56" s="20" t="s">
        <v>190</v>
      </c>
      <c r="C56" s="20" t="s">
        <v>657</v>
      </c>
      <c r="D56" s="150">
        <v>890000</v>
      </c>
      <c r="E56" s="20" t="s">
        <v>513</v>
      </c>
      <c r="F56" s="20" t="s">
        <v>514</v>
      </c>
      <c r="G56" s="8" t="str">
        <f t="shared" si="0"/>
        <v>LOZA FIDEL</v>
      </c>
    </row>
    <row r="57" spans="1:7" x14ac:dyDescent="0.25">
      <c r="A57" s="8">
        <v>42803.309259259258</v>
      </c>
      <c r="B57" s="20" t="s">
        <v>502</v>
      </c>
      <c r="C57" s="20" t="s">
        <v>658</v>
      </c>
      <c r="D57" s="150">
        <v>900000</v>
      </c>
      <c r="E57" s="20" t="s">
        <v>452</v>
      </c>
      <c r="F57" s="20" t="s">
        <v>453</v>
      </c>
      <c r="G57" s="8" t="str">
        <f t="shared" si="0"/>
        <v>ROCHA YAOTL</v>
      </c>
    </row>
    <row r="58" spans="1:7" x14ac:dyDescent="0.25">
      <c r="A58" s="8">
        <v>42803.309282407405</v>
      </c>
      <c r="B58" s="20" t="s">
        <v>589</v>
      </c>
      <c r="C58" s="20" t="s">
        <v>659</v>
      </c>
      <c r="D58" s="150">
        <v>940000</v>
      </c>
      <c r="E58" s="20" t="s">
        <v>448</v>
      </c>
      <c r="F58" s="20" t="s">
        <v>449</v>
      </c>
      <c r="G58" s="8" t="str">
        <f t="shared" si="0"/>
        <v>BONDS REYNALDO</v>
      </c>
    </row>
    <row r="59" spans="1:7" x14ac:dyDescent="0.25">
      <c r="A59" s="8">
        <v>42803.311261574076</v>
      </c>
      <c r="B59" s="20" t="s">
        <v>418</v>
      </c>
      <c r="C59" s="20" t="s">
        <v>660</v>
      </c>
      <c r="D59" s="150">
        <v>1830000</v>
      </c>
      <c r="E59" s="20" t="s">
        <v>450</v>
      </c>
      <c r="F59" s="20" t="s">
        <v>451</v>
      </c>
      <c r="G59" s="8" t="str">
        <f t="shared" si="0"/>
        <v>YORK EDGAR</v>
      </c>
    </row>
    <row r="60" spans="1:7" x14ac:dyDescent="0.25">
      <c r="A60" s="8">
        <v>42803.311377314814</v>
      </c>
      <c r="B60" s="20" t="s">
        <v>600</v>
      </c>
      <c r="C60" s="20" t="s">
        <v>661</v>
      </c>
      <c r="D60" s="150">
        <v>2020000</v>
      </c>
      <c r="E60" s="20" t="s">
        <v>631</v>
      </c>
      <c r="F60" s="20" t="s">
        <v>421</v>
      </c>
      <c r="G60" s="8" t="str">
        <f t="shared" si="0"/>
        <v>SHOOK JOHN</v>
      </c>
    </row>
    <row r="61" spans="1:7" x14ac:dyDescent="0.25">
      <c r="A61" s="8">
        <v>42803.31763888889</v>
      </c>
      <c r="B61" s="20" t="s">
        <v>231</v>
      </c>
      <c r="C61" s="20" t="s">
        <v>662</v>
      </c>
      <c r="D61" s="150">
        <v>890000</v>
      </c>
      <c r="E61" s="20" t="s">
        <v>513</v>
      </c>
      <c r="F61" s="20" t="s">
        <v>514</v>
      </c>
      <c r="G61" s="8" t="str">
        <f t="shared" si="0"/>
        <v>LOZA FIDEL</v>
      </c>
    </row>
    <row r="62" spans="1:7" x14ac:dyDescent="0.25">
      <c r="A62" s="8">
        <v>42803.318564814814</v>
      </c>
      <c r="B62" s="20" t="s">
        <v>420</v>
      </c>
      <c r="C62" s="20" t="s">
        <v>580</v>
      </c>
      <c r="D62" s="150">
        <v>1290000</v>
      </c>
      <c r="E62" s="20" t="s">
        <v>509</v>
      </c>
      <c r="F62" s="20" t="s">
        <v>421</v>
      </c>
      <c r="G62" s="8" t="str">
        <f t="shared" si="0"/>
        <v>COOLAHAN JOHN</v>
      </c>
    </row>
    <row r="63" spans="1:7" x14ac:dyDescent="0.25">
      <c r="A63" s="8">
        <v>42803.321921296294</v>
      </c>
      <c r="B63" s="20" t="s">
        <v>575</v>
      </c>
      <c r="C63" s="20" t="s">
        <v>663</v>
      </c>
      <c r="D63" s="150">
        <v>1140000</v>
      </c>
      <c r="E63" s="20" t="s">
        <v>505</v>
      </c>
      <c r="F63" s="20" t="s">
        <v>506</v>
      </c>
      <c r="G63" s="8" t="str">
        <f t="shared" si="0"/>
        <v>YOUNG ELIZABETH</v>
      </c>
    </row>
    <row r="64" spans="1:7" x14ac:dyDescent="0.25">
      <c r="A64" s="26">
        <v>42803.329571759263</v>
      </c>
      <c r="B64" s="20" t="s">
        <v>425</v>
      </c>
      <c r="C64" s="20" t="s">
        <v>664</v>
      </c>
      <c r="D64" s="150">
        <v>1100000</v>
      </c>
      <c r="E64" s="20" t="s">
        <v>507</v>
      </c>
      <c r="F64" s="20" t="s">
        <v>508</v>
      </c>
      <c r="G64" s="8" t="str">
        <f t="shared" si="0"/>
        <v>GEBRETEKLE DAGNEW</v>
      </c>
    </row>
    <row r="65" spans="1:7" x14ac:dyDescent="0.25">
      <c r="A65" s="8">
        <v>42803.338009259256</v>
      </c>
      <c r="B65" s="20" t="s">
        <v>272</v>
      </c>
      <c r="C65" s="20" t="s">
        <v>581</v>
      </c>
      <c r="D65" s="150">
        <v>1110000</v>
      </c>
      <c r="E65" s="20" t="s">
        <v>446</v>
      </c>
      <c r="F65" s="20" t="s">
        <v>447</v>
      </c>
      <c r="G65" s="8" t="str">
        <f t="shared" si="0"/>
        <v>STARKS ANGELINA</v>
      </c>
    </row>
    <row r="66" spans="1:7" x14ac:dyDescent="0.25">
      <c r="A66" s="8">
        <v>42803.338692129626</v>
      </c>
      <c r="B66" s="20" t="s">
        <v>594</v>
      </c>
      <c r="C66" s="20" t="s">
        <v>665</v>
      </c>
      <c r="D66" s="150">
        <v>2020000</v>
      </c>
      <c r="E66" s="20" t="s">
        <v>631</v>
      </c>
      <c r="F66" s="20" t="s">
        <v>421</v>
      </c>
      <c r="G66" s="8" t="str">
        <f t="shared" si="0"/>
        <v>SHOOK JOHN</v>
      </c>
    </row>
    <row r="67" spans="1:7" x14ac:dyDescent="0.25">
      <c r="A67" s="8">
        <v>42803.340150462966</v>
      </c>
      <c r="B67" s="20" t="s">
        <v>510</v>
      </c>
      <c r="C67" s="20" t="s">
        <v>666</v>
      </c>
      <c r="D67" s="150">
        <v>900000</v>
      </c>
      <c r="E67" s="20" t="s">
        <v>452</v>
      </c>
      <c r="F67" s="20" t="s">
        <v>453</v>
      </c>
      <c r="G67" s="8" t="str">
        <f t="shared" ref="G67:G130" si="1">E67&amp;" "&amp;F67</f>
        <v>ROCHA YAOTL</v>
      </c>
    </row>
    <row r="68" spans="1:7" x14ac:dyDescent="0.25">
      <c r="A68" s="8">
        <v>42803.346875000003</v>
      </c>
      <c r="B68" s="20" t="s">
        <v>190</v>
      </c>
      <c r="C68" s="20" t="s">
        <v>582</v>
      </c>
      <c r="D68" s="150">
        <v>890000</v>
      </c>
      <c r="E68" s="20" t="s">
        <v>513</v>
      </c>
      <c r="F68" s="20" t="s">
        <v>514</v>
      </c>
      <c r="G68" s="8" t="str">
        <f t="shared" si="1"/>
        <v>LOZA FIDEL</v>
      </c>
    </row>
    <row r="69" spans="1:7" x14ac:dyDescent="0.25">
      <c r="A69" s="8">
        <v>42803.347083333334</v>
      </c>
      <c r="B69" s="20" t="s">
        <v>618</v>
      </c>
      <c r="C69" s="20" t="s">
        <v>667</v>
      </c>
      <c r="D69" s="150">
        <v>940000</v>
      </c>
      <c r="E69" s="20" t="s">
        <v>448</v>
      </c>
      <c r="F69" s="20" t="s">
        <v>449</v>
      </c>
      <c r="G69" s="8" t="str">
        <f t="shared" si="1"/>
        <v>BONDS REYNALDO</v>
      </c>
    </row>
    <row r="70" spans="1:7" x14ac:dyDescent="0.25">
      <c r="A70" s="8">
        <v>42803.351261574076</v>
      </c>
      <c r="B70" s="20" t="s">
        <v>596</v>
      </c>
      <c r="C70" s="20" t="s">
        <v>668</v>
      </c>
      <c r="D70" s="150">
        <v>1830000</v>
      </c>
      <c r="E70" s="20" t="s">
        <v>450</v>
      </c>
      <c r="F70" s="20" t="s">
        <v>451</v>
      </c>
      <c r="G70" s="8" t="str">
        <f t="shared" si="1"/>
        <v>YORK EDGAR</v>
      </c>
    </row>
    <row r="71" spans="1:7" x14ac:dyDescent="0.25">
      <c r="A71" s="8">
        <v>42803.353460648148</v>
      </c>
      <c r="B71" s="20" t="s">
        <v>419</v>
      </c>
      <c r="C71" s="20" t="s">
        <v>669</v>
      </c>
      <c r="D71" s="150">
        <v>2140000</v>
      </c>
      <c r="E71" s="20" t="s">
        <v>622</v>
      </c>
      <c r="F71" s="20" t="s">
        <v>623</v>
      </c>
      <c r="G71" s="8" t="str">
        <f t="shared" si="1"/>
        <v>ROBINSON KADDIBA</v>
      </c>
    </row>
    <row r="72" spans="1:7" x14ac:dyDescent="0.25">
      <c r="A72" s="8">
        <v>42803.353807870371</v>
      </c>
      <c r="B72" s="20" t="s">
        <v>600</v>
      </c>
      <c r="C72" s="20" t="s">
        <v>670</v>
      </c>
      <c r="D72" s="150">
        <v>2020000</v>
      </c>
      <c r="E72" s="20" t="s">
        <v>631</v>
      </c>
      <c r="F72" s="20" t="s">
        <v>421</v>
      </c>
      <c r="G72" s="8" t="str">
        <f t="shared" si="1"/>
        <v>SHOOK JOHN</v>
      </c>
    </row>
    <row r="73" spans="1:7" x14ac:dyDescent="0.25">
      <c r="A73" s="8">
        <v>42803.359652777777</v>
      </c>
      <c r="B73" s="20" t="s">
        <v>231</v>
      </c>
      <c r="C73" s="20" t="s">
        <v>671</v>
      </c>
      <c r="D73" s="150">
        <v>890000</v>
      </c>
      <c r="E73" s="20" t="s">
        <v>513</v>
      </c>
      <c r="F73" s="20" t="s">
        <v>514</v>
      </c>
      <c r="G73" s="8" t="str">
        <f t="shared" si="1"/>
        <v>LOZA FIDEL</v>
      </c>
    </row>
    <row r="74" spans="1:7" x14ac:dyDescent="0.25">
      <c r="A74" s="8">
        <v>42803.36273148148</v>
      </c>
      <c r="B74" s="20" t="s">
        <v>635</v>
      </c>
      <c r="C74" s="20" t="s">
        <v>672</v>
      </c>
      <c r="D74" s="150">
        <v>1140000</v>
      </c>
      <c r="E74" s="20" t="s">
        <v>505</v>
      </c>
      <c r="F74" s="20" t="s">
        <v>506</v>
      </c>
      <c r="G74" s="8" t="str">
        <f t="shared" si="1"/>
        <v>YOUNG ELIZABETH</v>
      </c>
    </row>
    <row r="75" spans="1:7" x14ac:dyDescent="0.25">
      <c r="A75" s="8">
        <v>42803.369398148148</v>
      </c>
      <c r="B75" s="20" t="s">
        <v>204</v>
      </c>
      <c r="C75" s="20" t="s">
        <v>673</v>
      </c>
      <c r="D75" s="150">
        <v>1100000</v>
      </c>
      <c r="E75" s="20" t="s">
        <v>507</v>
      </c>
      <c r="F75" s="20" t="s">
        <v>508</v>
      </c>
      <c r="G75" s="8" t="str">
        <f t="shared" si="1"/>
        <v>GEBRETEKLE DAGNEW</v>
      </c>
    </row>
    <row r="76" spans="1:7" x14ac:dyDescent="0.25">
      <c r="A76" s="8">
        <v>42803.37226851852</v>
      </c>
      <c r="B76" s="20" t="s">
        <v>502</v>
      </c>
      <c r="C76" s="20" t="s">
        <v>674</v>
      </c>
      <c r="D76" s="150">
        <v>900000</v>
      </c>
      <c r="E76" s="20" t="s">
        <v>452</v>
      </c>
      <c r="F76" s="20" t="s">
        <v>453</v>
      </c>
      <c r="G76" s="8" t="str">
        <f t="shared" si="1"/>
        <v>ROCHA YAOTL</v>
      </c>
    </row>
    <row r="77" spans="1:7" x14ac:dyDescent="0.25">
      <c r="A77" s="8">
        <v>42803.372430555559</v>
      </c>
      <c r="B77" s="20" t="s">
        <v>271</v>
      </c>
      <c r="C77" s="20" t="s">
        <v>583</v>
      </c>
      <c r="D77" s="150">
        <v>1110000</v>
      </c>
      <c r="E77" s="20" t="s">
        <v>446</v>
      </c>
      <c r="F77" s="20" t="s">
        <v>447</v>
      </c>
      <c r="G77" s="8" t="str">
        <f t="shared" si="1"/>
        <v>STARKS ANGELINA</v>
      </c>
    </row>
    <row r="78" spans="1:7" x14ac:dyDescent="0.25">
      <c r="A78" s="8">
        <v>42803.380694444444</v>
      </c>
      <c r="B78" s="20" t="s">
        <v>602</v>
      </c>
      <c r="C78" s="20" t="s">
        <v>675</v>
      </c>
      <c r="D78" s="150">
        <v>1830000</v>
      </c>
      <c r="E78" s="20" t="s">
        <v>450</v>
      </c>
      <c r="F78" s="20" t="s">
        <v>451</v>
      </c>
      <c r="G78" s="8" t="str">
        <f t="shared" si="1"/>
        <v>YORK EDGAR</v>
      </c>
    </row>
    <row r="79" spans="1:7" x14ac:dyDescent="0.25">
      <c r="A79" s="8">
        <v>42803.382233796299</v>
      </c>
      <c r="B79" s="20" t="s">
        <v>589</v>
      </c>
      <c r="C79" s="20" t="s">
        <v>676</v>
      </c>
      <c r="D79" s="150">
        <v>940000</v>
      </c>
      <c r="E79" s="20" t="s">
        <v>448</v>
      </c>
      <c r="F79" s="20" t="s">
        <v>449</v>
      </c>
      <c r="G79" s="8" t="str">
        <f t="shared" si="1"/>
        <v>BONDS REYNALDO</v>
      </c>
    </row>
    <row r="80" spans="1:7" x14ac:dyDescent="0.25">
      <c r="A80" s="8">
        <v>42803.388113425928</v>
      </c>
      <c r="B80" s="20" t="s">
        <v>190</v>
      </c>
      <c r="C80" s="20" t="s">
        <v>677</v>
      </c>
      <c r="D80" s="150">
        <v>890000</v>
      </c>
      <c r="E80" s="20" t="s">
        <v>513</v>
      </c>
      <c r="F80" s="20" t="s">
        <v>514</v>
      </c>
      <c r="G80" s="8" t="str">
        <f t="shared" si="1"/>
        <v>LOZA FIDEL</v>
      </c>
    </row>
    <row r="81" spans="1:7" x14ac:dyDescent="0.25">
      <c r="A81" s="8">
        <v>42803.392708333333</v>
      </c>
      <c r="B81" s="20" t="s">
        <v>420</v>
      </c>
      <c r="C81" s="20" t="s">
        <v>678</v>
      </c>
      <c r="D81" s="150">
        <v>2140000</v>
      </c>
      <c r="E81" s="20" t="s">
        <v>622</v>
      </c>
      <c r="F81" s="20" t="s">
        <v>623</v>
      </c>
      <c r="G81" s="8" t="str">
        <f t="shared" si="1"/>
        <v>ROBINSON KADDIBA</v>
      </c>
    </row>
    <row r="82" spans="1:7" x14ac:dyDescent="0.25">
      <c r="A82" s="8">
        <v>42803.394803240742</v>
      </c>
      <c r="B82" s="20" t="s">
        <v>575</v>
      </c>
      <c r="C82" s="20" t="s">
        <v>585</v>
      </c>
      <c r="D82" s="150">
        <v>1140000</v>
      </c>
      <c r="E82" s="20" t="s">
        <v>505</v>
      </c>
      <c r="F82" s="20" t="s">
        <v>506</v>
      </c>
      <c r="G82" s="8" t="str">
        <f t="shared" si="1"/>
        <v>YOUNG ELIZABETH</v>
      </c>
    </row>
    <row r="83" spans="1:7" x14ac:dyDescent="0.25">
      <c r="A83" s="8">
        <v>42803.400405092594</v>
      </c>
      <c r="B83" s="20" t="s">
        <v>231</v>
      </c>
      <c r="C83" s="20" t="s">
        <v>679</v>
      </c>
      <c r="D83" s="150">
        <v>890000</v>
      </c>
      <c r="E83" s="20" t="s">
        <v>513</v>
      </c>
      <c r="F83" s="20" t="s">
        <v>514</v>
      </c>
      <c r="G83" s="8" t="str">
        <f t="shared" si="1"/>
        <v>LOZA FIDEL</v>
      </c>
    </row>
    <row r="84" spans="1:7" x14ac:dyDescent="0.25">
      <c r="A84" s="8">
        <v>42803.405972222223</v>
      </c>
      <c r="B84" s="20" t="s">
        <v>425</v>
      </c>
      <c r="C84" s="20" t="s">
        <v>680</v>
      </c>
      <c r="D84" s="150">
        <v>1100000</v>
      </c>
      <c r="E84" s="20" t="s">
        <v>507</v>
      </c>
      <c r="F84" s="20" t="s">
        <v>508</v>
      </c>
      <c r="G84" s="8" t="str">
        <f t="shared" si="1"/>
        <v>GEBRETEKLE DAGNEW</v>
      </c>
    </row>
    <row r="85" spans="1:7" x14ac:dyDescent="0.25">
      <c r="A85" s="8">
        <v>42803.411979166667</v>
      </c>
      <c r="B85" s="20" t="s">
        <v>272</v>
      </c>
      <c r="C85" s="20" t="s">
        <v>584</v>
      </c>
      <c r="D85" s="150">
        <v>1110000</v>
      </c>
      <c r="E85" s="20" t="s">
        <v>446</v>
      </c>
      <c r="F85" s="20" t="s">
        <v>447</v>
      </c>
      <c r="G85" s="8" t="str">
        <f t="shared" si="1"/>
        <v>STARKS ANGELINA</v>
      </c>
    </row>
    <row r="86" spans="1:7" x14ac:dyDescent="0.25">
      <c r="A86" s="8">
        <v>42803.414305555554</v>
      </c>
      <c r="B86" s="20" t="s">
        <v>510</v>
      </c>
      <c r="C86" s="20" t="s">
        <v>681</v>
      </c>
      <c r="D86" s="150">
        <v>900000</v>
      </c>
      <c r="E86" s="20" t="s">
        <v>452</v>
      </c>
      <c r="F86" s="20" t="s">
        <v>453</v>
      </c>
      <c r="G86" s="8" t="str">
        <f t="shared" si="1"/>
        <v>ROCHA YAOTL</v>
      </c>
    </row>
    <row r="87" spans="1:7" x14ac:dyDescent="0.25">
      <c r="A87" s="8">
        <v>42803.420763888891</v>
      </c>
      <c r="B87" s="20" t="s">
        <v>278</v>
      </c>
      <c r="C87" s="20" t="s">
        <v>682</v>
      </c>
      <c r="D87" s="150">
        <v>1230000</v>
      </c>
      <c r="E87" s="20" t="s">
        <v>511</v>
      </c>
      <c r="F87" s="20" t="s">
        <v>512</v>
      </c>
      <c r="G87" s="8" t="str">
        <f t="shared" si="1"/>
        <v>YANAI IAN</v>
      </c>
    </row>
    <row r="88" spans="1:7" x14ac:dyDescent="0.25">
      <c r="A88" s="8">
        <v>42803.421249999999</v>
      </c>
      <c r="B88" s="20" t="s">
        <v>278</v>
      </c>
      <c r="C88" s="20" t="s">
        <v>682</v>
      </c>
      <c r="D88" s="150">
        <v>1230000</v>
      </c>
      <c r="E88" s="20" t="s">
        <v>511</v>
      </c>
      <c r="F88" s="20" t="s">
        <v>512</v>
      </c>
      <c r="G88" s="8" t="str">
        <f t="shared" si="1"/>
        <v>YANAI IAN</v>
      </c>
    </row>
    <row r="89" spans="1:7" x14ac:dyDescent="0.25">
      <c r="A89" s="8">
        <v>42803.421747685185</v>
      </c>
      <c r="B89" s="20" t="s">
        <v>596</v>
      </c>
      <c r="C89" s="20" t="s">
        <v>683</v>
      </c>
      <c r="D89" s="150">
        <v>1830000</v>
      </c>
      <c r="E89" s="20" t="s">
        <v>450</v>
      </c>
      <c r="F89" s="20" t="s">
        <v>451</v>
      </c>
      <c r="G89" s="8" t="str">
        <f t="shared" si="1"/>
        <v>YORK EDGAR</v>
      </c>
    </row>
    <row r="90" spans="1:7" x14ac:dyDescent="0.25">
      <c r="A90" s="8">
        <v>42803.421805555554</v>
      </c>
      <c r="B90" s="20" t="s">
        <v>278</v>
      </c>
      <c r="C90" s="20" t="s">
        <v>682</v>
      </c>
      <c r="D90" s="150">
        <v>1230000</v>
      </c>
      <c r="E90" s="20" t="s">
        <v>511</v>
      </c>
      <c r="F90" s="20" t="s">
        <v>512</v>
      </c>
      <c r="G90" s="8" t="str">
        <f t="shared" si="1"/>
        <v>YANAI IAN</v>
      </c>
    </row>
    <row r="91" spans="1:7" x14ac:dyDescent="0.25">
      <c r="A91" s="8">
        <v>42803.421863425923</v>
      </c>
      <c r="B91" s="20" t="s">
        <v>618</v>
      </c>
      <c r="C91" s="20" t="s">
        <v>684</v>
      </c>
      <c r="D91" s="150">
        <v>940000</v>
      </c>
      <c r="E91" s="20" t="s">
        <v>448</v>
      </c>
      <c r="F91" s="20" t="s">
        <v>449</v>
      </c>
      <c r="G91" s="8" t="str">
        <f t="shared" si="1"/>
        <v>BONDS REYNALDO</v>
      </c>
    </row>
    <row r="92" spans="1:7" x14ac:dyDescent="0.25">
      <c r="A92" s="8">
        <v>42803.429212962961</v>
      </c>
      <c r="B92" s="20" t="s">
        <v>418</v>
      </c>
      <c r="C92" s="20" t="s">
        <v>682</v>
      </c>
      <c r="D92" s="150">
        <v>1230000</v>
      </c>
      <c r="E92" s="20" t="s">
        <v>511</v>
      </c>
      <c r="F92" s="20" t="s">
        <v>512</v>
      </c>
      <c r="G92" s="8" t="str">
        <f t="shared" si="1"/>
        <v>YANAI IAN</v>
      </c>
    </row>
    <row r="93" spans="1:7" x14ac:dyDescent="0.25">
      <c r="A93" s="8">
        <v>42803.429675925923</v>
      </c>
      <c r="B93" s="20" t="s">
        <v>190</v>
      </c>
      <c r="C93" s="20" t="s">
        <v>685</v>
      </c>
      <c r="D93" s="150">
        <v>890000</v>
      </c>
      <c r="E93" s="20" t="s">
        <v>513</v>
      </c>
      <c r="F93" s="20" t="s">
        <v>514</v>
      </c>
      <c r="G93" s="8" t="str">
        <f t="shared" si="1"/>
        <v>LOZA FIDEL</v>
      </c>
    </row>
    <row r="94" spans="1:7" x14ac:dyDescent="0.25">
      <c r="A94" s="8">
        <v>42803.430115740739</v>
      </c>
      <c r="B94" s="20" t="s">
        <v>418</v>
      </c>
      <c r="C94" s="20" t="s">
        <v>682</v>
      </c>
      <c r="D94" s="150">
        <v>1230000</v>
      </c>
      <c r="E94" s="20" t="s">
        <v>511</v>
      </c>
      <c r="F94" s="20" t="s">
        <v>512</v>
      </c>
      <c r="G94" s="8" t="str">
        <f t="shared" si="1"/>
        <v>YANAI IAN</v>
      </c>
    </row>
    <row r="95" spans="1:7" x14ac:dyDescent="0.25">
      <c r="A95" s="8">
        <v>42803.430775462963</v>
      </c>
      <c r="B95" s="20" t="s">
        <v>419</v>
      </c>
      <c r="C95" s="20" t="s">
        <v>686</v>
      </c>
      <c r="D95" s="150">
        <v>2140000</v>
      </c>
      <c r="E95" s="20" t="s">
        <v>622</v>
      </c>
      <c r="F95" s="20" t="s">
        <v>623</v>
      </c>
      <c r="G95" s="8" t="str">
        <f t="shared" si="1"/>
        <v>ROBINSON KADDIBA</v>
      </c>
    </row>
    <row r="96" spans="1:7" x14ac:dyDescent="0.25">
      <c r="A96" s="8">
        <v>42803.434618055559</v>
      </c>
      <c r="B96" s="20" t="s">
        <v>204</v>
      </c>
      <c r="C96" s="20" t="s">
        <v>687</v>
      </c>
      <c r="D96" s="150">
        <v>1100000</v>
      </c>
      <c r="E96" s="20" t="s">
        <v>507</v>
      </c>
      <c r="F96" s="20" t="s">
        <v>508</v>
      </c>
      <c r="G96" s="8" t="str">
        <f t="shared" si="1"/>
        <v>GEBRETEKLE DAGNEW</v>
      </c>
    </row>
    <row r="97" spans="1:7" x14ac:dyDescent="0.25">
      <c r="A97" s="8">
        <v>42803.435763888891</v>
      </c>
      <c r="B97" s="20" t="s">
        <v>254</v>
      </c>
      <c r="C97" s="20" t="s">
        <v>688</v>
      </c>
      <c r="D97" s="150">
        <v>2020000</v>
      </c>
      <c r="E97" s="20" t="s">
        <v>631</v>
      </c>
      <c r="F97" s="20" t="s">
        <v>421</v>
      </c>
      <c r="G97" s="8" t="str">
        <f t="shared" si="1"/>
        <v>SHOOK JOHN</v>
      </c>
    </row>
    <row r="98" spans="1:7" x14ac:dyDescent="0.25">
      <c r="A98" s="8">
        <v>42803.442418981482</v>
      </c>
      <c r="B98" s="20" t="s">
        <v>231</v>
      </c>
      <c r="C98" s="20" t="s">
        <v>689</v>
      </c>
      <c r="D98" s="150">
        <v>890000</v>
      </c>
      <c r="E98" s="20" t="s">
        <v>513</v>
      </c>
      <c r="F98" s="20" t="s">
        <v>514</v>
      </c>
      <c r="G98" s="8" t="str">
        <f t="shared" si="1"/>
        <v>LOZA FIDEL</v>
      </c>
    </row>
    <row r="99" spans="1:7" x14ac:dyDescent="0.25">
      <c r="A99" s="8">
        <v>42803.445833333331</v>
      </c>
      <c r="B99" s="20" t="s">
        <v>271</v>
      </c>
      <c r="C99" s="20" t="s">
        <v>690</v>
      </c>
      <c r="D99" s="150">
        <v>1110000</v>
      </c>
      <c r="E99" s="20" t="s">
        <v>446</v>
      </c>
      <c r="F99" s="20" t="s">
        <v>447</v>
      </c>
      <c r="G99" s="8" t="str">
        <f t="shared" si="1"/>
        <v>STARKS ANGELINA</v>
      </c>
    </row>
    <row r="100" spans="1:7" x14ac:dyDescent="0.25">
      <c r="A100" s="8">
        <v>42803.448229166665</v>
      </c>
      <c r="B100" s="20" t="s">
        <v>502</v>
      </c>
      <c r="C100" s="20" t="s">
        <v>691</v>
      </c>
      <c r="D100" s="150">
        <v>900000</v>
      </c>
      <c r="E100" s="20" t="s">
        <v>452</v>
      </c>
      <c r="F100" s="20" t="s">
        <v>453</v>
      </c>
      <c r="G100" s="8" t="str">
        <f t="shared" si="1"/>
        <v>ROCHA YAOTL</v>
      </c>
    </row>
    <row r="101" spans="1:7" x14ac:dyDescent="0.25">
      <c r="A101" s="8">
        <v>42803.451840277776</v>
      </c>
      <c r="B101" s="20" t="s">
        <v>503</v>
      </c>
      <c r="C101" s="20" t="s">
        <v>586</v>
      </c>
      <c r="D101" s="150">
        <v>1780000</v>
      </c>
      <c r="E101" s="20" t="s">
        <v>517</v>
      </c>
      <c r="F101" s="20" t="s">
        <v>518</v>
      </c>
      <c r="G101" s="8" t="str">
        <f t="shared" si="1"/>
        <v>DE LA ROSA ALEX</v>
      </c>
    </row>
    <row r="102" spans="1:7" x14ac:dyDescent="0.25">
      <c r="A102" s="8">
        <v>42803.453240740739</v>
      </c>
      <c r="B102" s="20" t="s">
        <v>602</v>
      </c>
      <c r="C102" s="20" t="s">
        <v>692</v>
      </c>
      <c r="D102" s="150">
        <v>1830000</v>
      </c>
      <c r="E102" s="20" t="s">
        <v>450</v>
      </c>
      <c r="F102" s="20" t="s">
        <v>451</v>
      </c>
      <c r="G102" s="8" t="str">
        <f t="shared" si="1"/>
        <v>YORK EDGAR</v>
      </c>
    </row>
    <row r="103" spans="1:7" x14ac:dyDescent="0.25">
      <c r="A103" s="8">
        <v>42803.457800925928</v>
      </c>
      <c r="B103" s="20" t="s">
        <v>589</v>
      </c>
      <c r="C103" s="20" t="s">
        <v>693</v>
      </c>
      <c r="D103" s="150">
        <v>930000</v>
      </c>
      <c r="E103" s="20" t="s">
        <v>454</v>
      </c>
      <c r="F103" s="20" t="s">
        <v>455</v>
      </c>
      <c r="G103" s="8" t="str">
        <f t="shared" si="1"/>
        <v>CLARK KATHLEEN</v>
      </c>
    </row>
    <row r="104" spans="1:7" x14ac:dyDescent="0.25">
      <c r="A104" s="8">
        <v>42803.466724537036</v>
      </c>
      <c r="B104" s="20" t="s">
        <v>420</v>
      </c>
      <c r="C104" s="20" t="s">
        <v>694</v>
      </c>
      <c r="D104" s="150">
        <v>2040000</v>
      </c>
      <c r="E104" s="20" t="s">
        <v>279</v>
      </c>
      <c r="F104" s="20" t="s">
        <v>280</v>
      </c>
      <c r="G104" s="8" t="str">
        <f t="shared" si="1"/>
        <v>MOSES BRADLEY</v>
      </c>
    </row>
    <row r="105" spans="1:7" x14ac:dyDescent="0.25">
      <c r="A105" s="8">
        <v>42803.46775462963</v>
      </c>
      <c r="B105" s="20" t="s">
        <v>252</v>
      </c>
      <c r="C105" s="20" t="s">
        <v>695</v>
      </c>
      <c r="D105" s="150">
        <v>2020000</v>
      </c>
      <c r="E105" s="20" t="s">
        <v>631</v>
      </c>
      <c r="F105" s="20" t="s">
        <v>421</v>
      </c>
      <c r="G105" s="8" t="str">
        <f t="shared" si="1"/>
        <v>SHOOK JOHN</v>
      </c>
    </row>
    <row r="106" spans="1:7" x14ac:dyDescent="0.25">
      <c r="A106" s="8">
        <v>42803.471875000003</v>
      </c>
      <c r="B106" s="20" t="s">
        <v>190</v>
      </c>
      <c r="C106" s="20" t="s">
        <v>696</v>
      </c>
      <c r="D106" s="150">
        <v>890000</v>
      </c>
      <c r="E106" s="20" t="s">
        <v>513</v>
      </c>
      <c r="F106" s="20" t="s">
        <v>514</v>
      </c>
      <c r="G106" s="8" t="str">
        <f t="shared" si="1"/>
        <v>LOZA FIDEL</v>
      </c>
    </row>
    <row r="107" spans="1:7" x14ac:dyDescent="0.25">
      <c r="A107" s="8">
        <v>42803.479224537034</v>
      </c>
      <c r="B107" s="20" t="s">
        <v>425</v>
      </c>
      <c r="C107" s="20" t="s">
        <v>697</v>
      </c>
      <c r="D107" s="150">
        <v>1770000</v>
      </c>
      <c r="E107" s="20" t="s">
        <v>524</v>
      </c>
      <c r="F107" s="20" t="s">
        <v>525</v>
      </c>
      <c r="G107" s="8" t="str">
        <f t="shared" si="1"/>
        <v>BRUDER RICHARD</v>
      </c>
    </row>
    <row r="108" spans="1:7" x14ac:dyDescent="0.25">
      <c r="A108" s="8">
        <v>42803.483310185184</v>
      </c>
      <c r="B108" s="20" t="s">
        <v>500</v>
      </c>
      <c r="C108" s="20" t="s">
        <v>698</v>
      </c>
      <c r="D108" s="150">
        <v>1540000</v>
      </c>
      <c r="E108" s="20" t="s">
        <v>519</v>
      </c>
      <c r="F108" s="20" t="s">
        <v>520</v>
      </c>
      <c r="G108" s="8" t="str">
        <f t="shared" si="1"/>
        <v>HELVIE ADAM</v>
      </c>
    </row>
    <row r="109" spans="1:7" x14ac:dyDescent="0.25">
      <c r="A109" s="8">
        <v>42803.485023148147</v>
      </c>
      <c r="B109" s="20" t="s">
        <v>272</v>
      </c>
      <c r="C109" s="20" t="s">
        <v>699</v>
      </c>
      <c r="D109" s="150">
        <v>1110000</v>
      </c>
      <c r="E109" s="20" t="s">
        <v>446</v>
      </c>
      <c r="F109" s="20" t="s">
        <v>447</v>
      </c>
      <c r="G109" s="8" t="str">
        <f t="shared" si="1"/>
        <v>STARKS ANGELINA</v>
      </c>
    </row>
    <row r="110" spans="1:7" x14ac:dyDescent="0.25">
      <c r="A110" s="8">
        <v>42803.48609953704</v>
      </c>
      <c r="B110" s="20" t="s">
        <v>231</v>
      </c>
      <c r="C110" s="20" t="s">
        <v>587</v>
      </c>
      <c r="D110" s="150">
        <v>890000</v>
      </c>
      <c r="E110" s="20" t="s">
        <v>513</v>
      </c>
      <c r="F110" s="20" t="s">
        <v>514</v>
      </c>
      <c r="G110" s="8" t="str">
        <f t="shared" si="1"/>
        <v>LOZA FIDEL</v>
      </c>
    </row>
    <row r="111" spans="1:7" x14ac:dyDescent="0.25">
      <c r="A111" s="8">
        <v>42803.487916666665</v>
      </c>
      <c r="B111" s="20" t="s">
        <v>510</v>
      </c>
      <c r="C111" s="20" t="s">
        <v>700</v>
      </c>
      <c r="D111" s="150">
        <v>2230000</v>
      </c>
      <c r="E111" s="20" t="s">
        <v>701</v>
      </c>
      <c r="F111" s="20" t="s">
        <v>200</v>
      </c>
      <c r="G111" s="8" t="str">
        <f t="shared" si="1"/>
        <v>SMITH MICHAEL</v>
      </c>
    </row>
    <row r="112" spans="1:7" x14ac:dyDescent="0.25">
      <c r="A112" s="8">
        <v>42803.491307870368</v>
      </c>
      <c r="B112" s="20" t="s">
        <v>521</v>
      </c>
      <c r="C112" s="20" t="s">
        <v>702</v>
      </c>
      <c r="D112" s="150">
        <v>1100000</v>
      </c>
      <c r="E112" s="20" t="s">
        <v>507</v>
      </c>
      <c r="F112" s="20" t="s">
        <v>508</v>
      </c>
      <c r="G112" s="8" t="str">
        <f t="shared" si="1"/>
        <v>GEBRETEKLE DAGNEW</v>
      </c>
    </row>
    <row r="113" spans="1:7" x14ac:dyDescent="0.25">
      <c r="A113" s="8">
        <v>42803.497025462966</v>
      </c>
      <c r="B113" s="20" t="s">
        <v>618</v>
      </c>
      <c r="C113" s="20" t="s">
        <v>703</v>
      </c>
      <c r="D113" s="150">
        <v>930000</v>
      </c>
      <c r="E113" s="20" t="s">
        <v>454</v>
      </c>
      <c r="F113" s="20" t="s">
        <v>455</v>
      </c>
      <c r="G113" s="8" t="str">
        <f t="shared" si="1"/>
        <v>CLARK KATHLEEN</v>
      </c>
    </row>
    <row r="114" spans="1:7" x14ac:dyDescent="0.25">
      <c r="A114" s="8">
        <v>42803.497060185182</v>
      </c>
      <c r="B114" s="20" t="s">
        <v>596</v>
      </c>
      <c r="C114" s="20" t="s">
        <v>704</v>
      </c>
      <c r="D114" s="150">
        <v>1120000</v>
      </c>
      <c r="E114" s="20" t="s">
        <v>265</v>
      </c>
      <c r="F114" s="20" t="s">
        <v>266</v>
      </c>
      <c r="G114" s="8" t="str">
        <f t="shared" si="1"/>
        <v>LOCKLEAR TRAVIS</v>
      </c>
    </row>
    <row r="115" spans="1:7" x14ac:dyDescent="0.25">
      <c r="A115" s="8">
        <v>42803.50472222222</v>
      </c>
      <c r="B115" s="20" t="s">
        <v>419</v>
      </c>
      <c r="C115" s="20" t="s">
        <v>705</v>
      </c>
      <c r="D115" s="150">
        <v>2040000</v>
      </c>
      <c r="E115" s="20" t="s">
        <v>279</v>
      </c>
      <c r="F115" s="20" t="s">
        <v>280</v>
      </c>
      <c r="G115" s="8" t="str">
        <f t="shared" si="1"/>
        <v>MOSES BRADLEY</v>
      </c>
    </row>
    <row r="116" spans="1:7" x14ac:dyDescent="0.25">
      <c r="A116" s="8">
        <v>42803.509027777778</v>
      </c>
      <c r="B116" s="20" t="s">
        <v>254</v>
      </c>
      <c r="C116" s="20" t="s">
        <v>706</v>
      </c>
      <c r="D116" s="150">
        <v>1540000</v>
      </c>
      <c r="E116" s="20" t="s">
        <v>519</v>
      </c>
      <c r="F116" s="20" t="s">
        <v>520</v>
      </c>
      <c r="G116" s="8" t="str">
        <f t="shared" si="1"/>
        <v>HELVIE ADAM</v>
      </c>
    </row>
    <row r="117" spans="1:7" x14ac:dyDescent="0.25">
      <c r="A117" s="8">
        <v>42803.51059027778</v>
      </c>
      <c r="B117" s="20" t="s">
        <v>501</v>
      </c>
      <c r="C117" s="20" t="s">
        <v>707</v>
      </c>
      <c r="D117" s="150">
        <v>1830000</v>
      </c>
      <c r="E117" s="20" t="s">
        <v>450</v>
      </c>
      <c r="F117" s="20" t="s">
        <v>451</v>
      </c>
      <c r="G117" s="8" t="str">
        <f t="shared" si="1"/>
        <v>YORK EDGAR</v>
      </c>
    </row>
    <row r="118" spans="1:7" x14ac:dyDescent="0.25">
      <c r="A118" s="8">
        <v>42803.513055555559</v>
      </c>
      <c r="B118" s="20" t="s">
        <v>190</v>
      </c>
      <c r="C118" s="20" t="s">
        <v>708</v>
      </c>
      <c r="D118" s="150">
        <v>890000</v>
      </c>
      <c r="E118" s="20" t="s">
        <v>513</v>
      </c>
      <c r="F118" s="20" t="s">
        <v>514</v>
      </c>
      <c r="G118" s="8" t="str">
        <f t="shared" si="1"/>
        <v>LOZA FIDEL</v>
      </c>
    </row>
    <row r="119" spans="1:7" x14ac:dyDescent="0.25">
      <c r="A119" s="8">
        <v>42803.514398148145</v>
      </c>
      <c r="B119" s="20" t="s">
        <v>204</v>
      </c>
      <c r="C119" s="20" t="s">
        <v>709</v>
      </c>
      <c r="D119" s="150">
        <v>1770000</v>
      </c>
      <c r="E119" s="20" t="s">
        <v>524</v>
      </c>
      <c r="F119" s="20" t="s">
        <v>525</v>
      </c>
      <c r="G119" s="8" t="str">
        <f t="shared" si="1"/>
        <v>BRUDER RICHARD</v>
      </c>
    </row>
    <row r="120" spans="1:7" x14ac:dyDescent="0.25">
      <c r="A120" s="8">
        <v>42803.52140046296</v>
      </c>
      <c r="B120" s="20" t="s">
        <v>271</v>
      </c>
      <c r="C120" s="20" t="s">
        <v>710</v>
      </c>
      <c r="D120" s="150">
        <v>2360000</v>
      </c>
      <c r="E120" s="20" t="s">
        <v>711</v>
      </c>
      <c r="F120" s="20" t="s">
        <v>712</v>
      </c>
      <c r="G120" s="8" t="str">
        <f t="shared" si="1"/>
        <v>BRANDNER MELINDA</v>
      </c>
    </row>
    <row r="121" spans="1:7" x14ac:dyDescent="0.25">
      <c r="A121" s="8">
        <v>42803.525023148148</v>
      </c>
      <c r="B121" s="20" t="s">
        <v>502</v>
      </c>
      <c r="C121" s="20" t="s">
        <v>588</v>
      </c>
      <c r="D121" s="150">
        <v>2230000</v>
      </c>
      <c r="E121" s="20" t="s">
        <v>701</v>
      </c>
      <c r="F121" s="20" t="s">
        <v>200</v>
      </c>
      <c r="G121" s="8" t="str">
        <f t="shared" si="1"/>
        <v>SMITH MICHAEL</v>
      </c>
    </row>
    <row r="122" spans="1:7" x14ac:dyDescent="0.25">
      <c r="A122" s="8">
        <v>42803.525682870371</v>
      </c>
      <c r="B122" s="25" t="s">
        <v>231</v>
      </c>
      <c r="C122" s="20" t="s">
        <v>713</v>
      </c>
      <c r="D122" s="150">
        <v>890000</v>
      </c>
      <c r="E122" s="20" t="s">
        <v>513</v>
      </c>
      <c r="F122" s="20" t="s">
        <v>514</v>
      </c>
      <c r="G122" s="8" t="str">
        <f t="shared" si="1"/>
        <v>LOZA FIDEL</v>
      </c>
    </row>
    <row r="123" spans="1:7" x14ac:dyDescent="0.25">
      <c r="A123" s="8">
        <v>42803.529120370367</v>
      </c>
      <c r="B123" s="20" t="s">
        <v>589</v>
      </c>
      <c r="C123" s="20" t="s">
        <v>590</v>
      </c>
      <c r="D123" s="150">
        <v>930000</v>
      </c>
      <c r="E123" s="20" t="s">
        <v>454</v>
      </c>
      <c r="F123" s="20" t="s">
        <v>455</v>
      </c>
      <c r="G123" s="8" t="str">
        <f t="shared" si="1"/>
        <v>CLARK KATHLEEN</v>
      </c>
    </row>
    <row r="124" spans="1:7" x14ac:dyDescent="0.25">
      <c r="A124" s="8">
        <v>42803.537199074075</v>
      </c>
      <c r="B124" s="20" t="s">
        <v>602</v>
      </c>
      <c r="C124" s="20" t="s">
        <v>714</v>
      </c>
      <c r="D124" s="150">
        <v>1120000</v>
      </c>
      <c r="E124" s="20" t="s">
        <v>265</v>
      </c>
      <c r="F124" s="20" t="s">
        <v>266</v>
      </c>
      <c r="G124" s="8" t="str">
        <f t="shared" si="1"/>
        <v>LOCKLEAR TRAVIS</v>
      </c>
    </row>
    <row r="125" spans="1:7" x14ac:dyDescent="0.25">
      <c r="A125" s="8">
        <v>42803.537557870368</v>
      </c>
      <c r="B125" s="20" t="s">
        <v>420</v>
      </c>
      <c r="C125" s="20" t="s">
        <v>591</v>
      </c>
      <c r="D125" s="150">
        <v>1760000</v>
      </c>
      <c r="E125" s="20" t="s">
        <v>522</v>
      </c>
      <c r="F125" s="20" t="s">
        <v>523</v>
      </c>
      <c r="G125" s="8" t="str">
        <f t="shared" si="1"/>
        <v>STRICKLAND EVAN</v>
      </c>
    </row>
    <row r="126" spans="1:7" x14ac:dyDescent="0.25">
      <c r="A126" s="8">
        <v>42803.548252314817</v>
      </c>
      <c r="B126" s="20" t="s">
        <v>252</v>
      </c>
      <c r="C126" s="20" t="s">
        <v>715</v>
      </c>
      <c r="D126" s="150">
        <v>1540000</v>
      </c>
      <c r="E126" s="20" t="s">
        <v>519</v>
      </c>
      <c r="F126" s="20" t="s">
        <v>520</v>
      </c>
      <c r="G126" s="8" t="str">
        <f t="shared" si="1"/>
        <v>HELVIE ADAM</v>
      </c>
    </row>
    <row r="127" spans="1:7" x14ac:dyDescent="0.25">
      <c r="A127" s="8">
        <v>42803.548437500001</v>
      </c>
      <c r="B127" s="20" t="s">
        <v>425</v>
      </c>
      <c r="C127" s="20" t="s">
        <v>716</v>
      </c>
      <c r="D127" s="150">
        <v>1770000</v>
      </c>
      <c r="E127" s="20" t="s">
        <v>524</v>
      </c>
      <c r="F127" s="20" t="s">
        <v>525</v>
      </c>
      <c r="G127" s="8" t="str">
        <f t="shared" si="1"/>
        <v>BRUDER RICHARD</v>
      </c>
    </row>
    <row r="128" spans="1:7" x14ac:dyDescent="0.25">
      <c r="A128" s="8">
        <v>42803.550046296295</v>
      </c>
      <c r="B128" s="20" t="s">
        <v>190</v>
      </c>
      <c r="C128" s="20" t="s">
        <v>717</v>
      </c>
      <c r="D128" s="150">
        <v>1180000</v>
      </c>
      <c r="E128" s="20" t="s">
        <v>456</v>
      </c>
      <c r="F128" s="20" t="s">
        <v>457</v>
      </c>
      <c r="G128" s="8" t="str">
        <f t="shared" si="1"/>
        <v>LEVERE CRAIG</v>
      </c>
    </row>
    <row r="129" spans="1:7" x14ac:dyDescent="0.25">
      <c r="A129" s="8">
        <v>42803.555706018517</v>
      </c>
      <c r="B129" s="20" t="s">
        <v>272</v>
      </c>
      <c r="C129" s="20" t="s">
        <v>718</v>
      </c>
      <c r="D129" s="150">
        <v>2360000</v>
      </c>
      <c r="E129" s="20" t="s">
        <v>711</v>
      </c>
      <c r="F129" s="20" t="s">
        <v>712</v>
      </c>
      <c r="G129" s="8" t="str">
        <f t="shared" si="1"/>
        <v>BRANDNER MELINDA</v>
      </c>
    </row>
    <row r="130" spans="1:7" x14ac:dyDescent="0.25">
      <c r="A130" s="8">
        <v>42803.559675925928</v>
      </c>
      <c r="B130" s="20" t="s">
        <v>510</v>
      </c>
      <c r="C130" s="20" t="s">
        <v>719</v>
      </c>
      <c r="D130" s="150">
        <v>2230000</v>
      </c>
      <c r="E130" s="20" t="s">
        <v>701</v>
      </c>
      <c r="F130" s="20" t="s">
        <v>200</v>
      </c>
      <c r="G130" s="8" t="str">
        <f t="shared" si="1"/>
        <v>SMITH MICHAEL</v>
      </c>
    </row>
    <row r="131" spans="1:7" x14ac:dyDescent="0.25">
      <c r="A131" s="8">
        <v>42803.56758101852</v>
      </c>
      <c r="B131" s="20" t="s">
        <v>231</v>
      </c>
      <c r="C131" s="20" t="s">
        <v>592</v>
      </c>
      <c r="D131" s="150">
        <v>1180000</v>
      </c>
      <c r="E131" s="20" t="s">
        <v>456</v>
      </c>
      <c r="F131" s="20" t="s">
        <v>457</v>
      </c>
      <c r="G131" s="8" t="str">
        <f t="shared" ref="G131:G194" si="2">E131&amp;" "&amp;F131</f>
        <v>LEVERE CRAIG</v>
      </c>
    </row>
    <row r="132" spans="1:7" x14ac:dyDescent="0.25">
      <c r="A132" s="8">
        <v>42803.568784722222</v>
      </c>
      <c r="B132" s="20" t="s">
        <v>618</v>
      </c>
      <c r="C132" s="20" t="s">
        <v>720</v>
      </c>
      <c r="D132" s="150">
        <v>930000</v>
      </c>
      <c r="E132" s="20" t="s">
        <v>454</v>
      </c>
      <c r="F132" s="20" t="s">
        <v>455</v>
      </c>
      <c r="G132" s="8" t="str">
        <f t="shared" si="2"/>
        <v>CLARK KATHLEEN</v>
      </c>
    </row>
    <row r="133" spans="1:7" x14ac:dyDescent="0.25">
      <c r="A133" s="8">
        <v>42803.573530092595</v>
      </c>
      <c r="B133" s="20" t="s">
        <v>596</v>
      </c>
      <c r="C133" s="20" t="s">
        <v>721</v>
      </c>
      <c r="D133" s="150">
        <v>1120000</v>
      </c>
      <c r="E133" s="20" t="s">
        <v>265</v>
      </c>
      <c r="F133" s="20" t="s">
        <v>266</v>
      </c>
      <c r="G133" s="8" t="str">
        <f t="shared" si="2"/>
        <v>LOCKLEAR TRAVIS</v>
      </c>
    </row>
    <row r="134" spans="1:7" x14ac:dyDescent="0.25">
      <c r="A134" s="8">
        <v>42803.577824074076</v>
      </c>
      <c r="B134" s="20" t="s">
        <v>419</v>
      </c>
      <c r="C134" s="20" t="s">
        <v>722</v>
      </c>
      <c r="D134" s="150">
        <v>1760000</v>
      </c>
      <c r="E134" s="20" t="s">
        <v>522</v>
      </c>
      <c r="F134" s="20" t="s">
        <v>523</v>
      </c>
      <c r="G134" s="8" t="str">
        <f t="shared" si="2"/>
        <v>STRICKLAND EVAN</v>
      </c>
    </row>
    <row r="135" spans="1:7" x14ac:dyDescent="0.25">
      <c r="A135" s="8">
        <v>42803.580381944441</v>
      </c>
      <c r="B135" s="20" t="s">
        <v>254</v>
      </c>
      <c r="C135" s="20" t="s">
        <v>723</v>
      </c>
      <c r="D135" s="150">
        <v>1540000</v>
      </c>
      <c r="E135" s="20" t="s">
        <v>519</v>
      </c>
      <c r="F135" s="20" t="s">
        <v>520</v>
      </c>
      <c r="G135" s="8" t="str">
        <f t="shared" si="2"/>
        <v>HELVIE ADAM</v>
      </c>
    </row>
    <row r="136" spans="1:7" x14ac:dyDescent="0.25">
      <c r="A136" s="8">
        <v>42803.587465277778</v>
      </c>
      <c r="B136" s="20" t="s">
        <v>190</v>
      </c>
      <c r="C136" s="20" t="s">
        <v>724</v>
      </c>
      <c r="D136" s="150">
        <v>1180000</v>
      </c>
      <c r="E136" s="20" t="s">
        <v>456</v>
      </c>
      <c r="F136" s="20" t="s">
        <v>457</v>
      </c>
      <c r="G136" s="8" t="str">
        <f t="shared" si="2"/>
        <v>LEVERE CRAIG</v>
      </c>
    </row>
    <row r="137" spans="1:7" x14ac:dyDescent="0.25">
      <c r="A137" s="8">
        <v>42803.58766203704</v>
      </c>
      <c r="B137" s="20" t="s">
        <v>204</v>
      </c>
      <c r="C137" s="20" t="s">
        <v>725</v>
      </c>
      <c r="D137" s="150">
        <v>1770000</v>
      </c>
      <c r="E137" s="20" t="s">
        <v>524</v>
      </c>
      <c r="F137" s="20" t="s">
        <v>525</v>
      </c>
      <c r="G137" s="8" t="str">
        <f t="shared" si="2"/>
        <v>BRUDER RICHARD</v>
      </c>
    </row>
    <row r="138" spans="1:7" x14ac:dyDescent="0.25">
      <c r="A138" s="8">
        <v>42803.591238425928</v>
      </c>
      <c r="B138" s="20" t="s">
        <v>278</v>
      </c>
      <c r="C138" s="20" t="s">
        <v>726</v>
      </c>
      <c r="D138" s="150">
        <v>1340000</v>
      </c>
      <c r="E138" s="20" t="s">
        <v>515</v>
      </c>
      <c r="F138" s="20" t="s">
        <v>516</v>
      </c>
      <c r="G138" s="8" t="str">
        <f t="shared" si="2"/>
        <v>BEAM ROSS</v>
      </c>
    </row>
    <row r="139" spans="1:7" x14ac:dyDescent="0.25">
      <c r="A139" s="8">
        <v>42803.598333333335</v>
      </c>
      <c r="B139" s="20" t="s">
        <v>271</v>
      </c>
      <c r="C139" s="20" t="s">
        <v>727</v>
      </c>
      <c r="D139" s="150">
        <v>2360000</v>
      </c>
      <c r="E139" s="20" t="s">
        <v>711</v>
      </c>
      <c r="F139" s="20" t="s">
        <v>712</v>
      </c>
      <c r="G139" s="8" t="str">
        <f t="shared" si="2"/>
        <v>BRANDNER MELINDA</v>
      </c>
    </row>
    <row r="140" spans="1:7" x14ac:dyDescent="0.25">
      <c r="A140" s="8">
        <v>42803.598541666666</v>
      </c>
      <c r="B140" s="20" t="s">
        <v>502</v>
      </c>
      <c r="C140" s="20" t="s">
        <v>593</v>
      </c>
      <c r="D140" s="150">
        <v>2230000</v>
      </c>
      <c r="E140" s="20" t="s">
        <v>701</v>
      </c>
      <c r="F140" s="20" t="s">
        <v>200</v>
      </c>
      <c r="G140" s="8" t="str">
        <f t="shared" si="2"/>
        <v>SMITH MICHAEL</v>
      </c>
    </row>
    <row r="141" spans="1:7" x14ac:dyDescent="0.25">
      <c r="A141" s="8">
        <v>42803.608877314815</v>
      </c>
      <c r="B141" s="20" t="s">
        <v>231</v>
      </c>
      <c r="C141" s="20" t="s">
        <v>728</v>
      </c>
      <c r="D141" s="150">
        <v>1180000</v>
      </c>
      <c r="E141" s="20" t="s">
        <v>456</v>
      </c>
      <c r="F141" s="20" t="s">
        <v>457</v>
      </c>
      <c r="G141" s="8" t="str">
        <f t="shared" si="2"/>
        <v>LEVERE CRAIG</v>
      </c>
    </row>
    <row r="142" spans="1:7" x14ac:dyDescent="0.25">
      <c r="A142" s="8">
        <v>42803.609548611108</v>
      </c>
      <c r="B142" s="20" t="s">
        <v>602</v>
      </c>
      <c r="C142" s="20" t="s">
        <v>729</v>
      </c>
      <c r="D142" s="150">
        <v>1120000</v>
      </c>
      <c r="E142" s="20" t="s">
        <v>265</v>
      </c>
      <c r="F142" s="20" t="s">
        <v>266</v>
      </c>
      <c r="G142" s="8" t="str">
        <f t="shared" si="2"/>
        <v>LOCKLEAR TRAVIS</v>
      </c>
    </row>
    <row r="143" spans="1:7" x14ac:dyDescent="0.25">
      <c r="A143" s="8">
        <v>42803.612326388888</v>
      </c>
      <c r="B143" s="20" t="s">
        <v>420</v>
      </c>
      <c r="C143" s="20" t="s">
        <v>730</v>
      </c>
      <c r="D143" s="150">
        <v>2040000</v>
      </c>
      <c r="E143" s="20" t="s">
        <v>279</v>
      </c>
      <c r="F143" s="20" t="s">
        <v>280</v>
      </c>
      <c r="G143" s="8" t="str">
        <f t="shared" si="2"/>
        <v>MOSES BRADLEY</v>
      </c>
    </row>
    <row r="144" spans="1:7" x14ac:dyDescent="0.25">
      <c r="A144" s="8">
        <v>42803.620381944442</v>
      </c>
      <c r="B144" s="20" t="s">
        <v>252</v>
      </c>
      <c r="C144" s="20" t="s">
        <v>731</v>
      </c>
      <c r="D144" s="150">
        <v>1540000</v>
      </c>
      <c r="E144" s="20" t="s">
        <v>519</v>
      </c>
      <c r="F144" s="20" t="s">
        <v>520</v>
      </c>
      <c r="G144" s="8" t="str">
        <f t="shared" si="2"/>
        <v>HELVIE ADAM</v>
      </c>
    </row>
    <row r="145" spans="1:7" x14ac:dyDescent="0.25">
      <c r="A145" s="8">
        <v>42803.621770833335</v>
      </c>
      <c r="B145" s="20" t="s">
        <v>425</v>
      </c>
      <c r="C145" s="20" t="s">
        <v>732</v>
      </c>
      <c r="D145" s="150">
        <v>1770000</v>
      </c>
      <c r="E145" s="20" t="s">
        <v>524</v>
      </c>
      <c r="F145" s="20" t="s">
        <v>525</v>
      </c>
      <c r="G145" s="8" t="str">
        <f t="shared" si="2"/>
        <v>BRUDER RICHARD</v>
      </c>
    </row>
    <row r="146" spans="1:7" x14ac:dyDescent="0.25">
      <c r="A146" s="8">
        <v>42803.626319444447</v>
      </c>
      <c r="B146" s="20" t="s">
        <v>418</v>
      </c>
      <c r="C146" s="20" t="s">
        <v>733</v>
      </c>
      <c r="D146" s="150">
        <v>1340000</v>
      </c>
      <c r="E146" s="20" t="s">
        <v>515</v>
      </c>
      <c r="F146" s="20" t="s">
        <v>516</v>
      </c>
      <c r="G146" s="8" t="str">
        <f t="shared" si="2"/>
        <v>BEAM ROSS</v>
      </c>
    </row>
    <row r="147" spans="1:7" x14ac:dyDescent="0.25">
      <c r="A147" s="8">
        <v>42803.630532407406</v>
      </c>
      <c r="B147" s="20" t="s">
        <v>190</v>
      </c>
      <c r="C147" s="20" t="s">
        <v>734</v>
      </c>
      <c r="D147" s="150">
        <v>1180000</v>
      </c>
      <c r="E147" s="20" t="s">
        <v>456</v>
      </c>
      <c r="F147" s="20" t="s">
        <v>457</v>
      </c>
      <c r="G147" s="8" t="str">
        <f t="shared" si="2"/>
        <v>LEVERE CRAIG</v>
      </c>
    </row>
    <row r="148" spans="1:7" x14ac:dyDescent="0.25">
      <c r="A148" s="8">
        <v>42803.632013888891</v>
      </c>
      <c r="B148" s="20" t="s">
        <v>510</v>
      </c>
      <c r="C148" s="20" t="s">
        <v>735</v>
      </c>
      <c r="D148" s="150">
        <v>2230000</v>
      </c>
      <c r="E148" s="20" t="s">
        <v>701</v>
      </c>
      <c r="F148" s="20" t="s">
        <v>200</v>
      </c>
      <c r="G148" s="8" t="str">
        <f t="shared" si="2"/>
        <v>SMITH MICHAEL</v>
      </c>
    </row>
    <row r="149" spans="1:7" x14ac:dyDescent="0.25">
      <c r="A149" s="8">
        <v>42803.636574074073</v>
      </c>
      <c r="B149" s="20" t="s">
        <v>594</v>
      </c>
      <c r="C149" s="20" t="s">
        <v>595</v>
      </c>
      <c r="D149" s="150">
        <v>1740000</v>
      </c>
      <c r="E149" s="20" t="s">
        <v>458</v>
      </c>
      <c r="F149" s="20" t="s">
        <v>459</v>
      </c>
      <c r="G149" s="8" t="str">
        <f t="shared" si="2"/>
        <v>STORY SAMANTHA</v>
      </c>
    </row>
    <row r="150" spans="1:7" x14ac:dyDescent="0.25">
      <c r="A150" s="8">
        <v>42803.638668981483</v>
      </c>
      <c r="B150" s="20" t="s">
        <v>272</v>
      </c>
      <c r="C150" s="20" t="s">
        <v>598</v>
      </c>
      <c r="D150" s="150">
        <v>2360000</v>
      </c>
      <c r="E150" s="20" t="s">
        <v>711</v>
      </c>
      <c r="F150" s="20" t="s">
        <v>712</v>
      </c>
      <c r="G150" s="8" t="str">
        <f t="shared" si="2"/>
        <v>BRANDNER MELINDA</v>
      </c>
    </row>
    <row r="151" spans="1:7" x14ac:dyDescent="0.25">
      <c r="A151" s="8">
        <v>42803.641793981478</v>
      </c>
      <c r="B151" s="20" t="s">
        <v>596</v>
      </c>
      <c r="C151" s="20" t="s">
        <v>597</v>
      </c>
      <c r="D151" s="150">
        <v>1120000</v>
      </c>
      <c r="E151" s="20" t="s">
        <v>265</v>
      </c>
      <c r="F151" s="20" t="s">
        <v>266</v>
      </c>
      <c r="G151" s="8" t="str">
        <f t="shared" si="2"/>
        <v>LOCKLEAR TRAVIS</v>
      </c>
    </row>
    <row r="152" spans="1:7" x14ac:dyDescent="0.25">
      <c r="A152" s="8">
        <v>42803.649918981479</v>
      </c>
      <c r="B152" s="20" t="s">
        <v>419</v>
      </c>
      <c r="C152" s="20" t="s">
        <v>736</v>
      </c>
      <c r="D152" s="150">
        <v>2040000</v>
      </c>
      <c r="E152" s="20" t="s">
        <v>279</v>
      </c>
      <c r="F152" s="20" t="s">
        <v>280</v>
      </c>
      <c r="G152" s="8" t="str">
        <f t="shared" si="2"/>
        <v>MOSES BRADLEY</v>
      </c>
    </row>
    <row r="153" spans="1:7" x14ac:dyDescent="0.25">
      <c r="A153" s="8">
        <v>42803.650601851848</v>
      </c>
      <c r="B153" s="20" t="s">
        <v>600</v>
      </c>
      <c r="C153" s="20" t="s">
        <v>737</v>
      </c>
      <c r="D153" s="150">
        <v>1740000</v>
      </c>
      <c r="E153" s="20" t="s">
        <v>458</v>
      </c>
      <c r="F153" s="20" t="s">
        <v>459</v>
      </c>
      <c r="G153" s="8" t="str">
        <f t="shared" si="2"/>
        <v>STORY SAMANTHA</v>
      </c>
    </row>
    <row r="154" spans="1:7" x14ac:dyDescent="0.25">
      <c r="A154" s="8">
        <v>42803.654537037037</v>
      </c>
      <c r="B154" s="20" t="s">
        <v>254</v>
      </c>
      <c r="C154" s="20" t="s">
        <v>738</v>
      </c>
      <c r="D154" s="150">
        <v>1540000</v>
      </c>
      <c r="E154" s="20" t="s">
        <v>519</v>
      </c>
      <c r="F154" s="20" t="s">
        <v>520</v>
      </c>
      <c r="G154" s="8" t="str">
        <f t="shared" si="2"/>
        <v>HELVIE ADAM</v>
      </c>
    </row>
    <row r="155" spans="1:7" x14ac:dyDescent="0.25">
      <c r="A155" s="8">
        <v>42803.655902777777</v>
      </c>
      <c r="B155" s="20" t="s">
        <v>231</v>
      </c>
      <c r="C155" s="20" t="s">
        <v>599</v>
      </c>
      <c r="D155" s="150">
        <v>1180000</v>
      </c>
      <c r="E155" s="20" t="s">
        <v>456</v>
      </c>
      <c r="F155" s="20" t="s">
        <v>457</v>
      </c>
      <c r="G155" s="8" t="str">
        <f t="shared" si="2"/>
        <v>LEVERE CRAIG</v>
      </c>
    </row>
    <row r="156" spans="1:7" x14ac:dyDescent="0.25">
      <c r="A156" s="8">
        <v>42803.66070601852</v>
      </c>
      <c r="B156" s="20" t="s">
        <v>204</v>
      </c>
      <c r="C156" s="20" t="s">
        <v>739</v>
      </c>
      <c r="D156" s="150">
        <v>1770000</v>
      </c>
      <c r="E156" s="20" t="s">
        <v>524</v>
      </c>
      <c r="F156" s="20" t="s">
        <v>525</v>
      </c>
      <c r="G156" s="8" t="str">
        <f t="shared" si="2"/>
        <v>BRUDER RICHARD</v>
      </c>
    </row>
    <row r="157" spans="1:7" x14ac:dyDescent="0.25">
      <c r="A157" s="8">
        <v>42803.661296296297</v>
      </c>
      <c r="B157" s="20" t="s">
        <v>278</v>
      </c>
      <c r="C157" s="20" t="s">
        <v>740</v>
      </c>
      <c r="D157" s="150">
        <v>930000</v>
      </c>
      <c r="E157" s="20" t="s">
        <v>454</v>
      </c>
      <c r="F157" s="20" t="s">
        <v>455</v>
      </c>
      <c r="G157" s="8" t="str">
        <f t="shared" si="2"/>
        <v>CLARK KATHLEEN</v>
      </c>
    </row>
    <row r="158" spans="1:7" x14ac:dyDescent="0.25">
      <c r="A158" s="8">
        <v>42803.66815972222</v>
      </c>
      <c r="B158" s="20" t="s">
        <v>502</v>
      </c>
      <c r="C158" s="20" t="s">
        <v>741</v>
      </c>
      <c r="D158" s="150">
        <v>2230000</v>
      </c>
      <c r="E158" s="20" t="s">
        <v>701</v>
      </c>
      <c r="F158" s="20" t="s">
        <v>200</v>
      </c>
      <c r="G158" s="8" t="str">
        <f t="shared" si="2"/>
        <v>SMITH MICHAEL</v>
      </c>
    </row>
    <row r="159" spans="1:7" x14ac:dyDescent="0.25">
      <c r="A159" s="8">
        <v>42803.672650462962</v>
      </c>
      <c r="B159" s="20" t="s">
        <v>594</v>
      </c>
      <c r="C159" s="20" t="s">
        <v>742</v>
      </c>
      <c r="D159" s="150">
        <v>1740000</v>
      </c>
      <c r="E159" s="20" t="s">
        <v>458</v>
      </c>
      <c r="F159" s="20" t="s">
        <v>459</v>
      </c>
      <c r="G159" s="8" t="str">
        <f t="shared" si="2"/>
        <v>STORY SAMANTHA</v>
      </c>
    </row>
    <row r="160" spans="1:7" x14ac:dyDescent="0.25">
      <c r="A160" s="8">
        <v>42803.673807870371</v>
      </c>
      <c r="B160" s="20" t="s">
        <v>190</v>
      </c>
      <c r="C160" s="20" t="s">
        <v>743</v>
      </c>
      <c r="D160" s="150">
        <v>1180000</v>
      </c>
      <c r="E160" s="20" t="s">
        <v>456</v>
      </c>
      <c r="F160" s="20" t="s">
        <v>457</v>
      </c>
      <c r="G160" s="8" t="str">
        <f t="shared" si="2"/>
        <v>LEVERE CRAIG</v>
      </c>
    </row>
    <row r="161" spans="1:7" x14ac:dyDescent="0.25">
      <c r="A161" s="8">
        <v>42803.676041666666</v>
      </c>
      <c r="B161" s="20" t="s">
        <v>271</v>
      </c>
      <c r="C161" s="20" t="s">
        <v>744</v>
      </c>
      <c r="D161" s="150">
        <v>2360000</v>
      </c>
      <c r="E161" s="20" t="s">
        <v>711</v>
      </c>
      <c r="F161" s="20" t="s">
        <v>712</v>
      </c>
      <c r="G161" s="8" t="str">
        <f t="shared" si="2"/>
        <v>BRANDNER MELINDA</v>
      </c>
    </row>
    <row r="162" spans="1:7" x14ac:dyDescent="0.25">
      <c r="A162" s="8">
        <v>42803.682291666664</v>
      </c>
      <c r="B162" s="20" t="s">
        <v>602</v>
      </c>
      <c r="C162" s="20" t="s">
        <v>603</v>
      </c>
      <c r="D162" s="150">
        <v>1120000</v>
      </c>
      <c r="E162" s="20" t="s">
        <v>265</v>
      </c>
      <c r="F162" s="20" t="s">
        <v>266</v>
      </c>
      <c r="G162" s="8" t="str">
        <f t="shared" si="2"/>
        <v>LOCKLEAR TRAVIS</v>
      </c>
    </row>
    <row r="163" spans="1:7" x14ac:dyDescent="0.25">
      <c r="A163" s="8">
        <v>42803.684606481482</v>
      </c>
      <c r="B163" s="20" t="s">
        <v>420</v>
      </c>
      <c r="C163" s="20" t="s">
        <v>745</v>
      </c>
      <c r="D163" s="150">
        <v>2040000</v>
      </c>
      <c r="E163" s="20" t="s">
        <v>279</v>
      </c>
      <c r="F163" s="20" t="s">
        <v>280</v>
      </c>
      <c r="G163" s="8" t="str">
        <f t="shared" si="2"/>
        <v>MOSES BRADLEY</v>
      </c>
    </row>
    <row r="164" spans="1:7" x14ac:dyDescent="0.25">
      <c r="A164" s="8">
        <v>42803.689560185187</v>
      </c>
      <c r="B164" s="20" t="s">
        <v>589</v>
      </c>
      <c r="C164" s="20" t="s">
        <v>604</v>
      </c>
      <c r="D164" s="150">
        <v>1760000</v>
      </c>
      <c r="E164" s="20" t="s">
        <v>522</v>
      </c>
      <c r="F164" s="20" t="s">
        <v>523</v>
      </c>
      <c r="G164" s="8" t="str">
        <f t="shared" si="2"/>
        <v>STRICKLAND EVAN</v>
      </c>
    </row>
    <row r="165" spans="1:7" x14ac:dyDescent="0.25">
      <c r="A165" s="8">
        <v>42803.692349537036</v>
      </c>
      <c r="B165" s="20" t="s">
        <v>231</v>
      </c>
      <c r="C165" s="20" t="s">
        <v>746</v>
      </c>
      <c r="D165" s="150">
        <v>1180000</v>
      </c>
      <c r="E165" s="20" t="s">
        <v>456</v>
      </c>
      <c r="F165" s="20" t="s">
        <v>457</v>
      </c>
      <c r="G165" s="8" t="str">
        <f t="shared" si="2"/>
        <v>LEVERE CRAIG</v>
      </c>
    </row>
    <row r="166" spans="1:7" x14ac:dyDescent="0.25">
      <c r="A166" s="8">
        <v>42803.693541666667</v>
      </c>
      <c r="B166" s="20" t="s">
        <v>252</v>
      </c>
      <c r="C166" s="20" t="s">
        <v>605</v>
      </c>
      <c r="D166" s="150">
        <v>1540000</v>
      </c>
      <c r="E166" s="20" t="s">
        <v>519</v>
      </c>
      <c r="F166" s="20" t="s">
        <v>520</v>
      </c>
      <c r="G166" s="8" t="str">
        <f t="shared" si="2"/>
        <v>HELVIE ADAM</v>
      </c>
    </row>
    <row r="167" spans="1:7" x14ac:dyDescent="0.25">
      <c r="A167" s="8">
        <v>42803.700104166666</v>
      </c>
      <c r="B167" s="20" t="s">
        <v>600</v>
      </c>
      <c r="C167" s="20" t="s">
        <v>601</v>
      </c>
      <c r="D167" s="150">
        <v>1740000</v>
      </c>
      <c r="E167" s="20" t="s">
        <v>458</v>
      </c>
      <c r="F167" s="20" t="s">
        <v>459</v>
      </c>
      <c r="G167" s="8" t="str">
        <f t="shared" si="2"/>
        <v>STORY SAMANTHA</v>
      </c>
    </row>
    <row r="168" spans="1:7" x14ac:dyDescent="0.25">
      <c r="A168" s="8">
        <v>42803.702210648145</v>
      </c>
      <c r="B168" s="20" t="s">
        <v>418</v>
      </c>
      <c r="C168" s="20" t="s">
        <v>747</v>
      </c>
      <c r="D168" s="150">
        <v>930000</v>
      </c>
      <c r="E168" s="20" t="s">
        <v>454</v>
      </c>
      <c r="F168" s="20" t="s">
        <v>455</v>
      </c>
      <c r="G168" s="8" t="str">
        <f t="shared" si="2"/>
        <v>CLARK KATHLEEN</v>
      </c>
    </row>
    <row r="169" spans="1:7" x14ac:dyDescent="0.25">
      <c r="A169" s="8">
        <v>42803.705995370372</v>
      </c>
      <c r="B169" s="20" t="s">
        <v>510</v>
      </c>
      <c r="C169" s="20" t="s">
        <v>748</v>
      </c>
      <c r="D169" s="150">
        <v>2230000</v>
      </c>
      <c r="E169" s="20" t="s">
        <v>701</v>
      </c>
      <c r="F169" s="20" t="s">
        <v>200</v>
      </c>
      <c r="G169" s="8" t="str">
        <f t="shared" si="2"/>
        <v>SMITH MICHAEL</v>
      </c>
    </row>
    <row r="170" spans="1:7" x14ac:dyDescent="0.25">
      <c r="A170" s="8">
        <v>42803.710694444446</v>
      </c>
      <c r="B170" s="20" t="s">
        <v>272</v>
      </c>
      <c r="C170" s="20" t="s">
        <v>749</v>
      </c>
      <c r="D170" s="150">
        <v>2360000</v>
      </c>
      <c r="E170" s="20" t="s">
        <v>711</v>
      </c>
      <c r="F170" s="20" t="s">
        <v>712</v>
      </c>
      <c r="G170" s="8" t="str">
        <f t="shared" si="2"/>
        <v>BRANDNER MELINDA</v>
      </c>
    </row>
    <row r="171" spans="1:7" x14ac:dyDescent="0.25">
      <c r="A171" s="8">
        <v>42803.713414351849</v>
      </c>
      <c r="B171" s="20" t="s">
        <v>594</v>
      </c>
      <c r="C171" s="20" t="s">
        <v>750</v>
      </c>
      <c r="D171" s="150">
        <v>1740000</v>
      </c>
      <c r="E171" s="20" t="s">
        <v>458</v>
      </c>
      <c r="F171" s="20" t="s">
        <v>459</v>
      </c>
      <c r="G171" s="8" t="str">
        <f t="shared" si="2"/>
        <v>STORY SAMANTHA</v>
      </c>
    </row>
    <row r="172" spans="1:7" x14ac:dyDescent="0.25">
      <c r="A172" s="8">
        <v>42803.717476851853</v>
      </c>
      <c r="B172" s="20" t="s">
        <v>190</v>
      </c>
      <c r="C172" s="20" t="s">
        <v>751</v>
      </c>
      <c r="D172" s="150">
        <v>1180000</v>
      </c>
      <c r="E172" s="20" t="s">
        <v>456</v>
      </c>
      <c r="F172" s="20" t="s">
        <v>457</v>
      </c>
      <c r="G172" s="8" t="str">
        <f t="shared" si="2"/>
        <v>LEVERE CRAIG</v>
      </c>
    </row>
    <row r="173" spans="1:7" x14ac:dyDescent="0.25">
      <c r="A173" s="8">
        <v>42803.719780092593</v>
      </c>
      <c r="B173" s="20" t="s">
        <v>596</v>
      </c>
      <c r="C173" s="20" t="s">
        <v>752</v>
      </c>
      <c r="D173" s="150">
        <v>1800000</v>
      </c>
      <c r="E173" s="20" t="s">
        <v>224</v>
      </c>
      <c r="F173" s="20" t="s">
        <v>225</v>
      </c>
      <c r="G173" s="8" t="str">
        <f t="shared" si="2"/>
        <v>CHANDLER KELVIN</v>
      </c>
    </row>
    <row r="174" spans="1:7" x14ac:dyDescent="0.25">
      <c r="A174" s="8">
        <v>42803.722696759258</v>
      </c>
      <c r="B174" s="20" t="s">
        <v>419</v>
      </c>
      <c r="C174" s="20" t="s">
        <v>753</v>
      </c>
      <c r="D174" s="150">
        <v>2040000</v>
      </c>
      <c r="E174" s="20" t="s">
        <v>279</v>
      </c>
      <c r="F174" s="20" t="s">
        <v>280</v>
      </c>
      <c r="G174" s="8" t="str">
        <f t="shared" si="2"/>
        <v>MOSES BRADLEY</v>
      </c>
    </row>
    <row r="175" spans="1:7" x14ac:dyDescent="0.25">
      <c r="A175" s="8">
        <v>42803.725092592591</v>
      </c>
      <c r="B175" s="20" t="s">
        <v>635</v>
      </c>
      <c r="C175" s="20" t="s">
        <v>754</v>
      </c>
      <c r="D175" s="150">
        <v>1780000</v>
      </c>
      <c r="E175" s="20" t="s">
        <v>517</v>
      </c>
      <c r="F175" s="20" t="s">
        <v>518</v>
      </c>
      <c r="G175" s="8" t="str">
        <f t="shared" si="2"/>
        <v>DE LA ROSA ALEX</v>
      </c>
    </row>
    <row r="176" spans="1:7" x14ac:dyDescent="0.25">
      <c r="A176" s="8">
        <v>42803.72724537037</v>
      </c>
      <c r="B176" s="20" t="s">
        <v>254</v>
      </c>
      <c r="C176" s="20" t="s">
        <v>755</v>
      </c>
      <c r="D176" s="150">
        <v>1120000</v>
      </c>
      <c r="E176" s="20" t="s">
        <v>265</v>
      </c>
      <c r="F176" s="20" t="s">
        <v>266</v>
      </c>
      <c r="G176" s="8" t="str">
        <f t="shared" si="2"/>
        <v>LOCKLEAR TRAVIS</v>
      </c>
    </row>
    <row r="177" spans="1:7" x14ac:dyDescent="0.25">
      <c r="A177" s="8">
        <v>42803.727511574078</v>
      </c>
      <c r="B177" s="20" t="s">
        <v>425</v>
      </c>
      <c r="C177" s="20" t="s">
        <v>756</v>
      </c>
      <c r="D177" s="150">
        <v>1340000</v>
      </c>
      <c r="E177" s="20" t="s">
        <v>515</v>
      </c>
      <c r="F177" s="20" t="s">
        <v>516</v>
      </c>
      <c r="G177" s="8" t="str">
        <f t="shared" si="2"/>
        <v>BEAM ROSS</v>
      </c>
    </row>
    <row r="178" spans="1:7" x14ac:dyDescent="0.25">
      <c r="A178" s="8">
        <v>42803.72896990741</v>
      </c>
      <c r="B178" s="20" t="s">
        <v>618</v>
      </c>
      <c r="C178" s="20" t="s">
        <v>757</v>
      </c>
      <c r="D178" s="150">
        <v>1760000</v>
      </c>
      <c r="E178" s="20" t="s">
        <v>522</v>
      </c>
      <c r="F178" s="20" t="s">
        <v>523</v>
      </c>
      <c r="G178" s="8" t="str">
        <f t="shared" si="2"/>
        <v>STRICKLAND EVAN</v>
      </c>
    </row>
    <row r="179" spans="1:7" x14ac:dyDescent="0.25">
      <c r="A179" s="8">
        <v>42803.729988425926</v>
      </c>
      <c r="B179" s="20" t="s">
        <v>500</v>
      </c>
      <c r="C179" s="20" t="s">
        <v>758</v>
      </c>
      <c r="D179" s="150">
        <v>2540000</v>
      </c>
      <c r="E179" s="20" t="s">
        <v>214</v>
      </c>
      <c r="F179" s="20" t="s">
        <v>215</v>
      </c>
      <c r="G179" s="8" t="str">
        <f t="shared" si="2"/>
        <v>MCREYNOLDS KYLE</v>
      </c>
    </row>
    <row r="180" spans="1:7" x14ac:dyDescent="0.25">
      <c r="A180" s="8">
        <v>42803.734502314815</v>
      </c>
      <c r="B180" s="20" t="s">
        <v>231</v>
      </c>
      <c r="C180" s="20" t="s">
        <v>759</v>
      </c>
      <c r="D180" s="150">
        <v>1180000</v>
      </c>
      <c r="E180" s="20" t="s">
        <v>456</v>
      </c>
      <c r="F180" s="20" t="s">
        <v>457</v>
      </c>
      <c r="G180" s="8" t="str">
        <f t="shared" si="2"/>
        <v>LEVERE CRAIG</v>
      </c>
    </row>
    <row r="181" spans="1:7" x14ac:dyDescent="0.25">
      <c r="A181" s="8">
        <v>42803.737928240742</v>
      </c>
      <c r="B181" s="20" t="s">
        <v>278</v>
      </c>
      <c r="C181" s="20" t="s">
        <v>760</v>
      </c>
      <c r="D181" s="150">
        <v>1810000</v>
      </c>
      <c r="E181" s="20" t="s">
        <v>201</v>
      </c>
      <c r="F181" s="20" t="s">
        <v>197</v>
      </c>
      <c r="G181" s="8" t="str">
        <f t="shared" si="2"/>
        <v>NEWELL JAMES</v>
      </c>
    </row>
    <row r="182" spans="1:7" x14ac:dyDescent="0.25">
      <c r="A182" s="8">
        <v>42803.738807870373</v>
      </c>
      <c r="B182" s="20" t="s">
        <v>600</v>
      </c>
      <c r="C182" s="20" t="s">
        <v>606</v>
      </c>
      <c r="D182" s="150">
        <v>1740000</v>
      </c>
      <c r="E182" s="20" t="s">
        <v>458</v>
      </c>
      <c r="F182" s="20" t="s">
        <v>459</v>
      </c>
      <c r="G182" s="8" t="str">
        <f t="shared" si="2"/>
        <v>STORY SAMANTHA</v>
      </c>
    </row>
    <row r="183" spans="1:7" x14ac:dyDescent="0.25">
      <c r="A183" s="8">
        <v>42803.739351851851</v>
      </c>
      <c r="B183" s="20" t="s">
        <v>426</v>
      </c>
      <c r="C183" s="20" t="s">
        <v>761</v>
      </c>
      <c r="D183" s="150">
        <v>2620000</v>
      </c>
      <c r="E183" s="20" t="s">
        <v>762</v>
      </c>
      <c r="F183" s="20" t="s">
        <v>763</v>
      </c>
      <c r="G183" s="8" t="str">
        <f t="shared" si="2"/>
        <v>PERKINS DARREN</v>
      </c>
    </row>
    <row r="184" spans="1:7" x14ac:dyDescent="0.25">
      <c r="A184" s="8">
        <v>42803.739652777775</v>
      </c>
      <c r="B184" s="20" t="s">
        <v>502</v>
      </c>
      <c r="C184" s="20" t="s">
        <v>764</v>
      </c>
      <c r="D184" s="150">
        <v>2230000</v>
      </c>
      <c r="E184" s="20" t="s">
        <v>701</v>
      </c>
      <c r="F184" s="20" t="s">
        <v>200</v>
      </c>
      <c r="G184" s="8" t="str">
        <f t="shared" si="2"/>
        <v>SMITH MICHAEL</v>
      </c>
    </row>
    <row r="185" spans="1:7" x14ac:dyDescent="0.25">
      <c r="A185" s="8">
        <v>42803.749652777777</v>
      </c>
      <c r="B185" s="20" t="s">
        <v>271</v>
      </c>
      <c r="C185" s="20" t="s">
        <v>765</v>
      </c>
      <c r="D185" s="150">
        <v>2480000</v>
      </c>
      <c r="E185" s="20" t="s">
        <v>530</v>
      </c>
      <c r="F185" s="20" t="s">
        <v>210</v>
      </c>
      <c r="G185" s="8" t="str">
        <f t="shared" si="2"/>
        <v>WHITED DUSTIN</v>
      </c>
    </row>
    <row r="186" spans="1:7" x14ac:dyDescent="0.25">
      <c r="A186" s="8">
        <v>42803.750416666669</v>
      </c>
      <c r="B186" s="20" t="s">
        <v>271</v>
      </c>
      <c r="C186" s="20" t="s">
        <v>765</v>
      </c>
      <c r="D186" s="150">
        <v>2480000</v>
      </c>
      <c r="E186" s="20" t="s">
        <v>530</v>
      </c>
      <c r="F186" s="20" t="s">
        <v>210</v>
      </c>
      <c r="G186" s="8" t="str">
        <f t="shared" si="2"/>
        <v>WHITED DUSTIN</v>
      </c>
    </row>
    <row r="187" spans="1:7" x14ac:dyDescent="0.25">
      <c r="A187" s="8">
        <v>42803.751516203702</v>
      </c>
      <c r="B187" s="20" t="s">
        <v>271</v>
      </c>
      <c r="C187" s="20" t="s">
        <v>765</v>
      </c>
      <c r="D187" s="150">
        <v>2480000</v>
      </c>
      <c r="E187" s="20" t="s">
        <v>530</v>
      </c>
      <c r="F187" s="20" t="s">
        <v>210</v>
      </c>
      <c r="G187" s="8" t="str">
        <f t="shared" si="2"/>
        <v>WHITED DUSTIN</v>
      </c>
    </row>
    <row r="188" spans="1:7" x14ac:dyDescent="0.25">
      <c r="A188" s="8">
        <v>42803.756180555552</v>
      </c>
      <c r="B188" s="20" t="s">
        <v>602</v>
      </c>
      <c r="C188" s="20" t="s">
        <v>766</v>
      </c>
      <c r="D188" s="150">
        <v>1800000</v>
      </c>
      <c r="E188" s="20" t="s">
        <v>224</v>
      </c>
      <c r="F188" s="20" t="s">
        <v>225</v>
      </c>
      <c r="G188" s="8" t="str">
        <f t="shared" si="2"/>
        <v>CHANDLER KELVIN</v>
      </c>
    </row>
    <row r="189" spans="1:7" x14ac:dyDescent="0.25">
      <c r="A189" s="8">
        <v>42803.756666666668</v>
      </c>
      <c r="B189" s="20" t="s">
        <v>271</v>
      </c>
      <c r="C189" s="20" t="s">
        <v>767</v>
      </c>
      <c r="D189" s="150">
        <v>2360000</v>
      </c>
      <c r="E189" s="20" t="s">
        <v>711</v>
      </c>
      <c r="F189" s="20" t="s">
        <v>712</v>
      </c>
      <c r="G189" s="8" t="str">
        <f t="shared" si="2"/>
        <v>BRANDNER MELINDA</v>
      </c>
    </row>
    <row r="190" spans="1:7" x14ac:dyDescent="0.25">
      <c r="A190" s="8">
        <v>42803.757673611108</v>
      </c>
      <c r="B190" s="20" t="s">
        <v>190</v>
      </c>
      <c r="C190" s="20" t="s">
        <v>768</v>
      </c>
      <c r="D190" s="150">
        <v>1180000</v>
      </c>
      <c r="E190" s="20" t="s">
        <v>456</v>
      </c>
      <c r="F190" s="20" t="s">
        <v>457</v>
      </c>
      <c r="G190" s="8" t="str">
        <f t="shared" si="2"/>
        <v>LEVERE CRAIG</v>
      </c>
    </row>
    <row r="191" spans="1:7" x14ac:dyDescent="0.25">
      <c r="A191" s="8">
        <v>42803.758171296293</v>
      </c>
      <c r="B191" s="20" t="s">
        <v>420</v>
      </c>
      <c r="C191" s="20" t="s">
        <v>765</v>
      </c>
      <c r="D191" s="150">
        <v>2480000</v>
      </c>
      <c r="E191" s="20" t="s">
        <v>530</v>
      </c>
      <c r="F191" s="20" t="s">
        <v>210</v>
      </c>
      <c r="G191" s="8" t="str">
        <f t="shared" si="2"/>
        <v>WHITED DUSTIN</v>
      </c>
    </row>
    <row r="192" spans="1:7" x14ac:dyDescent="0.25">
      <c r="A192" s="8">
        <v>42803.760717592595</v>
      </c>
      <c r="B192" s="20" t="s">
        <v>594</v>
      </c>
      <c r="C192" s="20" t="s">
        <v>769</v>
      </c>
      <c r="D192" s="150">
        <v>1740000</v>
      </c>
      <c r="E192" s="20" t="s">
        <v>458</v>
      </c>
      <c r="F192" s="20" t="s">
        <v>459</v>
      </c>
      <c r="G192" s="8" t="str">
        <f t="shared" si="2"/>
        <v>STORY SAMANTHA</v>
      </c>
    </row>
    <row r="193" spans="1:7" x14ac:dyDescent="0.25">
      <c r="A193" s="8">
        <v>42803.766122685185</v>
      </c>
      <c r="B193" s="20" t="s">
        <v>501</v>
      </c>
      <c r="C193" s="20" t="s">
        <v>770</v>
      </c>
      <c r="D193" s="150">
        <v>2040000</v>
      </c>
      <c r="E193" s="20" t="s">
        <v>279</v>
      </c>
      <c r="F193" s="20" t="s">
        <v>280</v>
      </c>
      <c r="G193" s="8" t="str">
        <f t="shared" si="2"/>
        <v>MOSES BRADLEY</v>
      </c>
    </row>
    <row r="194" spans="1:7" x14ac:dyDescent="0.25">
      <c r="A194" s="8">
        <v>42803.766250000001</v>
      </c>
      <c r="B194" s="20" t="s">
        <v>252</v>
      </c>
      <c r="C194" s="20" t="s">
        <v>771</v>
      </c>
      <c r="D194" s="150">
        <v>1120000</v>
      </c>
      <c r="E194" s="20" t="s">
        <v>265</v>
      </c>
      <c r="F194" s="20" t="s">
        <v>266</v>
      </c>
      <c r="G194" s="8" t="str">
        <f t="shared" si="2"/>
        <v>LOCKLEAR TRAVIS</v>
      </c>
    </row>
    <row r="195" spans="1:7" x14ac:dyDescent="0.25">
      <c r="A195" s="8">
        <v>42803.769259259258</v>
      </c>
      <c r="B195" s="20" t="s">
        <v>418</v>
      </c>
      <c r="C195" s="20" t="s">
        <v>607</v>
      </c>
      <c r="D195" s="150">
        <v>1810000</v>
      </c>
      <c r="E195" s="20" t="s">
        <v>201</v>
      </c>
      <c r="F195" s="20" t="s">
        <v>197</v>
      </c>
      <c r="G195" s="8" t="str">
        <f t="shared" ref="G195:G258" si="3">E195&amp;" "&amp;F195</f>
        <v>NEWELL JAMES</v>
      </c>
    </row>
    <row r="196" spans="1:7" x14ac:dyDescent="0.25">
      <c r="A196" s="8">
        <v>42803.770624999997</v>
      </c>
      <c r="B196" s="20" t="s">
        <v>589</v>
      </c>
      <c r="C196" s="20" t="s">
        <v>772</v>
      </c>
      <c r="D196" s="150">
        <v>2150000</v>
      </c>
      <c r="E196" s="20" t="s">
        <v>526</v>
      </c>
      <c r="F196" s="20" t="s">
        <v>527</v>
      </c>
      <c r="G196" s="8" t="str">
        <f t="shared" si="3"/>
        <v>SWANSON BRYCE</v>
      </c>
    </row>
    <row r="197" spans="1:7" x14ac:dyDescent="0.25">
      <c r="A197" s="8">
        <v>42803.776203703703</v>
      </c>
      <c r="B197" s="20" t="s">
        <v>231</v>
      </c>
      <c r="C197" s="20" t="s">
        <v>773</v>
      </c>
      <c r="D197" s="150">
        <v>1180000</v>
      </c>
      <c r="E197" s="20" t="s">
        <v>456</v>
      </c>
      <c r="F197" s="20" t="s">
        <v>457</v>
      </c>
      <c r="G197" s="8" t="str">
        <f t="shared" si="3"/>
        <v>LEVERE CRAIG</v>
      </c>
    </row>
    <row r="198" spans="1:7" x14ac:dyDescent="0.25">
      <c r="A198" s="8">
        <v>42803.779803240737</v>
      </c>
      <c r="B198" s="20" t="s">
        <v>510</v>
      </c>
      <c r="C198" s="20" t="s">
        <v>774</v>
      </c>
      <c r="D198" s="150">
        <v>2230000</v>
      </c>
      <c r="E198" s="20" t="s">
        <v>701</v>
      </c>
      <c r="F198" s="20" t="s">
        <v>200</v>
      </c>
      <c r="G198" s="8" t="str">
        <f t="shared" si="3"/>
        <v>SMITH MICHAEL</v>
      </c>
    </row>
    <row r="199" spans="1:7" x14ac:dyDescent="0.25">
      <c r="A199" s="8">
        <v>42803.780821759261</v>
      </c>
      <c r="B199" s="20" t="s">
        <v>600</v>
      </c>
      <c r="C199" s="20" t="s">
        <v>775</v>
      </c>
      <c r="D199" s="150">
        <v>1740000</v>
      </c>
      <c r="E199" s="20" t="s">
        <v>458</v>
      </c>
      <c r="F199" s="20" t="s">
        <v>459</v>
      </c>
      <c r="G199" s="8" t="str">
        <f t="shared" si="3"/>
        <v>STORY SAMANTHA</v>
      </c>
    </row>
    <row r="200" spans="1:7" x14ac:dyDescent="0.25">
      <c r="A200" s="8">
        <v>42803.789907407408</v>
      </c>
      <c r="B200" s="20" t="s">
        <v>596</v>
      </c>
      <c r="C200" s="20" t="s">
        <v>776</v>
      </c>
      <c r="D200" s="150">
        <v>1800000</v>
      </c>
      <c r="E200" s="20" t="s">
        <v>224</v>
      </c>
      <c r="F200" s="20" t="s">
        <v>225</v>
      </c>
      <c r="G200" s="8" t="str">
        <f t="shared" si="3"/>
        <v>CHANDLER KELVIN</v>
      </c>
    </row>
    <row r="201" spans="1:7" x14ac:dyDescent="0.25">
      <c r="A201" s="8">
        <v>42803.79142361111</v>
      </c>
      <c r="B201" s="20" t="s">
        <v>272</v>
      </c>
      <c r="C201" s="20" t="s">
        <v>777</v>
      </c>
      <c r="D201" s="150">
        <v>2360000</v>
      </c>
      <c r="E201" s="20" t="s">
        <v>711</v>
      </c>
      <c r="F201" s="20" t="s">
        <v>712</v>
      </c>
      <c r="G201" s="8" t="str">
        <f t="shared" si="3"/>
        <v>BRANDNER MELINDA</v>
      </c>
    </row>
    <row r="202" spans="1:7" x14ac:dyDescent="0.25">
      <c r="A202" s="26">
        <v>42803.793900462966</v>
      </c>
      <c r="B202" s="20" t="s">
        <v>419</v>
      </c>
      <c r="C202" s="20" t="s">
        <v>778</v>
      </c>
      <c r="D202" s="150">
        <v>2480000</v>
      </c>
      <c r="E202" s="20" t="s">
        <v>530</v>
      </c>
      <c r="F202" s="20" t="s">
        <v>210</v>
      </c>
      <c r="G202" s="8" t="str">
        <f t="shared" si="3"/>
        <v>WHITED DUSTIN</v>
      </c>
    </row>
    <row r="203" spans="1:7" x14ac:dyDescent="0.25">
      <c r="A203" s="8">
        <v>42803.797233796293</v>
      </c>
      <c r="B203" s="20" t="s">
        <v>594</v>
      </c>
      <c r="C203" s="20" t="s">
        <v>608</v>
      </c>
      <c r="D203" s="150">
        <v>1740000</v>
      </c>
      <c r="E203" s="20" t="s">
        <v>458</v>
      </c>
      <c r="F203" s="20" t="s">
        <v>459</v>
      </c>
      <c r="G203" s="8" t="str">
        <f t="shared" si="3"/>
        <v>STORY SAMANTHA</v>
      </c>
    </row>
    <row r="204" spans="1:7" x14ac:dyDescent="0.25">
      <c r="A204" s="8">
        <v>42803.799074074072</v>
      </c>
      <c r="B204" s="20" t="s">
        <v>254</v>
      </c>
      <c r="C204" s="20" t="s">
        <v>779</v>
      </c>
      <c r="D204" s="150">
        <v>1120000</v>
      </c>
      <c r="E204" s="20" t="s">
        <v>265</v>
      </c>
      <c r="F204" s="20" t="s">
        <v>266</v>
      </c>
      <c r="G204" s="8" t="str">
        <f t="shared" si="3"/>
        <v>LOCKLEAR TRAVIS</v>
      </c>
    </row>
    <row r="205" spans="1:7" x14ac:dyDescent="0.25">
      <c r="A205" s="8">
        <v>42803.801932870374</v>
      </c>
      <c r="B205" s="20" t="s">
        <v>618</v>
      </c>
      <c r="C205" s="20" t="s">
        <v>780</v>
      </c>
      <c r="D205" s="150">
        <v>2150000</v>
      </c>
      <c r="E205" s="20" t="s">
        <v>526</v>
      </c>
      <c r="F205" s="20" t="s">
        <v>527</v>
      </c>
      <c r="G205" s="8" t="str">
        <f t="shared" si="3"/>
        <v>SWANSON BRYCE</v>
      </c>
    </row>
    <row r="206" spans="1:7" x14ac:dyDescent="0.25">
      <c r="A206" s="8">
        <v>42803.803483796299</v>
      </c>
      <c r="B206" s="20" t="s">
        <v>190</v>
      </c>
      <c r="C206" s="20" t="s">
        <v>781</v>
      </c>
      <c r="D206" s="150">
        <v>2440000</v>
      </c>
      <c r="E206" s="20" t="s">
        <v>782</v>
      </c>
      <c r="F206" s="20" t="s">
        <v>783</v>
      </c>
      <c r="G206" s="8" t="str">
        <f t="shared" si="3"/>
        <v>LOPES KIMBERLY</v>
      </c>
    </row>
    <row r="207" spans="1:7" x14ac:dyDescent="0.25">
      <c r="A207" s="8">
        <v>42803.809965277775</v>
      </c>
      <c r="B207" s="20" t="s">
        <v>278</v>
      </c>
      <c r="C207" s="20" t="s">
        <v>784</v>
      </c>
      <c r="D207" s="150">
        <v>1810000</v>
      </c>
      <c r="E207" s="20" t="s">
        <v>201</v>
      </c>
      <c r="F207" s="20" t="s">
        <v>197</v>
      </c>
      <c r="G207" s="8" t="str">
        <f t="shared" si="3"/>
        <v>NEWELL JAMES</v>
      </c>
    </row>
    <row r="208" spans="1:7" x14ac:dyDescent="0.25">
      <c r="A208" s="8">
        <v>42803.817511574074</v>
      </c>
      <c r="B208" s="20" t="s">
        <v>231</v>
      </c>
      <c r="C208" s="20" t="s">
        <v>785</v>
      </c>
      <c r="D208" s="150">
        <v>2440000</v>
      </c>
      <c r="E208" s="20" t="s">
        <v>782</v>
      </c>
      <c r="F208" s="20" t="s">
        <v>783</v>
      </c>
      <c r="G208" s="8" t="str">
        <f t="shared" si="3"/>
        <v>LOPES KIMBERLY</v>
      </c>
    </row>
    <row r="209" spans="1:7" x14ac:dyDescent="0.25">
      <c r="A209" s="8">
        <v>42803.824525462966</v>
      </c>
      <c r="B209" s="20" t="s">
        <v>271</v>
      </c>
      <c r="C209" s="20" t="s">
        <v>786</v>
      </c>
      <c r="D209" s="150">
        <v>2360000</v>
      </c>
      <c r="E209" s="20" t="s">
        <v>711</v>
      </c>
      <c r="F209" s="20" t="s">
        <v>712</v>
      </c>
      <c r="G209" s="8" t="str">
        <f t="shared" si="3"/>
        <v>BRANDNER MELINDA</v>
      </c>
    </row>
    <row r="210" spans="1:7" x14ac:dyDescent="0.25">
      <c r="A210" s="8">
        <v>42803.828194444446</v>
      </c>
      <c r="B210" s="20" t="s">
        <v>602</v>
      </c>
      <c r="C210" s="20" t="s">
        <v>787</v>
      </c>
      <c r="D210" s="150">
        <v>1800000</v>
      </c>
      <c r="E210" s="20" t="s">
        <v>224</v>
      </c>
      <c r="F210" s="20" t="s">
        <v>225</v>
      </c>
      <c r="G210" s="8" t="str">
        <f t="shared" si="3"/>
        <v>CHANDLER KELVIN</v>
      </c>
    </row>
    <row r="211" spans="1:7" x14ac:dyDescent="0.25">
      <c r="A211" s="8">
        <v>42803.829444444447</v>
      </c>
      <c r="B211" s="20" t="s">
        <v>420</v>
      </c>
      <c r="C211" s="20" t="s">
        <v>788</v>
      </c>
      <c r="D211" s="150">
        <v>2540000</v>
      </c>
      <c r="E211" s="20" t="s">
        <v>214</v>
      </c>
      <c r="F211" s="20" t="s">
        <v>215</v>
      </c>
      <c r="G211" s="8" t="str">
        <f t="shared" si="3"/>
        <v>MCREYNOLDS KYLE</v>
      </c>
    </row>
    <row r="212" spans="1:7" x14ac:dyDescent="0.25">
      <c r="A212" s="8">
        <v>42803.839259259257</v>
      </c>
      <c r="B212" s="20" t="s">
        <v>190</v>
      </c>
      <c r="C212" s="20" t="s">
        <v>789</v>
      </c>
      <c r="D212" s="150">
        <v>1180000</v>
      </c>
      <c r="E212" s="20" t="s">
        <v>456</v>
      </c>
      <c r="F212" s="20" t="s">
        <v>457</v>
      </c>
      <c r="G212" s="8" t="str">
        <f t="shared" si="3"/>
        <v>LEVERE CRAIG</v>
      </c>
    </row>
    <row r="213" spans="1:7" x14ac:dyDescent="0.25">
      <c r="A213" s="8">
        <v>42803.842870370368</v>
      </c>
      <c r="B213" s="20" t="s">
        <v>589</v>
      </c>
      <c r="C213" s="20" t="s">
        <v>790</v>
      </c>
      <c r="D213" s="150">
        <v>2150000</v>
      </c>
      <c r="E213" s="20" t="s">
        <v>526</v>
      </c>
      <c r="F213" s="20" t="s">
        <v>527</v>
      </c>
      <c r="G213" s="8" t="str">
        <f t="shared" si="3"/>
        <v>SWANSON BRYCE</v>
      </c>
    </row>
    <row r="214" spans="1:7" x14ac:dyDescent="0.25">
      <c r="A214" s="8">
        <v>42803.84878472222</v>
      </c>
      <c r="B214" s="20" t="s">
        <v>418</v>
      </c>
      <c r="C214" s="20" t="s">
        <v>791</v>
      </c>
      <c r="D214" s="150">
        <v>1810000</v>
      </c>
      <c r="E214" s="20" t="s">
        <v>201</v>
      </c>
      <c r="F214" s="20" t="s">
        <v>197</v>
      </c>
      <c r="G214" s="8" t="str">
        <f t="shared" si="3"/>
        <v>NEWELL JAMES</v>
      </c>
    </row>
    <row r="215" spans="1:7" x14ac:dyDescent="0.25">
      <c r="A215" s="8">
        <v>42803.8596875</v>
      </c>
      <c r="B215" s="20" t="s">
        <v>231</v>
      </c>
      <c r="C215" s="20" t="s">
        <v>792</v>
      </c>
      <c r="D215" s="150">
        <v>1180000</v>
      </c>
      <c r="E215" s="20" t="s">
        <v>456</v>
      </c>
      <c r="F215" s="20" t="s">
        <v>457</v>
      </c>
      <c r="G215" s="8" t="str">
        <f t="shared" si="3"/>
        <v>LEVERE CRAIG</v>
      </c>
    </row>
    <row r="216" spans="1:7" x14ac:dyDescent="0.25">
      <c r="A216" s="8">
        <v>42803.866793981484</v>
      </c>
      <c r="B216" s="20" t="s">
        <v>419</v>
      </c>
      <c r="C216" s="20" t="s">
        <v>793</v>
      </c>
      <c r="D216" s="150">
        <v>2540000</v>
      </c>
      <c r="E216" s="20" t="s">
        <v>214</v>
      </c>
      <c r="F216" s="20" t="s">
        <v>215</v>
      </c>
      <c r="G216" s="8" t="str">
        <f t="shared" si="3"/>
        <v>MCREYNOLDS KYLE</v>
      </c>
    </row>
    <row r="217" spans="1:7" x14ac:dyDescent="0.25">
      <c r="A217" s="8">
        <v>42803.867951388886</v>
      </c>
      <c r="B217" s="20" t="s">
        <v>596</v>
      </c>
      <c r="C217" s="20" t="s">
        <v>794</v>
      </c>
      <c r="D217" s="150">
        <v>2620000</v>
      </c>
      <c r="E217" s="20" t="s">
        <v>762</v>
      </c>
      <c r="F217" s="20" t="s">
        <v>763</v>
      </c>
      <c r="G217" s="8" t="str">
        <f t="shared" si="3"/>
        <v>PERKINS DARREN</v>
      </c>
    </row>
    <row r="218" spans="1:7" x14ac:dyDescent="0.25">
      <c r="A218" s="8">
        <v>42803.878750000003</v>
      </c>
      <c r="B218" s="20" t="s">
        <v>190</v>
      </c>
      <c r="C218" s="20" t="s">
        <v>609</v>
      </c>
      <c r="D218" s="150">
        <v>1740000</v>
      </c>
      <c r="E218" s="20" t="s">
        <v>458</v>
      </c>
      <c r="F218" s="20" t="s">
        <v>459</v>
      </c>
      <c r="G218" s="8" t="str">
        <f t="shared" si="3"/>
        <v>STORY SAMANTHA</v>
      </c>
    </row>
    <row r="219" spans="1:7" x14ac:dyDescent="0.25">
      <c r="A219" s="8">
        <v>42803.887569444443</v>
      </c>
      <c r="B219" s="20" t="s">
        <v>278</v>
      </c>
      <c r="C219" s="20" t="s">
        <v>795</v>
      </c>
      <c r="D219" s="150">
        <v>1810000</v>
      </c>
      <c r="E219" s="20" t="s">
        <v>201</v>
      </c>
      <c r="F219" s="20" t="s">
        <v>197</v>
      </c>
      <c r="G219" s="8" t="str">
        <f t="shared" si="3"/>
        <v>NEWELL JAMES</v>
      </c>
    </row>
    <row r="220" spans="1:7" x14ac:dyDescent="0.25">
      <c r="A220" s="8">
        <v>42803.892638888887</v>
      </c>
      <c r="B220" s="20" t="s">
        <v>618</v>
      </c>
      <c r="C220" s="20" t="s">
        <v>796</v>
      </c>
      <c r="D220" s="150">
        <v>2150000</v>
      </c>
      <c r="E220" s="20" t="s">
        <v>526</v>
      </c>
      <c r="F220" s="20" t="s">
        <v>527</v>
      </c>
      <c r="G220" s="8" t="str">
        <f t="shared" si="3"/>
        <v>SWANSON BRYCE</v>
      </c>
    </row>
    <row r="221" spans="1:7" x14ac:dyDescent="0.25">
      <c r="A221" s="8">
        <v>42803.901550925926</v>
      </c>
      <c r="B221" s="20" t="s">
        <v>231</v>
      </c>
      <c r="C221" s="20" t="s">
        <v>610</v>
      </c>
      <c r="D221" s="150">
        <v>1740000</v>
      </c>
      <c r="E221" s="20" t="s">
        <v>458</v>
      </c>
      <c r="F221" s="20" t="s">
        <v>459</v>
      </c>
      <c r="G221" s="8" t="str">
        <f t="shared" si="3"/>
        <v>STORY SAMANTHA</v>
      </c>
    </row>
    <row r="222" spans="1:7" x14ac:dyDescent="0.25">
      <c r="A222" s="8">
        <v>42803.91002314815</v>
      </c>
      <c r="B222" s="20" t="s">
        <v>602</v>
      </c>
      <c r="C222" s="20" t="s">
        <v>797</v>
      </c>
      <c r="D222" s="150">
        <v>2620000</v>
      </c>
      <c r="E222" s="20" t="s">
        <v>762</v>
      </c>
      <c r="F222" s="20" t="s">
        <v>763</v>
      </c>
      <c r="G222" s="8" t="str">
        <f t="shared" si="3"/>
        <v>PERKINS DARREN</v>
      </c>
    </row>
    <row r="223" spans="1:7" x14ac:dyDescent="0.25">
      <c r="A223" s="8">
        <v>42803.912002314813</v>
      </c>
      <c r="B223" s="20" t="s">
        <v>420</v>
      </c>
      <c r="C223" s="20" t="s">
        <v>798</v>
      </c>
      <c r="D223" s="150">
        <v>2540000</v>
      </c>
      <c r="E223" s="20" t="s">
        <v>214</v>
      </c>
      <c r="F223" s="20" t="s">
        <v>215</v>
      </c>
      <c r="G223" s="8" t="str">
        <f t="shared" si="3"/>
        <v>MCREYNOLDS KYLE</v>
      </c>
    </row>
    <row r="224" spans="1:7" x14ac:dyDescent="0.25">
      <c r="A224" s="8">
        <v>42803.922662037039</v>
      </c>
      <c r="B224" t="s">
        <v>418</v>
      </c>
      <c r="C224" t="s">
        <v>611</v>
      </c>
      <c r="D224" s="150">
        <v>1810000</v>
      </c>
      <c r="E224" t="s">
        <v>201</v>
      </c>
      <c r="F224" s="20" t="s">
        <v>197</v>
      </c>
      <c r="G224" s="8" t="str">
        <f t="shared" si="3"/>
        <v>NEWELL JAMES</v>
      </c>
    </row>
    <row r="225" spans="1:7" x14ac:dyDescent="0.25">
      <c r="A225" s="8">
        <v>42803.928530092591</v>
      </c>
      <c r="B225" t="s">
        <v>190</v>
      </c>
      <c r="C225" t="s">
        <v>799</v>
      </c>
      <c r="D225" s="150">
        <v>1740000</v>
      </c>
      <c r="E225" t="s">
        <v>458</v>
      </c>
      <c r="F225" s="20" t="s">
        <v>459</v>
      </c>
      <c r="G225" s="8" t="str">
        <f t="shared" si="3"/>
        <v>STORY SAMANTHA</v>
      </c>
    </row>
    <row r="226" spans="1:7" x14ac:dyDescent="0.25">
      <c r="A226" s="8">
        <v>42803.928854166668</v>
      </c>
      <c r="B226" t="s">
        <v>589</v>
      </c>
      <c r="C226" t="s">
        <v>800</v>
      </c>
      <c r="D226" s="150">
        <v>2150000</v>
      </c>
      <c r="E226" t="s">
        <v>526</v>
      </c>
      <c r="F226" s="20" t="s">
        <v>527</v>
      </c>
      <c r="G226" s="8" t="str">
        <f t="shared" si="3"/>
        <v>SWANSON BRYCE</v>
      </c>
    </row>
    <row r="227" spans="1:7" x14ac:dyDescent="0.25">
      <c r="A227" s="8">
        <v>42803.935682870368</v>
      </c>
      <c r="B227" t="s">
        <v>499</v>
      </c>
      <c r="C227" t="s">
        <v>801</v>
      </c>
      <c r="D227" s="150">
        <v>2730000</v>
      </c>
      <c r="E227" t="s">
        <v>240</v>
      </c>
      <c r="F227" s="20" t="s">
        <v>241</v>
      </c>
      <c r="G227" s="8" t="str">
        <f t="shared" si="3"/>
        <v>YANG JAN</v>
      </c>
    </row>
    <row r="228" spans="1:7" x14ac:dyDescent="0.25">
      <c r="A228" s="8">
        <v>42803.943680555552</v>
      </c>
      <c r="B228" t="s">
        <v>231</v>
      </c>
      <c r="C228" t="s">
        <v>802</v>
      </c>
      <c r="D228" s="150">
        <v>1740000</v>
      </c>
      <c r="E228" t="s">
        <v>458</v>
      </c>
      <c r="F228" s="20" t="s">
        <v>459</v>
      </c>
      <c r="G228" s="8" t="str">
        <f t="shared" si="3"/>
        <v>STORY SAMANTHA</v>
      </c>
    </row>
    <row r="229" spans="1:7" x14ac:dyDescent="0.25">
      <c r="A229" s="8">
        <v>42803.95076388889</v>
      </c>
      <c r="B229" t="s">
        <v>596</v>
      </c>
      <c r="C229" t="s">
        <v>612</v>
      </c>
      <c r="D229" s="150">
        <v>1800000</v>
      </c>
      <c r="E229" t="s">
        <v>224</v>
      </c>
      <c r="F229" s="20" t="s">
        <v>225</v>
      </c>
      <c r="G229" s="8" t="str">
        <f t="shared" si="3"/>
        <v>CHANDLER KELVIN</v>
      </c>
    </row>
    <row r="230" spans="1:7" x14ac:dyDescent="0.25">
      <c r="A230" s="8">
        <v>42803.951550925929</v>
      </c>
      <c r="B230" t="s">
        <v>504</v>
      </c>
      <c r="C230" t="s">
        <v>803</v>
      </c>
      <c r="D230" s="150">
        <v>2730000</v>
      </c>
      <c r="E230" t="s">
        <v>240</v>
      </c>
      <c r="F230" s="20" t="s">
        <v>241</v>
      </c>
      <c r="G230" s="8" t="str">
        <f t="shared" si="3"/>
        <v>YANG JAN</v>
      </c>
    </row>
    <row r="231" spans="1:7" x14ac:dyDescent="0.25">
      <c r="A231" s="8">
        <v>42803.951608796298</v>
      </c>
      <c r="B231" t="s">
        <v>190</v>
      </c>
      <c r="C231" t="s">
        <v>802</v>
      </c>
      <c r="D231" s="150">
        <v>1740000</v>
      </c>
      <c r="E231" t="s">
        <v>458</v>
      </c>
      <c r="F231" s="20" t="s">
        <v>459</v>
      </c>
      <c r="G231" s="8" t="str">
        <f t="shared" si="3"/>
        <v>STORY SAMANTHA</v>
      </c>
    </row>
    <row r="232" spans="1:7" x14ac:dyDescent="0.25">
      <c r="A232" s="8">
        <v>42803.952465277776</v>
      </c>
      <c r="B232" t="s">
        <v>504</v>
      </c>
      <c r="C232" t="s">
        <v>803</v>
      </c>
      <c r="D232" s="150">
        <v>2730000</v>
      </c>
      <c r="E232" t="s">
        <v>240</v>
      </c>
      <c r="F232" s="20" t="s">
        <v>241</v>
      </c>
      <c r="G232" s="8" t="str">
        <f t="shared" si="3"/>
        <v>YANG JAN</v>
      </c>
    </row>
    <row r="233" spans="1:7" x14ac:dyDescent="0.25">
      <c r="A233" s="8">
        <v>42803.953240740739</v>
      </c>
      <c r="B233" t="s">
        <v>419</v>
      </c>
      <c r="C233" t="s">
        <v>804</v>
      </c>
      <c r="D233" s="150">
        <v>2540000</v>
      </c>
      <c r="E233" t="s">
        <v>214</v>
      </c>
      <c r="F233" s="20" t="s">
        <v>215</v>
      </c>
      <c r="G233" s="8" t="str">
        <f t="shared" si="3"/>
        <v>MCREYNOLDS KYLE</v>
      </c>
    </row>
    <row r="234" spans="1:7" x14ac:dyDescent="0.25">
      <c r="A234" s="8">
        <v>42803.95511574074</v>
      </c>
      <c r="B234" t="s">
        <v>504</v>
      </c>
      <c r="C234" t="s">
        <v>803</v>
      </c>
      <c r="D234" s="150">
        <v>2730000</v>
      </c>
      <c r="E234" t="s">
        <v>240</v>
      </c>
      <c r="F234" s="20" t="s">
        <v>241</v>
      </c>
      <c r="G234" s="8" t="str">
        <f t="shared" si="3"/>
        <v>YANG JAN</v>
      </c>
    </row>
    <row r="235" spans="1:7" x14ac:dyDescent="0.25">
      <c r="A235" s="8">
        <v>42803.966319444444</v>
      </c>
      <c r="B235" t="s">
        <v>618</v>
      </c>
      <c r="C235" t="s">
        <v>805</v>
      </c>
      <c r="D235" s="150">
        <v>2150000</v>
      </c>
      <c r="E235" t="s">
        <v>526</v>
      </c>
      <c r="F235" s="20" t="s">
        <v>527</v>
      </c>
      <c r="G235" s="8" t="str">
        <f t="shared" si="3"/>
        <v>SWANSON BRYCE</v>
      </c>
    </row>
    <row r="236" spans="1:7" x14ac:dyDescent="0.25">
      <c r="A236" s="8">
        <v>42803.97760416667</v>
      </c>
      <c r="B236" t="s">
        <v>278</v>
      </c>
      <c r="C236" t="s">
        <v>806</v>
      </c>
      <c r="D236" s="150">
        <v>1810000</v>
      </c>
      <c r="E236" t="s">
        <v>201</v>
      </c>
      <c r="F236" s="20" t="s">
        <v>197</v>
      </c>
      <c r="G236" s="8" t="str">
        <f t="shared" si="3"/>
        <v>NEWELL JAMES</v>
      </c>
    </row>
    <row r="237" spans="1:7" x14ac:dyDescent="0.25">
      <c r="A237" s="8">
        <v>42803.991446759261</v>
      </c>
      <c r="B237" t="s">
        <v>420</v>
      </c>
      <c r="C237" t="s">
        <v>807</v>
      </c>
      <c r="D237" s="150">
        <v>2540000</v>
      </c>
      <c r="E237" t="s">
        <v>214</v>
      </c>
      <c r="F237" s="20" t="s">
        <v>215</v>
      </c>
      <c r="G237" s="8" t="str">
        <f t="shared" si="3"/>
        <v>MCREYNOLDS KYLE</v>
      </c>
    </row>
    <row r="238" spans="1:7" x14ac:dyDescent="0.25">
      <c r="A238" s="8">
        <v>42803.996504629627</v>
      </c>
      <c r="B238" t="s">
        <v>602</v>
      </c>
      <c r="C238" t="s">
        <v>613</v>
      </c>
      <c r="D238" s="150">
        <v>1800000</v>
      </c>
      <c r="E238" t="s">
        <v>224</v>
      </c>
      <c r="F238" s="20" t="s">
        <v>225</v>
      </c>
      <c r="G238" s="8" t="str">
        <f t="shared" si="3"/>
        <v>CHANDLER KELVIN</v>
      </c>
    </row>
    <row r="239" spans="1:7" x14ac:dyDescent="0.25">
      <c r="A239" s="8">
        <v>42803.996979166666</v>
      </c>
      <c r="B239" t="s">
        <v>499</v>
      </c>
      <c r="C239" t="s">
        <v>801</v>
      </c>
      <c r="D239" s="150">
        <v>2730000</v>
      </c>
      <c r="E239" t="s">
        <v>240</v>
      </c>
      <c r="F239" s="20" t="s">
        <v>241</v>
      </c>
      <c r="G239" s="8" t="str">
        <f t="shared" si="3"/>
        <v>YANG JAN</v>
      </c>
    </row>
    <row r="240" spans="1:7" x14ac:dyDescent="0.25">
      <c r="A240" s="8">
        <v>42804.015717592592</v>
      </c>
      <c r="B240" t="s">
        <v>418</v>
      </c>
      <c r="C240" t="s">
        <v>808</v>
      </c>
      <c r="D240" s="150">
        <v>1810000</v>
      </c>
      <c r="E240" t="s">
        <v>201</v>
      </c>
      <c r="F240" s="20" t="s">
        <v>197</v>
      </c>
      <c r="G240" s="8" t="str">
        <f t="shared" si="3"/>
        <v>NEWELL JAMES</v>
      </c>
    </row>
    <row r="241" spans="1:7" x14ac:dyDescent="0.25">
      <c r="A241" s="8">
        <v>42804.018888888888</v>
      </c>
      <c r="B241" t="s">
        <v>589</v>
      </c>
      <c r="C241" t="s">
        <v>809</v>
      </c>
      <c r="D241" s="150">
        <v>2150000</v>
      </c>
      <c r="E241" t="s">
        <v>526</v>
      </c>
      <c r="F241" s="20" t="s">
        <v>527</v>
      </c>
      <c r="G241" s="8" t="str">
        <f t="shared" si="3"/>
        <v>SWANSON BRYCE</v>
      </c>
    </row>
    <row r="242" spans="1:7" x14ac:dyDescent="0.25">
      <c r="A242" s="8">
        <v>42804.033171296294</v>
      </c>
      <c r="B242" t="s">
        <v>419</v>
      </c>
      <c r="C242" t="s">
        <v>810</v>
      </c>
      <c r="D242" s="150">
        <v>2540000</v>
      </c>
      <c r="E242" t="s">
        <v>214</v>
      </c>
      <c r="F242" s="20" t="s">
        <v>215</v>
      </c>
      <c r="G242" s="8" t="str">
        <f t="shared" si="3"/>
        <v>MCREYNOLDS KYLE</v>
      </c>
    </row>
    <row r="243" spans="1:7" x14ac:dyDescent="0.25">
      <c r="A243" s="8">
        <v>42804.042881944442</v>
      </c>
      <c r="B243" t="s">
        <v>504</v>
      </c>
      <c r="C243" t="s">
        <v>803</v>
      </c>
      <c r="D243" s="150">
        <v>2730000</v>
      </c>
      <c r="E243" t="s">
        <v>240</v>
      </c>
      <c r="F243" s="20" t="s">
        <v>241</v>
      </c>
      <c r="G243" s="8" t="str">
        <f t="shared" si="3"/>
        <v>YANG JAN</v>
      </c>
    </row>
    <row r="244" spans="1:7" x14ac:dyDescent="0.25">
      <c r="A244" s="8">
        <v>42804.04996527778</v>
      </c>
      <c r="B244" t="s">
        <v>278</v>
      </c>
      <c r="C244" t="s">
        <v>811</v>
      </c>
      <c r="D244" s="150">
        <v>1810000</v>
      </c>
      <c r="E244" t="s">
        <v>201</v>
      </c>
      <c r="F244" s="20" t="s">
        <v>197</v>
      </c>
      <c r="G244" s="8" t="str">
        <f t="shared" si="3"/>
        <v>NEWELL JAMES</v>
      </c>
    </row>
    <row r="245" spans="1:7" x14ac:dyDescent="0.25">
      <c r="A245" s="8">
        <v>42804.052256944444</v>
      </c>
      <c r="B245" t="s">
        <v>618</v>
      </c>
      <c r="C245" t="s">
        <v>812</v>
      </c>
      <c r="D245" s="150">
        <v>2150000</v>
      </c>
      <c r="E245" t="s">
        <v>526</v>
      </c>
      <c r="F245" s="20" t="s">
        <v>527</v>
      </c>
      <c r="G245" s="8" t="str">
        <f t="shared" si="3"/>
        <v>SWANSON BRYCE</v>
      </c>
    </row>
    <row r="246" spans="1:7" x14ac:dyDescent="0.25">
      <c r="A246" s="8">
        <v>42804.060740740744</v>
      </c>
      <c r="B246" t="s">
        <v>499</v>
      </c>
      <c r="C246" t="s">
        <v>801</v>
      </c>
      <c r="D246" s="150">
        <v>2730000</v>
      </c>
      <c r="E246" t="s">
        <v>240</v>
      </c>
      <c r="F246" s="20" t="s">
        <v>241</v>
      </c>
      <c r="G246" s="8" t="str">
        <f t="shared" si="3"/>
        <v>YANG JAN</v>
      </c>
    </row>
    <row r="247" spans="1:7" x14ac:dyDescent="0.25">
      <c r="A247" s="8">
        <v>42804.071018518516</v>
      </c>
      <c r="B247" t="s">
        <v>420</v>
      </c>
      <c r="C247" t="s">
        <v>813</v>
      </c>
      <c r="D247" s="150">
        <v>2540000</v>
      </c>
      <c r="E247" t="s">
        <v>214</v>
      </c>
      <c r="F247" s="20" t="s">
        <v>215</v>
      </c>
      <c r="G247" s="8" t="str">
        <f t="shared" si="3"/>
        <v>MCREYNOLDS KYLE</v>
      </c>
    </row>
    <row r="248" spans="1:7" x14ac:dyDescent="0.25">
      <c r="A248" s="8">
        <v>42804.073368055557</v>
      </c>
      <c r="B248" t="s">
        <v>504</v>
      </c>
      <c r="C248" t="s">
        <v>803</v>
      </c>
      <c r="D248" s="150">
        <v>2730000</v>
      </c>
      <c r="E248" t="s">
        <v>240</v>
      </c>
      <c r="F248" s="20" t="s">
        <v>241</v>
      </c>
      <c r="G248" s="8" t="str">
        <f t="shared" si="3"/>
        <v>YANG JAN</v>
      </c>
    </row>
    <row r="249" spans="1:7" x14ac:dyDescent="0.25">
      <c r="A249" s="8">
        <v>42804.085752314815</v>
      </c>
      <c r="B249" t="s">
        <v>499</v>
      </c>
      <c r="C249" t="s">
        <v>801</v>
      </c>
      <c r="D249" s="150">
        <v>2730000</v>
      </c>
      <c r="E249" t="s">
        <v>240</v>
      </c>
      <c r="F249" s="20" t="s">
        <v>241</v>
      </c>
      <c r="G249" s="8" t="str">
        <f t="shared" si="3"/>
        <v>YANG JAN</v>
      </c>
    </row>
    <row r="250" spans="1:7" x14ac:dyDescent="0.25">
      <c r="A250" s="8">
        <v>42804.091979166667</v>
      </c>
      <c r="B250" t="s">
        <v>589</v>
      </c>
      <c r="C250" t="s">
        <v>814</v>
      </c>
      <c r="D250" s="150">
        <v>2150000</v>
      </c>
      <c r="E250" t="s">
        <v>526</v>
      </c>
      <c r="F250" s="20" t="s">
        <v>527</v>
      </c>
      <c r="G250" s="8" t="str">
        <f t="shared" si="3"/>
        <v>SWANSON BRYCE</v>
      </c>
    </row>
    <row r="251" spans="1:7" x14ac:dyDescent="0.25">
      <c r="A251" s="8">
        <v>42804.100902777776</v>
      </c>
      <c r="B251" t="s">
        <v>504</v>
      </c>
      <c r="C251" t="s">
        <v>803</v>
      </c>
      <c r="D251" s="150">
        <v>2730000</v>
      </c>
      <c r="E251" t="s">
        <v>240</v>
      </c>
      <c r="F251" s="20" t="s">
        <v>241</v>
      </c>
      <c r="G251" s="8" t="str">
        <f t="shared" si="3"/>
        <v>YANG JAN</v>
      </c>
    </row>
    <row r="252" spans="1:7" x14ac:dyDescent="0.25">
      <c r="A252" s="8">
        <v>42804.11314814815</v>
      </c>
      <c r="B252" t="s">
        <v>499</v>
      </c>
      <c r="C252" t="s">
        <v>801</v>
      </c>
      <c r="D252" s="150">
        <v>2730000</v>
      </c>
      <c r="E252" t="s">
        <v>240</v>
      </c>
      <c r="F252" s="20" t="s">
        <v>241</v>
      </c>
      <c r="G252" s="8" t="str">
        <f t="shared" si="3"/>
        <v>YANG JAN</v>
      </c>
    </row>
    <row r="253" spans="1:7" x14ac:dyDescent="0.25">
      <c r="A253" s="8">
        <v>42803.033553240741</v>
      </c>
      <c r="B253" t="s">
        <v>444</v>
      </c>
      <c r="C253" t="s">
        <v>533</v>
      </c>
      <c r="D253" s="150">
        <v>2150000</v>
      </c>
      <c r="E253" t="s">
        <v>526</v>
      </c>
      <c r="F253" s="20" t="s">
        <v>527</v>
      </c>
      <c r="G253" s="8" t="str">
        <f t="shared" si="3"/>
        <v>SWANSON BRYCE</v>
      </c>
    </row>
    <row r="254" spans="1:7" x14ac:dyDescent="0.25">
      <c r="A254" s="8">
        <v>42803.036689814813</v>
      </c>
      <c r="B254" t="s">
        <v>500</v>
      </c>
      <c r="C254" t="s">
        <v>534</v>
      </c>
      <c r="D254" s="150">
        <v>2450000</v>
      </c>
      <c r="E254" t="s">
        <v>528</v>
      </c>
      <c r="F254" s="20" t="s">
        <v>529</v>
      </c>
      <c r="G254" s="8" t="str">
        <f t="shared" si="3"/>
        <v>NELSON ARIANE</v>
      </c>
    </row>
    <row r="255" spans="1:7" x14ac:dyDescent="0.25">
      <c r="A255" s="8">
        <v>42803.048831018517</v>
      </c>
      <c r="B255" t="s">
        <v>499</v>
      </c>
      <c r="C255" t="s">
        <v>531</v>
      </c>
      <c r="D255" s="150">
        <v>2730000</v>
      </c>
      <c r="E255" t="s">
        <v>240</v>
      </c>
      <c r="F255" s="20" t="s">
        <v>241</v>
      </c>
      <c r="G255" s="8" t="str">
        <f t="shared" si="3"/>
        <v>YANG JAN</v>
      </c>
    </row>
    <row r="256" spans="1:7" x14ac:dyDescent="0.25">
      <c r="A256" s="8">
        <v>42803.05740740741</v>
      </c>
      <c r="B256" t="s">
        <v>212</v>
      </c>
      <c r="C256" t="s">
        <v>535</v>
      </c>
      <c r="D256" s="150">
        <v>1810000</v>
      </c>
      <c r="E256" t="s">
        <v>201</v>
      </c>
      <c r="F256" s="20" t="s">
        <v>197</v>
      </c>
      <c r="G256" s="8" t="str">
        <f t="shared" si="3"/>
        <v>NEWELL JAMES</v>
      </c>
    </row>
    <row r="257" spans="1:7" x14ac:dyDescent="0.25">
      <c r="A257" s="8">
        <v>42803.069062499999</v>
      </c>
      <c r="B257" t="s">
        <v>427</v>
      </c>
      <c r="C257" t="s">
        <v>536</v>
      </c>
      <c r="D257" s="150">
        <v>1740000</v>
      </c>
      <c r="E257" t="s">
        <v>458</v>
      </c>
      <c r="F257" s="20" t="s">
        <v>459</v>
      </c>
      <c r="G257" s="8" t="str">
        <f t="shared" si="3"/>
        <v>STORY SAMANTHA</v>
      </c>
    </row>
    <row r="258" spans="1:7" x14ac:dyDescent="0.25">
      <c r="A258" s="8">
        <v>42803.07240740741</v>
      </c>
      <c r="B258" t="s">
        <v>501</v>
      </c>
      <c r="C258" t="s">
        <v>537</v>
      </c>
      <c r="D258" s="150">
        <v>2450000</v>
      </c>
      <c r="E258" t="s">
        <v>528</v>
      </c>
      <c r="F258" s="20" t="s">
        <v>529</v>
      </c>
      <c r="G258" s="8" t="str">
        <f t="shared" si="3"/>
        <v>NELSON ARIANE</v>
      </c>
    </row>
    <row r="259" spans="1:7" x14ac:dyDescent="0.25">
      <c r="A259" s="8">
        <v>42803.076689814814</v>
      </c>
      <c r="B259" t="s">
        <v>504</v>
      </c>
      <c r="C259" t="s">
        <v>532</v>
      </c>
      <c r="D259" s="150">
        <v>2730000</v>
      </c>
      <c r="E259" t="s">
        <v>240</v>
      </c>
      <c r="F259" s="20" t="s">
        <v>241</v>
      </c>
      <c r="G259" s="8" t="str">
        <f t="shared" ref="G259:G322" si="4">E259&amp;" "&amp;F259</f>
        <v>YANG JAN</v>
      </c>
    </row>
    <row r="260" spans="1:7" x14ac:dyDescent="0.25">
      <c r="A260" s="8">
        <v>42803.090300925927</v>
      </c>
      <c r="B260" t="s">
        <v>211</v>
      </c>
      <c r="C260" t="s">
        <v>538</v>
      </c>
      <c r="D260" s="150">
        <v>1810000</v>
      </c>
      <c r="E260" t="s">
        <v>201</v>
      </c>
      <c r="F260" s="20" t="s">
        <v>197</v>
      </c>
      <c r="G260" s="8" t="str">
        <f t="shared" si="4"/>
        <v>NEWELL JAMES</v>
      </c>
    </row>
    <row r="261" spans="1:7" x14ac:dyDescent="0.25">
      <c r="A261" s="8">
        <v>42790.038599537038</v>
      </c>
      <c r="B261" t="s">
        <v>252</v>
      </c>
      <c r="C261" t="s">
        <v>253</v>
      </c>
      <c r="D261" s="150">
        <v>2270000</v>
      </c>
      <c r="E261" t="s">
        <v>219</v>
      </c>
      <c r="F261" s="20" t="s">
        <v>220</v>
      </c>
      <c r="G261" s="8" t="str">
        <f t="shared" si="4"/>
        <v>BROWN JACOB</v>
      </c>
    </row>
    <row r="262" spans="1:7" x14ac:dyDescent="0.25">
      <c r="A262" s="8">
        <v>42790.045081018521</v>
      </c>
      <c r="B262" t="s">
        <v>245</v>
      </c>
      <c r="C262" t="s">
        <v>255</v>
      </c>
      <c r="D262" s="150">
        <v>2670000</v>
      </c>
      <c r="E262" t="s">
        <v>221</v>
      </c>
      <c r="F262" s="20" t="s">
        <v>222</v>
      </c>
      <c r="G262" s="8" t="str">
        <f t="shared" si="4"/>
        <v>COMELLA JUSTIN</v>
      </c>
    </row>
    <row r="263" spans="1:7" x14ac:dyDescent="0.25">
      <c r="A263" s="8">
        <v>42790.052789351852</v>
      </c>
      <c r="B263" t="s">
        <v>211</v>
      </c>
      <c r="C263" t="s">
        <v>257</v>
      </c>
      <c r="D263" s="150">
        <v>2540000</v>
      </c>
      <c r="E263" t="s">
        <v>214</v>
      </c>
      <c r="F263" s="20" t="s">
        <v>215</v>
      </c>
      <c r="G263" s="8" t="str">
        <f t="shared" si="4"/>
        <v>MCREYNOLDS KYLE</v>
      </c>
    </row>
    <row r="264" spans="1:7" x14ac:dyDescent="0.25">
      <c r="A264" s="8">
        <v>42790.054884259262</v>
      </c>
      <c r="B264" t="s">
        <v>246</v>
      </c>
      <c r="C264" t="s">
        <v>256</v>
      </c>
      <c r="D264" s="150">
        <v>2730000</v>
      </c>
      <c r="E264" t="s">
        <v>240</v>
      </c>
      <c r="F264" s="20" t="s">
        <v>241</v>
      </c>
      <c r="G264" s="8" t="str">
        <f t="shared" si="4"/>
        <v>YANG JAN</v>
      </c>
    </row>
    <row r="265" spans="1:7" x14ac:dyDescent="0.25">
      <c r="A265" s="8">
        <v>42790.058622685188</v>
      </c>
      <c r="B265" t="s">
        <v>231</v>
      </c>
      <c r="C265" t="s">
        <v>258</v>
      </c>
      <c r="D265" s="150">
        <v>2220000</v>
      </c>
      <c r="E265" t="s">
        <v>209</v>
      </c>
      <c r="F265" s="20" t="s">
        <v>210</v>
      </c>
      <c r="G265" s="8" t="str">
        <f t="shared" si="4"/>
        <v>HILLS DUSTIN</v>
      </c>
    </row>
    <row r="266" spans="1:7" x14ac:dyDescent="0.25">
      <c r="A266" s="8">
        <v>42790.063483796293</v>
      </c>
      <c r="B266" t="s">
        <v>245</v>
      </c>
      <c r="C266" t="s">
        <v>255</v>
      </c>
      <c r="D266" s="150">
        <v>2670000</v>
      </c>
      <c r="E266" t="s">
        <v>221</v>
      </c>
      <c r="F266" s="20" t="s">
        <v>222</v>
      </c>
      <c r="G266" s="8" t="str">
        <f t="shared" si="4"/>
        <v>COMELLA JUSTIN</v>
      </c>
    </row>
    <row r="267" spans="1:7" x14ac:dyDescent="0.25">
      <c r="A267" s="8">
        <v>42790.070821759262</v>
      </c>
      <c r="B267" t="s">
        <v>246</v>
      </c>
      <c r="C267" t="s">
        <v>256</v>
      </c>
      <c r="D267" s="150">
        <v>2730000</v>
      </c>
      <c r="E267" t="s">
        <v>240</v>
      </c>
      <c r="F267" s="20" t="s">
        <v>241</v>
      </c>
      <c r="G267" s="8" t="str">
        <f t="shared" si="4"/>
        <v>YANG JAN</v>
      </c>
    </row>
    <row r="268" spans="1:7" x14ac:dyDescent="0.25">
      <c r="A268" s="8">
        <v>42790.072557870371</v>
      </c>
      <c r="B268" t="s">
        <v>254</v>
      </c>
      <c r="C268" t="s">
        <v>259</v>
      </c>
      <c r="D268" s="150">
        <v>2270000</v>
      </c>
      <c r="E268" t="s">
        <v>219</v>
      </c>
      <c r="F268" s="20" t="s">
        <v>220</v>
      </c>
      <c r="G268" s="8" t="str">
        <f t="shared" si="4"/>
        <v>BROWN JACOB</v>
      </c>
    </row>
    <row r="269" spans="1:7" x14ac:dyDescent="0.25">
      <c r="A269" s="8">
        <v>42790.077002314814</v>
      </c>
      <c r="B269" t="s">
        <v>245</v>
      </c>
      <c r="C269" t="s">
        <v>255</v>
      </c>
      <c r="D269" s="150">
        <v>2670000</v>
      </c>
      <c r="E269" t="s">
        <v>221</v>
      </c>
      <c r="F269" s="20" t="s">
        <v>222</v>
      </c>
      <c r="G269" s="8" t="str">
        <f t="shared" si="4"/>
        <v>COMELLA JUSTIN</v>
      </c>
    </row>
    <row r="270" spans="1:7" x14ac:dyDescent="0.25">
      <c r="A270" s="8">
        <v>42790.087210648147</v>
      </c>
      <c r="B270" t="s">
        <v>246</v>
      </c>
      <c r="C270" t="s">
        <v>256</v>
      </c>
      <c r="D270" s="150">
        <v>2730000</v>
      </c>
      <c r="E270" t="s">
        <v>240</v>
      </c>
      <c r="F270" s="20" t="s">
        <v>241</v>
      </c>
      <c r="G270" s="8" t="str">
        <f t="shared" si="4"/>
        <v>YANG JAN</v>
      </c>
    </row>
    <row r="271" spans="1:7" x14ac:dyDescent="0.25">
      <c r="A271" s="8">
        <v>42790.089884259258</v>
      </c>
      <c r="B271" t="s">
        <v>190</v>
      </c>
      <c r="C271" t="s">
        <v>260</v>
      </c>
      <c r="D271" s="150">
        <v>2220000</v>
      </c>
      <c r="E271" t="s">
        <v>209</v>
      </c>
      <c r="F271" s="20" t="s">
        <v>210</v>
      </c>
      <c r="G271" s="8" t="str">
        <f t="shared" si="4"/>
        <v>HILLS DUSTIN</v>
      </c>
    </row>
    <row r="272" spans="1:7" x14ac:dyDescent="0.25">
      <c r="A272" s="8">
        <v>42790.093101851853</v>
      </c>
      <c r="B272" t="s">
        <v>245</v>
      </c>
      <c r="C272" t="s">
        <v>255</v>
      </c>
      <c r="D272" s="150">
        <v>2670000</v>
      </c>
      <c r="E272" t="s">
        <v>221</v>
      </c>
      <c r="F272" s="20" t="s">
        <v>222</v>
      </c>
      <c r="G272" s="8" t="str">
        <f t="shared" si="4"/>
        <v>COMELLA JUSTIN</v>
      </c>
    </row>
    <row r="273" spans="1:7" x14ac:dyDescent="0.25">
      <c r="A273" s="8">
        <v>42790.101909722223</v>
      </c>
      <c r="B273" t="s">
        <v>246</v>
      </c>
      <c r="C273" t="s">
        <v>256</v>
      </c>
      <c r="D273" s="150">
        <v>2730000</v>
      </c>
      <c r="E273" t="s">
        <v>240</v>
      </c>
      <c r="F273" s="20" t="s">
        <v>241</v>
      </c>
      <c r="G273" s="8" t="str">
        <f t="shared" si="4"/>
        <v>YANG JAN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168</v>
      </c>
      <c r="I1" s="190" t="s">
        <v>169</v>
      </c>
      <c r="J1" s="190" t="s">
        <v>163</v>
      </c>
      <c r="K1" s="190" t="s">
        <v>161</v>
      </c>
      <c r="L1" s="190" t="s">
        <v>156</v>
      </c>
      <c r="M1" s="190" t="s">
        <v>166</v>
      </c>
      <c r="N1" s="190" t="s">
        <v>160</v>
      </c>
      <c r="O1" s="190" t="s">
        <v>167</v>
      </c>
      <c r="P1" s="190" t="s">
        <v>164</v>
      </c>
      <c r="Q1"/>
      <c r="R1"/>
    </row>
    <row r="2" spans="1:18" x14ac:dyDescent="0.25">
      <c r="A2" s="168">
        <v>42.92</v>
      </c>
      <c r="B2" s="168">
        <v>0.52</v>
      </c>
      <c r="C2" s="168">
        <v>15.94</v>
      </c>
      <c r="D2" s="8">
        <v>42803</v>
      </c>
      <c r="E2" s="168">
        <v>0.31</v>
      </c>
      <c r="F2" s="168" t="s">
        <v>428</v>
      </c>
      <c r="G2" s="168">
        <v>315.64999999999998</v>
      </c>
      <c r="H2" s="168">
        <v>0</v>
      </c>
      <c r="I2" s="168">
        <v>0</v>
      </c>
      <c r="J2" s="168">
        <v>1017.73</v>
      </c>
      <c r="K2" s="168" t="s">
        <v>429</v>
      </c>
      <c r="L2" s="168">
        <v>44.88</v>
      </c>
      <c r="M2" s="168">
        <v>1489042800</v>
      </c>
      <c r="N2" s="168">
        <v>6.46</v>
      </c>
      <c r="O2" s="168">
        <v>227</v>
      </c>
      <c r="P2" s="168">
        <v>4.04</v>
      </c>
      <c r="Q2"/>
      <c r="R2"/>
    </row>
    <row r="3" spans="1:18" x14ac:dyDescent="0.25">
      <c r="A3" s="168">
        <v>40.79</v>
      </c>
      <c r="B3" s="168">
        <v>0.48</v>
      </c>
      <c r="C3" s="168">
        <v>15.48</v>
      </c>
      <c r="D3" s="8">
        <v>42803.041666666664</v>
      </c>
      <c r="E3" s="168">
        <v>0.32</v>
      </c>
      <c r="F3" s="168" t="s">
        <v>428</v>
      </c>
      <c r="G3" s="168">
        <v>315.62</v>
      </c>
      <c r="H3" s="168">
        <v>0</v>
      </c>
      <c r="I3" s="168">
        <v>0</v>
      </c>
      <c r="J3" s="168">
        <v>1018.52</v>
      </c>
      <c r="K3" s="168" t="s">
        <v>429</v>
      </c>
      <c r="L3" s="168">
        <v>43.15</v>
      </c>
      <c r="M3" s="168">
        <v>1489046400</v>
      </c>
      <c r="N3" s="168">
        <v>6.36</v>
      </c>
      <c r="O3" s="168">
        <v>195</v>
      </c>
      <c r="P3" s="168">
        <v>4.2</v>
      </c>
      <c r="Q3"/>
      <c r="R3"/>
    </row>
    <row r="4" spans="1:18" x14ac:dyDescent="0.25">
      <c r="A4" s="168">
        <v>39.06</v>
      </c>
      <c r="B4" s="168">
        <v>0.44</v>
      </c>
      <c r="C4" s="168">
        <v>14.81</v>
      </c>
      <c r="D4" s="8">
        <v>42803.083333333336</v>
      </c>
      <c r="E4" s="168">
        <v>0.34</v>
      </c>
      <c r="F4" s="168" t="s">
        <v>428</v>
      </c>
      <c r="G4" s="168">
        <v>315.58999999999997</v>
      </c>
      <c r="H4" s="168">
        <v>0</v>
      </c>
      <c r="I4" s="168">
        <v>0</v>
      </c>
      <c r="J4" s="168">
        <v>1019.14</v>
      </c>
      <c r="K4" s="168" t="s">
        <v>429</v>
      </c>
      <c r="L4" s="168">
        <v>41</v>
      </c>
      <c r="M4" s="168">
        <v>1489050000</v>
      </c>
      <c r="N4" s="168">
        <v>6.08</v>
      </c>
      <c r="O4" s="168">
        <v>206</v>
      </c>
      <c r="P4" s="168">
        <v>3.4</v>
      </c>
      <c r="Q4"/>
      <c r="R4"/>
    </row>
    <row r="5" spans="1:18" x14ac:dyDescent="0.25">
      <c r="A5" s="168">
        <v>37.380000000000003</v>
      </c>
      <c r="B5" s="168">
        <v>0.5</v>
      </c>
      <c r="C5" s="168">
        <v>14.07</v>
      </c>
      <c r="D5" s="8">
        <v>42803.125</v>
      </c>
      <c r="E5" s="168">
        <v>0.34</v>
      </c>
      <c r="F5" s="168" t="s">
        <v>428</v>
      </c>
      <c r="G5" s="168">
        <v>315.52</v>
      </c>
      <c r="H5" s="168">
        <v>0</v>
      </c>
      <c r="I5" s="168">
        <v>0</v>
      </c>
      <c r="J5" s="168">
        <v>1018.42</v>
      </c>
      <c r="K5" s="168" t="s">
        <v>429</v>
      </c>
      <c r="L5" s="168">
        <v>40.21</v>
      </c>
      <c r="M5" s="168">
        <v>1489053600</v>
      </c>
      <c r="N5" s="168">
        <v>5.93</v>
      </c>
      <c r="O5" s="168">
        <v>224</v>
      </c>
      <c r="P5" s="168">
        <v>4.2</v>
      </c>
      <c r="Q5"/>
      <c r="R5"/>
    </row>
    <row r="6" spans="1:18" x14ac:dyDescent="0.25">
      <c r="A6" s="168">
        <v>37.880000000000003</v>
      </c>
      <c r="B6" s="168">
        <v>0.64</v>
      </c>
      <c r="C6" s="168">
        <v>15.3</v>
      </c>
      <c r="D6" s="8">
        <v>42803.166666666664</v>
      </c>
      <c r="E6" s="168">
        <v>0.36</v>
      </c>
      <c r="F6" s="168" t="s">
        <v>428</v>
      </c>
      <c r="G6" s="168">
        <v>315.5</v>
      </c>
      <c r="H6" s="168">
        <v>0</v>
      </c>
      <c r="I6" s="168">
        <v>0</v>
      </c>
      <c r="J6" s="168">
        <v>1016.94</v>
      </c>
      <c r="K6" s="168" t="s">
        <v>815</v>
      </c>
      <c r="L6" s="168">
        <v>40.020000000000003</v>
      </c>
      <c r="M6" s="168">
        <v>1489057200</v>
      </c>
      <c r="N6" s="168">
        <v>6.26</v>
      </c>
      <c r="O6" s="168">
        <v>245</v>
      </c>
      <c r="P6" s="168">
        <v>3.46</v>
      </c>
      <c r="Q6"/>
      <c r="R6"/>
    </row>
    <row r="7" spans="1:18" x14ac:dyDescent="0.25">
      <c r="A7" s="168">
        <v>39.840000000000003</v>
      </c>
      <c r="B7" s="168">
        <v>0.69</v>
      </c>
      <c r="C7" s="168">
        <v>16.760000000000002</v>
      </c>
      <c r="D7" s="8">
        <v>42803.208333333336</v>
      </c>
      <c r="E7" s="168">
        <v>0.39</v>
      </c>
      <c r="F7" s="168" t="s">
        <v>428</v>
      </c>
      <c r="G7" s="168">
        <v>315.83999999999997</v>
      </c>
      <c r="H7" s="168">
        <v>0</v>
      </c>
      <c r="I7" s="168">
        <v>0</v>
      </c>
      <c r="J7" s="168">
        <v>1016.37</v>
      </c>
      <c r="K7" s="168" t="s">
        <v>815</v>
      </c>
      <c r="L7" s="168">
        <v>39.840000000000003</v>
      </c>
      <c r="M7" s="168">
        <v>1489060800</v>
      </c>
      <c r="N7" s="168">
        <v>7.43</v>
      </c>
      <c r="O7" s="168">
        <v>238</v>
      </c>
      <c r="P7" s="168">
        <v>2.57</v>
      </c>
      <c r="Q7"/>
      <c r="R7"/>
    </row>
    <row r="8" spans="1:18" x14ac:dyDescent="0.25">
      <c r="A8" s="168">
        <v>38.200000000000003</v>
      </c>
      <c r="B8" s="168">
        <v>0.63</v>
      </c>
      <c r="C8" s="168">
        <v>14.33</v>
      </c>
      <c r="D8" s="8">
        <v>42803.25</v>
      </c>
      <c r="E8" s="168">
        <v>0.34</v>
      </c>
      <c r="F8" s="168" t="s">
        <v>428</v>
      </c>
      <c r="G8" s="168">
        <v>316.79000000000002</v>
      </c>
      <c r="H8" s="168">
        <v>0</v>
      </c>
      <c r="I8" s="168">
        <v>0</v>
      </c>
      <c r="J8" s="168">
        <v>1016.61</v>
      </c>
      <c r="K8" s="168" t="s">
        <v>815</v>
      </c>
      <c r="L8" s="168">
        <v>40.24</v>
      </c>
      <c r="M8" s="168">
        <v>1489064400</v>
      </c>
      <c r="N8" s="168">
        <v>10</v>
      </c>
      <c r="O8" s="168">
        <v>236</v>
      </c>
      <c r="P8" s="168">
        <v>3.39</v>
      </c>
      <c r="Q8"/>
      <c r="R8"/>
    </row>
    <row r="9" spans="1:18" x14ac:dyDescent="0.25">
      <c r="A9" s="168">
        <v>41.09</v>
      </c>
      <c r="B9" s="168">
        <v>0.51</v>
      </c>
      <c r="C9" s="168">
        <v>14.95</v>
      </c>
      <c r="D9" s="8">
        <v>42803.291666666664</v>
      </c>
      <c r="E9" s="168">
        <v>0.34</v>
      </c>
      <c r="F9" s="168" t="s">
        <v>430</v>
      </c>
      <c r="G9" s="168">
        <v>318.11</v>
      </c>
      <c r="H9" s="168">
        <v>0</v>
      </c>
      <c r="I9" s="168">
        <v>0</v>
      </c>
      <c r="J9" s="168">
        <v>1017.3</v>
      </c>
      <c r="K9" s="168" t="s">
        <v>429</v>
      </c>
      <c r="L9" s="168">
        <v>41.09</v>
      </c>
      <c r="M9" s="168">
        <v>1489068000</v>
      </c>
      <c r="N9" s="168">
        <v>5.89</v>
      </c>
      <c r="O9" s="168">
        <v>247</v>
      </c>
      <c r="P9" s="168">
        <v>2.69</v>
      </c>
      <c r="Q9"/>
      <c r="R9"/>
    </row>
    <row r="10" spans="1:18" x14ac:dyDescent="0.25">
      <c r="A10" s="168">
        <v>42.18</v>
      </c>
      <c r="B10" s="168">
        <v>0.43</v>
      </c>
      <c r="C10" s="168">
        <v>15.33</v>
      </c>
      <c r="D10" s="8">
        <v>42803.333333333336</v>
      </c>
      <c r="E10" s="168">
        <v>0.33</v>
      </c>
      <c r="F10" s="168" t="s">
        <v>430</v>
      </c>
      <c r="G10" s="168">
        <v>319.45</v>
      </c>
      <c r="H10" s="168">
        <v>0</v>
      </c>
      <c r="I10" s="168">
        <v>0</v>
      </c>
      <c r="J10" s="168">
        <v>1017.62</v>
      </c>
      <c r="K10" s="168" t="s">
        <v>429</v>
      </c>
      <c r="L10" s="168">
        <v>42.18</v>
      </c>
      <c r="M10" s="168">
        <v>1489071600</v>
      </c>
      <c r="N10" s="168">
        <v>5.41</v>
      </c>
      <c r="O10" s="168">
        <v>261</v>
      </c>
      <c r="P10" s="168">
        <v>1.8</v>
      </c>
      <c r="Q10"/>
      <c r="R10"/>
    </row>
    <row r="11" spans="1:18" x14ac:dyDescent="0.25">
      <c r="A11" s="168">
        <v>47.54</v>
      </c>
      <c r="B11" s="168">
        <v>0.45</v>
      </c>
      <c r="C11" s="168">
        <v>19.239999999999998</v>
      </c>
      <c r="D11" s="8">
        <v>42803.375</v>
      </c>
      <c r="E11" s="168">
        <v>0.31</v>
      </c>
      <c r="F11" s="168" t="s">
        <v>430</v>
      </c>
      <c r="G11" s="168">
        <v>321.02999999999997</v>
      </c>
      <c r="H11" s="168">
        <v>0</v>
      </c>
      <c r="I11" s="168">
        <v>0</v>
      </c>
      <c r="J11" s="168">
        <v>1016.56</v>
      </c>
      <c r="K11" s="168" t="s">
        <v>429</v>
      </c>
      <c r="L11" s="168">
        <v>48.5</v>
      </c>
      <c r="M11" s="168">
        <v>1489075200</v>
      </c>
      <c r="N11" s="168">
        <v>5.25</v>
      </c>
      <c r="O11" s="168">
        <v>268</v>
      </c>
      <c r="P11" s="168">
        <v>3.5</v>
      </c>
      <c r="Q11"/>
      <c r="R11"/>
    </row>
    <row r="12" spans="1:18" x14ac:dyDescent="0.25">
      <c r="A12" s="168">
        <v>56.09</v>
      </c>
      <c r="B12" s="168">
        <v>0.46</v>
      </c>
      <c r="C12" s="168">
        <v>15.65</v>
      </c>
      <c r="D12" s="8">
        <v>42803.416666666664</v>
      </c>
      <c r="E12" s="168">
        <v>0.2</v>
      </c>
      <c r="F12" s="168" t="s">
        <v>430</v>
      </c>
      <c r="G12" s="168">
        <v>322.63</v>
      </c>
      <c r="H12" s="168">
        <v>0</v>
      </c>
      <c r="I12" s="168">
        <v>0</v>
      </c>
      <c r="J12" s="168">
        <v>1015.32</v>
      </c>
      <c r="K12" s="168" t="s">
        <v>429</v>
      </c>
      <c r="L12" s="168">
        <v>56.09</v>
      </c>
      <c r="M12" s="168">
        <v>1489078800</v>
      </c>
      <c r="N12" s="168">
        <v>5.23</v>
      </c>
      <c r="O12" s="168">
        <v>275</v>
      </c>
      <c r="P12" s="168">
        <v>5.1100000000000003</v>
      </c>
      <c r="Q12"/>
      <c r="R12"/>
    </row>
    <row r="13" spans="1:18" x14ac:dyDescent="0.25">
      <c r="A13" s="168">
        <v>61.73</v>
      </c>
      <c r="B13" s="168">
        <v>0.49</v>
      </c>
      <c r="C13" s="168">
        <v>17.079999999999998</v>
      </c>
      <c r="D13" s="8">
        <v>42803.458333333336</v>
      </c>
      <c r="E13" s="168">
        <v>0.17</v>
      </c>
      <c r="F13" s="168" t="s">
        <v>430</v>
      </c>
      <c r="G13" s="168">
        <v>323.25</v>
      </c>
      <c r="H13" s="168">
        <v>0</v>
      </c>
      <c r="I13" s="168">
        <v>0</v>
      </c>
      <c r="J13" s="168">
        <v>1014.58</v>
      </c>
      <c r="K13" s="168" t="s">
        <v>429</v>
      </c>
      <c r="L13" s="168">
        <v>61.73</v>
      </c>
      <c r="M13" s="168">
        <v>1489082400</v>
      </c>
      <c r="N13" s="168">
        <v>10</v>
      </c>
      <c r="O13" s="168">
        <v>303</v>
      </c>
      <c r="P13" s="168">
        <v>9.58</v>
      </c>
      <c r="Q13"/>
      <c r="R13"/>
    </row>
    <row r="14" spans="1:18" x14ac:dyDescent="0.25">
      <c r="A14" s="168">
        <v>66.930000000000007</v>
      </c>
      <c r="B14" s="168">
        <v>0.45</v>
      </c>
      <c r="C14" s="168">
        <v>15.78</v>
      </c>
      <c r="D14" s="8">
        <v>42803.5</v>
      </c>
      <c r="E14" s="168">
        <v>0.14000000000000001</v>
      </c>
      <c r="F14" s="168" t="s">
        <v>430</v>
      </c>
      <c r="G14" s="168">
        <v>322.11</v>
      </c>
      <c r="H14" s="168">
        <v>0</v>
      </c>
      <c r="I14" s="168">
        <v>0</v>
      </c>
      <c r="J14" s="168">
        <v>1014.59</v>
      </c>
      <c r="K14" s="168" t="s">
        <v>429</v>
      </c>
      <c r="L14" s="168">
        <v>66.930000000000007</v>
      </c>
      <c r="M14" s="168">
        <v>1489086000</v>
      </c>
      <c r="N14" s="168">
        <v>5.27</v>
      </c>
      <c r="O14" s="168">
        <v>328</v>
      </c>
      <c r="P14" s="168">
        <v>10.199999999999999</v>
      </c>
      <c r="Q14"/>
      <c r="R14"/>
    </row>
    <row r="15" spans="1:18" x14ac:dyDescent="0.25">
      <c r="A15" s="168">
        <v>68.55</v>
      </c>
      <c r="B15" s="168">
        <v>0.39</v>
      </c>
      <c r="C15" s="168">
        <v>18.010000000000002</v>
      </c>
      <c r="D15" s="8">
        <v>42803.541666666664</v>
      </c>
      <c r="E15" s="168">
        <v>0.14000000000000001</v>
      </c>
      <c r="F15" s="168" t="s">
        <v>430</v>
      </c>
      <c r="G15" s="168">
        <v>319.99</v>
      </c>
      <c r="H15" s="168">
        <v>0</v>
      </c>
      <c r="I15" s="168">
        <v>0</v>
      </c>
      <c r="J15" s="168">
        <v>1015.07</v>
      </c>
      <c r="K15" s="168" t="s">
        <v>429</v>
      </c>
      <c r="L15" s="168">
        <v>68.55</v>
      </c>
      <c r="M15" s="168">
        <v>1489089600</v>
      </c>
      <c r="N15" s="168">
        <v>5.34</v>
      </c>
      <c r="O15" s="168">
        <v>329</v>
      </c>
      <c r="P15" s="168">
        <v>11.18</v>
      </c>
      <c r="Q15"/>
      <c r="R15"/>
    </row>
    <row r="16" spans="1:18" x14ac:dyDescent="0.25">
      <c r="A16" s="168">
        <v>69.63</v>
      </c>
      <c r="B16" s="168">
        <v>0.37</v>
      </c>
      <c r="C16" s="168">
        <v>18.010000000000002</v>
      </c>
      <c r="D16" s="8">
        <v>42803.583333333336</v>
      </c>
      <c r="E16" s="168">
        <v>0.14000000000000001</v>
      </c>
      <c r="F16" s="168" t="s">
        <v>430</v>
      </c>
      <c r="G16" s="168">
        <v>318.25</v>
      </c>
      <c r="H16" s="168">
        <v>0</v>
      </c>
      <c r="I16" s="168">
        <v>0</v>
      </c>
      <c r="J16" s="168">
        <v>1015.66</v>
      </c>
      <c r="K16" s="168" t="s">
        <v>429</v>
      </c>
      <c r="L16" s="168">
        <v>69.63</v>
      </c>
      <c r="M16" s="168">
        <v>1489093200</v>
      </c>
      <c r="N16" s="168">
        <v>5.24</v>
      </c>
      <c r="O16" s="168">
        <v>334</v>
      </c>
      <c r="P16" s="168">
        <v>10.57</v>
      </c>
      <c r="Q16"/>
      <c r="R16"/>
    </row>
    <row r="17" spans="1:18" x14ac:dyDescent="0.25">
      <c r="A17" s="168">
        <v>69.25</v>
      </c>
      <c r="B17" s="168">
        <v>0.39</v>
      </c>
      <c r="C17" s="168">
        <v>17.77</v>
      </c>
      <c r="D17" s="8">
        <v>42803.625</v>
      </c>
      <c r="E17" s="168">
        <v>0.14000000000000001</v>
      </c>
      <c r="F17" s="168" t="s">
        <v>430</v>
      </c>
      <c r="G17" s="168">
        <v>317.43</v>
      </c>
      <c r="H17" s="168">
        <v>0</v>
      </c>
      <c r="I17" s="168">
        <v>0</v>
      </c>
      <c r="J17" s="168">
        <v>1015.4</v>
      </c>
      <c r="K17" s="168" t="s">
        <v>429</v>
      </c>
      <c r="L17" s="168">
        <v>69.25</v>
      </c>
      <c r="M17" s="168">
        <v>1489096800</v>
      </c>
      <c r="N17" s="168">
        <v>5.28</v>
      </c>
      <c r="O17" s="168">
        <v>329</v>
      </c>
      <c r="P17" s="168">
        <v>9.51</v>
      </c>
      <c r="Q17"/>
      <c r="R17"/>
    </row>
    <row r="18" spans="1:18" x14ac:dyDescent="0.25">
      <c r="A18" s="168">
        <v>67.239999999999995</v>
      </c>
      <c r="B18" s="168">
        <v>0.44</v>
      </c>
      <c r="C18" s="168">
        <v>19.190000000000001</v>
      </c>
      <c r="D18" s="8">
        <v>42803.666666666664</v>
      </c>
      <c r="E18" s="168">
        <v>0.16</v>
      </c>
      <c r="F18" s="168" t="s">
        <v>430</v>
      </c>
      <c r="G18" s="168">
        <v>316.99</v>
      </c>
      <c r="H18" s="168">
        <v>0</v>
      </c>
      <c r="I18" s="168">
        <v>0</v>
      </c>
      <c r="J18" s="168">
        <v>1015.18</v>
      </c>
      <c r="K18" s="168" t="s">
        <v>429</v>
      </c>
      <c r="L18" s="168">
        <v>67.239999999999995</v>
      </c>
      <c r="M18" s="168">
        <v>1489100400</v>
      </c>
      <c r="N18" s="168">
        <v>6.93</v>
      </c>
      <c r="O18" s="168">
        <v>327</v>
      </c>
      <c r="P18" s="168">
        <v>8.86</v>
      </c>
      <c r="Q18"/>
      <c r="R18"/>
    </row>
    <row r="19" spans="1:18" x14ac:dyDescent="0.25">
      <c r="A19" s="168">
        <v>65.209999999999994</v>
      </c>
      <c r="B19" s="168">
        <v>0.43</v>
      </c>
      <c r="C19" s="168">
        <v>18.02</v>
      </c>
      <c r="D19" s="8">
        <v>42803.708333333336</v>
      </c>
      <c r="E19" s="168">
        <v>0.16</v>
      </c>
      <c r="F19" s="168" t="s">
        <v>430</v>
      </c>
      <c r="G19" s="168">
        <v>316.69</v>
      </c>
      <c r="H19" s="168">
        <v>0</v>
      </c>
      <c r="I19" s="168">
        <v>0</v>
      </c>
      <c r="J19" s="168">
        <v>1015.6</v>
      </c>
      <c r="K19" s="168" t="s">
        <v>429</v>
      </c>
      <c r="L19" s="168">
        <v>65.209999999999994</v>
      </c>
      <c r="M19" s="168">
        <v>1489104000</v>
      </c>
      <c r="N19" s="168">
        <v>5.78</v>
      </c>
      <c r="O19" s="168">
        <v>338</v>
      </c>
      <c r="P19" s="168">
        <v>7.91</v>
      </c>
      <c r="Q19"/>
      <c r="R19"/>
    </row>
    <row r="20" spans="1:18" x14ac:dyDescent="0.25">
      <c r="A20" s="168">
        <v>63.63</v>
      </c>
      <c r="B20" s="168">
        <v>0.46</v>
      </c>
      <c r="C20" s="168">
        <v>18.899999999999999</v>
      </c>
      <c r="D20" s="8">
        <v>42803.75</v>
      </c>
      <c r="E20" s="168">
        <v>0.18</v>
      </c>
      <c r="F20" s="168" t="s">
        <v>428</v>
      </c>
      <c r="G20" s="168">
        <v>316.55</v>
      </c>
      <c r="H20" s="168">
        <v>0</v>
      </c>
      <c r="I20" s="168">
        <v>0</v>
      </c>
      <c r="J20" s="168">
        <v>1016.62</v>
      </c>
      <c r="K20" s="168" t="s">
        <v>429</v>
      </c>
      <c r="L20" s="168">
        <v>63.63</v>
      </c>
      <c r="M20" s="168">
        <v>1489107600</v>
      </c>
      <c r="N20" s="168">
        <v>6.43</v>
      </c>
      <c r="O20" s="168">
        <v>338</v>
      </c>
      <c r="P20" s="168">
        <v>5.38</v>
      </c>
      <c r="Q20"/>
      <c r="R20"/>
    </row>
    <row r="21" spans="1:18" x14ac:dyDescent="0.25">
      <c r="A21" s="168">
        <v>60.17</v>
      </c>
      <c r="B21" s="168">
        <v>0.56000000000000005</v>
      </c>
      <c r="C21" s="168">
        <v>18.98</v>
      </c>
      <c r="D21" s="8">
        <v>42803.791666666664</v>
      </c>
      <c r="E21" s="168">
        <v>0.2</v>
      </c>
      <c r="F21" s="168" t="s">
        <v>428</v>
      </c>
      <c r="G21" s="168">
        <v>316.54000000000002</v>
      </c>
      <c r="H21" s="168">
        <v>0</v>
      </c>
      <c r="I21" s="168">
        <v>0</v>
      </c>
      <c r="J21" s="168">
        <v>1018.43</v>
      </c>
      <c r="K21" s="168" t="s">
        <v>429</v>
      </c>
      <c r="L21" s="168">
        <v>60.17</v>
      </c>
      <c r="M21" s="168">
        <v>1489111200</v>
      </c>
      <c r="N21" s="168">
        <v>7.51</v>
      </c>
      <c r="O21" s="168">
        <v>5</v>
      </c>
      <c r="P21" s="168">
        <v>3.51</v>
      </c>
      <c r="Q21"/>
      <c r="R21"/>
    </row>
    <row r="22" spans="1:18" x14ac:dyDescent="0.25">
      <c r="A22" s="168">
        <v>55.33</v>
      </c>
      <c r="B22" s="168">
        <v>0.64</v>
      </c>
      <c r="C22" s="168">
        <v>23.29</v>
      </c>
      <c r="D22" s="8">
        <v>42803.833333333336</v>
      </c>
      <c r="E22" s="168">
        <v>0.28999999999999998</v>
      </c>
      <c r="F22" s="168" t="s">
        <v>428</v>
      </c>
      <c r="G22" s="168">
        <v>316.33</v>
      </c>
      <c r="H22" s="168">
        <v>0</v>
      </c>
      <c r="I22" s="168">
        <v>0</v>
      </c>
      <c r="J22" s="168">
        <v>1020.52</v>
      </c>
      <c r="K22" s="168" t="s">
        <v>815</v>
      </c>
      <c r="L22" s="168">
        <v>55.33</v>
      </c>
      <c r="M22" s="168">
        <v>1489114800</v>
      </c>
      <c r="N22" s="168">
        <v>10</v>
      </c>
      <c r="O22" s="168">
        <v>40</v>
      </c>
      <c r="P22" s="168">
        <v>4.24</v>
      </c>
      <c r="Q22"/>
      <c r="R22"/>
    </row>
    <row r="23" spans="1:18" x14ac:dyDescent="0.25">
      <c r="A23" s="168">
        <v>50.54</v>
      </c>
      <c r="B23" s="168">
        <v>0.78</v>
      </c>
      <c r="C23" s="168">
        <v>23.49</v>
      </c>
      <c r="D23" s="8">
        <v>42803.875</v>
      </c>
      <c r="E23" s="168">
        <v>0.34</v>
      </c>
      <c r="F23" s="168" t="s">
        <v>428</v>
      </c>
      <c r="G23" s="168">
        <v>315.70999999999998</v>
      </c>
      <c r="H23" s="168">
        <v>0</v>
      </c>
      <c r="I23" s="168">
        <v>0</v>
      </c>
      <c r="J23" s="168">
        <v>1022.9</v>
      </c>
      <c r="K23" s="168" t="s">
        <v>815</v>
      </c>
      <c r="L23" s="168">
        <v>50.54</v>
      </c>
      <c r="M23" s="168">
        <v>1489118400</v>
      </c>
      <c r="N23" s="168">
        <v>5.63</v>
      </c>
      <c r="O23" s="168">
        <v>39</v>
      </c>
      <c r="P23" s="168">
        <v>4.3</v>
      </c>
      <c r="Q23"/>
      <c r="R23"/>
    </row>
    <row r="24" spans="1:18" x14ac:dyDescent="0.25">
      <c r="A24" s="168">
        <v>43.89</v>
      </c>
      <c r="B24" s="168">
        <v>0.82</v>
      </c>
      <c r="C24" s="168">
        <v>25.51</v>
      </c>
      <c r="D24" s="8">
        <v>42803.916666666664</v>
      </c>
      <c r="E24" s="168">
        <v>0.44</v>
      </c>
      <c r="F24" s="168" t="s">
        <v>428</v>
      </c>
      <c r="G24" s="168">
        <v>314.89</v>
      </c>
      <c r="H24" s="168">
        <v>0</v>
      </c>
      <c r="I24" s="168">
        <v>0</v>
      </c>
      <c r="J24" s="168">
        <v>1025.3</v>
      </c>
      <c r="K24" s="168" t="s">
        <v>815</v>
      </c>
      <c r="L24" s="168">
        <v>46.23</v>
      </c>
      <c r="M24" s="168">
        <v>1489122000</v>
      </c>
      <c r="N24" s="168">
        <v>6.92</v>
      </c>
      <c r="O24" s="168">
        <v>29</v>
      </c>
      <c r="P24" s="168">
        <v>4.8499999999999996</v>
      </c>
      <c r="Q24"/>
      <c r="R24"/>
    </row>
    <row r="25" spans="1:18" x14ac:dyDescent="0.25">
      <c r="A25" s="168">
        <v>41.03</v>
      </c>
      <c r="B25" s="168">
        <v>0.8</v>
      </c>
      <c r="C25" s="168">
        <v>27.32</v>
      </c>
      <c r="D25" s="8">
        <v>42803.958333333336</v>
      </c>
      <c r="E25" s="168">
        <v>0.51</v>
      </c>
      <c r="F25" s="168" t="s">
        <v>428</v>
      </c>
      <c r="G25" s="168">
        <v>314.18</v>
      </c>
      <c r="H25" s="168">
        <v>0</v>
      </c>
      <c r="I25" s="168">
        <v>0</v>
      </c>
      <c r="J25" s="168">
        <v>1027.01</v>
      </c>
      <c r="K25" s="168" t="s">
        <v>815</v>
      </c>
      <c r="L25" s="168">
        <v>44.4</v>
      </c>
      <c r="M25" s="168">
        <v>1489125600</v>
      </c>
      <c r="N25" s="168">
        <v>10</v>
      </c>
      <c r="O25" s="168">
        <v>28</v>
      </c>
      <c r="P25" s="168">
        <v>5.95</v>
      </c>
      <c r="Q25"/>
      <c r="R25"/>
    </row>
    <row r="26" spans="1:18" x14ac:dyDescent="0.25">
      <c r="A26" s="168">
        <v>39.450000000000003</v>
      </c>
      <c r="B26" s="168">
        <v>0.72</v>
      </c>
      <c r="C26" s="168">
        <v>24.95</v>
      </c>
      <c r="D26" s="8">
        <v>42804</v>
      </c>
      <c r="E26" s="168">
        <v>0.52</v>
      </c>
      <c r="F26" s="168" t="s">
        <v>428</v>
      </c>
      <c r="G26" s="168">
        <v>313.77999999999997</v>
      </c>
      <c r="H26" s="168">
        <v>0</v>
      </c>
      <c r="I26" s="168">
        <v>0</v>
      </c>
      <c r="J26" s="168">
        <v>1027.1199999999999</v>
      </c>
      <c r="K26" s="168" t="s">
        <v>815</v>
      </c>
      <c r="L26" s="168">
        <v>41.03</v>
      </c>
      <c r="M26" s="168">
        <v>1489129200</v>
      </c>
      <c r="N26" s="168">
        <v>10</v>
      </c>
      <c r="O26" s="168">
        <v>41</v>
      </c>
      <c r="P26" s="168">
        <v>3.07</v>
      </c>
      <c r="Q26"/>
      <c r="R26"/>
    </row>
    <row r="27" spans="1:18" x14ac:dyDescent="0.25">
      <c r="A27" s="168">
        <v>37.479999999999997</v>
      </c>
      <c r="B27" s="168">
        <v>0.71</v>
      </c>
      <c r="C27" s="168">
        <v>23.76</v>
      </c>
      <c r="D27" s="8">
        <v>42804.041666666664</v>
      </c>
      <c r="E27" s="168">
        <v>0.56999999999999995</v>
      </c>
      <c r="F27" s="168" t="s">
        <v>428</v>
      </c>
      <c r="G27" s="168">
        <v>313.38</v>
      </c>
      <c r="H27" s="168">
        <v>0</v>
      </c>
      <c r="I27" s="168">
        <v>0</v>
      </c>
      <c r="J27" s="168">
        <v>1027.22</v>
      </c>
      <c r="K27" s="168" t="s">
        <v>815</v>
      </c>
      <c r="L27" s="168">
        <v>37.479999999999997</v>
      </c>
      <c r="M27" s="168">
        <v>1489132800</v>
      </c>
      <c r="N27" s="168">
        <v>5.54</v>
      </c>
      <c r="O27" s="168">
        <v>67</v>
      </c>
      <c r="P27" s="168">
        <v>1.57</v>
      </c>
      <c r="Q27"/>
      <c r="R27"/>
    </row>
    <row r="28" spans="1:18" x14ac:dyDescent="0.25">
      <c r="A28" s="168">
        <v>36.270000000000003</v>
      </c>
      <c r="B28" s="168">
        <v>0.6</v>
      </c>
      <c r="C28" s="168">
        <v>22.91</v>
      </c>
      <c r="D28" s="8">
        <v>42804.083333333336</v>
      </c>
      <c r="E28" s="168">
        <v>0.57999999999999996</v>
      </c>
      <c r="F28" s="168" t="s">
        <v>428</v>
      </c>
      <c r="G28" s="168">
        <v>312.98</v>
      </c>
      <c r="H28" s="168">
        <v>0</v>
      </c>
      <c r="I28" s="168">
        <v>0</v>
      </c>
      <c r="J28" s="168">
        <v>1027.3</v>
      </c>
      <c r="K28" s="168" t="s">
        <v>815</v>
      </c>
      <c r="L28" s="168">
        <v>36.270000000000003</v>
      </c>
      <c r="M28" s="168">
        <v>1489136400</v>
      </c>
      <c r="N28" s="168">
        <v>3.93</v>
      </c>
      <c r="O28" s="168">
        <v>123</v>
      </c>
      <c r="P28" s="168">
        <v>0.86</v>
      </c>
      <c r="Q28"/>
      <c r="R28"/>
    </row>
    <row r="29" spans="1:18" x14ac:dyDescent="0.25">
      <c r="A29" s="168">
        <v>33.99</v>
      </c>
      <c r="B29" s="168">
        <v>0.6</v>
      </c>
      <c r="C29" s="168">
        <v>20.81</v>
      </c>
      <c r="D29" s="8">
        <v>42804.125</v>
      </c>
      <c r="E29" s="168">
        <v>0.57999999999999996</v>
      </c>
      <c r="F29" s="168" t="s">
        <v>428</v>
      </c>
      <c r="G29" s="168">
        <v>312.54000000000002</v>
      </c>
      <c r="H29" s="168">
        <v>0</v>
      </c>
      <c r="I29" s="168">
        <v>0</v>
      </c>
      <c r="J29" s="168">
        <v>1027.1099999999999</v>
      </c>
      <c r="K29" s="168" t="s">
        <v>815</v>
      </c>
      <c r="L29" s="168">
        <v>33.99</v>
      </c>
      <c r="M29" s="168">
        <v>1489140000</v>
      </c>
      <c r="N29" s="168">
        <v>6.65</v>
      </c>
      <c r="O29" s="168">
        <v>140</v>
      </c>
      <c r="P29" s="168">
        <v>1.41</v>
      </c>
      <c r="Q29"/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188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7"/>
  <sheetViews>
    <sheetView workbookViewId="0">
      <selection activeCell="A6" sqref="A6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  <col min="20" max="24" width="9.140625" style="168"/>
  </cols>
  <sheetData>
    <row r="1" spans="1:24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  <c r="T1" s="219" t="s">
        <v>483</v>
      </c>
      <c r="U1" s="219"/>
      <c r="V1" s="219"/>
      <c r="W1" s="219"/>
      <c r="X1" s="219"/>
    </row>
    <row r="2" spans="1:24" ht="15.75" thickBot="1" x14ac:dyDescent="0.3">
      <c r="A2" s="12">
        <v>42803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  <c r="T2" s="197" t="s">
        <v>484</v>
      </c>
      <c r="U2" s="197">
        <v>167</v>
      </c>
      <c r="V2" s="197">
        <v>168</v>
      </c>
      <c r="W2" s="197">
        <v>199</v>
      </c>
      <c r="X2" s="197">
        <v>200</v>
      </c>
    </row>
    <row r="3" spans="1:24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  <c r="T3" s="197" t="s">
        <v>496</v>
      </c>
      <c r="U3" s="197">
        <v>174</v>
      </c>
      <c r="V3" s="197">
        <v>176</v>
      </c>
      <c r="W3" s="197">
        <v>207</v>
      </c>
      <c r="X3" s="197">
        <v>210</v>
      </c>
    </row>
    <row r="4" spans="1:24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  <c r="T4" s="197" t="s">
        <v>497</v>
      </c>
      <c r="U4" s="197">
        <v>173</v>
      </c>
      <c r="V4" s="197">
        <v>175</v>
      </c>
      <c r="W4" s="197">
        <v>208</v>
      </c>
      <c r="X4" s="197">
        <v>209</v>
      </c>
    </row>
    <row r="5" spans="1:24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  <c r="T5" s="197" t="s">
        <v>498</v>
      </c>
      <c r="U5" s="197">
        <v>187</v>
      </c>
      <c r="V5" s="197">
        <v>188</v>
      </c>
      <c r="W5" s="197">
        <v>223</v>
      </c>
      <c r="X5" s="197">
        <v>224</v>
      </c>
    </row>
    <row r="6" spans="1:24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  <c r="T6" s="197"/>
      <c r="U6" s="197"/>
      <c r="V6" s="197"/>
      <c r="W6" s="197"/>
      <c r="X6" s="197"/>
    </row>
    <row r="7" spans="1:24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  <c r="T7" s="197"/>
      <c r="U7" s="197"/>
      <c r="V7" s="197"/>
      <c r="W7" s="197"/>
      <c r="X7" s="197"/>
    </row>
    <row r="8" spans="1:24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  <c r="T8" s="197"/>
      <c r="U8" s="197"/>
      <c r="V8" s="197"/>
      <c r="W8" s="197"/>
      <c r="X8" s="197"/>
    </row>
    <row r="9" spans="1:24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  <c r="T9" s="197"/>
      <c r="U9" s="197"/>
      <c r="V9" s="197"/>
      <c r="W9" s="197"/>
      <c r="X9" s="197"/>
    </row>
    <row r="10" spans="1:24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  <c r="T10" s="197"/>
      <c r="U10" s="197"/>
      <c r="V10" s="197"/>
      <c r="W10" s="197"/>
      <c r="X10" s="197"/>
    </row>
    <row r="11" spans="1:24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  <c r="T11" s="197"/>
      <c r="U11" s="197"/>
      <c r="V11" s="197"/>
      <c r="W11" s="197"/>
      <c r="X11" s="197"/>
    </row>
    <row r="12" spans="1:24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  <c r="T12" s="197"/>
      <c r="U12" s="197"/>
      <c r="V12" s="197"/>
      <c r="W12" s="197"/>
      <c r="X12" s="197"/>
    </row>
    <row r="13" spans="1:24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  <c r="T13" s="197"/>
      <c r="U13" s="197"/>
      <c r="V13" s="197"/>
      <c r="W13" s="197"/>
      <c r="X13" s="197"/>
    </row>
    <row r="14" spans="1:24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  <c r="T14" s="197"/>
      <c r="U14" s="197"/>
      <c r="V14" s="197"/>
      <c r="W14" s="197"/>
      <c r="X14" s="197"/>
    </row>
    <row r="15" spans="1:24" x14ac:dyDescent="0.25">
      <c r="C15" s="64"/>
      <c r="J15" s="160"/>
      <c r="K15" s="161"/>
      <c r="L15" s="161"/>
      <c r="T15" s="197"/>
      <c r="U15" s="197"/>
      <c r="V15" s="197"/>
      <c r="W15" s="197"/>
      <c r="X15" s="197"/>
    </row>
    <row r="16" spans="1:24" x14ac:dyDescent="0.25">
      <c r="C16" s="64"/>
      <c r="J16" s="160"/>
      <c r="K16" s="161"/>
      <c r="L16" s="161"/>
      <c r="T16" s="197"/>
      <c r="U16" s="197"/>
      <c r="V16" s="197"/>
      <c r="W16" s="197"/>
      <c r="X16" s="197"/>
    </row>
    <row r="17" spans="3:24" x14ac:dyDescent="0.25">
      <c r="C17" s="149" t="s">
        <v>189</v>
      </c>
      <c r="J17" s="160"/>
      <c r="K17" s="161"/>
      <c r="L17" s="161"/>
      <c r="T17" s="197"/>
      <c r="U17" s="197"/>
      <c r="V17" s="197"/>
      <c r="W17" s="197"/>
      <c r="X17" s="197"/>
    </row>
    <row r="18" spans="3:24" x14ac:dyDescent="0.25">
      <c r="C18" t="s">
        <v>996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  <c r="T18" s="197"/>
      <c r="U18" s="197"/>
      <c r="V18" s="197"/>
      <c r="W18" s="197"/>
      <c r="X18" s="197"/>
    </row>
    <row r="19" spans="3:24" x14ac:dyDescent="0.25">
      <c r="C19" t="s">
        <v>997</v>
      </c>
      <c r="J19" s="160" t="s">
        <v>86</v>
      </c>
      <c r="K19" s="161"/>
      <c r="L19" s="161"/>
      <c r="M19" s="168" t="s">
        <v>112</v>
      </c>
      <c r="T19" s="197"/>
      <c r="U19" s="197"/>
      <c r="V19" s="197"/>
      <c r="W19" s="197"/>
      <c r="X19" s="197"/>
    </row>
    <row r="20" spans="3:24" x14ac:dyDescent="0.25">
      <c r="C20" t="s">
        <v>998</v>
      </c>
      <c r="J20" s="152" t="s">
        <v>87</v>
      </c>
      <c r="M20" s="168" t="s">
        <v>474</v>
      </c>
      <c r="N20" s="168" t="s">
        <v>474</v>
      </c>
      <c r="T20" s="197"/>
      <c r="U20" s="197"/>
      <c r="V20" s="197"/>
      <c r="W20" s="197"/>
      <c r="X20" s="197"/>
    </row>
    <row r="21" spans="3:24" x14ac:dyDescent="0.25">
      <c r="C21" t="s">
        <v>999</v>
      </c>
      <c r="J21" s="152" t="s">
        <v>90</v>
      </c>
      <c r="K21" s="152" t="s">
        <v>91</v>
      </c>
      <c r="M21" s="168" t="s">
        <v>178</v>
      </c>
      <c r="T21" s="197"/>
      <c r="U21" s="197"/>
      <c r="V21" s="197"/>
      <c r="W21" s="197"/>
      <c r="X21" s="197"/>
    </row>
    <row r="22" spans="3:24" x14ac:dyDescent="0.25">
      <c r="C22" t="s">
        <v>1000</v>
      </c>
      <c r="J22" s="152" t="s">
        <v>92</v>
      </c>
      <c r="K22" s="152" t="s">
        <v>93</v>
      </c>
      <c r="M22" s="168" t="s">
        <v>111</v>
      </c>
      <c r="T22" s="197"/>
      <c r="U22" s="197"/>
      <c r="V22" s="197"/>
      <c r="W22" s="197"/>
      <c r="X22" s="197"/>
    </row>
    <row r="23" spans="3:24" x14ac:dyDescent="0.25">
      <c r="C23" t="s">
        <v>1001</v>
      </c>
      <c r="J23" s="162" t="s">
        <v>95</v>
      </c>
      <c r="M23" s="168" t="str">
        <f>"-07"</f>
        <v>-07</v>
      </c>
      <c r="T23" s="197"/>
      <c r="U23" s="197"/>
      <c r="V23" s="197"/>
      <c r="W23" s="197"/>
      <c r="X23" s="197"/>
    </row>
    <row r="24" spans="3:24" x14ac:dyDescent="0.25">
      <c r="C24" t="s">
        <v>572</v>
      </c>
      <c r="J24" s="152" t="s">
        <v>108</v>
      </c>
      <c r="M24" s="168" t="s">
        <v>110</v>
      </c>
      <c r="T24" s="197"/>
      <c r="U24" s="197"/>
      <c r="V24" s="197"/>
      <c r="W24" s="197"/>
      <c r="X24" s="197"/>
    </row>
    <row r="25" spans="3:24" x14ac:dyDescent="0.25">
      <c r="C25" t="s">
        <v>1002</v>
      </c>
      <c r="J25" s="152" t="s">
        <v>150</v>
      </c>
      <c r="M25" s="168" t="b">
        <v>1</v>
      </c>
    </row>
    <row r="26" spans="3:24" x14ac:dyDescent="0.25">
      <c r="C26" t="s">
        <v>1003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C:\Users\stu\Documents\GitHub\eaglep3-reporting\EC\2017-03-09-refined-times.txt</v>
      </c>
    </row>
    <row r="27" spans="3:24" x14ac:dyDescent="0.25">
      <c r="C27" t="s">
        <v>1004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C:\Users\stu\Documents\GitHub\eaglep3-reporting\EC\2017-03-09-Enforcements.txt</v>
      </c>
    </row>
    <row r="28" spans="3:24" x14ac:dyDescent="0.25">
      <c r="C28" t="s">
        <v>1005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C:\Users\stu\Documents\GitHub\eaglep3-reporting\EC\2017-03-09-Runs-refined.txt</v>
      </c>
    </row>
    <row r="29" spans="3:24" x14ac:dyDescent="0.25">
      <c r="C29" t="s">
        <v>573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C:\Users\stu\Documents\GitHub\eaglep3-reporting\EC\2017-03-09-Trips.txt</v>
      </c>
    </row>
    <row r="30" spans="3:24" x14ac:dyDescent="0.25">
      <c r="C30" t="s">
        <v>1006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C:\Users\stu\Documents\GitHub\eaglep3-reporting\EC\2017-03-09-Weather.txt</v>
      </c>
    </row>
    <row r="31" spans="3:24" x14ac:dyDescent="0.25">
      <c r="C31" t="s">
        <v>1007</v>
      </c>
      <c r="J31" s="152" t="s">
        <v>206</v>
      </c>
      <c r="M31" s="168" t="s">
        <v>207</v>
      </c>
    </row>
    <row r="32" spans="3:24" x14ac:dyDescent="0.25">
      <c r="C32" t="s">
        <v>1008</v>
      </c>
    </row>
    <row r="33" spans="3:3" x14ac:dyDescent="0.25">
      <c r="C33" t="s">
        <v>1009</v>
      </c>
    </row>
    <row r="34" spans="3:3" x14ac:dyDescent="0.25">
      <c r="C34" t="s">
        <v>1010</v>
      </c>
    </row>
    <row r="35" spans="3:3" x14ac:dyDescent="0.25">
      <c r="C35" t="s">
        <v>1011</v>
      </c>
    </row>
    <row r="36" spans="3:3" x14ac:dyDescent="0.25">
      <c r="C36" t="s">
        <v>1012</v>
      </c>
    </row>
    <row r="37" spans="3:3" x14ac:dyDescent="0.25">
      <c r="C37" t="s">
        <v>1013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191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288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289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290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291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292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293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294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295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296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297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298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299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300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301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302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303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304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305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306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307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308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309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310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311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312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313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314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315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316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317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318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319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320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321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322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323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324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325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326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327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328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329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330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331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332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333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334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335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336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337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338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339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340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341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342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343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344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345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346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347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348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349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350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351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352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353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354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355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356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357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358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359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360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361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362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363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364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365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366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367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368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369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370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371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372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373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374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375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376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377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378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379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380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381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382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383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384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385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386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387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388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389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390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391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392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393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394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395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396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397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398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399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400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401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402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403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404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405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406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407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408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409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410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411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412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413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414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415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416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417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21</vt:i4>
      </vt:variant>
    </vt:vector>
  </HeadingPairs>
  <TitlesOfParts>
    <vt:vector size="30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2017-03-10T16:37:31Z</dcterms:modified>
</cp:coreProperties>
</file>