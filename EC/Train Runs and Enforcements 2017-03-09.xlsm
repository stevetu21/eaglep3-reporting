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Trips'!$A$2:$J$100</definedName>
    <definedName name="_xlnm._FilterDatabase" localSheetId="0" hidden="1">'Train Runs'!$A$12:$AG$257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W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AA17" i="1" s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F21" i="1"/>
  <c r="AG21" i="1"/>
  <c r="AI21" i="1" s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X26" i="1"/>
  <c r="Y26" i="1"/>
  <c r="Z26" i="1"/>
  <c r="AB26" i="1"/>
  <c r="AC26" i="1"/>
  <c r="AD26" i="1"/>
  <c r="T26" i="1" s="1"/>
  <c r="AE26" i="1"/>
  <c r="AF26" i="1"/>
  <c r="AG26" i="1"/>
  <c r="AH26" i="1"/>
  <c r="AM26" i="1"/>
  <c r="AN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AI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A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G41" i="1"/>
  <c r="AI41" i="1" s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A48" i="1"/>
  <c r="AB48" i="1"/>
  <c r="AC48" i="1"/>
  <c r="AD48" i="1"/>
  <c r="AG48" i="1" s="1"/>
  <c r="AE48" i="1"/>
  <c r="AF48" i="1"/>
  <c r="AH48" i="1"/>
  <c r="AI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 s="1"/>
  <c r="T50" i="1"/>
  <c r="V50" i="1"/>
  <c r="Y50" i="1"/>
  <c r="Z50" i="1"/>
  <c r="AA50" i="1" s="1"/>
  <c r="AB50" i="1"/>
  <c r="AC50" i="1"/>
  <c r="AD50" i="1"/>
  <c r="AE50" i="1"/>
  <c r="AF50" i="1"/>
  <c r="AG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X55" i="1"/>
  <c r="Y55" i="1"/>
  <c r="AA55" i="1" s="1"/>
  <c r="W55" i="1" s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T56" i="1"/>
  <c r="V56" i="1"/>
  <c r="X56" i="1"/>
  <c r="Y56" i="1"/>
  <c r="Z56" i="1"/>
  <c r="AB56" i="1"/>
  <c r="AC56" i="1"/>
  <c r="AD56" i="1"/>
  <c r="AE56" i="1"/>
  <c r="AF56" i="1"/>
  <c r="AG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X79" i="1"/>
  <c r="Y79" i="1"/>
  <c r="Z79" i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T80" i="1"/>
  <c r="V80" i="1"/>
  <c r="Y80" i="1"/>
  <c r="AA80" i="1" s="1"/>
  <c r="W80" i="1" s="1"/>
  <c r="Z80" i="1"/>
  <c r="AB80" i="1"/>
  <c r="AC80" i="1"/>
  <c r="AD80" i="1"/>
  <c r="AE80" i="1"/>
  <c r="AF80" i="1"/>
  <c r="AG80" i="1"/>
  <c r="AH80" i="1"/>
  <c r="AI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AA83" i="1" s="1"/>
  <c r="Z83" i="1"/>
  <c r="AB83" i="1"/>
  <c r="AC83" i="1"/>
  <c r="AD83" i="1"/>
  <c r="T83" i="1" s="1"/>
  <c r="AE83" i="1"/>
  <c r="AF83" i="1"/>
  <c r="AG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G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G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I101" i="1" s="1"/>
  <c r="AH101" i="1"/>
  <c r="AM101" i="1"/>
  <c r="AN101" i="1"/>
  <c r="K102" i="1"/>
  <c r="L102" i="1"/>
  <c r="M102" i="1"/>
  <c r="N102" i="1" s="1"/>
  <c r="V102" i="1"/>
  <c r="X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AA105" i="1" s="1"/>
  <c r="W105" i="1" s="1"/>
  <c r="Z105" i="1"/>
  <c r="AB105" i="1"/>
  <c r="AC105" i="1"/>
  <c r="AD105" i="1"/>
  <c r="AE105" i="1"/>
  <c r="AF105" i="1"/>
  <c r="AG105" i="1"/>
  <c r="AI105" i="1" s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G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G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I121" i="1" s="1"/>
  <c r="AH121" i="1"/>
  <c r="AM121" i="1"/>
  <c r="AN121" i="1"/>
  <c r="K122" i="1"/>
  <c r="L122" i="1"/>
  <c r="M122" i="1"/>
  <c r="N122" i="1" s="1"/>
  <c r="V122" i="1"/>
  <c r="X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T125" i="1"/>
  <c r="V125" i="1"/>
  <c r="Y125" i="1"/>
  <c r="AA125" i="1" s="1"/>
  <c r="W125" i="1" s="1"/>
  <c r="Z125" i="1"/>
  <c r="AB125" i="1"/>
  <c r="AC125" i="1"/>
  <c r="AD125" i="1"/>
  <c r="AG125" i="1" s="1"/>
  <c r="AE125" i="1"/>
  <c r="AF125" i="1"/>
  <c r="AH125" i="1"/>
  <c r="AI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X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X133" i="1" s="1"/>
  <c r="AE132" i="1"/>
  <c r="AF132" i="1"/>
  <c r="AH132" i="1"/>
  <c r="AM132" i="1"/>
  <c r="AN132" i="1"/>
  <c r="K133" i="1"/>
  <c r="L133" i="1"/>
  <c r="M133" i="1"/>
  <c r="N133" i="1" s="1"/>
  <c r="T133" i="1"/>
  <c r="V133" i="1"/>
  <c r="Y133" i="1"/>
  <c r="Z133" i="1"/>
  <c r="AB133" i="1"/>
  <c r="AC133" i="1"/>
  <c r="AD133" i="1"/>
  <c r="AE133" i="1"/>
  <c r="AF133" i="1"/>
  <c r="AG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W135" i="1" s="1"/>
  <c r="AB135" i="1"/>
  <c r="AC135" i="1"/>
  <c r="AD135" i="1"/>
  <c r="T135" i="1" s="1"/>
  <c r="AE135" i="1"/>
  <c r="AF135" i="1"/>
  <c r="AG135" i="1"/>
  <c r="AI135" i="1" s="1"/>
  <c r="AH135" i="1"/>
  <c r="AM135" i="1"/>
  <c r="AN135" i="1"/>
  <c r="K136" i="1"/>
  <c r="L136" i="1"/>
  <c r="M136" i="1"/>
  <c r="N136" i="1" s="1"/>
  <c r="V136" i="1"/>
  <c r="X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X137" i="1"/>
  <c r="Y137" i="1"/>
  <c r="AA137" i="1" s="1"/>
  <c r="Z137" i="1"/>
  <c r="AB137" i="1"/>
  <c r="AC137" i="1"/>
  <c r="AD137" i="1"/>
  <c r="T137" i="1" s="1"/>
  <c r="AE137" i="1"/>
  <c r="AF137" i="1"/>
  <c r="AG137" i="1"/>
  <c r="AH137" i="1"/>
  <c r="AM137" i="1"/>
  <c r="AN137" i="1"/>
  <c r="K138" i="1"/>
  <c r="L138" i="1"/>
  <c r="M138" i="1"/>
  <c r="N138" i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AA141" i="1" s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W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T147" i="1"/>
  <c r="V147" i="1"/>
  <c r="Y147" i="1"/>
  <c r="Z147" i="1"/>
  <c r="AA147" i="1"/>
  <c r="W147" i="1" s="1"/>
  <c r="AB147" i="1"/>
  <c r="AC147" i="1"/>
  <c r="AD147" i="1"/>
  <c r="AG147" i="1" s="1"/>
  <c r="AE147" i="1"/>
  <c r="AF147" i="1"/>
  <c r="AH147" i="1"/>
  <c r="AI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T151" i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X153" i="1"/>
  <c r="Y153" i="1"/>
  <c r="Z153" i="1"/>
  <c r="AB153" i="1"/>
  <c r="AC153" i="1"/>
  <c r="AD153" i="1"/>
  <c r="T153" i="1" s="1"/>
  <c r="AE153" i="1"/>
  <c r="AF153" i="1"/>
  <c r="AG153" i="1"/>
  <c r="AH153" i="1"/>
  <c r="AM153" i="1"/>
  <c r="AN153" i="1"/>
  <c r="K154" i="1"/>
  <c r="L154" i="1"/>
  <c r="M154" i="1"/>
  <c r="N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AA208" i="1" s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X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AA212" i="1" s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G222" i="1"/>
  <c r="AH169" i="1"/>
  <c r="AM169" i="1"/>
  <c r="AN169" i="1"/>
  <c r="K223" i="1"/>
  <c r="L223" i="1"/>
  <c r="M223" i="1"/>
  <c r="N223" i="1"/>
  <c r="V223" i="1"/>
  <c r="Y223" i="1"/>
  <c r="Z223" i="1"/>
  <c r="AB223" i="1"/>
  <c r="AC223" i="1"/>
  <c r="AD223" i="1"/>
  <c r="AE223" i="1"/>
  <c r="AF223" i="1"/>
  <c r="AH170" i="1"/>
  <c r="AM170" i="1"/>
  <c r="AN170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AG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A226" i="1" s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T227" i="1"/>
  <c r="V227" i="1"/>
  <c r="Y227" i="1"/>
  <c r="AA227" i="1" s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T228" i="1"/>
  <c r="V228" i="1"/>
  <c r="X228" i="1"/>
  <c r="Y228" i="1"/>
  <c r="Z228" i="1"/>
  <c r="AB228" i="1"/>
  <c r="AC228" i="1"/>
  <c r="AD228" i="1"/>
  <c r="AE228" i="1"/>
  <c r="AF228" i="1"/>
  <c r="AG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G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1" i="1"/>
  <c r="AM181" i="1"/>
  <c r="AN181" i="1"/>
  <c r="K235" i="1"/>
  <c r="L235" i="1"/>
  <c r="M235" i="1"/>
  <c r="N235" i="1" s="1"/>
  <c r="T235" i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T236" i="1"/>
  <c r="V236" i="1"/>
  <c r="X236" i="1"/>
  <c r="Y236" i="1"/>
  <c r="Z236" i="1"/>
  <c r="AB236" i="1"/>
  <c r="AC236" i="1"/>
  <c r="AD236" i="1"/>
  <c r="AE236" i="1"/>
  <c r="AF236" i="1"/>
  <c r="AG236" i="1"/>
  <c r="AH183" i="1"/>
  <c r="AM183" i="1"/>
  <c r="AN183" i="1"/>
  <c r="K237" i="1"/>
  <c r="L237" i="1"/>
  <c r="M237" i="1"/>
  <c r="N237" i="1" s="1"/>
  <c r="T237" i="1"/>
  <c r="V237" i="1"/>
  <c r="Y237" i="1"/>
  <c r="Z237" i="1"/>
  <c r="AA237" i="1" s="1"/>
  <c r="AB237" i="1"/>
  <c r="AC237" i="1"/>
  <c r="AD237" i="1"/>
  <c r="AE237" i="1"/>
  <c r="AF237" i="1"/>
  <c r="AH184" i="1"/>
  <c r="AM184" i="1"/>
  <c r="AN184" i="1"/>
  <c r="K238" i="1"/>
  <c r="L238" i="1"/>
  <c r="M238" i="1"/>
  <c r="N238" i="1"/>
  <c r="V238" i="1"/>
  <c r="Y238" i="1"/>
  <c r="Z238" i="1"/>
  <c r="AA238" i="1" s="1"/>
  <c r="AB238" i="1"/>
  <c r="AC238" i="1"/>
  <c r="AD238" i="1"/>
  <c r="AG238" i="1" s="1"/>
  <c r="AE238" i="1"/>
  <c r="AF238" i="1"/>
  <c r="AH185" i="1"/>
  <c r="AM185" i="1"/>
  <c r="AN185" i="1"/>
  <c r="K156" i="1"/>
  <c r="L156" i="1"/>
  <c r="M156" i="1"/>
  <c r="N156" i="1"/>
  <c r="T156" i="1"/>
  <c r="V156" i="1"/>
  <c r="Y156" i="1"/>
  <c r="Z156" i="1"/>
  <c r="AA156" i="1"/>
  <c r="AB156" i="1"/>
  <c r="AC156" i="1"/>
  <c r="AD156" i="1"/>
  <c r="AG156" i="1" s="1"/>
  <c r="AE156" i="1"/>
  <c r="AF156" i="1"/>
  <c r="AH186" i="1"/>
  <c r="AM186" i="1"/>
  <c r="AN186" i="1"/>
  <c r="K157" i="1"/>
  <c r="L157" i="1"/>
  <c r="M157" i="1"/>
  <c r="N157" i="1" s="1"/>
  <c r="T157" i="1"/>
  <c r="V157" i="1"/>
  <c r="Y157" i="1"/>
  <c r="Z157" i="1"/>
  <c r="AA157" i="1" s="1"/>
  <c r="AB157" i="1"/>
  <c r="AC157" i="1"/>
  <c r="AD157" i="1"/>
  <c r="AE157" i="1"/>
  <c r="AF157" i="1"/>
  <c r="AH187" i="1"/>
  <c r="AM187" i="1"/>
  <c r="AN187" i="1"/>
  <c r="K158" i="1"/>
  <c r="L158" i="1"/>
  <c r="M158" i="1"/>
  <c r="N158" i="1" s="1"/>
  <c r="T158" i="1"/>
  <c r="V158" i="1"/>
  <c r="Y158" i="1"/>
  <c r="Z158" i="1"/>
  <c r="AA158" i="1" s="1"/>
  <c r="AB158" i="1"/>
  <c r="AC158" i="1"/>
  <c r="AD158" i="1"/>
  <c r="AE158" i="1"/>
  <c r="AF158" i="1"/>
  <c r="AG158" i="1"/>
  <c r="AH188" i="1"/>
  <c r="AM188" i="1"/>
  <c r="AN188" i="1"/>
  <c r="K159" i="1"/>
  <c r="L159" i="1"/>
  <c r="M159" i="1"/>
  <c r="N159" i="1"/>
  <c r="V159" i="1"/>
  <c r="Y159" i="1"/>
  <c r="Z159" i="1"/>
  <c r="AA159" i="1" s="1"/>
  <c r="AB159" i="1"/>
  <c r="AC159" i="1"/>
  <c r="AD159" i="1"/>
  <c r="AG159" i="1" s="1"/>
  <c r="AE159" i="1"/>
  <c r="AF159" i="1"/>
  <c r="AH189" i="1"/>
  <c r="AM189" i="1"/>
  <c r="AN189" i="1"/>
  <c r="K160" i="1"/>
  <c r="L160" i="1"/>
  <c r="M160" i="1"/>
  <c r="N160" i="1"/>
  <c r="T160" i="1"/>
  <c r="V160" i="1"/>
  <c r="Y160" i="1"/>
  <c r="Z160" i="1"/>
  <c r="AA160" i="1"/>
  <c r="AB160" i="1"/>
  <c r="AC160" i="1"/>
  <c r="AD160" i="1"/>
  <c r="AG160" i="1" s="1"/>
  <c r="AE160" i="1"/>
  <c r="AF160" i="1"/>
  <c r="AH190" i="1"/>
  <c r="AM190" i="1"/>
  <c r="AN190" i="1"/>
  <c r="K161" i="1"/>
  <c r="L161" i="1"/>
  <c r="M161" i="1"/>
  <c r="N161" i="1" s="1"/>
  <c r="T161" i="1"/>
  <c r="V161" i="1"/>
  <c r="Y161" i="1"/>
  <c r="Z161" i="1"/>
  <c r="AA161" i="1" s="1"/>
  <c r="AB161" i="1"/>
  <c r="AC161" i="1"/>
  <c r="AD161" i="1"/>
  <c r="AE161" i="1"/>
  <c r="AF161" i="1"/>
  <c r="AH191" i="1"/>
  <c r="AM191" i="1"/>
  <c r="AN19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2" i="1"/>
  <c r="AM192" i="1"/>
  <c r="AN192" i="1"/>
  <c r="K163" i="1"/>
  <c r="L163" i="1"/>
  <c r="M163" i="1"/>
  <c r="N163" i="1"/>
  <c r="V163" i="1"/>
  <c r="Y163" i="1"/>
  <c r="Z163" i="1"/>
  <c r="AB163" i="1"/>
  <c r="AC163" i="1"/>
  <c r="AD163" i="1"/>
  <c r="AG163" i="1" s="1"/>
  <c r="AI163" i="1" s="1"/>
  <c r="AE163" i="1"/>
  <c r="AF163" i="1"/>
  <c r="AH193" i="1"/>
  <c r="AM193" i="1"/>
  <c r="AN193" i="1"/>
  <c r="K164" i="1"/>
  <c r="L164" i="1"/>
  <c r="M164" i="1"/>
  <c r="N164" i="1" s="1"/>
  <c r="T164" i="1"/>
  <c r="V164" i="1"/>
  <c r="Y164" i="1"/>
  <c r="AA164" i="1" s="1"/>
  <c r="Z164" i="1"/>
  <c r="AB164" i="1"/>
  <c r="AC164" i="1"/>
  <c r="AD164" i="1"/>
  <c r="AG164" i="1" s="1"/>
  <c r="AE164" i="1"/>
  <c r="AF164" i="1"/>
  <c r="AH194" i="1"/>
  <c r="AM194" i="1"/>
  <c r="AN194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95" i="1"/>
  <c r="AM195" i="1"/>
  <c r="AN195" i="1"/>
  <c r="K239" i="1"/>
  <c r="L239" i="1"/>
  <c r="M239" i="1"/>
  <c r="N239" i="1" s="1"/>
  <c r="T239" i="1"/>
  <c r="V239" i="1"/>
  <c r="X239" i="1"/>
  <c r="Y239" i="1"/>
  <c r="Z239" i="1"/>
  <c r="AA239" i="1" s="1"/>
  <c r="W239" i="1" s="1"/>
  <c r="AB239" i="1"/>
  <c r="AC239" i="1"/>
  <c r="AD239" i="1"/>
  <c r="AE239" i="1"/>
  <c r="AF239" i="1"/>
  <c r="AG239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G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203" i="1"/>
  <c r="AI203" i="1"/>
  <c r="AM203" i="1"/>
  <c r="AN203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G176" i="1"/>
  <c r="U176" i="1" s="1"/>
  <c r="S176" i="1" s="1"/>
  <c r="AH207" i="1"/>
  <c r="AM207" i="1"/>
  <c r="AN207" i="1"/>
  <c r="K177" i="1"/>
  <c r="L177" i="1"/>
  <c r="M177" i="1"/>
  <c r="N177" i="1" s="1"/>
  <c r="T177" i="1"/>
  <c r="V177" i="1"/>
  <c r="Y177" i="1"/>
  <c r="Z177" i="1"/>
  <c r="AA177" i="1" s="1"/>
  <c r="AB177" i="1"/>
  <c r="AC177" i="1"/>
  <c r="AD177" i="1"/>
  <c r="X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A178" i="1" s="1"/>
  <c r="AB178" i="1"/>
  <c r="AC178" i="1"/>
  <c r="AD178" i="1"/>
  <c r="AG178" i="1" s="1"/>
  <c r="AE178" i="1"/>
  <c r="AF178" i="1"/>
  <c r="AH209" i="1"/>
  <c r="AM209" i="1"/>
  <c r="AN209" i="1"/>
  <c r="K179" i="1"/>
  <c r="L179" i="1"/>
  <c r="M179" i="1"/>
  <c r="N179" i="1"/>
  <c r="V179" i="1"/>
  <c r="Y179" i="1"/>
  <c r="Z179" i="1"/>
  <c r="AA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T180" i="1"/>
  <c r="V180" i="1"/>
  <c r="Y180" i="1"/>
  <c r="Z180" i="1"/>
  <c r="AB180" i="1"/>
  <c r="AC180" i="1"/>
  <c r="AD180" i="1"/>
  <c r="AE180" i="1"/>
  <c r="AF180" i="1"/>
  <c r="AH211" i="1"/>
  <c r="AM211" i="1"/>
  <c r="AN211" i="1"/>
  <c r="K181" i="1"/>
  <c r="L181" i="1"/>
  <c r="M181" i="1"/>
  <c r="N181" i="1" s="1"/>
  <c r="T181" i="1"/>
  <c r="V181" i="1"/>
  <c r="Y181" i="1"/>
  <c r="Z181" i="1"/>
  <c r="AA181" i="1" s="1"/>
  <c r="AB181" i="1"/>
  <c r="AC181" i="1"/>
  <c r="AD181" i="1"/>
  <c r="AE181" i="1"/>
  <c r="AF181" i="1"/>
  <c r="AG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T189" i="1"/>
  <c r="V189" i="1"/>
  <c r="X189" i="1"/>
  <c r="Y189" i="1"/>
  <c r="Z189" i="1"/>
  <c r="AA189" i="1" s="1"/>
  <c r="AB189" i="1"/>
  <c r="AC189" i="1"/>
  <c r="AD189" i="1"/>
  <c r="AE189" i="1"/>
  <c r="AF189" i="1"/>
  <c r="AG18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4" i="1"/>
  <c r="AM224" i="1"/>
  <c r="AN224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AH225" i="1"/>
  <c r="AM225" i="1"/>
  <c r="AN225" i="1"/>
  <c r="K195" i="1"/>
  <c r="L195" i="1"/>
  <c r="M195" i="1"/>
  <c r="N195" i="1"/>
  <c r="V195" i="1"/>
  <c r="Y195" i="1"/>
  <c r="Z195" i="1"/>
  <c r="AA195" i="1"/>
  <c r="AB195" i="1"/>
  <c r="AC195" i="1"/>
  <c r="AD195" i="1"/>
  <c r="T195" i="1" s="1"/>
  <c r="AE195" i="1"/>
  <c r="AF195" i="1"/>
  <c r="AH226" i="1"/>
  <c r="AM226" i="1"/>
  <c r="AN226" i="1"/>
  <c r="K196" i="1"/>
  <c r="L196" i="1"/>
  <c r="M196" i="1"/>
  <c r="N196" i="1" s="1"/>
  <c r="T196" i="1"/>
  <c r="V196" i="1"/>
  <c r="Y196" i="1"/>
  <c r="Z196" i="1"/>
  <c r="AA196" i="1"/>
  <c r="W196" i="1" s="1"/>
  <c r="AB196" i="1"/>
  <c r="AC196" i="1"/>
  <c r="AD196" i="1"/>
  <c r="X196" i="1" s="1"/>
  <c r="AE196" i="1"/>
  <c r="AF196" i="1"/>
  <c r="AG196" i="1"/>
  <c r="AH227" i="1"/>
  <c r="AI227" i="1"/>
  <c r="AM227" i="1"/>
  <c r="AN227" i="1"/>
  <c r="K197" i="1"/>
  <c r="L197" i="1"/>
  <c r="M197" i="1"/>
  <c r="N197" i="1" s="1"/>
  <c r="V197" i="1"/>
  <c r="X197" i="1"/>
  <c r="Y197" i="1"/>
  <c r="Z197" i="1"/>
  <c r="AB197" i="1"/>
  <c r="AC197" i="1"/>
  <c r="AD197" i="1"/>
  <c r="T197" i="1" s="1"/>
  <c r="AE197" i="1"/>
  <c r="AF197" i="1"/>
  <c r="AG197" i="1"/>
  <c r="AH228" i="1"/>
  <c r="AM228" i="1"/>
  <c r="AN22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9" i="1"/>
  <c r="AM229" i="1"/>
  <c r="AN229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K200" i="1"/>
  <c r="L200" i="1"/>
  <c r="M200" i="1"/>
  <c r="N200" i="1" s="1"/>
  <c r="V200" i="1"/>
  <c r="X200" i="1"/>
  <c r="Y200" i="1"/>
  <c r="Z200" i="1"/>
  <c r="AB200" i="1"/>
  <c r="AC200" i="1"/>
  <c r="AD200" i="1"/>
  <c r="AG200" i="1" s="1"/>
  <c r="AE200" i="1"/>
  <c r="AF200" i="1"/>
  <c r="AH231" i="1"/>
  <c r="AI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2" i="1"/>
  <c r="AM232" i="1"/>
  <c r="AN232" i="1"/>
  <c r="K202" i="1"/>
  <c r="L202" i="1"/>
  <c r="M202" i="1"/>
  <c r="N202" i="1"/>
  <c r="V202" i="1"/>
  <c r="Y202" i="1"/>
  <c r="Z202" i="1"/>
  <c r="AB202" i="1"/>
  <c r="AC202" i="1"/>
  <c r="AD202" i="1"/>
  <c r="AG202" i="1" s="1"/>
  <c r="AE202" i="1"/>
  <c r="AF202" i="1"/>
  <c r="AH233" i="1"/>
  <c r="AM233" i="1"/>
  <c r="AN233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235" i="1"/>
  <c r="AI235" i="1"/>
  <c r="AM235" i="1"/>
  <c r="AN23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36" i="1"/>
  <c r="AM236" i="1"/>
  <c r="AN236" i="1"/>
  <c r="K215" i="1"/>
  <c r="L215" i="1"/>
  <c r="M215" i="1"/>
  <c r="N215" i="1" s="1"/>
  <c r="V215" i="1"/>
  <c r="Y215" i="1"/>
  <c r="Z215" i="1"/>
  <c r="AA215" i="1" s="1"/>
  <c r="W215" i="1" s="1"/>
  <c r="AB215" i="1"/>
  <c r="AC215" i="1"/>
  <c r="AD215" i="1"/>
  <c r="AG215" i="1" s="1"/>
  <c r="AE215" i="1"/>
  <c r="AF215" i="1"/>
  <c r="AH237" i="1"/>
  <c r="AM237" i="1"/>
  <c r="AN237" i="1"/>
  <c r="K216" i="1"/>
  <c r="L216" i="1"/>
  <c r="M216" i="1"/>
  <c r="N216" i="1"/>
  <c r="V216" i="1"/>
  <c r="Y216" i="1"/>
  <c r="AA216" i="1" s="1"/>
  <c r="Z216" i="1"/>
  <c r="AB216" i="1"/>
  <c r="AC216" i="1"/>
  <c r="AD216" i="1"/>
  <c r="T216" i="1" s="1"/>
  <c r="AE216" i="1"/>
  <c r="AF216" i="1"/>
  <c r="AH238" i="1"/>
  <c r="AM238" i="1"/>
  <c r="AN238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39" i="1"/>
  <c r="AI239" i="1"/>
  <c r="AM239" i="1"/>
  <c r="AN239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240" i="1"/>
  <c r="AM240" i="1"/>
  <c r="AN240" i="1"/>
  <c r="K219" i="1"/>
  <c r="L219" i="1"/>
  <c r="M219" i="1"/>
  <c r="N219" i="1"/>
  <c r="V219" i="1"/>
  <c r="S40" i="3" s="1"/>
  <c r="Y219" i="1"/>
  <c r="Z219" i="1"/>
  <c r="AB219" i="1"/>
  <c r="AC219" i="1"/>
  <c r="AD219" i="1"/>
  <c r="AE219" i="1"/>
  <c r="R40" i="3" s="1"/>
  <c r="AF219" i="1"/>
  <c r="AH241" i="1"/>
  <c r="AM241" i="1"/>
  <c r="AN241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42" i="1"/>
  <c r="AM242" i="1"/>
  <c r="AN242" i="1"/>
  <c r="M27" i="3"/>
  <c r="R27" i="3"/>
  <c r="S27" i="3"/>
  <c r="U27" i="3"/>
  <c r="T27" i="3" s="1"/>
  <c r="V27" i="3"/>
  <c r="W27" i="3"/>
  <c r="Y27" i="3" s="1"/>
  <c r="X27" i="3"/>
  <c r="M22" i="3"/>
  <c r="R22" i="3"/>
  <c r="S22" i="3"/>
  <c r="U22" i="3"/>
  <c r="AC22" i="3" s="1"/>
  <c r="V22" i="3"/>
  <c r="W22" i="3"/>
  <c r="X22" i="3"/>
  <c r="M10" i="3"/>
  <c r="R10" i="3"/>
  <c r="S10" i="3"/>
  <c r="U10" i="3"/>
  <c r="T10" i="3" s="1"/>
  <c r="V10" i="3"/>
  <c r="W10" i="3"/>
  <c r="X10" i="3"/>
  <c r="AC10" i="3"/>
  <c r="M18" i="3"/>
  <c r="R18" i="3"/>
  <c r="S18" i="3"/>
  <c r="U18" i="3"/>
  <c r="V18" i="3"/>
  <c r="W18" i="3"/>
  <c r="X18" i="3"/>
  <c r="AC18" i="3"/>
  <c r="M12" i="3"/>
  <c r="R12" i="3"/>
  <c r="S12" i="3"/>
  <c r="U12" i="3"/>
  <c r="T12" i="3" s="1"/>
  <c r="V12" i="3"/>
  <c r="W12" i="3"/>
  <c r="X12" i="3"/>
  <c r="M21" i="3"/>
  <c r="R21" i="3"/>
  <c r="S21" i="3"/>
  <c r="U21" i="3"/>
  <c r="AC21" i="3" s="1"/>
  <c r="V21" i="3"/>
  <c r="W21" i="3"/>
  <c r="X21" i="3"/>
  <c r="M33" i="3"/>
  <c r="R33" i="3"/>
  <c r="S33" i="3"/>
  <c r="U33" i="3"/>
  <c r="T33" i="3" s="1"/>
  <c r="V33" i="3"/>
  <c r="W33" i="3"/>
  <c r="X33" i="3"/>
  <c r="AC33" i="3"/>
  <c r="M9" i="3"/>
  <c r="R9" i="3"/>
  <c r="S9" i="3"/>
  <c r="U9" i="3"/>
  <c r="AD9" i="3" s="1"/>
  <c r="V9" i="3"/>
  <c r="W9" i="3"/>
  <c r="Y9" i="3" s="1"/>
  <c r="X9" i="3"/>
  <c r="M11" i="3"/>
  <c r="R11" i="3"/>
  <c r="S11" i="3"/>
  <c r="U11" i="3"/>
  <c r="T11" i="3" s="1"/>
  <c r="V11" i="3"/>
  <c r="W11" i="3"/>
  <c r="Y11" i="3" s="1"/>
  <c r="X11" i="3"/>
  <c r="M31" i="3"/>
  <c r="R31" i="3"/>
  <c r="S31" i="3"/>
  <c r="U31" i="3"/>
  <c r="AC31" i="3" s="1"/>
  <c r="V31" i="3"/>
  <c r="W31" i="3"/>
  <c r="X31" i="3"/>
  <c r="M42" i="3"/>
  <c r="R42" i="3"/>
  <c r="S42" i="3"/>
  <c r="U42" i="3"/>
  <c r="AD42" i="3" s="1"/>
  <c r="V42" i="3"/>
  <c r="W42" i="3"/>
  <c r="X42" i="3"/>
  <c r="AC42" i="3"/>
  <c r="M34" i="3"/>
  <c r="R34" i="3"/>
  <c r="S34" i="3"/>
  <c r="U34" i="3"/>
  <c r="V34" i="3"/>
  <c r="W34" i="3"/>
  <c r="X34" i="3"/>
  <c r="AC34" i="3"/>
  <c r="M16" i="3"/>
  <c r="R16" i="3"/>
  <c r="S16" i="3"/>
  <c r="U16" i="3"/>
  <c r="T16" i="3" s="1"/>
  <c r="V16" i="3"/>
  <c r="W16" i="3"/>
  <c r="X16" i="3"/>
  <c r="Y16" i="3"/>
  <c r="M19" i="3"/>
  <c r="R19" i="3"/>
  <c r="S19" i="3"/>
  <c r="U19" i="3"/>
  <c r="AC19" i="3" s="1"/>
  <c r="V19" i="3"/>
  <c r="W19" i="3"/>
  <c r="X19" i="3"/>
  <c r="AD21" i="3"/>
  <c r="M14" i="3"/>
  <c r="R14" i="3"/>
  <c r="S14" i="3"/>
  <c r="U14" i="3"/>
  <c r="AD22" i="3" s="1"/>
  <c r="V14" i="3"/>
  <c r="W14" i="3"/>
  <c r="X14" i="3"/>
  <c r="AC14" i="3"/>
  <c r="M13" i="3"/>
  <c r="R13" i="3"/>
  <c r="S13" i="3"/>
  <c r="U13" i="3"/>
  <c r="AD13" i="3" s="1"/>
  <c r="V13" i="3"/>
  <c r="W13" i="3"/>
  <c r="X13" i="3"/>
  <c r="M23" i="3"/>
  <c r="R23" i="3"/>
  <c r="S23" i="3"/>
  <c r="U23" i="3"/>
  <c r="AC23" i="3" s="1"/>
  <c r="V23" i="3"/>
  <c r="W23" i="3"/>
  <c r="Y23" i="3" s="1"/>
  <c r="X23" i="3"/>
  <c r="M24" i="3"/>
  <c r="R24" i="3"/>
  <c r="S24" i="3"/>
  <c r="U24" i="3"/>
  <c r="AC24" i="3" s="1"/>
  <c r="V24" i="3"/>
  <c r="W24" i="3"/>
  <c r="Y24" i="3" s="1"/>
  <c r="X24" i="3"/>
  <c r="M35" i="3"/>
  <c r="R35" i="3"/>
  <c r="S35" i="3"/>
  <c r="U35" i="3"/>
  <c r="T35" i="3" s="1"/>
  <c r="V35" i="3"/>
  <c r="W35" i="3"/>
  <c r="X35" i="3"/>
  <c r="AC35" i="3"/>
  <c r="M28" i="3"/>
  <c r="R28" i="3"/>
  <c r="S28" i="3"/>
  <c r="U28" i="3"/>
  <c r="AD27" i="3" s="1"/>
  <c r="V28" i="3"/>
  <c r="W28" i="3"/>
  <c r="X28" i="3"/>
  <c r="M41" i="3"/>
  <c r="R41" i="3"/>
  <c r="S41" i="3"/>
  <c r="U41" i="3"/>
  <c r="T41" i="3" s="1"/>
  <c r="V41" i="3"/>
  <c r="W41" i="3"/>
  <c r="X41" i="3"/>
  <c r="M7" i="3"/>
  <c r="R7" i="3"/>
  <c r="S7" i="3"/>
  <c r="U7" i="3"/>
  <c r="AC7" i="3" s="1"/>
  <c r="V7" i="3"/>
  <c r="W7" i="3"/>
  <c r="X7" i="3"/>
  <c r="M17" i="3"/>
  <c r="R17" i="3"/>
  <c r="S17" i="3"/>
  <c r="U17" i="3"/>
  <c r="T17" i="3" s="1"/>
  <c r="V17" i="3"/>
  <c r="W17" i="3"/>
  <c r="X17" i="3"/>
  <c r="AC17" i="3"/>
  <c r="M36" i="3"/>
  <c r="R36" i="3"/>
  <c r="S36" i="3"/>
  <c r="U36" i="3"/>
  <c r="V36" i="3"/>
  <c r="W36" i="3"/>
  <c r="Y36" i="3" s="1"/>
  <c r="X36" i="3"/>
  <c r="M38" i="3"/>
  <c r="R38" i="3"/>
  <c r="S38" i="3"/>
  <c r="U38" i="3"/>
  <c r="AC38" i="3" s="1"/>
  <c r="V38" i="3"/>
  <c r="W38" i="3"/>
  <c r="X38" i="3"/>
  <c r="M29" i="3"/>
  <c r="R29" i="3"/>
  <c r="S29" i="3"/>
  <c r="U29" i="3"/>
  <c r="AC29" i="3" s="1"/>
  <c r="V29" i="3"/>
  <c r="W29" i="3"/>
  <c r="X29" i="3"/>
  <c r="AD33" i="3"/>
  <c r="M20" i="3"/>
  <c r="R20" i="3"/>
  <c r="S20" i="3"/>
  <c r="U20" i="3"/>
  <c r="AD34" i="3" s="1"/>
  <c r="V20" i="3"/>
  <c r="W20" i="3"/>
  <c r="X20" i="3"/>
  <c r="AC20" i="3"/>
  <c r="M30" i="3"/>
  <c r="R30" i="3"/>
  <c r="S30" i="3"/>
  <c r="U30" i="3"/>
  <c r="V30" i="3"/>
  <c r="W30" i="3"/>
  <c r="X30" i="3"/>
  <c r="AC30" i="3"/>
  <c r="M32" i="3"/>
  <c r="R32" i="3"/>
  <c r="S32" i="3"/>
  <c r="U32" i="3"/>
  <c r="T32" i="3" s="1"/>
  <c r="V32" i="3"/>
  <c r="W32" i="3"/>
  <c r="X32" i="3"/>
  <c r="Y32" i="3"/>
  <c r="M25" i="3"/>
  <c r="R25" i="3"/>
  <c r="S25" i="3"/>
  <c r="U25" i="3"/>
  <c r="AC25" i="3" s="1"/>
  <c r="V25" i="3"/>
  <c r="W25" i="3"/>
  <c r="X25" i="3"/>
  <c r="M40" i="3"/>
  <c r="U40" i="3"/>
  <c r="V40" i="3"/>
  <c r="W40" i="3"/>
  <c r="X40" i="3"/>
  <c r="AC40" i="3"/>
  <c r="M39" i="3"/>
  <c r="R39" i="3"/>
  <c r="S39" i="3"/>
  <c r="U39" i="3"/>
  <c r="AD39" i="3" s="1"/>
  <c r="V39" i="3"/>
  <c r="W39" i="3"/>
  <c r="Y39" i="3" s="1"/>
  <c r="X39" i="3"/>
  <c r="AC39" i="3"/>
  <c r="M37" i="3"/>
  <c r="R37" i="3"/>
  <c r="S37" i="3"/>
  <c r="U37" i="3"/>
  <c r="AC37" i="3" s="1"/>
  <c r="V37" i="3"/>
  <c r="W37" i="3"/>
  <c r="Y37" i="3" s="1"/>
  <c r="X37" i="3"/>
  <c r="M8" i="3"/>
  <c r="R8" i="3"/>
  <c r="S8" i="3"/>
  <c r="U8" i="3"/>
  <c r="AC8" i="3" s="1"/>
  <c r="V8" i="3"/>
  <c r="W8" i="3"/>
  <c r="X8" i="3"/>
  <c r="M26" i="3"/>
  <c r="R26" i="3"/>
  <c r="S26" i="3"/>
  <c r="U26" i="3"/>
  <c r="AD26" i="3" s="1"/>
  <c r="V26" i="3"/>
  <c r="W26" i="3"/>
  <c r="X26" i="3"/>
  <c r="AC26" i="3"/>
  <c r="M15" i="3"/>
  <c r="R15" i="3"/>
  <c r="S15" i="3"/>
  <c r="U15" i="3"/>
  <c r="V15" i="3"/>
  <c r="W15" i="3"/>
  <c r="X15" i="3"/>
  <c r="AC15" i="3"/>
  <c r="AD31" i="3" l="1"/>
  <c r="T25" i="3"/>
  <c r="AD35" i="3"/>
  <c r="AE42" i="3"/>
  <c r="AE21" i="3"/>
  <c r="AD10" i="3"/>
  <c r="AE10" i="3"/>
  <c r="Y15" i="3"/>
  <c r="Y31" i="3"/>
  <c r="Y26" i="3"/>
  <c r="AD38" i="3"/>
  <c r="Y13" i="3"/>
  <c r="T26" i="3"/>
  <c r="AE41" i="3"/>
  <c r="AD18" i="3"/>
  <c r="T31" i="3"/>
  <c r="Y22" i="3"/>
  <c r="Y25" i="3"/>
  <c r="Y38" i="3"/>
  <c r="Y28" i="3"/>
  <c r="Y19" i="3"/>
  <c r="Y30" i="3"/>
  <c r="T14" i="3"/>
  <c r="Y18" i="3"/>
  <c r="X217" i="1"/>
  <c r="AA200" i="1"/>
  <c r="W200" i="1" s="1"/>
  <c r="AA199" i="1"/>
  <c r="AA182" i="1"/>
  <c r="W182" i="1" s="1"/>
  <c r="AA171" i="1"/>
  <c r="U169" i="1"/>
  <c r="X169" i="1"/>
  <c r="AA166" i="1"/>
  <c r="W166" i="1" s="1"/>
  <c r="T162" i="1"/>
  <c r="W158" i="1"/>
  <c r="T232" i="1"/>
  <c r="T231" i="1"/>
  <c r="AA230" i="1"/>
  <c r="U224" i="1"/>
  <c r="AG144" i="1"/>
  <c r="T144" i="1"/>
  <c r="T89" i="1"/>
  <c r="AG89" i="1"/>
  <c r="AI89" i="1" s="1"/>
  <c r="T52" i="1"/>
  <c r="X52" i="1"/>
  <c r="AG52" i="1"/>
  <c r="U52" i="1" s="1"/>
  <c r="AI215" i="1"/>
  <c r="AG242" i="1"/>
  <c r="U242" i="1" s="1"/>
  <c r="X242" i="1"/>
  <c r="AA197" i="1"/>
  <c r="X192" i="1"/>
  <c r="U189" i="1"/>
  <c r="AA175" i="1"/>
  <c r="T214" i="1"/>
  <c r="AG214" i="1"/>
  <c r="AG148" i="1"/>
  <c r="X148" i="1"/>
  <c r="T117" i="1"/>
  <c r="AG117" i="1"/>
  <c r="T37" i="1"/>
  <c r="AG37" i="1"/>
  <c r="AG32" i="1"/>
  <c r="AI32" i="1" s="1"/>
  <c r="T32" i="1"/>
  <c r="AA198" i="1"/>
  <c r="W198" i="1" s="1"/>
  <c r="AA191" i="1"/>
  <c r="AG188" i="1"/>
  <c r="U188" i="1" s="1"/>
  <c r="S188" i="1" s="1"/>
  <c r="X188" i="1"/>
  <c r="AA180" i="1"/>
  <c r="T172" i="1"/>
  <c r="X172" i="1"/>
  <c r="AG233" i="1"/>
  <c r="X233" i="1"/>
  <c r="AG232" i="1"/>
  <c r="U151" i="1"/>
  <c r="S151" i="1" s="1"/>
  <c r="T145" i="1"/>
  <c r="X145" i="1"/>
  <c r="AG145" i="1"/>
  <c r="AA121" i="1"/>
  <c r="W121" i="1" s="1"/>
  <c r="AG110" i="1"/>
  <c r="T110" i="1"/>
  <c r="T95" i="1"/>
  <c r="AG95" i="1"/>
  <c r="X90" i="1"/>
  <c r="T76" i="1"/>
  <c r="X76" i="1"/>
  <c r="AG76" i="1"/>
  <c r="AG67" i="1"/>
  <c r="X67" i="1"/>
  <c r="T46" i="1"/>
  <c r="AG46" i="1"/>
  <c r="AA242" i="1"/>
  <c r="AG241" i="1"/>
  <c r="W241" i="1" s="1"/>
  <c r="U197" i="1"/>
  <c r="AG185" i="1"/>
  <c r="U185" i="1" s="1"/>
  <c r="X185" i="1"/>
  <c r="W181" i="1"/>
  <c r="W176" i="1"/>
  <c r="AG172" i="1"/>
  <c r="AI172" i="1" s="1"/>
  <c r="X237" i="1"/>
  <c r="AG237" i="1"/>
  <c r="W237" i="1" s="1"/>
  <c r="T208" i="1"/>
  <c r="AG208" i="1"/>
  <c r="T155" i="1"/>
  <c r="AG155" i="1"/>
  <c r="AI155" i="1" s="1"/>
  <c r="T149" i="1"/>
  <c r="X149" i="1"/>
  <c r="AG149" i="1"/>
  <c r="U149" i="1" s="1"/>
  <c r="W89" i="1"/>
  <c r="T38" i="1"/>
  <c r="AG38" i="1"/>
  <c r="AG28" i="1"/>
  <c r="AI28" i="1" s="1"/>
  <c r="T28" i="1"/>
  <c r="W210" i="1"/>
  <c r="AA151" i="1"/>
  <c r="W151" i="1" s="1"/>
  <c r="AA129" i="1"/>
  <c r="X118" i="1"/>
  <c r="X109" i="1"/>
  <c r="AA99" i="1"/>
  <c r="AA91" i="1"/>
  <c r="AA64" i="1"/>
  <c r="AA60" i="1"/>
  <c r="W49" i="1"/>
  <c r="AA163" i="1"/>
  <c r="W163" i="1" s="1"/>
  <c r="AA162" i="1"/>
  <c r="W162" i="1" s="1"/>
  <c r="AI159" i="1"/>
  <c r="AA235" i="1"/>
  <c r="AA229" i="1"/>
  <c r="W229" i="1" s="1"/>
  <c r="AA222" i="1"/>
  <c r="AA207" i="1"/>
  <c r="AA204" i="1"/>
  <c r="AA153" i="1"/>
  <c r="X152" i="1"/>
  <c r="AA143" i="1"/>
  <c r="X140" i="1"/>
  <c r="AG139" i="1"/>
  <c r="AI139" i="1" s="1"/>
  <c r="AA134" i="1"/>
  <c r="W134" i="1" s="1"/>
  <c r="AG131" i="1"/>
  <c r="U131" i="1" s="1"/>
  <c r="AA128" i="1"/>
  <c r="AG127" i="1"/>
  <c r="AI127" i="1" s="1"/>
  <c r="AA120" i="1"/>
  <c r="AA115" i="1"/>
  <c r="AG113" i="1"/>
  <c r="AA111" i="1"/>
  <c r="AA109" i="1"/>
  <c r="X106" i="1"/>
  <c r="AG103" i="1"/>
  <c r="AA101" i="1"/>
  <c r="W101" i="1" s="1"/>
  <c r="AG99" i="1"/>
  <c r="AA97" i="1"/>
  <c r="W97" i="1" s="1"/>
  <c r="X86" i="1"/>
  <c r="AG85" i="1"/>
  <c r="AI85" i="1" s="1"/>
  <c r="AG81" i="1"/>
  <c r="AI81" i="1" s="1"/>
  <c r="X81" i="1"/>
  <c r="AA75" i="1"/>
  <c r="AG72" i="1"/>
  <c r="U72" i="1" s="1"/>
  <c r="S72" i="1" s="1"/>
  <c r="X72" i="1"/>
  <c r="AA68" i="1"/>
  <c r="AG64" i="1"/>
  <c r="X64" i="1"/>
  <c r="AA62" i="1"/>
  <c r="AG60" i="1"/>
  <c r="X60" i="1"/>
  <c r="AA57" i="1"/>
  <c r="AI44" i="1"/>
  <c r="AA41" i="1"/>
  <c r="W41" i="1" s="1"/>
  <c r="AI40" i="1"/>
  <c r="AA35" i="1"/>
  <c r="AG33" i="1"/>
  <c r="AI33" i="1" s="1"/>
  <c r="AG30" i="1"/>
  <c r="AA24" i="1"/>
  <c r="W24" i="1" s="1"/>
  <c r="AA21" i="1"/>
  <c r="AA225" i="1"/>
  <c r="W224" i="1"/>
  <c r="AA214" i="1"/>
  <c r="W214" i="1" s="1"/>
  <c r="AA155" i="1"/>
  <c r="W155" i="1" s="1"/>
  <c r="AA150" i="1"/>
  <c r="W150" i="1" s="1"/>
  <c r="AA144" i="1"/>
  <c r="W144" i="1" s="1"/>
  <c r="AA117" i="1"/>
  <c r="W117" i="1" s="1"/>
  <c r="AA114" i="1"/>
  <c r="AA110" i="1"/>
  <c r="AA88" i="1"/>
  <c r="AA71" i="1"/>
  <c r="AA66" i="1"/>
  <c r="AA63" i="1"/>
  <c r="AA46" i="1"/>
  <c r="W46" i="1" s="1"/>
  <c r="AA37" i="1"/>
  <c r="W37" i="1" s="1"/>
  <c r="T34" i="1"/>
  <c r="AA29" i="1"/>
  <c r="AA15" i="1"/>
  <c r="AA219" i="1"/>
  <c r="AA218" i="1"/>
  <c r="T218" i="1"/>
  <c r="AG217" i="1"/>
  <c r="W217" i="1" s="1"/>
  <c r="X241" i="1"/>
  <c r="AG201" i="1"/>
  <c r="U201" i="1" s="1"/>
  <c r="X201" i="1"/>
  <c r="AA193" i="1"/>
  <c r="AA192" i="1"/>
  <c r="T192" i="1"/>
  <c r="AA190" i="1"/>
  <c r="W190" i="1" s="1"/>
  <c r="X184" i="1"/>
  <c r="AG184" i="1"/>
  <c r="U184" i="1" s="1"/>
  <c r="S184" i="1" s="1"/>
  <c r="X193" i="1"/>
  <c r="AG193" i="1"/>
  <c r="U193" i="1" s="1"/>
  <c r="AG157" i="1"/>
  <c r="U157" i="1" s="1"/>
  <c r="S157" i="1" s="1"/>
  <c r="X158" i="1"/>
  <c r="X157" i="1"/>
  <c r="AG218" i="1"/>
  <c r="U218" i="1" s="1"/>
  <c r="AA202" i="1"/>
  <c r="W202" i="1" s="1"/>
  <c r="AA201" i="1"/>
  <c r="AG192" i="1"/>
  <c r="U192" i="1" s="1"/>
  <c r="S192" i="1" s="1"/>
  <c r="T175" i="1"/>
  <c r="X176" i="1"/>
  <c r="X173" i="1"/>
  <c r="AG173" i="1"/>
  <c r="U173" i="1" s="1"/>
  <c r="T173" i="1"/>
  <c r="AG161" i="1"/>
  <c r="U161" i="1" s="1"/>
  <c r="S161" i="1" s="1"/>
  <c r="X162" i="1"/>
  <c r="X161" i="1"/>
  <c r="W242" i="1"/>
  <c r="U241" i="1"/>
  <c r="S241" i="1" s="1"/>
  <c r="T200" i="1"/>
  <c r="U200" i="1" s="1"/>
  <c r="S200" i="1" s="1"/>
  <c r="W197" i="1"/>
  <c r="U196" i="1"/>
  <c r="S196" i="1" s="1"/>
  <c r="W189" i="1"/>
  <c r="W184" i="1"/>
  <c r="AG180" i="1"/>
  <c r="U180" i="1" s="1"/>
  <c r="S180" i="1" s="1"/>
  <c r="X181" i="1"/>
  <c r="X180" i="1"/>
  <c r="AG165" i="1"/>
  <c r="U165" i="1" s="1"/>
  <c r="S165" i="1" s="1"/>
  <c r="X165" i="1"/>
  <c r="AA186" i="1"/>
  <c r="W186" i="1" s="1"/>
  <c r="AA185" i="1"/>
  <c r="W185" i="1" s="1"/>
  <c r="AG177" i="1"/>
  <c r="U177" i="1" s="1"/>
  <c r="AA170" i="1"/>
  <c r="W170" i="1" s="1"/>
  <c r="AA169" i="1"/>
  <c r="W169" i="1" s="1"/>
  <c r="AG168" i="1"/>
  <c r="U168" i="1" s="1"/>
  <c r="S168" i="1" s="1"/>
  <c r="AA232" i="1"/>
  <c r="W232" i="1" s="1"/>
  <c r="AA228" i="1"/>
  <c r="W228" i="1" s="1"/>
  <c r="AA223" i="1"/>
  <c r="X221" i="1"/>
  <c r="AG212" i="1"/>
  <c r="U212" i="1" s="1"/>
  <c r="AA209" i="1"/>
  <c r="W209" i="1" s="1"/>
  <c r="X208" i="1"/>
  <c r="AG206" i="1"/>
  <c r="U206" i="1" s="1"/>
  <c r="S206" i="1" s="1"/>
  <c r="AG204" i="1"/>
  <c r="U204" i="1" s="1"/>
  <c r="X204" i="1"/>
  <c r="X203" i="1"/>
  <c r="AI151" i="1"/>
  <c r="AA148" i="1"/>
  <c r="W148" i="1" s="1"/>
  <c r="T148" i="1"/>
  <c r="AA145" i="1"/>
  <c r="W145" i="1" s="1"/>
  <c r="AG143" i="1"/>
  <c r="AG141" i="1"/>
  <c r="U141" i="1" s="1"/>
  <c r="AA138" i="1"/>
  <c r="W138" i="1" s="1"/>
  <c r="AA136" i="1"/>
  <c r="W136" i="1" s="1"/>
  <c r="T136" i="1"/>
  <c r="AA133" i="1"/>
  <c r="W133" i="1" s="1"/>
  <c r="X132" i="1"/>
  <c r="AA130" i="1"/>
  <c r="W130" i="1" s="1"/>
  <c r="T130" i="1"/>
  <c r="AG129" i="1"/>
  <c r="AA126" i="1"/>
  <c r="U125" i="1"/>
  <c r="AG114" i="1"/>
  <c r="X114" i="1"/>
  <c r="AA113" i="1"/>
  <c r="W113" i="1" s="1"/>
  <c r="T109" i="1"/>
  <c r="X110" i="1"/>
  <c r="AG109" i="1"/>
  <c r="T107" i="1"/>
  <c r="AG107" i="1"/>
  <c r="W107" i="1"/>
  <c r="AG98" i="1"/>
  <c r="T98" i="1"/>
  <c r="X98" i="1"/>
  <c r="X93" i="1"/>
  <c r="AG63" i="1"/>
  <c r="X63" i="1"/>
  <c r="W40" i="1"/>
  <c r="U37" i="1"/>
  <c r="S37" i="1" s="1"/>
  <c r="AI37" i="1"/>
  <c r="X22" i="1"/>
  <c r="AG22" i="1"/>
  <c r="AG20" i="1"/>
  <c r="T20" i="1"/>
  <c r="U181" i="1"/>
  <c r="AA174" i="1"/>
  <c r="W174" i="1" s="1"/>
  <c r="AA173" i="1"/>
  <c r="U172" i="1"/>
  <c r="S172" i="1" s="1"/>
  <c r="X168" i="1"/>
  <c r="U239" i="1"/>
  <c r="U162" i="1"/>
  <c r="U158" i="1"/>
  <c r="U237" i="1"/>
  <c r="AA234" i="1"/>
  <c r="AA233" i="1"/>
  <c r="W233" i="1" s="1"/>
  <c r="AA211" i="1"/>
  <c r="W208" i="1"/>
  <c r="X207" i="1"/>
  <c r="AA154" i="1"/>
  <c r="W154" i="1" s="1"/>
  <c r="AA152" i="1"/>
  <c r="W152" i="1" s="1"/>
  <c r="T152" i="1"/>
  <c r="AA149" i="1"/>
  <c r="W149" i="1" s="1"/>
  <c r="U147" i="1"/>
  <c r="S147" i="1" s="1"/>
  <c r="U145" i="1"/>
  <c r="X144" i="1"/>
  <c r="AA140" i="1"/>
  <c r="W137" i="1"/>
  <c r="U135" i="1"/>
  <c r="S135" i="1" s="1"/>
  <c r="U133" i="1"/>
  <c r="AI131" i="1"/>
  <c r="U117" i="1"/>
  <c r="S117" i="1" s="1"/>
  <c r="AI117" i="1"/>
  <c r="U97" i="1"/>
  <c r="S97" i="1" s="1"/>
  <c r="AI97" i="1"/>
  <c r="X68" i="1"/>
  <c r="AG68" i="1"/>
  <c r="T18" i="1"/>
  <c r="AG18" i="1"/>
  <c r="AI16" i="1"/>
  <c r="AA236" i="1"/>
  <c r="W236" i="1" s="1"/>
  <c r="AA221" i="1"/>
  <c r="T221" i="1"/>
  <c r="AA213" i="1"/>
  <c r="X212" i="1"/>
  <c r="U210" i="1"/>
  <c r="S210" i="1" s="1"/>
  <c r="U208" i="1"/>
  <c r="AA205" i="1"/>
  <c r="AA203" i="1"/>
  <c r="T203" i="1"/>
  <c r="W153" i="1"/>
  <c r="AA142" i="1"/>
  <c r="X141" i="1"/>
  <c r="U139" i="1"/>
  <c r="S139" i="1" s="1"/>
  <c r="U137" i="1"/>
  <c r="AA132" i="1"/>
  <c r="T132" i="1"/>
  <c r="X130" i="1"/>
  <c r="T123" i="1"/>
  <c r="AG123" i="1"/>
  <c r="AI123" i="1" s="1"/>
  <c r="AA123" i="1"/>
  <c r="U113" i="1"/>
  <c r="S113" i="1" s="1"/>
  <c r="AI113" i="1"/>
  <c r="W111" i="1"/>
  <c r="T93" i="1"/>
  <c r="X94" i="1"/>
  <c r="AG93" i="1"/>
  <c r="T91" i="1"/>
  <c r="AG91" i="1"/>
  <c r="W91" i="1"/>
  <c r="AG82" i="1"/>
  <c r="T82" i="1"/>
  <c r="X82" i="1"/>
  <c r="U76" i="1"/>
  <c r="U64" i="1"/>
  <c r="U60" i="1"/>
  <c r="AA51" i="1"/>
  <c r="U46" i="1"/>
  <c r="W45" i="1"/>
  <c r="U42" i="1"/>
  <c r="X41" i="1"/>
  <c r="T22" i="1"/>
  <c r="U233" i="1"/>
  <c r="U214" i="1"/>
  <c r="S214" i="1" s="1"/>
  <c r="W212" i="1"/>
  <c r="W204" i="1"/>
  <c r="U155" i="1"/>
  <c r="S155" i="1" s="1"/>
  <c r="U153" i="1"/>
  <c r="W141" i="1"/>
  <c r="W129" i="1"/>
  <c r="AG118" i="1"/>
  <c r="T118" i="1"/>
  <c r="W114" i="1"/>
  <c r="X113" i="1"/>
  <c r="W109" i="1"/>
  <c r="X71" i="1"/>
  <c r="T68" i="1"/>
  <c r="AA59" i="1"/>
  <c r="W59" i="1" s="1"/>
  <c r="X45" i="1"/>
  <c r="X46" i="1"/>
  <c r="AG45" i="1"/>
  <c r="AI45" i="1" s="1"/>
  <c r="AA33" i="1"/>
  <c r="W33" i="1" s="1"/>
  <c r="X30" i="1"/>
  <c r="X29" i="1"/>
  <c r="AG29" i="1"/>
  <c r="AI29" i="1" s="1"/>
  <c r="W20" i="1"/>
  <c r="T17" i="1"/>
  <c r="X17" i="1"/>
  <c r="AG17" i="1"/>
  <c r="AI17" i="1" s="1"/>
  <c r="W17" i="1"/>
  <c r="U127" i="1"/>
  <c r="AA127" i="1"/>
  <c r="W127" i="1" s="1"/>
  <c r="AA122" i="1"/>
  <c r="W122" i="1" s="1"/>
  <c r="T122" i="1"/>
  <c r="AA119" i="1"/>
  <c r="W119" i="1" s="1"/>
  <c r="AA116" i="1"/>
  <c r="AA106" i="1"/>
  <c r="T106" i="1"/>
  <c r="X105" i="1"/>
  <c r="AA103" i="1"/>
  <c r="W103" i="1" s="1"/>
  <c r="AA100" i="1"/>
  <c r="AA90" i="1"/>
  <c r="T90" i="1"/>
  <c r="X89" i="1"/>
  <c r="AA87" i="1"/>
  <c r="W87" i="1" s="1"/>
  <c r="AA84" i="1"/>
  <c r="AA79" i="1"/>
  <c r="W79" i="1" s="1"/>
  <c r="AA77" i="1"/>
  <c r="X75" i="1"/>
  <c r="AA72" i="1"/>
  <c r="T67" i="1"/>
  <c r="AA61" i="1"/>
  <c r="X59" i="1"/>
  <c r="AA56" i="1"/>
  <c r="W56" i="1" s="1"/>
  <c r="T55" i="1"/>
  <c r="AA53" i="1"/>
  <c r="X51" i="1"/>
  <c r="X49" i="1"/>
  <c r="X37" i="1"/>
  <c r="X33" i="1"/>
  <c r="AA25" i="1"/>
  <c r="W25" i="1" s="1"/>
  <c r="U121" i="1"/>
  <c r="S121" i="1" s="1"/>
  <c r="AA118" i="1"/>
  <c r="X117" i="1"/>
  <c r="W115" i="1"/>
  <c r="AA112" i="1"/>
  <c r="U105" i="1"/>
  <c r="S105" i="1" s="1"/>
  <c r="AA102" i="1"/>
  <c r="T102" i="1"/>
  <c r="X101" i="1"/>
  <c r="W99" i="1"/>
  <c r="AA96" i="1"/>
  <c r="U89" i="1"/>
  <c r="S89" i="1" s="1"/>
  <c r="AA86" i="1"/>
  <c r="T86" i="1"/>
  <c r="X85" i="1"/>
  <c r="W83" i="1"/>
  <c r="AA81" i="1"/>
  <c r="W81" i="1" s="1"/>
  <c r="U80" i="1"/>
  <c r="S80" i="1" s="1"/>
  <c r="T71" i="1"/>
  <c r="AA65" i="1"/>
  <c r="W60" i="1"/>
  <c r="W52" i="1"/>
  <c r="X50" i="1"/>
  <c r="AA43" i="1"/>
  <c r="AA42" i="1"/>
  <c r="W42" i="1" s="1"/>
  <c r="X38" i="1"/>
  <c r="AG34" i="1"/>
  <c r="AA27" i="1"/>
  <c r="AA26" i="1"/>
  <c r="AG25" i="1"/>
  <c r="AI25" i="1" s="1"/>
  <c r="T24" i="1"/>
  <c r="U24" i="1" s="1"/>
  <c r="S24" i="1" s="1"/>
  <c r="T16" i="1"/>
  <c r="U16" i="1" s="1"/>
  <c r="S16" i="1" s="1"/>
  <c r="AA108" i="1"/>
  <c r="U101" i="1"/>
  <c r="S101" i="1" s="1"/>
  <c r="AA98" i="1"/>
  <c r="W98" i="1" s="1"/>
  <c r="X97" i="1"/>
  <c r="W95" i="1"/>
  <c r="AA92" i="1"/>
  <c r="U85" i="1"/>
  <c r="S85" i="1" s="1"/>
  <c r="AA82" i="1"/>
  <c r="W82" i="1" s="1"/>
  <c r="U81" i="1"/>
  <c r="T75" i="1"/>
  <c r="AA69" i="1"/>
  <c r="T59" i="1"/>
  <c r="AA23" i="1"/>
  <c r="AA22" i="1"/>
  <c r="W22" i="1" s="1"/>
  <c r="W21" i="1"/>
  <c r="AA19" i="1"/>
  <c r="AA18" i="1"/>
  <c r="AI237" i="1"/>
  <c r="W194" i="1"/>
  <c r="AI221" i="1"/>
  <c r="W178" i="1"/>
  <c r="AI205" i="1"/>
  <c r="W164" i="1"/>
  <c r="W160" i="1"/>
  <c r="W156" i="1"/>
  <c r="AI182" i="1"/>
  <c r="U235" i="1"/>
  <c r="S235" i="1" s="1"/>
  <c r="AI181" i="1"/>
  <c r="AI225" i="1"/>
  <c r="AI209" i="1"/>
  <c r="AI194" i="1"/>
  <c r="U164" i="1"/>
  <c r="S164" i="1" s="1"/>
  <c r="AI190" i="1"/>
  <c r="U160" i="1"/>
  <c r="S160" i="1" s="1"/>
  <c r="W159" i="1"/>
  <c r="AI186" i="1"/>
  <c r="U156" i="1"/>
  <c r="S156" i="1" s="1"/>
  <c r="W238" i="1"/>
  <c r="W231" i="1"/>
  <c r="W230" i="1"/>
  <c r="W227" i="1"/>
  <c r="W226" i="1"/>
  <c r="W218" i="1"/>
  <c r="AI229" i="1"/>
  <c r="AI213" i="1"/>
  <c r="AI197" i="1"/>
  <c r="AI193" i="1"/>
  <c r="AI189" i="1"/>
  <c r="AI185" i="1"/>
  <c r="AI178" i="1"/>
  <c r="U231" i="1"/>
  <c r="S231" i="1" s="1"/>
  <c r="AI177" i="1"/>
  <c r="AI174" i="1"/>
  <c r="U227" i="1"/>
  <c r="S227" i="1" s="1"/>
  <c r="AI173" i="1"/>
  <c r="S218" i="1"/>
  <c r="AG219" i="1"/>
  <c r="AI219" i="1" s="1"/>
  <c r="T219" i="1"/>
  <c r="X219" i="1"/>
  <c r="U217" i="1"/>
  <c r="S217" i="1" s="1"/>
  <c r="AI233" i="1"/>
  <c r="AI217" i="1"/>
  <c r="AI201" i="1"/>
  <c r="W235" i="1"/>
  <c r="W234" i="1"/>
  <c r="U229" i="1"/>
  <c r="S229" i="1" s="1"/>
  <c r="AG220" i="1"/>
  <c r="AG216" i="1"/>
  <c r="W216" i="1" s="1"/>
  <c r="X215" i="1"/>
  <c r="T215" i="1"/>
  <c r="U215" i="1" s="1"/>
  <c r="S215" i="1" s="1"/>
  <c r="AI236" i="1"/>
  <c r="S242" i="1"/>
  <c r="AG240" i="1"/>
  <c r="W240" i="1" s="1"/>
  <c r="X202" i="1"/>
  <c r="T202" i="1"/>
  <c r="U202" i="1" s="1"/>
  <c r="S202" i="1" s="1"/>
  <c r="AI232" i="1"/>
  <c r="S201" i="1"/>
  <c r="AG199" i="1"/>
  <c r="X198" i="1"/>
  <c r="T198" i="1"/>
  <c r="U198" i="1" s="1"/>
  <c r="S198" i="1" s="1"/>
  <c r="AI228" i="1"/>
  <c r="S197" i="1"/>
  <c r="AG195" i="1"/>
  <c r="AI195" i="1" s="1"/>
  <c r="X194" i="1"/>
  <c r="T194" i="1"/>
  <c r="U194" i="1" s="1"/>
  <c r="S194" i="1" s="1"/>
  <c r="AI224" i="1"/>
  <c r="S193" i="1"/>
  <c r="AG191" i="1"/>
  <c r="AI191" i="1" s="1"/>
  <c r="X190" i="1"/>
  <c r="T190" i="1"/>
  <c r="U190" i="1" s="1"/>
  <c r="S190" i="1" s="1"/>
  <c r="AI220" i="1"/>
  <c r="S189" i="1"/>
  <c r="AG187" i="1"/>
  <c r="X186" i="1"/>
  <c r="T186" i="1"/>
  <c r="U186" i="1" s="1"/>
  <c r="S186" i="1" s="1"/>
  <c r="AI216" i="1"/>
  <c r="S185" i="1"/>
  <c r="AG183" i="1"/>
  <c r="X182" i="1"/>
  <c r="T182" i="1"/>
  <c r="U182" i="1" s="1"/>
  <c r="S182" i="1" s="1"/>
  <c r="AI212" i="1"/>
  <c r="S181" i="1"/>
  <c r="AG179" i="1"/>
  <c r="AI179" i="1" s="1"/>
  <c r="X178" i="1"/>
  <c r="T178" i="1"/>
  <c r="U178" i="1" s="1"/>
  <c r="S178" i="1" s="1"/>
  <c r="AI208" i="1"/>
  <c r="S177" i="1"/>
  <c r="AG175" i="1"/>
  <c r="AI175" i="1" s="1"/>
  <c r="X174" i="1"/>
  <c r="T174" i="1"/>
  <c r="U174" i="1" s="1"/>
  <c r="S174" i="1" s="1"/>
  <c r="AI204" i="1"/>
  <c r="S173" i="1"/>
  <c r="AG171" i="1"/>
  <c r="X170" i="1"/>
  <c r="T170" i="1"/>
  <c r="U170" i="1" s="1"/>
  <c r="S170" i="1" s="1"/>
  <c r="AI200" i="1"/>
  <c r="S169" i="1"/>
  <c r="AG167" i="1"/>
  <c r="X166" i="1"/>
  <c r="T166" i="1"/>
  <c r="U166" i="1" s="1"/>
  <c r="S166" i="1" s="1"/>
  <c r="AI196" i="1"/>
  <c r="S239" i="1"/>
  <c r="X163" i="1"/>
  <c r="T163" i="1"/>
  <c r="U163" i="1" s="1"/>
  <c r="S163" i="1" s="1"/>
  <c r="AI192" i="1"/>
  <c r="S162" i="1"/>
  <c r="X159" i="1"/>
  <c r="T159" i="1"/>
  <c r="U159" i="1" s="1"/>
  <c r="S159" i="1" s="1"/>
  <c r="AI188" i="1"/>
  <c r="S158" i="1"/>
  <c r="X238" i="1"/>
  <c r="T238" i="1"/>
  <c r="U238" i="1" s="1"/>
  <c r="S238" i="1" s="1"/>
  <c r="AI184" i="1"/>
  <c r="S237" i="1"/>
  <c r="X234" i="1"/>
  <c r="T234" i="1"/>
  <c r="U234" i="1" s="1"/>
  <c r="S234" i="1" s="1"/>
  <c r="AI180" i="1"/>
  <c r="S233" i="1"/>
  <c r="X230" i="1"/>
  <c r="T230" i="1"/>
  <c r="U230" i="1" s="1"/>
  <c r="S230" i="1" s="1"/>
  <c r="AI176" i="1"/>
  <c r="X226" i="1"/>
  <c r="T226" i="1"/>
  <c r="U226" i="1" s="1"/>
  <c r="S226" i="1" s="1"/>
  <c r="S224" i="1"/>
  <c r="S221" i="1"/>
  <c r="AI168" i="1"/>
  <c r="U221" i="1"/>
  <c r="W213" i="1"/>
  <c r="W205" i="1"/>
  <c r="W203" i="1"/>
  <c r="AI154" i="1"/>
  <c r="S152" i="1"/>
  <c r="AI152" i="1"/>
  <c r="U152" i="1"/>
  <c r="W142" i="1"/>
  <c r="X220" i="1"/>
  <c r="X216" i="1"/>
  <c r="X240" i="1"/>
  <c r="X199" i="1"/>
  <c r="X195" i="1"/>
  <c r="X191" i="1"/>
  <c r="X187" i="1"/>
  <c r="X183" i="1"/>
  <c r="X179" i="1"/>
  <c r="X175" i="1"/>
  <c r="X171" i="1"/>
  <c r="X167" i="1"/>
  <c r="X164" i="1"/>
  <c r="X160" i="1"/>
  <c r="X156" i="1"/>
  <c r="U236" i="1"/>
  <c r="S236" i="1" s="1"/>
  <c r="X235" i="1"/>
  <c r="U232" i="1"/>
  <c r="S232" i="1" s="1"/>
  <c r="X231" i="1"/>
  <c r="U228" i="1"/>
  <c r="S228" i="1" s="1"/>
  <c r="X227" i="1"/>
  <c r="X225" i="1"/>
  <c r="AG223" i="1"/>
  <c r="X224" i="1"/>
  <c r="T223" i="1"/>
  <c r="X223" i="1"/>
  <c r="W222" i="1"/>
  <c r="AI166" i="1"/>
  <c r="AI158" i="1"/>
  <c r="AI156" i="1"/>
  <c r="U203" i="1"/>
  <c r="S203" i="1" s="1"/>
  <c r="AI142" i="1"/>
  <c r="AI169" i="1"/>
  <c r="AI146" i="1"/>
  <c r="AI144" i="1"/>
  <c r="U144" i="1"/>
  <c r="S144" i="1" s="1"/>
  <c r="AI134" i="1"/>
  <c r="S127" i="1"/>
  <c r="X229" i="1"/>
  <c r="W225" i="1"/>
  <c r="T225" i="1"/>
  <c r="U225" i="1" s="1"/>
  <c r="S225" i="1" s="1"/>
  <c r="U222" i="1"/>
  <c r="S222" i="1" s="1"/>
  <c r="W221" i="1"/>
  <c r="AI162" i="1"/>
  <c r="AI150" i="1"/>
  <c r="AI148" i="1"/>
  <c r="U148" i="1"/>
  <c r="S148" i="1" s="1"/>
  <c r="AI138" i="1"/>
  <c r="AI136" i="1"/>
  <c r="U136" i="1"/>
  <c r="S136" i="1" s="1"/>
  <c r="X213" i="1"/>
  <c r="T213" i="1"/>
  <c r="U213" i="1" s="1"/>
  <c r="S213" i="1" s="1"/>
  <c r="AI165" i="1"/>
  <c r="S212" i="1"/>
  <c r="X209" i="1"/>
  <c r="T209" i="1"/>
  <c r="U209" i="1" s="1"/>
  <c r="S209" i="1" s="1"/>
  <c r="AI161" i="1"/>
  <c r="S208" i="1"/>
  <c r="X205" i="1"/>
  <c r="T205" i="1"/>
  <c r="U205" i="1" s="1"/>
  <c r="S205" i="1" s="1"/>
  <c r="AI157" i="1"/>
  <c r="S204" i="1"/>
  <c r="X154" i="1"/>
  <c r="T154" i="1"/>
  <c r="U154" i="1" s="1"/>
  <c r="S154" i="1" s="1"/>
  <c r="AI153" i="1"/>
  <c r="S153" i="1"/>
  <c r="X150" i="1"/>
  <c r="T150" i="1"/>
  <c r="U150" i="1" s="1"/>
  <c r="S150" i="1" s="1"/>
  <c r="AI149" i="1"/>
  <c r="S149" i="1"/>
  <c r="X146" i="1"/>
  <c r="T146" i="1"/>
  <c r="U146" i="1" s="1"/>
  <c r="S146" i="1" s="1"/>
  <c r="AI145" i="1"/>
  <c r="S145" i="1"/>
  <c r="X142" i="1"/>
  <c r="T142" i="1"/>
  <c r="U142" i="1" s="1"/>
  <c r="S142" i="1" s="1"/>
  <c r="AI141" i="1"/>
  <c r="S141" i="1"/>
  <c r="X138" i="1"/>
  <c r="T138" i="1"/>
  <c r="U138" i="1" s="1"/>
  <c r="S138" i="1" s="1"/>
  <c r="AI137" i="1"/>
  <c r="S137" i="1"/>
  <c r="X134" i="1"/>
  <c r="T134" i="1"/>
  <c r="U134" i="1" s="1"/>
  <c r="S134" i="1" s="1"/>
  <c r="AI133" i="1"/>
  <c r="S133" i="1"/>
  <c r="S131" i="1"/>
  <c r="AI126" i="1"/>
  <c r="U122" i="1"/>
  <c r="S122" i="1" s="1"/>
  <c r="AI122" i="1"/>
  <c r="U114" i="1"/>
  <c r="S114" i="1" s="1"/>
  <c r="AI114" i="1"/>
  <c r="W110" i="1"/>
  <c r="U98" i="1"/>
  <c r="S98" i="1" s="1"/>
  <c r="AI98" i="1"/>
  <c r="W94" i="1"/>
  <c r="U82" i="1"/>
  <c r="S82" i="1" s="1"/>
  <c r="AI82" i="1"/>
  <c r="X214" i="1"/>
  <c r="AG211" i="1"/>
  <c r="X210" i="1"/>
  <c r="AG207" i="1"/>
  <c r="AI207" i="1" s="1"/>
  <c r="X206" i="1"/>
  <c r="X155" i="1"/>
  <c r="X151" i="1"/>
  <c r="X147" i="1"/>
  <c r="X143" i="1"/>
  <c r="AG140" i="1"/>
  <c r="X139" i="1"/>
  <c r="X135" i="1"/>
  <c r="AG132" i="1"/>
  <c r="U130" i="1"/>
  <c r="S130" i="1" s="1"/>
  <c r="AI130" i="1"/>
  <c r="X126" i="1"/>
  <c r="S125" i="1"/>
  <c r="W123" i="1"/>
  <c r="X121" i="1"/>
  <c r="T120" i="1"/>
  <c r="X120" i="1"/>
  <c r="AG120" i="1"/>
  <c r="W120" i="1" s="1"/>
  <c r="U110" i="1"/>
  <c r="S110" i="1" s="1"/>
  <c r="AI110" i="1"/>
  <c r="W106" i="1"/>
  <c r="U94" i="1"/>
  <c r="S94" i="1" s="1"/>
  <c r="AI94" i="1"/>
  <c r="W90" i="1"/>
  <c r="X125" i="1"/>
  <c r="AG124" i="1"/>
  <c r="W124" i="1" s="1"/>
  <c r="W118" i="1"/>
  <c r="U106" i="1"/>
  <c r="S106" i="1" s="1"/>
  <c r="AI106" i="1"/>
  <c r="W102" i="1"/>
  <c r="U90" i="1"/>
  <c r="S90" i="1" s="1"/>
  <c r="AI90" i="1"/>
  <c r="W86" i="1"/>
  <c r="X222" i="1"/>
  <c r="X129" i="1"/>
  <c r="AG128" i="1"/>
  <c r="W128" i="1" s="1"/>
  <c r="W126" i="1"/>
  <c r="T126" i="1"/>
  <c r="U126" i="1" s="1"/>
  <c r="S126" i="1" s="1"/>
  <c r="X124" i="1"/>
  <c r="U123" i="1"/>
  <c r="S123" i="1" s="1"/>
  <c r="U118" i="1"/>
  <c r="S118" i="1" s="1"/>
  <c r="AI118" i="1"/>
  <c r="U102" i="1"/>
  <c r="S102" i="1" s="1"/>
  <c r="AI102" i="1"/>
  <c r="U86" i="1"/>
  <c r="S86" i="1" s="1"/>
  <c r="AI86" i="1"/>
  <c r="U119" i="1"/>
  <c r="S119" i="1" s="1"/>
  <c r="U115" i="1"/>
  <c r="S115" i="1" s="1"/>
  <c r="U111" i="1"/>
  <c r="S111" i="1" s="1"/>
  <c r="U107" i="1"/>
  <c r="S107" i="1" s="1"/>
  <c r="U103" i="1"/>
  <c r="S103" i="1" s="1"/>
  <c r="U99" i="1"/>
  <c r="S99" i="1" s="1"/>
  <c r="U95" i="1"/>
  <c r="S95" i="1" s="1"/>
  <c r="U91" i="1"/>
  <c r="S91" i="1" s="1"/>
  <c r="U87" i="1"/>
  <c r="S87" i="1" s="1"/>
  <c r="U83" i="1"/>
  <c r="S83" i="1" s="1"/>
  <c r="AI72" i="1"/>
  <c r="AI71" i="1"/>
  <c r="U71" i="1"/>
  <c r="S71" i="1" s="1"/>
  <c r="S64" i="1"/>
  <c r="AI64" i="1"/>
  <c r="AI63" i="1"/>
  <c r="U63" i="1"/>
  <c r="S63" i="1" s="1"/>
  <c r="AI56" i="1"/>
  <c r="AI55" i="1"/>
  <c r="U55" i="1"/>
  <c r="S55" i="1" s="1"/>
  <c r="AG53" i="1"/>
  <c r="T53" i="1"/>
  <c r="X53" i="1"/>
  <c r="W48" i="1"/>
  <c r="AI26" i="1"/>
  <c r="U26" i="1"/>
  <c r="S26" i="1" s="1"/>
  <c r="U14" i="1"/>
  <c r="S14" i="1" s="1"/>
  <c r="X131" i="1"/>
  <c r="X127" i="1"/>
  <c r="X123" i="1"/>
  <c r="X119" i="1"/>
  <c r="AG116" i="1"/>
  <c r="X115" i="1"/>
  <c r="AG112" i="1"/>
  <c r="W112" i="1" s="1"/>
  <c r="X111" i="1"/>
  <c r="AG108" i="1"/>
  <c r="W108" i="1" s="1"/>
  <c r="X107" i="1"/>
  <c r="AG104" i="1"/>
  <c r="X103" i="1"/>
  <c r="AG100" i="1"/>
  <c r="X99" i="1"/>
  <c r="AG96" i="1"/>
  <c r="W96" i="1" s="1"/>
  <c r="X95" i="1"/>
  <c r="AG92" i="1"/>
  <c r="X91" i="1"/>
  <c r="AG88" i="1"/>
  <c r="W88" i="1" s="1"/>
  <c r="X87" i="1"/>
  <c r="AG84" i="1"/>
  <c r="X83" i="1"/>
  <c r="AG77" i="1"/>
  <c r="W77" i="1" s="1"/>
  <c r="T77" i="1"/>
  <c r="X77" i="1"/>
  <c r="W76" i="1"/>
  <c r="W75" i="1"/>
  <c r="AG69" i="1"/>
  <c r="T69" i="1"/>
  <c r="X69" i="1"/>
  <c r="W68" i="1"/>
  <c r="W67" i="1"/>
  <c r="AG61" i="1"/>
  <c r="T61" i="1"/>
  <c r="X61" i="1"/>
  <c r="S52" i="1"/>
  <c r="AI52" i="1"/>
  <c r="AI50" i="1"/>
  <c r="U50" i="1"/>
  <c r="S50" i="1" s="1"/>
  <c r="T39" i="1"/>
  <c r="X39" i="1"/>
  <c r="AG39" i="1"/>
  <c r="W39" i="1" s="1"/>
  <c r="U32" i="1"/>
  <c r="S32" i="1" s="1"/>
  <c r="W32" i="1"/>
  <c r="AI18" i="1"/>
  <c r="U18" i="1"/>
  <c r="S18" i="1" s="1"/>
  <c r="AI119" i="1"/>
  <c r="X116" i="1"/>
  <c r="T116" i="1"/>
  <c r="AI115" i="1"/>
  <c r="X112" i="1"/>
  <c r="T112" i="1"/>
  <c r="AI111" i="1"/>
  <c r="X108" i="1"/>
  <c r="T108" i="1"/>
  <c r="AI107" i="1"/>
  <c r="X104" i="1"/>
  <c r="T104" i="1"/>
  <c r="AI103" i="1"/>
  <c r="X100" i="1"/>
  <c r="T100" i="1"/>
  <c r="AI99" i="1"/>
  <c r="X96" i="1"/>
  <c r="T96" i="1"/>
  <c r="AI95" i="1"/>
  <c r="X92" i="1"/>
  <c r="T92" i="1"/>
  <c r="AI91" i="1"/>
  <c r="X88" i="1"/>
  <c r="T88" i="1"/>
  <c r="AI87" i="1"/>
  <c r="X84" i="1"/>
  <c r="T84" i="1"/>
  <c r="AI83" i="1"/>
  <c r="S81" i="1"/>
  <c r="S76" i="1"/>
  <c r="AI76" i="1"/>
  <c r="AI75" i="1"/>
  <c r="U75" i="1"/>
  <c r="S75" i="1" s="1"/>
  <c r="AI68" i="1"/>
  <c r="S67" i="1"/>
  <c r="AI67" i="1"/>
  <c r="U67" i="1"/>
  <c r="S60" i="1"/>
  <c r="AI60" i="1"/>
  <c r="AI59" i="1"/>
  <c r="U59" i="1"/>
  <c r="S59" i="1" s="1"/>
  <c r="U56" i="1"/>
  <c r="S56" i="1" s="1"/>
  <c r="U38" i="1"/>
  <c r="S38" i="1" s="1"/>
  <c r="AI34" i="1"/>
  <c r="U34" i="1"/>
  <c r="S34" i="1" s="1"/>
  <c r="U28" i="1"/>
  <c r="S28" i="1" s="1"/>
  <c r="W28" i="1"/>
  <c r="X80" i="1"/>
  <c r="T79" i="1"/>
  <c r="U79" i="1" s="1"/>
  <c r="S79" i="1" s="1"/>
  <c r="T78" i="1"/>
  <c r="X78" i="1"/>
  <c r="AG78" i="1"/>
  <c r="W78" i="1" s="1"/>
  <c r="AG73" i="1"/>
  <c r="W73" i="1" s="1"/>
  <c r="T73" i="1"/>
  <c r="X73" i="1"/>
  <c r="W72" i="1"/>
  <c r="W71" i="1"/>
  <c r="AG65" i="1"/>
  <c r="T65" i="1"/>
  <c r="X65" i="1"/>
  <c r="W64" i="1"/>
  <c r="W63" i="1"/>
  <c r="AG57" i="1"/>
  <c r="W57" i="1" s="1"/>
  <c r="T57" i="1"/>
  <c r="X57" i="1"/>
  <c r="W53" i="1"/>
  <c r="AI30" i="1"/>
  <c r="U30" i="1"/>
  <c r="S30" i="1" s="1"/>
  <c r="T15" i="1"/>
  <c r="X15" i="1"/>
  <c r="AG15" i="1"/>
  <c r="W15" i="1" s="1"/>
  <c r="X16" i="1"/>
  <c r="AG74" i="1"/>
  <c r="W74" i="1" s="1"/>
  <c r="AG70" i="1"/>
  <c r="W70" i="1" s="1"/>
  <c r="AG66" i="1"/>
  <c r="AG62" i="1"/>
  <c r="AG58" i="1"/>
  <c r="AG54" i="1"/>
  <c r="W50" i="1"/>
  <c r="T47" i="1"/>
  <c r="X47" i="1"/>
  <c r="AG47" i="1"/>
  <c r="W47" i="1" s="1"/>
  <c r="U45" i="1"/>
  <c r="S45" i="1" s="1"/>
  <c r="S42" i="1"/>
  <c r="AI42" i="1"/>
  <c r="W34" i="1"/>
  <c r="W30" i="1"/>
  <c r="W26" i="1"/>
  <c r="AI22" i="1"/>
  <c r="W18" i="1"/>
  <c r="X74" i="1"/>
  <c r="X70" i="1"/>
  <c r="X66" i="1"/>
  <c r="X62" i="1"/>
  <c r="X58" i="1"/>
  <c r="X54" i="1"/>
  <c r="AG51" i="1"/>
  <c r="U49" i="1"/>
  <c r="S49" i="1" s="1"/>
  <c r="S46" i="1"/>
  <c r="AI46" i="1"/>
  <c r="AA38" i="1"/>
  <c r="W38" i="1" s="1"/>
  <c r="T35" i="1"/>
  <c r="X35" i="1"/>
  <c r="AG35" i="1"/>
  <c r="U33" i="1"/>
  <c r="S33" i="1" s="1"/>
  <c r="T31" i="1"/>
  <c r="X31" i="1"/>
  <c r="AG31" i="1"/>
  <c r="X32" i="1"/>
  <c r="U29" i="1"/>
  <c r="S29" i="1" s="1"/>
  <c r="T27" i="1"/>
  <c r="X27" i="1"/>
  <c r="AG27" i="1"/>
  <c r="X28" i="1"/>
  <c r="T19" i="1"/>
  <c r="X19" i="1"/>
  <c r="AG19" i="1"/>
  <c r="X20" i="1"/>
  <c r="AA14" i="1"/>
  <c r="W14" i="1" s="1"/>
  <c r="T43" i="1"/>
  <c r="X43" i="1"/>
  <c r="AG43" i="1"/>
  <c r="U41" i="1"/>
  <c r="S41" i="1" s="1"/>
  <c r="AI38" i="1"/>
  <c r="T23" i="1"/>
  <c r="X23" i="1"/>
  <c r="AG23" i="1"/>
  <c r="X24" i="1"/>
  <c r="AI14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U25" i="1"/>
  <c r="S25" i="1" s="1"/>
  <c r="U21" i="1"/>
  <c r="S21" i="1" s="1"/>
  <c r="U17" i="1"/>
  <c r="S17" i="1" s="1"/>
  <c r="X18" i="1"/>
  <c r="AE37" i="3"/>
  <c r="Y8" i="3"/>
  <c r="AD37" i="3"/>
  <c r="AD30" i="3"/>
  <c r="AE30" i="3"/>
  <c r="Y41" i="3"/>
  <c r="AE26" i="3"/>
  <c r="AD25" i="3"/>
  <c r="T19" i="3"/>
  <c r="Y34" i="3"/>
  <c r="AD17" i="3"/>
  <c r="AD14" i="3"/>
  <c r="AE14" i="3"/>
  <c r="Y12" i="3"/>
  <c r="AD11" i="3"/>
  <c r="Y10" i="3"/>
  <c r="AE9" i="3"/>
  <c r="T40" i="3"/>
  <c r="T29" i="3"/>
  <c r="AD29" i="3"/>
  <c r="AC13" i="3"/>
  <c r="AD19" i="3"/>
  <c r="AE8" i="3"/>
  <c r="Y29" i="3"/>
  <c r="Y35" i="3"/>
  <c r="AE25" i="3"/>
  <c r="AD23" i="3"/>
  <c r="AD15" i="3"/>
  <c r="T20" i="3"/>
  <c r="T7" i="3"/>
  <c r="Y14" i="3"/>
  <c r="T42" i="3"/>
  <c r="T21" i="3"/>
  <c r="AD41" i="3"/>
  <c r="Y40" i="3"/>
  <c r="T8" i="3"/>
  <c r="AE38" i="3"/>
  <c r="Y20" i="3"/>
  <c r="AE33" i="3"/>
  <c r="AC36" i="3"/>
  <c r="Y7" i="3"/>
  <c r="T24" i="3"/>
  <c r="AE22" i="3"/>
  <c r="Y42" i="3"/>
  <c r="AE17" i="3"/>
  <c r="AC9" i="3"/>
  <c r="Y21" i="3"/>
  <c r="T22" i="3"/>
  <c r="AE34" i="3"/>
  <c r="Y17" i="3"/>
  <c r="AE29" i="3"/>
  <c r="AC28" i="3"/>
  <c r="AE18" i="3"/>
  <c r="Y33" i="3"/>
  <c r="AE13" i="3"/>
  <c r="AE32" i="3"/>
  <c r="T38" i="3"/>
  <c r="AE24" i="3"/>
  <c r="T23" i="3"/>
  <c r="T15" i="3"/>
  <c r="AD40" i="3"/>
  <c r="AE39" i="3"/>
  <c r="T39" i="3"/>
  <c r="AD36" i="3"/>
  <c r="AE35" i="3"/>
  <c r="T30" i="3"/>
  <c r="AD32" i="3"/>
  <c r="AE31" i="3"/>
  <c r="T36" i="3"/>
  <c r="AD28" i="3"/>
  <c r="AE27" i="3"/>
  <c r="T28" i="3"/>
  <c r="AD24" i="3"/>
  <c r="AE23" i="3"/>
  <c r="T13" i="3"/>
  <c r="AD20" i="3"/>
  <c r="AE19" i="3"/>
  <c r="T34" i="3"/>
  <c r="AD16" i="3"/>
  <c r="AE15" i="3"/>
  <c r="T9" i="3"/>
  <c r="AD12" i="3"/>
  <c r="AE11" i="3"/>
  <c r="T18" i="3"/>
  <c r="AD8" i="3"/>
  <c r="AE40" i="3"/>
  <c r="T37" i="3"/>
  <c r="AC32" i="3"/>
  <c r="AC41" i="3"/>
  <c r="AC16" i="3"/>
  <c r="AC11" i="3"/>
  <c r="AC12" i="3"/>
  <c r="AC27" i="3"/>
  <c r="AE36" i="3"/>
  <c r="AE28" i="3"/>
  <c r="AE20" i="3"/>
  <c r="AE16" i="3"/>
  <c r="AE12" i="3"/>
  <c r="R43" i="3"/>
  <c r="M43" i="3"/>
  <c r="S43" i="3"/>
  <c r="U43" i="3"/>
  <c r="AD43" i="3" s="1"/>
  <c r="V43" i="3"/>
  <c r="W43" i="3"/>
  <c r="X43" i="3"/>
  <c r="W173" i="1" l="1"/>
  <c r="W188" i="1"/>
  <c r="W131" i="1"/>
  <c r="W139" i="1"/>
  <c r="W85" i="1"/>
  <c r="W201" i="1"/>
  <c r="W172" i="1"/>
  <c r="W191" i="1"/>
  <c r="U68" i="1"/>
  <c r="S68" i="1" s="1"/>
  <c r="U93" i="1"/>
  <c r="S93" i="1" s="1"/>
  <c r="AI93" i="1"/>
  <c r="U109" i="1"/>
  <c r="S109" i="1" s="1"/>
  <c r="AI109" i="1"/>
  <c r="AI129" i="1"/>
  <c r="S129" i="1"/>
  <c r="U129" i="1"/>
  <c r="W180" i="1"/>
  <c r="W157" i="1"/>
  <c r="W211" i="1"/>
  <c r="AI211" i="1"/>
  <c r="W223" i="1"/>
  <c r="AI223" i="1"/>
  <c r="W167" i="1"/>
  <c r="AI167" i="1"/>
  <c r="W183" i="1"/>
  <c r="AI183" i="1"/>
  <c r="W199" i="1"/>
  <c r="AI199" i="1"/>
  <c r="W175" i="1"/>
  <c r="W29" i="1"/>
  <c r="W93" i="1"/>
  <c r="U20" i="1"/>
  <c r="S20" i="1" s="1"/>
  <c r="AI20" i="1"/>
  <c r="U143" i="1"/>
  <c r="S143" i="1" s="1"/>
  <c r="AI143" i="1"/>
  <c r="W168" i="1"/>
  <c r="W206" i="1"/>
  <c r="W161" i="1"/>
  <c r="W192" i="1"/>
  <c r="W171" i="1"/>
  <c r="AI171" i="1"/>
  <c r="W187" i="1"/>
  <c r="AI187" i="1"/>
  <c r="AI240" i="1"/>
  <c r="U22" i="1"/>
  <c r="S22" i="1" s="1"/>
  <c r="W177" i="1"/>
  <c r="W143" i="1"/>
  <c r="W165" i="1"/>
  <c r="W193" i="1"/>
  <c r="U35" i="1"/>
  <c r="S35" i="1" s="1"/>
  <c r="AI35" i="1"/>
  <c r="U19" i="1"/>
  <c r="S19" i="1" s="1"/>
  <c r="AI19" i="1"/>
  <c r="AI51" i="1"/>
  <c r="U51" i="1"/>
  <c r="S51" i="1" s="1"/>
  <c r="W19" i="1"/>
  <c r="W51" i="1"/>
  <c r="U23" i="1"/>
  <c r="S23" i="1" s="1"/>
  <c r="AI23" i="1"/>
  <c r="U43" i="1"/>
  <c r="S43" i="1" s="1"/>
  <c r="AI43" i="1"/>
  <c r="U27" i="1"/>
  <c r="S27" i="1"/>
  <c r="AI27" i="1"/>
  <c r="W27" i="1"/>
  <c r="W35" i="1"/>
  <c r="U62" i="1"/>
  <c r="S62" i="1" s="1"/>
  <c r="AI62" i="1"/>
  <c r="W23" i="1"/>
  <c r="U65" i="1"/>
  <c r="S65" i="1" s="1"/>
  <c r="AI65" i="1"/>
  <c r="U61" i="1"/>
  <c r="S61" i="1" s="1"/>
  <c r="AI61" i="1"/>
  <c r="AI84" i="1"/>
  <c r="U84" i="1"/>
  <c r="S84" i="1" s="1"/>
  <c r="AI92" i="1"/>
  <c r="U92" i="1"/>
  <c r="S92" i="1" s="1"/>
  <c r="AI100" i="1"/>
  <c r="U100" i="1"/>
  <c r="S100" i="1" s="1"/>
  <c r="AI108" i="1"/>
  <c r="U108" i="1"/>
  <c r="S108" i="1" s="1"/>
  <c r="AI116" i="1"/>
  <c r="U116" i="1"/>
  <c r="S116" i="1" s="1"/>
  <c r="W61" i="1"/>
  <c r="W92" i="1"/>
  <c r="W62" i="1"/>
  <c r="W100" i="1"/>
  <c r="AI206" i="1"/>
  <c r="U175" i="1"/>
  <c r="S175" i="1" s="1"/>
  <c r="AI222" i="1"/>
  <c r="U191" i="1"/>
  <c r="S191" i="1" s="1"/>
  <c r="S216" i="1"/>
  <c r="U216" i="1"/>
  <c r="AI238" i="1"/>
  <c r="U66" i="1"/>
  <c r="S66" i="1" s="1"/>
  <c r="AI66" i="1"/>
  <c r="U15" i="1"/>
  <c r="S15" i="1" s="1"/>
  <c r="AI15" i="1"/>
  <c r="U73" i="1"/>
  <c r="S73" i="1"/>
  <c r="AI73" i="1"/>
  <c r="AI140" i="1"/>
  <c r="U140" i="1"/>
  <c r="S140" i="1" s="1"/>
  <c r="AI164" i="1"/>
  <c r="U211" i="1"/>
  <c r="S211" i="1" s="1"/>
  <c r="AI210" i="1"/>
  <c r="U179" i="1"/>
  <c r="S179" i="1" s="1"/>
  <c r="AI226" i="1"/>
  <c r="U195" i="1"/>
  <c r="S195" i="1" s="1"/>
  <c r="U220" i="1"/>
  <c r="S220" i="1" s="1"/>
  <c r="AI242" i="1"/>
  <c r="U31" i="1"/>
  <c r="S31" i="1" s="1"/>
  <c r="AI31" i="1"/>
  <c r="U69" i="1"/>
  <c r="S69" i="1" s="1"/>
  <c r="AI69" i="1"/>
  <c r="W66" i="1"/>
  <c r="AI124" i="1"/>
  <c r="U124" i="1"/>
  <c r="S124" i="1" s="1"/>
  <c r="W31" i="1"/>
  <c r="U47" i="1"/>
  <c r="S47" i="1" s="1"/>
  <c r="AI47" i="1"/>
  <c r="U54" i="1"/>
  <c r="S54" i="1" s="1"/>
  <c r="AI54" i="1"/>
  <c r="W54" i="1"/>
  <c r="U70" i="1"/>
  <c r="S70" i="1" s="1"/>
  <c r="AI70" i="1"/>
  <c r="U78" i="1"/>
  <c r="S78" i="1" s="1"/>
  <c r="AI78" i="1"/>
  <c r="W43" i="1"/>
  <c r="W65" i="1"/>
  <c r="U39" i="1"/>
  <c r="S39" i="1" s="1"/>
  <c r="AI39" i="1"/>
  <c r="U77" i="1"/>
  <c r="S77" i="1" s="1"/>
  <c r="AI77" i="1"/>
  <c r="AI88" i="1"/>
  <c r="U88" i="1"/>
  <c r="S88" i="1" s="1"/>
  <c r="AI96" i="1"/>
  <c r="U96" i="1"/>
  <c r="S96" i="1" s="1"/>
  <c r="AI104" i="1"/>
  <c r="U104" i="1"/>
  <c r="S104" i="1" s="1"/>
  <c r="AI112" i="1"/>
  <c r="U112" i="1"/>
  <c r="S112" i="1" s="1"/>
  <c r="U53" i="1"/>
  <c r="S53" i="1" s="1"/>
  <c r="AI53" i="1"/>
  <c r="W69" i="1"/>
  <c r="AI128" i="1"/>
  <c r="U128" i="1"/>
  <c r="S128" i="1" s="1"/>
  <c r="W84" i="1"/>
  <c r="W116" i="1"/>
  <c r="AI132" i="1"/>
  <c r="U132" i="1"/>
  <c r="S132" i="1" s="1"/>
  <c r="W104" i="1"/>
  <c r="W140" i="1"/>
  <c r="W132" i="1"/>
  <c r="AI198" i="1"/>
  <c r="U167" i="1"/>
  <c r="S167" i="1" s="1"/>
  <c r="AI214" i="1"/>
  <c r="U183" i="1"/>
  <c r="S183" i="1" s="1"/>
  <c r="AI230" i="1"/>
  <c r="U199" i="1"/>
  <c r="S199" i="1" s="1"/>
  <c r="AI241" i="1"/>
  <c r="U219" i="1"/>
  <c r="S219" i="1" s="1"/>
  <c r="W179" i="1"/>
  <c r="U58" i="1"/>
  <c r="S58" i="1" s="1"/>
  <c r="AI58" i="1"/>
  <c r="U74" i="1"/>
  <c r="S74" i="1" s="1"/>
  <c r="AI74" i="1"/>
  <c r="U57" i="1"/>
  <c r="S57" i="1" s="1"/>
  <c r="AI57" i="1"/>
  <c r="AI120" i="1"/>
  <c r="U120" i="1"/>
  <c r="S120" i="1" s="1"/>
  <c r="AI160" i="1"/>
  <c r="U207" i="1"/>
  <c r="S207" i="1" s="1"/>
  <c r="W58" i="1"/>
  <c r="W207" i="1"/>
  <c r="U223" i="1"/>
  <c r="S223" i="1" s="1"/>
  <c r="AI170" i="1"/>
  <c r="AI202" i="1"/>
  <c r="U171" i="1"/>
  <c r="S171" i="1" s="1"/>
  <c r="AI218" i="1"/>
  <c r="U187" i="1"/>
  <c r="S187" i="1" s="1"/>
  <c r="AI234" i="1"/>
  <c r="U240" i="1"/>
  <c r="S240" i="1" s="1"/>
  <c r="W219" i="1"/>
  <c r="W195" i="1"/>
  <c r="W220" i="1"/>
  <c r="AE43" i="3"/>
  <c r="Y43" i="3"/>
  <c r="T43" i="3"/>
  <c r="AC43" i="3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27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22" i="3" s="1"/>
  <c r="G38" i="4"/>
  <c r="G39" i="4"/>
  <c r="G40" i="4"/>
  <c r="N10" i="3" s="1"/>
  <c r="G41" i="4"/>
  <c r="G42" i="4"/>
  <c r="G43" i="4"/>
  <c r="G44" i="4"/>
  <c r="G45" i="4"/>
  <c r="N18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2" i="3" s="1"/>
  <c r="G63" i="4"/>
  <c r="G64" i="4"/>
  <c r="G65" i="4"/>
  <c r="N21" i="3" s="1"/>
  <c r="G66" i="4"/>
  <c r="G67" i="4"/>
  <c r="G68" i="4"/>
  <c r="N33" i="3" s="1"/>
  <c r="G69" i="4"/>
  <c r="G70" i="4"/>
  <c r="G71" i="4"/>
  <c r="G72" i="4"/>
  <c r="G73" i="4"/>
  <c r="G74" i="4"/>
  <c r="G75" i="4"/>
  <c r="G76" i="4"/>
  <c r="G77" i="4"/>
  <c r="N9" i="3" s="1"/>
  <c r="G78" i="4"/>
  <c r="G79" i="4"/>
  <c r="G80" i="4"/>
  <c r="G81" i="4"/>
  <c r="G82" i="4"/>
  <c r="N31" i="3" s="1"/>
  <c r="G83" i="4"/>
  <c r="G84" i="4"/>
  <c r="G85" i="4"/>
  <c r="N11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42" i="3" s="1"/>
  <c r="G102" i="4"/>
  <c r="G103" i="4"/>
  <c r="G104" i="4"/>
  <c r="G105" i="4"/>
  <c r="G106" i="4"/>
  <c r="G107" i="4"/>
  <c r="G108" i="4"/>
  <c r="G109" i="4"/>
  <c r="G110" i="4"/>
  <c r="N34" i="3" s="1"/>
  <c r="G111" i="4"/>
  <c r="G112" i="4"/>
  <c r="G113" i="4"/>
  <c r="G114" i="4"/>
  <c r="G115" i="4"/>
  <c r="G116" i="4"/>
  <c r="G117" i="4"/>
  <c r="G118" i="4"/>
  <c r="G119" i="4"/>
  <c r="G120" i="4"/>
  <c r="G121" i="4"/>
  <c r="N16" i="3" s="1"/>
  <c r="G122" i="4"/>
  <c r="G123" i="4"/>
  <c r="N19" i="3" s="1"/>
  <c r="G124" i="4"/>
  <c r="G125" i="4"/>
  <c r="G126" i="4"/>
  <c r="G127" i="4"/>
  <c r="G128" i="4"/>
  <c r="G129" i="4"/>
  <c r="G130" i="4"/>
  <c r="G131" i="4"/>
  <c r="N35" i="3" s="1"/>
  <c r="G132" i="4"/>
  <c r="G133" i="4"/>
  <c r="G134" i="4"/>
  <c r="G135" i="4"/>
  <c r="G136" i="4"/>
  <c r="G137" i="4"/>
  <c r="G138" i="4"/>
  <c r="G139" i="4"/>
  <c r="G140" i="4"/>
  <c r="N28" i="3" s="1"/>
  <c r="G141" i="4"/>
  <c r="G142" i="4"/>
  <c r="G143" i="4"/>
  <c r="G144" i="4"/>
  <c r="G145" i="4"/>
  <c r="G146" i="4"/>
  <c r="G147" i="4"/>
  <c r="G148" i="4"/>
  <c r="G149" i="4"/>
  <c r="N41" i="3" s="1"/>
  <c r="G150" i="4"/>
  <c r="N17" i="3" s="1"/>
  <c r="G151" i="4"/>
  <c r="N7" i="3" s="1"/>
  <c r="G152" i="4"/>
  <c r="G153" i="4"/>
  <c r="G154" i="4"/>
  <c r="G155" i="4"/>
  <c r="N36" i="3" s="1"/>
  <c r="G156" i="4"/>
  <c r="G157" i="4"/>
  <c r="G158" i="4"/>
  <c r="G159" i="4"/>
  <c r="G160" i="4"/>
  <c r="G161" i="4"/>
  <c r="G162" i="4"/>
  <c r="N29" i="3" s="1"/>
  <c r="G163" i="4"/>
  <c r="G164" i="4"/>
  <c r="N20" i="3" s="1"/>
  <c r="G165" i="4"/>
  <c r="G166" i="4"/>
  <c r="N30" i="3" s="1"/>
  <c r="G167" i="4"/>
  <c r="N38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32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25" i="3" s="1"/>
  <c r="G196" i="4"/>
  <c r="G197" i="4"/>
  <c r="G198" i="4"/>
  <c r="G199" i="4"/>
  <c r="G200" i="4"/>
  <c r="G201" i="4"/>
  <c r="G202" i="4"/>
  <c r="G203" i="4"/>
  <c r="N40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N39" i="3" s="1"/>
  <c r="G219" i="4"/>
  <c r="G220" i="4"/>
  <c r="G221" i="4"/>
  <c r="N37" i="3" s="1"/>
  <c r="G222" i="4"/>
  <c r="G223" i="4"/>
  <c r="G224" i="4"/>
  <c r="N8" i="3" s="1"/>
  <c r="G225" i="4"/>
  <c r="G226" i="4"/>
  <c r="G227" i="4"/>
  <c r="G228" i="4"/>
  <c r="G229" i="4"/>
  <c r="N26" i="3" s="1"/>
  <c r="G230" i="4"/>
  <c r="G231" i="4"/>
  <c r="G232" i="4"/>
  <c r="G233" i="4"/>
  <c r="G234" i="4"/>
  <c r="G235" i="4"/>
  <c r="G236" i="4"/>
  <c r="G237" i="4"/>
  <c r="G238" i="4"/>
  <c r="N15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3" i="3" l="1"/>
  <c r="N23" i="3"/>
  <c r="N24" i="3"/>
  <c r="N14" i="3"/>
  <c r="N4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H3" i="6"/>
  <c r="J3" i="6"/>
  <c r="G3" i="6"/>
  <c r="I4" i="6" l="1"/>
  <c r="F4" i="6"/>
  <c r="H4" i="6"/>
  <c r="J4" i="6"/>
  <c r="G4" i="6"/>
  <c r="B5" i="6"/>
  <c r="I5" i="6" l="1"/>
  <c r="F5" i="6"/>
  <c r="J5" i="6"/>
  <c r="H5" i="6"/>
  <c r="G5" i="6"/>
  <c r="B6" i="6"/>
  <c r="I6" i="6" l="1"/>
  <c r="F6" i="6"/>
  <c r="B7" i="6"/>
  <c r="G6" i="6"/>
  <c r="H6" i="6"/>
  <c r="J6" i="6"/>
  <c r="I7" i="6" l="1"/>
  <c r="F7" i="6"/>
  <c r="B8" i="6"/>
  <c r="H7" i="6"/>
  <c r="J7" i="6"/>
  <c r="G7" i="6"/>
  <c r="I8" i="6" l="1"/>
  <c r="F8" i="6"/>
  <c r="B9" i="6"/>
  <c r="H8" i="6"/>
  <c r="J8" i="6"/>
  <c r="G8" i="6"/>
  <c r="I9" i="6" l="1"/>
  <c r="F9" i="6"/>
  <c r="G9" i="6"/>
  <c r="J9" i="6"/>
  <c r="H9" i="6"/>
  <c r="B10" i="6"/>
  <c r="I10" i="6" l="1"/>
  <c r="F10" i="6"/>
  <c r="J10" i="6"/>
  <c r="H10" i="6"/>
  <c r="G10" i="6"/>
  <c r="B11" i="6"/>
  <c r="I11" i="6" l="1"/>
  <c r="F11" i="6"/>
  <c r="H11" i="6"/>
  <c r="G11" i="6"/>
  <c r="J11" i="6"/>
  <c r="B12" i="6"/>
  <c r="I12" i="6" l="1"/>
  <c r="F12" i="6"/>
  <c r="B13" i="6"/>
  <c r="G12" i="6"/>
  <c r="H12" i="6"/>
  <c r="J12" i="6"/>
  <c r="I13" i="6" l="1"/>
  <c r="F13" i="6"/>
  <c r="J13" i="6"/>
  <c r="H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H16" i="6"/>
  <c r="J16" i="6"/>
  <c r="G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J20" i="6"/>
  <c r="G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J23" i="6"/>
  <c r="G23" i="6"/>
  <c r="H23" i="6"/>
  <c r="B24" i="6"/>
  <c r="I24" i="6" l="1"/>
  <c r="F24" i="6"/>
  <c r="G24" i="6"/>
  <c r="H24" i="6"/>
  <c r="J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B28" i="6"/>
  <c r="G27" i="6"/>
  <c r="J27" i="6"/>
  <c r="H27" i="6"/>
  <c r="I28" i="6" l="1"/>
  <c r="F28" i="6"/>
  <c r="G28" i="6"/>
  <c r="J28" i="6"/>
  <c r="H28" i="6"/>
  <c r="B29" i="6"/>
  <c r="I29" i="6" l="1"/>
  <c r="F29" i="6"/>
  <c r="B30" i="6"/>
  <c r="G29" i="6"/>
  <c r="J29" i="6"/>
  <c r="H29" i="6"/>
  <c r="I30" i="6" l="1"/>
  <c r="F30" i="6"/>
  <c r="G30" i="6"/>
  <c r="H30" i="6"/>
  <c r="J30" i="6"/>
  <c r="B31" i="6"/>
  <c r="I31" i="6" l="1"/>
  <c r="F31" i="6"/>
  <c r="B32" i="6"/>
  <c r="G31" i="6"/>
  <c r="H31" i="6"/>
  <c r="J31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B38" i="6"/>
  <c r="G37" i="6"/>
  <c r="J37" i="6"/>
  <c r="H37" i="6"/>
  <c r="I38" i="6" l="1"/>
  <c r="F38" i="6"/>
  <c r="B39" i="6"/>
  <c r="J38" i="6"/>
  <c r="G38" i="6"/>
  <c r="H38" i="6"/>
  <c r="I39" i="6" l="1"/>
  <c r="F39" i="6"/>
  <c r="J39" i="6"/>
  <c r="G39" i="6"/>
  <c r="H39" i="6"/>
  <c r="B40" i="6"/>
  <c r="I40" i="6" l="1"/>
  <c r="F40" i="6"/>
  <c r="H40" i="6"/>
  <c r="J40" i="6"/>
  <c r="G40" i="6"/>
  <c r="B41" i="6"/>
  <c r="I41" i="6" l="1"/>
  <c r="F41" i="6"/>
  <c r="B42" i="6"/>
  <c r="J41" i="6"/>
  <c r="H41" i="6"/>
  <c r="G41" i="6"/>
  <c r="I42" i="6" l="1"/>
  <c r="F42" i="6"/>
  <c r="J42" i="6"/>
  <c r="G42" i="6"/>
  <c r="H42" i="6"/>
  <c r="B43" i="6"/>
  <c r="I43" i="6" l="1"/>
  <c r="F43" i="6"/>
  <c r="G43" i="6"/>
  <c r="H43" i="6"/>
  <c r="J43" i="6"/>
  <c r="B44" i="6"/>
  <c r="I44" i="6" l="1"/>
  <c r="F44" i="6"/>
  <c r="G44" i="6"/>
  <c r="H44" i="6"/>
  <c r="J44" i="6"/>
  <c r="B45" i="6"/>
  <c r="I45" i="6" l="1"/>
  <c r="F45" i="6"/>
  <c r="B46" i="6"/>
  <c r="J45" i="6"/>
  <c r="H45" i="6"/>
  <c r="G45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G48" i="6"/>
  <c r="H48" i="6"/>
  <c r="J48" i="6"/>
  <c r="B49" i="6"/>
  <c r="I49" i="6" l="1"/>
  <c r="F49" i="6"/>
  <c r="B50" i="6"/>
  <c r="J49" i="6"/>
  <c r="H49" i="6"/>
  <c r="G49" i="6"/>
  <c r="I50" i="6" l="1"/>
  <c r="F50" i="6"/>
  <c r="B51" i="6"/>
  <c r="J50" i="6"/>
  <c r="G50" i="6"/>
  <c r="H50" i="6"/>
  <c r="I51" i="6" l="1"/>
  <c r="F51" i="6"/>
  <c r="B52" i="6"/>
  <c r="J51" i="6"/>
  <c r="G51" i="6"/>
  <c r="H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J54" i="6"/>
  <c r="G54" i="6"/>
  <c r="H54" i="6"/>
  <c r="B55" i="6"/>
  <c r="I55" i="6" l="1"/>
  <c r="F55" i="6"/>
  <c r="B56" i="6"/>
  <c r="G55" i="6"/>
  <c r="H55" i="6"/>
  <c r="J55" i="6"/>
  <c r="I56" i="6" l="1"/>
  <c r="F56" i="6"/>
  <c r="G56" i="6"/>
  <c r="H56" i="6"/>
  <c r="J56" i="6"/>
  <c r="B57" i="6"/>
  <c r="I57" i="6" l="1"/>
  <c r="F57" i="6"/>
  <c r="B58" i="6"/>
  <c r="J57" i="6"/>
  <c r="G57" i="6"/>
  <c r="H57" i="6"/>
  <c r="I58" i="6" l="1"/>
  <c r="F58" i="6"/>
  <c r="H58" i="6"/>
  <c r="G58" i="6"/>
  <c r="J58" i="6"/>
  <c r="B59" i="6"/>
  <c r="I59" i="6" l="1"/>
  <c r="F59" i="6"/>
  <c r="B60" i="6"/>
  <c r="H59" i="6"/>
  <c r="G59" i="6"/>
  <c r="J59" i="6"/>
  <c r="I60" i="6" l="1"/>
  <c r="F60" i="6"/>
  <c r="B61" i="6"/>
  <c r="J60" i="6"/>
  <c r="H60" i="6"/>
  <c r="G60" i="6"/>
  <c r="I61" i="6" l="1"/>
  <c r="F61" i="6"/>
  <c r="J61" i="6"/>
  <c r="H61" i="6"/>
  <c r="G61" i="6"/>
  <c r="B62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G64" i="6"/>
  <c r="H64" i="6"/>
  <c r="J64" i="6"/>
  <c r="I65" i="6" l="1"/>
  <c r="F65" i="6"/>
  <c r="B66" i="6"/>
  <c r="J65" i="6"/>
  <c r="H65" i="6"/>
  <c r="G65" i="6"/>
  <c r="I66" i="6" l="1"/>
  <c r="F66" i="6"/>
  <c r="B67" i="6"/>
  <c r="H66" i="6"/>
  <c r="J66" i="6"/>
  <c r="G66" i="6"/>
  <c r="I67" i="6" l="1"/>
  <c r="F67" i="6"/>
  <c r="G67" i="6"/>
  <c r="H67" i="6"/>
  <c r="J67" i="6"/>
  <c r="B68" i="6"/>
  <c r="I68" i="6" l="1"/>
  <c r="F68" i="6"/>
  <c r="B69" i="6"/>
  <c r="G68" i="6"/>
  <c r="J68" i="6"/>
  <c r="H68" i="6"/>
  <c r="I69" i="6" l="1"/>
  <c r="F69" i="6"/>
  <c r="H69" i="6"/>
  <c r="J69" i="6"/>
  <c r="G69" i="6"/>
  <c r="B70" i="6"/>
  <c r="I70" i="6" l="1"/>
  <c r="F70" i="6"/>
  <c r="H70" i="6"/>
  <c r="G70" i="6"/>
  <c r="J70" i="6"/>
  <c r="B71" i="6"/>
  <c r="I71" i="6" l="1"/>
  <c r="F71" i="6"/>
  <c r="H71" i="6"/>
  <c r="G71" i="6"/>
  <c r="J71" i="6"/>
  <c r="B72" i="6"/>
  <c r="I72" i="6" l="1"/>
  <c r="F72" i="6"/>
  <c r="H72" i="6"/>
  <c r="J72" i="6"/>
  <c r="G72" i="6"/>
  <c r="B73" i="6"/>
  <c r="I73" i="6" l="1"/>
  <c r="F73" i="6"/>
  <c r="J73" i="6"/>
  <c r="G73" i="6"/>
  <c r="H73" i="6"/>
  <c r="B74" i="6"/>
  <c r="I74" i="6" l="1"/>
  <c r="F74" i="6"/>
  <c r="J74" i="6"/>
  <c r="H74" i="6"/>
  <c r="G74" i="6"/>
  <c r="B75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J77" i="6"/>
  <c r="H77" i="6"/>
  <c r="G77" i="6"/>
  <c r="B78" i="6"/>
  <c r="I78" i="6" l="1"/>
  <c r="F78" i="6"/>
  <c r="B79" i="6"/>
  <c r="J78" i="6"/>
  <c r="G78" i="6"/>
  <c r="H78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B82" i="6"/>
  <c r="J81" i="6"/>
  <c r="H81" i="6"/>
  <c r="G81" i="6"/>
  <c r="I82" i="6" l="1"/>
  <c r="F82" i="6"/>
  <c r="G82" i="6"/>
  <c r="H82" i="6"/>
  <c r="J82" i="6"/>
  <c r="B83" i="6"/>
  <c r="I83" i="6" l="1"/>
  <c r="F83" i="6"/>
  <c r="B84" i="6"/>
  <c r="J83" i="6"/>
  <c r="G83" i="6"/>
  <c r="H83" i="6"/>
  <c r="I84" i="6" l="1"/>
  <c r="F84" i="6"/>
  <c r="G84" i="6"/>
  <c r="H84" i="6"/>
  <c r="J84" i="6"/>
  <c r="B85" i="6"/>
  <c r="I85" i="6" l="1"/>
  <c r="F85" i="6"/>
  <c r="H85" i="6"/>
  <c r="G85" i="6"/>
  <c r="J85" i="6"/>
  <c r="B86" i="6"/>
  <c r="I86" i="6" l="1"/>
  <c r="F86" i="6"/>
  <c r="J86" i="6"/>
  <c r="H86" i="6"/>
  <c r="G86" i="6"/>
  <c r="B87" i="6"/>
  <c r="I87" i="6" l="1"/>
  <c r="F87" i="6"/>
  <c r="H87" i="6"/>
  <c r="G87" i="6"/>
  <c r="J87" i="6"/>
  <c r="B88" i="6"/>
  <c r="I88" i="6" l="1"/>
  <c r="F88" i="6"/>
  <c r="H88" i="6"/>
  <c r="G88" i="6"/>
  <c r="J88" i="6"/>
  <c r="B89" i="6"/>
  <c r="I89" i="6" l="1"/>
  <c r="F89" i="6"/>
  <c r="J89" i="6"/>
  <c r="G89" i="6"/>
  <c r="H89" i="6"/>
  <c r="B90" i="6"/>
  <c r="I90" i="6" l="1"/>
  <c r="F90" i="6"/>
  <c r="G90" i="6"/>
  <c r="H90" i="6"/>
  <c r="J90" i="6"/>
  <c r="B91" i="6"/>
  <c r="I91" i="6" l="1"/>
  <c r="F91" i="6"/>
  <c r="B92" i="6"/>
  <c r="H91" i="6"/>
  <c r="G91" i="6"/>
  <c r="J91" i="6"/>
  <c r="I92" i="6" l="1"/>
  <c r="F92" i="6"/>
  <c r="B93" i="6"/>
  <c r="J92" i="6"/>
  <c r="G92" i="6"/>
  <c r="H92" i="6"/>
  <c r="I93" i="6" l="1"/>
  <c r="F93" i="6"/>
  <c r="H93" i="6"/>
  <c r="G93" i="6"/>
  <c r="J93" i="6"/>
  <c r="B94" i="6"/>
  <c r="I94" i="6" l="1"/>
  <c r="F94" i="6"/>
  <c r="H94" i="6"/>
  <c r="J94" i="6"/>
  <c r="G94" i="6"/>
  <c r="B95" i="6"/>
  <c r="I95" i="6" l="1"/>
  <c r="F95" i="6"/>
  <c r="G95" i="6"/>
  <c r="J95" i="6"/>
  <c r="H95" i="6"/>
  <c r="B96" i="6"/>
  <c r="I96" i="6" l="1"/>
  <c r="F96" i="6"/>
  <c r="B97" i="6"/>
  <c r="H96" i="6"/>
  <c r="J96" i="6"/>
  <c r="G96" i="6"/>
  <c r="I97" i="6" l="1"/>
  <c r="F97" i="6"/>
  <c r="B98" i="6"/>
  <c r="J97" i="6"/>
  <c r="H97" i="6"/>
  <c r="G97" i="6"/>
  <c r="I98" i="6" l="1"/>
  <c r="F98" i="6"/>
  <c r="B100" i="6"/>
  <c r="B99" i="6"/>
  <c r="G98" i="6"/>
  <c r="H98" i="6"/>
  <c r="J98" i="6"/>
  <c r="I99" i="6" l="1"/>
  <c r="F99" i="6"/>
  <c r="I100" i="6"/>
  <c r="F100" i="6"/>
  <c r="G99" i="6"/>
  <c r="H99" i="6"/>
  <c r="J99" i="6"/>
  <c r="J100" i="6"/>
  <c r="G100" i="6"/>
  <c r="H10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<sst xmlns="http://schemas.openxmlformats.org/spreadsheetml/2006/main" count="2826" uniqueCount="1014">
  <si>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</si>
  <si>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</si>
  <si>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</si>
  <si>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</si>
  <si>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</si>
  <si>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</si>
  <si>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</si>
  <si>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</si>
  <si>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</si>
  <si>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</si>
  <si>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</si>
  <si>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</si>
  <si>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</si>
  <si>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</si>
  <si>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</si>
  <si>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</si>
  <si>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</si>
  <si>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</si>
  <si>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</si>
  <si>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</si>
  <si>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</si>
  <si>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</si>
  <si>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</si>
  <si>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</si>
  <si>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</si>
  <si>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</si>
  <si>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</si>
  <si>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</si>
  <si>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</si>
  <si>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</si>
  <si>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</si>
  <si>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</si>
  <si>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</si>
  <si>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</si>
  <si>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</si>
  <si>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</si>
  <si>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</si>
  <si>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</si>
  <si>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</si>
  <si>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</si>
  <si>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</si>
  <si>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</si>
  <si>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</si>
  <si>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</si>
  <si>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</si>
  <si>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</si>
  <si>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</si>
  <si>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</si>
  <si>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</si>
  <si>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</si>
  <si>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</si>
  <si>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</si>
  <si>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</si>
  <si>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</si>
  <si>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</si>
  <si>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</si>
  <si>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</si>
  <si>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</si>
  <si>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</si>
  <si>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</si>
  <si>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</si>
  <si>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</si>
  <si>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</si>
  <si>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</si>
  <si>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</si>
  <si>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</si>
  <si>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</si>
  <si>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</si>
  <si>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</si>
  <si>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</si>
  <si>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</si>
  <si>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</si>
  <si>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</si>
  <si>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</si>
  <si>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</si>
  <si>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</si>
  <si>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</si>
  <si>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</si>
  <si>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</si>
  <si>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</si>
  <si>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</si>
  <si>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</si>
  <si>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</si>
  <si>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</si>
  <si>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</si>
  <si>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</si>
  <si>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</si>
  <si>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</si>
  <si>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</si>
  <si>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</si>
  <si>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</si>
  <si>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</si>
  <si>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</si>
  <si>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</si>
  <si>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</si>
  <si>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</si>
  <si>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</si>
  <si>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</si>
  <si>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</si>
  <si>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</si>
  <si>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</si>
  <si>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</si>
  <si>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</si>
  <si>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</si>
  <si>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</si>
  <si>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</si>
  <si>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</si>
  <si>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</si>
  <si>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</si>
  <si>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</si>
  <si>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</si>
  <si>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</si>
  <si>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</si>
  <si>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</si>
  <si>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</si>
  <si>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</si>
  <si>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</si>
  <si>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</si>
  <si>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</si>
  <si>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</si>
  <si>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</si>
  <si>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</si>
  <si>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</si>
  <si>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</si>
  <si>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</si>
  <si>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</si>
  <si>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</si>
  <si>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</si>
  <si>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</si>
  <si>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</si>
  <si>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</si>
  <si>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</si>
  <si>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</si>
  <si>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</si>
  <si>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</si>
  <si>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</si>
  <si>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</si>
  <si>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</si>
  <si>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</si>
  <si>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</si>
  <si>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</si>
  <si>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</si>
  <si>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</si>
  <si>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</si>
  <si>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</si>
  <si>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</si>
  <si>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</si>
  <si>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</si>
  <si>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</si>
  <si>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</si>
  <si>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</si>
  <si>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</si>
  <si>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</si>
  <si>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</si>
  <si>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</si>
  <si>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</si>
  <si>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</si>
  <si>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</si>
  <si>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</si>
  <si>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</si>
  <si>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</si>
  <si>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</si>
  <si>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</si>
  <si>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</si>
  <si>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</si>
  <si>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</si>
  <si>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</si>
  <si>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</si>
  <si>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</si>
  <si>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</si>
  <si>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</si>
  <si>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</si>
  <si>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</si>
  <si>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</si>
  <si>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</si>
  <si>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</si>
  <si>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</si>
  <si>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</si>
  <si>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</si>
  <si>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</si>
  <si>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</si>
  <si>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</si>
  <si>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</si>
  <si>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</si>
  <si>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</si>
  <si>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</si>
  <si>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</si>
  <si>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</si>
  <si>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</si>
  <si>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</si>
  <si>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</si>
  <si>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</si>
  <si>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</si>
  <si>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</si>
  <si>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</si>
  <si>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</si>
  <si>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</si>
  <si>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</si>
  <si>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</si>
  <si>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</si>
  <si>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</si>
  <si>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</si>
  <si>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</si>
  <si>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</si>
  <si>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</si>
  <si>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</si>
  <si>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</si>
  <si>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</si>
  <si>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</si>
  <si>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</si>
  <si>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</si>
  <si>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</si>
  <si>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</si>
  <si>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</si>
  <si>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</si>
  <si>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</si>
  <si>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</si>
  <si>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</si>
  <si>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</si>
  <si>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</si>
  <si>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</si>
  <si>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</si>
  <si>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</si>
  <si>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</si>
  <si>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</si>
  <si>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</si>
  <si>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</si>
  <si>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</si>
  <si>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</si>
  <si>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</si>
  <si>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</si>
  <si>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</si>
  <si>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</si>
  <si>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</si>
  <si>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</si>
  <si>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</si>
  <si>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</si>
  <si>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</si>
  <si>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</si>
  <si>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</si>
  <si>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</si>
  <si>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</si>
  <si>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</si>
  <si>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</si>
  <si>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</si>
  <si>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</si>
  <si>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</si>
  <si>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</si>
  <si>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</si>
  <si>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</si>
  <si>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</si>
  <si>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</si>
  <si>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</si>
  <si>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</si>
  <si>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</si>
  <si>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</si>
  <si>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</si>
  <si>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</si>
  <si>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</si>
  <si>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</si>
  <si>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</si>
  <si>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</si>
  <si>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204:467</t>
  </si>
  <si>
    <t>204:473</t>
  </si>
  <si>
    <t>204:233000</t>
  </si>
  <si>
    <t>LOCKLEAR</t>
  </si>
  <si>
    <t>TRAVIS</t>
  </si>
  <si>
    <t>204:134</t>
  </si>
  <si>
    <t>204:233004</t>
  </si>
  <si>
    <t>204:442</t>
  </si>
  <si>
    <t>204:161</t>
  </si>
  <si>
    <t>rtdc.l.rtdc.4016:itc</t>
  </si>
  <si>
    <t>rtdc.l.rtdc.4015:itc</t>
  </si>
  <si>
    <t>204:233295</t>
  </si>
  <si>
    <t>204:232991</t>
  </si>
  <si>
    <t>204:449</t>
  </si>
  <si>
    <t>204:232971</t>
  </si>
  <si>
    <t>204:477</t>
  </si>
  <si>
    <t>rtdc.l.rtdc.4020:itc</t>
  </si>
  <si>
    <t>MOSES</t>
  </si>
  <si>
    <t>BRADLEY</t>
  </si>
  <si>
    <t>204:478</t>
  </si>
  <si>
    <t>204:232988</t>
  </si>
  <si>
    <t>204:232978</t>
  </si>
  <si>
    <t>204:469</t>
  </si>
  <si>
    <t>204:233303</t>
  </si>
  <si>
    <t>204:233291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</si>
  <si>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</si>
  <si>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</si>
  <si>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</si>
  <si>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</si>
  <si>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</si>
  <si>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</si>
  <si>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</si>
  <si>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</si>
  <si>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</si>
  <si>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</si>
  <si>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</si>
  <si>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</si>
  <si>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</si>
  <si>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</si>
  <si>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</si>
  <si>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</si>
  <si>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</si>
  <si>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</si>
  <si>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</si>
  <si>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</si>
  <si>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</si>
  <si>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</si>
  <si>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</si>
  <si>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</si>
  <si>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</si>
  <si>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</si>
  <si>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</si>
  <si>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</si>
  <si>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</si>
  <si>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</si>
  <si>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</si>
  <si>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</si>
  <si>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</si>
  <si>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</si>
  <si>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</si>
  <si>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</si>
  <si>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</si>
  <si>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</si>
  <si>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</si>
  <si>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</si>
  <si>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</si>
  <si>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</si>
  <si>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</si>
  <si>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</si>
  <si>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</si>
  <si>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</si>
  <si>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</si>
  <si>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</si>
  <si>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</si>
  <si>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</si>
  <si>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</si>
  <si>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</si>
  <si>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</si>
  <si>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</si>
  <si>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</si>
  <si>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</si>
  <si>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</si>
  <si>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</si>
  <si>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</si>
  <si>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</si>
  <si>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</si>
  <si>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</si>
  <si>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</si>
  <si>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</si>
  <si>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</si>
  <si>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</si>
  <si>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</si>
  <si>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</si>
  <si>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</si>
  <si>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</si>
  <si>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</si>
  <si>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</si>
  <si>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</si>
  <si>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</si>
  <si>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</si>
  <si>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</si>
  <si>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</si>
  <si>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</si>
  <si>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</si>
  <si>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</si>
  <si>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</si>
  <si>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</si>
  <si>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</si>
  <si>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</si>
  <si>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</si>
  <si>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</si>
  <si>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</si>
  <si>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</si>
  <si>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</si>
  <si>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</si>
  <si>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</si>
  <si>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</si>
  <si>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</si>
  <si>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</si>
  <si>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</si>
  <si>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</si>
  <si>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</si>
  <si>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</si>
  <si>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</si>
  <si>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</si>
  <si>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</si>
  <si>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</si>
  <si>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</si>
  <si>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</si>
  <si>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</si>
  <si>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</si>
  <si>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</si>
  <si>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</si>
  <si>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</si>
  <si>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</si>
  <si>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</si>
  <si>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</si>
  <si>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</si>
  <si>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</si>
  <si>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</si>
  <si>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</si>
  <si>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</si>
  <si>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</si>
  <si>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</si>
  <si>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</si>
  <si>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</si>
  <si>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</si>
  <si>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</si>
  <si>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</si>
  <si>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</si>
  <si>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</si>
  <si>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</si>
  <si>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</si>
  <si>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</si>
  <si>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</si>
  <si>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</si>
  <si>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</si>
  <si>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</si>
  <si>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</si>
  <si>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</si>
  <si>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</si>
  <si>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</si>
  <si>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204:484</t>
  </si>
  <si>
    <t>rtdc.l.rtdc.4029:itc</t>
  </si>
  <si>
    <t>rtdc.l.rtdc.4010:itc</t>
  </si>
  <si>
    <t>rtdc.l.rtdc.4009:itc</t>
  </si>
  <si>
    <t>partly-cloudy-night</t>
  </si>
  <si>
    <t>Partly Cloudy</t>
  </si>
  <si>
    <t>partly-cloudy-day</t>
  </si>
  <si>
    <t>204:741</t>
  </si>
  <si>
    <t>204:160</t>
  </si>
  <si>
    <t>204:232993</t>
  </si>
  <si>
    <t>204:233013</t>
  </si>
  <si>
    <t>204:233300</t>
  </si>
  <si>
    <t>204:437</t>
  </si>
  <si>
    <t>204:232980</t>
  </si>
  <si>
    <t>204:232989</t>
  </si>
  <si>
    <t>300:58954</t>
  </si>
  <si>
    <t>204:232976</t>
  </si>
  <si>
    <t>204:471</t>
  </si>
  <si>
    <t>SIGNAL</t>
  </si>
  <si>
    <t>Signal based authority (5)</t>
  </si>
  <si>
    <t>rtdc.l.rtdc.4051:itc</t>
  </si>
  <si>
    <t>Y</t>
  </si>
  <si>
    <t>STARKS</t>
  </si>
  <si>
    <t>ANGELINA</t>
  </si>
  <si>
    <t>BONDS</t>
  </si>
  <si>
    <t>REYNALDO</t>
  </si>
  <si>
    <t>YORK</t>
  </si>
  <si>
    <t>EDGAR</t>
  </si>
  <si>
    <t>ROCHA</t>
  </si>
  <si>
    <t>YAOTL</t>
  </si>
  <si>
    <t>CLARK</t>
  </si>
  <si>
    <t>KATHLEEN</t>
  </si>
  <si>
    <t>LEVERE</t>
  </si>
  <si>
    <t>CRAIG</t>
  </si>
  <si>
    <t>STORY</t>
  </si>
  <si>
    <t>SAMANTHA</t>
  </si>
  <si>
    <t>204:233307</t>
  </si>
  <si>
    <t>204:475</t>
  </si>
  <si>
    <t>204:232981</t>
  </si>
  <si>
    <t>204:233308</t>
  </si>
  <si>
    <t>204:232974</t>
  </si>
  <si>
    <t>204:233019</t>
  </si>
  <si>
    <t>204:233336</t>
  </si>
  <si>
    <t>204:233030</t>
  </si>
  <si>
    <t>300:23302</t>
  </si>
  <si>
    <t>300:23310</t>
  </si>
  <si>
    <t>300:58598</t>
  </si>
  <si>
    <t>204:682</t>
  </si>
  <si>
    <t>204:960</t>
  </si>
  <si>
    <t>300:58950</t>
  </si>
  <si>
    <t>:.+((SYSTEM_STATE.+slice.+state.+changed )|(ment ac)|(multiple cpu faults)|(system.+state.+changed )|(\[timeout)|(PRM\|1\|D)|(kpr)|(kdp)|(\|lc)|(penalty))</t>
  </si>
  <si>
    <t>204:678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</si>
  <si>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</si>
  <si>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</si>
  <si>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</si>
  <si>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</si>
  <si>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</si>
  <si>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</si>
  <si>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</si>
  <si>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</si>
  <si>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</si>
  <si>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</si>
  <si>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</si>
  <si>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</si>
  <si>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</si>
  <si>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</si>
  <si>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</si>
  <si>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</si>
  <si>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</si>
  <si>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</si>
  <si>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</si>
  <si>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</si>
  <si>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</si>
  <si>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</si>
  <si>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</si>
  <si>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</si>
  <si>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</si>
  <si>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</si>
  <si>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</si>
  <si>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rtdc.l.rtdc.4023:itc</t>
  </si>
  <si>
    <t>rtdc.l.rtdc.4063:itc</t>
  </si>
  <si>
    <t>YOUNG</t>
  </si>
  <si>
    <t>ELIZABETH</t>
  </si>
  <si>
    <t>GEBRETEKLE</t>
  </si>
  <si>
    <t>DAGNEW</t>
  </si>
  <si>
    <t>COOLAHAN</t>
  </si>
  <si>
    <t>rtdc.l.rtdc.4040:itc</t>
  </si>
  <si>
    <t>YANAI</t>
  </si>
  <si>
    <t>IAN</t>
  </si>
  <si>
    <t>LOZA</t>
  </si>
  <si>
    <t>FIDEL</t>
  </si>
  <si>
    <t>BEAM</t>
  </si>
  <si>
    <t>ROSS</t>
  </si>
  <si>
    <t>DE LA ROSA</t>
  </si>
  <si>
    <t>ALEX</t>
  </si>
  <si>
    <t>HELVIE</t>
  </si>
  <si>
    <t>ADAM</t>
  </si>
  <si>
    <t>rtdc.l.rtdc.4024:itc</t>
  </si>
  <si>
    <t>STRICKLAND</t>
  </si>
  <si>
    <t>EVAN</t>
  </si>
  <si>
    <t>BRUDER</t>
  </si>
  <si>
    <t>RICHARD</t>
  </si>
  <si>
    <t>SWANSON</t>
  </si>
  <si>
    <t>BRYCE</t>
  </si>
  <si>
    <t>NELSON</t>
  </si>
  <si>
    <t>ARIANE</t>
  </si>
  <si>
    <t>WHITED</t>
  </si>
  <si>
    <t>80-08</t>
  </si>
  <si>
    <t>81-08</t>
  </si>
  <si>
    <t>315-08</t>
  </si>
  <si>
    <t>242-08</t>
  </si>
  <si>
    <t>244-08</t>
  </si>
  <si>
    <t>309-08</t>
  </si>
  <si>
    <t>311-08</t>
  </si>
  <si>
    <t>313-08</t>
  </si>
  <si>
    <t>204:464</t>
  </si>
  <si>
    <t>204:233306</t>
  </si>
  <si>
    <t>204:233002</t>
  </si>
  <si>
    <t>204:232996</t>
  </si>
  <si>
    <t>204:232984</t>
  </si>
  <si>
    <t>204:233293</t>
  </si>
  <si>
    <t>204:233288</t>
  </si>
  <si>
    <t>204:165</t>
  </si>
  <si>
    <t>204:438</t>
  </si>
  <si>
    <t>204:233316</t>
  </si>
  <si>
    <t>204:170</t>
  </si>
  <si>
    <t>204:486</t>
  </si>
  <si>
    <t>204:489</t>
  </si>
  <si>
    <t>204:233281</t>
  </si>
  <si>
    <t>204:233284</t>
  </si>
  <si>
    <t>300:23304</t>
  </si>
  <si>
    <t>204:1002</t>
  </si>
  <si>
    <t>204:680</t>
  </si>
  <si>
    <t>204:1027</t>
  </si>
  <si>
    <t>204:761</t>
  </si>
  <si>
    <t>204:974</t>
  </si>
  <si>
    <t>300:58958</t>
  </si>
  <si>
    <t>300:58640</t>
  </si>
  <si>
    <t>204:699</t>
  </si>
  <si>
    <t>204:1422</t>
  </si>
  <si>
    <t>204:685</t>
  </si>
  <si>
    <t>300:58645</t>
  </si>
  <si>
    <t>300:58626</t>
  </si>
  <si>
    <t>204:675</t>
  </si>
  <si>
    <t>204:694</t>
  </si>
  <si>
    <t>204:971</t>
  </si>
  <si>
    <t>204:687</t>
  </si>
  <si>
    <t>204:972</t>
  </si>
  <si>
    <t>start /low /b %USERPROFILE%\Documents\GitHub\eaglep3\Utilities\DownloadLogsFromS3.py --loco 4016 --day 2017-03-09</t>
  </si>
  <si>
    <t>start /low /b %USERPROFILE%\Documents\GitHub\eaglep3\Utilities\DownloadLogsFromS3.py --loco 4039 --day 2017-03-09</t>
  </si>
  <si>
    <t>52-09</t>
  </si>
  <si>
    <t>rtdc.l.rtdc.4021:itc</t>
  </si>
  <si>
    <t>102-09</t>
  </si>
  <si>
    <t>110-09</t>
  </si>
  <si>
    <t>114-09</t>
  </si>
  <si>
    <t>116-09</t>
  </si>
  <si>
    <t>133-09</t>
  </si>
  <si>
    <t>130-09</t>
  </si>
  <si>
    <t>811-09</t>
  </si>
  <si>
    <t>143-09</t>
  </si>
  <si>
    <t>144-09</t>
  </si>
  <si>
    <t>142-09</t>
  </si>
  <si>
    <t>50-09</t>
  </si>
  <si>
    <t>818-09</t>
  </si>
  <si>
    <t>166-09</t>
  </si>
  <si>
    <t>rtdc.l.rtdc.4018:itc</t>
  </si>
  <si>
    <t>173-09</t>
  </si>
  <si>
    <t>175-09</t>
  </si>
  <si>
    <t>822-09</t>
  </si>
  <si>
    <t>180-09</t>
  </si>
  <si>
    <t>rtdc.l.rtdc.4008:itc</t>
  </si>
  <si>
    <t>904-09</t>
  </si>
  <si>
    <t>rtdc.l.rtdc.4044:itc</t>
  </si>
  <si>
    <t>195-09</t>
  </si>
  <si>
    <t>188-09</t>
  </si>
  <si>
    <t>826-09</t>
  </si>
  <si>
    <t>rtdc.l.rtdc.4007:itc</t>
  </si>
  <si>
    <t>831-09</t>
  </si>
  <si>
    <t>rtdc.l.rtdc.4043:itc</t>
  </si>
  <si>
    <t>196-09</t>
  </si>
  <si>
    <t>205-09</t>
  </si>
  <si>
    <t>198-09</t>
  </si>
  <si>
    <t>835-09</t>
  </si>
  <si>
    <t>214-09</t>
  </si>
  <si>
    <t>906-09</t>
  </si>
  <si>
    <t>845-09</t>
  </si>
  <si>
    <t>844-09</t>
  </si>
  <si>
    <t>232-09</t>
  </si>
  <si>
    <t>237-09</t>
  </si>
  <si>
    <t>238-09</t>
  </si>
  <si>
    <t>302-09</t>
  </si>
  <si>
    <t>51-09</t>
  </si>
  <si>
    <t>SPECTOR</t>
  </si>
  <si>
    <t>101-09</t>
  </si>
  <si>
    <t>rtdc.l.rtdc.4017:itc</t>
  </si>
  <si>
    <t>304-09</t>
  </si>
  <si>
    <t>103-09</t>
  </si>
  <si>
    <t>306-09</t>
  </si>
  <si>
    <t>ROBINSON</t>
  </si>
  <si>
    <t>KADDIBA</t>
  </si>
  <si>
    <t>105-09</t>
  </si>
  <si>
    <t>308-09</t>
  </si>
  <si>
    <t>107-09</t>
  </si>
  <si>
    <t>310-09</t>
  </si>
  <si>
    <t>104-09</t>
  </si>
  <si>
    <t>109-09</t>
  </si>
  <si>
    <t>901-09</t>
  </si>
  <si>
    <t>SHOOK</t>
  </si>
  <si>
    <t>111-09</t>
  </si>
  <si>
    <t>106-09</t>
  </si>
  <si>
    <t>800-09</t>
  </si>
  <si>
    <t>rtdc.l.rtdc.4022:itc</t>
  </si>
  <si>
    <t>113-09</t>
  </si>
  <si>
    <t>108-09</t>
  </si>
  <si>
    <t>115-09</t>
  </si>
  <si>
    <t>801-09</t>
  </si>
  <si>
    <t>117-09</t>
  </si>
  <si>
    <t>112-09</t>
  </si>
  <si>
    <t>119-09</t>
  </si>
  <si>
    <t>902-09</t>
  </si>
  <si>
    <t>121-09</t>
  </si>
  <si>
    <t>802-09</t>
  </si>
  <si>
    <t>803-09</t>
  </si>
  <si>
    <t>123-09</t>
  </si>
  <si>
    <t>805-09</t>
  </si>
  <si>
    <t>118-09</t>
  </si>
  <si>
    <t>804-09</t>
  </si>
  <si>
    <t>125-09</t>
  </si>
  <si>
    <t>120-09</t>
  </si>
  <si>
    <t>127-09</t>
  </si>
  <si>
    <t>122-09</t>
  </si>
  <si>
    <t>806-09</t>
  </si>
  <si>
    <t>129-09</t>
  </si>
  <si>
    <t>807-09</t>
  </si>
  <si>
    <t>124-09</t>
  </si>
  <si>
    <t>131-09</t>
  </si>
  <si>
    <t>126-09</t>
  </si>
  <si>
    <t>809-09</t>
  </si>
  <si>
    <t>808-09</t>
  </si>
  <si>
    <t>128-09</t>
  </si>
  <si>
    <t>135-09</t>
  </si>
  <si>
    <t>810-09</t>
  </si>
  <si>
    <t>137-09</t>
  </si>
  <si>
    <t>132-09</t>
  </si>
  <si>
    <t>139-09</t>
  </si>
  <si>
    <t>134-09</t>
  </si>
  <si>
    <t>903-09</t>
  </si>
  <si>
    <t>812-09</t>
  </si>
  <si>
    <t>141-09</t>
  </si>
  <si>
    <t>136-09</t>
  </si>
  <si>
    <t>138-09</t>
  </si>
  <si>
    <t>140-09</t>
  </si>
  <si>
    <t>145-09</t>
  </si>
  <si>
    <t>813-09</t>
  </si>
  <si>
    <t>147-09</t>
  </si>
  <si>
    <t>814-09</t>
  </si>
  <si>
    <t>149-09</t>
  </si>
  <si>
    <t>151-09</t>
  </si>
  <si>
    <t>88-09</t>
  </si>
  <si>
    <t>153-09</t>
  </si>
  <si>
    <t>146-09</t>
  </si>
  <si>
    <t>815-09</t>
  </si>
  <si>
    <t>148-09</t>
  </si>
  <si>
    <t>150-09</t>
  </si>
  <si>
    <t>155-09</t>
  </si>
  <si>
    <t>816-09</t>
  </si>
  <si>
    <t>157-09</t>
  </si>
  <si>
    <t>152-09</t>
  </si>
  <si>
    <t>154-09</t>
  </si>
  <si>
    <t>159-09</t>
  </si>
  <si>
    <t>161-09</t>
  </si>
  <si>
    <t>156-09</t>
  </si>
  <si>
    <t>817-09</t>
  </si>
  <si>
    <t>163-09</t>
  </si>
  <si>
    <t>54-09</t>
  </si>
  <si>
    <t>158-09</t>
  </si>
  <si>
    <t>165-09</t>
  </si>
  <si>
    <t>SMITH</t>
  </si>
  <si>
    <t>53-09</t>
  </si>
  <si>
    <t>160-09</t>
  </si>
  <si>
    <t>167-09</t>
  </si>
  <si>
    <t>162-09</t>
  </si>
  <si>
    <t>169-09</t>
  </si>
  <si>
    <t>55-09</t>
  </si>
  <si>
    <t>819-09</t>
  </si>
  <si>
    <t>164-09</t>
  </si>
  <si>
    <t>171-09</t>
  </si>
  <si>
    <t>BRANDNER</t>
  </si>
  <si>
    <t>MELINDA</t>
  </si>
  <si>
    <t>820-09</t>
  </si>
  <si>
    <t>168-09</t>
  </si>
  <si>
    <t>170-09</t>
  </si>
  <si>
    <t>177-09</t>
  </si>
  <si>
    <t>821-09</t>
  </si>
  <si>
    <t>172-09</t>
  </si>
  <si>
    <t>179-09</t>
  </si>
  <si>
    <t>174-09</t>
  </si>
  <si>
    <t>181-09</t>
  </si>
  <si>
    <t>176-09</t>
  </si>
  <si>
    <t>183-09</t>
  </si>
  <si>
    <t>823-09</t>
  </si>
  <si>
    <t>178-09</t>
  </si>
  <si>
    <t>185-09</t>
  </si>
  <si>
    <t>187-09</t>
  </si>
  <si>
    <t>824-09</t>
  </si>
  <si>
    <t>182-09</t>
  </si>
  <si>
    <t>189-09</t>
  </si>
  <si>
    <t>184-09</t>
  </si>
  <si>
    <t>191-09</t>
  </si>
  <si>
    <t>186-09</t>
  </si>
  <si>
    <t>825-09</t>
  </si>
  <si>
    <t>193-09</t>
  </si>
  <si>
    <t>190-09</t>
  </si>
  <si>
    <t>827-09</t>
  </si>
  <si>
    <t>197-09</t>
  </si>
  <si>
    <t>192-09</t>
  </si>
  <si>
    <t>199-09</t>
  </si>
  <si>
    <t>194-09</t>
  </si>
  <si>
    <t>828-09</t>
  </si>
  <si>
    <t>829-09</t>
  </si>
  <si>
    <t>201-09</t>
  </si>
  <si>
    <t>203-09</t>
  </si>
  <si>
    <t>830-09</t>
  </si>
  <si>
    <t>200-09</t>
  </si>
  <si>
    <t>207-09</t>
  </si>
  <si>
    <t>202-09</t>
  </si>
  <si>
    <t>832-09</t>
  </si>
  <si>
    <t>833-09</t>
  </si>
  <si>
    <t>209-09</t>
  </si>
  <si>
    <t>204-09</t>
  </si>
  <si>
    <t>77-09</t>
  </si>
  <si>
    <t>211-09</t>
  </si>
  <si>
    <t>75-09</t>
  </si>
  <si>
    <t>206-09</t>
  </si>
  <si>
    <t>86-09</t>
  </si>
  <si>
    <t>834-09</t>
  </si>
  <si>
    <t>213-09</t>
  </si>
  <si>
    <t>72-09</t>
  </si>
  <si>
    <t>PERKINS</t>
  </si>
  <si>
    <t>DARREN</t>
  </si>
  <si>
    <t>208-09</t>
  </si>
  <si>
    <t>217-09</t>
  </si>
  <si>
    <t>210-09</t>
  </si>
  <si>
    <t>215-09</t>
  </si>
  <si>
    <t>837-09</t>
  </si>
  <si>
    <t>836-09</t>
  </si>
  <si>
    <t>71-09</t>
  </si>
  <si>
    <t>212-09</t>
  </si>
  <si>
    <t>219-09</t>
  </si>
  <si>
    <t>838-09</t>
  </si>
  <si>
    <t>303-09</t>
  </si>
  <si>
    <t>839-09</t>
  </si>
  <si>
    <t>221-09</t>
  </si>
  <si>
    <t>216-09</t>
  </si>
  <si>
    <t>218-09</t>
  </si>
  <si>
    <t>305-09</t>
  </si>
  <si>
    <t>220-09</t>
  </si>
  <si>
    <t>841-09</t>
  </si>
  <si>
    <t>LOPES</t>
  </si>
  <si>
    <t>KIMBERLY</t>
  </si>
  <si>
    <t>223-09</t>
  </si>
  <si>
    <t>840-09</t>
  </si>
  <si>
    <t>307-09</t>
  </si>
  <si>
    <t>222-09</t>
  </si>
  <si>
    <t>225-09</t>
  </si>
  <si>
    <t>843-09</t>
  </si>
  <si>
    <t>227-09</t>
  </si>
  <si>
    <t>224-09</t>
  </si>
  <si>
    <t>842-09</t>
  </si>
  <si>
    <t>226-09</t>
  </si>
  <si>
    <t>229-09</t>
  </si>
  <si>
    <t>231-09</t>
  </si>
  <si>
    <t>228-09</t>
  </si>
  <si>
    <t>230-09</t>
  </si>
  <si>
    <t>233-09</t>
  </si>
  <si>
    <t>847-09</t>
  </si>
  <si>
    <t>235-09</t>
  </si>
  <si>
    <t>58-09</t>
  </si>
  <si>
    <t>908-09</t>
  </si>
  <si>
    <t>57-09</t>
  </si>
  <si>
    <t>234-09</t>
  </si>
  <si>
    <t>236-09</t>
  </si>
  <si>
    <t>239-09</t>
  </si>
  <si>
    <t>241-09</t>
  </si>
  <si>
    <t>240-09</t>
  </si>
  <si>
    <t>243-09</t>
  </si>
  <si>
    <t>242-09</t>
  </si>
  <si>
    <t>309-09</t>
  </si>
  <si>
    <t>244-09</t>
  </si>
  <si>
    <t>311-09</t>
  </si>
  <si>
    <t>313-09</t>
  </si>
  <si>
    <t>Mostly Cloudy</t>
  </si>
  <si>
    <t>204:233332</t>
  </si>
  <si>
    <t>204:232683</t>
  </si>
  <si>
    <t>204:739</t>
  </si>
  <si>
    <t>204:232644</t>
  </si>
  <si>
    <t>204:735</t>
  </si>
  <si>
    <t>204:233389</t>
  </si>
  <si>
    <t>204:232752</t>
  </si>
  <si>
    <t>204:797</t>
  </si>
  <si>
    <t>204:233287</t>
  </si>
  <si>
    <t>204:232972</t>
  </si>
  <si>
    <t>204:130</t>
  </si>
  <si>
    <t>204:746</t>
  </si>
  <si>
    <t>204:426</t>
  </si>
  <si>
    <t>204:233276</t>
  </si>
  <si>
    <t>204:232986</t>
  </si>
  <si>
    <t>204:806</t>
  </si>
  <si>
    <t>204:233010</t>
  </si>
  <si>
    <t>204:233320</t>
  </si>
  <si>
    <t>204:233280</t>
  </si>
  <si>
    <t>204:232967</t>
  </si>
  <si>
    <t>204:1171</t>
  </si>
  <si>
    <t>204:232985</t>
  </si>
  <si>
    <t>204:233323</t>
  </si>
  <si>
    <t>204:918</t>
  </si>
  <si>
    <t>204:232992</t>
  </si>
  <si>
    <t>204:233315</t>
  </si>
  <si>
    <t>204:488</t>
  </si>
  <si>
    <t>204:233001</t>
  </si>
  <si>
    <t>204:429</t>
  </si>
  <si>
    <t>204:232959</t>
  </si>
  <si>
    <t>204:209</t>
  </si>
  <si>
    <t>204:480</t>
  </si>
  <si>
    <t>204:233317</t>
  </si>
  <si>
    <t>204:233305</t>
  </si>
  <si>
    <t>204:233053</t>
  </si>
  <si>
    <t>204:233309</t>
  </si>
  <si>
    <t>204:232983</t>
  </si>
  <si>
    <t>204:511</t>
  </si>
  <si>
    <t>204:233264</t>
  </si>
  <si>
    <t>204:232930</t>
  </si>
  <si>
    <t>204:1173</t>
  </si>
  <si>
    <t>204:129</t>
  </si>
  <si>
    <t>204:233342</t>
  </si>
  <si>
    <t>204:214</t>
  </si>
  <si>
    <t>204:233337</t>
  </si>
  <si>
    <t>204:198</t>
  </si>
  <si>
    <t>204:233005</t>
  </si>
  <si>
    <t>204:233331</t>
  </si>
  <si>
    <t>204:233322</t>
  </si>
  <si>
    <t>204:497</t>
  </si>
  <si>
    <t>204:233278</t>
  </si>
  <si>
    <t>204:232955</t>
  </si>
  <si>
    <t>204:303</t>
  </si>
  <si>
    <t>204:233229</t>
  </si>
  <si>
    <t>204:185</t>
  </si>
  <si>
    <t>204:462</t>
  </si>
  <si>
    <t>204:233319</t>
  </si>
  <si>
    <t>204:36742</t>
  </si>
  <si>
    <t>204:232968</t>
  </si>
  <si>
    <t>204:191</t>
  </si>
  <si>
    <t>204:228114</t>
  </si>
  <si>
    <t>204:647</t>
  </si>
  <si>
    <t>204:227339</t>
  </si>
  <si>
    <t>204:142</t>
  </si>
  <si>
    <t>204:228293</t>
  </si>
  <si>
    <t>204:233034</t>
  </si>
  <si>
    <t>204:133</t>
  </si>
  <si>
    <t>300:22497</t>
  </si>
  <si>
    <t>300:25128</t>
  </si>
  <si>
    <t>300:24407</t>
  </si>
  <si>
    <t>300:22992</t>
  </si>
  <si>
    <t>300:22062</t>
  </si>
  <si>
    <t>300:23136</t>
  </si>
  <si>
    <t>300:21971</t>
  </si>
  <si>
    <t>300:23295</t>
  </si>
  <si>
    <t>300:23506</t>
  </si>
  <si>
    <t>204:176</t>
  </si>
  <si>
    <t>204:953</t>
  </si>
  <si>
    <t>300:23314</t>
  </si>
  <si>
    <t>300:23510</t>
  </si>
  <si>
    <t>300:23346</t>
  </si>
  <si>
    <t>300:21926</t>
  </si>
  <si>
    <t>204:859</t>
  </si>
  <si>
    <t>204:1167</t>
  </si>
  <si>
    <t>204:107429</t>
  </si>
  <si>
    <t>204:107103</t>
  </si>
  <si>
    <t>204:877</t>
  </si>
  <si>
    <t>204:1181</t>
  </si>
  <si>
    <t>300:24248</t>
  </si>
  <si>
    <t>300:23022</t>
  </si>
  <si>
    <t>204:117</t>
  </si>
  <si>
    <t>204:417</t>
  </si>
  <si>
    <t>300:24241</t>
  </si>
  <si>
    <t>300:58929</t>
  </si>
  <si>
    <t>204:1021</t>
  </si>
  <si>
    <t>300:58928</t>
  </si>
  <si>
    <t>204:1477</t>
  </si>
  <si>
    <t>300:58918</t>
  </si>
  <si>
    <t>204:138</t>
  </si>
  <si>
    <t>300:23154</t>
  </si>
  <si>
    <t>204:1165</t>
  </si>
  <si>
    <t>204:719</t>
  </si>
  <si>
    <t>300:58611</t>
  </si>
  <si>
    <t>204:733</t>
  </si>
  <si>
    <t>300:28782</t>
  </si>
  <si>
    <t>204:1209</t>
  </si>
  <si>
    <t>300:23190</t>
  </si>
  <si>
    <t>204:1138</t>
  </si>
  <si>
    <t>300:58679</t>
  </si>
  <si>
    <t>300:58995</t>
  </si>
  <si>
    <t>204:748</t>
  </si>
  <si>
    <t>204:976</t>
  </si>
  <si>
    <t>300:58641</t>
  </si>
  <si>
    <t>204:673</t>
  </si>
  <si>
    <t>300:58992</t>
  </si>
  <si>
    <t>204:731</t>
  </si>
  <si>
    <t>204:983</t>
  </si>
  <si>
    <t>300:58638</t>
  </si>
  <si>
    <t>204:1016</t>
  </si>
  <si>
    <t>300:58997</t>
  </si>
  <si>
    <t>300:58675</t>
  </si>
  <si>
    <t>204:969</t>
  </si>
  <si>
    <t>300:58943</t>
  </si>
  <si>
    <t>300:58630</t>
  </si>
  <si>
    <t>204:985</t>
  </si>
  <si>
    <t>300:58956</t>
  </si>
  <si>
    <t>300:58634</t>
  </si>
  <si>
    <t>204:668</t>
  </si>
  <si>
    <t>300:58946</t>
  </si>
  <si>
    <t>204:717</t>
  </si>
  <si>
    <t>204:997</t>
  </si>
  <si>
    <t>300:58628</t>
  </si>
  <si>
    <t>300:58961</t>
  </si>
  <si>
    <t>300:58653</t>
  </si>
  <si>
    <t>204:750</t>
  </si>
  <si>
    <t>204:1044</t>
  </si>
  <si>
    <t>300:58967</t>
  </si>
  <si>
    <t>300:58647</t>
  </si>
  <si>
    <t>300:57599</t>
  </si>
  <si>
    <t>204:740</t>
  </si>
  <si>
    <t>204:990</t>
  </si>
  <si>
    <t>300:59016</t>
  </si>
  <si>
    <t>300:58704</t>
  </si>
  <si>
    <t>204:789</t>
  </si>
  <si>
    <t>300:58969</t>
  </si>
  <si>
    <t>300:58642</t>
  </si>
  <si>
    <t>204:703</t>
  </si>
  <si>
    <t>204:1088</t>
  </si>
  <si>
    <t>300:58088</t>
  </si>
  <si>
    <t>300:57339</t>
  </si>
  <si>
    <t>204:631</t>
  </si>
  <si>
    <t>204:979</t>
  </si>
  <si>
    <t>300:58965</t>
  </si>
  <si>
    <t>204:908</t>
  </si>
  <si>
    <t>300:58984</t>
  </si>
  <si>
    <t>300:58664</t>
  </si>
  <si>
    <t>204:698</t>
  </si>
  <si>
    <t>204:1000</t>
  </si>
  <si>
    <t>300:58986</t>
  </si>
  <si>
    <t>300:58649</t>
  </si>
  <si>
    <t>204:1004</t>
  </si>
  <si>
    <t>300:58687</t>
  </si>
  <si>
    <t>204:986</t>
  </si>
  <si>
    <t>300:59005</t>
  </si>
  <si>
    <t>300:58978</t>
  </si>
  <si>
    <t>300:23493</t>
  </si>
  <si>
    <t>204:891</t>
  </si>
  <si>
    <t>300:30991</t>
  </si>
  <si>
    <t>204:1688</t>
  </si>
  <si>
    <t>204:1488</t>
  </si>
  <si>
    <t>300:31305</t>
  </si>
  <si>
    <t>300:30161</t>
  </si>
  <si>
    <t>300:23474</t>
  </si>
  <si>
    <t>204:450</t>
  </si>
  <si>
    <t>300:24263</t>
  </si>
  <si>
    <t>300:23243</t>
  </si>
  <si>
    <t>300:58674</t>
  </si>
  <si>
    <t>300:28795</t>
  </si>
  <si>
    <t>300:58668</t>
  </si>
  <si>
    <t>300:21608</t>
  </si>
  <si>
    <t>start /low /b %USERPROFILE%\Documents\GitHub\eaglep3\Utilities\DownloadLogsFromS3.py --loco 4043 --day 2017-03-09</t>
  </si>
  <si>
    <t>start /low /b %USERPROFILE%\Documents\GitHub\eaglep3\Utilities\DownloadLogsFromS3.py --loco 4020 --day 2017-03-09</t>
  </si>
  <si>
    <t>start /low /b %USERPROFILE%\Documents\GitHub\eaglep3\Utilities\DownloadLogsFromS3.py --loco 4003 --day 2017-03-10</t>
  </si>
  <si>
    <t>start /low /b %USERPROFILE%\Documents\GitHub\eaglep3\Utilities\DownloadLogsFromS3.py --loco 4018 --day 2017-03-10</t>
  </si>
  <si>
    <t>start /low /b %USERPROFILE%\Documents\GitHub\eaglep3\Utilities\DownloadLogsFromS3.py --loco 4044 --day 2017-03-09</t>
  </si>
  <si>
    <t>start /low /b %USERPROFILE%\Documents\GitHub\eaglep3\Utilities\DownloadLogsFromS3.py --loco 4019 --day 2017-03-10</t>
  </si>
  <si>
    <t>start /low /b %USERPROFILE%\Documents\GitHub\eaglep3\Utilities\DownloadLogsFromS3.py --loco 4021 --day 2017-03-09</t>
  </si>
  <si>
    <t>start /low /b %USERPROFILE%\Documents\GitHub\eaglep3\Utilities\DownloadLogsFromS3.py --loco 4015 --day 2017-03-09</t>
  </si>
  <si>
    <t>start /low /b %USERPROFILE%\Documents\GitHub\eaglep3\Utilities\DownloadLogsFromS3.py --loco 4003 --day 2017-03-09</t>
  </si>
  <si>
    <t>start /low /b %USERPROFILE%\Documents\GitHub\eaglep3\Utilities\DownloadLogsFromS3.py --loco 4043 --day 2017-03-10</t>
  </si>
  <si>
    <t>start /low /b %USERPROFILE%\Documents\GitHub\eaglep3\Utilities\DownloadLogsFromS3.py --loco 4018 --day 2017-03-09</t>
  </si>
  <si>
    <t>start /low /b %USERPROFILE%\Documents\GitHub\eaglep3\Utilities\DownloadLogsFromS3.py --loco 4044 --day 2017-03-10</t>
  </si>
  <si>
    <t>start /low /b %USERPROFILE%\Documents\GitHub\eaglep3\Utilities\DownloadLogsFromS3.py --loco 4013 --day 2017-03-10</t>
  </si>
  <si>
    <t>start /low /b %USERPROFILE%\Documents\GitHub\eaglep3\Utilities\DownloadLogsFromS3.py --loco 4007 --day 2017-03-10</t>
  </si>
  <si>
    <t>start /low /b %USERPROFILE%\Documents\GitHub\eaglep3\Utilities\DownloadLogsFromS3.py --loco 4011 --day 2017-03-09</t>
  </si>
  <si>
    <t>start /low /b %USERPROFILE%\Documents\GitHub\eaglep3\Utilities\DownloadLogsFromS3.py --loco 4012 --day 2017-03-09</t>
  </si>
  <si>
    <t>start /low /b %USERPROFILE%\Documents\GitHub\eaglep3\Utilities\DownloadLogsFromS3.py --loco 4012 --day 2017-03-10</t>
  </si>
  <si>
    <t>start /low /b %USERPROFILE%\Documents\GitHub\eaglep3\Utilities\DownloadLogsFromS3.py --loco 4011 --day 2017-03-10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</si>
</sst>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workbookViewId="0">
      <selection activeCell="L19" sqref="L19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42803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143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143</v>
      </c>
      <c r="K5" s="40"/>
      <c r="L5" s="40"/>
      <c r="M5" s="41">
        <f>AVERAGEIFS($N$13:$N$9334,$AG$13:$AG$9334,I1)</f>
        <v>40.125407925310341</v>
      </c>
      <c r="N5" s="39">
        <f t="array" ref="N5">MIN(IF($AG$13:$AG$9334=I1,IF(ISNUMBER($N$13:$N$9334),IF($N$13:$N$9334&gt;0,$N$13:$N$9334))))</f>
        <v>28.733333334093913</v>
      </c>
      <c r="O5" s="3">
        <f t="array" ref="O5">MAX(IF($AG$13:$AG$9334=I1,IF(ISNUMBER($N$13:$N$9334),IF($N$13:$N$9334&gt;0,$N$13:$N$9334))))</f>
        <v>51.966666660737246</v>
      </c>
      <c r="P5" s="2"/>
      <c r="R5" s="74" t="s">
        <v>17</v>
      </c>
      <c r="S5" s="50">
        <f>COUNTIFS($N$13:$N$9334,"&gt;0",$AG$13:$AG$9334,R1)</f>
        <v>47</v>
      </c>
      <c r="T5" s="40"/>
      <c r="U5" s="177"/>
      <c r="V5" s="174">
        <f>AVERAGEIFS($N$13:$N$9334,$AG$13:$AG$9334,R1)</f>
        <v>14.745390071444451</v>
      </c>
      <c r="W5" s="175">
        <f t="array" ref="W5">MIN(IF($AG$13:$AG$9334=R1,IF(ISNUMBER($N$13:$N$9334),IF($N$13:$N$9334&gt;0,$N$13:$N$9334))))</f>
        <v>6.6333333333022892</v>
      </c>
      <c r="X5" s="176">
        <f t="array" ref="X5">MAX(IF($AG$13:$AG$9334=R1,IF(ISNUMBER($N$13:$N$9334),IF($N$13:$N$9334&gt;0,$N$13:$N$9334))))</f>
        <v>21.883333335863426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40.125407925310341</v>
      </c>
      <c r="N8" s="39">
        <f>N5</f>
        <v>28.733333334093913</v>
      </c>
      <c r="O8" s="3">
        <f>O5</f>
        <v>51.966666660737246</v>
      </c>
      <c r="P8" s="2"/>
      <c r="R8" s="74" t="s">
        <v>16</v>
      </c>
      <c r="S8" s="50">
        <f>S5</f>
        <v>47</v>
      </c>
      <c r="T8" s="40"/>
      <c r="U8" s="177"/>
      <c r="V8" s="174">
        <f>V5</f>
        <v>14.745390071444451</v>
      </c>
      <c r="W8" s="175">
        <f>W5</f>
        <v>6.6333333333022892</v>
      </c>
      <c r="X8" s="176">
        <f>X5</f>
        <v>21.883333335863426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- 2017-03-09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AVERAGE(S13:S82)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617</v>
      </c>
      <c r="B13" s="7">
        <v>4020</v>
      </c>
      <c r="C13" s="21" t="s">
        <v>242</v>
      </c>
      <c r="D13" s="21" t="s">
        <v>558</v>
      </c>
      <c r="E13" s="13">
        <v>42803.133113425924</v>
      </c>
      <c r="F13" s="13">
        <v>42803.136250000003</v>
      </c>
      <c r="G13" s="7">
        <v>1</v>
      </c>
      <c r="H13" s="21" t="s">
        <v>816</v>
      </c>
      <c r="I13" s="13">
        <v>42803.164375</v>
      </c>
      <c r="J13" s="7">
        <v>0</v>
      </c>
      <c r="K13" s="98" t="str">
        <f>IF(ISEVEN(B13),(B13-1)&amp;"/"&amp;B13,B13&amp;"/"&amp;(B13+1))</f>
        <v>4019/4020</v>
      </c>
      <c r="L13" s="21" t="str">
        <f>VLOOKUP(A13,'Trips&amp;Operators'!$C$1:$G$99999,5,FALSE)</f>
        <v>YOUNG ELIZABETH</v>
      </c>
      <c r="M13" s="6">
        <f>I13-F13</f>
        <v>2.8124999997089617E-2</v>
      </c>
      <c r="N13" s="7">
        <f>24*60*SUM($M13:$M13)</f>
        <v>40.499999995809048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-09T02:11:41-0700',mode:absolute,to:'2017-03-09T04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>IF(AA13&lt;IF(AG13="EC",23,5.65),"Y","N")</f>
        <v>N</v>
      </c>
      <c r="X13" s="187" t="e">
        <f>VALUE(LEFT(AD13,4))-VALUE(LEFT(AD12,4))</f>
        <v>#VALUE!</v>
      </c>
      <c r="Y13" s="62">
        <f>RIGHT(D13,LEN(D13)-4)/10000</f>
        <v>7.6100000000000001E-2</v>
      </c>
      <c r="Z13" s="62">
        <f>RIGHT(H13,LEN(H13)-4)/10000</f>
        <v>23.333200000000001</v>
      </c>
      <c r="AA13" s="62">
        <f>ABS(Z13-Y13)</f>
        <v>23.257100000000001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0101-09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/stypes="app*4020*20170309*" /stext=" 10:.+((SYSTEM_STATE.+slice.+state.+changed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4020 --swversion DE.1.0.9.0 --startMP 204:761 --initTime 2017-03-09T03:11:41 --startdatetime 2017-03-09T03:16:12 --delay 1 --endMP 204:233332 --enddatetime 2017-03-09T03:56:42 --enforcementcount 0 &gt;&gt;C:\Users\stu\Documents\GitHub\eaglep3-reporting\EC\2017-03-09-refined-times.txt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{"issue":{"subject":"","project_id":79,"tracker_id":40,"status_id":1,"priority_id":2,"assigned_to_id":23,"start_date":"2017-03-09","description":"","custom_fields":[{"id":1,"name":"Subdivision","value":"EC"},{"id":4,"name":"Milepost","value":"23.3332"},{"id":17,"name":"Train ID","value":"101-09"},{"id":16,"name":"Locomotive ID","value":"4020"},{"id":130,"name":"Impact","value":""},{"id":150,"name":"Time of Event (Mountain Time)","value":"03:56:42"},{"id":151,"name":"Denver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4020 --day 2017-03-09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576</v>
      </c>
      <c r="B14" s="7">
        <v>4021</v>
      </c>
      <c r="C14" s="21" t="s">
        <v>242</v>
      </c>
      <c r="D14" s="21" t="s">
        <v>817</v>
      </c>
      <c r="E14" s="13">
        <v>42803.167581018519</v>
      </c>
      <c r="F14" s="13">
        <v>42803.17459490741</v>
      </c>
      <c r="G14" s="7">
        <v>2</v>
      </c>
      <c r="H14" s="21" t="s">
        <v>423</v>
      </c>
      <c r="I14" s="13">
        <v>42803.205231481479</v>
      </c>
      <c r="J14" s="7">
        <v>0</v>
      </c>
      <c r="K14" s="98" t="str">
        <f>IF(ISEVEN(B14),(B14-1)&amp;"/"&amp;B14,B14&amp;"/"&amp;(B14+1))</f>
        <v>4021/4022</v>
      </c>
      <c r="L14" s="21" t="str">
        <f>VLOOKUP(A14,'Trips&amp;Operators'!$C$1:$G$99999,5,FALSE)</f>
        <v>YOUNG ELIZABETH</v>
      </c>
      <c r="M14" s="6">
        <f>I14-F14</f>
        <v>3.0636574068921618E-2</v>
      </c>
      <c r="N14" s="7">
        <f>24*60*SUM($M14:$M14)</f>
        <v>44.11666665924713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-03-09T03:01:19-0700',mode:absolute,to:'2017-03-09T05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7" t="str">
        <f>IF(AA14&lt;IF(AG14="EC",23,5.65),"Y","N")</f>
        <v>N</v>
      </c>
      <c r="X14" s="187">
        <f>VALUE(LEFT(AD14,4))-VALUE(LEFT(AD13,4))</f>
        <v>1</v>
      </c>
      <c r="Y14" s="62">
        <f>RIGHT(D14,LEN(D14)-4)/10000</f>
        <v>23.2683</v>
      </c>
      <c r="Z14" s="62">
        <f>RIGHT(H14,LEN(H14)-4)/10000</f>
        <v>1.43E-2</v>
      </c>
      <c r="AA14" s="62">
        <f>ABS(Z14-Y14)</f>
        <v>23.254000000000001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0102-09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/stypes="app*4021*20170309*" /stext=" 11:.+((SYSTEM_STATE.+slice.+state.+changed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4021 --swversion DE.1.0.9.0 --startMP 204:232683 --initTime 2017-03-09T04:01:19 --startdatetime 2017-03-09T04:11:25 --delay 2 --endMP 204:143 --enddatetime 2017-03-09T04:55:32 --enforcementcount 0 &gt;&gt;C:\Users\stu\Documents\GitHub\eaglep3-reporting\EC\2017-03-09-refined-times.txt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ID","value":"102-09"},{"id":16,"name":"Locomotive ID","value":"4021"},{"id":130,"name":"Impact","value":""},{"id":150,"name":"Time of Event (Mountain Time)","value":"04:55:32"},{"id":151,"name":"Denver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5">"start /low /b "&amp;dls3logs&amp;" --loco "&amp;B14&amp;" --day "&amp;TEXT(F14,"YYYY-MM-DD")</f>
        <v>start /low /b %USERPROFILE%\Documents\GitHub\eaglep3\Utilities\DownloadLogsFromS3.py --loco 4021 --day 2017-03-09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620</v>
      </c>
      <c r="B15" s="7">
        <v>4016</v>
      </c>
      <c r="C15" s="21" t="s">
        <v>242</v>
      </c>
      <c r="D15" s="21" t="s">
        <v>818</v>
      </c>
      <c r="E15" s="13">
        <v>42803.152951388889</v>
      </c>
      <c r="F15" s="13">
        <v>42803.156481481485</v>
      </c>
      <c r="G15" s="7">
        <v>1</v>
      </c>
      <c r="H15" s="21" t="s">
        <v>249</v>
      </c>
      <c r="I15" s="13">
        <v>42803.183506944442</v>
      </c>
      <c r="J15" s="7">
        <v>0</v>
      </c>
      <c r="K15" s="98" t="str">
        <f>IF(ISEVEN(B15),(B15-1)&amp;"/"&amp;B15,B15&amp;"/"&amp;(B15+1))</f>
        <v>4015/4016</v>
      </c>
      <c r="L15" s="21" t="str">
        <f>VLOOKUP(A15,'Trips&amp;Operators'!$C$1:$G$99999,5,FALSE)</f>
        <v>BONDS REYNALDO</v>
      </c>
      <c r="M15" s="6">
        <f>I15-F15</f>
        <v>2.7025462957681157E-2</v>
      </c>
      <c r="N15" s="7">
        <f>24*60*SUM($M15:$M15)</f>
        <v>38.916666659060866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-03-09T02:40:15-0700',mode:absolute,to:'2017-03-09T05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7" t="str">
        <f>IF(AA15&lt;IF(AG15="EC",23,5.65),"Y","N")</f>
        <v>N</v>
      </c>
      <c r="X15" s="187">
        <f>VALUE(LEFT(AD15,4))-VALUE(LEFT(AD14,4))</f>
        <v>1</v>
      </c>
      <c r="Y15" s="62">
        <f>RIGHT(D15,LEN(D15)-4)/10000</f>
        <v>7.3899999999999993E-2</v>
      </c>
      <c r="Z15" s="62">
        <f>RIGHT(H15,LEN(H15)-4)/10000</f>
        <v>23.328900000000001</v>
      </c>
      <c r="AA15" s="62">
        <f>ABS(Z15-Y15)</f>
        <v>23.255000000000003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0103-09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/stypes="app*4016*20170309*" /stext=" 11:.+((SYSTEM_STATE.+slice.+state.+changed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103-09 --locoid 4016 --swversion DE.1.0.9.0 --startMP 204:739 --initTime 2017-03-09T03:40:15 --startdatetime 2017-03-09T03:45:20 --delay 1 --endMP 204:233289 --enddatetime 2017-03-09T04:24:15 --enforcementcount 0 &gt;&gt;C:\Users\stu\Documents\GitHub\eaglep3-reporting\EC\2017-03-09-refined-times.txt</v>
      </c>
      <c r="AI1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ID","value":"103-09"},{"id":16,"name":"Locomotive ID","value":"4016"},{"id":130,"name":"Impact","value":""},{"id":150,"name":"Time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4016 --day 2017-03-09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628</v>
      </c>
      <c r="B16" s="7">
        <v>4017</v>
      </c>
      <c r="C16" s="21" t="s">
        <v>242</v>
      </c>
      <c r="D16" s="21" t="s">
        <v>819</v>
      </c>
      <c r="E16" s="13">
        <v>42803.191365740742</v>
      </c>
      <c r="F16" s="13">
        <v>42803.195381944446</v>
      </c>
      <c r="G16" s="7">
        <v>1</v>
      </c>
      <c r="H16" s="21" t="s">
        <v>267</v>
      </c>
      <c r="I16" s="13">
        <v>42803.224502314813</v>
      </c>
      <c r="J16" s="7">
        <v>0</v>
      </c>
      <c r="K16" s="98" t="str">
        <f>IF(ISEVEN(B16),(B16-1)&amp;"/"&amp;B16,B16&amp;"/"&amp;(B16+1))</f>
        <v>4017/4018</v>
      </c>
      <c r="L16" s="21" t="str">
        <f>VLOOKUP(A16,'Trips&amp;Operators'!$C$1:$G$99999,5,FALSE)</f>
        <v>BONDS REYNALDO</v>
      </c>
      <c r="M16" s="6">
        <f>I16-F16</f>
        <v>2.9120370367309079E-2</v>
      </c>
      <c r="N16" s="7">
        <f>24*60*SUM($M16:$M16)</f>
        <v>41.933333328925073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-03-09T03:35:34-0700',mode:absolute,to:'2017-03-09T06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7" t="str">
        <f>IF(AA16&lt;IF(AG16="EC",23,5.65),"Y","N")</f>
        <v>N</v>
      </c>
      <c r="X16" s="187">
        <f>VALUE(LEFT(AD16,4))-VALUE(LEFT(AD15,4))</f>
        <v>1</v>
      </c>
      <c r="Y16" s="62">
        <f>RIGHT(D16,LEN(D16)-4)/10000</f>
        <v>23.264399999999998</v>
      </c>
      <c r="Z16" s="62">
        <f>RIGHT(H16,LEN(H16)-4)/10000</f>
        <v>1.34E-2</v>
      </c>
      <c r="AA16" s="62">
        <f>ABS(Z16-Y16)</f>
        <v>23.250999999999998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0104-09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/stypes="app*4017*20170309*" /stext=" 12:.+((SYSTEM_STATE.+slice.+state.+changed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104-09 --locoid 4017 --swversion DE.1.0.9.0 --startMP 204:232644 --initTime 2017-03-09T04:35:34 --startdatetime 2017-03-09T04:41:21 --delay 1 --endMP 204:134 --enddatetime 2017-03-09T05:23:17 --enforcementcount 0 &gt;&gt;C:\Users\stu\Documents\GitHub\eaglep3-reporting\EC\2017-03-09-refined-times.txt</v>
      </c>
      <c r="AI1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{"issue":{"subject":"","project_id":79,"tracker_id":40,"status_id":1,"priority_id":2,"assigned_to_id":23,"start_date":"2017-03-09","description":"","custom_fields":[{"id":1,"name":"Subdivision","value":"EC"},{"id":4,"name":"Milepost","value":"0.0134"},{"id":17,"name":"Train ID","value":"104-09"},{"id":16,"name":"Locomotive ID","value":"4017"},{"id":130,"name":"Impact","value":""},{"id":150,"name":"Time of Event (Mountain Time)","value":"05:23:17"},{"id":151,"name":"Denver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4017 --day 2017-03-09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624</v>
      </c>
      <c r="B17" s="7">
        <v>4003</v>
      </c>
      <c r="C17" s="21" t="s">
        <v>242</v>
      </c>
      <c r="D17" s="21" t="s">
        <v>820</v>
      </c>
      <c r="E17" s="13">
        <v>42803.167696759258</v>
      </c>
      <c r="F17" s="13">
        <v>42803.177245370367</v>
      </c>
      <c r="G17" s="7">
        <v>1</v>
      </c>
      <c r="H17" s="21" t="s">
        <v>821</v>
      </c>
      <c r="I17" s="13">
        <v>42803.202893518515</v>
      </c>
      <c r="J17" s="7">
        <v>0</v>
      </c>
      <c r="K17" s="98" t="str">
        <f>IF(ISEVEN(B17),(B17-1)&amp;"/"&amp;B17,B17&amp;"/"&amp;(B17+1))</f>
        <v>4003/4004</v>
      </c>
      <c r="L17" s="21" t="str">
        <f>VLOOKUP(A17,'Trips&amp;Operators'!$C$1:$G$99999,5,FALSE)</f>
        <v>ROBINSON KADDIBA</v>
      </c>
      <c r="M17" s="6">
        <f>I17-F17</f>
        <v>2.5648148148320615E-2</v>
      </c>
      <c r="N17" s="7">
        <f>24*60*SUM($M17:$M17)</f>
        <v>36.933333333581686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-03-09T03:01:29-0700',mode:absolute,to:'2017-03-09T05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" s="187" t="str">
        <f>IF(AA17&lt;IF(AG17="EC",23,5.65),"Y","N")</f>
        <v>N</v>
      </c>
      <c r="X17" s="187">
        <f>VALUE(LEFT(AD17,4))-VALUE(LEFT(AD16,4))</f>
        <v>1</v>
      </c>
      <c r="Y17" s="62">
        <f>RIGHT(D17,LEN(D17)-4)/10000</f>
        <v>7.3499999999999996E-2</v>
      </c>
      <c r="Z17" s="62">
        <f>RIGHT(H17,LEN(H17)-4)/10000</f>
        <v>23.338899999999999</v>
      </c>
      <c r="AA17" s="62">
        <f>ABS(Z17-Y17)</f>
        <v>23.2654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0105-09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/stypes="app*4003*20170309*" /stext=" 11:.+((SYSTEM_STATE.+slice.+state.+changed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105-09 --locoid 4003 --swversion DE.1.0.9.0 --startMP 204:735 --initTime 2017-03-09T04:01:29 --startdatetime 2017-03-09T04:15:14 --delay 1 --endMP 204:233389 --enddatetime 2017-03-09T04:52:10 --enforcementcount 0 &gt;&gt;C:\Users\stu\Documents\GitHub\eaglep3-reporting\EC\2017-03-09-refined-times.txt</v>
      </c>
      <c r="AI1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{"issue":{"subject":"","project_id":79,"tracker_id":40,"status_id":1,"priority_id":2,"assigned_to_id":23,"start_date":"2017-03-09","description":"","custom_fields":[{"id":1,"name":"Subdivision","value":"EC"},{"id":4,"name":"Milepost","value":"23.3389"},{"id":17,"name":"Train ID","value":"105-09"},{"id":16,"name":"Locomotive ID","value":"4003"},{"id":130,"name":"Impact","value":""},{"id":150,"name":"Time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4003 --day 2017-03-09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633</v>
      </c>
      <c r="B18" s="7">
        <v>4043</v>
      </c>
      <c r="C18" s="21" t="s">
        <v>242</v>
      </c>
      <c r="D18" s="21" t="s">
        <v>822</v>
      </c>
      <c r="E18" s="13">
        <v>42803.209918981483</v>
      </c>
      <c r="F18" s="13">
        <v>42803.216134259259</v>
      </c>
      <c r="G18" s="7">
        <v>1</v>
      </c>
      <c r="H18" s="21" t="s">
        <v>203</v>
      </c>
      <c r="I18" s="13">
        <v>42803.244756944441</v>
      </c>
      <c r="J18" s="7">
        <v>0</v>
      </c>
      <c r="K18" s="98" t="str">
        <f>IF(ISEVEN(B18),(B18-1)&amp;"/"&amp;B18,B18&amp;"/"&amp;(B18+1))</f>
        <v>4043/4044</v>
      </c>
      <c r="L18" s="21" t="str">
        <f>VLOOKUP(A18,'Trips&amp;Operators'!$C$1:$G$99999,5,FALSE)</f>
        <v>ROBINSON KADDIBA</v>
      </c>
      <c r="M18" s="6">
        <f>I18-F18</f>
        <v>2.8622685182199348E-2</v>
      </c>
      <c r="N18" s="7">
        <f>24*60*SUM($M18:$M18)</f>
        <v>41.216666662367061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-03-09T04:02:17-0700',mode:absolute,to:'2017-03-09T06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187" t="str">
        <f>IF(AA18&lt;IF(AG18="EC",23,5.65),"Y","N")</f>
        <v>N</v>
      </c>
      <c r="X18" s="187">
        <f>VALUE(LEFT(AD18,4))-VALUE(LEFT(AD17,4))</f>
        <v>1</v>
      </c>
      <c r="Y18" s="62">
        <f>RIGHT(D18,LEN(D18)-4)/10000</f>
        <v>23.275200000000002</v>
      </c>
      <c r="Z18" s="62">
        <f>RIGHT(H18,LEN(H18)-4)/10000</f>
        <v>1.5800000000000002E-2</v>
      </c>
      <c r="AA18" s="62">
        <f>ABS(Z18-Y18)</f>
        <v>23.259400000000003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0106-09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/stypes="app*4043*20170309*" /stext=" 12:.+((SYSTEM_STATE.+slice.+state.+changed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106-09 --locoid 4043 --swversion DE.1.0.9.0 --startMP 204:232752 --initTime 2017-03-09T05:02:17 --startdatetime 2017-03-09T05:11:14 --delay 1 --endMP 204:158 --enddatetime 2017-03-09T05:52:27 --enforcementcount 0 &gt;&gt;C:\Users\stu\Documents\GitHub\eaglep3-reporting\EC\2017-03-09-refined-times.txt</v>
      </c>
      <c r="AI1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ID","value":"106-09"},{"id":16,"name":"Locomotive ID","value":"4043"},{"id":130,"name":"Impact","value":""},{"id":150,"name":"Time of Event (Mountain Time)","value":"05:52:27"},{"id":151,"name":"Denver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4043 --day 2017-03-09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626</v>
      </c>
      <c r="B19" s="7">
        <v>4029</v>
      </c>
      <c r="C19" s="21" t="s">
        <v>242</v>
      </c>
      <c r="D19" s="21" t="s">
        <v>217</v>
      </c>
      <c r="E19" s="13">
        <v>42803.183692129627</v>
      </c>
      <c r="F19" s="13">
        <v>42803.187685185185</v>
      </c>
      <c r="G19" s="7">
        <v>1</v>
      </c>
      <c r="H19" s="21" t="s">
        <v>816</v>
      </c>
      <c r="I19" s="13">
        <v>42803.213125000002</v>
      </c>
      <c r="J19" s="7">
        <v>0</v>
      </c>
      <c r="K19" s="98" t="str">
        <f>IF(ISEVEN(B19),(B19-1)&amp;"/"&amp;B19,B19&amp;"/"&amp;(B19+1))</f>
        <v>4029/4030</v>
      </c>
      <c r="L19" s="21" t="str">
        <f>VLOOKUP(A19,'Trips&amp;Operators'!$C$1:$G$99999,5,FALSE)</f>
        <v>GEBRETEKLE DAGNEW</v>
      </c>
      <c r="M19" s="6">
        <f>I19-F19</f>
        <v>2.5439814817218576E-2</v>
      </c>
      <c r="N19" s="7">
        <f>24*60*SUM($M19:$M19)</f>
        <v>36.633333336794749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-03-09T03:24:31-0700',mode:absolute,to:'2017-03-09T06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187" t="str">
        <f>IF(AA19&lt;IF(AG19="EC",23,5.65),"Y","N")</f>
        <v>N</v>
      </c>
      <c r="X19" s="187">
        <f>VALUE(LEFT(AD19,4))-VALUE(LEFT(AD18,4))</f>
        <v>1</v>
      </c>
      <c r="Y19" s="62">
        <f>RIGHT(D19,LEN(D19)-4)/10000</f>
        <v>4.5699999999999998E-2</v>
      </c>
      <c r="Z19" s="62">
        <f>RIGHT(H19,LEN(H19)-4)/10000</f>
        <v>23.333200000000001</v>
      </c>
      <c r="AA19" s="62">
        <f>ABS(Z19-Y19)</f>
        <v>23.287500000000001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0107-09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/stypes="app*4029*20170309*" /stext=" 12:.+((SYSTEM_STATE.+slice.+state.+changed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107-09 --locoid 4029 --swversion DE.1.0.9.0 --startMP 204:457 --initTime 2017-03-09T04:24:31 --startdatetime 2017-03-09T04:30:16 --delay 1 --endMP 204:233332 --enddatetime 2017-03-09T05:06:54 --enforcementcount 0 &gt;&gt;C:\Users\stu\Documents\GitHub\eaglep3-reporting\EC\2017-03-09-refined-times.txt</v>
      </c>
      <c r="AI1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{"issue":{"subject":"","project_id":79,"tracker_id":40,"status_id":1,"priority_id":2,"assigned_to_id":23,"start_date":"2017-03-09","description":"","custom_fields":[{"id":1,"name":"Subdivision","value":"EC"},{"id":4,"name":"Milepost","value":"23.3332"},{"id":17,"name":"Train ID","value":"107-09"},{"id":16,"name":"Locomotive ID","value":"4029"},{"id":130,"name":"Impact","value":""},{"id":150,"name":"Time of Event (Mountain Time)","value":"05:06:54"},{"id":151,"name":"Denver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4029 --day 2017-03-09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637</v>
      </c>
      <c r="B20" s="7">
        <v>4030</v>
      </c>
      <c r="C20" s="21" t="s">
        <v>242</v>
      </c>
      <c r="D20" s="21" t="s">
        <v>465</v>
      </c>
      <c r="E20" s="13">
        <v>42803.223946759259</v>
      </c>
      <c r="F20" s="13">
        <v>42803.226574074077</v>
      </c>
      <c r="G20" s="7">
        <v>1</v>
      </c>
      <c r="H20" s="21" t="s">
        <v>192</v>
      </c>
      <c r="I20" s="13">
        <v>42803.253761574073</v>
      </c>
      <c r="J20" s="7">
        <v>0</v>
      </c>
      <c r="K20" s="98" t="str">
        <f>IF(ISEVEN(B20),(B20-1)&amp;"/"&amp;B20,B20&amp;"/"&amp;(B20+1))</f>
        <v>4029/4030</v>
      </c>
      <c r="L20" s="21" t="str">
        <f>VLOOKUP(A20,'Trips&amp;Operators'!$C$1:$G$99999,5,FALSE)</f>
        <v>GEBRETEKLE DAGNEW</v>
      </c>
      <c r="M20" s="6">
        <f>I20-F20</f>
        <v>2.7187499996216502E-2</v>
      </c>
      <c r="N20" s="7">
        <f>24*60*SUM($M20:$M20)</f>
        <v>39.149999994551763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-03-09T04:22:29-0700',mode:absolute,to:'2017-03-09T07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87" t="str">
        <f>IF(AA20&lt;IF(AG20="EC",23,5.65),"Y","N")</f>
        <v>N</v>
      </c>
      <c r="X20" s="187">
        <f>VALUE(LEFT(AD20,4))-VALUE(LEFT(AD19,4))</f>
        <v>1</v>
      </c>
      <c r="Y20" s="62">
        <f>RIGHT(D20,LEN(D20)-4)/10000</f>
        <v>23.3019</v>
      </c>
      <c r="Z20" s="62">
        <f>RIGHT(H20,LEN(H20)-4)/10000</f>
        <v>1.4999999999999999E-2</v>
      </c>
      <c r="AA20" s="62">
        <f>ABS(Z20-Y20)</f>
        <v>23.286899999999999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0108-09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/stypes="app*4030*20170309*" /stext=" 13:.+((SYSTEM_STATE.+slice.+state.+changed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108-09 --locoid 4030 --swversion DE.1.0.9.0 --startMP 204:233019 --initTime 2017-03-09T05:22:29 --startdatetime 2017-03-09T05:26:16 --delay 1 --endMP 204:150 --enddatetime 2017-03-09T06:05:25 --enforcementcount 0 &gt;&gt;C:\Users\stu\Documents\GitHub\eaglep3-reporting\EC\2017-03-09-refined-times.txt</v>
      </c>
      <c r="AI2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ID","value":"108-09"},{"id":16,"name":"Locomotive ID","value":"4030"},{"id":130,"name":"Impact","value":""},{"id":150,"name":"Time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4030 --day 2017-03-09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629</v>
      </c>
      <c r="B21" s="7">
        <v>4040</v>
      </c>
      <c r="C21" s="21" t="s">
        <v>242</v>
      </c>
      <c r="D21" s="21" t="s">
        <v>227</v>
      </c>
      <c r="E21" s="13">
        <v>42803.195613425924</v>
      </c>
      <c r="F21" s="13">
        <v>42803.198136574072</v>
      </c>
      <c r="G21" s="7">
        <v>1</v>
      </c>
      <c r="H21" s="21" t="s">
        <v>273</v>
      </c>
      <c r="I21" s="13">
        <v>42803.222905092596</v>
      </c>
      <c r="J21" s="7">
        <v>0</v>
      </c>
      <c r="K21" s="98" t="str">
        <f>IF(ISEVEN(B21),(B21-1)&amp;"/"&amp;B21,B21&amp;"/"&amp;(B21+1))</f>
        <v>4039/4040</v>
      </c>
      <c r="L21" s="21" t="str">
        <f>VLOOKUP(A21,'Trips&amp;Operators'!$C$1:$G$99999,5,FALSE)</f>
        <v>ROCHA YAOTL</v>
      </c>
      <c r="M21" s="6">
        <f>I21-F21</f>
        <v>2.4768518524069805E-2</v>
      </c>
      <c r="N21" s="7">
        <f>24*60*SUM($M21:$M21)</f>
        <v>35.666666674660519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-03-09T03:41:41-0700',mode:absolute,to:'2017-03-09T06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87" t="str">
        <f>IF(AA21&lt;IF(AG21="EC",23,5.65),"Y","N")</f>
        <v>N</v>
      </c>
      <c r="X21" s="187">
        <f>VALUE(LEFT(AD21,4))-VALUE(LEFT(AD20,4))</f>
        <v>1</v>
      </c>
      <c r="Y21" s="62">
        <f>RIGHT(D21,LEN(D21)-4)/10000</f>
        <v>4.5499999999999999E-2</v>
      </c>
      <c r="Z21" s="62">
        <f>RIGHT(H21,LEN(H21)-4)/10000</f>
        <v>23.329499999999999</v>
      </c>
      <c r="AA21" s="62">
        <f>ABS(Z21-Y21)</f>
        <v>23.283999999999999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0109-09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/stypes="app*4040*20170309*" /stext=" 12:.+((SYSTEM_STATE.+slice.+state.+changed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109-09 --locoid 4040 --swversion DE.1.0.9.0 --startMP 204:455 --initTime 2017-03-09T04:41:41 --startdatetime 2017-03-09T04:45:19 --delay 1 --endMP 204:233295 --enddatetime 2017-03-09T05:20:59 --enforcementcount 0 &gt;&gt;C:\Users\stu\Documents\GitHub\eaglep3-reporting\EC\2017-03-09-refined-times.txt</v>
      </c>
      <c r="AI2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ID","value":"109-09"},{"id":16,"name":"Locomotive ID","value":"4040"},{"id":130,"name":"Impact","value":""},{"id":150,"name":"Time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4040 --day 2017-03-09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577</v>
      </c>
      <c r="B22" s="7">
        <v>4039</v>
      </c>
      <c r="C22" s="21" t="s">
        <v>242</v>
      </c>
      <c r="D22" s="21" t="s">
        <v>543</v>
      </c>
      <c r="E22" s="13">
        <v>42803.235358796293</v>
      </c>
      <c r="F22" s="13">
        <v>42803.236956018518</v>
      </c>
      <c r="G22" s="7">
        <v>1</v>
      </c>
      <c r="H22" s="21" t="s">
        <v>235</v>
      </c>
      <c r="I22" s="13">
        <v>42803.264803240738</v>
      </c>
      <c r="J22" s="7">
        <v>0</v>
      </c>
      <c r="K22" s="98" t="str">
        <f>IF(ISEVEN(B22),(B22-1)&amp;"/"&amp;B22,B22&amp;"/"&amp;(B22+1))</f>
        <v>4039/4040</v>
      </c>
      <c r="L22" s="21" t="str">
        <f>VLOOKUP(A22,'Trips&amp;Operators'!$C$1:$G$99999,5,FALSE)</f>
        <v>ROCHA YAOTL</v>
      </c>
      <c r="M22" s="6">
        <f>I22-F22</f>
        <v>2.7847222219861578E-2</v>
      </c>
      <c r="N22" s="7">
        <f>24*60*SUM($M22:$M22)</f>
        <v>40.099999996600673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-03-09T04:38:55-0700',mode:absolute,to:'2017-03-09T07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87" t="str">
        <f>IF(AA22&lt;IF(AG22="EC",23,5.65),"Y","N")</f>
        <v>N</v>
      </c>
      <c r="X22" s="187">
        <f>VALUE(LEFT(AD22,4))-VALUE(LEFT(AD21,4))</f>
        <v>1</v>
      </c>
      <c r="Y22" s="62">
        <f>RIGHT(D22,LEN(D22)-4)/10000</f>
        <v>23.298400000000001</v>
      </c>
      <c r="Z22" s="62">
        <f>RIGHT(H22,LEN(H22)-4)/10000</f>
        <v>1.47E-2</v>
      </c>
      <c r="AA22" s="62">
        <f>ABS(Z22-Y22)</f>
        <v>23.2837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0110-09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/stypes="app*4039*20170309*" /stext=" 13:.+((SYSTEM_STATE.+slice.+state.+changed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110-09 --locoid 4039 --swversion DE.1.0.9.0 --startMP 204:232984 --initTime 2017-03-09T05:38:55 --startdatetime 2017-03-09T05:41:13 --delay 1 --endMP 204:147 --enddatetime 2017-03-09T06:21:19 --enforcementcount 0 &gt;&gt;C:\Users\stu\Documents\GitHub\eaglep3-reporting\EC\2017-03-09-refined-times.txt</v>
      </c>
      <c r="AI2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ID","value":"110-09"},{"id":16,"name":"Locomotive ID","value":"4039"},{"id":130,"name":"Impact","value":""},{"id":150,"name":"Time of Event (Mountain Time)","value":"06:21:19"},{"id":151,"name":"Denver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4039 --day 2017-03-09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632</v>
      </c>
      <c r="B23" s="7">
        <v>4020</v>
      </c>
      <c r="C23" s="21" t="s">
        <v>242</v>
      </c>
      <c r="D23" s="21" t="s">
        <v>823</v>
      </c>
      <c r="E23" s="13">
        <v>42803.207442129627</v>
      </c>
      <c r="F23" s="13">
        <v>42803.208958333336</v>
      </c>
      <c r="G23" s="7">
        <v>1</v>
      </c>
      <c r="H23" s="21" t="s">
        <v>824</v>
      </c>
      <c r="I23" s="13">
        <v>42803.233657407407</v>
      </c>
      <c r="J23" s="7">
        <v>0</v>
      </c>
      <c r="K23" s="98" t="str">
        <f>IF(ISEVEN(B23),(B23-1)&amp;"/"&amp;B23,B23&amp;"/"&amp;(B23+1))</f>
        <v>4019/4020</v>
      </c>
      <c r="L23" s="21" t="str">
        <f>VLOOKUP(A23,'Trips&amp;Operators'!$C$1:$G$99999,5,FALSE)</f>
        <v>YORK EDGAR</v>
      </c>
      <c r="M23" s="6">
        <f>I23-F23</f>
        <v>2.4699074070667848E-2</v>
      </c>
      <c r="N23" s="7">
        <f>24*60*SUM($M23:$M23)</f>
        <v>35.566666661761701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-03-09T03:58:43-0700',mode:absolute,to:'2017-03-09T06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>IF(AA23&lt;IF(AG23="EC",23,5.65),"Y","N")</f>
        <v>N</v>
      </c>
      <c r="X23" s="187">
        <f>VALUE(LEFT(AD23,4))-VALUE(LEFT(AD22,4))</f>
        <v>1</v>
      </c>
      <c r="Y23" s="62">
        <f>RIGHT(D23,LEN(D23)-4)/10000</f>
        <v>7.9699999999999993E-2</v>
      </c>
      <c r="Z23" s="62">
        <f>RIGHT(H23,LEN(H23)-4)/10000</f>
        <v>23.328700000000001</v>
      </c>
      <c r="AA23" s="62">
        <f>ABS(Z23-Y23)</f>
        <v>23.249000000000002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0111-09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/stypes="app*4020*20170309*" /stext=" 12:.+((SYSTEM_STATE.+slice.+state.+changed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111-09 --locoid 4020 --swversion DE.1.0.9.0 --startMP 204:797 --initTime 2017-03-09T04:58:43 --startdatetime 2017-03-09T05:00:54 --delay 1 --endMP 204:233287 --enddatetime 2017-03-09T05:36:28 --enforcementcount 0 &gt;&gt;C:\Users\stu\Documents\GitHub\eaglep3-reporting\EC\2017-03-09-refined-times.txt</v>
      </c>
      <c r="AI2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{"issue":{"subject":"","project_id":79,"tracker_id":40,"status_id":1,"priority_id":2,"assigned_to_id":23,"start_date":"2017-03-09","description":"","custom_fields":[{"id":1,"name":"Subdivision","value":"EC"},{"id":4,"name":"Milepost","value":"23.3287"},{"id":17,"name":"Train ID","value":"111-09"},{"id":16,"name":"Locomotive ID","value":"4020"},{"id":130,"name":"Impact","value":""},{"id":150,"name":"Time of Event (Mountain Time)","value":"05:36:28"},{"id":151,"name":"Denver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4020 --day 2017-03-09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641</v>
      </c>
      <c r="B24" s="7">
        <v>4019</v>
      </c>
      <c r="C24" s="21" t="s">
        <v>242</v>
      </c>
      <c r="D24" s="21" t="s">
        <v>825</v>
      </c>
      <c r="E24" s="13">
        <v>42803.246111111112</v>
      </c>
      <c r="F24" s="13">
        <v>42803.247858796298</v>
      </c>
      <c r="G24" s="7">
        <v>1</v>
      </c>
      <c r="H24" s="21" t="s">
        <v>826</v>
      </c>
      <c r="I24" s="13">
        <v>42803.274837962963</v>
      </c>
      <c r="J24" s="7">
        <v>0</v>
      </c>
      <c r="K24" s="98" t="str">
        <f>IF(ISEVEN(B24),(B24-1)&amp;"/"&amp;B24,B24&amp;"/"&amp;(B24+1))</f>
        <v>4019/4020</v>
      </c>
      <c r="L24" s="21" t="str">
        <f>VLOOKUP(A24,'Trips&amp;Operators'!$C$1:$G$99999,5,FALSE)</f>
        <v>YORK EDGAR</v>
      </c>
      <c r="M24" s="6">
        <f>I24-F24</f>
        <v>2.6979166665114462E-2</v>
      </c>
      <c r="N24" s="7">
        <f>24*60*SUM($M24:$M24)</f>
        <v>38.849999997764826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-03-09T04:54:24-0700',mode:absolute,to:'2017-03-09T07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>IF(AA24&lt;IF(AG24="EC",23,5.65),"Y","N")</f>
        <v>N</v>
      </c>
      <c r="X24" s="187">
        <f>VALUE(LEFT(AD24,4))-VALUE(LEFT(AD23,4))</f>
        <v>1</v>
      </c>
      <c r="Y24" s="62">
        <f>RIGHT(D24,LEN(D24)-4)/10000</f>
        <v>23.2972</v>
      </c>
      <c r="Z24" s="62">
        <f>RIGHT(H24,LEN(H24)-4)/10000</f>
        <v>1.2999999999999999E-2</v>
      </c>
      <c r="AA24" s="62">
        <f>ABS(Z24-Y24)</f>
        <v>23.284199999999998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0112-09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/stypes="app*4019*20170309*" /stext=" 13:.+((SYSTEM_STATE.+slice.+state.+changed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112-09 --locoid 4019 --swversion DE.1.0.9.0 --startMP 204:232972 --initTime 2017-03-09T05:54:24 --startdatetime 2017-03-09T05:56:55 --delay 1 --endMP 204:130 --enddatetime 2017-03-09T06:35:46 --enforcementcount 0 &gt;&gt;C:\Users\stu\Documents\GitHub\eaglep3-reporting\EC\2017-03-09-refined-times.txt</v>
      </c>
      <c r="AI2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{"issue":{"subject":"","project_id":79,"tracker_id":40,"status_id":1,"priority_id":2,"assigned_to_id":23,"start_date":"2017-03-09","description":"","custom_fields":[{"id":1,"name":"Subdivision","value":"EC"},{"id":4,"name":"Milepost","value":"0.013"},{"id":17,"name":"Train ID","value":"112-09"},{"id":16,"name":"Locomotive ID","value":"4019"},{"id":130,"name":"Impact","value":""},{"id":150,"name":"Time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4019 --day 2017-03-09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636</v>
      </c>
      <c r="B25" s="7">
        <v>4022</v>
      </c>
      <c r="C25" s="21" t="s">
        <v>242</v>
      </c>
      <c r="D25" s="21" t="s">
        <v>269</v>
      </c>
      <c r="E25" s="13">
        <v>42803.211331018516</v>
      </c>
      <c r="F25" s="13">
        <v>42803.219178240739</v>
      </c>
      <c r="G25" s="7">
        <v>2</v>
      </c>
      <c r="H25" s="21" t="s">
        <v>460</v>
      </c>
      <c r="I25" s="13">
        <v>42803.245520833334</v>
      </c>
      <c r="J25" s="7">
        <v>0</v>
      </c>
      <c r="K25" s="98" t="str">
        <f>IF(ISEVEN(B25),(B25-1)&amp;"/"&amp;B25,B25&amp;"/"&amp;(B25+1))</f>
        <v>4021/4022</v>
      </c>
      <c r="L25" s="21" t="str">
        <f>VLOOKUP(A25,'Trips&amp;Operators'!$C$1:$G$99999,5,FALSE)</f>
        <v>YOUNG ELIZABETH</v>
      </c>
      <c r="M25" s="6">
        <f>I25-F25</f>
        <v>2.6342592595028691E-2</v>
      </c>
      <c r="N25" s="7">
        <f>24*60*SUM($M25:$M25)</f>
        <v>37.933333336841315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-03-09T04:04:19-0700',mode:absolute,to:'2017-03-09T06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7" t="str">
        <f>IF(AA25&lt;IF(AG25="EC",23,5.65),"Y","N")</f>
        <v>N</v>
      </c>
      <c r="X25" s="187">
        <f>VALUE(LEFT(AD25,4))-VALUE(LEFT(AD24,4))</f>
        <v>1</v>
      </c>
      <c r="Y25" s="62">
        <f>RIGHT(D25,LEN(D25)-4)/10000</f>
        <v>4.4200000000000003E-2</v>
      </c>
      <c r="Z25" s="62">
        <f>RIGHT(H25,LEN(H25)-4)/10000</f>
        <v>23.3307</v>
      </c>
      <c r="AA25" s="62">
        <f>ABS(Z25-Y25)</f>
        <v>23.2865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0113-09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/stypes="app*4022*20170309*" /stext=" 12:.+((SYSTEM_STATE.+slice.+state.+changed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113-09 --locoid 4022 --swversion DE.1.0.9.0 --startMP 204:442 --initTime 2017-03-09T05:04:19 --startdatetime 2017-03-09T05:15:37 --delay 2 --endMP 204:233307 --enddatetime 2017-03-09T05:53:33 --enforcementcount 0 &gt;&gt;C:\Users\stu\Documents\GitHub\eaglep3-reporting\EC\2017-03-09-refined-times.txt</v>
      </c>
      <c r="AI2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{"issue":{"subject":"","project_id":79,"tracker_id":40,"status_id":1,"priority_id":2,"assigned_to_id":23,"start_date":"2017-03-09","description":"","custom_fields":[{"id":1,"name":"Subdivision","value":"EC"},{"id":4,"name":"Milepost","value":"23.3307"},{"id":17,"name":"Train ID","value":"113-09"},{"id":16,"name":"Locomotive ID","value":"4022"},{"id":130,"name":"Impact","value":""},{"id":150,"name":"Time of Event (Mountain Time)","value":"05:53:33"},{"id":151,"name":"Denver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4022 --day 2017-03-09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578</v>
      </c>
      <c r="B26" s="7">
        <v>4021</v>
      </c>
      <c r="C26" s="21" t="s">
        <v>242</v>
      </c>
      <c r="D26" s="21" t="s">
        <v>283</v>
      </c>
      <c r="E26" s="13">
        <v>42803.248263888891</v>
      </c>
      <c r="F26" s="13">
        <v>42803.257939814815</v>
      </c>
      <c r="G26" s="7">
        <v>1</v>
      </c>
      <c r="H26" s="21" t="s">
        <v>432</v>
      </c>
      <c r="I26" s="13">
        <v>42803.288946759261</v>
      </c>
      <c r="J26" s="7">
        <v>0</v>
      </c>
      <c r="K26" s="98" t="str">
        <f>IF(ISEVEN(B26),(B26-1)&amp;"/"&amp;B26,B26&amp;"/"&amp;(B26+1))</f>
        <v>4021/4022</v>
      </c>
      <c r="L26" s="21" t="str">
        <f>VLOOKUP(A26,'Trips&amp;Operators'!$C$1:$G$99999,5,FALSE)</f>
        <v>YOUNG ELIZABETH</v>
      </c>
      <c r="M26" s="6">
        <f>I26-F26</f>
        <v>3.1006944445834961E-2</v>
      </c>
      <c r="N26" s="7">
        <f>24*60*SUM($M26:$M26)</f>
        <v>44.650000002002344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-03-09T04:57:30-0700',mode:absolute,to:'2017-03-09T07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7" t="str">
        <f>IF(AA26&lt;IF(AG26="EC",23,5.65),"Y","N")</f>
        <v>N</v>
      </c>
      <c r="X26" s="187">
        <f>VALUE(LEFT(AD26,4))-VALUE(LEFT(AD25,4))</f>
        <v>1</v>
      </c>
      <c r="Y26" s="62">
        <f>RIGHT(D26,LEN(D26)-4)/10000</f>
        <v>23.297799999999999</v>
      </c>
      <c r="Z26" s="62">
        <f>RIGHT(H26,LEN(H26)-4)/10000</f>
        <v>1.6E-2</v>
      </c>
      <c r="AA26" s="62">
        <f>ABS(Z26-Y26)</f>
        <v>23.2818</v>
      </c>
      <c r="AB26" s="59" t="str">
        <f>VLOOKUP(A26,Enforcements!$C$7:$K$13,8,0)</f>
        <v>Bulletin (2)</v>
      </c>
      <c r="AC26" s="55" t="str">
        <f>VLOOKUP(A26,Enforcements!$C$7:$E$13,3,0)</f>
        <v>GRADE CROSSING</v>
      </c>
      <c r="AD26" s="56" t="str">
        <f>IF(LEN(A26)=6,"0"&amp;A26,A26)</f>
        <v>0114-09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/stypes="app*4021*20170309*" /stext=" 13:.+((SYSTEM_STATE.+slice.+state.+changed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114-09 --locoid 4021 --swversion DE.1.0.9.0 --startMP 204:232978 --initTime 2017-03-09T05:57:30 --startdatetime 2017-03-09T06:11:26 --delay 1 --endMP 204:160 --enddatetime 2017-03-09T06:56:05 --enforcementcount 0 &gt;&gt;C:\Users\stu\Documents\GitHub\eaglep3-reporting\EC\2017-03-09-refined-times.txt</v>
      </c>
      <c r="AI2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ID","value":"114-09"},{"id":16,"name":"Locomotive ID","value":"4021"},{"id":130,"name":"Impact","value":""},{"id":150,"name":"Time of Event (Mountain Time)","value":"06:56:05"},{"id":151,"name":"Denver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4021 --day 2017-03-09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638</v>
      </c>
      <c r="B27" s="7">
        <v>4016</v>
      </c>
      <c r="C27" s="21" t="s">
        <v>242</v>
      </c>
      <c r="D27" s="21" t="s">
        <v>827</v>
      </c>
      <c r="E27" s="13">
        <v>42803.22693287037</v>
      </c>
      <c r="F27" s="13">
        <v>42803.229351851849</v>
      </c>
      <c r="G27" s="7">
        <v>2</v>
      </c>
      <c r="H27" s="21" t="s">
        <v>273</v>
      </c>
      <c r="I27" s="13">
        <v>42803.25509259259</v>
      </c>
      <c r="J27" s="7">
        <v>0</v>
      </c>
      <c r="K27" s="98" t="str">
        <f>IF(ISEVEN(B27),(B27-1)&amp;"/"&amp;B27,B27&amp;"/"&amp;(B27+1))</f>
        <v>4015/4016</v>
      </c>
      <c r="L27" s="21" t="str">
        <f>VLOOKUP(A27,'Trips&amp;Operators'!$C$1:$G$99999,5,FALSE)</f>
        <v>STARKS ANGELINA</v>
      </c>
      <c r="M27" s="6">
        <f>I27-F27</f>
        <v>2.5740740740729962E-2</v>
      </c>
      <c r="N27" s="7">
        <f>24*60*SUM($M27:$M27)</f>
        <v>37.066666666651145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-03-09T04:26:47-0700',mode:absolute,to:'2017-03-09T07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7" t="str">
        <f>IF(AA27&lt;IF(AG27="EC",23,5.65),"Y","N")</f>
        <v>N</v>
      </c>
      <c r="X27" s="187">
        <f>VALUE(LEFT(AD27,4))-VALUE(LEFT(AD26,4))</f>
        <v>1</v>
      </c>
      <c r="Y27" s="62">
        <f>RIGHT(D27,LEN(D27)-4)/10000</f>
        <v>7.46E-2</v>
      </c>
      <c r="Z27" s="62">
        <f>RIGHT(H27,LEN(H27)-4)/10000</f>
        <v>23.329499999999999</v>
      </c>
      <c r="AA27" s="62">
        <f>ABS(Z27-Y27)</f>
        <v>23.254899999999999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0115-09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/stypes="app*4016*20170309*" /stext=" 13:.+((SYSTEM_STATE.+slice.+state.+changed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115-09 --locoid 4016 --swversion DE.1.0.9.0 --startMP 204:746 --initTime 2017-03-09T05:26:47 --startdatetime 2017-03-09T05:30:16 --delay 2 --endMP 204:233295 --enddatetime 2017-03-09T06:07:20 --enforcementcount 0 &gt;&gt;C:\Users\stu\Documents\GitHub\eaglep3-reporting\EC\2017-03-09-refined-times.txt</v>
      </c>
      <c r="AI2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ID","value":"115-09"},{"id":16,"name":"Locomotive ID","value":"4016"},{"id":130,"name":"Impact","value":""},{"id":150,"name":"Time of Event (Mountain Time)","value":"06:07:20"},{"id":151,"name":"Denver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4016 --day 2017-03-09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579</v>
      </c>
      <c r="B28" s="7">
        <v>4015</v>
      </c>
      <c r="C28" s="21" t="s">
        <v>242</v>
      </c>
      <c r="D28" s="21" t="s">
        <v>825</v>
      </c>
      <c r="E28" s="13">
        <v>42803.265416666669</v>
      </c>
      <c r="F28" s="13">
        <v>42803.268240740741</v>
      </c>
      <c r="G28" s="7">
        <v>1</v>
      </c>
      <c r="H28" s="21" t="s">
        <v>184</v>
      </c>
      <c r="I28" s="13">
        <v>42803.2969212963</v>
      </c>
      <c r="J28" s="7">
        <v>0</v>
      </c>
      <c r="K28" s="98" t="str">
        <f>IF(ISEVEN(B28),(B28-1)&amp;"/"&amp;B28,B28&amp;"/"&amp;(B28+1))</f>
        <v>4015/4016</v>
      </c>
      <c r="L28" s="21" t="str">
        <f>VLOOKUP(A28,'Trips&amp;Operators'!$C$1:$G$99999,5,FALSE)</f>
        <v>STARKS ANGELINA</v>
      </c>
      <c r="M28" s="6">
        <f>I28-F28</f>
        <v>2.8680555558821652E-2</v>
      </c>
      <c r="N28" s="7">
        <f>24*60*SUM($M28:$M28)</f>
        <v>41.300000004703179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-03-09T05:22:12-0700',mode:absolute,to:'2017-03-09T08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7" t="str">
        <f>IF(AA28&lt;IF(AG28="EC",23,5.65),"Y","N")</f>
        <v>N</v>
      </c>
      <c r="X28" s="187">
        <f>VALUE(LEFT(AD28,4))-VALUE(LEFT(AD27,4))</f>
        <v>1</v>
      </c>
      <c r="Y28" s="62">
        <f>RIGHT(D28,LEN(D28)-4)/10000</f>
        <v>23.2972</v>
      </c>
      <c r="Z28" s="62">
        <f>RIGHT(H28,LEN(H28)-4)/10000</f>
        <v>1.49E-2</v>
      </c>
      <c r="AA28" s="62">
        <f>ABS(Z28-Y28)</f>
        <v>23.282299999999999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0116-09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/stypes="app*4015*20170309*" /stext=" 14:.+((SYSTEM_STATE.+slice.+state.+changed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116-09 --locoid 4015 --swversion DE.1.0.9.0 --startMP 204:232972 --initTime 2017-03-09T06:22:12 --startdatetime 2017-03-09T06:26:16 --delay 1 --endMP 204:149 --enddatetime 2017-03-09T07:07:34 --enforcementcount 0 &gt;&gt;C:\Users\stu\Documents\GitHub\eaglep3-reporting\EC\2017-03-09-refined-times.txt</v>
      </c>
      <c r="AI2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ID","value":"116-09"},{"id":16,"name":"Locomotive ID","value":"4015"},{"id":130,"name":"Impact","value":""},{"id":150,"name":"Time of Event (Mountain Time)","value":"07:07:34"},{"id":151,"name":"Denver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4015 --day 2017-03-09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640</v>
      </c>
      <c r="B29" s="7">
        <v>4018</v>
      </c>
      <c r="C29" s="21" t="s">
        <v>242</v>
      </c>
      <c r="D29" s="21" t="s">
        <v>828</v>
      </c>
      <c r="E29" s="13">
        <v>42803.232870370368</v>
      </c>
      <c r="F29" s="13">
        <v>42803.240023148152</v>
      </c>
      <c r="G29" s="7">
        <v>0</v>
      </c>
      <c r="H29" s="21" t="s">
        <v>829</v>
      </c>
      <c r="I29" s="13">
        <v>42803.266319444447</v>
      </c>
      <c r="J29" s="7">
        <v>0</v>
      </c>
      <c r="K29" s="98" t="str">
        <f>IF(ISEVEN(B29),(B29-1)&amp;"/"&amp;B29,B29&amp;"/"&amp;(B29+1))</f>
        <v>4017/4018</v>
      </c>
      <c r="L29" s="21" t="str">
        <f>VLOOKUP(A29,'Trips&amp;Operators'!$C$1:$G$99999,5,FALSE)</f>
        <v>BONDS REYNALDO</v>
      </c>
      <c r="M29" s="6">
        <f>I29-F29</f>
        <v>2.6296296295186039E-2</v>
      </c>
      <c r="N29" s="7">
        <f>24*60*SUM($M29:$M29)</f>
        <v>37.866666665067896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-03-09T04:35:20-0700',mode:absolute,to:'2017-03-09T07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7" t="str">
        <f>IF(AA29&lt;IF(AG29="EC",23,5.65),"Y","N")</f>
        <v>N</v>
      </c>
      <c r="X29" s="187">
        <f>VALUE(LEFT(AD29,4))-VALUE(LEFT(AD28,4))</f>
        <v>1</v>
      </c>
      <c r="Y29" s="62">
        <f>RIGHT(D29,LEN(D29)-4)/10000</f>
        <v>4.2599999999999999E-2</v>
      </c>
      <c r="Z29" s="62">
        <f>RIGHT(H29,LEN(H29)-4)/10000</f>
        <v>23.3276</v>
      </c>
      <c r="AA29" s="62">
        <f>ABS(Z29-Y29)</f>
        <v>23.285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0117-09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/stypes="app*4018*20170309*" /stext=" 13:.+((SYSTEM_STATE.+slice.+state.+changed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117-09 --locoid 4018 --swversion DE.1.0.9.0 --startMP 204:426 --initTime 2017-03-09T05:35:20 --startdatetime 2017-03-09T05:45:38 --delay 0 --endMP 204:233276 --enddatetime 2017-03-09T06:23:30 --enforcementcount 0 &gt;&gt;C:\Users\stu\Documents\GitHub\eaglep3-reporting\EC\2017-03-09-refined-times.txt</v>
      </c>
      <c r="AI2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{"issue":{"subject":"","project_id":79,"tracker_id":40,"status_id":1,"priority_id":2,"assigned_to_id":23,"start_date":"2017-03-09","description":"","custom_fields":[{"id":1,"name":"Subdivision","value":"EC"},{"id":4,"name":"Milepost","value":"23.3276"},{"id":17,"name":"Train ID","value":"117-09"},{"id":16,"name":"Locomotive ID","value":"4018"},{"id":130,"name":"Impact","value":""},{"id":150,"name":"Time of Event (Mountain Time)","value":"06:23:30"},{"id":151,"name":"Denver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4018 --day 2017-03-09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649</v>
      </c>
      <c r="B30" s="7">
        <v>4017</v>
      </c>
      <c r="C30" s="21" t="s">
        <v>242</v>
      </c>
      <c r="D30" s="21" t="s">
        <v>830</v>
      </c>
      <c r="E30" s="13">
        <v>42803.275590277779</v>
      </c>
      <c r="F30" s="13">
        <v>42803.278981481482</v>
      </c>
      <c r="G30" s="7">
        <v>0</v>
      </c>
      <c r="H30" s="21" t="s">
        <v>270</v>
      </c>
      <c r="I30" s="13">
        <v>42803.30704861111</v>
      </c>
      <c r="J30" s="7">
        <v>0</v>
      </c>
      <c r="K30" s="98" t="str">
        <f>IF(ISEVEN(B30),(B30-1)&amp;"/"&amp;B30,B30&amp;"/"&amp;(B30+1))</f>
        <v>4017/4018</v>
      </c>
      <c r="L30" s="21" t="str">
        <f>VLOOKUP(A30,'Trips&amp;Operators'!$C$1:$G$99999,5,FALSE)</f>
        <v>BONDS REYNALDO</v>
      </c>
      <c r="M30" s="6">
        <f>I30-F30</f>
        <v>2.806712962774327E-2</v>
      </c>
      <c r="N30" s="7">
        <f>24*60*SUM($M30:$M30)</f>
        <v>40.416666663950309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-03-09T05:36:51-0700',mode:absolute,to:'2017-03-09T08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7" t="str">
        <f>IF(AA30&lt;IF(AG30="EC",23,5.65),"Y","N")</f>
        <v>N</v>
      </c>
      <c r="X30" s="187">
        <f>VALUE(LEFT(AD30,4))-VALUE(LEFT(AD29,4))</f>
        <v>1</v>
      </c>
      <c r="Y30" s="62">
        <f>RIGHT(D30,LEN(D30)-4)/10000</f>
        <v>23.2986</v>
      </c>
      <c r="Z30" s="62">
        <f>RIGHT(H30,LEN(H30)-4)/10000</f>
        <v>1.61E-2</v>
      </c>
      <c r="AA30" s="62">
        <f>ABS(Z30-Y30)</f>
        <v>23.282499999999999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0118-09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/stypes="app*4017*20170309*" /stext=" 14:.+((SYSTEM_STATE.+slice.+state.+changed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118-09 --locoid 4017 --swversion DE.1.0.9.0 --startMP 204:232986 --initTime 2017-03-09T06:36:51 --startdatetime 2017-03-09T06:41:44 --delay 0 --endMP 204:161 --enddatetime 2017-03-09T07:22:09 --enforcementcount 0 &gt;&gt;C:\Users\stu\Documents\GitHub\eaglep3-reporting\EC\2017-03-09-refined-times.txt</v>
      </c>
      <c r="AI3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{"issue":{"subject":"","project_id":79,"tracker_id":40,"status_id":1,"priority_id":2,"assigned_to_id":23,"start_date":"2017-03-09","description":"","custom_fields":[{"id":1,"name":"Subdivision","value":"EC"},{"id":4,"name":"Milepost","value":"0.0161"},{"id":17,"name":"Train ID","value":"118-09"},{"id":16,"name":"Locomotive ID","value":"4017"},{"id":130,"name":"Impact","value":""},{"id":150,"name":"Time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4017 --day 2017-03-09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642</v>
      </c>
      <c r="B31" s="7">
        <v>4003</v>
      </c>
      <c r="C31" s="21" t="s">
        <v>242</v>
      </c>
      <c r="D31" s="21" t="s">
        <v>831</v>
      </c>
      <c r="E31" s="13">
        <v>42803.246562499997</v>
      </c>
      <c r="F31" s="13">
        <v>42803.2502662037</v>
      </c>
      <c r="G31" s="7">
        <v>2</v>
      </c>
      <c r="H31" s="21" t="s">
        <v>261</v>
      </c>
      <c r="I31" s="13">
        <v>42803.276064814818</v>
      </c>
      <c r="J31" s="7">
        <v>0</v>
      </c>
      <c r="K31" s="98" t="str">
        <f>IF(ISEVEN(B31),(B31-1)&amp;"/"&amp;B31,B31&amp;"/"&amp;(B31+1))</f>
        <v>4003/4004</v>
      </c>
      <c r="L31" s="21" t="str">
        <f>VLOOKUP(A31,'Trips&amp;Operators'!$C$1:$G$99999,5,FALSE)</f>
        <v>COOLAHAN JOHN</v>
      </c>
      <c r="M31" s="6">
        <f>I31-F31</f>
        <v>2.5798611117352266E-2</v>
      </c>
      <c r="N31" s="7">
        <f>24*60*SUM($M31:$M31)</f>
        <v>37.150000008987263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-03-09T04:55:03-0700',mode:absolute,to:'2017-03-09T07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1" s="187" t="str">
        <f>IF(AA31&lt;IF(AG31="EC",23,5.65),"Y","N")</f>
        <v>N</v>
      </c>
      <c r="X31" s="187">
        <f>VALUE(LEFT(AD31,4))-VALUE(LEFT(AD30,4))</f>
        <v>1</v>
      </c>
      <c r="Y31" s="62">
        <f>RIGHT(D31,LEN(D31)-4)/10000</f>
        <v>8.0600000000000005E-2</v>
      </c>
      <c r="Z31" s="62">
        <f>RIGHT(H31,LEN(H31)-4)/10000</f>
        <v>23.331199999999999</v>
      </c>
      <c r="AA31" s="62">
        <f>ABS(Z31-Y31)</f>
        <v>23.250599999999999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0119-09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/stypes="app*4003*20170309*" /stext=" 13:.+((SYSTEM_STATE.+slice.+state.+changed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119-09 --locoid 4003 --swversion DE.1.0.9.0 --startMP 204:806 --initTime 2017-03-09T05:55:03 --startdatetime 2017-03-09T06:00:23 --delay 2 --endMP 204:233312 --enddatetime 2017-03-09T06:37:32 --enforcementcount 0 &gt;&gt;C:\Users\stu\Documents\GitHub\eaglep3-reporting\EC\2017-03-09-refined-times.txt</v>
      </c>
      <c r="AI3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ID","value":"119-09"},{"id":16,"name":"Locomotive ID","value":"4003"},{"id":130,"name":"Impact","value":""},{"id":150,"name":"Time of Event (Mountain Time)","value":"06:37:32"},{"id":151,"name":"Denver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4003 --day 2017-03-09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652</v>
      </c>
      <c r="B32" s="7">
        <v>4004</v>
      </c>
      <c r="C32" s="21" t="s">
        <v>242</v>
      </c>
      <c r="D32" s="21" t="s">
        <v>832</v>
      </c>
      <c r="E32" s="13">
        <v>42803.282754629632</v>
      </c>
      <c r="F32" s="13">
        <v>42803.289189814815</v>
      </c>
      <c r="G32" s="7">
        <v>2</v>
      </c>
      <c r="H32" s="21" t="s">
        <v>235</v>
      </c>
      <c r="I32" s="13">
        <v>42803.316689814812</v>
      </c>
      <c r="J32" s="7">
        <v>0</v>
      </c>
      <c r="K32" s="98" t="str">
        <f>IF(ISEVEN(B32),(B32-1)&amp;"/"&amp;B32,B32&amp;"/"&amp;(B32+1))</f>
        <v>4003/4004</v>
      </c>
      <c r="L32" s="21" t="str">
        <f>VLOOKUP(A32,'Trips&amp;Operators'!$C$1:$G$99999,5,FALSE)</f>
        <v>COOLAHAN JOHN</v>
      </c>
      <c r="M32" s="6">
        <f>I32-F32</f>
        <v>2.749999999650754E-2</v>
      </c>
      <c r="N32" s="7">
        <f>24*60*SUM($M32:$M32)</f>
        <v>39.599999994970858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-03-09T05:47:10-0700',mode:absolute,to:'2017-03-09T08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87" t="str">
        <f>IF(AA32&lt;IF(AG32="EC",23,5.65),"Y","N")</f>
        <v>N</v>
      </c>
      <c r="X32" s="187">
        <f>VALUE(LEFT(AD32,4))-VALUE(LEFT(AD31,4))</f>
        <v>1</v>
      </c>
      <c r="Y32" s="62">
        <f>RIGHT(D32,LEN(D32)-4)/10000</f>
        <v>23.300999999999998</v>
      </c>
      <c r="Z32" s="62">
        <f>RIGHT(H32,LEN(H32)-4)/10000</f>
        <v>1.47E-2</v>
      </c>
      <c r="AA32" s="62">
        <f>ABS(Z32-Y32)</f>
        <v>23.286299999999997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0120-09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/stypes="app*4004*20170309*" /stext=" 14:.+((SYSTEM_STATE.+slice.+state.+changed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120-09 --locoid 4004 --swversion DE.1.0.9.0 --startMP 204:233010 --initTime 2017-03-09T06:47:10 --startdatetime 2017-03-09T06:56:26 --delay 2 --endMP 204:147 --enddatetime 2017-03-09T07:36:02 --enforcementcount 0 &gt;&gt;C:\Users\stu\Documents\GitHub\eaglep3-reporting\EC\2017-03-09-refined-times.txt</v>
      </c>
      <c r="AI3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ID","value":"120-09"},{"id":16,"name":"Locomotive ID","value":"4004"},{"id":130,"name":"Impact","value":""},{"id":150,"name":"Time of Event (Mountain Time)","value":"07:36:02"},{"id":151,"name":"Denver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4004 --day 2017-03-09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644</v>
      </c>
      <c r="B33" s="7">
        <v>4029</v>
      </c>
      <c r="C33" s="21" t="s">
        <v>242</v>
      </c>
      <c r="D33" s="21" t="s">
        <v>227</v>
      </c>
      <c r="E33" s="13">
        <v>42803.255960648145</v>
      </c>
      <c r="F33" s="13">
        <v>42803.260648148149</v>
      </c>
      <c r="G33" s="7">
        <v>2</v>
      </c>
      <c r="H33" s="21" t="s">
        <v>833</v>
      </c>
      <c r="I33" s="13">
        <v>42803.285624999997</v>
      </c>
      <c r="J33" s="7">
        <v>0</v>
      </c>
      <c r="K33" s="98" t="str">
        <f>IF(ISEVEN(B33),(B33-1)&amp;"/"&amp;B33,B33&amp;"/"&amp;(B33+1))</f>
        <v>4029/4030</v>
      </c>
      <c r="L33" s="21" t="str">
        <f>VLOOKUP(A33,'Trips&amp;Operators'!$C$1:$G$99999,5,FALSE)</f>
        <v>GEBRETEKLE DAGNEW</v>
      </c>
      <c r="M33" s="6">
        <f>I33-F33</f>
        <v>2.4976851847895887E-2</v>
      </c>
      <c r="N33" s="7">
        <f>24*60*SUM($M33:$M33)</f>
        <v>35.966666660970077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-03-09T05:08:35-0700',mode:absolute,to:'2017-03-09T07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187" t="str">
        <f>IF(AA33&lt;IF(AG33="EC",23,5.65),"Y","N")</f>
        <v>N</v>
      </c>
      <c r="X33" s="187">
        <f>VALUE(LEFT(AD33,4))-VALUE(LEFT(AD32,4))</f>
        <v>1</v>
      </c>
      <c r="Y33" s="62">
        <f>RIGHT(D33,LEN(D33)-4)/10000</f>
        <v>4.5499999999999999E-2</v>
      </c>
      <c r="Z33" s="62">
        <f>RIGHT(H33,LEN(H33)-4)/10000</f>
        <v>23.332000000000001</v>
      </c>
      <c r="AA33" s="62">
        <f>ABS(Z33-Y33)</f>
        <v>23.2865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0121-09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/stypes="app*4029*20170309*" /stext=" 13:.+((SYSTEM_STATE.+slice.+state.+changed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121-09 --locoid 4029 --swversion DE.1.0.9.0 --startMP 204:455 --initTime 2017-03-09T06:08:35 --startdatetime 2017-03-09T06:15:20 --delay 2 --endMP 204:233320 --enddatetime 2017-03-09T06:51:18 --enforcementcount 0 &gt;&gt;C:\Users\stu\Documents\GitHub\eaglep3-reporting\EC\2017-03-09-refined-times.txt</v>
      </c>
      <c r="AI3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{"issue":{"subject":"","project_id":79,"tracker_id":40,"status_id":1,"priority_id":2,"assigned_to_id":23,"start_date":"2017-03-09","description":"","custom_fields":[{"id":1,"name":"Subdivision","value":"EC"},{"id":4,"name":"Milepost","value":"23.332"},{"id":17,"name":"Train ID","value":"121-09"},{"id":16,"name":"Locomotive ID","value":"4029"},{"id":130,"name":"Impact","value":""},{"id":150,"name":"Time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4029 --day 2017-03-09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654</v>
      </c>
      <c r="B34" s="7">
        <v>4030</v>
      </c>
      <c r="C34" s="21" t="s">
        <v>242</v>
      </c>
      <c r="D34" s="21" t="s">
        <v>543</v>
      </c>
      <c r="E34" s="13">
        <v>42803.296400462961</v>
      </c>
      <c r="F34" s="13">
        <v>42803.299490740741</v>
      </c>
      <c r="G34" s="7">
        <v>1</v>
      </c>
      <c r="H34" s="21" t="s">
        <v>235</v>
      </c>
      <c r="I34" s="13">
        <v>42803.32707175926</v>
      </c>
      <c r="J34" s="7">
        <v>0</v>
      </c>
      <c r="K34" s="98" t="str">
        <f>IF(ISEVEN(B34),(B34-1)&amp;"/"&amp;B34,B34&amp;"/"&amp;(B34+1))</f>
        <v>4029/4030</v>
      </c>
      <c r="L34" s="21" t="str">
        <f>VLOOKUP(A34,'Trips&amp;Operators'!$C$1:$G$99999,5,FALSE)</f>
        <v>GEBRETEKLE DAGNEW</v>
      </c>
      <c r="M34" s="6">
        <f>I34-F34</f>
        <v>2.7581018519413192E-2</v>
      </c>
      <c r="N34" s="7">
        <f>24*60*SUM($M34:$M34)</f>
        <v>39.716666667954996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-03-09T06:06:49-0700',mode:absolute,to:'2017-03-09T08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87" t="str">
        <f>IF(AA34&lt;IF(AG34="EC",23,5.65),"Y","N")</f>
        <v>N</v>
      </c>
      <c r="X34" s="187">
        <f>VALUE(LEFT(AD34,4))-VALUE(LEFT(AD33,4))</f>
        <v>1</v>
      </c>
      <c r="Y34" s="62">
        <f>RIGHT(D34,LEN(D34)-4)/10000</f>
        <v>23.298400000000001</v>
      </c>
      <c r="Z34" s="62">
        <f>RIGHT(H34,LEN(H34)-4)/10000</f>
        <v>1.47E-2</v>
      </c>
      <c r="AA34" s="62">
        <f>ABS(Z34-Y34)</f>
        <v>23.2837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0122-09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/stypes="app*4030*20170309*" /stext=" 14:.+((SYSTEM_STATE.+slice.+state.+changed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122-09 --locoid 4030 --swversion DE.1.0.9.0 --startMP 204:232984 --initTime 2017-03-09T07:06:49 --startdatetime 2017-03-09T07:11:16 --delay 1 --endMP 204:147 --enddatetime 2017-03-09T07:50:59 --enforcementcount 0 &gt;&gt;C:\Users\stu\Documents\GitHub\eaglep3-reporting\EC\2017-03-09-refined-times.txt</v>
      </c>
      <c r="AI3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ID","value":"122-09"},{"id":16,"name":"Locomotive ID","value":"4030"},{"id":130,"name":"Impact","value":""},{"id":150,"name":"Time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4030 --day 2017-03-09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647</v>
      </c>
      <c r="B35" s="7">
        <v>4040</v>
      </c>
      <c r="C35" s="21" t="s">
        <v>242</v>
      </c>
      <c r="D35" s="21" t="s">
        <v>547</v>
      </c>
      <c r="E35" s="13">
        <v>42803.265983796293</v>
      </c>
      <c r="F35" s="13">
        <v>42803.27107638889</v>
      </c>
      <c r="G35" s="7">
        <v>1</v>
      </c>
      <c r="H35" s="21" t="s">
        <v>233</v>
      </c>
      <c r="I35" s="13">
        <v>42803.295752314814</v>
      </c>
      <c r="J35" s="7">
        <v>0</v>
      </c>
      <c r="K35" s="98" t="str">
        <f>IF(ISEVEN(B35),(B35-1)&amp;"/"&amp;B35,B35&amp;"/"&amp;(B35+1))</f>
        <v>4039/4040</v>
      </c>
      <c r="L35" s="21" t="str">
        <f>VLOOKUP(A35,'Trips&amp;Operators'!$C$1:$G$99999,5,FALSE)</f>
        <v>ROCHA YAOTL</v>
      </c>
      <c r="M35" s="6">
        <f>I35-F35</f>
        <v>2.4675925924384501E-2</v>
      </c>
      <c r="N35" s="7">
        <f>24*60*SUM($M35:$M35)</f>
        <v>35.533333331113681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-03-09T05:23:01-0700',mode:absolute,to:'2017-03-09T08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87" t="str">
        <f>IF(AA35&lt;IF(AG35="EC",23,5.65),"Y","N")</f>
        <v>N</v>
      </c>
      <c r="X35" s="187">
        <f>VALUE(LEFT(AD35,4))-VALUE(LEFT(AD34,4))</f>
        <v>1</v>
      </c>
      <c r="Y35" s="62">
        <f>RIGHT(D35,LEN(D35)-4)/10000</f>
        <v>4.3799999999999999E-2</v>
      </c>
      <c r="Z35" s="62">
        <f>RIGHT(H35,LEN(H35)-4)/10000</f>
        <v>23.331</v>
      </c>
      <c r="AA35" s="62">
        <f>ABS(Z35-Y35)</f>
        <v>23.287199999999999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0123-09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/stypes="app*4040*20170309*" /stext=" 14:.+((SYSTEM_STATE.+slice.+state.+changed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123-09 --locoid 4040 --swversion DE.1.0.9.0 --startMP 204:438 --initTime 2017-03-09T06:23:01 --startdatetime 2017-03-09T06:30:21 --delay 1 --endMP 204:233310 --enddatetime 2017-03-09T07:05:53 --enforcementcount 0 &gt;&gt;C:\Users\stu\Documents\GitHub\eaglep3-reporting\EC\2017-03-09-refined-times.txt</v>
      </c>
      <c r="AI3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{"issue":{"subject":"","project_id":79,"tracker_id":40,"status_id":1,"priority_id":2,"assigned_to_id":23,"start_date":"2017-03-09","description":"","custom_fields":[{"id":1,"name":"Subdivision","value":"EC"},{"id":4,"name":"Milepost","value":"23.331"},{"id":17,"name":"Train ID","value":"123-09"},{"id":16,"name":"Locomotive ID","value":"4040"},{"id":130,"name":"Impact","value":""},{"id":150,"name":"Time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4040 --day 2017-03-09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658</v>
      </c>
      <c r="B36" s="7">
        <v>4039</v>
      </c>
      <c r="C36" s="21" t="s">
        <v>242</v>
      </c>
      <c r="D36" s="21" t="s">
        <v>274</v>
      </c>
      <c r="E36" s="13">
        <v>42803.309004629627</v>
      </c>
      <c r="F36" s="13">
        <v>42803.310081018521</v>
      </c>
      <c r="G36" s="7">
        <v>0</v>
      </c>
      <c r="H36" s="21" t="s">
        <v>232</v>
      </c>
      <c r="I36" s="13">
        <v>42803.337337962963</v>
      </c>
      <c r="J36" s="7">
        <v>0</v>
      </c>
      <c r="K36" s="98" t="str">
        <f>IF(ISEVEN(B36),(B36-1)&amp;"/"&amp;B36,B36&amp;"/"&amp;(B36+1))</f>
        <v>4039/4040</v>
      </c>
      <c r="L36" s="21" t="str">
        <f>VLOOKUP(A36,'Trips&amp;Operators'!$C$1:$G$99999,5,FALSE)</f>
        <v>ROCHA YAOTL</v>
      </c>
      <c r="M36" s="6">
        <f>I36-F36</f>
        <v>2.7256944442342501E-2</v>
      </c>
      <c r="N36" s="7">
        <f>24*60*SUM($M36:$M36)</f>
        <v>39.249999996973202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-03-09T06:24:58-0700',mode:absolute,to:'2017-03-09T09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87" t="str">
        <f>IF(AA36&lt;IF(AG36="EC",23,5.65),"Y","N")</f>
        <v>N</v>
      </c>
      <c r="X36" s="187">
        <f>VALUE(LEFT(AD36,4))-VALUE(LEFT(AD35,4))</f>
        <v>1</v>
      </c>
      <c r="Y36" s="62">
        <f>RIGHT(D36,LEN(D36)-4)/10000</f>
        <v>23.299099999999999</v>
      </c>
      <c r="Z36" s="62">
        <f>RIGHT(H36,LEN(H36)-4)/10000</f>
        <v>1.5599999999999999E-2</v>
      </c>
      <c r="AA36" s="62">
        <f>ABS(Z36-Y36)</f>
        <v>23.2835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0124-09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/stypes="app*4039*20170309*" /stext=" 15:.+((SYSTEM_STATE.+slice.+state.+changed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124-09 --locoid 4039 --swversion DE.1.0.9.0 --startMP 204:232991 --initTime 2017-03-09T07:24:58 --startdatetime 2017-03-09T07:26:31 --delay 0 --endMP 204:156 --enddatetime 2017-03-09T08:05:46 --enforcementcount 0 &gt;&gt;C:\Users\stu\Documents\GitHub\eaglep3-reporting\EC\2017-03-09-refined-times.txt</v>
      </c>
      <c r="AI3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ID","value":"124-09"},{"id":16,"name":"Locomotive ID","value":"4039"},{"id":130,"name":"Impact","value":""},{"id":150,"name":"Time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4039 --day 2017-03-09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651</v>
      </c>
      <c r="B37" s="7">
        <v>4020</v>
      </c>
      <c r="C37" s="21" t="s">
        <v>242</v>
      </c>
      <c r="D37" s="21" t="s">
        <v>243</v>
      </c>
      <c r="E37" s="13">
        <v>42803.276944444442</v>
      </c>
      <c r="F37" s="13">
        <v>42803.28197916667</v>
      </c>
      <c r="G37" s="7">
        <v>1</v>
      </c>
      <c r="H37" s="21" t="s">
        <v>834</v>
      </c>
      <c r="I37" s="13">
        <v>42803.306041666663</v>
      </c>
      <c r="J37" s="7">
        <v>0</v>
      </c>
      <c r="K37" s="98" t="str">
        <f>IF(ISEVEN(B37),(B37-1)&amp;"/"&amp;B37,B37&amp;"/"&amp;(B37+1))</f>
        <v>4019/4020</v>
      </c>
      <c r="L37" s="21" t="str">
        <f>VLOOKUP(A37,'Trips&amp;Operators'!$C$1:$G$99999,5,FALSE)</f>
        <v>YORK EDGAR</v>
      </c>
      <c r="M37" s="6">
        <f>I37-F37</f>
        <v>2.4062499993306119E-2</v>
      </c>
      <c r="N37" s="7">
        <f>24*60*SUM($M37:$M37)</f>
        <v>34.649999990360811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-03-09T05:38:48-0700',mode:absolute,to:'2017-03-09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187" t="str">
        <f>IF(AA37&lt;IF(AG37="EC",23,5.65),"Y","N")</f>
        <v>N</v>
      </c>
      <c r="X37" s="187">
        <f>VALUE(LEFT(AD37,4))-VALUE(LEFT(AD36,4))</f>
        <v>1</v>
      </c>
      <c r="Y37" s="62">
        <f>RIGHT(D37,LEN(D37)-4)/10000</f>
        <v>4.58E-2</v>
      </c>
      <c r="Z37" s="62">
        <f>RIGHT(H37,LEN(H37)-4)/10000</f>
        <v>23.327999999999999</v>
      </c>
      <c r="AA37" s="62">
        <f>ABS(Z37-Y37)</f>
        <v>23.2822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0125-09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/stypes="app*4020*20170309*" /stext=" 14:.+((SYSTEM_STATE.+slice.+state.+changed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125-09 --locoid 4020 --swversion DE.1.0.9.0 --startMP 204:458 --initTime 2017-03-09T06:38:48 --startdatetime 2017-03-09T06:46:03 --delay 1 --endMP 204:233280 --enddatetime 2017-03-09T07:20:42 --enforcementcount 0 &gt;&gt;C:\Users\stu\Documents\GitHub\eaglep3-reporting\EC\2017-03-09-refined-times.txt</v>
      </c>
      <c r="AI3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{"issue":{"subject":"","project_id":79,"tracker_id":40,"status_id":1,"priority_id":2,"assigned_to_id":23,"start_date":"2017-03-09","description":"","custom_fields":[{"id":1,"name":"Subdivision","value":"EC"},{"id":4,"name":"Milepost","value":"23.328"},{"id":17,"name":"Train ID","value":"125-09"},{"id":16,"name":"Locomotive ID","value":"4020"},{"id":130,"name":"Impact","value":""},{"id":150,"name":"Time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4020 --day 2017-03-09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660</v>
      </c>
      <c r="B38" s="7">
        <v>4019</v>
      </c>
      <c r="C38" s="21" t="s">
        <v>242</v>
      </c>
      <c r="D38" s="21" t="s">
        <v>835</v>
      </c>
      <c r="E38" s="13">
        <v>42803.310983796298</v>
      </c>
      <c r="F38" s="13">
        <v>42803.320289351854</v>
      </c>
      <c r="G38" s="7">
        <v>0</v>
      </c>
      <c r="H38" s="21" t="s">
        <v>836</v>
      </c>
      <c r="I38" s="13">
        <v>42803.347048611111</v>
      </c>
      <c r="J38" s="7">
        <v>0</v>
      </c>
      <c r="K38" s="98" t="str">
        <f>IF(ISEVEN(B38),(B38-1)&amp;"/"&amp;B38,B38&amp;"/"&amp;(B38+1))</f>
        <v>4019/4020</v>
      </c>
      <c r="L38" s="21" t="str">
        <f>VLOOKUP(A38,'Trips&amp;Operators'!$C$1:$G$99999,5,FALSE)</f>
        <v>YORK EDGAR</v>
      </c>
      <c r="M38" s="6">
        <f>I38-F38</f>
        <v>2.675925925723277E-2</v>
      </c>
      <c r="N38" s="7">
        <f>24*60*SUM($M38:$M38)</f>
        <v>38.533333330415189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-03-09T06:27:49-0700',mode:absolute,to:'2017-03-09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187" t="str">
        <f>IF(AA38&lt;IF(AG38="EC",23,5.65),"Y","N")</f>
        <v>N</v>
      </c>
      <c r="X38" s="187">
        <f>VALUE(LEFT(AD38,4))-VALUE(LEFT(AD37,4))</f>
        <v>1</v>
      </c>
      <c r="Y38" s="62">
        <f>RIGHT(D38,LEN(D38)-4)/10000</f>
        <v>23.296700000000001</v>
      </c>
      <c r="Z38" s="62">
        <f>RIGHT(H38,LEN(H38)-4)/10000</f>
        <v>0.1171</v>
      </c>
      <c r="AA38" s="62">
        <f>ABS(Z38-Y38)</f>
        <v>23.179600000000001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0126-09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/stypes="app*4019*20170309*" /stext=" 15:.+((SYSTEM_STATE.+slice.+state.+changed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126-09 --locoid 4019 --swversion DE.1.0.9.0 --startMP 204:232967 --initTime 2017-03-09T07:27:49 --startdatetime 2017-03-09T07:41:13 --delay 0 --endMP 204:1171 --enddatetime 2017-03-09T08:19:45 --enforcementcount 0 &gt;&gt;C:\Users\stu\Documents\GitHub\eaglep3-reporting\EC\2017-03-09-refined-times.txt</v>
      </c>
      <c r="AI3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{"issue":{"subject":"","project_id":79,"tracker_id":40,"status_id":1,"priority_id":2,"assigned_to_id":23,"start_date":"2017-03-09","description":"","custom_fields":[{"id":1,"name":"Subdivision","value":"EC"},{"id":4,"name":"Milepost","value":"0.1171"},{"id":17,"name":"Train ID","value":"126-09"},{"id":16,"name":"Locomotive ID","value":"4019"},{"id":130,"name":"Impact","value":""},{"id":150,"name":"Time of Event (Mountain Time)","value":"08:19:45"},{"id":151,"name":"Denver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4019 --day 2017-03-09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653</v>
      </c>
      <c r="B39" s="7">
        <v>4022</v>
      </c>
      <c r="C39" s="21" t="s">
        <v>242</v>
      </c>
      <c r="D39" s="21" t="s">
        <v>550</v>
      </c>
      <c r="E39" s="13">
        <v>42803.290081018517</v>
      </c>
      <c r="F39" s="13">
        <v>42803.292071759257</v>
      </c>
      <c r="G39" s="7">
        <v>1</v>
      </c>
      <c r="H39" s="21" t="s">
        <v>261</v>
      </c>
      <c r="I39" s="13">
        <v>42803.318599537037</v>
      </c>
      <c r="J39" s="7">
        <v>0</v>
      </c>
      <c r="K39" s="98" t="str">
        <f>IF(ISEVEN(B39),(B39-1)&amp;"/"&amp;B39,B39&amp;"/"&amp;(B39+1))</f>
        <v>4021/4022</v>
      </c>
      <c r="L39" s="21" t="str">
        <f>VLOOKUP(A39,'Trips&amp;Operators'!$C$1:$G$99999,5,FALSE)</f>
        <v>YOUNG ELIZABETH</v>
      </c>
      <c r="M39" s="6">
        <f>I39-F39</f>
        <v>2.6527777779847383E-2</v>
      </c>
      <c r="N39" s="7">
        <f>24*60*SUM($M39:$M39)</f>
        <v>38.200000002980232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-03-09T05:57:43-0700',mode:absolute,to:'2017-03-09T08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7" t="str">
        <f>IF(AA39&lt;IF(AG39="EC",23,5.65),"Y","N")</f>
        <v>N</v>
      </c>
      <c r="X39" s="187">
        <f>VALUE(LEFT(AD39,4))-VALUE(LEFT(AD38,4))</f>
        <v>1</v>
      </c>
      <c r="Y39" s="62">
        <f>RIGHT(D39,LEN(D39)-4)/10000</f>
        <v>4.8599999999999997E-2</v>
      </c>
      <c r="Z39" s="62">
        <f>RIGHT(H39,LEN(H39)-4)/10000</f>
        <v>23.331199999999999</v>
      </c>
      <c r="AA39" s="62">
        <f>ABS(Z39-Y39)</f>
        <v>23.282599999999999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0127-09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/stypes="app*4022*20170309*" /stext=" 14:.+((SYSTEM_STATE.+slice.+state.+changed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127-09 --locoid 4022 --swversion DE.1.0.9.0 --startMP 204:486 --initTime 2017-03-09T06:57:43 --startdatetime 2017-03-09T07:00:35 --delay 1 --endMP 204:233312 --enddatetime 2017-03-09T07:38:47 --enforcementcount 0 &gt;&gt;C:\Users\stu\Documents\GitHub\eaglep3-reporting\EC\2017-03-09-refined-times.txt</v>
      </c>
      <c r="AI3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ID","value":"127-09"},{"id":16,"name":"Locomotive ID","value":"4022"},{"id":130,"name":"Impact","value":""},{"id":150,"name":"Time of Event (Mountain Time)","value":"07:38:47"},{"id":151,"name":"Denver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4022 --day 2017-03-09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663</v>
      </c>
      <c r="B40" s="7">
        <v>4021</v>
      </c>
      <c r="C40" s="21" t="s">
        <v>242</v>
      </c>
      <c r="D40" s="21" t="s">
        <v>837</v>
      </c>
      <c r="E40" s="13">
        <v>42803.321574074071</v>
      </c>
      <c r="F40" s="13">
        <v>42803.330879629626</v>
      </c>
      <c r="G40" s="7">
        <v>1</v>
      </c>
      <c r="H40" s="21" t="s">
        <v>546</v>
      </c>
      <c r="I40" s="13">
        <v>42803.360844907409</v>
      </c>
      <c r="J40" s="7">
        <v>0</v>
      </c>
      <c r="K40" s="98" t="str">
        <f>IF(ISEVEN(B40),(B40-1)&amp;"/"&amp;B40,B40&amp;"/"&amp;(B40+1))</f>
        <v>4021/4022</v>
      </c>
      <c r="L40" s="21" t="str">
        <f>VLOOKUP(A40,'Trips&amp;Operators'!$C$1:$G$99999,5,FALSE)</f>
        <v>YOUNG ELIZABETH</v>
      </c>
      <c r="M40" s="6">
        <f>I40-F40</f>
        <v>2.9965277783048805E-2</v>
      </c>
      <c r="N40" s="7">
        <f>24*60*SUM($M40:$M40)</f>
        <v>43.150000007590279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-03-09T06:43:04-0700',mode:absolute,to:'2017-03-09T09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7" t="str">
        <f>IF(AA40&lt;IF(AG40="EC",23,5.65),"Y","N")</f>
        <v>N</v>
      </c>
      <c r="X40" s="187">
        <f>VALUE(LEFT(AD40,4))-VALUE(LEFT(AD39,4))</f>
        <v>1</v>
      </c>
      <c r="Y40" s="62">
        <f>RIGHT(D40,LEN(D40)-4)/10000</f>
        <v>23.298500000000001</v>
      </c>
      <c r="Z40" s="62">
        <f>RIGHT(H40,LEN(H40)-4)/10000</f>
        <v>1.6500000000000001E-2</v>
      </c>
      <c r="AA40" s="62">
        <f>ABS(Z40-Y40)</f>
        <v>23.282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0128-09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/stypes="app*4021*20170309*" /stext=" 15:.+((SYSTEM_STATE.+slice.+state.+changed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128-09 --locoid 4021 --swversion DE.1.0.9.0 --startMP 204:232985 --initTime 2017-03-09T07:43:04 --startdatetime 2017-03-09T07:56:28 --delay 1 --endMP 204:165 --enddatetime 2017-03-09T08:39:37 --enforcementcount 0 &gt;&gt;C:\Users\stu\Documents\GitHub\eaglep3-reporting\EC\2017-03-09-refined-times.txt</v>
      </c>
      <c r="AI4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ID","value":"128-09"},{"id":16,"name":"Locomotive ID","value":"4021"},{"id":130,"name":"Impact","value":""},{"id":150,"name":"Time of Event (Mountain Time)","value":"08:39:37"},{"id":151,"name":"Denver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4021 --day 2017-03-09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656</v>
      </c>
      <c r="B41" s="7">
        <v>4016</v>
      </c>
      <c r="C41" s="21" t="s">
        <v>242</v>
      </c>
      <c r="D41" s="21" t="s">
        <v>227</v>
      </c>
      <c r="E41" s="13">
        <v>42803.300266203703</v>
      </c>
      <c r="F41" s="13">
        <v>42803.302291666667</v>
      </c>
      <c r="G41" s="7">
        <v>1</v>
      </c>
      <c r="H41" s="21" t="s">
        <v>249</v>
      </c>
      <c r="I41" s="13">
        <v>42803.327407407407</v>
      </c>
      <c r="J41" s="7">
        <v>0</v>
      </c>
      <c r="K41" s="98" t="str">
        <f>IF(ISEVEN(B41),(B41-1)&amp;"/"&amp;B41,B41&amp;"/"&amp;(B41+1))</f>
        <v>4015/4016</v>
      </c>
      <c r="L41" s="21" t="str">
        <f>VLOOKUP(A41,'Trips&amp;Operators'!$C$1:$G$99999,5,FALSE)</f>
        <v>STARKS ANGELINA</v>
      </c>
      <c r="M41" s="6">
        <f>I41-F41</f>
        <v>2.5115740740147885E-2</v>
      </c>
      <c r="N41" s="7">
        <f>24*60*SUM($M41:$M41)</f>
        <v>36.166666665812954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-09T06:12:23-0700',mode:absolute,to:'2017-03-09T08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7" t="str">
        <f>IF(AA41&lt;IF(AG41="EC",23,5.65),"Y","N")</f>
        <v>N</v>
      </c>
      <c r="X41" s="187">
        <f>VALUE(LEFT(AD41,4))-VALUE(LEFT(AD40,4))</f>
        <v>1</v>
      </c>
      <c r="Y41" s="62">
        <f>RIGHT(D41,LEN(D41)-4)/10000</f>
        <v>4.5499999999999999E-2</v>
      </c>
      <c r="Z41" s="62">
        <f>RIGHT(H41,LEN(H41)-4)/10000</f>
        <v>23.328900000000001</v>
      </c>
      <c r="AA41" s="62">
        <f>ABS(Z41-Y41)</f>
        <v>23.2834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0129-09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/stypes="app*4016*20170309*" /stext=" 14:.+((SYSTEM_STATE.+slice.+state.+changed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129-09 --locoid 4016 --swversion DE.1.0.9.0 --startMP 204:455 --initTime 2017-03-09T07:12:23 --startdatetime 2017-03-09T07:15:18 --delay 1 --endMP 204:233289 --enddatetime 2017-03-09T07:51:28 --enforcementcount 0 &gt;&gt;C:\Users\stu\Documents\GitHub\eaglep3-reporting\EC\2017-03-09-refined-times.txt</v>
      </c>
      <c r="AI4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ID","value":"129-09"},{"id":16,"name":"Locomotive ID","value":"4016"},{"id":130,"name":"Impact","value":""},{"id":150,"name":"Time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4016 --day 2017-03-09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581</v>
      </c>
      <c r="B42" s="7">
        <v>4015</v>
      </c>
      <c r="C42" s="21" t="s">
        <v>242</v>
      </c>
      <c r="D42" s="21" t="s">
        <v>543</v>
      </c>
      <c r="E42" s="13">
        <v>42803.337627314817</v>
      </c>
      <c r="F42" s="13">
        <v>42803.341145833336</v>
      </c>
      <c r="G42" s="7">
        <v>1</v>
      </c>
      <c r="H42" s="21" t="s">
        <v>194</v>
      </c>
      <c r="I42" s="13">
        <v>42803.36990740741</v>
      </c>
      <c r="J42" s="7">
        <v>0</v>
      </c>
      <c r="K42" s="98" t="str">
        <f>IF(ISEVEN(B42),(B42-1)&amp;"/"&amp;B42,B42&amp;"/"&amp;(B42+1))</f>
        <v>4015/4016</v>
      </c>
      <c r="L42" s="21" t="str">
        <f>VLOOKUP(A42,'Trips&amp;Operators'!$C$1:$G$99999,5,FALSE)</f>
        <v>STARKS ANGELINA</v>
      </c>
      <c r="M42" s="6">
        <f>I42-F42</f>
        <v>2.8761574074451346E-2</v>
      </c>
      <c r="N42" s="7">
        <f>24*60*SUM($M42:$M42)</f>
        <v>41.416666667209938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7" t="str">
        <f>IF(AA42&lt;IF(AG42="EC",23,5.65),"Y","N")</f>
        <v>N</v>
      </c>
      <c r="X42" s="187">
        <f>VALUE(LEFT(AD42,4))-VALUE(LEFT(AD41,4))</f>
        <v>1</v>
      </c>
      <c r="Y42" s="62">
        <f>RIGHT(D42,LEN(D42)-4)/10000</f>
        <v>23.298400000000001</v>
      </c>
      <c r="Z42" s="62">
        <f>RIGHT(H42,LEN(H42)-4)/10000</f>
        <v>1.4500000000000001E-2</v>
      </c>
      <c r="AA42" s="62">
        <f>ABS(Z42-Y42)</f>
        <v>23.283899999999999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0130-09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/stypes="app*4015*20170309*" /stext=" 15:.+((SYSTEM_STATE.+slice.+state.+changed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130-09 --locoid 4015 --swversion DE.1.0.9.0 --startMP 204:232984 --initTime 2017-03-09T08:06:11 --startdatetime 2017-03-09T08:11:15 --delay 1 --endMP 204:145 --enddatetime 2017-03-09T08:52:40 --enforcementcount 0 &gt;&gt;C:\Users\stu\Documents\GitHub\eaglep3-reporting\EC\2017-03-09-refined-times.txt</v>
      </c>
      <c r="AI4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{"issue":{"subject":"","project_id":79,"tracker_id":40,"status_id":1,"priority_id":2,"assigned_to_id":23,"start_date":"2017-03-09","description":"","custom_fields":[{"id":1,"name":"Subdivision","value":"EC"},{"id":4,"name":"Milepost","value":"0.0145"},{"id":17,"name":"Train ID","value":"130-09"},{"id":16,"name":"Locomotive ID","value":"4015"},{"id":130,"name":"Impact","value":""},{"id":150,"name":"Time of Event (Mountain Time)","value":"08:52:40"},{"id":151,"name":"Denver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4015 --day 2017-03-09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659</v>
      </c>
      <c r="B43" s="7">
        <v>4018</v>
      </c>
      <c r="C43" s="21" t="s">
        <v>242</v>
      </c>
      <c r="D43" s="21" t="s">
        <v>441</v>
      </c>
      <c r="E43" s="13">
        <v>42803.308900462966</v>
      </c>
      <c r="F43" s="13">
        <v>42803.312905092593</v>
      </c>
      <c r="G43" s="7">
        <v>1</v>
      </c>
      <c r="H43" s="21" t="s">
        <v>540</v>
      </c>
      <c r="I43" s="13">
        <v>42803.339259259257</v>
      </c>
      <c r="J43" s="7">
        <v>0</v>
      </c>
      <c r="K43" s="98" t="str">
        <f>IF(ISEVEN(B43),(B43-1)&amp;"/"&amp;B43,B43&amp;"/"&amp;(B43+1))</f>
        <v>4017/4018</v>
      </c>
      <c r="L43" s="21" t="str">
        <f>VLOOKUP(A43,'Trips&amp;Operators'!$C$1:$G$99999,5,FALSE)</f>
        <v>BONDS REYNALDO</v>
      </c>
      <c r="M43" s="6">
        <f>I43-F43</f>
        <v>2.6354166664532386E-2</v>
      </c>
      <c r="N43" s="7">
        <f>24*60*SUM($M43:$M43)</f>
        <v>37.949999996926636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-03-09T06:24:49-0700',mode:absolute,to:'2017-03-09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7" t="str">
        <f>IF(AA43&lt;IF(AG43="EC",23,5.65),"Y","N")</f>
        <v>N</v>
      </c>
      <c r="X43" s="187">
        <f>VALUE(LEFT(AD43,4))-VALUE(LEFT(AD42,4))</f>
        <v>1</v>
      </c>
      <c r="Y43" s="62">
        <f>RIGHT(D43,LEN(D43)-4)/10000</f>
        <v>4.7100000000000003E-2</v>
      </c>
      <c r="Z43" s="62">
        <f>RIGHT(H43,LEN(H43)-4)/10000</f>
        <v>23.3306</v>
      </c>
      <c r="AA43" s="62">
        <f>ABS(Z43-Y43)</f>
        <v>23.2835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0131-09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/stypes="app*4018*20170309*" /stext=" 15:.+((SYSTEM_STATE.+slice.+state.+changed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131-09 --locoid 4018 --swversion DE.1.0.9.0 --startMP 204:471 --initTime 2017-03-09T07:24:49 --startdatetime 2017-03-09T07:30:35 --delay 1 --endMP 204:233306 --enddatetime 2017-03-09T08:08:32 --enforcementcount 0 &gt;&gt;C:\Users\stu\Documents\GitHub\eaglep3-reporting\EC\2017-03-09-refined-times.txt</v>
      </c>
      <c r="AI4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ID","value":"131-09"},{"id":16,"name":"Locomotive ID","value":"4018"},{"id":130,"name":"Impact","value":""},{"id":150,"name":"Time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4018 --day 2017-03-09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667</v>
      </c>
      <c r="B44" s="7">
        <v>4017</v>
      </c>
      <c r="C44" s="21" t="s">
        <v>242</v>
      </c>
      <c r="D44" s="21" t="s">
        <v>438</v>
      </c>
      <c r="E44" s="13">
        <v>42803.346770833334</v>
      </c>
      <c r="F44" s="13">
        <v>42803.351550925923</v>
      </c>
      <c r="G44" s="7">
        <v>1</v>
      </c>
      <c r="H44" s="21" t="s">
        <v>432</v>
      </c>
      <c r="I44" s="13">
        <v>42803.379918981482</v>
      </c>
      <c r="J44" s="7">
        <v>0</v>
      </c>
      <c r="K44" s="98" t="str">
        <f>IF(ISEVEN(B44),(B44-1)&amp;"/"&amp;B44,B44&amp;"/"&amp;(B44+1))</f>
        <v>4017/4018</v>
      </c>
      <c r="L44" s="21" t="str">
        <f>VLOOKUP(A44,'Trips&amp;Operators'!$C$1:$G$99999,5,FALSE)</f>
        <v>BONDS REYNALDO</v>
      </c>
      <c r="M44" s="6">
        <f>I44-F44</f>
        <v>2.8368055558530614E-2</v>
      </c>
      <c r="N44" s="7">
        <f>24*60*SUM($M44:$M44)</f>
        <v>40.850000004284084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-03-09T07:19:21-0700',mode:absolute,to:'2017-03-09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7" t="str">
        <f>IF(AA44&lt;IF(AG44="EC",23,5.65),"Y","N")</f>
        <v>N</v>
      </c>
      <c r="X44" s="187">
        <f>VALUE(LEFT(AD44,4))-VALUE(LEFT(AD43,4))</f>
        <v>1</v>
      </c>
      <c r="Y44" s="62">
        <f>RIGHT(D44,LEN(D44)-4)/10000</f>
        <v>23.2989</v>
      </c>
      <c r="Z44" s="62">
        <f>RIGHT(H44,LEN(H44)-4)/10000</f>
        <v>1.6E-2</v>
      </c>
      <c r="AA44" s="62">
        <f>ABS(Z44-Y44)</f>
        <v>23.282900000000001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0132-09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/stypes="app*4017*20170309*" /stext=" 16:.+((SYSTEM_STATE.+slice.+state.+changed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132-09 --locoid 4017 --swversion DE.1.0.9.0 --startMP 204:232989 --initTime 2017-03-09T08:19:21 --startdatetime 2017-03-09T08:26:14 --delay 1 --endMP 204:160 --enddatetime 2017-03-09T09:07:05 --enforcementcount 0 &gt;&gt;C:\Users\stu\Documents\GitHub\eaglep3-reporting\EC\2017-03-09-refined-times.txt</v>
      </c>
      <c r="AI4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ID","value":"132-09"},{"id":16,"name":"Locomotive ID","value":"4017"},{"id":130,"name":"Impact","value":""},{"id":150,"name":"Time of Event (Mountain Time)","value":"09:07:05"},{"id":151,"name":"Denver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4017 --day 2017-03-09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580</v>
      </c>
      <c r="B45" s="7">
        <v>4003</v>
      </c>
      <c r="C45" s="21" t="s">
        <v>242</v>
      </c>
      <c r="D45" s="21" t="s">
        <v>436</v>
      </c>
      <c r="E45" s="13">
        <v>42803.318136574075</v>
      </c>
      <c r="F45" s="13">
        <v>42803.323078703703</v>
      </c>
      <c r="G45" s="7">
        <v>1</v>
      </c>
      <c r="H45" s="21" t="s">
        <v>247</v>
      </c>
      <c r="I45" s="13">
        <v>42803.348240740743</v>
      </c>
      <c r="J45" s="7">
        <v>0</v>
      </c>
      <c r="K45" s="98" t="str">
        <f>IF(ISEVEN(B45),(B45-1)&amp;"/"&amp;B45,B45&amp;"/"&amp;(B45+1))</f>
        <v>4003/4004</v>
      </c>
      <c r="L45" s="21" t="str">
        <f>VLOOKUP(A45,'Trips&amp;Operators'!$C$1:$G$99999,5,FALSE)</f>
        <v>COOLAHAN JOHN</v>
      </c>
      <c r="M45" s="6">
        <f>I45-F45</f>
        <v>2.5162037039990537E-2</v>
      </c>
      <c r="N45" s="7">
        <f>24*60*SUM($M45:$M45)</f>
        <v>36.233333337586373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-03-09T06:38:07-0700',mode:absolute,to:'2017-03-09T09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187" t="str">
        <f>IF(AA45&lt;IF(AG45="EC",23,5.65),"Y","N")</f>
        <v>N</v>
      </c>
      <c r="X45" s="187">
        <f>VALUE(LEFT(AD45,4))-VALUE(LEFT(AD44,4))</f>
        <v>1</v>
      </c>
      <c r="Y45" s="62">
        <f>RIGHT(D45,LEN(D45)-4)/10000</f>
        <v>4.3700000000000003E-2</v>
      </c>
      <c r="Z45" s="62">
        <f>RIGHT(H45,LEN(H45)-4)/10000</f>
        <v>23.331399999999999</v>
      </c>
      <c r="AA45" s="62">
        <f>ABS(Z45-Y45)</f>
        <v>23.287699999999997</v>
      </c>
      <c r="AB45" s="59" t="str">
        <f>VLOOKUP(A45,Enforcements!$C$7:$K$13,8,0)</f>
        <v>Bulletin (2)</v>
      </c>
      <c r="AC45" s="55" t="str">
        <f>VLOOKUP(A45,Enforcements!$C$7:$E$13,3,0)</f>
        <v>GRADE CROSSING</v>
      </c>
      <c r="AD45" s="56" t="str">
        <f>IF(LEN(A45)=6,"0"&amp;A45,A45)</f>
        <v>0133-09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/stypes="app*4003*20170309*" /stext=" 15:.+((SYSTEM_STATE.+slice.+state.+changed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133-09 --locoid 4003 --swversion DE.1.0.9.0 --startMP 204:437 --initTime 2017-03-09T07:38:07 --startdatetime 2017-03-09T07:45:14 --delay 1 --endMP 204:233314 --enddatetime 2017-03-09T08:21:28 --enforcementcount 0 &gt;&gt;C:\Users\stu\Documents\GitHub\eaglep3-reporting\EC\2017-03-09-refined-times.txt</v>
      </c>
      <c r="AI4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{"issue":{"subject":"","project_id":79,"tracker_id":40,"status_id":1,"priority_id":2,"assigned_to_id":23,"start_date":"2017-03-09","description":"","custom_fields":[{"id":1,"name":"Subdivision","value":"EC"},{"id":4,"name":"Milepost","value":"23.3314"},{"id":17,"name":"Train ID","value":"133-09"},{"id":16,"name":"Locomotive ID","value":"4003"},{"id":130,"name":"Impact","value":""},{"id":150,"name":"Time of Event (Mountain Time)","value":"08:21:28"},{"id":151,"name":"Denver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4003 --day 2017-03-09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669</v>
      </c>
      <c r="B46" s="7">
        <v>4004</v>
      </c>
      <c r="C46" s="21" t="s">
        <v>242</v>
      </c>
      <c r="D46" s="21" t="s">
        <v>422</v>
      </c>
      <c r="E46" s="13">
        <v>42803.352997685186</v>
      </c>
      <c r="F46" s="13">
        <v>42803.362002314818</v>
      </c>
      <c r="G46" s="7">
        <v>1</v>
      </c>
      <c r="H46" s="21" t="s">
        <v>232</v>
      </c>
      <c r="I46" s="13">
        <v>42803.390451388892</v>
      </c>
      <c r="J46" s="7">
        <v>0</v>
      </c>
      <c r="K46" s="98" t="str">
        <f>IF(ISEVEN(B46),(B46-1)&amp;"/"&amp;B46,B46&amp;"/"&amp;(B46+1))</f>
        <v>4003/4004</v>
      </c>
      <c r="L46" s="21" t="str">
        <f>VLOOKUP(A46,'Trips&amp;Operators'!$C$1:$G$99999,5,FALSE)</f>
        <v>ROBINSON KADDIBA</v>
      </c>
      <c r="M46" s="6">
        <f>I46-F46</f>
        <v>2.8449074074160308E-2</v>
      </c>
      <c r="N46" s="7">
        <f>24*60*SUM($M46:$M46)</f>
        <v>40.966666666790843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-03-09T07:28:19-0700',mode:absolute,to:'2017-03-09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87" t="str">
        <f>IF(AA46&lt;IF(AG46="EC",23,5.65),"Y","N")</f>
        <v>N</v>
      </c>
      <c r="X46" s="187">
        <f>VALUE(LEFT(AD46,4))-VALUE(LEFT(AD45,4))</f>
        <v>1</v>
      </c>
      <c r="Y46" s="62">
        <f>RIGHT(D46,LEN(D46)-4)/10000</f>
        <v>23.298200000000001</v>
      </c>
      <c r="Z46" s="62">
        <f>RIGHT(H46,LEN(H46)-4)/10000</f>
        <v>1.5599999999999999E-2</v>
      </c>
      <c r="AA46" s="62">
        <f>ABS(Z46-Y46)</f>
        <v>23.282600000000002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0134-09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/stypes="app*4004*20170309*" /stext=" 16:.+((SYSTEM_STATE.+slice.+state.+changed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134-09 --locoid 4004 --swversion DE.1.0.9.0 --startMP 204:232982 --initTime 2017-03-09T08:28:19 --startdatetime 2017-03-09T08:41:17 --delay 1 --endMP 204:156 --enddatetime 2017-03-09T09:22:15 --enforcementcount 0 &gt;&gt;C:\Users\stu\Documents\GitHub\eaglep3-reporting\EC\2017-03-09-refined-times.txt</v>
      </c>
      <c r="AI4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ID","value":"134-09"},{"id":16,"name":"Locomotive ID","value":"4004"},{"id":130,"name":"Impact","value":""},{"id":150,"name":"Time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4004 --day 2017-03-09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664</v>
      </c>
      <c r="B47" s="7">
        <v>4029</v>
      </c>
      <c r="C47" s="21" t="s">
        <v>242</v>
      </c>
      <c r="D47" s="21" t="s">
        <v>436</v>
      </c>
      <c r="E47" s="13">
        <v>42803.32916666667</v>
      </c>
      <c r="F47" s="13">
        <v>42803.33353009259</v>
      </c>
      <c r="G47" s="7">
        <v>1</v>
      </c>
      <c r="H47" s="21" t="s">
        <v>838</v>
      </c>
      <c r="I47" s="13">
        <v>42803.359178240738</v>
      </c>
      <c r="J47" s="7">
        <v>0</v>
      </c>
      <c r="K47" s="98" t="str">
        <f>IF(ISEVEN(B47),(B47-1)&amp;"/"&amp;B47,B47&amp;"/"&amp;(B47+1))</f>
        <v>4029/4030</v>
      </c>
      <c r="L47" s="21" t="str">
        <f>VLOOKUP(A47,'Trips&amp;Operators'!$C$1:$G$99999,5,FALSE)</f>
        <v>GEBRETEKLE DAGNEW</v>
      </c>
      <c r="M47" s="6">
        <f>I47-F47</f>
        <v>2.5648148148320615E-2</v>
      </c>
      <c r="N47" s="7">
        <f>24*60*SUM($M47:$M47)</f>
        <v>36.933333333581686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-03-09T06:54:00-0700',mode:absolute,to:'2017-03-09T09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187" t="str">
        <f>IF(AA47&lt;IF(AG47="EC",23,5.65),"Y","N")</f>
        <v>N</v>
      </c>
      <c r="X47" s="187">
        <f>VALUE(LEFT(AD47,4))-VALUE(LEFT(AD46,4))</f>
        <v>1</v>
      </c>
      <c r="Y47" s="62">
        <f>RIGHT(D47,LEN(D47)-4)/10000</f>
        <v>4.3700000000000003E-2</v>
      </c>
      <c r="Z47" s="62">
        <f>RIGHT(H47,LEN(H47)-4)/10000</f>
        <v>23.3323</v>
      </c>
      <c r="AA47" s="62">
        <f>ABS(Z47-Y47)</f>
        <v>23.288599999999999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0135-09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/stypes="app*4029*20170309*" /stext=" 15:.+((SYSTEM_STATE.+slice.+state.+changed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135-09 --locoid 4029 --swversion DE.1.0.9.0 --startMP 204:437 --initTime 2017-03-09T07:54:00 --startdatetime 2017-03-09T08:00:17 --delay 1 --endMP 204:233323 --enddatetime 2017-03-09T08:37:13 --enforcementcount 0 &gt;&gt;C:\Users\stu\Documents\GitHub\eaglep3-reporting\EC\2017-03-09-refined-times.txt</v>
      </c>
      <c r="AI4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{"issue":{"subject":"","project_id":79,"tracker_id":40,"status_id":1,"priority_id":2,"assigned_to_id":23,"start_date":"2017-03-09","description":"","custom_fields":[{"id":1,"name":"Subdivision","value":"EC"},{"id":4,"name":"Milepost","value":"23.3323"},{"id":17,"name":"Train ID","value":"135-09"},{"id":16,"name":"Locomotive ID","value":"4029"},{"id":130,"name":"Impact","value":""},{"id":150,"name":"Time of Event (Mountain Time)","value":"08:37:13"},{"id":151,"name":"Denver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4029 --day 2017-03-09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673</v>
      </c>
      <c r="B48" s="7">
        <v>4030</v>
      </c>
      <c r="C48" s="21" t="s">
        <v>242</v>
      </c>
      <c r="D48" s="21" t="s">
        <v>434</v>
      </c>
      <c r="E48" s="13">
        <v>42803.369039351855</v>
      </c>
      <c r="F48" s="13">
        <v>42803.372418981482</v>
      </c>
      <c r="G48" s="7">
        <v>1</v>
      </c>
      <c r="H48" s="21" t="s">
        <v>203</v>
      </c>
      <c r="I48" s="13">
        <v>42803.404791666668</v>
      </c>
      <c r="J48" s="7">
        <v>0</v>
      </c>
      <c r="K48" s="98" t="str">
        <f>IF(ISEVEN(B48),(B48-1)&amp;"/"&amp;B48,B48&amp;"/"&amp;(B48+1))</f>
        <v>4029/4030</v>
      </c>
      <c r="L48" s="21" t="str">
        <f>VLOOKUP(A48,'Trips&amp;Operators'!$C$1:$G$99999,5,FALSE)</f>
        <v>GEBRETEKLE DAGNEW</v>
      </c>
      <c r="M48" s="6">
        <f>I48-F48</f>
        <v>3.2372685185691807E-2</v>
      </c>
      <c r="N48" s="7">
        <f>24*60*SUM($M48:$M48)</f>
        <v>46.616666667396203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-03-09T07:51:25-0700',mode:absolute,to:'2017-03-09T10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87" t="str">
        <f>IF(AA48&lt;IF(AG48="EC",23,5.65),"Y","N")</f>
        <v>N</v>
      </c>
      <c r="X48" s="187">
        <f>VALUE(LEFT(AD48,4))-VALUE(LEFT(AD47,4))</f>
        <v>1</v>
      </c>
      <c r="Y48" s="62">
        <f>RIGHT(D48,LEN(D48)-4)/10000</f>
        <v>23.301300000000001</v>
      </c>
      <c r="Z48" s="62">
        <f>RIGHT(H48,LEN(H48)-4)/10000</f>
        <v>1.5800000000000002E-2</v>
      </c>
      <c r="AA48" s="62">
        <f>ABS(Z48-Y48)</f>
        <v>23.285500000000003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0136-09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/stypes="app*4030*20170309*" /stext=" 16:.+((SYSTEM_STATE.+slice.+state.+changed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136-09 --locoid 4030 --swversion DE.1.0.9.0 --startMP 204:233013 --initTime 2017-03-09T08:51:25 --startdatetime 2017-03-09T08:56:17 --delay 1 --endMP 204:158 --enddatetime 2017-03-09T09:42:54 --enforcementcount 0 &gt;&gt;C:\Users\stu\Documents\GitHub\eaglep3-reporting\EC\2017-03-09-refined-times.txt</v>
      </c>
      <c r="AI4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ID","value":"136-09"},{"id":16,"name":"Locomotive ID","value":"4030"},{"id":130,"name":"Impact","value":""},{"id":150,"name":"Time of Event (Mountain Time)","value":"09:42:54"},{"id":151,"name":"Denver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4030 --day 2017-03-09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666</v>
      </c>
      <c r="B49" s="7">
        <v>4040</v>
      </c>
      <c r="C49" s="21" t="s">
        <v>242</v>
      </c>
      <c r="D49" s="21" t="s">
        <v>243</v>
      </c>
      <c r="E49" s="13">
        <v>42803.339687500003</v>
      </c>
      <c r="F49" s="13">
        <v>42803.343946759262</v>
      </c>
      <c r="G49" s="7">
        <v>1</v>
      </c>
      <c r="H49" s="21" t="s">
        <v>248</v>
      </c>
      <c r="I49" s="13">
        <v>42803.368194444447</v>
      </c>
      <c r="J49" s="7">
        <v>0</v>
      </c>
      <c r="K49" s="98" t="str">
        <f>IF(ISEVEN(B49),(B49-1)&amp;"/"&amp;B49,B49&amp;"/"&amp;(B49+1))</f>
        <v>4039/4040</v>
      </c>
      <c r="L49" s="21" t="str">
        <f>VLOOKUP(A49,'Trips&amp;Operators'!$C$1:$G$99999,5,FALSE)</f>
        <v>ROCHA YAOTL</v>
      </c>
      <c r="M49" s="6">
        <f>I49-F49</f>
        <v>2.4247685185400769E-2</v>
      </c>
      <c r="N49" s="7">
        <f>24*60*SUM($M49:$M49)</f>
        <v>34.916666666977108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-03-09T07:09:09-0700',mode:absolute,to:'2017-03-09T09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87" t="str">
        <f>IF(AA49&lt;IF(AG49="EC",23,5.65),"Y","N")</f>
        <v>N</v>
      </c>
      <c r="X49" s="187">
        <f>VALUE(LEFT(AD49,4))-VALUE(LEFT(AD48,4))</f>
        <v>1</v>
      </c>
      <c r="Y49" s="62">
        <f>RIGHT(D49,LEN(D49)-4)/10000</f>
        <v>4.58E-2</v>
      </c>
      <c r="Z49" s="62">
        <f>RIGHT(H49,LEN(H49)-4)/10000</f>
        <v>23.329699999999999</v>
      </c>
      <c r="AA49" s="62">
        <f>ABS(Z49-Y49)</f>
        <v>23.283899999999999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0137-09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/stypes="app*4040*20170309*" /stext=" 15:.+((SYSTEM_STATE.+slice.+state.+changed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137-09 --locoid 4040 --swversion DE.1.0.9.0 --startMP 204:458 --initTime 2017-03-09T08:09:09 --startdatetime 2017-03-09T08:15:17 --delay 1 --endMP 204:233297 --enddatetime 2017-03-09T08:50:12 --enforcementcount 0 &gt;&gt;C:\Users\stu\Documents\GitHub\eaglep3-reporting\EC\2017-03-09-refined-times.txt</v>
      </c>
      <c r="AI4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{"issue":{"subject":"","project_id":79,"tracker_id":40,"status_id":1,"priority_id":2,"assigned_to_id":23,"start_date":"2017-03-09","description":"","custom_fields":[{"id":1,"name":"Subdivision","value":"EC"},{"id":4,"name":"Milepost","value":"23.3297"},{"id":17,"name":"Train ID","value":"137-09"},{"id":16,"name":"Locomotive ID","value":"4040"},{"id":130,"name":"Impact","value":""},{"id":150,"name":"Time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4040 --day 2017-03-09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674</v>
      </c>
      <c r="B50" s="7">
        <v>4039</v>
      </c>
      <c r="C50" s="21" t="s">
        <v>242</v>
      </c>
      <c r="D50" s="21" t="s">
        <v>437</v>
      </c>
      <c r="E50" s="13">
        <v>42803.37190972222</v>
      </c>
      <c r="F50" s="13">
        <v>42803.383055555554</v>
      </c>
      <c r="G50" s="7">
        <v>1</v>
      </c>
      <c r="H50" s="21" t="s">
        <v>203</v>
      </c>
      <c r="I50" s="13">
        <v>42803.412314814814</v>
      </c>
      <c r="J50" s="7">
        <v>0</v>
      </c>
      <c r="K50" s="98" t="str">
        <f>IF(ISEVEN(B50),(B50-1)&amp;"/"&amp;B50,B50&amp;"/"&amp;(B50+1))</f>
        <v>4039/4040</v>
      </c>
      <c r="L50" s="21" t="str">
        <f>VLOOKUP(A50,'Trips&amp;Operators'!$C$1:$G$99999,5,FALSE)</f>
        <v>ROCHA YAOTL</v>
      </c>
      <c r="M50" s="6">
        <f>I50-F50</f>
        <v>2.9259259259561077E-2</v>
      </c>
      <c r="N50" s="7">
        <f>24*60*SUM($M50:$M50)</f>
        <v>42.133333333767951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-03-09T07:55:33-0700',mode:absolute,to:'2017-03-09T10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87" t="str">
        <f>IF(AA50&lt;IF(AG50="EC",23,5.65),"Y","N")</f>
        <v>N</v>
      </c>
      <c r="X50" s="187">
        <f>VALUE(LEFT(AD50,4))-VALUE(LEFT(AD49,4))</f>
        <v>1</v>
      </c>
      <c r="Y50" s="62">
        <f>RIGHT(D50,LEN(D50)-4)/10000</f>
        <v>23.297999999999998</v>
      </c>
      <c r="Z50" s="62">
        <f>RIGHT(H50,LEN(H50)-4)/10000</f>
        <v>1.5800000000000002E-2</v>
      </c>
      <c r="AA50" s="62">
        <f>ABS(Z50-Y50)</f>
        <v>23.2822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0138-09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/stypes="app*4039*20170309*" /stext=" 16:.+((SYSTEM_STATE.+slice.+state.+changed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138-09 --locoid 4039 --swversion DE.1.0.9.0 --startMP 204:232980 --initTime 2017-03-09T08:55:33 --startdatetime 2017-03-09T09:11:36 --delay 1 --endMP 204:158 --enddatetime 2017-03-09T09:53:44 --enforcementcount 0 &gt;&gt;C:\Users\stu\Documents\GitHub\eaglep3-reporting\EC\2017-03-09-refined-times.txt</v>
      </c>
      <c r="AI5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ID","value":"138-09"},{"id":16,"name":"Locomotive ID","value":"4039"},{"id":130,"name":"Impact","value":""},{"id":150,"name":"Time of Event (Mountain Time)","value":"09:53:44"},{"id":151,"name":"Denver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4039 --day 2017-03-09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668</v>
      </c>
      <c r="B51" s="7">
        <v>4044</v>
      </c>
      <c r="C51" s="21" t="s">
        <v>242</v>
      </c>
      <c r="D51" s="21" t="s">
        <v>236</v>
      </c>
      <c r="E51" s="13">
        <v>42803.350856481484</v>
      </c>
      <c r="F51" s="13">
        <v>42803.35527777778</v>
      </c>
      <c r="G51" s="7">
        <v>1</v>
      </c>
      <c r="H51" s="21" t="s">
        <v>286</v>
      </c>
      <c r="I51" s="13">
        <v>42803.379224537035</v>
      </c>
      <c r="J51" s="7">
        <v>0</v>
      </c>
      <c r="K51" s="98" t="str">
        <f>IF(ISEVEN(B51),(B51-1)&amp;"/"&amp;B51,B51&amp;"/"&amp;(B51+1))</f>
        <v>4043/4044</v>
      </c>
      <c r="L51" s="21" t="str">
        <f>VLOOKUP(A51,'Trips&amp;Operators'!$C$1:$G$99999,5,FALSE)</f>
        <v>YORK EDGAR</v>
      </c>
      <c r="M51" s="6">
        <f>I51-F51</f>
        <v>2.3946759254613426E-2</v>
      </c>
      <c r="N51" s="7">
        <f>24*60*SUM($M51:$M51)</f>
        <v>34.483333326643333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-03-09T07:25:14-0700',mode:absolute,to:'2017-03-09T10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87" t="str">
        <f>IF(AA51&lt;IF(AG51="EC",23,5.65),"Y","N")</f>
        <v>N</v>
      </c>
      <c r="X51" s="187">
        <f>VALUE(LEFT(AD51,4))-VALUE(LEFT(AD50,4))</f>
        <v>1</v>
      </c>
      <c r="Y51" s="62">
        <f>RIGHT(D51,LEN(D51)-4)/10000</f>
        <v>4.4699999999999997E-2</v>
      </c>
      <c r="Z51" s="62">
        <f>RIGHT(H51,LEN(H51)-4)/10000</f>
        <v>23.3291</v>
      </c>
      <c r="AA51" s="62">
        <f>ABS(Z51-Y51)</f>
        <v>23.284400000000002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0139-09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/stypes="app*4044*20170309*" /stext=" 16:.+((SYSTEM_STATE.+slice.+state.+changed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139-09 --locoid 4044 --swversion DE.1.0.9.0 --startMP 204:447 --initTime 2017-03-09T08:25:14 --startdatetime 2017-03-09T08:31:36 --delay 1 --endMP 204:233291 --enddatetime 2017-03-09T09:06:05 --enforcementcount 0 &gt;&gt;C:\Users\stu\Documents\GitHub\eaglep3-reporting\EC\2017-03-09-refined-times.txt</v>
      </c>
      <c r="AI5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{"issue":{"subject":"","project_id":79,"tracker_id":40,"status_id":1,"priority_id":2,"assigned_to_id":23,"start_date":"2017-03-09","description":"","custom_fields":[{"id":1,"name":"Subdivision","value":"EC"},{"id":4,"name":"Milepost","value":"23.3291"},{"id":17,"name":"Train ID","value":"139-09"},{"id":16,"name":"Locomotive ID","value":"4044"},{"id":130,"name":"Impact","value":""},{"id":150,"name":"Time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4044 --day 2017-03-09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675</v>
      </c>
      <c r="B52" s="7">
        <v>4043</v>
      </c>
      <c r="C52" s="21" t="s">
        <v>242</v>
      </c>
      <c r="D52" s="21" t="s">
        <v>837</v>
      </c>
      <c r="E52" s="13">
        <v>42803.380277777775</v>
      </c>
      <c r="F52" s="13">
        <v>42803.39340277778</v>
      </c>
      <c r="G52" s="7">
        <v>1</v>
      </c>
      <c r="H52" s="21" t="s">
        <v>423</v>
      </c>
      <c r="I52" s="13">
        <v>42803.419861111113</v>
      </c>
      <c r="J52" s="7">
        <v>0</v>
      </c>
      <c r="K52" s="98" t="str">
        <f>IF(ISEVEN(B52),(B52-1)&amp;"/"&amp;B52,B52&amp;"/"&amp;(B52+1))</f>
        <v>4043/4044</v>
      </c>
      <c r="L52" s="21" t="str">
        <f>VLOOKUP(A52,'Trips&amp;Operators'!$C$1:$G$99999,5,FALSE)</f>
        <v>YORK EDGAR</v>
      </c>
      <c r="M52" s="6">
        <f>I52-F52</f>
        <v>2.6458333333721384E-2</v>
      </c>
      <c r="N52" s="7">
        <f>24*60*SUM($M52:$M52)</f>
        <v>38.100000000558794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-03-09T08:07:36-0700',mode:absolute,to:'2017-03-09T11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87" t="str">
        <f>IF(AA52&lt;IF(AG52="EC",23,5.65),"Y","N")</f>
        <v>N</v>
      </c>
      <c r="X52" s="187">
        <f>VALUE(LEFT(AD52,4))-VALUE(LEFT(AD51,4))</f>
        <v>1</v>
      </c>
      <c r="Y52" s="62">
        <f>RIGHT(D52,LEN(D52)-4)/10000</f>
        <v>23.298500000000001</v>
      </c>
      <c r="Z52" s="62">
        <f>RIGHT(H52,LEN(H52)-4)/10000</f>
        <v>1.43E-2</v>
      </c>
      <c r="AA52" s="62">
        <f>ABS(Z52-Y52)</f>
        <v>23.284200000000002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0140-09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/stypes="app*4043*20170309*" /stext=" 17:.+((SYSTEM_STATE.+slice.+state.+changed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140-09 --locoid 4043 --swversion DE.1.0.9.0 --startMP 204:232985 --initTime 2017-03-09T09:07:36 --startdatetime 2017-03-09T09:26:30 --delay 1 --endMP 204:143 --enddatetime 2017-03-09T10:04:36 --enforcementcount 0 &gt;&gt;C:\Users\stu\Documents\GitHub\eaglep3-reporting\EC\2017-03-09-refined-times.txt</v>
      </c>
      <c r="AI5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ID","value":"140-09"},{"id":16,"name":"Locomotive ID","value":"4043"},{"id":130,"name":"Impact","value":""},{"id":150,"name":"Time of Event (Mountain Time)","value":"10:04:36"},{"id":151,"name":"Denver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4043 --day 2017-03-09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672</v>
      </c>
      <c r="B53" s="7">
        <v>4022</v>
      </c>
      <c r="C53" s="21" t="s">
        <v>242</v>
      </c>
      <c r="D53" s="21" t="s">
        <v>550</v>
      </c>
      <c r="E53" s="13">
        <v>42803.362384259257</v>
      </c>
      <c r="F53" s="13">
        <v>42803.364791666667</v>
      </c>
      <c r="G53" s="7">
        <v>1</v>
      </c>
      <c r="H53" s="21" t="s">
        <v>251</v>
      </c>
      <c r="I53" s="13">
        <v>42803.391527777778</v>
      </c>
      <c r="J53" s="7">
        <v>0</v>
      </c>
      <c r="K53" s="98" t="str">
        <f>IF(ISEVEN(B53),(B53-1)&amp;"/"&amp;B53,B53&amp;"/"&amp;(B53+1))</f>
        <v>4021/4022</v>
      </c>
      <c r="L53" s="21" t="str">
        <f>VLOOKUP(A53,'Trips&amp;Operators'!$C$1:$G$99999,5,FALSE)</f>
        <v>YOUNG ELIZABETH</v>
      </c>
      <c r="M53" s="6">
        <f>I53-F53</f>
        <v>2.6736111110949423E-2</v>
      </c>
      <c r="N53" s="7">
        <f>24*60*SUM($M53:$M53)</f>
        <v>38.499999999767169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-03-09T07:41:50-0700',mode:absolute,to:'2017-03-09T10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>IF(AA53&lt;IF(AG53="EC",23,5.65),"Y","N")</f>
        <v>N</v>
      </c>
      <c r="X53" s="187">
        <f>VALUE(LEFT(AD53,4))-VALUE(LEFT(AD52,4))</f>
        <v>1</v>
      </c>
      <c r="Y53" s="62">
        <f>RIGHT(D53,LEN(D53)-4)/10000</f>
        <v>4.8599999999999997E-2</v>
      </c>
      <c r="Z53" s="62">
        <f>RIGHT(H53,LEN(H53)-4)/10000</f>
        <v>23.329899999999999</v>
      </c>
      <c r="AA53" s="62">
        <f>ABS(Z53-Y53)</f>
        <v>23.281299999999998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0141-09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/stypes="app*4022*20170309*" /stext=" 16:.+((SYSTEM_STATE.+slice.+state.+changed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141-09 --locoid 4022 --swversion DE.1.0.9.0 --startMP 204:486 --initTime 2017-03-09T08:41:50 --startdatetime 2017-03-09T08:45:18 --delay 1 --endMP 204:233299 --enddatetime 2017-03-09T09:23:48 --enforcementcount 0 &gt;&gt;C:\Users\stu\Documents\GitHub\eaglep3-reporting\EC\2017-03-09-refined-times.txt</v>
      </c>
      <c r="AI5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{"issue":{"subject":"","project_id":79,"tracker_id":40,"status_id":1,"priority_id":2,"assigned_to_id":23,"start_date":"2017-03-09","description":"","custom_fields":[{"id":1,"name":"Subdivision","value":"EC"},{"id":4,"name":"Milepost","value":"23.3299"},{"id":17,"name":"Train ID","value":"141-09"},{"id":16,"name":"Locomotive ID","value":"4022"},{"id":130,"name":"Impact","value":""},{"id":150,"name":"Time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4022 --day 2017-03-09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585</v>
      </c>
      <c r="B54" s="7">
        <v>4021</v>
      </c>
      <c r="C54" s="21" t="s">
        <v>242</v>
      </c>
      <c r="D54" s="21" t="s">
        <v>437</v>
      </c>
      <c r="E54" s="13">
        <v>42803.39439814815</v>
      </c>
      <c r="F54" s="13">
        <v>42803.403773148151</v>
      </c>
      <c r="G54" s="7">
        <v>1</v>
      </c>
      <c r="H54" s="21" t="s">
        <v>839</v>
      </c>
      <c r="I54" s="13">
        <v>42803.437013888892</v>
      </c>
      <c r="J54" s="7">
        <v>0</v>
      </c>
      <c r="K54" s="98" t="str">
        <f>IF(ISEVEN(B54),(B54-1)&amp;"/"&amp;B54,B54&amp;"/"&amp;(B54+1))</f>
        <v>4021/4022</v>
      </c>
      <c r="L54" s="21" t="str">
        <f>VLOOKUP(A54,'Trips&amp;Operators'!$C$1:$G$99999,5,FALSE)</f>
        <v>YOUNG ELIZABETH</v>
      </c>
      <c r="M54" s="6">
        <f>I54-F54</f>
        <v>3.3240740740438923E-2</v>
      </c>
      <c r="N54" s="7">
        <f>24*60*SUM($M54:$M54)</f>
        <v>47.866666666232049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>IF(AA54&lt;IF(AG54="EC",23,5.65),"Y","N")</f>
        <v>N</v>
      </c>
      <c r="X54" s="187">
        <f>VALUE(LEFT(AD54,4))-VALUE(LEFT(AD53,4))</f>
        <v>1</v>
      </c>
      <c r="Y54" s="62">
        <f>RIGHT(D54,LEN(D54)-4)/10000</f>
        <v>23.297999999999998</v>
      </c>
      <c r="Z54" s="62">
        <f>RIGHT(H54,LEN(H54)-4)/10000</f>
        <v>9.1800000000000007E-2</v>
      </c>
      <c r="AA54" s="62">
        <f>ABS(Z54-Y54)</f>
        <v>23.206199999999999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0142-09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/stypes="app*4021*20170309*" /stext=" 17:.+((SYSTEM_STATE.+slice.+state.+changed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142-09 --locoid 4021 --swversion DE.1.0.9.0 --startMP 204:232980 --initTime 2017-03-09T09:27:56 --startdatetime 2017-03-09T09:41:26 --delay 1 --endMP 204:918 --enddatetime 2017-03-09T10:29:18 --enforcementcount 0 &gt;&gt;C:\Users\stu\Documents\GitHub\eaglep3-reporting\EC\2017-03-09-refined-times.txt</v>
      </c>
      <c r="AI5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{"issue":{"subject":"","project_id":79,"tracker_id":40,"status_id":1,"priority_id":2,"assigned_to_id":23,"start_date":"2017-03-09","description":"","custom_fields":[{"id":1,"name":"Subdivision","value":"EC"},{"id":4,"name":"Milepost","value":"0.0918"},{"id":17,"name":"Train ID","value":"142-09"},{"id":16,"name":"Locomotive ID","value":"4021"},{"id":130,"name":"Impact","value":""},{"id":150,"name":"Time of Event (Mountain Time)","value":"10:29:18"},{"id":151,"name":"Denver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4021 --day 2017-03-09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583</v>
      </c>
      <c r="B55" s="7">
        <v>4016</v>
      </c>
      <c r="C55" s="21" t="s">
        <v>242</v>
      </c>
      <c r="D55" s="21" t="s">
        <v>236</v>
      </c>
      <c r="E55" s="13">
        <v>42803.371944444443</v>
      </c>
      <c r="F55" s="13">
        <v>42803.375196759262</v>
      </c>
      <c r="G55" s="7">
        <v>1</v>
      </c>
      <c r="H55" s="21" t="s">
        <v>273</v>
      </c>
      <c r="I55" s="13">
        <v>42803.401516203703</v>
      </c>
      <c r="J55" s="7">
        <v>0</v>
      </c>
      <c r="K55" s="98" t="str">
        <f>IF(ISEVEN(B55),(B55-1)&amp;"/"&amp;B55,B55&amp;"/"&amp;(B55+1))</f>
        <v>4015/4016</v>
      </c>
      <c r="L55" s="21" t="str">
        <f>VLOOKUP(A55,'Trips&amp;Operators'!$C$1:$G$99999,5,FALSE)</f>
        <v>STARKS ANGELINA</v>
      </c>
      <c r="M55" s="6">
        <f>I55-F55</f>
        <v>2.6319444441469386E-2</v>
      </c>
      <c r="N55" s="7">
        <f>24*60*SUM($M55:$M55)</f>
        <v>37.899999995715916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-03-09T07:55:36-0700',mode:absolute,to:'2017-03-09T10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87" t="str">
        <f>IF(AA55&lt;IF(AG55="EC",23,5.65),"Y","N")</f>
        <v>N</v>
      </c>
      <c r="X55" s="187">
        <f>VALUE(LEFT(AD55,4))-VALUE(LEFT(AD54,4))</f>
        <v>1</v>
      </c>
      <c r="Y55" s="62">
        <f>RIGHT(D55,LEN(D55)-4)/10000</f>
        <v>4.4699999999999997E-2</v>
      </c>
      <c r="Z55" s="62">
        <f>RIGHT(H55,LEN(H55)-4)/10000</f>
        <v>23.329499999999999</v>
      </c>
      <c r="AA55" s="62">
        <f>ABS(Z55-Y55)</f>
        <v>23.284800000000001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>IF(LEN(A55)=6,"0"&amp;A55,A55)</f>
        <v>0143-09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/stypes="app*4016*20170309*" /stext=" 16:.+((SYSTEM_STATE.+slice.+state.+changed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143-09 --locoid 4016 --swversion DE.1.0.9.0 --startMP 204:447 --initTime 2017-03-09T08:55:36 --startdatetime 2017-03-09T09:00:17 --delay 1 --endMP 204:233295 --enddatetime 2017-03-09T09:38:11 --enforcementcount 0 &gt;&gt;C:\Users\stu\Documents\GitHub\eaglep3-reporting\EC\2017-03-09-refined-times.txt</v>
      </c>
      <c r="AI5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ID","value":"143-09"},{"id":16,"name":"Locomotive ID","value":"4016"},{"id":130,"name":"Impact","value":""},{"id":150,"name":"Time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4016 --day 2017-03-09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584</v>
      </c>
      <c r="B56" s="7">
        <v>4015</v>
      </c>
      <c r="C56" s="21" t="s">
        <v>242</v>
      </c>
      <c r="D56" s="21" t="s">
        <v>244</v>
      </c>
      <c r="E56" s="13">
        <v>42803.411597222221</v>
      </c>
      <c r="F56" s="13">
        <v>42803.414050925923</v>
      </c>
      <c r="G56" s="7">
        <v>1</v>
      </c>
      <c r="H56" s="21" t="s">
        <v>232</v>
      </c>
      <c r="I56" s="13">
        <v>42803.442777777775</v>
      </c>
      <c r="J56" s="7">
        <v>0</v>
      </c>
      <c r="K56" s="98" t="str">
        <f>IF(ISEVEN(B56),(B56-1)&amp;"/"&amp;B56,B56&amp;"/"&amp;(B56+1))</f>
        <v>4015/4016</v>
      </c>
      <c r="L56" s="21" t="str">
        <f>VLOOKUP(A56,'Trips&amp;Operators'!$C$1:$G$99999,5,FALSE)</f>
        <v>STARKS ANGELINA</v>
      </c>
      <c r="M56" s="6">
        <f>I56-F56</f>
        <v>2.8726851851388346E-2</v>
      </c>
      <c r="N56" s="7">
        <f>24*60*SUM($M56:$M56)</f>
        <v>41.366666665999219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87" t="str">
        <f>IF(AA56&lt;IF(AG56="EC",23,5.65),"Y","N")</f>
        <v>N</v>
      </c>
      <c r="X56" s="187">
        <f>VALUE(LEFT(AD56,4))-VALUE(LEFT(AD55,4))</f>
        <v>1</v>
      </c>
      <c r="Y56" s="62">
        <f>RIGHT(D56,LEN(D56)-4)/10000</f>
        <v>23.299399999999999</v>
      </c>
      <c r="Z56" s="62">
        <f>RIGHT(H56,LEN(H56)-4)/10000</f>
        <v>1.5599999999999999E-2</v>
      </c>
      <c r="AA56" s="62">
        <f>ABS(Z56-Y56)</f>
        <v>23.283799999999999</v>
      </c>
      <c r="AB56" s="59" t="str">
        <f>VLOOKUP(A56,Enforcements!$C$7:$K$13,8,0)</f>
        <v>Bulletin (2)</v>
      </c>
      <c r="AC56" s="55" t="str">
        <f>VLOOKUP(A56,Enforcements!$C$7:$E$13,3,0)</f>
        <v>GRADE CROSSING</v>
      </c>
      <c r="AD56" s="56" t="str">
        <f>IF(LEN(A56)=6,"0"&amp;A56,A56)</f>
        <v>0144-09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/stypes="app*4015*20170309*" /stext=" 17:.+((SYSTEM_STATE.+slice.+state.+changed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144-09 --locoid 4015 --swversion DE.1.0.9.0 --startMP 204:232994 --initTime 2017-03-09T09:52:42 --startdatetime 2017-03-09T09:56:14 --delay 1 --endMP 204:156 --enddatetime 2017-03-09T10:37:36 --enforcementcount 0 &gt;&gt;C:\Users\stu\Documents\GitHub\eaglep3-reporting\EC\2017-03-09-refined-times.txt</v>
      </c>
      <c r="AI5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ID","value":"144-09"},{"id":16,"name":"Locomotive ID","value":"4015"},{"id":130,"name":"Impact","value":""},{"id":150,"name":"Time of Event (Mountain Time)","value":"10:37:36"},{"id":151,"name":"Denver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4015 --day 2017-03-09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676</v>
      </c>
      <c r="B57" s="7">
        <v>4018</v>
      </c>
      <c r="C57" s="21" t="s">
        <v>242</v>
      </c>
      <c r="D57" s="21" t="s">
        <v>461</v>
      </c>
      <c r="E57" s="13">
        <v>42803.381956018522</v>
      </c>
      <c r="F57" s="13">
        <v>42803.385601851849</v>
      </c>
      <c r="G57" s="7">
        <v>1</v>
      </c>
      <c r="H57" s="21" t="s">
        <v>251</v>
      </c>
      <c r="I57" s="13">
        <v>42803.419236111113</v>
      </c>
      <c r="J57" s="7">
        <v>0</v>
      </c>
      <c r="K57" s="98" t="str">
        <f>IF(ISEVEN(B57),(B57-1)&amp;"/"&amp;B57,B57&amp;"/"&amp;(B57+1))</f>
        <v>4017/4018</v>
      </c>
      <c r="L57" s="21" t="str">
        <f>VLOOKUP(A57,'Trips&amp;Operators'!$C$1:$G$99999,5,FALSE)</f>
        <v>BONDS REYNALDO</v>
      </c>
      <c r="M57" s="6">
        <f>I57-F57</f>
        <v>3.3634259263635613E-2</v>
      </c>
      <c r="N57" s="7">
        <f>24*60*SUM($M57:$M57)</f>
        <v>48.433333339635283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-03-09T08:10:01-0700',mode:absolute,to:'2017-03-09T11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7" t="str">
        <f>IF(AA57&lt;IF(AG57="EC",23,5.65),"Y","N")</f>
        <v>N</v>
      </c>
      <c r="X57" s="187">
        <f>VALUE(LEFT(AD57,4))-VALUE(LEFT(AD56,4))</f>
        <v>1</v>
      </c>
      <c r="Y57" s="62">
        <f>RIGHT(D57,LEN(D57)-4)/10000</f>
        <v>4.7500000000000001E-2</v>
      </c>
      <c r="Z57" s="62">
        <f>RIGHT(H57,LEN(H57)-4)/10000</f>
        <v>23.329899999999999</v>
      </c>
      <c r="AA57" s="62">
        <f>ABS(Z57-Y57)</f>
        <v>23.282399999999999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0145-09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/stypes="app*4018*20170309*" /stext=" 17:.+((SYSTEM_STATE.+slice.+state.+changed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145-09 --locoid 4018 --swversion DE.1.0.9.0 --startMP 204:475 --initTime 2017-03-09T09:10:01 --startdatetime 2017-03-09T09:15:16 --delay 1 --endMP 204:233299 --enddatetime 2017-03-09T10:03:42 --enforcementcount 0 &gt;&gt;C:\Users\stu\Documents\GitHub\eaglep3-reporting\EC\2017-03-09-refined-times.txt</v>
      </c>
      <c r="AI5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{"issue":{"subject":"","project_id":79,"tracker_id":40,"status_id":1,"priority_id":2,"assigned_to_id":23,"start_date":"2017-03-09","description":"","custom_fields":[{"id":1,"name":"Subdivision","value":"EC"},{"id":4,"name":"Milepost","value":"23.3299"},{"id":17,"name":"Train ID","value":"145-09"},{"id":16,"name":"Locomotive ID","value":"4018"},{"id":130,"name":"Impact","value":""},{"id":150,"name":"Time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4018 --day 2017-03-09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684</v>
      </c>
      <c r="B58" s="7">
        <v>4017</v>
      </c>
      <c r="C58" s="21" t="s">
        <v>242</v>
      </c>
      <c r="D58" s="21" t="s">
        <v>840</v>
      </c>
      <c r="E58" s="13">
        <v>42803.42150462963</v>
      </c>
      <c r="F58" s="13">
        <v>42803.424537037034</v>
      </c>
      <c r="G58" s="7">
        <v>1</v>
      </c>
      <c r="H58" s="21" t="s">
        <v>232</v>
      </c>
      <c r="I58" s="13">
        <v>42803.453912037039</v>
      </c>
      <c r="J58" s="7">
        <v>0</v>
      </c>
      <c r="K58" s="98" t="str">
        <f>IF(ISEVEN(B58),(B58-1)&amp;"/"&amp;B58,B58&amp;"/"&amp;(B58+1))</f>
        <v>4017/4018</v>
      </c>
      <c r="L58" s="21" t="str">
        <f>VLOOKUP(A58,'Trips&amp;Operators'!$C$1:$G$99999,5,FALSE)</f>
        <v>BONDS REYNALDO</v>
      </c>
      <c r="M58" s="6">
        <f>I58-F58</f>
        <v>2.9375000005529728E-2</v>
      </c>
      <c r="N58" s="7">
        <f>24*60*SUM($M58:$M58)</f>
        <v>42.300000007962808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-03-09T09:06:58-0700',mode:absolute,to:'2017-03-09T11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7" t="str">
        <f>IF(AA58&lt;IF(AG58="EC",23,5.65),"Y","N")</f>
        <v>N</v>
      </c>
      <c r="X58" s="187">
        <f>VALUE(LEFT(AD58,4))-VALUE(LEFT(AD57,4))</f>
        <v>1</v>
      </c>
      <c r="Y58" s="62">
        <f>RIGHT(D58,LEN(D58)-4)/10000</f>
        <v>23.299199999999999</v>
      </c>
      <c r="Z58" s="62">
        <f>RIGHT(H58,LEN(H58)-4)/10000</f>
        <v>1.5599999999999999E-2</v>
      </c>
      <c r="AA58" s="62">
        <f>ABS(Z58-Y58)</f>
        <v>23.2836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0146-09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/stypes="app*4017*20170309*" /stext=" 17:.+((SYSTEM_STATE.+slice.+state.+changed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146-09 --locoid 4017 --swversion DE.1.0.9.0 --startMP 204:232992 --initTime 2017-03-09T10:06:58 --startdatetime 2017-03-09T10:11:20 --delay 1 --endMP 204:156 --enddatetime 2017-03-09T10:53:38 --enforcementcount 0 &gt;&gt;C:\Users\stu\Documents\GitHub\eaglep3-reporting\EC\2017-03-09-refined-times.txt</v>
      </c>
      <c r="AI5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ID","value":"146-09"},{"id":16,"name":"Locomotive ID","value":"4017"},{"id":130,"name":"Impact","value":""},{"id":150,"name":"Time of Event (Mountain Time)","value":"10:53:38"},{"id":151,"name":"Denver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4017 --day 2017-03-09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678</v>
      </c>
      <c r="B59" s="7">
        <v>4003</v>
      </c>
      <c r="C59" s="21" t="s">
        <v>242</v>
      </c>
      <c r="D59" s="21" t="s">
        <v>539</v>
      </c>
      <c r="E59" s="13">
        <v>42803.392129629632</v>
      </c>
      <c r="F59" s="13">
        <v>42803.396006944444</v>
      </c>
      <c r="G59" s="7">
        <v>1</v>
      </c>
      <c r="H59" s="21" t="s">
        <v>841</v>
      </c>
      <c r="I59" s="13">
        <v>42803.421782407408</v>
      </c>
      <c r="J59" s="7">
        <v>0</v>
      </c>
      <c r="K59" s="98" t="str">
        <f>IF(ISEVEN(B59),(B59-1)&amp;"/"&amp;B59,B59&amp;"/"&amp;(B59+1))</f>
        <v>4003/4004</v>
      </c>
      <c r="L59" s="21" t="str">
        <f>VLOOKUP(A59,'Trips&amp;Operators'!$C$1:$G$99999,5,FALSE)</f>
        <v>ROBINSON KADDIBA</v>
      </c>
      <c r="M59" s="6">
        <f>I59-F59</f>
        <v>2.5775462963792961E-2</v>
      </c>
      <c r="N59" s="7">
        <f>24*60*SUM($M59:$M59)</f>
        <v>37.116666667861864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-03-09T08:24:40-0700',mode:absolute,to:'2017-03-09T11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87" t="str">
        <f>IF(AA59&lt;IF(AG59="EC",23,5.65),"Y","N")</f>
        <v>N</v>
      </c>
      <c r="X59" s="187">
        <f>VALUE(LEFT(AD59,4))-VALUE(LEFT(AD58,4))</f>
        <v>1</v>
      </c>
      <c r="Y59" s="62">
        <f>RIGHT(D59,LEN(D59)-4)/10000</f>
        <v>4.6399999999999997E-2</v>
      </c>
      <c r="Z59" s="62">
        <f>RIGHT(H59,LEN(H59)-4)/10000</f>
        <v>23.331499999999998</v>
      </c>
      <c r="AA59" s="62">
        <f>ABS(Z59-Y59)</f>
        <v>23.2851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0147-09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/stypes="app*4003*20170309*" /stext=" 17:.+((SYSTEM_STATE.+slice.+state.+changed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147-09 --locoid 4003 --swversion DE.1.0.9.0 --startMP 204:464 --initTime 2017-03-09T09:24:40 --startdatetime 2017-03-09T09:30:15 --delay 1 --endMP 204:233315 --enddatetime 2017-03-09T10:07:22 --enforcementcount 0 &gt;&gt;C:\Users\stu\Documents\GitHub\eaglep3-reporting\EC\2017-03-09-refined-times.txt</v>
      </c>
      <c r="AI5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ID","value":"147-09"},{"id":16,"name":"Locomotive ID","value":"4003"},{"id":130,"name":"Impact","value":""},{"id":150,"name":"Time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4003 --day 2017-03-09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686</v>
      </c>
      <c r="B60" s="7">
        <v>4004</v>
      </c>
      <c r="C60" s="21" t="s">
        <v>242</v>
      </c>
      <c r="D60" s="21" t="s">
        <v>268</v>
      </c>
      <c r="E60" s="13">
        <v>42803.430405092593</v>
      </c>
      <c r="F60" s="13">
        <v>42803.434895833336</v>
      </c>
      <c r="G60" s="7">
        <v>1</v>
      </c>
      <c r="H60" s="21" t="s">
        <v>235</v>
      </c>
      <c r="I60" s="13">
        <v>42803.463634259257</v>
      </c>
      <c r="J60" s="7">
        <v>0</v>
      </c>
      <c r="K60" s="98" t="str">
        <f>IF(ISEVEN(B60),(B60-1)&amp;"/"&amp;B60,B60&amp;"/"&amp;(B60+1))</f>
        <v>4003/4004</v>
      </c>
      <c r="L60" s="21" t="str">
        <f>VLOOKUP(A60,'Trips&amp;Operators'!$C$1:$G$99999,5,FALSE)</f>
        <v>ROBINSON KADDIBA</v>
      </c>
      <c r="M60" s="6">
        <f>I60-F60</f>
        <v>2.8738425920892041E-2</v>
      </c>
      <c r="N60" s="7">
        <f>24*60*SUM($M60:$M60)</f>
        <v>41.383333326084539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-03-09T09:19:47-0700',mode:absolute,to:'2017-03-09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7" t="str">
        <f>IF(AA60&lt;IF(AG60="EC",23,5.65),"Y","N")</f>
        <v>N</v>
      </c>
      <c r="X60" s="187">
        <f>VALUE(LEFT(AD60,4))-VALUE(LEFT(AD59,4))</f>
        <v>1</v>
      </c>
      <c r="Y60" s="62">
        <f>RIGHT(D60,LEN(D60)-4)/10000</f>
        <v>23.3004</v>
      </c>
      <c r="Z60" s="62">
        <f>RIGHT(H60,LEN(H60)-4)/10000</f>
        <v>1.47E-2</v>
      </c>
      <c r="AA60" s="62">
        <f>ABS(Z60-Y60)</f>
        <v>23.285699999999999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0148-09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/stypes="app*4004*20170309*" /stext=" 18:.+((SYSTEM_STATE.+slice.+state.+changed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148-09 --locoid 4004 --swversion DE.1.0.9.0 --startMP 204:233004 --initTime 2017-03-09T10:19:47 --startdatetime 2017-03-09T10:26:15 --delay 1 --endMP 204:147 --enddatetime 2017-03-09T11:07:38 --enforcementcount 0 &gt;&gt;C:\Users\stu\Documents\GitHub\eaglep3-reporting\EC\2017-03-09-refined-times.txt</v>
      </c>
      <c r="AI6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ID","value":"148-09"},{"id":16,"name":"Locomotive ID","value":"4004"},{"id":130,"name":"Impact","value":""},{"id":150,"name":"Time of Event (Mountain Time)","value":"11:07:38"},{"id":151,"name":"Denver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4004 --day 2017-03-09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680</v>
      </c>
      <c r="B61" s="7">
        <v>4029</v>
      </c>
      <c r="C61" s="21" t="s">
        <v>242</v>
      </c>
      <c r="D61" s="21" t="s">
        <v>842</v>
      </c>
      <c r="E61" s="13">
        <v>42803.405682870369</v>
      </c>
      <c r="F61" s="13">
        <v>42803.406944444447</v>
      </c>
      <c r="G61" s="7">
        <v>1</v>
      </c>
      <c r="H61" s="21" t="s">
        <v>833</v>
      </c>
      <c r="I61" s="13">
        <v>42803.431863425925</v>
      </c>
      <c r="J61" s="7">
        <v>0</v>
      </c>
      <c r="K61" s="98" t="str">
        <f>IF(ISEVEN(B61),(B61-1)&amp;"/"&amp;B61,B61&amp;"/"&amp;(B61+1))</f>
        <v>4029/4030</v>
      </c>
      <c r="L61" s="21" t="str">
        <f>VLOOKUP(A61,'Trips&amp;Operators'!$C$1:$G$99999,5,FALSE)</f>
        <v>GEBRETEKLE DAGNEW</v>
      </c>
      <c r="M61" s="6">
        <f>I61-F61</f>
        <v>2.491898147854954E-2</v>
      </c>
      <c r="N61" s="7">
        <f>24*60*SUM($M61:$M61)</f>
        <v>35.883333329111338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-03-09T08:44:11-0700',mode:absolute,to:'2017-03-09T11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87" t="str">
        <f>IF(AA61&lt;IF(AG61="EC",23,5.65),"Y","N")</f>
        <v>N</v>
      </c>
      <c r="X61" s="187">
        <f>VALUE(LEFT(AD61,4))-VALUE(LEFT(AD60,4))</f>
        <v>1</v>
      </c>
      <c r="Y61" s="62">
        <f>RIGHT(D61,LEN(D61)-4)/10000</f>
        <v>4.8800000000000003E-2</v>
      </c>
      <c r="Z61" s="62">
        <f>RIGHT(H61,LEN(H61)-4)/10000</f>
        <v>23.332000000000001</v>
      </c>
      <c r="AA61" s="62">
        <f>ABS(Z61-Y61)</f>
        <v>23.283200000000001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0149-09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/stypes="app*4029*20170309*" /stext=" 17:.+((SYSTEM_STATE.+slice.+state.+changed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149-09 --locoid 4029 --swversion DE.1.0.9.0 --startMP 204:488 --initTime 2017-03-09T09:44:11 --startdatetime 2017-03-09T09:46:00 --delay 1 --endMP 204:233320 --enddatetime 2017-03-09T10:21:53 --enforcementcount 0 &gt;&gt;C:\Users\stu\Documents\GitHub\eaglep3-reporting\EC\2017-03-09-refined-times.txt</v>
      </c>
      <c r="AI6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{"issue":{"subject":"","project_id":79,"tracker_id":40,"status_id":1,"priority_id":2,"assigned_to_id":23,"start_date":"2017-03-09","description":"","custom_fields":[{"id":1,"name":"Subdivision","value":"EC"},{"id":4,"name":"Milepost","value":"23.332"},{"id":17,"name":"Train ID","value":"149-09"},{"id":16,"name":"Locomotive ID","value":"4029"},{"id":130,"name":"Impact","value":""},{"id":150,"name":"Time of Event (Mountain Time)","value":"10:21:53"},{"id":151,"name":"Denver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4029 --day 2017-03-09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687</v>
      </c>
      <c r="B62" s="7">
        <v>4030</v>
      </c>
      <c r="C62" s="21" t="s">
        <v>242</v>
      </c>
      <c r="D62" s="21" t="s">
        <v>843</v>
      </c>
      <c r="E62" s="13">
        <v>42803.434224537035</v>
      </c>
      <c r="F62" s="13">
        <v>42803.4453125</v>
      </c>
      <c r="G62" s="7">
        <v>1</v>
      </c>
      <c r="H62" s="21" t="s">
        <v>432</v>
      </c>
      <c r="I62" s="13">
        <v>42803.476122685184</v>
      </c>
      <c r="J62" s="7">
        <v>0</v>
      </c>
      <c r="K62" s="98" t="str">
        <f>IF(ISEVEN(B62),(B62-1)&amp;"/"&amp;B62,B62&amp;"/"&amp;(B62+1))</f>
        <v>4029/4030</v>
      </c>
      <c r="L62" s="21" t="str">
        <f>VLOOKUP(A62,'Trips&amp;Operators'!$C$1:$G$99999,5,FALSE)</f>
        <v>GEBRETEKLE DAGNEW</v>
      </c>
      <c r="M62" s="6">
        <f>I62-F62</f>
        <v>3.0810185184236616E-2</v>
      </c>
      <c r="N62" s="7">
        <f>24*60*SUM($M62:$M62)</f>
        <v>44.366666665300727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-03-09T09:25:17-0700',mode:absolute,to:'2017-03-09T12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87" t="str">
        <f>IF(AA62&lt;IF(AG62="EC",23,5.65),"Y","N")</f>
        <v>N</v>
      </c>
      <c r="X62" s="187">
        <f>VALUE(LEFT(AD62,4))-VALUE(LEFT(AD61,4))</f>
        <v>1</v>
      </c>
      <c r="Y62" s="62">
        <f>RIGHT(D62,LEN(D62)-4)/10000</f>
        <v>23.3001</v>
      </c>
      <c r="Z62" s="62">
        <f>RIGHT(H62,LEN(H62)-4)/10000</f>
        <v>1.6E-2</v>
      </c>
      <c r="AA62" s="62">
        <f>ABS(Z62-Y62)</f>
        <v>23.284100000000002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0150-09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/stypes="app*4030*20170309*" /stext=" 18:.+((SYSTEM_STATE.+slice.+state.+changed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150-09 --locoid 4030 --swversion DE.1.0.9.0 --startMP 204:233001 --initTime 2017-03-09T10:25:17 --startdatetime 2017-03-09T10:41:15 --delay 1 --endMP 204:160 --enddatetime 2017-03-09T11:25:37 --enforcementcount 0 &gt;&gt;C:\Users\stu\Documents\GitHub\eaglep3-reporting\EC\2017-03-09-refined-times.txt</v>
      </c>
      <c r="AI6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ID","value":"150-09"},{"id":16,"name":"Locomotive ID","value":"4030"},{"id":130,"name":"Impact","value":""},{"id":150,"name":"Time of Event (Mountain Time)","value":"11:25:37"},{"id":151,"name":"Denver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4030 --day 2017-03-09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681</v>
      </c>
      <c r="B63" s="7">
        <v>4040</v>
      </c>
      <c r="C63" s="21" t="s">
        <v>242</v>
      </c>
      <c r="D63" s="21" t="s">
        <v>284</v>
      </c>
      <c r="E63" s="13">
        <v>42803.413969907408</v>
      </c>
      <c r="F63" s="13">
        <v>42803.41684027778</v>
      </c>
      <c r="G63" s="7">
        <v>1</v>
      </c>
      <c r="H63" s="21" t="s">
        <v>544</v>
      </c>
      <c r="I63" s="13">
        <v>42803.444594907407</v>
      </c>
      <c r="J63" s="7">
        <v>0</v>
      </c>
      <c r="K63" s="98" t="str">
        <f>IF(ISEVEN(B63),(B63-1)&amp;"/"&amp;B63,B63&amp;"/"&amp;(B63+1))</f>
        <v>4039/4040</v>
      </c>
      <c r="L63" s="21" t="str">
        <f>VLOOKUP(A63,'Trips&amp;Operators'!$C$1:$G$99999,5,FALSE)</f>
        <v>ROCHA YAOTL</v>
      </c>
      <c r="M63" s="6">
        <f>I63-F63</f>
        <v>2.7754629627452232E-2</v>
      </c>
      <c r="N63" s="7">
        <f>24*60*SUM($M63:$M63)</f>
        <v>39.966666663531214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-03-09T08:56:07-0700',mode:absolute,to:'2017-03-09T11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87" t="str">
        <f>IF(AA63&lt;IF(AG63="EC",23,5.65),"Y","N")</f>
        <v>N</v>
      </c>
      <c r="X63" s="187">
        <f>VALUE(LEFT(AD63,4))-VALUE(LEFT(AD62,4))</f>
        <v>1</v>
      </c>
      <c r="Y63" s="62">
        <f>RIGHT(D63,LEN(D63)-4)/10000</f>
        <v>4.6899999999999997E-2</v>
      </c>
      <c r="Z63" s="62">
        <f>RIGHT(H63,LEN(H63)-4)/10000</f>
        <v>23.3293</v>
      </c>
      <c r="AA63" s="62">
        <f>ABS(Z63-Y63)</f>
        <v>23.282399999999999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0151-09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/stypes="app*4040*20170309*" /stext=" 17:.+((SYSTEM_STATE.+slice.+state.+changed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151-09 --locoid 4040 --swversion DE.1.0.9.0 --startMP 204:469 --initTime 2017-03-09T09:56:07 --startdatetime 2017-03-09T10:00:15 --delay 1 --endMP 204:233293 --enddatetime 2017-03-09T10:40:13 --enforcementcount 0 &gt;&gt;C:\Users\stu\Documents\GitHub\eaglep3-reporting\EC\2017-03-09-refined-times.txt</v>
      </c>
      <c r="AI6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ID","value":"151-09"},{"id":16,"name":"Locomotive ID","value":"4040"},{"id":130,"name":"Impact","value":""},{"id":150,"name":"Time of Event (Mountain Time)","value":"10:40:13"},{"id":151,"name":"Denver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4040 --day 2017-03-09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691</v>
      </c>
      <c r="B64" s="7">
        <v>4039</v>
      </c>
      <c r="C64" s="21" t="s">
        <v>242</v>
      </c>
      <c r="D64" s="21" t="s">
        <v>440</v>
      </c>
      <c r="E64" s="13">
        <v>42803.447905092595</v>
      </c>
      <c r="F64" s="13">
        <v>42803.455891203703</v>
      </c>
      <c r="G64" s="7">
        <v>0</v>
      </c>
      <c r="H64" s="21" t="s">
        <v>229</v>
      </c>
      <c r="I64" s="13">
        <v>42803.484270833331</v>
      </c>
      <c r="J64" s="7">
        <v>0</v>
      </c>
      <c r="K64" s="98" t="str">
        <f>IF(ISEVEN(B64),(B64-1)&amp;"/"&amp;B64,B64&amp;"/"&amp;(B64+1))</f>
        <v>4039/4040</v>
      </c>
      <c r="L64" s="21" t="str">
        <f>VLOOKUP(A64,'Trips&amp;Operators'!$C$1:$G$99999,5,FALSE)</f>
        <v>ROCHA YAOTL</v>
      </c>
      <c r="M64" s="6">
        <f>I64-F64</f>
        <v>2.8379629628034309E-2</v>
      </c>
      <c r="N64" s="7">
        <f>24*60*SUM($M64:$M64)</f>
        <v>40.866666664369404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-03-09T09:44:59-0700',mode:absolute,to:'2017-03-09T12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87" t="str">
        <f>IF(AA64&lt;IF(AG64="EC",23,5.65),"Y","N")</f>
        <v>N</v>
      </c>
      <c r="X64" s="187">
        <f>VALUE(LEFT(AD64,4))-VALUE(LEFT(AD63,4))</f>
        <v>1</v>
      </c>
      <c r="Y64" s="62">
        <f>RIGHT(D64,LEN(D64)-4)/10000</f>
        <v>23.297599999999999</v>
      </c>
      <c r="Z64" s="62">
        <f>RIGHT(H64,LEN(H64)-4)/10000</f>
        <v>1.41E-2</v>
      </c>
      <c r="AA64" s="62">
        <f>ABS(Z64-Y64)</f>
        <v>23.2835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0152-09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/stypes="app*4039*20170309*" /stext=" 18:.+((SYSTEM_STATE.+slice.+state.+changed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152-09 --locoid 4039 --swversion DE.1.0.9.0 --startMP 204:232976 --initTime 2017-03-09T10:44:59 --startdatetime 2017-03-09T10:56:29 --delay 0 --endMP 204:141 --enddatetime 2017-03-09T11:37:21 --enforcementcount 0 &gt;&gt;C:\Users\stu\Documents\GitHub\eaglep3-reporting\EC\2017-03-09-refined-times.txt</v>
      </c>
      <c r="AI6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{"issue":{"subject":"","project_id":79,"tracker_id":40,"status_id":1,"priority_id":2,"assigned_to_id":23,"start_date":"2017-03-09","description":"","custom_fields":[{"id":1,"name":"Subdivision","value":"EC"},{"id":4,"name":"Milepost","value":"0.0141"},{"id":17,"name":"Train ID","value":"152-09"},{"id":16,"name":"Locomotive ID","value":"4039"},{"id":130,"name":"Impact","value":""},{"id":150,"name":"Time of Event (Mountain Time)","value":"11:37:21"},{"id":151,"name":"Denver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4039 --day 2017-03-09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683</v>
      </c>
      <c r="B65" s="7">
        <v>4044</v>
      </c>
      <c r="C65" s="21" t="s">
        <v>242</v>
      </c>
      <c r="D65" s="21" t="s">
        <v>275</v>
      </c>
      <c r="E65" s="13">
        <v>42803.421388888892</v>
      </c>
      <c r="F65" s="13">
        <v>42803.427708333336</v>
      </c>
      <c r="G65" s="7">
        <v>1</v>
      </c>
      <c r="H65" s="21" t="s">
        <v>544</v>
      </c>
      <c r="I65" s="13">
        <v>42803.451527777775</v>
      </c>
      <c r="J65" s="7">
        <v>0</v>
      </c>
      <c r="K65" s="98" t="str">
        <f>IF(ISEVEN(B65),(B65-1)&amp;"/"&amp;B65,B65&amp;"/"&amp;(B65+1))</f>
        <v>4043/4044</v>
      </c>
      <c r="L65" s="21" t="str">
        <f>VLOOKUP(A65,'Trips&amp;Operators'!$C$1:$G$99999,5,FALSE)</f>
        <v>YORK EDGAR</v>
      </c>
      <c r="M65" s="6">
        <f>I65-F65</f>
        <v>2.381944443914108E-2</v>
      </c>
      <c r="N65" s="7">
        <f>24*60*SUM($M65:$M65)</f>
        <v>34.299999992363155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-03-09T09:06:48-0700',mode:absolute,to:'2017-03-09T11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87" t="str">
        <f>IF(AA65&lt;IF(AG65="EC",23,5.65),"Y","N")</f>
        <v>N</v>
      </c>
      <c r="X65" s="187">
        <f>VALUE(LEFT(AD65,4))-VALUE(LEFT(AD64,4))</f>
        <v>1</v>
      </c>
      <c r="Y65" s="62">
        <f>RIGHT(D65,LEN(D65)-4)/10000</f>
        <v>4.4900000000000002E-2</v>
      </c>
      <c r="Z65" s="62">
        <f>RIGHT(H65,LEN(H65)-4)/10000</f>
        <v>23.3293</v>
      </c>
      <c r="AA65" s="62">
        <f>ABS(Z65-Y65)</f>
        <v>23.284400000000002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0153-09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/stypes="app*4044*20170309*" /stext=" 17:.+((SYSTEM_STATE.+slice.+state.+changed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153-09 --locoid 4044 --swversion DE.1.0.9.0 --startMP 204:449 --initTime 2017-03-09T10:06:48 --startdatetime 2017-03-09T10:15:54 --delay 1 --endMP 204:233293 --enddatetime 2017-03-09T10:50:12 --enforcementcount 0 &gt;&gt;C:\Users\stu\Documents\GitHub\eaglep3-reporting\EC\2017-03-09-refined-times.txt</v>
      </c>
      <c r="AI6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ID","value":"153-09"},{"id":16,"name":"Locomotive ID","value":"4044"},{"id":130,"name":"Impact","value":""},{"id":150,"name":"Time of Event (Mountain Time)","value":"10:50:12"},{"id":151,"name":"Denver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4044 --day 2017-03-09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692</v>
      </c>
      <c r="B66" s="7">
        <v>4043</v>
      </c>
      <c r="C66" s="21" t="s">
        <v>242</v>
      </c>
      <c r="D66" s="21" t="s">
        <v>437</v>
      </c>
      <c r="E66" s="13">
        <v>42803.453020833331</v>
      </c>
      <c r="F66" s="13">
        <v>42803.466921296298</v>
      </c>
      <c r="G66" s="7">
        <v>0</v>
      </c>
      <c r="H66" s="21" t="s">
        <v>208</v>
      </c>
      <c r="I66" s="13">
        <v>42803.494895833333</v>
      </c>
      <c r="J66" s="7">
        <v>0</v>
      </c>
      <c r="K66" s="98" t="str">
        <f>IF(ISEVEN(B66),(B66-1)&amp;"/"&amp;B66,B66&amp;"/"&amp;(B66+1))</f>
        <v>4043/4044</v>
      </c>
      <c r="L66" s="21" t="str">
        <f>VLOOKUP(A66,'Trips&amp;Operators'!$C$1:$G$99999,5,FALSE)</f>
        <v>YORK EDGAR</v>
      </c>
      <c r="M66" s="6">
        <f>I66-F66</f>
        <v>2.7974537035333924E-2</v>
      </c>
      <c r="N66" s="7">
        <f>24*60*SUM($M66:$M66)</f>
        <v>40.283333330880851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-03-09T09:52:21-0700',mode:absolute,to:'2017-03-09T12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87" t="str">
        <f>IF(AA66&lt;IF(AG66="EC",23,5.65),"Y","N")</f>
        <v>N</v>
      </c>
      <c r="X66" s="187">
        <f>VALUE(LEFT(AD66,4))-VALUE(LEFT(AD65,4))</f>
        <v>1</v>
      </c>
      <c r="Y66" s="62">
        <f>RIGHT(D66,LEN(D66)-4)/10000</f>
        <v>23.297999999999998</v>
      </c>
      <c r="Z66" s="62">
        <f>RIGHT(H66,LEN(H66)-4)/10000</f>
        <v>1.54E-2</v>
      </c>
      <c r="AA66" s="62">
        <f>ABS(Z66-Y66)</f>
        <v>23.282599999999999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0154-09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/stypes="app*4043*20170309*" /stext=" 18:.+((SYSTEM_STATE.+slice.+state.+changed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154-09 --locoid 4043 --swversion DE.1.0.9.0 --startMP 204:232980 --initTime 2017-03-09T10:52:21 --startdatetime 2017-03-09T11:12:22 --delay 0 --endMP 204:154 --enddatetime 2017-03-09T11:52:39 --enforcementcount 0 &gt;&gt;C:\Users\stu\Documents\GitHub\eaglep3-reporting\EC\2017-03-09-refined-times.txt</v>
      </c>
      <c r="AI6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ID","value":"154-09"},{"id":16,"name":"Locomotive ID","value":"4043"},{"id":130,"name":"Impact","value":""},{"id":150,"name":"Time of Event (Mountain Time)","value":"11:52:39"},{"id":151,"name":"Denver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4043 --day 2017-03-09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688</v>
      </c>
      <c r="B67" s="7">
        <v>4014</v>
      </c>
      <c r="C67" s="21" t="s">
        <v>242</v>
      </c>
      <c r="D67" s="21" t="s">
        <v>844</v>
      </c>
      <c r="E67" s="13">
        <v>42803.434942129628</v>
      </c>
      <c r="F67" s="13">
        <v>42803.437673611108</v>
      </c>
      <c r="G67" s="7">
        <v>2</v>
      </c>
      <c r="H67" s="21" t="s">
        <v>250</v>
      </c>
      <c r="I67" s="13">
        <v>42803.465069444443</v>
      </c>
      <c r="J67" s="7">
        <v>0</v>
      </c>
      <c r="K67" s="98" t="str">
        <f>IF(ISEVEN(B67),(B67-1)&amp;"/"&amp;B67,B67&amp;"/"&amp;(B67+1))</f>
        <v>4013/4014</v>
      </c>
      <c r="L67" s="21" t="str">
        <f>VLOOKUP(A67,'Trips&amp;Operators'!$C$1:$G$99999,5,FALSE)</f>
        <v>SHOOK JOHN</v>
      </c>
      <c r="M67" s="6">
        <f>I67-F67</f>
        <v>2.7395833334594499E-2</v>
      </c>
      <c r="N67" s="7">
        <f>24*60*SUM($M67:$M67)</f>
        <v>39.450000001816079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-03-09T09:26:19-0700',mode:absolute,to:'2017-03-09T12:09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87" t="str">
        <f>IF(AA67&lt;IF(AG67="EC",23,5.65),"Y","N")</f>
        <v>N</v>
      </c>
      <c r="X67" s="187">
        <f>VALUE(LEFT(AD67,4))-VALUE(LEFT(AD66,4))</f>
        <v>1</v>
      </c>
      <c r="Y67" s="62">
        <f>RIGHT(D67,LEN(D67)-4)/10000</f>
        <v>4.2900000000000001E-2</v>
      </c>
      <c r="Z67" s="62">
        <f>RIGHT(H67,LEN(H67)-4)/10000</f>
        <v>23.330400000000001</v>
      </c>
      <c r="AA67" s="62">
        <f>ABS(Z67-Y67)</f>
        <v>23.287500000000001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0155-09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/stypes="app*4014*20170309*" /stext=" 18:.+((SYSTEM_STATE.+slice.+state.+changed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155-09 --locoid 4014 --swversion DE.1.0.9.0 --startMP 204:429 --initTime 2017-03-09T10:26:19 --startdatetime 2017-03-09T10:30:15 --delay 2 --endMP 204:233304 --enddatetime 2017-03-09T11:09:42 --enforcementcount 0 &gt;&gt;C:\Users\stu\Documents\GitHub\eaglep3-reporting\EC\2017-03-09-refined-times.txt</v>
      </c>
      <c r="AI6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ID","value":"155-09"},{"id":16,"name":"Locomotive ID","value":"4014"},{"id":130,"name":"Impact","value":""},{"id":150,"name":"Time of Event (Mountain Time)","value":"11:09:42"},{"id":151,"name":"Denver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4014 --day 2017-03-09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695</v>
      </c>
      <c r="B68" s="7">
        <v>4013</v>
      </c>
      <c r="C68" s="21" t="s">
        <v>242</v>
      </c>
      <c r="D68" s="21" t="s">
        <v>274</v>
      </c>
      <c r="E68" s="13">
        <v>42803.467245370368</v>
      </c>
      <c r="F68" s="13">
        <v>42803.476574074077</v>
      </c>
      <c r="G68" s="7">
        <v>1</v>
      </c>
      <c r="H68" s="21" t="s">
        <v>184</v>
      </c>
      <c r="I68" s="13">
        <v>42803.50582175926</v>
      </c>
      <c r="J68" s="7">
        <v>0</v>
      </c>
      <c r="K68" s="98" t="str">
        <f>IF(ISEVEN(B68),(B68-1)&amp;"/"&amp;B68,B68&amp;"/"&amp;(B68+1))</f>
        <v>4013/4014</v>
      </c>
      <c r="L68" s="21" t="str">
        <f>VLOOKUP(A68,'Trips&amp;Operators'!$C$1:$G$99999,5,FALSE)</f>
        <v>SHOOK JOHN</v>
      </c>
      <c r="M68" s="6">
        <f>I68-F68</f>
        <v>2.9247685182781424E-2</v>
      </c>
      <c r="N68" s="7">
        <f>24*60*SUM($M68:$M68)</f>
        <v>42.116666663205251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-03-09T10:12:50-0700',mode:absolute,to:'2017-03-09T13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87" t="str">
        <f>IF(AA68&lt;IF(AG68="EC",23,5.65),"Y","N")</f>
        <v>N</v>
      </c>
      <c r="X68" s="187">
        <f>VALUE(LEFT(AD68,4))-VALUE(LEFT(AD67,4))</f>
        <v>1</v>
      </c>
      <c r="Y68" s="62">
        <f>RIGHT(D68,LEN(D68)-4)/10000</f>
        <v>23.299099999999999</v>
      </c>
      <c r="Z68" s="62">
        <f>RIGHT(H68,LEN(H68)-4)/10000</f>
        <v>1.49E-2</v>
      </c>
      <c r="AA68" s="62">
        <f>ABS(Z68-Y68)</f>
        <v>23.284199999999998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0156-09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/stypes="app*4013*20170309*" /stext=" 19:.+((SYSTEM_STATE.+slice.+state.+changed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156-09 --locoid 4013 --swversion DE.1.0.9.0 --startMP 204:232991 --initTime 2017-03-09T11:12:50 --startdatetime 2017-03-09T11:26:16 --delay 1 --endMP 204:149 --enddatetime 2017-03-09T12:08:23 --enforcementcount 0 &gt;&gt;C:\Users\stu\Documents\GitHub\eaglep3-reporting\EC\2017-03-09-refined-times.txt</v>
      </c>
      <c r="AI68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ID","value":"156-09"},{"id":16,"name":"Locomotive ID","value":"4013"},{"id":130,"name":"Impact","value":""},{"id":150,"name":"Time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4013 --day 2017-03-09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690</v>
      </c>
      <c r="B69" s="7">
        <v>4016</v>
      </c>
      <c r="C69" s="21" t="s">
        <v>242</v>
      </c>
      <c r="D69" s="21" t="s">
        <v>217</v>
      </c>
      <c r="E69" s="13">
        <v>42803.445138888892</v>
      </c>
      <c r="F69" s="13">
        <v>42803.44835648148</v>
      </c>
      <c r="G69" s="7">
        <v>1</v>
      </c>
      <c r="H69" s="21" t="s">
        <v>553</v>
      </c>
      <c r="I69" s="13">
        <v>42803.475104166668</v>
      </c>
      <c r="J69" s="7">
        <v>0</v>
      </c>
      <c r="K69" s="98" t="str">
        <f>IF(ISEVEN(B69),(B69-1)&amp;"/"&amp;B69,B69&amp;"/"&amp;(B69+1))</f>
        <v>4015/4016</v>
      </c>
      <c r="L69" s="21" t="str">
        <f>VLOOKUP(A69,'Trips&amp;Operators'!$C$1:$G$99999,5,FALSE)</f>
        <v>STARKS ANGELINA</v>
      </c>
      <c r="M69" s="6">
        <f>I69-F69</f>
        <v>2.6747685187729076E-2</v>
      </c>
      <c r="N69" s="7">
        <f>24*60*SUM($M69:$M69)</f>
        <v>38.516666670329869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-03-09T09:41:00-0700',mode:absolute,to:'2017-03-09T12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87" t="str">
        <f>IF(AA69&lt;IF(AG69="EC",23,5.65),"Y","N")</f>
        <v>N</v>
      </c>
      <c r="X69" s="187">
        <f>VALUE(LEFT(AD69,4))-VALUE(LEFT(AD68,4))</f>
        <v>1</v>
      </c>
      <c r="Y69" s="62">
        <f>RIGHT(D69,LEN(D69)-4)/10000</f>
        <v>4.5699999999999998E-2</v>
      </c>
      <c r="Z69" s="62">
        <f>RIGHT(H69,LEN(H69)-4)/10000</f>
        <v>23.328399999999998</v>
      </c>
      <c r="AA69" s="62">
        <f>ABS(Z69-Y69)</f>
        <v>23.282699999999998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0157-09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/stypes="app*4016*20170309*" /stext=" 18:.+((SYSTEM_STATE.+slice.+state.+changed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157-09 --locoid 4016 --swversion DE.1.0.9.0 --startMP 204:457 --initTime 2017-03-09T10:41:00 --startdatetime 2017-03-09T10:45:38 --delay 1 --endMP 204:233284 --enddatetime 2017-03-09T11:24:09 --enforcementcount 0 &gt;&gt;C:\Users\stu\Documents\GitHub\eaglep3-reporting\EC\2017-03-09-refined-times.txt</v>
      </c>
      <c r="AI69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{"issue":{"subject":"","project_id":79,"tracker_id":40,"status_id":1,"priority_id":2,"assigned_to_id":23,"start_date":"2017-03-09","description":"","custom_fields":[{"id":1,"name":"Subdivision","value":"EC"},{"id":4,"name":"Milepost","value":"23.3284"},{"id":17,"name":"Train ID","value":"157-09"},{"id":16,"name":"Locomotive ID","value":"4016"},{"id":130,"name":"Impact","value":""},{"id":150,"name":"Time of Event (Mountain Time)","value":"11:24:09"},{"id":151,"name":"Denver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4016 --day 2017-03-09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699</v>
      </c>
      <c r="B70" s="7">
        <v>4015</v>
      </c>
      <c r="C70" s="21" t="s">
        <v>242</v>
      </c>
      <c r="D70" s="21" t="s">
        <v>830</v>
      </c>
      <c r="E70" s="13">
        <v>42803.4846875</v>
      </c>
      <c r="F70" s="13">
        <v>42803.486967592595</v>
      </c>
      <c r="G70" s="7">
        <v>1</v>
      </c>
      <c r="H70" s="21" t="s">
        <v>192</v>
      </c>
      <c r="I70" s="13">
        <v>42803.518391203703</v>
      </c>
      <c r="J70" s="7">
        <v>0</v>
      </c>
      <c r="K70" s="98" t="str">
        <f>IF(ISEVEN(B70),(B70-1)&amp;"/"&amp;B70,B70&amp;"/"&amp;(B70+1))</f>
        <v>4015/4016</v>
      </c>
      <c r="L70" s="21" t="str">
        <f>VLOOKUP(A70,'Trips&amp;Operators'!$C$1:$G$99999,5,FALSE)</f>
        <v>STARKS ANGELINA</v>
      </c>
      <c r="M70" s="6">
        <f>I70-F70</f>
        <v>3.142361110803904E-2</v>
      </c>
      <c r="N70" s="7">
        <f>24*60*SUM($M70:$M70)</f>
        <v>45.249999995576218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-03-09T10:37:57-0700',mode:absolute,to:'2017-03-09T13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87" t="str">
        <f>IF(AA70&lt;IF(AG70="EC",23,5.65),"Y","N")</f>
        <v>N</v>
      </c>
      <c r="X70" s="187">
        <f>VALUE(LEFT(AD70,4))-VALUE(LEFT(AD69,4))</f>
        <v>1</v>
      </c>
      <c r="Y70" s="62">
        <f>RIGHT(D70,LEN(D70)-4)/10000</f>
        <v>23.2986</v>
      </c>
      <c r="Z70" s="62">
        <f>RIGHT(H70,LEN(H70)-4)/10000</f>
        <v>1.4999999999999999E-2</v>
      </c>
      <c r="AA70" s="62">
        <f>ABS(Z70-Y70)</f>
        <v>23.2836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0158-09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/stypes="app*4015*20170309*" /stext=" 19:.+((SYSTEM_STATE.+slice.+state.+changed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158-09 --locoid 4015 --swversion DE.1.0.9.0 --startMP 204:232986 --initTime 2017-03-09T11:37:57 --startdatetime 2017-03-09T11:41:14 --delay 1 --endMP 204:150 --enddatetime 2017-03-09T12:26:29 --enforcementcount 0 &gt;&gt;C:\Users\stu\Documents\GitHub\eaglep3-reporting\EC\2017-03-09-refined-times.txt</v>
      </c>
      <c r="AI70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ID","value":"158-09"},{"id":16,"name":"Locomotive ID","value":"4015"},{"id":130,"name":"Impact","value":""},{"id":150,"name":"Time of Event (Mountain Time)","value":"12:26:29"},{"id":151,"name":"Denver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4015 --day 2017-03-09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693</v>
      </c>
      <c r="B71" s="7">
        <v>4018</v>
      </c>
      <c r="C71" s="21" t="s">
        <v>242</v>
      </c>
      <c r="D71" s="21" t="s">
        <v>218</v>
      </c>
      <c r="E71" s="13">
        <v>42803.457071759258</v>
      </c>
      <c r="F71" s="13">
        <v>42803.459016203706</v>
      </c>
      <c r="G71" s="7">
        <v>1</v>
      </c>
      <c r="H71" s="21" t="s">
        <v>552</v>
      </c>
      <c r="I71" s="13">
        <v>42803.492256944446</v>
      </c>
      <c r="J71" s="7">
        <v>0</v>
      </c>
      <c r="K71" s="98" t="str">
        <f>IF(ISEVEN(B71),(B71-1)&amp;"/"&amp;B71,B71&amp;"/"&amp;(B71+1))</f>
        <v>4017/4018</v>
      </c>
      <c r="L71" s="21" t="str">
        <f>VLOOKUP(A71,'Trips&amp;Operators'!$C$1:$G$99999,5,FALSE)</f>
        <v>CLARK KATHLEEN</v>
      </c>
      <c r="M71" s="6">
        <f>I71-F71</f>
        <v>3.3240740740438923E-2</v>
      </c>
      <c r="N71" s="7">
        <f>24*60*SUM($M71:$M71)</f>
        <v>47.866666666232049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-03-09T09:58:11-0700',mode:absolute,to:'2017-03-09T12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87" t="str">
        <f>IF(AA71&lt;IF(AG71="EC",23,5.65),"Y","N")</f>
        <v>N</v>
      </c>
      <c r="X71" s="187">
        <f>VALUE(LEFT(AD71,4))-VALUE(LEFT(AD70,4))</f>
        <v>1</v>
      </c>
      <c r="Y71" s="62">
        <f>RIGHT(D71,LEN(D71)-4)/10000</f>
        <v>4.5999999999999999E-2</v>
      </c>
      <c r="Z71" s="62">
        <f>RIGHT(H71,LEN(H71)-4)/10000</f>
        <v>23.328099999999999</v>
      </c>
      <c r="AA71" s="62">
        <f>ABS(Z71-Y71)</f>
        <v>23.2821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0159-09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/stypes="app*4018*20170309*" /stext=" 18:.+((SYSTEM_STATE.+slice.+state.+changed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159-09 --locoid 4018 --swversion DE.1.0.9.0 --startMP 204:460 --initTime 2017-03-09T10:58:11 --startdatetime 2017-03-09T11:00:59 --delay 1 --endMP 204:233281 --enddatetime 2017-03-09T11:48:51 --enforcementcount 0 &gt;&gt;C:\Users\stu\Documents\GitHub\eaglep3-reporting\EC\2017-03-09-refined-times.txt</v>
      </c>
      <c r="AI71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{"issue":{"subject":"","project_id":79,"tracker_id":40,"status_id":1,"priority_id":2,"assigned_to_id":23,"start_date":"2017-03-09","description":"","custom_fields":[{"id":1,"name":"Subdivision","value":"EC"},{"id":4,"name":"Milepost","value":"23.3281"},{"id":17,"name":"Train ID","value":"159-09"},{"id":16,"name":"Locomotive ID","value":"4018"},{"id":130,"name":"Impact","value":""},{"id":150,"name":"Time of Event (Mountain Time)","value":"11:48:51"},{"id":151,"name":"Denver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4018 --day 2017-03-09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703</v>
      </c>
      <c r="B72" s="7">
        <v>4017</v>
      </c>
      <c r="C72" s="21" t="s">
        <v>242</v>
      </c>
      <c r="D72" s="21" t="s">
        <v>845</v>
      </c>
      <c r="E72" s="13">
        <v>42803.496550925927</v>
      </c>
      <c r="F72" s="13">
        <v>42803.49858796296</v>
      </c>
      <c r="G72" s="7">
        <v>1</v>
      </c>
      <c r="H72" s="21" t="s">
        <v>846</v>
      </c>
      <c r="I72" s="13">
        <v>42803.527199074073</v>
      </c>
      <c r="J72" s="7">
        <v>0</v>
      </c>
      <c r="K72" s="98" t="str">
        <f>IF(ISEVEN(B72),(B72-1)&amp;"/"&amp;B72,B72&amp;"/"&amp;(B72+1))</f>
        <v>4017/4018</v>
      </c>
      <c r="L72" s="21" t="str">
        <f>VLOOKUP(A72,'Trips&amp;Operators'!$C$1:$G$99999,5,FALSE)</f>
        <v>CLARK KATHLEEN</v>
      </c>
      <c r="M72" s="6">
        <f>I72-F72</f>
        <v>2.8611111112695653E-2</v>
      </c>
      <c r="N72" s="7">
        <f>24*60*SUM($M72:$M72)</f>
        <v>41.20000000228174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-03-09T10:55:02-0700',mode:absolute,to:'2017-03-09T13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87" t="str">
        <f>IF(AA72&lt;IF(AG72="EC",23,5.65),"Y","N")</f>
        <v>N</v>
      </c>
      <c r="X72" s="187">
        <f>VALUE(LEFT(AD72,4))-VALUE(LEFT(AD71,4))</f>
        <v>1</v>
      </c>
      <c r="Y72" s="62">
        <f>RIGHT(D72,LEN(D72)-4)/10000</f>
        <v>23.2959</v>
      </c>
      <c r="Z72" s="62">
        <f>RIGHT(H72,LEN(H72)-4)/10000</f>
        <v>2.0899999999999998E-2</v>
      </c>
      <c r="AA72" s="62">
        <f>ABS(Z72-Y72)</f>
        <v>23.274999999999999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0160-09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/stypes="app*4017*20170309*" /stext=" 19:.+((SYSTEM_STATE.+slice.+state.+changed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160-09 --locoid 4017 --swversion DE.1.0.9.0 --startMP 204:232959 --initTime 2017-03-09T11:55:02 --startdatetime 2017-03-09T11:57:58 --delay 1 --endMP 204:209 --enddatetime 2017-03-09T12:39:10 --enforcementcount 0 &gt;&gt;C:\Users\stu\Documents\GitHub\eaglep3-reporting\EC\2017-03-09-refined-times.txt</v>
      </c>
      <c r="AI72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{"issue":{"subject":"","project_id":79,"tracker_id":40,"status_id":1,"priority_id":2,"assigned_to_id":23,"start_date":"2017-03-09","description":"","custom_fields":[{"id":1,"name":"Subdivision","value":"EC"},{"id":4,"name":"Milepost","value":"0.0209"},{"id":17,"name":"Train ID","value":"160-09"},{"id":16,"name":"Locomotive ID","value":"4017"},{"id":130,"name":"Impact","value":""},{"id":150,"name":"Time of Event (Mountain Time)","value":"12:39:10"},{"id":151,"name":"Denver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4017 --day 2017-03-09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694</v>
      </c>
      <c r="B73" s="7">
        <v>4003</v>
      </c>
      <c r="C73" s="21" t="s">
        <v>242</v>
      </c>
      <c r="D73" s="21" t="s">
        <v>275</v>
      </c>
      <c r="E73" s="13">
        <v>42803.465914351851</v>
      </c>
      <c r="F73" s="13">
        <v>42803.4690162037</v>
      </c>
      <c r="G73" s="7">
        <v>2</v>
      </c>
      <c r="H73" s="21" t="s">
        <v>249</v>
      </c>
      <c r="I73" s="13">
        <v>42803.494305555556</v>
      </c>
      <c r="J73" s="7">
        <v>0</v>
      </c>
      <c r="K73" s="98" t="str">
        <f>IF(ISEVEN(B73),(B73-1)&amp;"/"&amp;B73,B73&amp;"/"&amp;(B73+1))</f>
        <v>4003/4004</v>
      </c>
      <c r="L73" s="21" t="str">
        <f>VLOOKUP(A73,'Trips&amp;Operators'!$C$1:$G$99999,5,FALSE)</f>
        <v>MOSES BRADLEY</v>
      </c>
      <c r="M73" s="6">
        <f>I73-F73</f>
        <v>2.5289351855462883E-2</v>
      </c>
      <c r="N73" s="7">
        <f>24*60*SUM($M73:$M73)</f>
        <v>36.416666671866551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-03-09T10:10:55-0700',mode:absolute,to:'2017-03-09T12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187" t="str">
        <f>IF(AA73&lt;IF(AG73="EC",23,5.65),"Y","N")</f>
        <v>N</v>
      </c>
      <c r="X73" s="187">
        <f>VALUE(LEFT(AD73,4))-VALUE(LEFT(AD72,4))</f>
        <v>1</v>
      </c>
      <c r="Y73" s="62">
        <f>RIGHT(D73,LEN(D73)-4)/10000</f>
        <v>4.4900000000000002E-2</v>
      </c>
      <c r="Z73" s="62">
        <f>RIGHT(H73,LEN(H73)-4)/10000</f>
        <v>23.328900000000001</v>
      </c>
      <c r="AA73" s="62">
        <f>ABS(Z73-Y73)</f>
        <v>23.284000000000002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0161-09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/stypes="app*4003*20170309*"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161-09 --locoid 4003 --swversion DE.1.0.9.0 --startMP 204:449 --initTime 2017-03-09T11:10:55 --startdatetime 2017-03-09T11:15:23 --delay 2 --endMP 204:233289 --enddatetime 2017-03-09T11:51:48 --enforcementcount 0 &gt;&gt;C:\Users\stu\Documents\GitHub\eaglep3-reporting\EC\2017-03-09-refined-times.txt</v>
      </c>
      <c r="AI73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ID","value":"161-09"},{"id":16,"name":"Locomotive ID","value":"4003"},{"id":130,"name":"Impact","value":""},{"id":150,"name":"Time of Event (Mountain Time)","value":"11:51:48"},{"id":151,"name":"Denver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4003 --day 2017-03-09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705</v>
      </c>
      <c r="B74" s="7">
        <v>4004</v>
      </c>
      <c r="C74" s="21" t="s">
        <v>242</v>
      </c>
      <c r="D74" s="21" t="s">
        <v>276</v>
      </c>
      <c r="E74" s="13">
        <v>42803.504166666666</v>
      </c>
      <c r="F74" s="13">
        <v>42803.507962962962</v>
      </c>
      <c r="G74" s="7">
        <v>1</v>
      </c>
      <c r="H74" s="21" t="s">
        <v>432</v>
      </c>
      <c r="I74" s="13">
        <v>42803.534826388888</v>
      </c>
      <c r="J74" s="7">
        <v>0</v>
      </c>
      <c r="K74" s="98" t="str">
        <f>IF(ISEVEN(B74),(B74-1)&amp;"/"&amp;B74,B74&amp;"/"&amp;(B74+1))</f>
        <v>4003/4004</v>
      </c>
      <c r="L74" s="21" t="str">
        <f>VLOOKUP(A74,'Trips&amp;Operators'!$C$1:$G$99999,5,FALSE)</f>
        <v>MOSES BRADLEY</v>
      </c>
      <c r="M74" s="6">
        <f>I74-F74</f>
        <v>2.6863425926421769E-2</v>
      </c>
      <c r="N74" s="7">
        <f>24*60*SUM($M74:$M74)</f>
        <v>38.683333334047347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-09T11:06:00-0700',mode:absolute,to:'2017-03-09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187" t="str">
        <f>IF(AA74&lt;IF(AG74="EC",23,5.65),"Y","N")</f>
        <v>N</v>
      </c>
      <c r="X74" s="187">
        <f>VALUE(LEFT(AD74,4))-VALUE(LEFT(AD73,4))</f>
        <v>1</v>
      </c>
      <c r="Y74" s="62">
        <f>RIGHT(D74,LEN(D74)-4)/10000</f>
        <v>23.2971</v>
      </c>
      <c r="Z74" s="62">
        <f>RIGHT(H74,LEN(H74)-4)/10000</f>
        <v>1.6E-2</v>
      </c>
      <c r="AA74" s="62">
        <f>ABS(Z74-Y74)</f>
        <v>23.281100000000002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0162-09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/stypes="app*4004*20170309*" /stext=" 19:.+((SYSTEM_STATE.+slice.+state.+changed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162-09 --locoid 4004 --swversion DE.1.0.9.0 --startMP 204:232971 --initTime 2017-03-09T12:06:00 --startdatetime 2017-03-09T12:11:28 --delay 1 --endMP 204:160 --enddatetime 2017-03-09T12:50:09 --enforcementcount 0 &gt;&gt;C:\Users\stu\Documents\GitHub\eaglep3-reporting\EC\2017-03-09-refined-times.txt</v>
      </c>
      <c r="AI74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ID","value":"162-09"},{"id":16,"name":"Locomotive ID","value":"4004"},{"id":130,"name":"Impact","value":""},{"id":150,"name":"Time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4004 --day 2017-03-09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697</v>
      </c>
      <c r="B75" s="7">
        <v>4029</v>
      </c>
      <c r="C75" s="21" t="s">
        <v>242</v>
      </c>
      <c r="D75" s="21" t="s">
        <v>847</v>
      </c>
      <c r="E75" s="13">
        <v>42803.478275462963</v>
      </c>
      <c r="F75" s="13">
        <v>42803.480694444443</v>
      </c>
      <c r="G75" s="7">
        <v>2</v>
      </c>
      <c r="H75" s="21" t="s">
        <v>848</v>
      </c>
      <c r="I75" s="13">
        <v>42803.506342592591</v>
      </c>
      <c r="J75" s="7">
        <v>0</v>
      </c>
      <c r="K75" s="98" t="str">
        <f>IF(ISEVEN(B75),(B75-1)&amp;"/"&amp;B75,B75&amp;"/"&amp;(B75+1))</f>
        <v>4029/4030</v>
      </c>
      <c r="L75" s="21" t="str">
        <f>VLOOKUP(A75,'Trips&amp;Operators'!$C$1:$G$99999,5,FALSE)</f>
        <v>BRUDER RICHARD</v>
      </c>
      <c r="M75" s="6">
        <f>I75-F75</f>
        <v>2.5648148148320615E-2</v>
      </c>
      <c r="N75" s="7">
        <f>24*60*SUM($M75:$M75)</f>
        <v>36.933333333581686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-03-09T10:28:43-0700',mode:absolute,to:'2017-03-09T13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87" t="str">
        <f>IF(AA75&lt;IF(AG75="EC",23,5.65),"Y","N")</f>
        <v>N</v>
      </c>
      <c r="X75" s="187">
        <f>VALUE(LEFT(AD75,4))-VALUE(LEFT(AD74,4))</f>
        <v>1</v>
      </c>
      <c r="Y75" s="62">
        <f>RIGHT(D75,LEN(D75)-4)/10000</f>
        <v>4.8000000000000001E-2</v>
      </c>
      <c r="Z75" s="62">
        <f>RIGHT(H75,LEN(H75)-4)/10000</f>
        <v>23.331700000000001</v>
      </c>
      <c r="AA75" s="62">
        <f>ABS(Z75-Y75)</f>
        <v>23.283700000000003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0163-09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/stypes="app*4029*20170309*" /stext=" 19:.+((SYSTEM_STATE.+slice.+state.+changed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163-09 --locoid 4029 --swversion DE.1.0.9.0 --startMP 204:480 --initTime 2017-03-09T11:28:43 --startdatetime 2017-03-09T11:32:12 --delay 2 --endMP 204:233317 --enddatetime 2017-03-09T12:09:08 --enforcementcount 0 &gt;&gt;C:\Users\stu\Documents\GitHub\eaglep3-reporting\EC\2017-03-09-refined-times.txt</v>
      </c>
      <c r="AI75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{"issue":{"subject":"","project_id":79,"tracker_id":40,"status_id":1,"priority_id":2,"assigned_to_id":23,"start_date":"2017-03-09","description":"","custom_fields":[{"id":1,"name":"Subdivision","value":"EC"},{"id":4,"name":"Milepost","value":"23.3317"},{"id":17,"name":"Train ID","value":"163-09"},{"id":16,"name":"Locomotive ID","value":"4029"},{"id":130,"name":"Impact","value":""},{"id":150,"name":"Time of Event (Mountain Time)","value":"12:09:08"},{"id":151,"name":"Denver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4029 --day 2017-03-09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709</v>
      </c>
      <c r="B76" s="7">
        <v>4030</v>
      </c>
      <c r="C76" s="21" t="s">
        <v>242</v>
      </c>
      <c r="D76" s="21" t="s">
        <v>244</v>
      </c>
      <c r="E76" s="13">
        <v>42803.513055555559</v>
      </c>
      <c r="F76" s="13">
        <v>42803.518263888887</v>
      </c>
      <c r="G76" s="7">
        <v>2</v>
      </c>
      <c r="H76" s="21" t="s">
        <v>235</v>
      </c>
      <c r="I76" s="13">
        <v>42803.546249999999</v>
      </c>
      <c r="J76" s="7">
        <v>0</v>
      </c>
      <c r="K76" s="98" t="str">
        <f>IF(ISEVEN(B76),(B76-1)&amp;"/"&amp;B76,B76&amp;"/"&amp;(B76+1))</f>
        <v>4029/4030</v>
      </c>
      <c r="L76" s="21" t="str">
        <f>VLOOKUP(A76,'Trips&amp;Operators'!$C$1:$G$99999,5,FALSE)</f>
        <v>BRUDER RICHARD</v>
      </c>
      <c r="M76" s="6">
        <f>I76-F76</f>
        <v>2.7986111112113576E-2</v>
      </c>
      <c r="N76" s="7">
        <f>24*60*SUM($M76:$M76)</f>
        <v>40.30000000144355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-03-09T11:18:48-0700',mode:absolute,to:'2017-03-09T14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87" t="str">
        <f>IF(AA76&lt;IF(AG76="EC",23,5.65),"Y","N")</f>
        <v>N</v>
      </c>
      <c r="X76" s="187">
        <f>VALUE(LEFT(AD76,4))-VALUE(LEFT(AD75,4))</f>
        <v>1</v>
      </c>
      <c r="Y76" s="62">
        <f>RIGHT(D76,LEN(D76)-4)/10000</f>
        <v>23.299399999999999</v>
      </c>
      <c r="Z76" s="62">
        <f>RIGHT(H76,LEN(H76)-4)/10000</f>
        <v>1.47E-2</v>
      </c>
      <c r="AA76" s="62">
        <f>ABS(Z76-Y76)</f>
        <v>23.284699999999997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0164-09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/stypes="app*4030*20170309*" /stext=" 20:.+((SYSTEM_STATE.+slice.+state.+changed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164-09 --locoid 4030 --swversion DE.1.0.9.0 --startMP 204:232994 --initTime 2017-03-09T12:18:48 --startdatetime 2017-03-09T12:26:18 --delay 2 --endMP 204:147 --enddatetime 2017-03-09T13:06:36 --enforcementcount 0 &gt;&gt;C:\Users\stu\Documents\GitHub\eaglep3-reporting\EC\2017-03-09-refined-times.txt</v>
      </c>
      <c r="AI76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ID","value":"164-09"},{"id":16,"name":"Locomotive ID","value":"4030"},{"id":130,"name":"Impact","value":""},{"id":150,"name":"Time of Event (Mountain Time)","value":"13:06:36"},{"id":151,"name":"Denver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4030 --day 2017-03-09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700</v>
      </c>
      <c r="B77" s="7">
        <v>4040</v>
      </c>
      <c r="C77" s="21" t="s">
        <v>242</v>
      </c>
      <c r="D77" s="21" t="s">
        <v>539</v>
      </c>
      <c r="E77" s="13">
        <v>42803.487268518518</v>
      </c>
      <c r="F77" s="13">
        <v>42803.489837962959</v>
      </c>
      <c r="G77" s="7">
        <v>1</v>
      </c>
      <c r="H77" s="21" t="s">
        <v>849</v>
      </c>
      <c r="I77" s="13">
        <v>42803.523125</v>
      </c>
      <c r="J77" s="7">
        <v>0</v>
      </c>
      <c r="K77" s="98" t="str">
        <f>IF(ISEVEN(B77),(B77-1)&amp;"/"&amp;B77,B77&amp;"/"&amp;(B77+1))</f>
        <v>4039/4040</v>
      </c>
      <c r="L77" s="21" t="str">
        <f>VLOOKUP(A77,'Trips&amp;Operators'!$C$1:$G$99999,5,FALSE)</f>
        <v>SMITH MICHAEL</v>
      </c>
      <c r="M77" s="6">
        <f>I77-F77</f>
        <v>3.3287037040281575E-2</v>
      </c>
      <c r="N77" s="7">
        <f>24*60*SUM($M77:$M77)</f>
        <v>47.933333338005468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-09T10:41:40-0700',mode:absolute,to:'2017-03-09T13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87" t="str">
        <f>IF(AA77&lt;IF(AG77="EC",23,5.65),"Y","N")</f>
        <v>N</v>
      </c>
      <c r="X77" s="187">
        <f>VALUE(LEFT(AD77,4))-VALUE(LEFT(AD76,4))</f>
        <v>1</v>
      </c>
      <c r="Y77" s="62">
        <f>RIGHT(D77,LEN(D77)-4)/10000</f>
        <v>4.6399999999999997E-2</v>
      </c>
      <c r="Z77" s="62">
        <f>RIGHT(H77,LEN(H77)-4)/10000</f>
        <v>23.330500000000001</v>
      </c>
      <c r="AA77" s="62">
        <f>ABS(Z77-Y77)</f>
        <v>23.284100000000002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0165-09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/stypes="app*4040*20170309*" /stext=" 19:.+((SYSTEM_STATE.+slice.+state.+changed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165-09 --locoid 4040 --swversion DE.1.0.9.0 --startMP 204:464 --initTime 2017-03-09T11:41:40 --startdatetime 2017-03-09T11:45:22 --delay 1 --endMP 204:233305 --enddatetime 2017-03-09T12:33:18 --enforcementcount 0 &gt;&gt;C:\Users\stu\Documents\GitHub\eaglep3-reporting\EC\2017-03-09-refined-times.txt</v>
      </c>
      <c r="AI77" s="108" t="str">
        <f t="shared" si="4"/>
        <v>echo {"issue":{"subject":"","project_id":79,"tracker_id":40,"status_id":1,"priority_id":2,"assigned_to_id":23,"start_date":"2017-03-09","description":"","custom_fields":[{"id":1,"name":"Subdivision","value":"EC"},{"id":4,"name":"Milepost","value":"23.3305"},{"id":17,"name":"Train ID","value":"165-09"},{"id":16,"name":"Locomotive ID","value":"4040"},{"id":130,"name":"Impact","value":""},{"id":150,"name":"Time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4040 --day 2017-03-09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588</v>
      </c>
      <c r="B78" s="7">
        <v>4039</v>
      </c>
      <c r="C78" s="21" t="s">
        <v>242</v>
      </c>
      <c r="D78" s="21" t="s">
        <v>422</v>
      </c>
      <c r="E78" s="13">
        <v>42803.524513888886</v>
      </c>
      <c r="F78" s="13">
        <v>42803.528692129628</v>
      </c>
      <c r="G78" s="7">
        <v>1</v>
      </c>
      <c r="H78" s="21" t="s">
        <v>202</v>
      </c>
      <c r="I78" s="13">
        <v>42803.557835648149</v>
      </c>
      <c r="J78" s="7">
        <v>0</v>
      </c>
      <c r="K78" s="98" t="str">
        <f>IF(ISEVEN(B78),(B78-1)&amp;"/"&amp;B78,B78&amp;"/"&amp;(B78+1))</f>
        <v>4039/4040</v>
      </c>
      <c r="L78" s="21" t="str">
        <f>VLOOKUP(A78,'Trips&amp;Operators'!$C$1:$G$99999,5,FALSE)</f>
        <v>SMITH MICHAEL</v>
      </c>
      <c r="M78" s="6">
        <f>I78-F78</f>
        <v>2.9143518520868383E-2</v>
      </c>
      <c r="N78" s="7">
        <f>24*60*SUM($M78:$M78)</f>
        <v>41.966666670050472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-03-09T11:35:18-0700',mode:absolute,to:'2017-03-09T14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87" t="str">
        <f>IF(AA78&lt;IF(AG78="EC",23,5.65),"Y","N")</f>
        <v>N</v>
      </c>
      <c r="X78" s="187">
        <f>VALUE(LEFT(AD78,4))-VALUE(LEFT(AD77,4))</f>
        <v>1</v>
      </c>
      <c r="Y78" s="62">
        <f>RIGHT(D78,LEN(D78)-4)/10000</f>
        <v>23.298200000000001</v>
      </c>
      <c r="Z78" s="62">
        <f>RIGHT(H78,LEN(H78)-4)/10000</f>
        <v>1.52E-2</v>
      </c>
      <c r="AA78" s="62">
        <f>ABS(Z78-Y78)</f>
        <v>23.283000000000001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0166-09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/stypes="app*4039*20170309*" /stext=" 20:.+((SYSTEM_STATE.+slice.+state.+changed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1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4039 --swversion DE.1.0.9.0 --startMP 204:232982 --initTime 2017-03-09T12:35:18 --startdatetime 2017-03-09T12:41:19 --delay 1 --endMP 204:152 --enddatetime 2017-03-09T13:23:17 --enforcementcount 0 &gt;&gt;C:\Users\stu\Documents\GitHub\eaglep3-reporting\EC\2017-03-09-refined-times.txt</v>
      </c>
      <c r="AI78" s="108" t="str">
        <f t="shared" ref="AI78:AI141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ID","value":"166-09"},{"id":16,"name":"Locomotive ID","value":"4039"},{"id":130,"name":"Impact","value":""},{"id":150,"name":"Time of Event (Mountain Time)","value":"13:23:17"},{"id":151,"name":"Denver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8">"start /low /b "&amp;dls3logs&amp;" --loco "&amp;B78&amp;" --day "&amp;TEXT(F78,"YYYY-MM-DD")</f>
        <v>start /low /b %USERPROFILE%\Documents\GitHub\eaglep3\Utilities\DownloadLogsFromS3.py --loco 4039 --day 2017-03-09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704</v>
      </c>
      <c r="B79" s="7">
        <v>4044</v>
      </c>
      <c r="C79" s="21" t="s">
        <v>242</v>
      </c>
      <c r="D79" s="21" t="s">
        <v>269</v>
      </c>
      <c r="E79" s="13">
        <v>42803.496516203704</v>
      </c>
      <c r="F79" s="13">
        <v>42803.500520833331</v>
      </c>
      <c r="G79" s="7">
        <v>1</v>
      </c>
      <c r="H79" s="21" t="s">
        <v>466</v>
      </c>
      <c r="I79" s="13">
        <v>42803.526319444441</v>
      </c>
      <c r="J79" s="7">
        <v>0</v>
      </c>
      <c r="K79" s="98" t="str">
        <f>IF(ISEVEN(B79),(B79-1)&amp;"/"&amp;B79,B79&amp;"/"&amp;(B79+1))</f>
        <v>4043/4044</v>
      </c>
      <c r="L79" s="21" t="str">
        <f>VLOOKUP(A79,'Trips&amp;Operators'!$C$1:$G$99999,5,FALSE)</f>
        <v>LOCKLEAR TRAVIS</v>
      </c>
      <c r="M79" s="6">
        <f>I79-F79</f>
        <v>2.5798611110076308E-2</v>
      </c>
      <c r="N79" s="7">
        <f>24*60*SUM($M79:$M79)</f>
        <v>37.149999998509884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-03-09T10:54:59-0700',mode:absolute,to:'2017-03-09T13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87" t="str">
        <f>IF(AA79&lt;IF(AG79="EC",23,5.65),"Y","N")</f>
        <v>N</v>
      </c>
      <c r="X79" s="187">
        <f>VALUE(LEFT(AD79,4))-VALUE(LEFT(AD78,4))</f>
        <v>1</v>
      </c>
      <c r="Y79" s="62">
        <f>RIGHT(D79,LEN(D79)-4)/10000</f>
        <v>4.4200000000000003E-2</v>
      </c>
      <c r="Z79" s="62">
        <f>RIGHT(H79,LEN(H79)-4)/10000</f>
        <v>23.333600000000001</v>
      </c>
      <c r="AA79" s="62">
        <f>ABS(Z79-Y79)</f>
        <v>23.289400000000001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0167-09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/stypes="app*4044*20170309*"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167-09 --locoid 4044 --swversion DE.1.0.9.0 --startMP 204:442 --initTime 2017-03-09T11:54:59 --startdatetime 2017-03-09T12:00:45 --delay 1 --endMP 204:233336 --enddatetime 2017-03-09T12:37:54 --enforcementcount 0 &gt;&gt;C:\Users\stu\Documents\GitHub\eaglep3-reporting\EC\2017-03-09-refined-times.txt</v>
      </c>
      <c r="AI7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{"issue":{"subject":"","project_id":79,"tracker_id":40,"status_id":1,"priority_id":2,"assigned_to_id":23,"start_date":"2017-03-09","description":"","custom_fields":[{"id":1,"name":"Subdivision","value":"EC"},{"id":4,"name":"Milepost","value":"23.3336"},{"id":17,"name":"Train ID","value":"167-09"},{"id":16,"name":"Locomotive ID","value":"4044"},{"id":130,"name":"Impact","value":""},{"id":150,"name":"Time of Event (Mountain Time)","value":"12:37:54"},{"id":151,"name":"Denver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8"/>
        <v>start /low /b %USERPROFILE%\Documents\GitHub\eaglep3\Utilities\DownloadLogsFromS3.py --loco 4044 --day 2017-03-09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714</v>
      </c>
      <c r="B80" s="7">
        <v>4043</v>
      </c>
      <c r="C80" s="21" t="s">
        <v>242</v>
      </c>
      <c r="D80" s="21" t="s">
        <v>850</v>
      </c>
      <c r="E80" s="13">
        <v>42803.536539351851</v>
      </c>
      <c r="F80" s="13">
        <v>42803.539502314816</v>
      </c>
      <c r="G80" s="7">
        <v>1</v>
      </c>
      <c r="H80" s="21" t="s">
        <v>192</v>
      </c>
      <c r="I80" s="13">
        <v>42803.571886574071</v>
      </c>
      <c r="J80" s="7">
        <v>0</v>
      </c>
      <c r="K80" s="98" t="str">
        <f>IF(ISEVEN(B80),(B80-1)&amp;"/"&amp;B80,B80&amp;"/"&amp;(B80+1))</f>
        <v>4043/4044</v>
      </c>
      <c r="L80" s="21" t="str">
        <f>VLOOKUP(A80,'Trips&amp;Operators'!$C$1:$G$99999,5,FALSE)</f>
        <v>LOCKLEAR TRAVIS</v>
      </c>
      <c r="M80" s="6">
        <f>I80-F80</f>
        <v>3.2384259255195502E-2</v>
      </c>
      <c r="N80" s="7">
        <f>24*60*SUM($M80:$M80)</f>
        <v>46.633333327481523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-03-09T11:52:37-0700',mode:absolute,to:'2017-03-09T14:43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87" t="str">
        <f>IF(AA80&lt;IF(AG80="EC",23,5.65),"Y","N")</f>
        <v>N</v>
      </c>
      <c r="X80" s="187">
        <f>VALUE(LEFT(AD80,4))-VALUE(LEFT(AD79,4))</f>
        <v>1</v>
      </c>
      <c r="Y80" s="62">
        <f>RIGHT(D80,LEN(D80)-4)/10000</f>
        <v>23.305299999999999</v>
      </c>
      <c r="Z80" s="62">
        <f>RIGHT(H80,LEN(H80)-4)/10000</f>
        <v>1.4999999999999999E-2</v>
      </c>
      <c r="AA80" s="62">
        <f>ABS(Z80-Y80)</f>
        <v>23.290299999999998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0168-09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/stypes="app*4043*20170309*" /stext=" 20:.+((SYSTEM_STATE.+slice.+state.+changed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168-09 --locoid 4043 --swversion DE.1.0.9.0 --startMP 204:233053 --initTime 2017-03-09T12:52:37 --startdatetime 2017-03-09T12:56:53 --delay 1 --endMP 204:150 --enddatetime 2017-03-09T13:43:31 --enforcementcount 0 &gt;&gt;C:\Users\stu\Documents\GitHub\eaglep3-reporting\EC\2017-03-09-refined-times.txt</v>
      </c>
      <c r="AI8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ID","value":"168-09"},{"id":16,"name":"Locomotive ID","value":"4043"},{"id":130,"name":"Impact","value":""},{"id":150,"name":"Time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8"/>
        <v>start /low /b %USERPROFILE%\Documents\GitHub\eaglep3\Utilities\DownloadLogsFromS3.py --loco 4043 --day 2017-03-09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</row>
    <row r="81" spans="1:91" s="20" customFormat="1" x14ac:dyDescent="0.25">
      <c r="A81" s="33" t="s">
        <v>706</v>
      </c>
      <c r="B81" s="7">
        <v>4014</v>
      </c>
      <c r="C81" s="21" t="s">
        <v>242</v>
      </c>
      <c r="D81" s="21" t="s">
        <v>227</v>
      </c>
      <c r="E81" s="13">
        <v>42803.507916666669</v>
      </c>
      <c r="F81" s="13">
        <v>42803.51059027778</v>
      </c>
      <c r="G81" s="7">
        <v>2</v>
      </c>
      <c r="H81" s="21" t="s">
        <v>851</v>
      </c>
      <c r="I81" s="13">
        <v>42803.535532407404</v>
      </c>
      <c r="J81" s="7">
        <v>0</v>
      </c>
      <c r="K81" s="98" t="str">
        <f>IF(ISEVEN(B81),(B81-1)&amp;"/"&amp;B81,B81&amp;"/"&amp;(B81+1))</f>
        <v>4013/4014</v>
      </c>
      <c r="L81" s="21" t="str">
        <f>VLOOKUP(A81,'Trips&amp;Operators'!$C$1:$G$99999,5,FALSE)</f>
        <v>HELVIE ADAM</v>
      </c>
      <c r="M81" s="6">
        <f>I81-F81</f>
        <v>2.4942129624832887E-2</v>
      </c>
      <c r="N81" s="7">
        <f>24*60*SUM($M81:$M81)</f>
        <v>35.916666659759358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-03-09T11:11:24-0700',mode:absolute,to:'2017-03-09T13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187" t="str">
        <f>IF(AA81&lt;IF(AG81="EC",23,5.65),"Y","N")</f>
        <v>N</v>
      </c>
      <c r="X81" s="187">
        <f>VALUE(LEFT(AD81,4))-VALUE(LEFT(AD80,4))</f>
        <v>1</v>
      </c>
      <c r="Y81" s="62">
        <f>RIGHT(D81,LEN(D81)-4)/10000</f>
        <v>4.5499999999999999E-2</v>
      </c>
      <c r="Z81" s="62">
        <f>RIGHT(H81,LEN(H81)-4)/10000</f>
        <v>23.3309</v>
      </c>
      <c r="AA81" s="62">
        <f>ABS(Z81-Y81)</f>
        <v>23.285399999999999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0169-09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/stypes="app*4014*20170309*" /stext=" 19:.+((SYSTEM_STATE.+slice.+state.+changed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169-09 --locoid 4014 --swversion DE.1.0.9.0 --startMP 204:455 --initTime 2017-03-09T12:11:24 --startdatetime 2017-03-09T12:15:15 --delay 2 --endMP 204:233309 --enddatetime 2017-03-09T12:51:10 --enforcementcount 0 &gt;&gt;C:\Users\stu\Documents\GitHub\eaglep3-reporting\EC\2017-03-09-refined-times.txt</v>
      </c>
      <c r="AI8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{"issue":{"subject":"","project_id":79,"tracker_id":40,"status_id":1,"priority_id":2,"assigned_to_id":23,"start_date":"2017-03-09","description":"","custom_fields":[{"id":1,"name":"Subdivision","value":"EC"},{"id":4,"name":"Milepost","value":"23.3309"},{"id":17,"name":"Train ID","value":"169-09"},{"id":16,"name":"Locomotive ID","value":"4014"},{"id":130,"name":"Impact","value":""},{"id":150,"name":"Time of Event (Mountain Time)","value":"12:51:10"},{"id":151,"name":"Denver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8"/>
        <v>start /low /b %USERPROFILE%\Documents\GitHub\eaglep3\Utilities\DownloadLogsFromS3.py --loco 4014 --day 2017-03-09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715</v>
      </c>
      <c r="B82" s="7">
        <v>4013</v>
      </c>
      <c r="C82" s="21" t="s">
        <v>242</v>
      </c>
      <c r="D82" s="21" t="s">
        <v>244</v>
      </c>
      <c r="E82" s="13">
        <v>42803.547592592593</v>
      </c>
      <c r="F82" s="13">
        <v>42803.549699074072</v>
      </c>
      <c r="G82" s="7">
        <v>1</v>
      </c>
      <c r="H82" s="21" t="s">
        <v>235</v>
      </c>
      <c r="I82" s="13">
        <v>42803.578101851854</v>
      </c>
      <c r="J82" s="7">
        <v>0</v>
      </c>
      <c r="K82" s="98" t="str">
        <f>IF(ISEVEN(B82),(B82-1)&amp;"/"&amp;B82,B82&amp;"/"&amp;(B82+1))</f>
        <v>4013/4014</v>
      </c>
      <c r="L82" s="21" t="str">
        <f>VLOOKUP(A82,'Trips&amp;Operators'!$C$1:$G$99999,5,FALSE)</f>
        <v>HELVIE ADAM</v>
      </c>
      <c r="M82" s="6">
        <f>I82-F82</f>
        <v>2.8402777781593613E-2</v>
      </c>
      <c r="N82" s="7">
        <f>24*60*SUM($M82:$M82)</f>
        <v>40.900000005494803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-03-09T12:08:32-0700',mode:absolute,to:'2017-03-09T14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187" t="str">
        <f>IF(AA82&lt;IF(AG82="EC",23,5.65),"Y","N")</f>
        <v>N</v>
      </c>
      <c r="X82" s="187">
        <f>VALUE(LEFT(AD82,4))-VALUE(LEFT(AD81,4))</f>
        <v>1</v>
      </c>
      <c r="Y82" s="62">
        <f>RIGHT(D82,LEN(D82)-4)/10000</f>
        <v>23.299399999999999</v>
      </c>
      <c r="Z82" s="62">
        <f>RIGHT(H82,LEN(H82)-4)/10000</f>
        <v>1.47E-2</v>
      </c>
      <c r="AA82" s="62">
        <f>ABS(Z82-Y82)</f>
        <v>23.284699999999997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0170-09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/stypes="app*4013*20170309*" /stext=" 20:.+((SYSTEM_STATE.+slice.+state.+changed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170-09 --locoid 4013 --swversion DE.1.0.9.0 --startMP 204:232994 --initTime 2017-03-09T13:08:32 --startdatetime 2017-03-09T13:11:34 --delay 1 --endMP 204:147 --enddatetime 2017-03-09T13:52:28 --enforcementcount 0 &gt;&gt;C:\Users\stu\Documents\GitHub\eaglep3-reporting\EC\2017-03-09-refined-times.txt</v>
      </c>
      <c r="AI8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ID","value":"170-09"},{"id":16,"name":"Locomotive ID","value":"4013"},{"id":130,"name":"Impact","value":""},{"id":150,"name":"Time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"/>
        <v>start /low /b %USERPROFILE%\Documents\GitHub\eaglep3\Utilities\DownloadLogsFromS3.py --loco 4013 --day 2017-03-09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710</v>
      </c>
      <c r="B83" s="7">
        <v>4016</v>
      </c>
      <c r="C83" s="21" t="s">
        <v>242</v>
      </c>
      <c r="D83" s="21" t="s">
        <v>226</v>
      </c>
      <c r="E83" s="13">
        <v>42803.520370370374</v>
      </c>
      <c r="F83" s="13">
        <v>42803.52244212963</v>
      </c>
      <c r="G83" s="7">
        <v>2</v>
      </c>
      <c r="H83" s="21" t="s">
        <v>544</v>
      </c>
      <c r="I83" s="13">
        <v>42803.548946759256</v>
      </c>
      <c r="J83" s="7">
        <v>0</v>
      </c>
      <c r="K83" s="98" t="str">
        <f>IF(ISEVEN(B83),(B83-1)&amp;"/"&amp;B83,B83&amp;"/"&amp;(B83+1))</f>
        <v>4015/4016</v>
      </c>
      <c r="L83" s="21" t="str">
        <f>VLOOKUP(A83,'Trips&amp;Operators'!$C$1:$G$99999,5,FALSE)</f>
        <v>BRANDNER MELINDA</v>
      </c>
      <c r="M83" s="6">
        <f>I83-F83</f>
        <v>2.6504629626288079E-2</v>
      </c>
      <c r="N83" s="7">
        <f>24*60*SUM($M83:$M83)</f>
        <v>38.166666661854833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-03-09T11:29:20-0700',mode:absolute,to:'2017-03-09T14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7" t="str">
        <f>IF(AA83&lt;IF(AG83="EC",23,5.65),"Y","N")</f>
        <v>N</v>
      </c>
      <c r="X83" s="187">
        <f>VALUE(LEFT(AD83,4))-VALUE(LEFT(AD82,4))</f>
        <v>1</v>
      </c>
      <c r="Y83" s="62">
        <f>RIGHT(D83,LEN(D83)-4)/10000</f>
        <v>4.4600000000000001E-2</v>
      </c>
      <c r="Z83" s="62">
        <f>RIGHT(H83,LEN(H83)-4)/10000</f>
        <v>23.3293</v>
      </c>
      <c r="AA83" s="62">
        <f>ABS(Z83-Y83)</f>
        <v>23.284700000000001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0171-09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/stypes="app*4016*20170309*" /stext=" 20:.+((SYSTEM_STATE.+slice.+state.+changed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171-09 --locoid 4016 --swversion DE.1.0.9.0 --startMP 204:446 --initTime 2017-03-09T12:29:20 --startdatetime 2017-03-09T12:32:19 --delay 2 --endMP 204:233293 --enddatetime 2017-03-09T13:10:29 --enforcementcount 0 &gt;&gt;C:\Users\stu\Documents\GitHub\eaglep3-reporting\EC\2017-03-09-refined-times.txt</v>
      </c>
      <c r="AI8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ID","value":"171-09"},{"id":16,"name":"Locomotive ID","value":"4016"},{"id":130,"name":"Impact","value":""},{"id":150,"name":"Time of Event (Mountain Time)","value":"13:10:29"},{"id":151,"name":"Denver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"/>
        <v>start /low /b %USERPROFILE%\Documents\GitHub\eaglep3\Utilities\DownloadLogsFromS3.py --loco 4016 --day 2017-03-09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718</v>
      </c>
      <c r="B84" s="7">
        <v>4015</v>
      </c>
      <c r="C84" s="21" t="s">
        <v>242</v>
      </c>
      <c r="D84" s="21" t="s">
        <v>852</v>
      </c>
      <c r="E84" s="13">
        <v>42803.555023148147</v>
      </c>
      <c r="F84" s="13">
        <v>42803.559930555559</v>
      </c>
      <c r="G84" s="7">
        <v>1</v>
      </c>
      <c r="H84" s="21" t="s">
        <v>228</v>
      </c>
      <c r="I84" s="13">
        <v>42803.596018518518</v>
      </c>
      <c r="J84" s="7">
        <v>0</v>
      </c>
      <c r="K84" s="98" t="str">
        <f>IF(ISEVEN(B84),(B84-1)&amp;"/"&amp;B84,B84&amp;"/"&amp;(B84+1))</f>
        <v>4015/4016</v>
      </c>
      <c r="L84" s="21" t="str">
        <f>VLOOKUP(A84,'Trips&amp;Operators'!$C$1:$G$99999,5,FALSE)</f>
        <v>BRANDNER MELINDA</v>
      </c>
      <c r="M84" s="6">
        <f>I84-F84</f>
        <v>3.608796295884531E-2</v>
      </c>
      <c r="N84" s="7">
        <f>24*60*SUM($M84:$M84)</f>
        <v>51.966666660737246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-03-09T12:19:14-0700',mode:absolute,to:'2017-03-09T15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7" t="str">
        <f>IF(AA84&lt;IF(AG84="EC",23,5.65),"Y","N")</f>
        <v>N</v>
      </c>
      <c r="X84" s="187">
        <f>VALUE(LEFT(AD84,4))-VALUE(LEFT(AD83,4))</f>
        <v>1</v>
      </c>
      <c r="Y84" s="62">
        <f>RIGHT(D84,LEN(D84)-4)/10000</f>
        <v>23.298300000000001</v>
      </c>
      <c r="Z84" s="62">
        <f>RIGHT(H84,LEN(H84)-4)/10000</f>
        <v>1.3899999999999999E-2</v>
      </c>
      <c r="AA84" s="62">
        <f>ABS(Z84-Y84)</f>
        <v>23.284400000000002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0172-09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/stypes="app*4015*20170309*" /stext=" 21:.+((SYSTEM_STATE.+slice.+state.+changed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172-09 --locoid 4015 --swversion DE.1.0.9.0 --startMP 204:232983 --initTime 2017-03-09T13:19:14 --startdatetime 2017-03-09T13:26:18 --delay 1 --endMP 204:139 --enddatetime 2017-03-09T14:18:16 --enforcementcount 0 &gt;&gt;C:\Users\stu\Documents\GitHub\eaglep3-reporting\EC\2017-03-09-refined-times.txt</v>
      </c>
      <c r="AI8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{"issue":{"subject":"","project_id":79,"tracker_id":40,"status_id":1,"priority_id":2,"assigned_to_id":23,"start_date":"2017-03-09","description":"","custom_fields":[{"id":1,"name":"Subdivision","value":"EC"},{"id":4,"name":"Milepost","value":"0.0139"},{"id":17,"name":"Train ID","value":"172-09"},{"id":16,"name":"Locomotive ID","value":"4015"},{"id":130,"name":"Impact","value":""},{"id":150,"name":"Time of Event (Mountain Time)","value":"14:18:16"},{"id":151,"name":"Denver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"/>
        <v>start /low /b %USERPROFILE%\Documents\GitHub\eaglep3\Utilities\DownloadLogsFromS3.py --loco 4015 --day 2017-03-09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590</v>
      </c>
      <c r="B85" s="7">
        <v>4018</v>
      </c>
      <c r="C85" s="21" t="s">
        <v>242</v>
      </c>
      <c r="D85" s="21" t="s">
        <v>853</v>
      </c>
      <c r="E85" s="13">
        <v>42803.528541666667</v>
      </c>
      <c r="F85" s="13">
        <v>42803.531423611108</v>
      </c>
      <c r="G85" s="7">
        <v>1</v>
      </c>
      <c r="H85" s="21" t="s">
        <v>854</v>
      </c>
      <c r="I85" s="13">
        <v>42803.563888888886</v>
      </c>
      <c r="J85" s="7">
        <v>0</v>
      </c>
      <c r="K85" s="98" t="str">
        <f>IF(ISEVEN(B85),(B85-1)&amp;"/"&amp;B85,B85&amp;"/"&amp;(B85+1))</f>
        <v>4017/4018</v>
      </c>
      <c r="L85" s="21" t="str">
        <f>VLOOKUP(A85,'Trips&amp;Operators'!$C$1:$G$99999,5,FALSE)</f>
        <v>CLARK KATHLEEN</v>
      </c>
      <c r="M85" s="6">
        <f>I85-F85</f>
        <v>3.2465277778101154E-2</v>
      </c>
      <c r="N85" s="7">
        <f>24*60*SUM($M85:$M85)</f>
        <v>46.750000000465661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-03-09T11:41:06-0700',mode:absolute,to:'2017-03-09T14:32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87" t="str">
        <f>IF(AA85&lt;IF(AG85="EC",23,5.65),"Y","N")</f>
        <v>N</v>
      </c>
      <c r="X85" s="187">
        <f>VALUE(LEFT(AD85,4))-VALUE(LEFT(AD84,4))</f>
        <v>1</v>
      </c>
      <c r="Y85" s="62">
        <f>RIGHT(D85,LEN(D85)-4)/10000</f>
        <v>5.11E-2</v>
      </c>
      <c r="Z85" s="62">
        <f>RIGHT(H85,LEN(H85)-4)/10000</f>
        <v>23.3264</v>
      </c>
      <c r="AA85" s="62">
        <f>ABS(Z85-Y85)</f>
        <v>23.275299999999998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0173-09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/stypes="app*4018*20170309*" /stext=" 20:.+((SYSTEM_STATE.+slice.+state.+changed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173-09 --locoid 4018 --swversion DE.1.0.9.0 --startMP 204:511 --initTime 2017-03-09T12:41:06 --startdatetime 2017-03-09T12:45:15 --delay 1 --endMP 204:233264 --enddatetime 2017-03-09T13:32:00 --enforcementcount 0 &gt;&gt;C:\Users\stu\Documents\GitHub\eaglep3-reporting\EC\2017-03-09-refined-times.txt</v>
      </c>
      <c r="AI8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{"issue":{"subject":"","project_id":79,"tracker_id":40,"status_id":1,"priority_id":2,"assigned_to_id":23,"start_date":"2017-03-09","description":"","custom_fields":[{"id":1,"name":"Subdivision","value":"EC"},{"id":4,"name":"Milepost","value":"23.3264"},{"id":17,"name":"Train ID","value":"173-09"},{"id":16,"name":"Locomotive ID","value":"4018"},{"id":130,"name":"Impact","value":""},{"id":150,"name":"Time of Event (Mountain Time)","value":"13:32:00"},{"id":151,"name":"Denver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"/>
        <v>start /low /b %USERPROFILE%\Documents\GitHub\eaglep3\Utilities\DownloadLogsFromS3.py --loco 4018 --day 2017-03-09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</row>
    <row r="86" spans="1:91" s="20" customFormat="1" x14ac:dyDescent="0.25">
      <c r="A86" s="33" t="s">
        <v>720</v>
      </c>
      <c r="B86" s="7">
        <v>4017</v>
      </c>
      <c r="C86" s="21" t="s">
        <v>242</v>
      </c>
      <c r="D86" s="21" t="s">
        <v>855</v>
      </c>
      <c r="E86" s="13">
        <v>42803.568449074075</v>
      </c>
      <c r="F86" s="13">
        <v>42803.570324074077</v>
      </c>
      <c r="G86" s="7">
        <v>1</v>
      </c>
      <c r="H86" s="21" t="s">
        <v>856</v>
      </c>
      <c r="I86" s="13">
        <v>42803.60429398148</v>
      </c>
      <c r="J86" s="7">
        <v>0</v>
      </c>
      <c r="K86" s="98" t="str">
        <f>IF(ISEVEN(B86),(B86-1)&amp;"/"&amp;B86,B86&amp;"/"&amp;(B86+1))</f>
        <v>4017/4018</v>
      </c>
      <c r="L86" s="21" t="str">
        <f>VLOOKUP(A86,'Trips&amp;Operators'!$C$1:$G$99999,5,FALSE)</f>
        <v>CLARK KATHLEEN</v>
      </c>
      <c r="M86" s="6">
        <f>I86-F86</f>
        <v>3.3969907402934041E-2</v>
      </c>
      <c r="N86" s="7">
        <f>24*60*SUM($M86:$M86)</f>
        <v>48.916666660225019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-03-09T12:38:34-0700',mode:absolute,to:'2017-03-09T15:30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87" t="str">
        <f>IF(AA86&lt;IF(AG86="EC",23,5.65),"Y","N")</f>
        <v>N</v>
      </c>
      <c r="X86" s="187">
        <f>VALUE(LEFT(AD86,4))-VALUE(LEFT(AD85,4))</f>
        <v>1</v>
      </c>
      <c r="Y86" s="62">
        <f>RIGHT(D86,LEN(D86)-4)/10000</f>
        <v>23.292999999999999</v>
      </c>
      <c r="Z86" s="62">
        <f>RIGHT(H86,LEN(H86)-4)/10000</f>
        <v>0.1173</v>
      </c>
      <c r="AA86" s="62">
        <f>ABS(Z86-Y86)</f>
        <v>23.175699999999999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0174-09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/stypes="app*4017*20170309*" /stext=" 21:.+((SYSTEM_STATE.+slice.+state.+changed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174-09 --locoid 4017 --swversion DE.1.0.9.0 --startMP 204:232930 --initTime 2017-03-09T13:38:34 --startdatetime 2017-03-09T13:41:16 --delay 1 --endMP 204:1173 --enddatetime 2017-03-09T14:30:11 --enforcementcount 0 &gt;&gt;C:\Users\stu\Documents\GitHub\eaglep3-reporting\EC\2017-03-09-refined-times.txt</v>
      </c>
      <c r="AI8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{"issue":{"subject":"","project_id":79,"tracker_id":40,"status_id":1,"priority_id":2,"assigned_to_id":23,"start_date":"2017-03-09","description":"","custom_fields":[{"id":1,"name":"Subdivision","value":"EC"},{"id":4,"name":"Milepost","value":"0.1173"},{"id":17,"name":"Train ID","value":"174-09"},{"id":16,"name":"Locomotive ID","value":"4017"},{"id":130,"name":"Impact","value":""},{"id":150,"name":"Time of Event (Mountain Time)","value":"14:30:11"},{"id":151,"name":"Denver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"/>
        <v>start /low /b %USERPROFILE%\Documents\GitHub\eaglep3\Utilities\DownloadLogsFromS3.py --loco 4017 --day 2017-03-09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591</v>
      </c>
      <c r="B87" s="7">
        <v>4003</v>
      </c>
      <c r="C87" s="21" t="s">
        <v>242</v>
      </c>
      <c r="D87" s="21" t="s">
        <v>227</v>
      </c>
      <c r="E87" s="13">
        <v>42803.536747685182</v>
      </c>
      <c r="F87" s="13">
        <v>42803.541863425926</v>
      </c>
      <c r="G87" s="7">
        <v>1</v>
      </c>
      <c r="H87" s="21" t="s">
        <v>249</v>
      </c>
      <c r="I87" s="13">
        <v>42803.574999999997</v>
      </c>
      <c r="J87" s="7">
        <v>0</v>
      </c>
      <c r="K87" s="98" t="str">
        <f>IF(ISEVEN(B87),(B87-1)&amp;"/"&amp;B87,B87&amp;"/"&amp;(B87+1))</f>
        <v>4003/4004</v>
      </c>
      <c r="L87" s="21" t="str">
        <f>VLOOKUP(A87,'Trips&amp;Operators'!$C$1:$G$99999,5,FALSE)</f>
        <v>STRICKLAND EVAN</v>
      </c>
      <c r="M87" s="6">
        <f>I87-F87</f>
        <v>3.3136574071249925E-2</v>
      </c>
      <c r="N87" s="7">
        <f>24*60*SUM($M87:$M87)</f>
        <v>47.716666662599891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7" s="187" t="str">
        <f>IF(AA87&lt;IF(AG87="EC",23,5.65),"Y","N")</f>
        <v>N</v>
      </c>
      <c r="X87" s="187">
        <f>VALUE(LEFT(AD87,4))-VALUE(LEFT(AD86,4))</f>
        <v>1</v>
      </c>
      <c r="Y87" s="62">
        <f>RIGHT(D87,LEN(D87)-4)/10000</f>
        <v>4.5499999999999999E-2</v>
      </c>
      <c r="Z87" s="62">
        <f>RIGHT(H87,LEN(H87)-4)/10000</f>
        <v>23.328900000000001</v>
      </c>
      <c r="AA87" s="62">
        <f>ABS(Z87-Y87)</f>
        <v>23.2834</v>
      </c>
      <c r="AB87" s="59" t="str">
        <f>VLOOKUP(A87,Enforcements!$C$7:$K$13,8,0)</f>
        <v>Bulletin (2)</v>
      </c>
      <c r="AC87" s="55" t="str">
        <f>VLOOKUP(A87,Enforcements!$C$7:$E$13,3,0)</f>
        <v>GRADE CROSSING</v>
      </c>
      <c r="AD87" s="56" t="str">
        <f>IF(LEN(A87)=6,"0"&amp;A87,A87)</f>
        <v>0175-09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/stypes="app*4003*20170309*" /stext=" 20:.+((SYSTEM_STATE.+slice.+state.+changed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175-09 --locoid 4003 --swversion DE.1.0.9.0 --startMP 204:455 --initTime 2017-03-09T12:52:55 --startdatetime 2017-03-09T13:00:17 --delay 1 --endMP 204:233289 --enddatetime 2017-03-09T13:48:00 --enforcementcount 0 &gt;&gt;C:\Users\stu\Documents\GitHub\eaglep3-reporting\EC\2017-03-09-refined-times.txt</v>
      </c>
      <c r="AI8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ID","value":"175-09"},{"id":16,"name":"Locomotive ID","value":"4003"},{"id":130,"name":"Impact","value":""},{"id":150,"name":"Time of Event (Mountain Time)","value":"13:48:00"},{"id":151,"name":"Denver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"/>
        <v>start /low /b %USERPROFILE%\Documents\GitHub\eaglep3\Utilities\DownloadLogsFromS3.py --loco 4003 --day 2017-03-09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722</v>
      </c>
      <c r="B88" s="7">
        <v>4004</v>
      </c>
      <c r="C88" s="21" t="s">
        <v>242</v>
      </c>
      <c r="D88" s="21" t="s">
        <v>462</v>
      </c>
      <c r="E88" s="13">
        <v>42803.577037037037</v>
      </c>
      <c r="F88" s="13">
        <v>42803.580694444441</v>
      </c>
      <c r="G88" s="7">
        <v>2</v>
      </c>
      <c r="H88" s="21" t="s">
        <v>203</v>
      </c>
      <c r="I88" s="13">
        <v>42803.609618055554</v>
      </c>
      <c r="J88" s="7">
        <v>0</v>
      </c>
      <c r="K88" s="98" t="str">
        <f>IF(ISEVEN(B88),(B88-1)&amp;"/"&amp;B88,B88&amp;"/"&amp;(B88+1))</f>
        <v>4003/4004</v>
      </c>
      <c r="L88" s="21" t="str">
        <f>VLOOKUP(A88,'Trips&amp;Operators'!$C$1:$G$99999,5,FALSE)</f>
        <v>STRICKLAND EVAN</v>
      </c>
      <c r="M88" s="6">
        <f>I88-F88</f>
        <v>2.8923611112986691E-2</v>
      </c>
      <c r="N88" s="7">
        <f>24*60*SUM($M88:$M88)</f>
        <v>41.650000002700835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-03-09T12:50:56-0700',mode:absolute,to:'2017-03-09T15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87" t="str">
        <f>IF(AA88&lt;IF(AG88="EC",23,5.65),"Y","N")</f>
        <v>N</v>
      </c>
      <c r="X88" s="187">
        <f>VALUE(LEFT(AD88,4))-VALUE(LEFT(AD87,4))</f>
        <v>1</v>
      </c>
      <c r="Y88" s="62">
        <f>RIGHT(D88,LEN(D88)-4)/10000</f>
        <v>23.298100000000002</v>
      </c>
      <c r="Z88" s="62">
        <f>RIGHT(H88,LEN(H88)-4)/10000</f>
        <v>1.5800000000000002E-2</v>
      </c>
      <c r="AA88" s="62">
        <f>ABS(Z88-Y88)</f>
        <v>23.282300000000003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0176-09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/stypes="app*4004*20170309*" /stext=" 21:.+((SYSTEM_STATE.+slice.+state.+changed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176-09 --locoid 4004 --swversion DE.1.0.9.0 --startMP 204:232981 --initTime 2017-03-09T13:50:56 --startdatetime 2017-03-09T13:56:12 --delay 2 --endMP 204:158 --enddatetime 2017-03-09T14:37:51 --enforcementcount 0 &gt;&gt;C:\Users\stu\Documents\GitHub\eaglep3-reporting\EC\2017-03-09-refined-times.txt</v>
      </c>
      <c r="AI8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ID","value":"176-09"},{"id":16,"name":"Locomotive ID","value":"4004"},{"id":130,"name":"Impact","value":""},{"id":150,"name":"Time of Event (Mountain Time)","value":"14:37:51"},{"id":151,"name":"Denver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"/>
        <v>start /low /b %USERPROFILE%\Documents\GitHub\eaglep3\Utilities\DownloadLogsFromS3.py --loco 4004 --day 2017-03-09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716</v>
      </c>
      <c r="B89" s="7">
        <v>4029</v>
      </c>
      <c r="C89" s="21" t="s">
        <v>242</v>
      </c>
      <c r="D89" s="21" t="s">
        <v>539</v>
      </c>
      <c r="E89" s="13">
        <v>42803.548043981478</v>
      </c>
      <c r="F89" s="13">
        <v>42803.55232638889</v>
      </c>
      <c r="G89" s="7">
        <v>1</v>
      </c>
      <c r="H89" s="21" t="s">
        <v>548</v>
      </c>
      <c r="I89" s="13">
        <v>42803.580937500003</v>
      </c>
      <c r="J89" s="7">
        <v>0</v>
      </c>
      <c r="K89" s="98" t="str">
        <f>IF(ISEVEN(B89),(B89-1)&amp;"/"&amp;B89,B89&amp;"/"&amp;(B89+1))</f>
        <v>4029/4030</v>
      </c>
      <c r="L89" s="21" t="str">
        <f>VLOOKUP(A89,'Trips&amp;Operators'!$C$1:$G$99999,5,FALSE)</f>
        <v>BRUDER RICHARD</v>
      </c>
      <c r="M89" s="6">
        <f>I89-F89</f>
        <v>2.8611111112695653E-2</v>
      </c>
      <c r="N89" s="7">
        <f>24*60*SUM($M89:$M89)</f>
        <v>41.20000000228174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-03-09T12:09:11-0700',mode:absolute,to:'2017-03-09T14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7" t="str">
        <f>IF(AA89&lt;IF(AG89="EC",23,5.65),"Y","N")</f>
        <v>N</v>
      </c>
      <c r="X89" s="187">
        <f>VALUE(LEFT(AD89,4))-VALUE(LEFT(AD88,4))</f>
        <v>1</v>
      </c>
      <c r="Y89" s="62">
        <f>RIGHT(D89,LEN(D89)-4)/10000</f>
        <v>4.6399999999999997E-2</v>
      </c>
      <c r="Z89" s="62">
        <f>RIGHT(H89,LEN(H89)-4)/10000</f>
        <v>23.331600000000002</v>
      </c>
      <c r="AA89" s="62">
        <f>ABS(Z89-Y89)</f>
        <v>23.285200000000003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0177-09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/stypes="app*4029*20170309*" /stext=" 20:.+((SYSTEM_STATE.+slice.+state.+changed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177-09 --locoid 4029 --swversion DE.1.0.9.0 --startMP 204:464 --initTime 2017-03-09T13:09:11 --startdatetime 2017-03-09T13:15:21 --delay 1 --endMP 204:233316 --enddatetime 2017-03-09T13:56:33 --enforcementcount 0 &gt;&gt;C:\Users\stu\Documents\GitHub\eaglep3-reporting\EC\2017-03-09-refined-times.txt</v>
      </c>
      <c r="AI8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{"issue":{"subject":"","project_id":79,"tracker_id":40,"status_id":1,"priority_id":2,"assigned_to_id":23,"start_date":"2017-03-09","description":"","custom_fields":[{"id":1,"name":"Subdivision","value":"EC"},{"id":4,"name":"Milepost","value":"23.3316"},{"id":17,"name":"Train ID","value":"177-09"},{"id":16,"name":"Locomotive ID","value":"4029"},{"id":130,"name":"Impact","value":""},{"id":150,"name":"Time of Event (Mountain Time)","value":"13:56:33"},{"id":151,"name":"Denver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"/>
        <v>start /low /b %USERPROFILE%\Documents\GitHub\eaglep3\Utilities\DownloadLogsFromS3.py --loco 4029 --day 2017-03-09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725</v>
      </c>
      <c r="B90" s="7">
        <v>4030</v>
      </c>
      <c r="C90" s="21" t="s">
        <v>242</v>
      </c>
      <c r="D90" s="21" t="s">
        <v>437</v>
      </c>
      <c r="E90" s="13">
        <v>42803.58699074074</v>
      </c>
      <c r="F90" s="13">
        <v>42803.591192129628</v>
      </c>
      <c r="G90" s="7">
        <v>1</v>
      </c>
      <c r="H90" s="21" t="s">
        <v>208</v>
      </c>
      <c r="I90" s="13">
        <v>42803.620057870372</v>
      </c>
      <c r="J90" s="7">
        <v>0</v>
      </c>
      <c r="K90" s="98" t="str">
        <f>IF(ISEVEN(B90),(B90-1)&amp;"/"&amp;B90,B90&amp;"/"&amp;(B90+1))</f>
        <v>4029/4030</v>
      </c>
      <c r="L90" s="21" t="str">
        <f>VLOOKUP(A90,'Trips&amp;Operators'!$C$1:$G$99999,5,FALSE)</f>
        <v>BRUDER RICHARD</v>
      </c>
      <c r="M90" s="6">
        <f>I90-F90</f>
        <v>2.8865740743640345E-2</v>
      </c>
      <c r="N90" s="7">
        <f>24*60*SUM($M90:$M90)</f>
        <v>41.566666670842096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-03-09T13:05:16-0700',mode:absolute,to:'2017-03-09T15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87" t="str">
        <f>IF(AA90&lt;IF(AG90="EC",23,5.65),"Y","N")</f>
        <v>N</v>
      </c>
      <c r="X90" s="187">
        <f>VALUE(LEFT(AD90,4))-VALUE(LEFT(AD89,4))</f>
        <v>1</v>
      </c>
      <c r="Y90" s="62">
        <f>RIGHT(D90,LEN(D90)-4)/10000</f>
        <v>23.297999999999998</v>
      </c>
      <c r="Z90" s="62">
        <f>RIGHT(H90,LEN(H90)-4)/10000</f>
        <v>1.54E-2</v>
      </c>
      <c r="AA90" s="62">
        <f>ABS(Z90-Y90)</f>
        <v>23.282599999999999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0178-09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/stypes="app*4030*20170309*" /stext=" 21:.+((SYSTEM_STATE.+slice.+state.+changed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178-09 --locoid 4030 --swversion DE.1.0.9.0 --startMP 204:232980 --initTime 2017-03-09T14:05:16 --startdatetime 2017-03-09T14:11:19 --delay 1 --endMP 204:154 --enddatetime 2017-03-09T14:52:53 --enforcementcount 0 &gt;&gt;C:\Users\stu\Documents\GitHub\eaglep3-reporting\EC\2017-03-09-refined-times.txt</v>
      </c>
      <c r="AI9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ID","value":"178-09"},{"id":16,"name":"Locomotive ID","value":"4030"},{"id":130,"name":"Impact","value":""},{"id":150,"name":"Time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"/>
        <v>start /low /b %USERPROFILE%\Documents\GitHub\eaglep3\Utilities\DownloadLogsFromS3.py --loco 4030 --day 2017-03-09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719</v>
      </c>
      <c r="B91" s="7">
        <v>4040</v>
      </c>
      <c r="C91" s="21" t="s">
        <v>242</v>
      </c>
      <c r="D91" s="21" t="s">
        <v>262</v>
      </c>
      <c r="E91" s="13">
        <v>42803.559236111112</v>
      </c>
      <c r="F91" s="13">
        <v>42803.562754629631</v>
      </c>
      <c r="G91" s="7">
        <v>1</v>
      </c>
      <c r="H91" s="21" t="s">
        <v>233</v>
      </c>
      <c r="I91" s="13">
        <v>42803.594224537039</v>
      </c>
      <c r="J91" s="7">
        <v>0</v>
      </c>
      <c r="K91" s="98" t="str">
        <f>IF(ISEVEN(B91),(B91-1)&amp;"/"&amp;B91,B91&amp;"/"&amp;(B91+1))</f>
        <v>4039/4040</v>
      </c>
      <c r="L91" s="21" t="str">
        <f>VLOOKUP(A91,'Trips&amp;Operators'!$C$1:$G$99999,5,FALSE)</f>
        <v>SMITH MICHAEL</v>
      </c>
      <c r="M91" s="6">
        <f>I91-F91</f>
        <v>3.1469907407881692E-2</v>
      </c>
      <c r="N91" s="7">
        <f>24*60*SUM($M91:$M91)</f>
        <v>45.316666667349637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-03-09T12:25:18-0700',mode:absolute,to:'2017-03-09T15:15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87" t="str">
        <f>IF(AA91&lt;IF(AG91="EC",23,5.65),"Y","N")</f>
        <v>N</v>
      </c>
      <c r="X91" s="187">
        <f>VALUE(LEFT(AD91,4))-VALUE(LEFT(AD90,4))</f>
        <v>1</v>
      </c>
      <c r="Y91" s="62">
        <f>RIGHT(D91,LEN(D91)-4)/10000</f>
        <v>4.6699999999999998E-2</v>
      </c>
      <c r="Z91" s="62">
        <f>RIGHT(H91,LEN(H91)-4)/10000</f>
        <v>23.331</v>
      </c>
      <c r="AA91" s="62">
        <f>ABS(Z91-Y91)</f>
        <v>23.284299999999998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0179-09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/stypes="app*4040*20170309*" /stext=" 21:.+((SYSTEM_STATE.+slice.+state.+changed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179-09 --locoid 4040 --swversion DE.1.0.9.0 --startMP 204:467 --initTime 2017-03-09T13:25:18 --startdatetime 2017-03-09T13:30:22 --delay 1 --endMP 204:233310 --enddatetime 2017-03-09T14:15:41 --enforcementcount 0 &gt;&gt;C:\Users\stu\Documents\GitHub\eaglep3-reporting\EC\2017-03-09-refined-times.txt</v>
      </c>
      <c r="AI9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{"issue":{"subject":"","project_id":79,"tracker_id":40,"status_id":1,"priority_id":2,"assigned_to_id":23,"start_date":"2017-03-09","description":"","custom_fields":[{"id":1,"name":"Subdivision","value":"EC"},{"id":4,"name":"Milepost","value":"23.331"},{"id":17,"name":"Train ID","value":"179-09"},{"id":16,"name":"Locomotive ID","value":"4040"},{"id":130,"name":"Impact","value":""},{"id":150,"name":"Time of Event (Mountain Time)","value":"14:15:41"},{"id":151,"name":"Denver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"/>
        <v>start /low /b %USERPROFILE%\Documents\GitHub\eaglep3\Utilities\DownloadLogsFromS3.py --loco 4040 --day 2017-03-09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593</v>
      </c>
      <c r="B92" s="7">
        <v>4039</v>
      </c>
      <c r="C92" s="21" t="s">
        <v>242</v>
      </c>
      <c r="D92" s="21" t="s">
        <v>438</v>
      </c>
      <c r="E92" s="13">
        <v>42803.598136574074</v>
      </c>
      <c r="F92" s="13">
        <v>42803.601550925923</v>
      </c>
      <c r="G92" s="7">
        <v>1</v>
      </c>
      <c r="H92" s="21" t="s">
        <v>202</v>
      </c>
      <c r="I92" s="13">
        <v>42803.630104166667</v>
      </c>
      <c r="J92" s="7">
        <v>0</v>
      </c>
      <c r="K92" s="98" t="str">
        <f>IF(ISEVEN(B92),(B92-1)&amp;"/"&amp;B92,B92&amp;"/"&amp;(B92+1))</f>
        <v>4039/4040</v>
      </c>
      <c r="L92" s="21" t="str">
        <f>VLOOKUP(A92,'Trips&amp;Operators'!$C$1:$G$99999,5,FALSE)</f>
        <v>SMITH MICHAEL</v>
      </c>
      <c r="M92" s="6">
        <f>I92-F92</f>
        <v>2.8553240743349306E-2</v>
      </c>
      <c r="N92" s="7">
        <f>24*60*SUM($M92:$M92)</f>
        <v>41.116666670423001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-03-09T13:21:19-0700',mode:absolute,to:'2017-03-09T16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87" t="str">
        <f>IF(AA92&lt;IF(AG92="EC",23,5.65),"Y","N")</f>
        <v>N</v>
      </c>
      <c r="X92" s="187">
        <f>VALUE(LEFT(AD92,4))-VALUE(LEFT(AD91,4))</f>
        <v>1</v>
      </c>
      <c r="Y92" s="62">
        <f>RIGHT(D92,LEN(D92)-4)/10000</f>
        <v>23.2989</v>
      </c>
      <c r="Z92" s="62">
        <f>RIGHT(H92,LEN(H92)-4)/10000</f>
        <v>1.52E-2</v>
      </c>
      <c r="AA92" s="62">
        <f>ABS(Z92-Y92)</f>
        <v>23.2837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0180-09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/stypes="app*4039*20170309*" /stext=" 22:.+((SYSTEM_STATE.+slice.+state.+changed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180-09 --locoid 4039 --swversion DE.1.0.9.0 --startMP 204:232989 --initTime 2017-03-09T14:21:19 --startdatetime 2017-03-09T14:26:14 --delay 1 --endMP 204:152 --enddatetime 2017-03-09T15:07:21 --enforcementcount 0 &gt;&gt;C:\Users\stu\Documents\GitHub\eaglep3-reporting\EC\2017-03-09-refined-times.txt</v>
      </c>
      <c r="AI9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ID","value":"180-09"},{"id":16,"name":"Locomotive ID","value":"4039"},{"id":130,"name":"Impact","value":""},{"id":150,"name":"Time of Event (Mountain Time)","value":"15:07:21"},{"id":151,"name":"Denver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"/>
        <v>start /low /b %USERPROFILE%\Documents\GitHub\eaglep3\Utilities\DownloadLogsFromS3.py --loco 4039 --day 2017-03-09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721</v>
      </c>
      <c r="B93" s="7">
        <v>4044</v>
      </c>
      <c r="C93" s="21" t="s">
        <v>242</v>
      </c>
      <c r="D93" s="21" t="s">
        <v>281</v>
      </c>
      <c r="E93" s="13">
        <v>42803.573055555556</v>
      </c>
      <c r="F93" s="13">
        <v>42803.574525462966</v>
      </c>
      <c r="G93" s="7">
        <v>1</v>
      </c>
      <c r="H93" s="21" t="s">
        <v>545</v>
      </c>
      <c r="I93" s="13">
        <v>42803.600162037037</v>
      </c>
      <c r="J93" s="7">
        <v>0</v>
      </c>
      <c r="K93" s="98" t="str">
        <f>IF(ISEVEN(B93),(B93-1)&amp;"/"&amp;B93,B93&amp;"/"&amp;(B93+1))</f>
        <v>4043/4044</v>
      </c>
      <c r="L93" s="21" t="str">
        <f>VLOOKUP(A93,'Trips&amp;Operators'!$C$1:$G$99999,5,FALSE)</f>
        <v>LOCKLEAR TRAVIS</v>
      </c>
      <c r="M93" s="6">
        <f>I93-F93</f>
        <v>2.5636574071540963E-2</v>
      </c>
      <c r="N93" s="7">
        <f>24*60*SUM($M93:$M93)</f>
        <v>36.916666663018987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-03-09T12:45:12-0700',mode:absolute,to:'2017-03-09T15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7" t="str">
        <f>IF(AA93&lt;IF(AG93="EC",23,5.65),"Y","N")</f>
        <v>N</v>
      </c>
      <c r="X93" s="187">
        <f>VALUE(LEFT(AD93,4))-VALUE(LEFT(AD92,4))</f>
        <v>1</v>
      </c>
      <c r="Y93" s="62">
        <f>RIGHT(D93,LEN(D93)-4)/10000</f>
        <v>4.7800000000000002E-2</v>
      </c>
      <c r="Z93" s="62">
        <f>RIGHT(H93,LEN(H93)-4)/10000</f>
        <v>23.328800000000001</v>
      </c>
      <c r="AA93" s="62">
        <f>ABS(Z93-Y93)</f>
        <v>23.281000000000002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0181-09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/stypes="app*4044*20170309*" /stext=" 21:.+((SYSTEM_STATE.+slice.+state.+changed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181-09 --locoid 4044 --swversion DE.1.0.9.0 --startMP 204:478 --initTime 2017-03-09T13:45:12 --startdatetime 2017-03-09T13:47:19 --delay 1 --endMP 204:233288 --enddatetime 2017-03-09T14:24:14 --enforcementcount 0 &gt;&gt;C:\Users\stu\Documents\GitHub\eaglep3-reporting\EC\2017-03-09-refined-times.txt</v>
      </c>
      <c r="AI9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{"issue":{"subject":"","project_id":79,"tracker_id":40,"status_id":1,"priority_id":2,"assigned_to_id":23,"start_date":"2017-03-09","description":"","custom_fields":[{"id":1,"name":"Subdivision","value":"EC"},{"id":4,"name":"Milepost","value":"23.3288"},{"id":17,"name":"Train ID","value":"181-09"},{"id":16,"name":"Locomotive ID","value":"4044"},{"id":130,"name":"Impact","value":""},{"id":150,"name":"Time of Event (Mountain Time)","value":"14:24:14"},{"id":151,"name":"Denver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"/>
        <v>start /low /b %USERPROFILE%\Documents\GitHub\eaglep3\Utilities\DownloadLogsFromS3.py --loco 4044 --day 2017-03-09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</row>
    <row r="94" spans="1:91" s="20" customFormat="1" x14ac:dyDescent="0.25">
      <c r="A94" s="33" t="s">
        <v>729</v>
      </c>
      <c r="B94" s="7">
        <v>4043</v>
      </c>
      <c r="C94" s="21" t="s">
        <v>242</v>
      </c>
      <c r="D94" s="21" t="s">
        <v>843</v>
      </c>
      <c r="E94" s="13">
        <v>42803.609178240738</v>
      </c>
      <c r="F94" s="13">
        <v>42803.612175925926</v>
      </c>
      <c r="G94" s="7">
        <v>1</v>
      </c>
      <c r="H94" s="21" t="s">
        <v>232</v>
      </c>
      <c r="I94" s="13">
        <v>42803.639756944445</v>
      </c>
      <c r="J94" s="7">
        <v>0</v>
      </c>
      <c r="K94" s="98" t="str">
        <f>IF(ISEVEN(B94),(B94-1)&amp;"/"&amp;B94,B94&amp;"/"&amp;(B94+1))</f>
        <v>4043/4044</v>
      </c>
      <c r="L94" s="21" t="str">
        <f>VLOOKUP(A94,'Trips&amp;Operators'!$C$1:$G$99999,5,FALSE)</f>
        <v>LOCKLEAR TRAVIS</v>
      </c>
      <c r="M94" s="6">
        <f>I94-F94</f>
        <v>2.7581018519413192E-2</v>
      </c>
      <c r="N94" s="7">
        <f>24*60*SUM($M94:$M94)</f>
        <v>39.716666667954996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-03-09T13:37:13-0700',mode:absolute,to:'2017-03-09T16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7" t="str">
        <f>IF(AA94&lt;IF(AG94="EC",23,5.65),"Y","N")</f>
        <v>N</v>
      </c>
      <c r="X94" s="187">
        <f>VALUE(LEFT(AD94,4))-VALUE(LEFT(AD93,4))</f>
        <v>1</v>
      </c>
      <c r="Y94" s="62">
        <f>RIGHT(D94,LEN(D94)-4)/10000</f>
        <v>23.3001</v>
      </c>
      <c r="Z94" s="62">
        <f>RIGHT(H94,LEN(H94)-4)/10000</f>
        <v>1.5599999999999999E-2</v>
      </c>
      <c r="AA94" s="62">
        <f>ABS(Z94-Y94)</f>
        <v>23.284500000000001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0182-09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/stypes="app*4043*20170309*" /stext=" 22:.+((SYSTEM_STATE.+slice.+state.+changed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182-09 --locoid 4043 --swversion DE.1.0.9.0 --startMP 204:233001 --initTime 2017-03-09T14:37:13 --startdatetime 2017-03-09T14:41:32 --delay 1 --endMP 204:156 --enddatetime 2017-03-09T15:21:15 --enforcementcount 0 &gt;&gt;C:\Users\stu\Documents\GitHub\eaglep3-reporting\EC\2017-03-09-refined-times.txt</v>
      </c>
      <c r="AI9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ID","value":"182-09"},{"id":16,"name":"Locomotive ID","value":"4043"},{"id":130,"name":"Impact","value":""},{"id":150,"name":"Time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"/>
        <v>start /low /b %USERPROFILE%\Documents\GitHub\eaglep3\Utilities\DownloadLogsFromS3.py --loco 4043 --day 2017-03-09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723</v>
      </c>
      <c r="B95" s="7">
        <v>4014</v>
      </c>
      <c r="C95" s="21" t="s">
        <v>242</v>
      </c>
      <c r="D95" s="21" t="s">
        <v>218</v>
      </c>
      <c r="E95" s="13">
        <v>42803.580069444448</v>
      </c>
      <c r="F95" s="13">
        <v>42803.583587962959</v>
      </c>
      <c r="G95" s="7">
        <v>1</v>
      </c>
      <c r="H95" s="21" t="s">
        <v>435</v>
      </c>
      <c r="I95" s="13">
        <v>42803.609652777777</v>
      </c>
      <c r="J95" s="7">
        <v>0</v>
      </c>
      <c r="K95" s="98" t="str">
        <f>IF(ISEVEN(B95),(B95-1)&amp;"/"&amp;B95,B95&amp;"/"&amp;(B95+1))</f>
        <v>4013/4014</v>
      </c>
      <c r="L95" s="21" t="str">
        <f>VLOOKUP(A95,'Trips&amp;Operators'!$C$1:$G$99999,5,FALSE)</f>
        <v>HELVIE ADAM</v>
      </c>
      <c r="M95" s="6">
        <f>I95-F95</f>
        <v>2.6064814817800652E-2</v>
      </c>
      <c r="N95" s="7">
        <f>24*60*SUM($M95:$M95)</f>
        <v>37.533333337632939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-03-09T12:55:18-0700',mode:absolute,to:'2017-03-09T15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87" t="str">
        <f>IF(AA95&lt;IF(AG95="EC",23,5.65),"Y","N")</f>
        <v>N</v>
      </c>
      <c r="X95" s="187">
        <f>VALUE(LEFT(AD95,4))-VALUE(LEFT(AD94,4))</f>
        <v>1</v>
      </c>
      <c r="Y95" s="62">
        <f>RIGHT(D95,LEN(D95)-4)/10000</f>
        <v>4.5999999999999999E-2</v>
      </c>
      <c r="Z95" s="62">
        <f>RIGHT(H95,LEN(H95)-4)/10000</f>
        <v>23.33</v>
      </c>
      <c r="AA95" s="62">
        <f>ABS(Z95-Y95)</f>
        <v>23.283999999999999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0183-09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/stypes="app*4014*20170309*" /stext=" 21:.+((SYSTEM_STATE.+slice.+state.+changed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183-09 --locoid 4014 --swversion DE.1.0.9.0 --startMP 204:460 --initTime 2017-03-09T13:55:18 --startdatetime 2017-03-09T14:00:22 --delay 1 --endMP 204:233300 --enddatetime 2017-03-09T14:37:54 --enforcementcount 0 &gt;&gt;C:\Users\stu\Documents\GitHub\eaglep3-reporting\EC\2017-03-09-refined-times.txt</v>
      </c>
      <c r="AI9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{"issue":{"subject":"","project_id":79,"tracker_id":40,"status_id":1,"priority_id":2,"assigned_to_id":23,"start_date":"2017-03-09","description":"","custom_fields":[{"id":1,"name":"Subdivision","value":"EC"},{"id":4,"name":"Milepost","value":"23.33"},{"id":17,"name":"Train ID","value":"183-09"},{"id":16,"name":"Locomotive ID","value":"4014"},{"id":130,"name":"Impact","value":""},{"id":150,"name":"Time of Event (Mountain Time)","value":"14:37:54"},{"id":151,"name":"Denver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"/>
        <v>start /low /b %USERPROFILE%\Documents\GitHub\eaglep3\Utilities\DownloadLogsFromS3.py --loco 4014 --day 2017-03-09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731</v>
      </c>
      <c r="B96" s="7">
        <v>4013</v>
      </c>
      <c r="C96" s="21" t="s">
        <v>242</v>
      </c>
      <c r="D96" s="21" t="s">
        <v>438</v>
      </c>
      <c r="E96" s="13">
        <v>42803.61990740741</v>
      </c>
      <c r="F96" s="13">
        <v>42803.622488425928</v>
      </c>
      <c r="G96" s="7">
        <v>1</v>
      </c>
      <c r="H96" s="21" t="s">
        <v>235</v>
      </c>
      <c r="I96" s="13">
        <v>42803.650625000002</v>
      </c>
      <c r="J96" s="7">
        <v>0</v>
      </c>
      <c r="K96" s="98" t="str">
        <f>IF(ISEVEN(B96),(B96-1)&amp;"/"&amp;B96,B96&amp;"/"&amp;(B96+1))</f>
        <v>4013/4014</v>
      </c>
      <c r="L96" s="21" t="str">
        <f>VLOOKUP(A96,'Trips&amp;Operators'!$C$1:$G$99999,5,FALSE)</f>
        <v>HELVIE ADAM</v>
      </c>
      <c r="M96" s="6">
        <f>I96-F96</f>
        <v>2.8136574073869269E-2</v>
      </c>
      <c r="N96" s="7">
        <f>24*60*SUM($M96:$M96)</f>
        <v>40.516666666371748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-03-09T13:52:40-0700',mode:absolute,to:'2017-03-09T16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87" t="str">
        <f>IF(AA96&lt;IF(AG96="EC",23,5.65),"Y","N")</f>
        <v>N</v>
      </c>
      <c r="X96" s="187">
        <f>VALUE(LEFT(AD96,4))-VALUE(LEFT(AD95,4))</f>
        <v>1</v>
      </c>
      <c r="Y96" s="62">
        <f>RIGHT(D96,LEN(D96)-4)/10000</f>
        <v>23.2989</v>
      </c>
      <c r="Z96" s="62">
        <f>RIGHT(H96,LEN(H96)-4)/10000</f>
        <v>1.47E-2</v>
      </c>
      <c r="AA96" s="62">
        <f>ABS(Z96-Y96)</f>
        <v>23.284199999999998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0184-09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/stypes="app*4013*20170309*" /stext=" 22:.+((SYSTEM_STATE.+slice.+state.+changed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184-09 --locoid 4013 --swversion DE.1.0.9.0 --startMP 204:232989 --initTime 2017-03-09T14:52:40 --startdatetime 2017-03-09T14:56:23 --delay 1 --endMP 204:147 --enddatetime 2017-03-09T15:36:54 --enforcementcount 0 &gt;&gt;C:\Users\stu\Documents\GitHub\eaglep3-reporting\EC\2017-03-09-refined-times.txt</v>
      </c>
      <c r="AI9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ID","value":"184-09"},{"id":16,"name":"Locomotive ID","value":"4013"},{"id":130,"name":"Impact","value":""},{"id":150,"name":"Time of Event (Mountain Time)","value":"15:36:54"},{"id":151,"name":"Denver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"/>
        <v>start /low /b %USERPROFILE%\Documents\GitHub\eaglep3\Utilities\DownloadLogsFromS3.py --loco 4013 --day 2017-03-09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726</v>
      </c>
      <c r="B97" s="7">
        <v>4020</v>
      </c>
      <c r="C97" s="21" t="s">
        <v>242</v>
      </c>
      <c r="D97" s="21" t="s">
        <v>216</v>
      </c>
      <c r="E97" s="13">
        <v>42803.590914351851</v>
      </c>
      <c r="F97" s="13">
        <v>42803.594004629631</v>
      </c>
      <c r="G97" s="7">
        <v>1</v>
      </c>
      <c r="H97" s="21" t="s">
        <v>545</v>
      </c>
      <c r="I97" s="13">
        <v>42803.618159722224</v>
      </c>
      <c r="J97" s="7">
        <v>0</v>
      </c>
      <c r="K97" s="98" t="str">
        <f>IF(ISEVEN(B97),(B97-1)&amp;"/"&amp;B97,B97&amp;"/"&amp;(B97+1))</f>
        <v>4019/4020</v>
      </c>
      <c r="L97" s="21" t="str">
        <f>VLOOKUP(A97,'Trips&amp;Operators'!$C$1:$G$99999,5,FALSE)</f>
        <v>BEAM ROSS</v>
      </c>
      <c r="M97" s="6">
        <f>I97-F97</f>
        <v>2.4155092592991423E-2</v>
      </c>
      <c r="N97" s="7">
        <f>24*60*SUM($M97:$M97)</f>
        <v>34.783333333907649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-03-09T13:10:55-0700',mode:absolute,to:'2017-03-09T15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187" t="str">
        <f>IF(AA97&lt;IF(AG97="EC",23,5.65),"Y","N")</f>
        <v>N</v>
      </c>
      <c r="X97" s="187">
        <f>VALUE(LEFT(AD97,4))-VALUE(LEFT(AD96,4))</f>
        <v>1</v>
      </c>
      <c r="Y97" s="62">
        <f>RIGHT(D97,LEN(D97)-4)/10000</f>
        <v>4.5100000000000001E-2</v>
      </c>
      <c r="Z97" s="62">
        <f>RIGHT(H97,LEN(H97)-4)/10000</f>
        <v>23.328800000000001</v>
      </c>
      <c r="AA97" s="62">
        <f>ABS(Z97-Y97)</f>
        <v>23.2837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0185-09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/stypes="app*4020*20170309*" /stext=" 21:.+((SYSTEM_STATE.+slice.+state.+changed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185-09 --locoid 4020 --swversion DE.1.0.9.0 --startMP 204:451 --initTime 2017-03-09T14:10:55 --startdatetime 2017-03-09T14:15:22 --delay 1 --endMP 204:233288 --enddatetime 2017-03-09T14:50:09 --enforcementcount 0 &gt;&gt;C:\Users\stu\Documents\GitHub\eaglep3-reporting\EC\2017-03-09-refined-times.txt</v>
      </c>
      <c r="AI9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{"issue":{"subject":"","project_id":79,"tracker_id":40,"status_id":1,"priority_id":2,"assigned_to_id":23,"start_date":"2017-03-09","description":"","custom_fields":[{"id":1,"name":"Subdivision","value":"EC"},{"id":4,"name":"Milepost","value":"23.3288"},{"id":17,"name":"Train ID","value":"185-09"},{"id":16,"name":"Locomotive ID","value":"4020"},{"id":130,"name":"Impact","value":""},{"id":150,"name":"Time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"/>
        <v>start /low /b %USERPROFILE%\Documents\GitHub\eaglep3\Utilities\DownloadLogsFromS3.py --loco 4020 --day 2017-03-09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733</v>
      </c>
      <c r="B98" s="7">
        <v>4019</v>
      </c>
      <c r="C98" s="21" t="s">
        <v>242</v>
      </c>
      <c r="D98" s="21" t="s">
        <v>282</v>
      </c>
      <c r="E98" s="13">
        <v>42803.625914351855</v>
      </c>
      <c r="F98" s="13">
        <v>42803.632916666669</v>
      </c>
      <c r="G98" s="7">
        <v>1</v>
      </c>
      <c r="H98" s="21" t="s">
        <v>203</v>
      </c>
      <c r="I98" s="13">
        <v>42803.659282407411</v>
      </c>
      <c r="J98" s="7">
        <v>0</v>
      </c>
      <c r="K98" s="98" t="str">
        <f>IF(ISEVEN(B98),(B98-1)&amp;"/"&amp;B98,B98&amp;"/"&amp;(B98+1))</f>
        <v>4019/4020</v>
      </c>
      <c r="L98" s="21" t="str">
        <f>VLOOKUP(A98,'Trips&amp;Operators'!$C$1:$G$99999,5,FALSE)</f>
        <v>BEAM ROSS</v>
      </c>
      <c r="M98" s="6">
        <f>I98-F98</f>
        <v>2.6365740741312038E-2</v>
      </c>
      <c r="N98" s="7">
        <f>24*60*SUM($M98:$M98)</f>
        <v>37.966666667489335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-03-09T14:01:19-0700',mode:absolute,to:'2017-03-09T16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187" t="str">
        <f>IF(AA98&lt;IF(AG98="EC",23,5.65),"Y","N")</f>
        <v>N</v>
      </c>
      <c r="X98" s="187">
        <f>VALUE(LEFT(AD98,4))-VALUE(LEFT(AD97,4))</f>
        <v>1</v>
      </c>
      <c r="Y98" s="62">
        <f>RIGHT(D98,LEN(D98)-4)/10000</f>
        <v>23.2988</v>
      </c>
      <c r="Z98" s="62">
        <f>RIGHT(H98,LEN(H98)-4)/10000</f>
        <v>1.5800000000000002E-2</v>
      </c>
      <c r="AA98" s="62">
        <f>ABS(Z98-Y98)</f>
        <v>23.283000000000001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0186-09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/stypes="app*4019*20170309*" /stext=" 22:.+((SYSTEM_STATE.+slice.+state.+changed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186-09 --locoid 4019 --swversion DE.1.0.9.0 --startMP 204:232988 --initTime 2017-03-09T15:01:19 --startdatetime 2017-03-09T15:11:24 --delay 1 --endMP 204:158 --enddatetime 2017-03-09T15:49:22 --enforcementcount 0 &gt;&gt;C:\Users\stu\Documents\GitHub\eaglep3-reporting\EC\2017-03-09-refined-times.txt</v>
      </c>
      <c r="AI9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ID","value":"186-09"},{"id":16,"name":"Locomotive ID","value":"4019"},{"id":130,"name":"Impact","value":""},{"id":150,"name":"Time of Event (Mountain Time)","value":"15:49:22"},{"id":151,"name":"Denver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"/>
        <v>start /low /b %USERPROFILE%\Documents\GitHub\eaglep3\Utilities\DownloadLogsFromS3.py --loco 4019 --day 2017-03-09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727</v>
      </c>
      <c r="B99" s="7">
        <v>4016</v>
      </c>
      <c r="C99" s="21" t="s">
        <v>242</v>
      </c>
      <c r="D99" s="21" t="s">
        <v>277</v>
      </c>
      <c r="E99" s="13">
        <v>42803.597754629627</v>
      </c>
      <c r="F99" s="13">
        <v>42803.604629629626</v>
      </c>
      <c r="G99" s="7">
        <v>1</v>
      </c>
      <c r="H99" s="21" t="s">
        <v>248</v>
      </c>
      <c r="I99" s="13">
        <v>42803.630520833336</v>
      </c>
      <c r="J99" s="7">
        <v>0</v>
      </c>
      <c r="K99" s="98" t="str">
        <f>IF(ISEVEN(B99),(B99-1)&amp;"/"&amp;B99,B99&amp;"/"&amp;(B99+1))</f>
        <v>4015/4016</v>
      </c>
      <c r="L99" s="21" t="str">
        <f>VLOOKUP(A99,'Trips&amp;Operators'!$C$1:$G$99999,5,FALSE)</f>
        <v>BRANDNER MELINDA</v>
      </c>
      <c r="M99" s="6">
        <f>I99-F99</f>
        <v>2.5891203709761612E-2</v>
      </c>
      <c r="N99" s="7">
        <f>24*60*SUM($M99:$M99)</f>
        <v>37.283333342056721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-03-09T13:20:46-0700',mode:absolute,to:'2017-03-09T16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87" t="str">
        <f>IF(AA99&lt;IF(AG99="EC",23,5.65),"Y","N")</f>
        <v>N</v>
      </c>
      <c r="X99" s="187">
        <f>VALUE(LEFT(AD99,4))-VALUE(LEFT(AD98,4))</f>
        <v>1</v>
      </c>
      <c r="Y99" s="62">
        <f>RIGHT(D99,LEN(D99)-4)/10000</f>
        <v>4.7699999999999999E-2</v>
      </c>
      <c r="Z99" s="62">
        <f>RIGHT(H99,LEN(H99)-4)/10000</f>
        <v>23.329699999999999</v>
      </c>
      <c r="AA99" s="62">
        <f>ABS(Z99-Y99)</f>
        <v>23.282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0187-09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/stypes="app*4016*20170309*" /stext=" 22:.+((SYSTEM_STATE.+slice.+state.+changed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187-09 --locoid 4016 --swversion DE.1.0.9.0 --startMP 204:477 --initTime 2017-03-09T14:20:46 --startdatetime 2017-03-09T14:30:40 --delay 1 --endMP 204:233297 --enddatetime 2017-03-09T15:07:57 --enforcementcount 0 &gt;&gt;C:\Users\stu\Documents\GitHub\eaglep3-reporting\EC\2017-03-09-refined-times.txt</v>
      </c>
      <c r="AI9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{"issue":{"subject":"","project_id":79,"tracker_id":40,"status_id":1,"priority_id":2,"assigned_to_id":23,"start_date":"2017-03-09","description":"","custom_fields":[{"id":1,"name":"Subdivision","value":"EC"},{"id":4,"name":"Milepost","value":"23.3297"},{"id":17,"name":"Train ID","value":"187-09"},{"id":16,"name":"Locomotive ID","value":"4016"},{"id":130,"name":"Impact","value":""},{"id":150,"name":"Time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"/>
        <v>start /low /b %USERPROFILE%\Documents\GitHub\eaglep3\Utilities\DownloadLogsFromS3.py --loco 4016 --day 2017-03-09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598</v>
      </c>
      <c r="B100" s="7">
        <v>4015</v>
      </c>
      <c r="C100" s="21" t="s">
        <v>242</v>
      </c>
      <c r="D100" s="21" t="s">
        <v>837</v>
      </c>
      <c r="E100" s="13">
        <v>42803.63826388889</v>
      </c>
      <c r="F100" s="13">
        <v>42803.643240740741</v>
      </c>
      <c r="G100" s="7">
        <v>1</v>
      </c>
      <c r="H100" s="21" t="s">
        <v>857</v>
      </c>
      <c r="I100" s="13">
        <v>42803.673946759256</v>
      </c>
      <c r="J100" s="7">
        <v>0</v>
      </c>
      <c r="K100" s="98" t="str">
        <f>IF(ISEVEN(B100),(B100-1)&amp;"/"&amp;B100,B100&amp;"/"&amp;(B100+1))</f>
        <v>4015/4016</v>
      </c>
      <c r="L100" s="21" t="str">
        <f>VLOOKUP(A100,'Trips&amp;Operators'!$C$1:$G$99999,5,FALSE)</f>
        <v>BRANDNER MELINDA</v>
      </c>
      <c r="M100" s="6">
        <f>I100-F100</f>
        <v>3.0706018515047617E-2</v>
      </c>
      <c r="N100" s="7">
        <f>24*60*SUM($M100:$M100)</f>
        <v>44.216666661668569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-03-09T14:19:06-0700',mode:absolute,to:'2017-03-09T17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87" t="str">
        <f>IF(AA100&lt;IF(AG100="EC",23,5.65),"Y","N")</f>
        <v>N</v>
      </c>
      <c r="X100" s="187">
        <f>VALUE(LEFT(AD100,4))-VALUE(LEFT(AD99,4))</f>
        <v>1</v>
      </c>
      <c r="Y100" s="62">
        <f>RIGHT(D100,LEN(D100)-4)/10000</f>
        <v>23.298500000000001</v>
      </c>
      <c r="Z100" s="62">
        <f>RIGHT(H100,LEN(H100)-4)/10000</f>
        <v>1.29E-2</v>
      </c>
      <c r="AA100" s="62">
        <f>ABS(Z100-Y100)</f>
        <v>23.285600000000002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0188-09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/stypes="app*4015*20170309*" /stext=" 23:.+((SYSTEM_STATE.+slice.+state.+changed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188-09 --locoid 4015 --swversion DE.1.0.9.0 --startMP 204:232985 --initTime 2017-03-09T15:19:06 --startdatetime 2017-03-09T15:26:16 --delay 1 --endMP 204:129 --enddatetime 2017-03-09T16:10:29 --enforcementcount 0 &gt;&gt;C:\Users\stu\Documents\GitHub\eaglep3-reporting\EC\2017-03-09-refined-times.txt</v>
      </c>
      <c r="AI10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{"issue":{"subject":"","project_id":79,"tracker_id":40,"status_id":1,"priority_id":2,"assigned_to_id":23,"start_date":"2017-03-09","description":"","custom_fields":[{"id":1,"name":"Subdivision","value":"EC"},{"id":4,"name":"Milepost","value":"0.0129"},{"id":17,"name":"Train ID","value":"188-09"},{"id":16,"name":"Locomotive ID","value":"4015"},{"id":130,"name":"Impact","value":""},{"id":150,"name":"Time of Event (Mountain Time)","value":"16:10:29"},{"id":151,"name":"Denver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"/>
        <v>start /low /b %USERPROFILE%\Documents\GitHub\eaglep3\Utilities\DownloadLogsFromS3.py --loco 4015 --day 2017-03-09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730</v>
      </c>
      <c r="B101" s="7">
        <v>4003</v>
      </c>
      <c r="C101" s="21" t="s">
        <v>242</v>
      </c>
      <c r="D101" s="21" t="s">
        <v>269</v>
      </c>
      <c r="E101" s="13">
        <v>42803.611458333333</v>
      </c>
      <c r="F101" s="13">
        <v>42803.614942129629</v>
      </c>
      <c r="G101" s="7">
        <v>2</v>
      </c>
      <c r="H101" s="21" t="s">
        <v>249</v>
      </c>
      <c r="I101" s="13">
        <v>42803.639432870368</v>
      </c>
      <c r="J101" s="7">
        <v>0</v>
      </c>
      <c r="K101" s="98" t="str">
        <f>IF(ISEVEN(B101),(B101-1)&amp;"/"&amp;B101,B101&amp;"/"&amp;(B101+1))</f>
        <v>4003/4004</v>
      </c>
      <c r="L101" s="21" t="str">
        <f>VLOOKUP(A101,'Trips&amp;Operators'!$C$1:$G$99999,5,FALSE)</f>
        <v>MOSES BRADLEY</v>
      </c>
      <c r="M101" s="6">
        <f>I101-F101</f>
        <v>2.4490740739565808E-2</v>
      </c>
      <c r="N101" s="7">
        <f>24*60*SUM($M101:$M101)</f>
        <v>35.266666664974764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-03-09T13:40:30-0700',mode:absolute,to:'2017-03-09T16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1" s="187" t="str">
        <f>IF(AA101&lt;IF(AG101="EC",23,5.65),"Y","N")</f>
        <v>N</v>
      </c>
      <c r="X101" s="187">
        <f>VALUE(LEFT(AD101,4))-VALUE(LEFT(AD100,4))</f>
        <v>1</v>
      </c>
      <c r="Y101" s="62">
        <f>RIGHT(D101,LEN(D101)-4)/10000</f>
        <v>4.4200000000000003E-2</v>
      </c>
      <c r="Z101" s="62">
        <f>RIGHT(H101,LEN(H101)-4)/10000</f>
        <v>23.328900000000001</v>
      </c>
      <c r="AA101" s="62">
        <f>ABS(Z101-Y101)</f>
        <v>23.284700000000001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0189-09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/stypes="app*4003*20170309*" /stext=" 22:.+((SYSTEM_STATE.+slice.+state.+changed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189-09 --locoid 4003 --swversion DE.1.0.9.0 --startMP 204:442 --initTime 2017-03-09T14:40:30 --startdatetime 2017-03-09T14:45:31 --delay 2 --endMP 204:233289 --enddatetime 2017-03-09T15:20:47 --enforcementcount 0 &gt;&gt;C:\Users\stu\Documents\GitHub\eaglep3-reporting\EC\2017-03-09-refined-times.txt</v>
      </c>
      <c r="AI10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ID","value":"189-09"},{"id":16,"name":"Locomotive ID","value":"4003"},{"id":130,"name":"Impact","value":""},{"id":150,"name":"Time of Event (Mountain Time)","value":"15:20:47"},{"id":151,"name":"Denver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"/>
        <v>start /low /b %USERPROFILE%\Documents\GitHub\eaglep3\Utilities\DownloadLogsFromS3.py --loco 4003 --day 2017-03-09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736</v>
      </c>
      <c r="B102" s="7">
        <v>4004</v>
      </c>
      <c r="C102" s="21" t="s">
        <v>242</v>
      </c>
      <c r="D102" s="21" t="s">
        <v>845</v>
      </c>
      <c r="E102" s="13">
        <v>42803.649340277778</v>
      </c>
      <c r="F102" s="13">
        <v>42803.653645833336</v>
      </c>
      <c r="G102" s="7">
        <v>1</v>
      </c>
      <c r="H102" s="21" t="s">
        <v>202</v>
      </c>
      <c r="I102" s="13">
        <v>42803.681064814817</v>
      </c>
      <c r="J102" s="7">
        <v>0</v>
      </c>
      <c r="K102" s="98" t="str">
        <f>IF(ISEVEN(B102),(B102-1)&amp;"/"&amp;B102,B102&amp;"/"&amp;(B102+1))</f>
        <v>4003/4004</v>
      </c>
      <c r="L102" s="21" t="str">
        <f>VLOOKUP(A102,'Trips&amp;Operators'!$C$1:$G$99999,5,FALSE)</f>
        <v>MOSES BRADLEY</v>
      </c>
      <c r="M102" s="6">
        <f>I102-F102</f>
        <v>2.7418981480877846E-2</v>
      </c>
      <c r="N102" s="7">
        <f>24*60*SUM($M102:$M102)</f>
        <v>39.483333332464099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-03-09T14:35:03-0700',mode:absolute,to:'2017-03-09T17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87" t="str">
        <f>IF(AA102&lt;IF(AG102="EC",23,5.65),"Y","N")</f>
        <v>N</v>
      </c>
      <c r="X102" s="187">
        <f>VALUE(LEFT(AD102,4))-VALUE(LEFT(AD101,4))</f>
        <v>1</v>
      </c>
      <c r="Y102" s="62">
        <f>RIGHT(D102,LEN(D102)-4)/10000</f>
        <v>23.2959</v>
      </c>
      <c r="Z102" s="62">
        <f>RIGHT(H102,LEN(H102)-4)/10000</f>
        <v>1.52E-2</v>
      </c>
      <c r="AA102" s="62">
        <f>ABS(Z102-Y102)</f>
        <v>23.2807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0190-09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/stypes="app*4004*20170309*" /stext=" 23:.+((SYSTEM_STATE.+slice.+state.+changed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190-09 --locoid 4004 --swversion DE.1.0.9.0 --startMP 204:232959 --initTime 2017-03-09T15:35:03 --startdatetime 2017-03-09T15:41:15 --delay 1 --endMP 204:152 --enddatetime 2017-03-09T16:20:44 --enforcementcount 0 &gt;&gt;C:\Users\stu\Documents\GitHub\eaglep3-reporting\EC\2017-03-09-refined-times.txt</v>
      </c>
      <c r="AI10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ID","value":"190-09"},{"id":16,"name":"Locomotive ID","value":"4004"},{"id":130,"name":"Impact","value":""},{"id":150,"name":"Time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"/>
        <v>start /low /b %USERPROFILE%\Documents\GitHub\eaglep3\Utilities\DownloadLogsFromS3.py --loco 4004 --day 2017-03-09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732</v>
      </c>
      <c r="B103" s="7">
        <v>4029</v>
      </c>
      <c r="C103" s="21" t="s">
        <v>242</v>
      </c>
      <c r="D103" s="21" t="s">
        <v>263</v>
      </c>
      <c r="E103" s="13">
        <v>42803.621435185189</v>
      </c>
      <c r="F103" s="13">
        <v>42803.625173611108</v>
      </c>
      <c r="G103" s="7">
        <v>1</v>
      </c>
      <c r="H103" s="21" t="s">
        <v>463</v>
      </c>
      <c r="I103" s="13">
        <v>42803.65042824074</v>
      </c>
      <c r="J103" s="7">
        <v>0</v>
      </c>
      <c r="K103" s="98" t="str">
        <f>IF(ISEVEN(B103),(B103-1)&amp;"/"&amp;B103,B103&amp;"/"&amp;(B103+1))</f>
        <v>4029/4030</v>
      </c>
      <c r="L103" s="21" t="str">
        <f>VLOOKUP(A103,'Trips&amp;Operators'!$C$1:$G$99999,5,FALSE)</f>
        <v>BRUDER RICHARD</v>
      </c>
      <c r="M103" s="6">
        <f>I103-F103</f>
        <v>2.5254629632399883E-2</v>
      </c>
      <c r="N103" s="7">
        <f>24*60*SUM($M103:$M103)</f>
        <v>36.366666670655832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-03-09T13:54:52-0700',mode:absolute,to:'2017-03-09T16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87" t="str">
        <f>IF(AA103&lt;IF(AG103="EC",23,5.65),"Y","N")</f>
        <v>N</v>
      </c>
      <c r="X103" s="187">
        <f>VALUE(LEFT(AD103,4))-VALUE(LEFT(AD102,4))</f>
        <v>1</v>
      </c>
      <c r="Y103" s="62">
        <f>RIGHT(D103,LEN(D103)-4)/10000</f>
        <v>4.7300000000000002E-2</v>
      </c>
      <c r="Z103" s="62">
        <f>RIGHT(H103,LEN(H103)-4)/10000</f>
        <v>23.3308</v>
      </c>
      <c r="AA103" s="62">
        <f>ABS(Z103-Y103)</f>
        <v>23.2835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0191-09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/stypes="app*4029*20170309*" /stext=" 22:.+((SYSTEM_STATE.+slice.+state.+changed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191-09 --locoid 4029 --swversion DE.1.0.9.0 --startMP 204:473 --initTime 2017-03-09T14:54:52 --startdatetime 2017-03-09T15:00:15 --delay 1 --endMP 204:233308 --enddatetime 2017-03-09T15:36:37 --enforcementcount 0 &gt;&gt;C:\Users\stu\Documents\GitHub\eaglep3-reporting\EC\2017-03-09-refined-times.txt</v>
      </c>
      <c r="AI10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{"issue":{"subject":"","project_id":79,"tracker_id":40,"status_id":1,"priority_id":2,"assigned_to_id":23,"start_date":"2017-03-09","description":"","custom_fields":[{"id":1,"name":"Subdivision","value":"EC"},{"id":4,"name":"Milepost","value":"23.3308"},{"id":17,"name":"Train ID","value":"191-09"},{"id":16,"name":"Locomotive ID","value":"4029"},{"id":130,"name":"Impact","value":""},{"id":150,"name":"Time of Event (Mountain Time)","value":"15:36:37"},{"id":151,"name":"Denver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"/>
        <v>start /low /b %USERPROFILE%\Documents\GitHub\eaglep3\Utilities\DownloadLogsFromS3.py --loco 4029 --day 2017-03-09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735</v>
      </c>
      <c r="B104" s="7">
        <v>4040</v>
      </c>
      <c r="C104" s="21" t="s">
        <v>242</v>
      </c>
      <c r="D104" s="21" t="s">
        <v>227</v>
      </c>
      <c r="E104" s="13">
        <v>42803.631469907406</v>
      </c>
      <c r="F104" s="13">
        <v>42803.635625000003</v>
      </c>
      <c r="G104" s="7">
        <v>1</v>
      </c>
      <c r="H104" s="21" t="s">
        <v>261</v>
      </c>
      <c r="I104" s="13">
        <v>42803.660821759258</v>
      </c>
      <c r="J104" s="7">
        <v>0</v>
      </c>
      <c r="K104" s="98" t="str">
        <f>IF(ISEVEN(B104),(B104-1)&amp;"/"&amp;B104,B104&amp;"/"&amp;(B104+1))</f>
        <v>4039/4040</v>
      </c>
      <c r="L104" s="21" t="str">
        <f>VLOOKUP(A104,'Trips&amp;Operators'!$C$1:$G$99999,5,FALSE)</f>
        <v>SMITH MICHAEL</v>
      </c>
      <c r="M104" s="6">
        <f>I104-F104</f>
        <v>2.5196759255777579E-2</v>
      </c>
      <c r="N104" s="7">
        <f>24*60*SUM($M104:$M104)</f>
        <v>36.283333328319713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-03-09T14:09:19-0700',mode:absolute,to:'2017-03-09T16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187" t="str">
        <f>IF(AA104&lt;IF(AG104="EC",23,5.65),"Y","N")</f>
        <v>N</v>
      </c>
      <c r="X104" s="187">
        <f>VALUE(LEFT(AD104,4))-VALUE(LEFT(AD103,4))</f>
        <v>2</v>
      </c>
      <c r="Y104" s="62">
        <f>RIGHT(D104,LEN(D104)-4)/10000</f>
        <v>4.5499999999999999E-2</v>
      </c>
      <c r="Z104" s="62">
        <f>RIGHT(H104,LEN(H104)-4)/10000</f>
        <v>23.331199999999999</v>
      </c>
      <c r="AA104" s="62">
        <f>ABS(Z104-Y104)</f>
        <v>23.285699999999999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0193-09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/stypes="app*4040*20170309*"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193-09 --locoid 4040 --swversion DE.1.0.9.0 --startMP 204:455 --initTime 2017-03-09T15:09:19 --startdatetime 2017-03-09T15:15:18 --delay 1 --endMP 204:233312 --enddatetime 2017-03-09T15:51:35 --enforcementcount 0 &gt;&gt;C:\Users\stu\Documents\GitHub\eaglep3-reporting\EC\2017-03-09-refined-times.txt</v>
      </c>
      <c r="AI10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ID","value":"193-09"},{"id":16,"name":"Locomotive ID","value":"4040"},{"id":130,"name":"Impact","value":""},{"id":150,"name":"Time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"/>
        <v>start /low /b %USERPROFILE%\Documents\GitHub\eaglep3\Utilities\DownloadLogsFromS3.py --loco 4040 --day 2017-03-09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741</v>
      </c>
      <c r="B105" s="7">
        <v>4039</v>
      </c>
      <c r="C105" s="21" t="s">
        <v>242</v>
      </c>
      <c r="D105" s="21" t="s">
        <v>843</v>
      </c>
      <c r="E105" s="13">
        <v>42803.66778935185</v>
      </c>
      <c r="F105" s="13">
        <v>42803.674479166664</v>
      </c>
      <c r="G105" s="7">
        <v>1</v>
      </c>
      <c r="H105" s="21" t="s">
        <v>208</v>
      </c>
      <c r="I105" s="13">
        <v>42803.704282407409</v>
      </c>
      <c r="J105" s="7">
        <v>0</v>
      </c>
      <c r="K105" s="98" t="str">
        <f>IF(ISEVEN(B105),(B105-1)&amp;"/"&amp;B105,B105&amp;"/"&amp;(B105+1))</f>
        <v>4039/4040</v>
      </c>
      <c r="L105" s="21" t="str">
        <f>VLOOKUP(A105,'Trips&amp;Operators'!$C$1:$G$99999,5,FALSE)</f>
        <v>SMITH MICHAEL</v>
      </c>
      <c r="M105" s="6">
        <f>I105-F105</f>
        <v>2.980324074451346E-2</v>
      </c>
      <c r="N105" s="7">
        <f>24*60*SUM($M105:$M105)</f>
        <v>42.916666672099382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-03-09T15:01:37-0700',mode:absolute,to:'2017-03-09T17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187" t="str">
        <f>IF(AA105&lt;IF(AG105="EC",23,5.65),"Y","N")</f>
        <v>N</v>
      </c>
      <c r="X105" s="187">
        <f>VALUE(LEFT(AD105,4))-VALUE(LEFT(AD104,4))</f>
        <v>1</v>
      </c>
      <c r="Y105" s="62">
        <f>RIGHT(D105,LEN(D105)-4)/10000</f>
        <v>23.3001</v>
      </c>
      <c r="Z105" s="62">
        <f>RIGHT(H105,LEN(H105)-4)/10000</f>
        <v>1.54E-2</v>
      </c>
      <c r="AA105" s="62">
        <f>ABS(Z105-Y105)</f>
        <v>23.284700000000001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0194-09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/stypes="app*4039*20170309*" /stext=" 23:.+((SYSTEM_STATE.+slice.+state.+changed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194-09 --locoid 4039 --swversion DE.1.0.9.0 --startMP 204:233001 --initTime 2017-03-09T16:01:37 --startdatetime 2017-03-09T16:11:15 --delay 1 --endMP 204:154 --enddatetime 2017-03-09T16:54:10 --enforcementcount 0 &gt;&gt;C:\Users\stu\Documents\GitHub\eaglep3-reporting\EC\2017-03-09-refined-times.txt</v>
      </c>
      <c r="AI10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ID","value":"194-09"},{"id":16,"name":"Locomotive ID","value":"4039"},{"id":130,"name":"Impact","value":""},{"id":150,"name":"Time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"/>
        <v>start /low /b %USERPROFILE%\Documents\GitHub\eaglep3\Utilities\DownloadLogsFromS3.py --loco 4039 --day 2017-03-09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597</v>
      </c>
      <c r="B106" s="7">
        <v>4044</v>
      </c>
      <c r="C106" s="21" t="s">
        <v>242</v>
      </c>
      <c r="D106" s="21" t="s">
        <v>237</v>
      </c>
      <c r="E106" s="13">
        <v>42803.641504629632</v>
      </c>
      <c r="F106" s="13">
        <v>42803.646087962959</v>
      </c>
      <c r="G106" s="7">
        <v>1</v>
      </c>
      <c r="H106" s="21" t="s">
        <v>858</v>
      </c>
      <c r="I106" s="13">
        <v>42803.671574074076</v>
      </c>
      <c r="J106" s="7">
        <v>0</v>
      </c>
      <c r="K106" s="98" t="str">
        <f>IF(ISEVEN(B106),(B106-1)&amp;"/"&amp;B106,B106&amp;"/"&amp;(B106+1))</f>
        <v>4043/4044</v>
      </c>
      <c r="L106" s="21" t="str">
        <f>VLOOKUP(A106,'Trips&amp;Operators'!$C$1:$G$99999,5,FALSE)</f>
        <v>LOCKLEAR TRAVIS</v>
      </c>
      <c r="M106" s="6">
        <f>I106-F106</f>
        <v>2.5486111117061228E-2</v>
      </c>
      <c r="N106" s="7">
        <f>24*60*SUM($M106:$M106)</f>
        <v>36.700000008568168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-03-09T14:23:46-0700',mode:absolute,to:'2017-03-09T17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187" t="str">
        <f>IF(AA106&lt;IF(AG106="EC",23,5.65),"Y","N")</f>
        <v>N</v>
      </c>
      <c r="X106" s="187">
        <f>VALUE(LEFT(AD106,4))-VALUE(LEFT(AD105,4))</f>
        <v>1</v>
      </c>
      <c r="Y106" s="62">
        <f>RIGHT(D106,LEN(D106)-4)/10000</f>
        <v>4.6600000000000003E-2</v>
      </c>
      <c r="Z106" s="62">
        <f>RIGHT(H106,LEN(H106)-4)/10000</f>
        <v>23.334199999999999</v>
      </c>
      <c r="AA106" s="62">
        <f>ABS(Z106-Y106)</f>
        <v>23.287599999999998</v>
      </c>
      <c r="AB106" s="59" t="str">
        <f>VLOOKUP(A106,Enforcements!$C$7:$K$13,8,0)</f>
        <v>Bulletin (2)</v>
      </c>
      <c r="AC106" s="55" t="str">
        <f>VLOOKUP(A106,Enforcements!$C$7:$E$13,3,0)</f>
        <v>GRADE CROSSING</v>
      </c>
      <c r="AD106" s="56" t="str">
        <f>IF(LEN(A106)=6,"0"&amp;A106,A106)</f>
        <v>0195-09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/stypes="app*4044*20170309*" /stext=" 23:.+((SYSTEM_STATE.+slice.+state.+changed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195-09 --locoid 4044 --swversion DE.1.0.9.0 --startMP 204:466 --initTime 2017-03-09T15:23:46 --startdatetime 2017-03-09T15:30:22 --delay 1 --endMP 204:233342 --enddatetime 2017-03-09T16:07:04 --enforcementcount 0 &gt;&gt;C:\Users\stu\Documents\GitHub\eaglep3-reporting\EC\2017-03-09-refined-times.txt</v>
      </c>
      <c r="AI10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{"issue":{"subject":"","project_id":79,"tracker_id":40,"status_id":1,"priority_id":2,"assigned_to_id":23,"start_date":"2017-03-09","description":"","custom_fields":[{"id":1,"name":"Subdivision","value":"EC"},{"id":4,"name":"Milepost","value":"23.3342"},{"id":17,"name":"Train ID","value":"195-09"},{"id":16,"name":"Locomotive ID","value":"4044"},{"id":130,"name":"Impact","value":""},{"id":150,"name":"Time of Event (Mountain Time)","value":"16:07:04"},{"id":151,"name":"Denver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"/>
        <v>start /low /b %USERPROFILE%\Documents\GitHub\eaglep3\Utilities\DownloadLogsFromS3.py --loco 4044 --day 2017-03-09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603</v>
      </c>
      <c r="B107" s="7">
        <v>4043</v>
      </c>
      <c r="C107" s="21" t="s">
        <v>242</v>
      </c>
      <c r="D107" s="21" t="s">
        <v>467</v>
      </c>
      <c r="E107" s="13">
        <v>42803.681990740741</v>
      </c>
      <c r="F107" s="13">
        <v>42803.684895833336</v>
      </c>
      <c r="G107" s="7">
        <v>1</v>
      </c>
      <c r="H107" s="21" t="s">
        <v>859</v>
      </c>
      <c r="I107" s="13">
        <v>42803.715428240743</v>
      </c>
      <c r="J107" s="7">
        <v>0</v>
      </c>
      <c r="K107" s="98" t="str">
        <f>IF(ISEVEN(B107),(B107-1)&amp;"/"&amp;B107,B107&amp;"/"&amp;(B107+1))</f>
        <v>4043/4044</v>
      </c>
      <c r="L107" s="21" t="str">
        <f>VLOOKUP(A107,'Trips&amp;Operators'!$C$1:$G$99999,5,FALSE)</f>
        <v>LOCKLEAR TRAVIS</v>
      </c>
      <c r="M107" s="6">
        <f>I107-F107</f>
        <v>3.0532407407008577E-2</v>
      </c>
      <c r="N107" s="7">
        <f>24*60*SUM($M107:$M107)</f>
        <v>43.966666666092351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-03-09T15:22:04-0700',mode:absolute,to:'2017-03-09T18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187" t="str">
        <f>IF(AA107&lt;IF(AG107="EC",23,5.65),"Y","N")</f>
        <v>N</v>
      </c>
      <c r="X107" s="187">
        <f>VALUE(LEFT(AD107,4))-VALUE(LEFT(AD106,4))</f>
        <v>1</v>
      </c>
      <c r="Y107" s="62">
        <f>RIGHT(D107,LEN(D107)-4)/10000</f>
        <v>23.303000000000001</v>
      </c>
      <c r="Z107" s="62">
        <f>RIGHT(H107,LEN(H107)-4)/10000</f>
        <v>2.1399999999999999E-2</v>
      </c>
      <c r="AA107" s="62">
        <f>ABS(Z107-Y107)</f>
        <v>23.281600000000001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0196-09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/stypes="app*4043*20170310*" /stext=" 00:.+((SYSTEM_STATE.+slice.+state.+changed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196-09 --locoid 4043 --swversion DE.1.0.9.0 --startMP 204:233030 --initTime 2017-03-09T16:22:04 --startdatetime 2017-03-09T16:26:15 --delay 1 --endMP 204:214 --enddatetime 2017-03-09T17:10:13 --enforcementcount 0 &gt;&gt;C:\Users\stu\Documents\GitHub\eaglep3-reporting\EC\2017-03-09-refined-times.txt</v>
      </c>
      <c r="AI10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{"issue":{"subject":"","project_id":79,"tracker_id":40,"status_id":1,"priority_id":2,"assigned_to_id":23,"start_date":"2017-03-09","description":"","custom_fields":[{"id":1,"name":"Subdivision","value":"EC"},{"id":4,"name":"Milepost","value":"0.0214"},{"id":17,"name":"Train ID","value":"196-09"},{"id":16,"name":"Locomotive ID","value":"4043"},{"id":130,"name":"Impact","value":""},{"id":150,"name":"Time of Event (Mountain Time)","value":"17:10:13"},{"id":151,"name":"Denver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"/>
        <v>start /low /b %USERPROFILE%\Documents\GitHub\eaglep3\Utilities\DownloadLogsFromS3.py --loco 4043 --day 2017-03-09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738</v>
      </c>
      <c r="B108" s="7">
        <v>4014</v>
      </c>
      <c r="C108" s="21" t="s">
        <v>242</v>
      </c>
      <c r="D108" s="21" t="s">
        <v>234</v>
      </c>
      <c r="E108" s="13">
        <v>42803.65415509259</v>
      </c>
      <c r="F108" s="13">
        <v>42803.656597222223</v>
      </c>
      <c r="G108" s="7">
        <v>1</v>
      </c>
      <c r="H108" s="21" t="s">
        <v>860</v>
      </c>
      <c r="I108" s="13">
        <v>42803.682939814818</v>
      </c>
      <c r="J108" s="7">
        <v>0</v>
      </c>
      <c r="K108" s="98" t="str">
        <f>IF(ISEVEN(B108),(B108-1)&amp;"/"&amp;B108,B108&amp;"/"&amp;(B108+1))</f>
        <v>4013/4014</v>
      </c>
      <c r="L108" s="21" t="str">
        <f>VLOOKUP(A108,'Trips&amp;Operators'!$C$1:$G$99999,5,FALSE)</f>
        <v>HELVIE ADAM</v>
      </c>
      <c r="M108" s="6">
        <f>I108-F108</f>
        <v>2.6342592595028691E-2</v>
      </c>
      <c r="N108" s="7">
        <f>24*60*SUM($M108:$M108)</f>
        <v>37.933333336841315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-03-09T14:41:59-0700',mode:absolute,to:'2017-03-09T17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7" t="str">
        <f>IF(AA108&lt;IF(AG108="EC",23,5.65),"Y","N")</f>
        <v>N</v>
      </c>
      <c r="X108" s="187">
        <f>VALUE(LEFT(AD108,4))-VALUE(LEFT(AD107,4))</f>
        <v>1</v>
      </c>
      <c r="Y108" s="62">
        <f>RIGHT(D108,LEN(D108)-4)/10000</f>
        <v>4.4400000000000002E-2</v>
      </c>
      <c r="Z108" s="62">
        <f>RIGHT(H108,LEN(H108)-4)/10000</f>
        <v>23.3337</v>
      </c>
      <c r="AA108" s="62">
        <f>ABS(Z108-Y108)</f>
        <v>23.289300000000001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0197-09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/stypes="app*4014*20170309*" /stext=" 23:.+((SYSTEM_STATE.+slice.+state.+changed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197-09 --locoid 4014 --swversion DE.1.0.9.0 --startMP 204:444 --initTime 2017-03-09T15:41:59 --startdatetime 2017-03-09T15:45:30 --delay 1 --endMP 204:233337 --enddatetime 2017-03-09T16:23:26 --enforcementcount 0 &gt;&gt;C:\Users\stu\Documents\GitHub\eaglep3-reporting\EC\2017-03-09-refined-times.txt</v>
      </c>
      <c r="AI10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{"issue":{"subject":"","project_id":79,"tracker_id":40,"status_id":1,"priority_id":2,"assigned_to_id":23,"start_date":"2017-03-09","description":"","custom_fields":[{"id":1,"name":"Subdivision","value":"EC"},{"id":4,"name":"Milepost","value":"23.3337"},{"id":17,"name":"Train ID","value":"197-09"},{"id":16,"name":"Locomotive ID","value":"4014"},{"id":130,"name":"Impact","value":""},{"id":150,"name":"Time of Event (Mountain Time)","value":"16:23:26"},{"id":151,"name":"Denver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"/>
        <v>start /low /b %USERPROFILE%\Documents\GitHub\eaglep3\Utilities\DownloadLogsFromS3.py --loco 4014 --day 2017-03-09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605</v>
      </c>
      <c r="B109" s="7">
        <v>4013</v>
      </c>
      <c r="C109" s="21" t="s">
        <v>242</v>
      </c>
      <c r="D109" s="21" t="s">
        <v>542</v>
      </c>
      <c r="E109" s="13">
        <v>42803.693055555559</v>
      </c>
      <c r="F109" s="13">
        <v>42803.695486111108</v>
      </c>
      <c r="G109" s="7">
        <v>1</v>
      </c>
      <c r="H109" s="21" t="s">
        <v>546</v>
      </c>
      <c r="I109" s="13">
        <v>42803.724224537036</v>
      </c>
      <c r="J109" s="7">
        <v>0</v>
      </c>
      <c r="K109" s="98" t="str">
        <f>IF(ISEVEN(B109),(B109-1)&amp;"/"&amp;B109,B109&amp;"/"&amp;(B109+1))</f>
        <v>4013/4014</v>
      </c>
      <c r="L109" s="21" t="str">
        <f>VLOOKUP(A109,'Trips&amp;Operators'!$C$1:$G$99999,5,FALSE)</f>
        <v>HELVIE ADAM</v>
      </c>
      <c r="M109" s="6">
        <f>I109-F109</f>
        <v>2.8738425928167999E-2</v>
      </c>
      <c r="N109" s="7">
        <f>24*60*SUM($M109:$M109)</f>
        <v>41.383333336561918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-03-09T15:38:00-0700',mode:absolute,to:'2017-03-09T18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7" t="str">
        <f>IF(AA109&lt;IF(AG109="EC",23,5.65),"Y","N")</f>
        <v>N</v>
      </c>
      <c r="X109" s="187">
        <f>VALUE(LEFT(AD109,4))-VALUE(LEFT(AD108,4))</f>
        <v>1</v>
      </c>
      <c r="Y109" s="62">
        <f>RIGHT(D109,LEN(D109)-4)/10000</f>
        <v>23.299600000000002</v>
      </c>
      <c r="Z109" s="62">
        <f>RIGHT(H109,LEN(H109)-4)/10000</f>
        <v>1.6500000000000001E-2</v>
      </c>
      <c r="AA109" s="62">
        <f>ABS(Z109-Y109)</f>
        <v>23.283100000000001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0198-09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/stypes="app*4013*20170310*" /stext=" 00:.+((SYSTEM_STATE.+slice.+state.+changed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198-09 --locoid 4013 --swversion DE.1.0.9.0 --startMP 204:232996 --initTime 2017-03-09T16:38:00 --startdatetime 2017-03-09T16:41:30 --delay 1 --endMP 204:165 --enddatetime 2017-03-09T17:22:53 --enforcementcount 0 &gt;&gt;C:\Users\stu\Documents\GitHub\eaglep3-reporting\EC\2017-03-09-refined-times.txt</v>
      </c>
      <c r="AI10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ID","value":"198-09"},{"id":16,"name":"Locomotive ID","value":"4013"},{"id":130,"name":"Impact","value":""},{"id":150,"name":"Time of Event (Mountain Time)","value":"17:22:53"},{"id":151,"name":"Denver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"/>
        <v>start /low /b %USERPROFILE%\Documents\GitHub\eaglep3\Utilities\DownloadLogsFromS3.py --loco 4013 --day 2017-03-09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"%USERPROFILE%\AppData\Local\Temp\OnboardLogs"\RTDC4013\*4013*20170310* | grep -SE "(Enforcement Action)|(\[TIMEOUT)|(CHR.+\|PRM\|1\|D.+(SWITCH|SIGNAL).+UNKNOWN)" - &gt;&gt; 2017-03-09-UncaughtWiMAX.txt</v>
      </c>
    </row>
    <row r="110" spans="1:91" s="20" customFormat="1" x14ac:dyDescent="0.25">
      <c r="A110" s="33" t="s">
        <v>740</v>
      </c>
      <c r="B110" s="7">
        <v>4020</v>
      </c>
      <c r="C110" s="21" t="s">
        <v>242</v>
      </c>
      <c r="D110" s="21" t="s">
        <v>230</v>
      </c>
      <c r="E110" s="13">
        <v>42803.660694444443</v>
      </c>
      <c r="F110" s="13">
        <v>42803.666909722226</v>
      </c>
      <c r="G110" s="7">
        <v>1</v>
      </c>
      <c r="H110" s="21" t="s">
        <v>250</v>
      </c>
      <c r="I110" s="13">
        <v>42803.694837962961</v>
      </c>
      <c r="J110" s="7">
        <v>0</v>
      </c>
      <c r="K110" s="98" t="str">
        <f>IF(ISEVEN(B110),(B110-1)&amp;"/"&amp;B110,B110&amp;"/"&amp;(B110+1))</f>
        <v>4019/4020</v>
      </c>
      <c r="L110" s="21" t="str">
        <f>VLOOKUP(A110,'Trips&amp;Operators'!$C$1:$G$99999,5,FALSE)</f>
        <v>CLARK KATHLEEN</v>
      </c>
      <c r="M110" s="6">
        <f>I110-F110</f>
        <v>2.7928240735491272E-2</v>
      </c>
      <c r="N110" s="7">
        <f>24*60*SUM($M110:$M110)</f>
        <v>40.216666659107432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-03-09T14:51:24-0700',mode:absolute,to:'2017-03-09T17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0" s="187" t="str">
        <f>IF(AA110&lt;IF(AG110="EC",23,5.65),"Y","N")</f>
        <v>N</v>
      </c>
      <c r="X110" s="187">
        <f>VALUE(LEFT(AD110,4))-VALUE(LEFT(AD109,4))</f>
        <v>1</v>
      </c>
      <c r="Y110" s="62">
        <f>RIGHT(D110,LEN(D110)-4)/10000</f>
        <v>4.3999999999999997E-2</v>
      </c>
      <c r="Z110" s="62">
        <f>RIGHT(H110,LEN(H110)-4)/10000</f>
        <v>23.330400000000001</v>
      </c>
      <c r="AA110" s="62">
        <f>ABS(Z110-Y110)</f>
        <v>23.2864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0199-09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/stypes="app*4020*20170309*"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199-09 --locoid 4020 --swversion DE.1.0.9.0 --startMP 204:440 --initTime 2017-03-09T15:51:24 --startdatetime 2017-03-09T16:00:21 --delay 1 --endMP 204:233304 --enddatetime 2017-03-09T16:40:34 --enforcementcount 0 &gt;&gt;C:\Users\stu\Documents\GitHub\eaglep3-reporting\EC\2017-03-09-refined-times.txt</v>
      </c>
      <c r="AI11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ID","value":"199-09"},{"id":16,"name":"Locomotive ID","value":"4020"},{"id":130,"name":"Impact","value":""},{"id":150,"name":"Time of Event (Mountain Time)","value":"16:40:34"},{"id":151,"name":"Denver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"/>
        <v>start /low /b %USERPROFILE%\Documents\GitHub\eaglep3\Utilities\DownloadLogsFromS3.py --loco 4020 --day 2017-03-09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747</v>
      </c>
      <c r="B111" s="7">
        <v>4019</v>
      </c>
      <c r="C111" s="21" t="s">
        <v>242</v>
      </c>
      <c r="D111" s="21" t="s">
        <v>542</v>
      </c>
      <c r="E111" s="13">
        <v>42803.701805555553</v>
      </c>
      <c r="F111" s="13">
        <v>42803.705729166664</v>
      </c>
      <c r="G111" s="7">
        <v>1</v>
      </c>
      <c r="H111" s="21" t="s">
        <v>861</v>
      </c>
      <c r="I111" s="13">
        <v>42803.734432870369</v>
      </c>
      <c r="J111" s="7">
        <v>0</v>
      </c>
      <c r="K111" s="98" t="str">
        <f>IF(ISEVEN(B111),(B111-1)&amp;"/"&amp;B111,B111&amp;"/"&amp;(B111+1))</f>
        <v>4019/4020</v>
      </c>
      <c r="L111" s="21" t="str">
        <f>VLOOKUP(A111,'Trips&amp;Operators'!$C$1:$G$99999,5,FALSE)</f>
        <v>CLARK KATHLEEN</v>
      </c>
      <c r="M111" s="6">
        <f>I111-F111</f>
        <v>2.8703703705104999E-2</v>
      </c>
      <c r="N111" s="7">
        <f>24*60*SUM($M111:$M111)</f>
        <v>41.333333335351199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-09T15:50:36-0700',mode:absolute,to:'2017-03-09T18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187" t="str">
        <f>IF(AA111&lt;IF(AG111="EC",23,5.65),"Y","N")</f>
        <v>N</v>
      </c>
      <c r="X111" s="187">
        <f>VALUE(LEFT(AD111,4))-VALUE(LEFT(AD110,4))</f>
        <v>1</v>
      </c>
      <c r="Y111" s="62">
        <f>RIGHT(D111,LEN(D111)-4)/10000</f>
        <v>23.299600000000002</v>
      </c>
      <c r="Z111" s="62">
        <f>RIGHT(H111,LEN(H111)-4)/10000</f>
        <v>1.9800000000000002E-2</v>
      </c>
      <c r="AA111" s="62">
        <f>ABS(Z111-Y111)</f>
        <v>23.279800000000002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0200-09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/stypes="app*4019*20170310*" /stext=" 00:.+((SYSTEM_STATE.+slice.+state.+changed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200-09 --locoid 4019 --swversion DE.1.0.9.0 --startMP 204:232996 --initTime 2017-03-09T16:50:36 --startdatetime 2017-03-09T16:56:15 --delay 1 --endMP 204:198 --enddatetime 2017-03-09T17:37:35 --enforcementcount 0 &gt;&gt;C:\Users\stu\Documents\GitHub\eaglep3-reporting\EC\2017-03-09-refined-times.txt</v>
      </c>
      <c r="AI11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{"issue":{"subject":"","project_id":79,"tracker_id":40,"status_id":1,"priority_id":2,"assigned_to_id":23,"start_date":"2017-03-09","description":"","custom_fields":[{"id":1,"name":"Subdivision","value":"EC"},{"id":4,"name":"Milepost","value":"0.0198"},{"id":17,"name":"Train ID","value":"200-09"},{"id":16,"name":"Locomotive ID","value":"4019"},{"id":130,"name":"Impact","value":""},{"id":150,"name":"Time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8"/>
        <v>start /low /b %USERPROFILE%\Documents\GitHub\eaglep3\Utilities\DownloadLogsFromS3.py --loco 4019 --day 2017-03-09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</row>
    <row r="112" spans="1:91" s="20" customFormat="1" x14ac:dyDescent="0.25">
      <c r="A112" s="33" t="s">
        <v>744</v>
      </c>
      <c r="B112" s="7">
        <v>4016</v>
      </c>
      <c r="C112" s="21" t="s">
        <v>242</v>
      </c>
      <c r="D112" s="21" t="s">
        <v>234</v>
      </c>
      <c r="E112" s="13">
        <v>42803.675543981481</v>
      </c>
      <c r="F112" s="13">
        <v>42803.677442129629</v>
      </c>
      <c r="G112" s="7">
        <v>1</v>
      </c>
      <c r="H112" s="21" t="s">
        <v>285</v>
      </c>
      <c r="I112" s="13">
        <v>42803.704988425925</v>
      </c>
      <c r="J112" s="7">
        <v>0</v>
      </c>
      <c r="K112" s="98" t="str">
        <f>IF(ISEVEN(B112),(B112-1)&amp;"/"&amp;B112,B112&amp;"/"&amp;(B112+1))</f>
        <v>4015/4016</v>
      </c>
      <c r="L112" s="21" t="str">
        <f>VLOOKUP(A112,'Trips&amp;Operators'!$C$1:$G$99999,5,FALSE)</f>
        <v>BRANDNER MELINDA</v>
      </c>
      <c r="M112" s="6">
        <f>I112-F112</f>
        <v>2.7546296296350192E-2</v>
      </c>
      <c r="N112" s="7">
        <f>24*60*SUM($M112:$M112)</f>
        <v>39.666666666744277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-03-09T15:12:47-0700',mode:absolute,to:'2017-03-09T17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87" t="str">
        <f>IF(AA112&lt;IF(AG112="EC",23,5.65),"Y","N")</f>
        <v>N</v>
      </c>
      <c r="X112" s="187">
        <f>VALUE(LEFT(AD112,4))-VALUE(LEFT(AD111,4))</f>
        <v>1</v>
      </c>
      <c r="Y112" s="62">
        <f>RIGHT(D112,LEN(D112)-4)/10000</f>
        <v>4.4400000000000002E-2</v>
      </c>
      <c r="Z112" s="62">
        <f>RIGHT(H112,LEN(H112)-4)/10000</f>
        <v>23.330300000000001</v>
      </c>
      <c r="AA112" s="62">
        <f>ABS(Z112-Y112)</f>
        <v>23.285900000000002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0201-09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/stypes="app*4016*20170309*"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201-09 --locoid 4016 --swversion DE.1.0.9.0 --startMP 204:444 --initTime 2017-03-09T16:12:47 --startdatetime 2017-03-09T16:15:31 --delay 1 --endMP 204:233303 --enddatetime 2017-03-09T16:55:11 --enforcementcount 0 &gt;&gt;C:\Users\stu\Documents\GitHub\eaglep3-reporting\EC\2017-03-09-refined-times.txt</v>
      </c>
      <c r="AI11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{"issue":{"subject":"","project_id":79,"tracker_id":40,"status_id":1,"priority_id":2,"assigned_to_id":23,"start_date":"2017-03-09","description":"","custom_fields":[{"id":1,"name":"Subdivision","value":"EC"},{"id":4,"name":"Milepost","value":"23.3303"},{"id":17,"name":"Train ID","value":"201-09"},{"id":16,"name":"Locomotive ID","value":"4016"},{"id":130,"name":"Impact","value":""},{"id":150,"name":"Time of Event (Mountain Time)","value":"16:55:11"},{"id":151,"name":"Denver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"/>
        <v>start /low /b %USERPROFILE%\Documents\GitHub\eaglep3\Utilities\DownloadLogsFromS3.py --loco 4016 --day 2017-03-09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749</v>
      </c>
      <c r="B113" s="7">
        <v>4015</v>
      </c>
      <c r="C113" s="21" t="s">
        <v>242</v>
      </c>
      <c r="D113" s="21" t="s">
        <v>862</v>
      </c>
      <c r="E113" s="13">
        <v>42803.710277777776</v>
      </c>
      <c r="F113" s="13">
        <v>42803.716145833336</v>
      </c>
      <c r="G113" s="7">
        <v>1</v>
      </c>
      <c r="H113" s="21" t="s">
        <v>184</v>
      </c>
      <c r="I113" s="13">
        <v>42803.746296296296</v>
      </c>
      <c r="J113" s="7">
        <v>0</v>
      </c>
      <c r="K113" s="98" t="str">
        <f>IF(ISEVEN(B113),(B113-1)&amp;"/"&amp;B113,B113&amp;"/"&amp;(B113+1))</f>
        <v>4015/4016</v>
      </c>
      <c r="L113" s="21" t="str">
        <f>VLOOKUP(A113,'Trips&amp;Operators'!$C$1:$G$99999,5,FALSE)</f>
        <v>BRANDNER MELINDA</v>
      </c>
      <c r="M113" s="6">
        <f>I113-F113</f>
        <v>3.015046296059154E-2</v>
      </c>
      <c r="N113" s="7">
        <f>24*60*SUM($M113:$M113)</f>
        <v>43.416666663251817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-03-09T16:02:48-0700',mode:absolute,to:'2017-03-09T18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87" t="str">
        <f>IF(AA113&lt;IF(AG113="EC",23,5.65),"Y","N")</f>
        <v>N</v>
      </c>
      <c r="X113" s="187">
        <f>VALUE(LEFT(AD113,4))-VALUE(LEFT(AD112,4))</f>
        <v>1</v>
      </c>
      <c r="Y113" s="62">
        <f>RIGHT(D113,LEN(D113)-4)/10000</f>
        <v>23.3005</v>
      </c>
      <c r="Z113" s="62">
        <f>RIGHT(H113,LEN(H113)-4)/10000</f>
        <v>1.49E-2</v>
      </c>
      <c r="AA113" s="62">
        <f>ABS(Z113-Y113)</f>
        <v>23.285599999999999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0202-09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/stypes="app*4015*20170310*" /stext=" 00:.+((SYSTEM_STATE.+slice.+state.+changed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202-09 --locoid 4015 --swversion DE.1.0.9.0 --startMP 204:233005 --initTime 2017-03-09T17:02:48 --startdatetime 2017-03-09T17:11:15 --delay 1 --endMP 204:149 --enddatetime 2017-03-09T17:54:40 --enforcementcount 0 &gt;&gt;C:\Users\stu\Documents\GitHub\eaglep3-reporting\EC\2017-03-09-refined-times.txt</v>
      </c>
      <c r="AI11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ID","value":"202-09"},{"id":16,"name":"Locomotive ID","value":"4015"},{"id":130,"name":"Impact","value":""},{"id":150,"name":"Time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"/>
        <v>start /low /b %USERPROFILE%\Documents\GitHub\eaglep3\Utilities\DownloadLogsFromS3.py --loco 4015 --day 2017-03-09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"%USERPROFILE%\AppData\Local\Temp\OnboardLogs"\RTDC4015\*4015*20170310* | grep -SE "(Enforcement Action)|(\[TIMEOUT)|(CHR.+\|PRM\|1\|D.+(SWITCH|SIGNAL).+UNKNOWN)" - &gt;&gt; 2017-03-09-UncaughtWiMAX.txt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745</v>
      </c>
      <c r="B114" s="7">
        <v>4003</v>
      </c>
      <c r="C114" s="21" t="s">
        <v>242</v>
      </c>
      <c r="D114" s="21" t="s">
        <v>269</v>
      </c>
      <c r="E114" s="13">
        <v>42803.684305555558</v>
      </c>
      <c r="F114" s="13">
        <v>42803.6877662037</v>
      </c>
      <c r="G114" s="7">
        <v>1</v>
      </c>
      <c r="H114" s="21" t="s">
        <v>863</v>
      </c>
      <c r="I114" s="13">
        <v>42803.712870370371</v>
      </c>
      <c r="J114" s="7">
        <v>0</v>
      </c>
      <c r="K114" s="98" t="str">
        <f>IF(ISEVEN(B114),(B114-1)&amp;"/"&amp;B114,B114&amp;"/"&amp;(B114+1))</f>
        <v>4003/4004</v>
      </c>
      <c r="L114" s="21" t="str">
        <f>VLOOKUP(A114,'Trips&amp;Operators'!$C$1:$G$99999,5,FALSE)</f>
        <v>MOSES BRADLEY</v>
      </c>
      <c r="M114" s="6">
        <f>I114-F114</f>
        <v>2.510416667064419E-2</v>
      </c>
      <c r="N114" s="7">
        <f>24*60*SUM($M114:$M114)</f>
        <v>36.150000005727634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-03-09T15:25:24-0700',mode:absolute,to:'2017-03-09T18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4" s="187" t="str">
        <f>IF(AA114&lt;IF(AG114="EC",23,5.65),"Y","N")</f>
        <v>N</v>
      </c>
      <c r="X114" s="187">
        <f>VALUE(LEFT(AD114,4))-VALUE(LEFT(AD113,4))</f>
        <v>1</v>
      </c>
      <c r="Y114" s="62">
        <f>RIGHT(D114,LEN(D114)-4)/10000</f>
        <v>4.4200000000000003E-2</v>
      </c>
      <c r="Z114" s="62">
        <f>RIGHT(H114,LEN(H114)-4)/10000</f>
        <v>23.333100000000002</v>
      </c>
      <c r="AA114" s="62">
        <f>ABS(Z114-Y114)</f>
        <v>23.288900000000002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0203-09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/stypes="app*4003*20170310*" /stext=" 00:.+((SYSTEM_STATE.+slice.+state.+changed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203-09 --locoid 4003 --swversion DE.1.0.9.0 --startMP 204:442 --initTime 2017-03-09T16:25:24 --startdatetime 2017-03-09T16:30:23 --delay 1 --endMP 204:233331 --enddatetime 2017-03-09T17:06:32 --enforcementcount 0 &gt;&gt;C:\Users\stu\Documents\GitHub\eaglep3-reporting\EC\2017-03-09-refined-times.txt</v>
      </c>
      <c r="AI11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{"issue":{"subject":"","project_id":79,"tracker_id":40,"status_id":1,"priority_id":2,"assigned_to_id":23,"start_date":"2017-03-09","description":"","custom_fields":[{"id":1,"name":"Subdivision","value":"EC"},{"id":4,"name":"Milepost","value":"23.3331"},{"id":17,"name":"Train ID","value":"203-09"},{"id":16,"name":"Locomotive ID","value":"4003"},{"id":130,"name":"Impact","value":""},{"id":150,"name":"Time of Event (Mountain Time)","value":"17:06:32"},{"id":151,"name":"Denver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"/>
        <v>start /low /b %USERPROFILE%\Documents\GitHub\eaglep3\Utilities\DownloadLogsFromS3.py --loco 4003 --day 2017-03-09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753</v>
      </c>
      <c r="B115" s="7">
        <v>4004</v>
      </c>
      <c r="C115" s="21" t="s">
        <v>242</v>
      </c>
      <c r="D115" s="21" t="s">
        <v>541</v>
      </c>
      <c r="E115" s="13">
        <v>42803.722395833334</v>
      </c>
      <c r="F115" s="13">
        <v>42803.726620370369</v>
      </c>
      <c r="G115" s="7">
        <v>0</v>
      </c>
      <c r="H115" s="21" t="s">
        <v>232</v>
      </c>
      <c r="I115" s="13">
        <v>42803.755289351851</v>
      </c>
      <c r="J115" s="7">
        <v>0</v>
      </c>
      <c r="K115" s="98" t="str">
        <f>IF(ISEVEN(B115),(B115-1)&amp;"/"&amp;B115,B115&amp;"/"&amp;(B115+1))</f>
        <v>4003/4004</v>
      </c>
      <c r="L115" s="21" t="str">
        <f>VLOOKUP(A115,'Trips&amp;Operators'!$C$1:$G$99999,5,FALSE)</f>
        <v>MOSES BRADLEY</v>
      </c>
      <c r="M115" s="6">
        <f>I115-F115</f>
        <v>2.8668981482042E-2</v>
      </c>
      <c r="N115" s="7">
        <f>24*60*SUM($M115:$M115)</f>
        <v>41.28333333414048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-03-09T16:20:15-0700',mode:absolute,to:'2017-03-09T19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87" t="str">
        <f>IF(AA115&lt;IF(AG115="EC",23,5.65),"Y","N")</f>
        <v>N</v>
      </c>
      <c r="X115" s="187">
        <f>VALUE(LEFT(AD115,4))-VALUE(LEFT(AD114,4))</f>
        <v>1</v>
      </c>
      <c r="Y115" s="62">
        <f>RIGHT(D115,LEN(D115)-4)/10000</f>
        <v>23.3002</v>
      </c>
      <c r="Z115" s="62">
        <f>RIGHT(H115,LEN(H115)-4)/10000</f>
        <v>1.5599999999999999E-2</v>
      </c>
      <c r="AA115" s="62">
        <f>ABS(Z115-Y115)</f>
        <v>23.284600000000001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0204-09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/stypes="app*4004*20170310*" /stext=" 01:.+((SYSTEM_STATE.+slice.+state.+changed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204-09 --locoid 4004 --swversion DE.1.0.9.0 --startMP 204:233002 --initTime 2017-03-09T17:20:15 --startdatetime 2017-03-09T17:26:20 --delay 0 --endMP 204:156 --enddatetime 2017-03-09T18:07:37 --enforcementcount 0 &gt;&gt;C:\Users\stu\Documents\GitHub\eaglep3-reporting\EC\2017-03-09-refined-times.txt</v>
      </c>
      <c r="AI11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ID","value":"204-09"},{"id":16,"name":"Locomotive ID","value":"4004"},{"id":130,"name":"Impact","value":""},{"id":150,"name":"Time of Event (Mountain Time)","value":"18:07:37"},{"id":151,"name":"Denver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"/>
        <v>start /low /b %USERPROFILE%\Documents\GitHub\eaglep3\Utilities\DownloadLogsFromS3.py --loco 4004 --day 2017-03-09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604</v>
      </c>
      <c r="B116" s="7">
        <v>4018</v>
      </c>
      <c r="C116" s="21" t="s">
        <v>242</v>
      </c>
      <c r="D116" s="21" t="s">
        <v>217</v>
      </c>
      <c r="E116" s="13">
        <v>42803.688356481478</v>
      </c>
      <c r="F116" s="13">
        <v>42803.698159722226</v>
      </c>
      <c r="G116" s="7">
        <v>3</v>
      </c>
      <c r="H116" s="21" t="s">
        <v>864</v>
      </c>
      <c r="I116" s="13">
        <v>42803.724965277775</v>
      </c>
      <c r="J116" s="7">
        <v>0</v>
      </c>
      <c r="K116" s="98" t="str">
        <f>IF(ISEVEN(B116),(B116-1)&amp;"/"&amp;B116,B116&amp;"/"&amp;(B116+1))</f>
        <v>4017/4018</v>
      </c>
      <c r="L116" s="21" t="str">
        <f>VLOOKUP(A116,'Trips&amp;Operators'!$C$1:$G$99999,5,FALSE)</f>
        <v>STRICKLAND EVAN</v>
      </c>
      <c r="M116" s="6">
        <f>I116-F116</f>
        <v>2.6805555549799465E-2</v>
      </c>
      <c r="N116" s="7">
        <f>24*60*SUM($M116:$M116)</f>
        <v>38.599999991711229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-03-09T15:31:14-0700',mode:absolute,to:'2017-03-09T18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187" t="str">
        <f>IF(AA116&lt;IF(AG116="EC",23,5.65),"Y","N")</f>
        <v>N</v>
      </c>
      <c r="X116" s="187">
        <f>VALUE(LEFT(AD116,4))-VALUE(LEFT(AD115,4))</f>
        <v>1</v>
      </c>
      <c r="Y116" s="62">
        <f>RIGHT(D116,LEN(D116)-4)/10000</f>
        <v>4.5699999999999998E-2</v>
      </c>
      <c r="Z116" s="62">
        <f>RIGHT(H116,LEN(H116)-4)/10000</f>
        <v>23.3322</v>
      </c>
      <c r="AA116" s="62">
        <f>ABS(Z116-Y116)</f>
        <v>23.2865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0205-09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/stypes="app*4018*20170310*"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205-09 --locoid 4018 --swversion DE.1.0.9.0 --startMP 204:457 --initTime 2017-03-09T16:31:14 --startdatetime 2017-03-09T16:45:21 --delay 3 --endMP 204:233322 --enddatetime 2017-03-09T17:23:57 --enforcementcount 0 &gt;&gt;C:\Users\stu\Documents\GitHub\eaglep3-reporting\EC\2017-03-09-refined-times.txt</v>
      </c>
      <c r="AI11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{"issue":{"subject":"","project_id":79,"tracker_id":40,"status_id":1,"priority_id":2,"assigned_to_id":23,"start_date":"2017-03-09","description":"","custom_fields":[{"id":1,"name":"Subdivision","value":"EC"},{"id":4,"name":"Milepost","value":"23.3322"},{"id":17,"name":"Train ID","value":"205-09"},{"id":16,"name":"Locomotive ID","value":"4018"},{"id":130,"name":"Impact","value":""},{"id":150,"name":"Time of Event (Mountain Time)","value":"17:23:57"},{"id":151,"name":"Denver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"/>
        <v>start /low /b %USERPROFILE%\Documents\GitHub\eaglep3\Utilities\DownloadLogsFromS3.py --loco 4018 --day 2017-03-09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757</v>
      </c>
      <c r="B117" s="7">
        <v>4017</v>
      </c>
      <c r="C117" s="21" t="s">
        <v>242</v>
      </c>
      <c r="D117" s="21" t="s">
        <v>840</v>
      </c>
      <c r="E117" s="13">
        <v>42803.728136574071</v>
      </c>
      <c r="F117" s="13">
        <v>42803.737002314818</v>
      </c>
      <c r="G117" s="7">
        <v>1</v>
      </c>
      <c r="H117" s="21" t="s">
        <v>194</v>
      </c>
      <c r="I117" s="13">
        <v>42803.768113425926</v>
      </c>
      <c r="J117" s="7">
        <v>0</v>
      </c>
      <c r="K117" s="98" t="str">
        <f>IF(ISEVEN(B117),(B117-1)&amp;"/"&amp;B117,B117&amp;"/"&amp;(B117+1))</f>
        <v>4017/4018</v>
      </c>
      <c r="L117" s="21" t="str">
        <f>VLOOKUP(A117,'Trips&amp;Operators'!$C$1:$G$99999,5,FALSE)</f>
        <v>STRICKLAND EVAN</v>
      </c>
      <c r="M117" s="6">
        <f>I117-F117</f>
        <v>3.1111111107748002E-2</v>
      </c>
      <c r="N117" s="7">
        <f>24*60*SUM($M117:$M117)</f>
        <v>44.799999995157123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-03-09T16:28:31-0700',mode:absolute,to:'2017-03-09T19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187" t="str">
        <f>IF(AA117&lt;IF(AG117="EC",23,5.65),"Y","N")</f>
        <v>N</v>
      </c>
      <c r="X117" s="187">
        <f>VALUE(LEFT(AD117,4))-VALUE(LEFT(AD116,4))</f>
        <v>1</v>
      </c>
      <c r="Y117" s="62">
        <f>RIGHT(D117,LEN(D117)-4)/10000</f>
        <v>23.299199999999999</v>
      </c>
      <c r="Z117" s="62">
        <f>RIGHT(H117,LEN(H117)-4)/10000</f>
        <v>1.4500000000000001E-2</v>
      </c>
      <c r="AA117" s="62">
        <f>ABS(Z117-Y117)</f>
        <v>23.284699999999997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0206-09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/stypes="app*4017*20170310*" /stext=" 01:.+((SYSTEM_STATE.+slice.+state.+changed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206-09 --locoid 4017 --swversion DE.1.0.9.0 --startMP 204:232992 --initTime 2017-03-09T17:28:31 --startdatetime 2017-03-09T17:41:17 --delay 1 --endMP 204:145 --enddatetime 2017-03-09T18:26:05 --enforcementcount 0 &gt;&gt;C:\Users\stu\Documents\GitHub\eaglep3-reporting\EC\2017-03-09-refined-times.txt</v>
      </c>
      <c r="AI11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{"issue":{"subject":"","project_id":79,"tracker_id":40,"status_id":1,"priority_id":2,"assigned_to_id":23,"start_date":"2017-03-09","description":"","custom_fields":[{"id":1,"name":"Subdivision","value":"EC"},{"id":4,"name":"Milepost","value":"0.0145"},{"id":17,"name":"Train ID","value":"206-09"},{"id":16,"name":"Locomotive ID","value":"4017"},{"id":130,"name":"Impact","value":""},{"id":150,"name":"Time of Event (Mountain Time)","value":"18:26:05"},{"id":151,"name":"Denver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"/>
        <v>start /low /b %USERPROFILE%\Documents\GitHub\eaglep3\Utilities\DownloadLogsFromS3.py --loco 4017 --day 2017-03-09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748</v>
      </c>
      <c r="B118" s="7">
        <v>4040</v>
      </c>
      <c r="C118" s="21" t="s">
        <v>242</v>
      </c>
      <c r="D118" s="21" t="s">
        <v>237</v>
      </c>
      <c r="E118" s="13">
        <v>42803.705590277779</v>
      </c>
      <c r="F118" s="13">
        <v>42803.708668981482</v>
      </c>
      <c r="G118" s="7">
        <v>1</v>
      </c>
      <c r="H118" s="21" t="s">
        <v>540</v>
      </c>
      <c r="I118" s="13">
        <v>42803.734606481485</v>
      </c>
      <c r="J118" s="7">
        <v>0</v>
      </c>
      <c r="K118" s="98" t="str">
        <f>IF(ISEVEN(B118),(B118-1)&amp;"/"&amp;B118,B118&amp;"/"&amp;(B118+1))</f>
        <v>4039/4040</v>
      </c>
      <c r="L118" s="21" t="str">
        <f>VLOOKUP(A118,'Trips&amp;Operators'!$C$1:$G$99999,5,FALSE)</f>
        <v>SMITH MICHAEL</v>
      </c>
      <c r="M118" s="6">
        <f>I118-F118</f>
        <v>2.5937500002328306E-2</v>
      </c>
      <c r="N118" s="7">
        <f>24*60*SUM($M118:$M118)</f>
        <v>37.350000003352761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-03-09T15:56:03-0700',mode:absolute,to:'2017-03-09T18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187" t="str">
        <f>IF(AA118&lt;IF(AG118="EC",23,5.65),"Y","N")</f>
        <v>N</v>
      </c>
      <c r="X118" s="187">
        <f>VALUE(LEFT(AD118,4))-VALUE(LEFT(AD117,4))</f>
        <v>1</v>
      </c>
      <c r="Y118" s="62">
        <f>RIGHT(D118,LEN(D118)-4)/10000</f>
        <v>4.6600000000000003E-2</v>
      </c>
      <c r="Z118" s="62">
        <f>RIGHT(H118,LEN(H118)-4)/10000</f>
        <v>23.3306</v>
      </c>
      <c r="AA118" s="62">
        <f>ABS(Z118-Y118)</f>
        <v>23.283999999999999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0207-09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/stypes="app*4040*20170310*"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207-09 --locoid 4040 --swversion DE.1.0.9.0 --startMP 204:466 --initTime 2017-03-09T16:56:03 --startdatetime 2017-03-09T17:00:29 --delay 1 --endMP 204:233306 --enddatetime 2017-03-09T17:37:50 --enforcementcount 0 &gt;&gt;C:\Users\stu\Documents\GitHub\eaglep3-reporting\EC\2017-03-09-refined-times.txt</v>
      </c>
      <c r="AI11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ID","value":"207-09"},{"id":16,"name":"Locomotive ID","value":"4040"},{"id":130,"name":"Impact","value":""},{"id":150,"name":"Time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"/>
        <v>start /low /b %USERPROFILE%\Documents\GitHub\eaglep3\Utilities\DownloadLogsFromS3.py --loco 4040 --day 2017-03-09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2017-03-09-UncaughtWiMAX.txt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764</v>
      </c>
      <c r="B119" s="7">
        <v>4039</v>
      </c>
      <c r="C119" s="21" t="s">
        <v>242</v>
      </c>
      <c r="D119" s="21" t="s">
        <v>438</v>
      </c>
      <c r="E119" s="13">
        <v>42803.739236111112</v>
      </c>
      <c r="F119" s="13">
        <v>42803.747650462959</v>
      </c>
      <c r="G119" s="7">
        <v>1</v>
      </c>
      <c r="H119" s="21" t="s">
        <v>208</v>
      </c>
      <c r="I119" s="13">
        <v>42803.776562500003</v>
      </c>
      <c r="J119" s="7">
        <v>0</v>
      </c>
      <c r="K119" s="98" t="str">
        <f>IF(ISEVEN(B119),(B119-1)&amp;"/"&amp;B119,B119&amp;"/"&amp;(B119+1))</f>
        <v>4039/4040</v>
      </c>
      <c r="L119" s="21" t="str">
        <f>VLOOKUP(A119,'Trips&amp;Operators'!$C$1:$G$99999,5,FALSE)</f>
        <v>SMITH MICHAEL</v>
      </c>
      <c r="M119" s="6">
        <f>I119-F119</f>
        <v>2.8912037043482997E-2</v>
      </c>
      <c r="N119" s="7">
        <f>24*60*SUM($M119:$M119)</f>
        <v>41.633333342615515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-03-09T16:44:30-0700',mode:absolute,to:'2017-03-09T19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187" t="str">
        <f>IF(AA119&lt;IF(AG119="EC",23,5.65),"Y","N")</f>
        <v>N</v>
      </c>
      <c r="X119" s="187">
        <f>VALUE(LEFT(AD119,4))-VALUE(LEFT(AD118,4))</f>
        <v>1</v>
      </c>
      <c r="Y119" s="62">
        <f>RIGHT(D119,LEN(D119)-4)/10000</f>
        <v>23.2989</v>
      </c>
      <c r="Z119" s="62">
        <f>RIGHT(H119,LEN(H119)-4)/10000</f>
        <v>1.54E-2</v>
      </c>
      <c r="AA119" s="62">
        <f>ABS(Z119-Y119)</f>
        <v>23.2835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0208-09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/stypes="app*4039*20170310*" /stext=" 01:.+((SYSTEM_STATE.+slice.+state.+changed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208-09 --locoid 4039 --swversion DE.1.0.9.0 --startMP 204:232989 --initTime 2017-03-09T17:44:30 --startdatetime 2017-03-09T17:56:37 --delay 1 --endMP 204:154 --enddatetime 2017-03-09T18:38:15 --enforcementcount 0 &gt;&gt;C:\Users\stu\Documents\GitHub\eaglep3-reporting\EC\2017-03-09-refined-times.txt</v>
      </c>
      <c r="AI11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ID","value":"208-09"},{"id":16,"name":"Locomotive ID","value":"4039"},{"id":130,"name":"Impact","value":""},{"id":150,"name":"Time of Event (Mountain Time)","value":"18:38:15"},{"id":151,"name":"Denver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"/>
        <v>start /low /b %USERPROFILE%\Documents\GitHub\eaglep3\Utilities\DownloadLogsFromS3.py --loco 4039 --day 2017-03-09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2017-03-09-UncaughtWiMAX.txt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752</v>
      </c>
      <c r="B120" s="7">
        <v>4044</v>
      </c>
      <c r="C120" s="21" t="s">
        <v>242</v>
      </c>
      <c r="D120" s="21" t="s">
        <v>865</v>
      </c>
      <c r="E120" s="13">
        <v>42803.719363425924</v>
      </c>
      <c r="F120" s="13">
        <v>42803.720659722225</v>
      </c>
      <c r="G120" s="7">
        <v>1</v>
      </c>
      <c r="H120" s="21" t="s">
        <v>553</v>
      </c>
      <c r="I120" s="13">
        <v>42803.748541666668</v>
      </c>
      <c r="J120" s="7">
        <v>0</v>
      </c>
      <c r="K120" s="98" t="str">
        <f>IF(ISEVEN(B120),(B120-1)&amp;"/"&amp;B120,B120&amp;"/"&amp;(B120+1))</f>
        <v>4043/4044</v>
      </c>
      <c r="L120" s="21" t="str">
        <f>VLOOKUP(A120,'Trips&amp;Operators'!$C$1:$G$99999,5,FALSE)</f>
        <v>CHANDLER KELVIN</v>
      </c>
      <c r="M120" s="6">
        <f>I120-F120</f>
        <v>2.7881944442924578E-2</v>
      </c>
      <c r="N120" s="7">
        <f>24*60*SUM($M120:$M120)</f>
        <v>40.149999997811392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-03-09T16:15:53-0700',mode:absolute,to:'2017-03-09T18:57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0" s="187" t="str">
        <f>IF(AA120&lt;IF(AG120="EC",23,5.65),"Y","N")</f>
        <v>N</v>
      </c>
      <c r="X120" s="187">
        <f>VALUE(LEFT(AD120,4))-VALUE(LEFT(AD119,4))</f>
        <v>1</v>
      </c>
      <c r="Y120" s="62">
        <f>RIGHT(D120,LEN(D120)-4)/10000</f>
        <v>4.9700000000000001E-2</v>
      </c>
      <c r="Z120" s="62">
        <f>RIGHT(H120,LEN(H120)-4)/10000</f>
        <v>23.328399999999998</v>
      </c>
      <c r="AA120" s="62">
        <f>ABS(Z120-Y120)</f>
        <v>23.278699999999997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0209-09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/stypes="app*4044*20170310*"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209-09 --locoid 4044 --swversion DE.1.0.9.0 --startMP 204:497 --initTime 2017-03-09T17:15:53 --startdatetime 2017-03-09T17:17:45 --delay 1 --endMP 204:233284 --enddatetime 2017-03-09T17:57:54 --enforcementcount 0 &gt;&gt;C:\Users\stu\Documents\GitHub\eaglep3-reporting\EC\2017-03-09-refined-times.txt</v>
      </c>
      <c r="AI12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{"issue":{"subject":"","project_id":79,"tracker_id":40,"status_id":1,"priority_id":2,"assigned_to_id":23,"start_date":"2017-03-09","description":"","custom_fields":[{"id":1,"name":"Subdivision","value":"EC"},{"id":4,"name":"Milepost","value":"23.3284"},{"id":17,"name":"Train ID","value":"209-09"},{"id":16,"name":"Locomotive ID","value":"4044"},{"id":130,"name":"Impact","value":""},{"id":150,"name":"Time of Event (Mountain Time)","value":"17:57:54"},{"id":151,"name":"Denver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"/>
        <v>start /low /b %USERPROFILE%\Documents\GitHub\eaglep3\Utilities\DownloadLogsFromS3.py --loco 4044 --day 2017-03-09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766</v>
      </c>
      <c r="B121" s="7">
        <v>4043</v>
      </c>
      <c r="C121" s="21" t="s">
        <v>242</v>
      </c>
      <c r="D121" s="21" t="s">
        <v>845</v>
      </c>
      <c r="E121" s="13">
        <v>42803.755648148152</v>
      </c>
      <c r="F121" s="13">
        <v>42803.758009259262</v>
      </c>
      <c r="G121" s="7">
        <v>1</v>
      </c>
      <c r="H121" s="21" t="s">
        <v>208</v>
      </c>
      <c r="I121" s="13">
        <v>42803.786516203705</v>
      </c>
      <c r="J121" s="7">
        <v>0</v>
      </c>
      <c r="K121" s="98" t="str">
        <f>IF(ISEVEN(B121),(B121-1)&amp;"/"&amp;B121,B121&amp;"/"&amp;(B121+1))</f>
        <v>4043/4044</v>
      </c>
      <c r="L121" s="21" t="str">
        <f>VLOOKUP(A121,'Trips&amp;Operators'!$C$1:$G$99999,5,FALSE)</f>
        <v>CHANDLER KELVIN</v>
      </c>
      <c r="M121" s="6">
        <f>I121-F121</f>
        <v>2.8506944443506654E-2</v>
      </c>
      <c r="N121" s="7">
        <f>24*60*SUM($M121:$M121)</f>
        <v>41.049999998649582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-03-09T17:08:08-0700',mode:absolute,to:'2017-03-09T19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1" s="187" t="str">
        <f>IF(AA121&lt;IF(AG121="EC",23,5.65),"Y","N")</f>
        <v>N</v>
      </c>
      <c r="X121" s="187">
        <f>VALUE(LEFT(AD121,4))-VALUE(LEFT(AD120,4))</f>
        <v>1</v>
      </c>
      <c r="Y121" s="62">
        <f>RIGHT(D121,LEN(D121)-4)/10000</f>
        <v>23.2959</v>
      </c>
      <c r="Z121" s="62">
        <f>RIGHT(H121,LEN(H121)-4)/10000</f>
        <v>1.54E-2</v>
      </c>
      <c r="AA121" s="62">
        <f>ABS(Z121-Y121)</f>
        <v>23.2805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0210-09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/stypes="app*4043*20170310*" /stext=" 01:.+((SYSTEM_STATE.+slice.+state.+changed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210-09 --locoid 4043 --swversion DE.1.0.9.0 --startMP 204:232959 --initTime 2017-03-09T18:08:08 --startdatetime 2017-03-09T18:11:32 --delay 1 --endMP 204:154 --enddatetime 2017-03-09T18:52:35 --enforcementcount 0 &gt;&gt;C:\Users\stu\Documents\GitHub\eaglep3-reporting\EC\2017-03-09-refined-times.txt</v>
      </c>
      <c r="AI12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ID","value":"210-09"},{"id":16,"name":"Locomotive ID","value":"4043"},{"id":130,"name":"Impact","value":""},{"id":150,"name":"Time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"/>
        <v>start /low /b %USERPROFILE%\Documents\GitHub\eaglep3\Utilities\DownloadLogsFromS3.py --loco 4043 --day 2017-03-09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755</v>
      </c>
      <c r="B122" s="7">
        <v>4014</v>
      </c>
      <c r="C122" s="21" t="s">
        <v>242</v>
      </c>
      <c r="D122" s="21" t="s">
        <v>223</v>
      </c>
      <c r="E122" s="13">
        <v>42803.726678240739</v>
      </c>
      <c r="F122" s="13">
        <v>42803.72934027778</v>
      </c>
      <c r="G122" s="7">
        <v>1</v>
      </c>
      <c r="H122" s="21" t="s">
        <v>838</v>
      </c>
      <c r="I122" s="13">
        <v>42803.755706018521</v>
      </c>
      <c r="J122" s="7">
        <v>0</v>
      </c>
      <c r="K122" s="98" t="str">
        <f>IF(ISEVEN(B122),(B122-1)&amp;"/"&amp;B122,B122&amp;"/"&amp;(B122+1))</f>
        <v>4013/4014</v>
      </c>
      <c r="L122" s="21" t="str">
        <f>VLOOKUP(A122,'Trips&amp;Operators'!$C$1:$G$99999,5,FALSE)</f>
        <v>LOCKLEAR TRAVIS</v>
      </c>
      <c r="M122" s="6">
        <f>I122-F122</f>
        <v>2.6365740741312038E-2</v>
      </c>
      <c r="N122" s="7">
        <f>24*60*SUM($M122:$M122)</f>
        <v>37.966666667489335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-03-09T16:26:25-0700',mode:absolute,to:'2017-03-09T19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7" t="str">
        <f>IF(AA122&lt;IF(AG122="EC",23,5.65),"Y","N")</f>
        <v>N</v>
      </c>
      <c r="X122" s="187">
        <f>VALUE(LEFT(AD122,4))-VALUE(LEFT(AD121,4))</f>
        <v>1</v>
      </c>
      <c r="Y122" s="62">
        <f>RIGHT(D122,LEN(D122)-4)/10000</f>
        <v>4.53E-2</v>
      </c>
      <c r="Z122" s="62">
        <f>RIGHT(H122,LEN(H122)-4)/10000</f>
        <v>23.3323</v>
      </c>
      <c r="AA122" s="62">
        <f>ABS(Z122-Y122)</f>
        <v>23.286999999999999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0211-09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/stypes="app*4014*20170310*" /stext=" 01:.+((SYSTEM_STATE.+slice.+state.+changed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211-09 --locoid 4014 --swversion DE.1.0.9.0 --startMP 204:453 --initTime 2017-03-09T17:26:25 --startdatetime 2017-03-09T17:30:15 --delay 1 --endMP 204:233323 --enddatetime 2017-03-09T18:08:13 --enforcementcount 0 &gt;&gt;C:\Users\stu\Documents\GitHub\eaglep3-reporting\EC\2017-03-09-refined-times.txt</v>
      </c>
      <c r="AI12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{"issue":{"subject":"","project_id":79,"tracker_id":40,"status_id":1,"priority_id":2,"assigned_to_id":23,"start_date":"2017-03-09","description":"","custom_fields":[{"id":1,"name":"Subdivision","value":"EC"},{"id":4,"name":"Milepost","value":"23.3323"},{"id":17,"name":"Train ID","value":"211-09"},{"id":16,"name":"Locomotive ID","value":"4014"},{"id":130,"name":"Impact","value":""},{"id":150,"name":"Time of Event (Mountain Time)","value":"18:08:13"},{"id":151,"name":"Denver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"/>
        <v>start /low /b %USERPROFILE%\Documents\GitHub\eaglep3\Utilities\DownloadLogsFromS3.py --loco 4014 --day 2017-03-09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"%USERPROFILE%\AppData\Local\Temp\OnboardLogs"\RTDC4014\*4014*20170310* | grep -SE "(Enforcement Action)|(\[TIMEOUT)|(CHR.+\|PRM\|1\|D.+(SWITCH|SIGNAL).+UNKNOWN)" - &gt;&gt; 2017-03-09-UncaughtWiMAX.txt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771</v>
      </c>
      <c r="B123" s="7">
        <v>4013</v>
      </c>
      <c r="C123" s="21" t="s">
        <v>242</v>
      </c>
      <c r="D123" s="21" t="s">
        <v>287</v>
      </c>
      <c r="E123" s="13">
        <v>42803.765821759262</v>
      </c>
      <c r="F123" s="13">
        <v>42803.768252314818</v>
      </c>
      <c r="G123" s="7">
        <v>1</v>
      </c>
      <c r="H123" s="21" t="s">
        <v>546</v>
      </c>
      <c r="I123" s="13">
        <v>42803.796851851854</v>
      </c>
      <c r="J123" s="7">
        <v>0</v>
      </c>
      <c r="K123" s="98" t="str">
        <f>IF(ISEVEN(B123),(B123-1)&amp;"/"&amp;B123,B123&amp;"/"&amp;(B123+1))</f>
        <v>4013/4014</v>
      </c>
      <c r="L123" s="21" t="str">
        <f>VLOOKUP(A123,'Trips&amp;Operators'!$C$1:$G$99999,5,FALSE)</f>
        <v>LOCKLEAR TRAVIS</v>
      </c>
      <c r="M123" s="6">
        <f>I123-F123</f>
        <v>2.8599537035916001E-2</v>
      </c>
      <c r="N123" s="7">
        <f>24*60*SUM($M123:$M123)</f>
        <v>41.183333331719041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-03-09T17:22:47-0700',mode:absolute,to:'2017-03-09T20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7" t="str">
        <f>IF(AA123&lt;IF(AG123="EC",23,5.65),"Y","N")</f>
        <v>N</v>
      </c>
      <c r="X123" s="187">
        <f>VALUE(LEFT(AD123,4))-VALUE(LEFT(AD122,4))</f>
        <v>1</v>
      </c>
      <c r="Y123" s="62">
        <f>RIGHT(D123,LEN(D123)-4)/10000</f>
        <v>23.300599999999999</v>
      </c>
      <c r="Z123" s="62">
        <f>RIGHT(H123,LEN(H123)-4)/10000</f>
        <v>1.6500000000000001E-2</v>
      </c>
      <c r="AA123" s="62">
        <f>ABS(Z123-Y123)</f>
        <v>23.284099999999999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0212-09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/stypes="app*4013*20170310*" /stext=" 02:.+((SYSTEM_STATE.+slice.+state.+changed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212-09 --locoid 4013 --swversion DE.1.0.9.0 --startMP 204:233006 --initTime 2017-03-09T18:22:47 --startdatetime 2017-03-09T18:26:17 --delay 1 --endMP 204:165 --enddatetime 2017-03-09T19:07:28 --enforcementcount 0 &gt;&gt;C:\Users\stu\Documents\GitHub\eaglep3-reporting\EC\2017-03-09-refined-times.txt</v>
      </c>
      <c r="AI12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ID","value":"212-09"},{"id":16,"name":"Locomotive ID","value":"4013"},{"id":130,"name":"Impact","value":""},{"id":150,"name":"Time of Event (Mountain Time)","value":"19:07:28"},{"id":151,"name":"Denver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"/>
        <v>start /low /b %USERPROFILE%\Documents\GitHub\eaglep3\Utilities\DownloadLogsFromS3.py --loco 4013 --day 2017-03-09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"%USERPROFILE%\AppData\Local\Temp\OnboardLogs"\RTDC4013\*4013*20170310* | grep -SE "(Enforcement Action)|(\[TIMEOUT)|(CHR.+\|PRM\|1\|D.+(SWITCH|SIGNAL).+UNKNOWN)" - &gt;&gt; 2017-03-09-UncaughtWiMAX.txt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760</v>
      </c>
      <c r="B124" s="7">
        <v>4020</v>
      </c>
      <c r="C124" s="21" t="s">
        <v>242</v>
      </c>
      <c r="D124" s="21" t="s">
        <v>551</v>
      </c>
      <c r="E124" s="13">
        <v>42803.737407407411</v>
      </c>
      <c r="F124" s="13">
        <v>42803.739733796298</v>
      </c>
      <c r="G124" s="7">
        <v>1</v>
      </c>
      <c r="H124" s="21" t="s">
        <v>286</v>
      </c>
      <c r="I124" s="13">
        <v>42803.764085648145</v>
      </c>
      <c r="J124" s="7">
        <v>0</v>
      </c>
      <c r="K124" s="98" t="str">
        <f>IF(ISEVEN(B124),(B124-1)&amp;"/"&amp;B124,B124&amp;"/"&amp;(B124+1))</f>
        <v>4019/4020</v>
      </c>
      <c r="L124" s="21" t="str">
        <f>VLOOKUP(A124,'Trips&amp;Operators'!$C$1:$G$99999,5,FALSE)</f>
        <v>NEWELL JAMES</v>
      </c>
      <c r="M124" s="6">
        <f>I124-F124</f>
        <v>2.435185184731381E-2</v>
      </c>
      <c r="N124" s="7">
        <f>24*60*SUM($M124:$M124)</f>
        <v>35.066666660131887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-03-09T16:41:52-0700',mode:absolute,to:'2017-03-09T19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187" t="str">
        <f>IF(AA124&lt;IF(AG124="EC",23,5.65),"Y","N")</f>
        <v>N</v>
      </c>
      <c r="X124" s="187">
        <f>VALUE(LEFT(AD124,4))-VALUE(LEFT(AD123,4))</f>
        <v>1</v>
      </c>
      <c r="Y124" s="62">
        <f>RIGHT(D124,LEN(D124)-4)/10000</f>
        <v>4.8899999999999999E-2</v>
      </c>
      <c r="Z124" s="62">
        <f>RIGHT(H124,LEN(H124)-4)/10000</f>
        <v>23.3291</v>
      </c>
      <c r="AA124" s="62">
        <f>ABS(Z124-Y124)</f>
        <v>23.280200000000001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0213-09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/stypes="app*4020*20170310*" /stext=" 01:.+((SYSTEM_STATE.+slice.+state.+changed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213-09 --locoid 4020 --swversion DE.1.0.9.0 --startMP 204:489 --initTime 2017-03-09T17:41:52 --startdatetime 2017-03-09T17:45:13 --delay 1 --endMP 204:233291 --enddatetime 2017-03-09T18:20:17 --enforcementcount 0 &gt;&gt;C:\Users\stu\Documents\GitHub\eaglep3-reporting\EC\2017-03-09-refined-times.txt</v>
      </c>
      <c r="AI12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{"issue":{"subject":"","project_id":79,"tracker_id":40,"status_id":1,"priority_id":2,"assigned_to_id":23,"start_date":"2017-03-09","description":"","custom_fields":[{"id":1,"name":"Subdivision","value":"EC"},{"id":4,"name":"Milepost","value":"23.3291"},{"id":17,"name":"Train ID","value":"213-09"},{"id":16,"name":"Locomotive ID","value":"4020"},{"id":130,"name":"Impact","value":""},{"id":150,"name":"Time of Event (Mountain Time)","value":"18:20:17"},{"id":151,"name":"Denver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"/>
        <v>start /low /b %USERPROFILE%\Documents\GitHub\eaglep3\Utilities\DownloadLogsFromS3.py --loco 4020 --day 2017-03-09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607</v>
      </c>
      <c r="B125" s="7">
        <v>4019</v>
      </c>
      <c r="C125" s="21" t="s">
        <v>242</v>
      </c>
      <c r="D125" s="21" t="s">
        <v>830</v>
      </c>
      <c r="E125" s="13">
        <v>42803.768900462965</v>
      </c>
      <c r="F125" s="13">
        <v>42803.778622685182</v>
      </c>
      <c r="G125" s="7">
        <v>1</v>
      </c>
      <c r="H125" s="21" t="s">
        <v>232</v>
      </c>
      <c r="I125" s="13">
        <v>42803.806701388887</v>
      </c>
      <c r="J125" s="7">
        <v>0</v>
      </c>
      <c r="K125" s="98" t="str">
        <f>IF(ISEVEN(B125),(B125-1)&amp;"/"&amp;B125,B125&amp;"/"&amp;(B125+1))</f>
        <v>4019/4020</v>
      </c>
      <c r="L125" s="21" t="str">
        <f>VLOOKUP(A125,'Trips&amp;Operators'!$C$1:$G$99999,5,FALSE)</f>
        <v>NEWELL JAMES</v>
      </c>
      <c r="M125" s="6">
        <f>I125-F125</f>
        <v>2.8078703704522923E-2</v>
      </c>
      <c r="N125" s="7">
        <f>24*60*SUM($M125:$M125)</f>
        <v>40.433333334513009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187" t="str">
        <f>IF(AA125&lt;IF(AG125="EC",23,5.65),"Y","N")</f>
        <v>N</v>
      </c>
      <c r="X125" s="187">
        <f>VALUE(LEFT(AD125,4))-VALUE(LEFT(AD124,4))</f>
        <v>1</v>
      </c>
      <c r="Y125" s="62">
        <f>RIGHT(D125,LEN(D125)-4)/10000</f>
        <v>23.2986</v>
      </c>
      <c r="Z125" s="62">
        <f>RIGHT(H125,LEN(H125)-4)/10000</f>
        <v>1.5599999999999999E-2</v>
      </c>
      <c r="AA125" s="62">
        <f>ABS(Z125-Y125)</f>
        <v>23.283000000000001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0214-09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/stypes="app*4019*20170310*" /stext=" 02:.+((SYSTEM_STATE.+slice.+state.+changed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214-09 --locoid 4019 --swversion DE.1.0.9.0 --startMP 204:232986 --initTime 2017-03-09T18:27:13 --startdatetime 2017-03-09T18:41:13 --delay 1 --endMP 204:156 --enddatetime 2017-03-09T19:21:39 --enforcementcount 0 &gt;&gt;C:\Users\stu\Documents\GitHub\eaglep3-reporting\EC\2017-03-09-refined-times.txt</v>
      </c>
      <c r="AI12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ID","value":"214-09"},{"id":16,"name":"Locomotive ID","value":"4019"},{"id":130,"name":"Impact","value":""},{"id":150,"name":"Time of Event (Mountain Time)","value":"19:21:39"},{"id":151,"name":"Denver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"/>
        <v>start /low /b %USERPROFILE%\Documents\GitHub\eaglep3\Utilities\DownloadLogsFromS3.py --loco 4019 --day 2017-03-09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767</v>
      </c>
      <c r="B126" s="7">
        <v>4016</v>
      </c>
      <c r="C126" s="21" t="s">
        <v>242</v>
      </c>
      <c r="D126" s="21" t="s">
        <v>234</v>
      </c>
      <c r="E126" s="13">
        <v>42803.755949074075</v>
      </c>
      <c r="F126" s="13">
        <v>42803.757743055554</v>
      </c>
      <c r="G126" s="7">
        <v>1</v>
      </c>
      <c r="H126" s="21" t="s">
        <v>834</v>
      </c>
      <c r="I126" s="13">
        <v>42803.785231481481</v>
      </c>
      <c r="J126" s="7">
        <v>0</v>
      </c>
      <c r="K126" s="98" t="str">
        <f>IF(ISEVEN(B126),(B126-1)&amp;"/"&amp;B126,B126&amp;"/"&amp;(B126+1))</f>
        <v>4015/4016</v>
      </c>
      <c r="L126" s="21" t="str">
        <f>VLOOKUP(A126,'Trips&amp;Operators'!$C$1:$G$99999,5,FALSE)</f>
        <v>BRANDNER MELINDA</v>
      </c>
      <c r="M126" s="6">
        <f>I126-F126</f>
        <v>2.7488425927003846E-2</v>
      </c>
      <c r="N126" s="7">
        <f>24*60*SUM($M126:$M126)</f>
        <v>39.583333334885538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-03-09T17:08:34-0700',mode:absolute,to:'2017-03-09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187" t="str">
        <f>IF(AA126&lt;IF(AG126="EC",23,5.65),"Y","N")</f>
        <v>N</v>
      </c>
      <c r="X126" s="187">
        <f>VALUE(LEFT(AD126,4))-VALUE(LEFT(AD125,4))</f>
        <v>1</v>
      </c>
      <c r="Y126" s="62">
        <f>RIGHT(D126,LEN(D126)-4)/10000</f>
        <v>4.4400000000000002E-2</v>
      </c>
      <c r="Z126" s="62">
        <f>RIGHT(H126,LEN(H126)-4)/10000</f>
        <v>23.327999999999999</v>
      </c>
      <c r="AA126" s="62">
        <f>ABS(Z126-Y126)</f>
        <v>23.2836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0215-09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/stypes="app*4016*20170310*"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215-09 --locoid 4016 --swversion DE.1.0.9.0 --startMP 204:444 --initTime 2017-03-09T18:08:34 --startdatetime 2017-03-09T18:11:09 --delay 1 --endMP 204:233280 --enddatetime 2017-03-09T18:50:44 --enforcementcount 0 &gt;&gt;C:\Users\stu\Documents\GitHub\eaglep3-reporting\EC\2017-03-09-refined-times.txt</v>
      </c>
      <c r="AI12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{"issue":{"subject":"","project_id":79,"tracker_id":40,"status_id":1,"priority_id":2,"assigned_to_id":23,"start_date":"2017-03-09","description":"","custom_fields":[{"id":1,"name":"Subdivision","value":"EC"},{"id":4,"name":"Milepost","value":"23.328"},{"id":17,"name":"Train ID","value":"215-09"},{"id":16,"name":"Locomotive ID","value":"4016"},{"id":130,"name":"Impact","value":""},{"id":150,"name":"Time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"/>
        <v>start /low /b %USERPROFILE%\Documents\GitHub\eaglep3\Utilities\DownloadLogsFromS3.py --loco 4016 --day 2017-03-09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"%USERPROFILE%\AppData\Local\Temp\OnboardLogs"\RTDC4016\*4016*20170310* | grep -SE "(Enforcement Action)|(\[TIMEOUT)|(CHR.+\|PRM\|1\|D.+(SWITCH|SIGNAL).+UNKNOWN)" - &gt;&gt; 2017-03-09-UncaughtWiMAX.txt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777</v>
      </c>
      <c r="B127" s="7">
        <v>4015</v>
      </c>
      <c r="C127" s="21" t="s">
        <v>242</v>
      </c>
      <c r="D127" s="21" t="s">
        <v>422</v>
      </c>
      <c r="E127" s="13">
        <v>42803.790902777779</v>
      </c>
      <c r="F127" s="13">
        <v>42803.792905092596</v>
      </c>
      <c r="G127" s="7">
        <v>2</v>
      </c>
      <c r="H127" s="21" t="s">
        <v>423</v>
      </c>
      <c r="I127" s="13">
        <v>42803.821736111109</v>
      </c>
      <c r="J127" s="7">
        <v>0</v>
      </c>
      <c r="K127" s="98" t="str">
        <f>IF(ISEVEN(B127),(B127-1)&amp;"/"&amp;B127,B127&amp;"/"&amp;(B127+1))</f>
        <v>4015/4016</v>
      </c>
      <c r="L127" s="21" t="str">
        <f>VLOOKUP(A127,'Trips&amp;Operators'!$C$1:$G$99999,5,FALSE)</f>
        <v>BRANDNER MELINDA</v>
      </c>
      <c r="M127" s="6">
        <f>I127-F127</f>
        <v>2.8831018513301387E-2</v>
      </c>
      <c r="N127" s="7">
        <f>24*60*SUM($M127:$M127)</f>
        <v>41.516666659153998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-03-09T17:58:54-0700',mode:absolute,to:'2017-03-09T20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187" t="str">
        <f>IF(AA127&lt;IF(AG127="EC",23,5.65),"Y","N")</f>
        <v>N</v>
      </c>
      <c r="X127" s="187">
        <f>VALUE(LEFT(AD127,4))-VALUE(LEFT(AD126,4))</f>
        <v>1</v>
      </c>
      <c r="Y127" s="62">
        <f>RIGHT(D127,LEN(D127)-4)/10000</f>
        <v>23.298200000000001</v>
      </c>
      <c r="Z127" s="62">
        <f>RIGHT(H127,LEN(H127)-4)/10000</f>
        <v>1.43E-2</v>
      </c>
      <c r="AA127" s="62">
        <f>ABS(Z127-Y127)</f>
        <v>23.283900000000003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0216-09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/stypes="app*4015*20170310*" /stext=" 02:.+((SYSTEM_STATE.+slice.+state.+changed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216-09 --locoid 4015 --swversion DE.1.0.9.0 --startMP 204:232982 --initTime 2017-03-09T18:58:54 --startdatetime 2017-03-09T19:01:47 --delay 2 --endMP 204:143 --enddatetime 2017-03-09T19:43:18 --enforcementcount 0 &gt;&gt;C:\Users\stu\Documents\GitHub\eaglep3-reporting\EC\2017-03-09-refined-times.txt</v>
      </c>
      <c r="AI12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ID","value":"216-09"},{"id":16,"name":"Locomotive ID","value":"4015"},{"id":130,"name":"Impact","value":""},{"id":150,"name":"Time of Event (Mountain Time)","value":"19:43:18"},{"id":151,"name":"Denver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"/>
        <v>start /low /b %USERPROFILE%\Documents\GitHub\eaglep3\Utilities\DownloadLogsFromS3.py --loco 4015 --day 2017-03-09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"%USERPROFILE%\AppData\Local\Temp\OnboardLogs"\RTDC4015\*4015*20170310* | grep -SE "(Enforcement Action)|(\[TIMEOUT)|(CHR.+\|PRM\|1\|D.+(SWITCH|SIGNAL).+UNKNOWN)" - &gt;&gt; 2017-03-09-UncaughtWiMAX.txt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765</v>
      </c>
      <c r="B128" s="7">
        <v>4003</v>
      </c>
      <c r="C128" s="21" t="s">
        <v>242</v>
      </c>
      <c r="D128" s="21" t="s">
        <v>237</v>
      </c>
      <c r="E128" s="13">
        <v>42803.757592592592</v>
      </c>
      <c r="F128" s="13">
        <v>42803.760659722226</v>
      </c>
      <c r="G128" s="7">
        <v>1</v>
      </c>
      <c r="H128" s="21" t="s">
        <v>848</v>
      </c>
      <c r="I128" s="13">
        <v>42803.787604166668</v>
      </c>
      <c r="J128" s="7">
        <v>0</v>
      </c>
      <c r="K128" s="98" t="str">
        <f>IF(ISEVEN(B128),(B128-1)&amp;"/"&amp;B128,B128&amp;"/"&amp;(B128+1))</f>
        <v>4003/4004</v>
      </c>
      <c r="L128" s="21" t="str">
        <f>VLOOKUP(A128,'Trips&amp;Operators'!$C$1:$G$99999,5,FALSE)</f>
        <v>WHITED DUSTIN</v>
      </c>
      <c r="M128" s="6">
        <f>I128-F128</f>
        <v>2.6944444442051463E-2</v>
      </c>
      <c r="N128" s="7">
        <f>24*60*SUM($M128:$M128)</f>
        <v>38.799999996554106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-03-09T17:10:56-0700',mode:absolute,to:'2017-03-09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87" t="str">
        <f>IF(AA128&lt;IF(AG128="EC",23,5.65),"Y","N")</f>
        <v>N</v>
      </c>
      <c r="X128" s="187">
        <f>VALUE(LEFT(AD128,4))-VALUE(LEFT(AD127,4))</f>
        <v>1</v>
      </c>
      <c r="Y128" s="62">
        <f>RIGHT(D128,LEN(D128)-4)/10000</f>
        <v>4.6600000000000003E-2</v>
      </c>
      <c r="Z128" s="62">
        <f>RIGHT(H128,LEN(H128)-4)/10000</f>
        <v>23.331700000000001</v>
      </c>
      <c r="AA128" s="62">
        <f>ABS(Z128-Y128)</f>
        <v>23.2851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0217-09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/stypes="app*4003*20170310*"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217-09 --locoid 4003 --swversion DE.1.0.9.0 --startMP 204:466 --initTime 2017-03-09T18:10:56 --startdatetime 2017-03-09T18:15:21 --delay 1 --endMP 204:233317 --enddatetime 2017-03-09T18:54:09 --enforcementcount 0 &gt;&gt;C:\Users\stu\Documents\GitHub\eaglep3-reporting\EC\2017-03-09-refined-times.txt</v>
      </c>
      <c r="AI12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{"issue":{"subject":"","project_id":79,"tracker_id":40,"status_id":1,"priority_id":2,"assigned_to_id":23,"start_date":"2017-03-09","description":"","custom_fields":[{"id":1,"name":"Subdivision","value":"EC"},{"id":4,"name":"Milepost","value":"23.3317"},{"id":17,"name":"Train ID","value":"217-09"},{"id":16,"name":"Locomotive ID","value":"4003"},{"id":130,"name":"Impact","value":""},{"id":150,"name":"Time of Event (Mountain Time)","value":"18:54:09"},{"id":151,"name":"Denver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"/>
        <v>start /low /b %USERPROFILE%\Documents\GitHub\eaglep3\Utilities\DownloadLogsFromS3.py --loco 4003 --day 2017-03-09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778</v>
      </c>
      <c r="B129" s="7">
        <v>4004</v>
      </c>
      <c r="C129" s="21" t="s">
        <v>242</v>
      </c>
      <c r="D129" s="21" t="s">
        <v>832</v>
      </c>
      <c r="E129" s="13">
        <v>42803.793321759258</v>
      </c>
      <c r="F129" s="13">
        <v>42803.799456018518</v>
      </c>
      <c r="G129" s="7">
        <v>1</v>
      </c>
      <c r="H129" s="21" t="s">
        <v>228</v>
      </c>
      <c r="I129" s="13">
        <v>42803.827337962961</v>
      </c>
      <c r="J129" s="7">
        <v>0</v>
      </c>
      <c r="K129" s="98" t="str">
        <f>IF(ISEVEN(B129),(B129-1)&amp;"/"&amp;B129,B129&amp;"/"&amp;(B129+1))</f>
        <v>4003/4004</v>
      </c>
      <c r="L129" s="21" t="str">
        <f>VLOOKUP(A129,'Trips&amp;Operators'!$C$1:$G$99999,5,FALSE)</f>
        <v>WHITED DUSTIN</v>
      </c>
      <c r="M129" s="6">
        <f>I129-F129</f>
        <v>2.7881944442924578E-2</v>
      </c>
      <c r="N129" s="7">
        <f>24*60*SUM($M129:$M129)</f>
        <v>40.149999997811392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-03-09T18:02:23-0700',mode:absolute,to:'2017-03-09T20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187" t="str">
        <f>IF(AA129&lt;IF(AG129="EC",23,5.65),"Y","N")</f>
        <v>N</v>
      </c>
      <c r="X129" s="187">
        <f>VALUE(LEFT(AD129,4))-VALUE(LEFT(AD128,4))</f>
        <v>1</v>
      </c>
      <c r="Y129" s="62">
        <f>RIGHT(D129,LEN(D129)-4)/10000</f>
        <v>23.300999999999998</v>
      </c>
      <c r="Z129" s="62">
        <f>RIGHT(H129,LEN(H129)-4)/10000</f>
        <v>1.3899999999999999E-2</v>
      </c>
      <c r="AA129" s="62">
        <f>ABS(Z129-Y129)</f>
        <v>23.287099999999999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0218-09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/stypes="app*4004*20170310*" /stext=" 02:.+((SYSTEM_STATE.+slice.+state.+changed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6"/>
        <v>"%USERPROFILE%\Documents\GitHub\eaglep3\Utilities\RefineRTDCRunTimes.py" --tripid 218-09 --locoid 4004 --swversion DE.1.0.9.0 --startMP 204:233010 --initTime 2017-03-09T19:02:23 --startdatetime 2017-03-09T19:11:13 --delay 1 --endMP 204:139 --enddatetime 2017-03-09T19:51:22 --enforcementcount 0 &gt;&gt;C:\Users\stu\Documents\GitHub\eaglep3-reporting\EC\2017-03-09-refined-times.txt</v>
      </c>
      <c r="AI12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{"issue":{"subject":"","project_id":79,"tracker_id":40,"status_id":1,"priority_id":2,"assigned_to_id":23,"start_date":"2017-03-09","description":"","custom_fields":[{"id":1,"name":"Subdivision","value":"EC"},{"id":4,"name":"Milepost","value":"0.0139"},{"id":17,"name":"Train ID","value":"218-09"},{"id":16,"name":"Locomotive ID","value":"4004"},{"id":130,"name":"Impact","value":""},{"id":150,"name":"Time of Event (Mountain Time)","value":"19:51:22"},{"id":151,"name":"Denver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8"/>
        <v>start /low /b %USERPROFILE%\Documents\GitHub\eaglep3\Utilities\DownloadLogsFromS3.py --loco 4004 --day 2017-03-09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772</v>
      </c>
      <c r="B130" s="7">
        <v>4018</v>
      </c>
      <c r="C130" s="21" t="s">
        <v>242</v>
      </c>
      <c r="D130" s="21" t="s">
        <v>281</v>
      </c>
      <c r="E130" s="13">
        <v>42803.769976851851</v>
      </c>
      <c r="F130" s="13">
        <v>42803.771631944444</v>
      </c>
      <c r="G130" s="7">
        <v>1</v>
      </c>
      <c r="H130" s="21" t="s">
        <v>866</v>
      </c>
      <c r="I130" s="13">
        <v>42803.799178240741</v>
      </c>
      <c r="J130" s="7">
        <v>0</v>
      </c>
      <c r="K130" s="98" t="str">
        <f>IF(ISEVEN(B130),(B130-1)&amp;"/"&amp;B130,B130&amp;"/"&amp;(B130+1))</f>
        <v>4017/4018</v>
      </c>
      <c r="L130" s="21" t="str">
        <f>VLOOKUP(A130,'Trips&amp;Operators'!$C$1:$G$99999,5,FALSE)</f>
        <v>SWANSON BRYCE</v>
      </c>
      <c r="M130" s="6">
        <f>I130-F130</f>
        <v>2.7546296296350192E-2</v>
      </c>
      <c r="N130" s="7">
        <f>24*60*SUM($M130:$M130)</f>
        <v>39.666666666744277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-03-09T17:28:46-0700',mode:absolute,to:'2017-03-09T20:10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187" t="str">
        <f>IF(AA130&lt;IF(AG130="EC",23,5.65),"Y","N")</f>
        <v>N</v>
      </c>
      <c r="X130" s="187">
        <f>VALUE(LEFT(AD130,4))-VALUE(LEFT(AD129,4))</f>
        <v>1</v>
      </c>
      <c r="Y130" s="62">
        <f>RIGHT(D130,LEN(D130)-4)/10000</f>
        <v>4.7800000000000002E-2</v>
      </c>
      <c r="Z130" s="62">
        <f>RIGHT(H130,LEN(H130)-4)/10000</f>
        <v>23.3278</v>
      </c>
      <c r="AA130" s="62">
        <f>ABS(Z130-Y130)</f>
        <v>23.28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0219-09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/stypes="app*4018*20170310*" /stext=" 02:.+((SYSTEM_STATE.+slice.+state.+changed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219-09 --locoid 4018 --swversion DE.1.0.9.0 --startMP 204:478 --initTime 2017-03-09T18:28:46 --startdatetime 2017-03-09T18:31:09 --delay 1 --endMP 204:233278 --enddatetime 2017-03-09T19:10:49 --enforcementcount 0 &gt;&gt;C:\Users\stu\Documents\GitHub\eaglep3-reporting\EC\2017-03-09-refined-times.txt</v>
      </c>
      <c r="AI13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{"issue":{"subject":"","project_id":79,"tracker_id":40,"status_id":1,"priority_id":2,"assigned_to_id":23,"start_date":"2017-03-09","description":"","custom_fields":[{"id":1,"name":"Subdivision","value":"EC"},{"id":4,"name":"Milepost","value":"23.3278"},{"id":17,"name":"Train ID","value":"219-09"},{"id":16,"name":"Locomotive ID","value":"4018"},{"id":130,"name":"Impact","value":""},{"id":150,"name":"Time of Event (Mountain Time)","value":"19:10:49"},{"id":151,"name":"Denver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"/>
        <v>start /low /b %USERPROFILE%\Documents\GitHub\eaglep3\Utilities\DownloadLogsFromS3.py --loco 4018 --day 2017-03-09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780</v>
      </c>
      <c r="B131" s="7">
        <v>4017</v>
      </c>
      <c r="C131" s="21" t="s">
        <v>242</v>
      </c>
      <c r="D131" s="21" t="s">
        <v>867</v>
      </c>
      <c r="E131" s="13">
        <v>42803.801342592589</v>
      </c>
      <c r="F131" s="13">
        <v>42803.809884259259</v>
      </c>
      <c r="G131" s="7">
        <v>1</v>
      </c>
      <c r="H131" s="21" t="s">
        <v>868</v>
      </c>
      <c r="I131" s="13">
        <v>42803.840277777781</v>
      </c>
      <c r="J131" s="7">
        <v>0</v>
      </c>
      <c r="K131" s="98" t="str">
        <f>IF(ISEVEN(B131),(B131-1)&amp;"/"&amp;B131,B131&amp;"/"&amp;(B131+1))</f>
        <v>4017/4018</v>
      </c>
      <c r="L131" s="21" t="str">
        <f>VLOOKUP(A131,'Trips&amp;Operators'!$C$1:$G$99999,5,FALSE)</f>
        <v>SWANSON BRYCE</v>
      </c>
      <c r="M131" s="6">
        <f>I131-F131</f>
        <v>3.0393518522032537E-2</v>
      </c>
      <c r="N131" s="7">
        <f>24*60*SUM($M131:$M131)</f>
        <v>43.766666671726853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-03-09T18:13:56-0700',mode:absolute,to:'2017-03-09T21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187" t="str">
        <f>IF(AA131&lt;IF(AG131="EC",23,5.65),"Y","N")</f>
        <v>N</v>
      </c>
      <c r="X131" s="187">
        <f>VALUE(LEFT(AD131,4))-VALUE(LEFT(AD130,4))</f>
        <v>1</v>
      </c>
      <c r="Y131" s="62">
        <f>RIGHT(D131,LEN(D131)-4)/10000</f>
        <v>23.295500000000001</v>
      </c>
      <c r="Z131" s="62">
        <f>RIGHT(H131,LEN(H131)-4)/10000</f>
        <v>3.0300000000000001E-2</v>
      </c>
      <c r="AA131" s="62">
        <f>ABS(Z131-Y131)</f>
        <v>23.2652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0220-09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/stypes="app*4017*20170310*" /stext=" 03:.+((SYSTEM_STATE.+slice.+state.+changed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220-09 --locoid 4017 --swversion DE.1.0.9.0 --startMP 204:232955 --initTime 2017-03-09T19:13:56 --startdatetime 2017-03-09T19:26:14 --delay 1 --endMP 204:303 --enddatetime 2017-03-09T20:10:00 --enforcementcount 0 &gt;&gt;C:\Users\stu\Documents\GitHub\eaglep3-reporting\EC\2017-03-09-refined-times.txt</v>
      </c>
      <c r="AI13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{"issue":{"subject":"","project_id":79,"tracker_id":40,"status_id":1,"priority_id":2,"assigned_to_id":23,"start_date":"2017-03-09","description":"","custom_fields":[{"id":1,"name":"Subdivision","value":"EC"},{"id":4,"name":"Milepost","value":"0.0303"},{"id":17,"name":"Train ID","value":"220-09"},{"id":16,"name":"Locomotive ID","value":"4017"},{"id":130,"name":"Impact","value":""},{"id":150,"name":"Time of Event (Mountain Time)","value":"20:10:00"},{"id":151,"name":"Denver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"/>
        <v>start /low /b %USERPROFILE%\Documents\GitHub\eaglep3\Utilities\DownloadLogsFromS3.py --loco 4017 --day 2017-03-09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776</v>
      </c>
      <c r="B132" s="7">
        <v>4044</v>
      </c>
      <c r="C132" s="21" t="s">
        <v>242</v>
      </c>
      <c r="D132" s="21" t="s">
        <v>269</v>
      </c>
      <c r="E132" s="13">
        <v>42803.789525462962</v>
      </c>
      <c r="F132" s="13">
        <v>42803.791921296295</v>
      </c>
      <c r="G132" s="7">
        <v>1</v>
      </c>
      <c r="H132" s="21" t="s">
        <v>869</v>
      </c>
      <c r="I132" s="13">
        <v>42803.817986111113</v>
      </c>
      <c r="J132" s="7">
        <v>0</v>
      </c>
      <c r="K132" s="98" t="str">
        <f>IF(ISEVEN(B132),(B132-1)&amp;"/"&amp;B132,B132&amp;"/"&amp;(B132+1))</f>
        <v>4043/4044</v>
      </c>
      <c r="L132" s="21" t="str">
        <f>VLOOKUP(A132,'Trips&amp;Operators'!$C$1:$G$99999,5,FALSE)</f>
        <v>CHANDLER KELVIN</v>
      </c>
      <c r="M132" s="6">
        <f>I132-F132</f>
        <v>2.6064814817800652E-2</v>
      </c>
      <c r="N132" s="7">
        <f>24*60*SUM($M132:$M132)</f>
        <v>37.533333337632939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-03-09T17:56:55-0700',mode:absolute,to:'2017-03-09T20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87" t="str">
        <f>IF(AA132&lt;IF(AG132="EC",23,5.65),"Y","N")</f>
        <v>N</v>
      </c>
      <c r="X132" s="187">
        <f>VALUE(LEFT(AD132,4))-VALUE(LEFT(AD131,4))</f>
        <v>1</v>
      </c>
      <c r="Y132" s="62">
        <f>RIGHT(D132,LEN(D132)-4)/10000</f>
        <v>4.4200000000000003E-2</v>
      </c>
      <c r="Z132" s="62">
        <f>RIGHT(H132,LEN(H132)-4)/10000</f>
        <v>23.322900000000001</v>
      </c>
      <c r="AA132" s="62">
        <f>ABS(Z132-Y132)</f>
        <v>23.278700000000001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0221-09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/stypes="app*4044*20170310*" /stext=" 02:.+((SYSTEM_STATE.+slice.+state.+changed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221-09 --locoid 4044 --swversion DE.1.0.9.0 --startMP 204:442 --initTime 2017-03-09T18:56:55 --startdatetime 2017-03-09T19:00:22 --delay 1 --endMP 204:233229 --enddatetime 2017-03-09T19:37:54 --enforcementcount 0 &gt;&gt;C:\Users\stu\Documents\GitHub\eaglep3-reporting\EC\2017-03-09-refined-times.txt</v>
      </c>
      <c r="AI132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{"issue":{"subject":"","project_id":79,"tracker_id":40,"status_id":1,"priority_id":2,"assigned_to_id":23,"start_date":"2017-03-09","description":"","custom_fields":[{"id":1,"name":"Subdivision","value":"EC"},{"id":4,"name":"Milepost","value":"23.3229"},{"id":17,"name":"Train ID","value":"221-09"},{"id":16,"name":"Locomotive ID","value":"4044"},{"id":130,"name":"Impact","value":""},{"id":150,"name":"Time of Event (Mountain Time)","value":"19:37:54"},{"id":151,"name":"Denver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"/>
        <v>start /low /b %USERPROFILE%\Documents\GitHub\eaglep3\Utilities\DownloadLogsFromS3.py --loco 4044 --day 2017-03-09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787</v>
      </c>
      <c r="B133" s="7">
        <v>4043</v>
      </c>
      <c r="C133" s="21" t="s">
        <v>242</v>
      </c>
      <c r="D133" s="21" t="s">
        <v>464</v>
      </c>
      <c r="E133" s="13">
        <v>42803.827881944446</v>
      </c>
      <c r="F133" s="13">
        <v>42803.830833333333</v>
      </c>
      <c r="G133" s="7">
        <v>1</v>
      </c>
      <c r="H133" s="21" t="s">
        <v>870</v>
      </c>
      <c r="I133" s="13">
        <v>42803.859189814815</v>
      </c>
      <c r="J133" s="7">
        <v>0</v>
      </c>
      <c r="K133" s="98" t="str">
        <f>IF(ISEVEN(B133),(B133-1)&amp;"/"&amp;B133,B133&amp;"/"&amp;(B133+1))</f>
        <v>4043/4044</v>
      </c>
      <c r="L133" s="21" t="str">
        <f>VLOOKUP(A133,'Trips&amp;Operators'!$C$1:$G$99999,5,FALSE)</f>
        <v>CHANDLER KELVIN</v>
      </c>
      <c r="M133" s="6">
        <f>I133-F133</f>
        <v>2.8356481481750961E-2</v>
      </c>
      <c r="N133" s="7">
        <f>24*60*SUM($M133:$M133)</f>
        <v>40.833333333721384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-03-09T18:52:09-0700',mode:absolute,to:'2017-03-09T21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87" t="str">
        <f>IF(AA133&lt;IF(AG133="EC",23,5.65),"Y","N")</f>
        <v>N</v>
      </c>
      <c r="X133" s="187">
        <f>VALUE(LEFT(AD133,4))-VALUE(LEFT(AD132,4))</f>
        <v>1</v>
      </c>
      <c r="Y133" s="62">
        <f>RIGHT(D133,LEN(D133)-4)/10000</f>
        <v>23.2974</v>
      </c>
      <c r="Z133" s="62">
        <f>RIGHT(H133,LEN(H133)-4)/10000</f>
        <v>1.8499999999999999E-2</v>
      </c>
      <c r="AA133" s="62">
        <f>ABS(Z133-Y133)</f>
        <v>23.2789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0222-09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/stypes="app*4043*20170310*" /stext=" 03:.+((SYSTEM_STATE.+slice.+state.+changed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222-09 --locoid 4043 --swversion DE.1.0.9.0 --startMP 204:232974 --initTime 2017-03-09T19:52:09 --startdatetime 2017-03-09T19:56:24 --delay 1 --endMP 204:185 --enddatetime 2017-03-09T20:37:14 --enforcementcount 0 &gt;&gt;C:\Users\stu\Documents\GitHub\eaglep3-reporting\EC\2017-03-09-refined-times.txt</v>
      </c>
      <c r="AI133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{"issue":{"subject":"","project_id":79,"tracker_id":40,"status_id":1,"priority_id":2,"assigned_to_id":23,"start_date":"2017-03-09","description":"","custom_fields":[{"id":1,"name":"Subdivision","value":"EC"},{"id":4,"name":"Milepost","value":"0.0185"},{"id":17,"name":"Train ID","value":"222-09"},{"id":16,"name":"Locomotive ID","value":"4043"},{"id":130,"name":"Impact","value":""},{"id":150,"name":"Time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"/>
        <v>start /low /b %USERPROFILE%\Documents\GitHub\eaglep3\Utilities\DownloadLogsFromS3.py --loco 4043 --day 2017-03-09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784</v>
      </c>
      <c r="B134" s="7">
        <v>4020</v>
      </c>
      <c r="C134" s="21" t="s">
        <v>242</v>
      </c>
      <c r="D134" s="21" t="s">
        <v>871</v>
      </c>
      <c r="E134" s="13">
        <v>42803.809641203705</v>
      </c>
      <c r="F134" s="13">
        <v>42803.812650462962</v>
      </c>
      <c r="G134" s="7">
        <v>1</v>
      </c>
      <c r="H134" s="21" t="s">
        <v>250</v>
      </c>
      <c r="I134" s="13">
        <v>42803.837453703702</v>
      </c>
      <c r="J134" s="7">
        <v>0</v>
      </c>
      <c r="K134" s="98" t="str">
        <f>IF(ISEVEN(B134),(B134-1)&amp;"/"&amp;B134,B134&amp;"/"&amp;(B134+1))</f>
        <v>4019/4020</v>
      </c>
      <c r="L134" s="21" t="str">
        <f>VLOOKUP(A134,'Trips&amp;Operators'!$C$1:$G$99999,5,FALSE)</f>
        <v>NEWELL JAMES</v>
      </c>
      <c r="M134" s="6">
        <f>I134-F134</f>
        <v>2.4803240739856847E-2</v>
      </c>
      <c r="N134" s="7">
        <f>24*60*SUM($M134:$M134)</f>
        <v>35.716666665393859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-03-09T18:25:53-0700',mode:absolute,to:'2017-03-09T21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4" s="187" t="str">
        <f>IF(AA134&lt;IF(AG134="EC",23,5.65),"Y","N")</f>
        <v>N</v>
      </c>
      <c r="X134" s="187">
        <f>VALUE(LEFT(AD134,4))-VALUE(LEFT(AD133,4))</f>
        <v>1</v>
      </c>
      <c r="Y134" s="62">
        <f>RIGHT(D134,LEN(D134)-4)/10000</f>
        <v>4.6199999999999998E-2</v>
      </c>
      <c r="Z134" s="62">
        <f>RIGHT(H134,LEN(H134)-4)/10000</f>
        <v>23.330400000000001</v>
      </c>
      <c r="AA134" s="62">
        <f>ABS(Z134-Y134)</f>
        <v>23.284200000000002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0223-09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/stypes="app*4020*20170310*" /stext=" 03:.+((SYSTEM_STATE.+slice.+state.+changed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223-09 --locoid 4020 --swversion DE.1.0.9.0 --startMP 204:462 --initTime 2017-03-09T19:25:53 --startdatetime 2017-03-09T19:30:13 --delay 1 --endMP 204:233304 --enddatetime 2017-03-09T20:05:56 --enforcementcount 0 &gt;&gt;C:\Users\stu\Documents\GitHub\eaglep3-reporting\EC\2017-03-09-refined-times.txt</v>
      </c>
      <c r="AI134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ID","value":"223-09"},{"id":16,"name":"Locomotive ID","value":"4020"},{"id":130,"name":"Impact","value":""},{"id":150,"name":"Time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"/>
        <v>start /low /b %USERPROFILE%\Documents\GitHub\eaglep3\Utilities\DownloadLogsFromS3.py --loco 4020 --day 2017-03-09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791</v>
      </c>
      <c r="B135" s="7">
        <v>4019</v>
      </c>
      <c r="C135" s="21" t="s">
        <v>242</v>
      </c>
      <c r="D135" s="21" t="s">
        <v>440</v>
      </c>
      <c r="E135" s="13">
        <v>42803.84847222222</v>
      </c>
      <c r="F135" s="13">
        <v>42803.851550925923</v>
      </c>
      <c r="G135" s="7">
        <v>1</v>
      </c>
      <c r="H135" s="21" t="s">
        <v>184</v>
      </c>
      <c r="I135" s="13">
        <v>42803.881805555553</v>
      </c>
      <c r="J135" s="7">
        <v>0</v>
      </c>
      <c r="K135" s="98" t="str">
        <f>IF(ISEVEN(B135),(B135-1)&amp;"/"&amp;B135,B135&amp;"/"&amp;(B135+1))</f>
        <v>4019/4020</v>
      </c>
      <c r="L135" s="21" t="str">
        <f>VLOOKUP(A135,'Trips&amp;Operators'!$C$1:$G$99999,5,FALSE)</f>
        <v>NEWELL JAMES</v>
      </c>
      <c r="M135" s="6">
        <f>I135-F135</f>
        <v>3.0254629629780538E-2</v>
      </c>
      <c r="N135" s="7">
        <f>24*60*SUM($M135:$M135)</f>
        <v>43.566666666883975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-03-09T19:21:48-0700',mode:absolute,to:'2017-03-09T22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5" s="187" t="str">
        <f>IF(AA135&lt;IF(AG135="EC",23,5.65),"Y","N")</f>
        <v>N</v>
      </c>
      <c r="X135" s="187">
        <f>VALUE(LEFT(AD135,4))-VALUE(LEFT(AD134,4))</f>
        <v>1</v>
      </c>
      <c r="Y135" s="62">
        <f>RIGHT(D135,LEN(D135)-4)/10000</f>
        <v>23.297599999999999</v>
      </c>
      <c r="Z135" s="62">
        <f>RIGHT(H135,LEN(H135)-4)/10000</f>
        <v>1.49E-2</v>
      </c>
      <c r="AA135" s="62">
        <f>ABS(Z135-Y135)</f>
        <v>23.282699999999998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0224-09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/stypes="app*4019*20170310*" /stext=" 04:.+((SYSTEM_STATE.+slice.+state.+changed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224-09 --locoid 4019 --swversion DE.1.0.9.0 --startMP 204:232976 --initTime 2017-03-09T20:21:48 --startdatetime 2017-03-09T20:26:14 --delay 1 --endMP 204:149 --enddatetime 2017-03-09T21:09:48 --enforcementcount 0 &gt;&gt;C:\Users\stu\Documents\GitHub\eaglep3-reporting\EC\2017-03-09-refined-times.txt</v>
      </c>
      <c r="AI135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ID","value":"224-09"},{"id":16,"name":"Locomotive ID","value":"4019"},{"id":130,"name":"Impact","value":""},{"id":150,"name":"Time of Event (Mountain Time)","value":"21:09:48"},{"id":151,"name":"Denver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"/>
        <v>start /low /b %USERPROFILE%\Documents\GitHub\eaglep3\Utilities\DownloadLogsFromS3.py --loco 4019 --day 2017-03-09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788</v>
      </c>
      <c r="B136" s="7">
        <v>4003</v>
      </c>
      <c r="C136" s="21" t="s">
        <v>242</v>
      </c>
      <c r="D136" s="21" t="s">
        <v>230</v>
      </c>
      <c r="E136" s="13">
        <v>42803.828877314816</v>
      </c>
      <c r="F136" s="13">
        <v>42803.833819444444</v>
      </c>
      <c r="G136" s="7">
        <v>1</v>
      </c>
      <c r="H136" s="21" t="s">
        <v>872</v>
      </c>
      <c r="I136" s="13">
        <v>42803.859247685185</v>
      </c>
      <c r="J136" s="7">
        <v>0</v>
      </c>
      <c r="K136" s="98" t="str">
        <f>IF(ISEVEN(B136),(B136-1)&amp;"/"&amp;B136,B136&amp;"/"&amp;(B136+1))</f>
        <v>4003/4004</v>
      </c>
      <c r="L136" s="21" t="str">
        <f>VLOOKUP(A136,'Trips&amp;Operators'!$C$1:$G$99999,5,FALSE)</f>
        <v>MCREYNOLDS KYLE</v>
      </c>
      <c r="M136" s="6">
        <f>I136-F136</f>
        <v>2.5428240740438923E-2</v>
      </c>
      <c r="N136" s="7">
        <f>24*60*SUM($M136:$M136)</f>
        <v>36.616666666232049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-03-09T18:53:35-0700',mode:absolute,to:'2017-03-09T21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87" t="str">
        <f>IF(AA136&lt;IF(AG136="EC",23,5.65),"Y","N")</f>
        <v>N</v>
      </c>
      <c r="X136" s="187">
        <f>VALUE(LEFT(AD136,4))-VALUE(LEFT(AD135,4))</f>
        <v>1</v>
      </c>
      <c r="Y136" s="62">
        <f>RIGHT(D136,LEN(D136)-4)/10000</f>
        <v>4.3999999999999997E-2</v>
      </c>
      <c r="Z136" s="62">
        <f>RIGHT(H136,LEN(H136)-4)/10000</f>
        <v>23.331900000000001</v>
      </c>
      <c r="AA136" s="62">
        <f>ABS(Z136-Y136)</f>
        <v>23.2879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0225-09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/stypes="app*4003*20170310*" /stext=" 03:.+((SYSTEM_STATE.+slice.+state.+changed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225-09 --locoid 4003 --swversion DE.1.0.9.0 --startMP 204:440 --initTime 2017-03-09T19:53:35 --startdatetime 2017-03-09T20:00:42 --delay 1 --endMP 204:233319 --enddatetime 2017-03-09T20:37:19 --enforcementcount 0 &gt;&gt;C:\Users\stu\Documents\GitHub\eaglep3-reporting\EC\2017-03-09-refined-times.txt</v>
      </c>
      <c r="AI136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{"issue":{"subject":"","project_id":79,"tracker_id":40,"status_id":1,"priority_id":2,"assigned_to_id":23,"start_date":"2017-03-09","description":"","custom_fields":[{"id":1,"name":"Subdivision","value":"EC"},{"id":4,"name":"Milepost","value":"23.3319"},{"id":17,"name":"Train ID","value":"225-09"},{"id":16,"name":"Locomotive ID","value":"4003"},{"id":130,"name":"Impact","value":""},{"id":150,"name":"Time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"/>
        <v>start /low /b %USERPROFILE%\Documents\GitHub\eaglep3\Utilities\DownloadLogsFromS3.py --loco 4003 --day 2017-03-09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793</v>
      </c>
      <c r="B137" s="7">
        <v>4004</v>
      </c>
      <c r="C137" s="21" t="s">
        <v>242</v>
      </c>
      <c r="D137" s="21" t="s">
        <v>465</v>
      </c>
      <c r="E137" s="13">
        <v>42803.866249999999</v>
      </c>
      <c r="F137" s="13">
        <v>42803.872511574074</v>
      </c>
      <c r="G137" s="7">
        <v>1</v>
      </c>
      <c r="H137" s="21" t="s">
        <v>208</v>
      </c>
      <c r="I137" s="13">
        <v>42803.901967592596</v>
      </c>
      <c r="J137" s="7">
        <v>0</v>
      </c>
      <c r="K137" s="98" t="str">
        <f>IF(ISEVEN(B137),(B137-1)&amp;"/"&amp;B137,B137&amp;"/"&amp;(B137+1))</f>
        <v>4003/4004</v>
      </c>
      <c r="L137" s="21" t="str">
        <f>VLOOKUP(A137,'Trips&amp;Operators'!$C$1:$G$99999,5,FALSE)</f>
        <v>MCREYNOLDS KYLE</v>
      </c>
      <c r="M137" s="6">
        <f>I137-F137</f>
        <v>2.9456018521159422E-2</v>
      </c>
      <c r="N137" s="7">
        <f>24*60*SUM($M137:$M137)</f>
        <v>42.416666670469567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-03-09T19:47:24-0700',mode:absolute,to:'2017-03-09T22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187" t="str">
        <f>IF(AA137&lt;IF(AG137="EC",23,5.65),"Y","N")</f>
        <v>N</v>
      </c>
      <c r="X137" s="187">
        <f>VALUE(LEFT(AD137,4))-VALUE(LEFT(AD136,4))</f>
        <v>1</v>
      </c>
      <c r="Y137" s="62">
        <f>RIGHT(D137,LEN(D137)-4)/10000</f>
        <v>23.3019</v>
      </c>
      <c r="Z137" s="62">
        <f>RIGHT(H137,LEN(H137)-4)/10000</f>
        <v>1.54E-2</v>
      </c>
      <c r="AA137" s="62">
        <f>ABS(Z137-Y137)</f>
        <v>23.2865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0226-09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/stypes="app*4004*20170310*" /stext=" 04:.+((SYSTEM_STATE.+slice.+state.+changed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226-09 --locoid 4004 --swversion DE.1.0.9.0 --startMP 204:233019 --initTime 2017-03-09T20:47:24 --startdatetime 2017-03-09T20:56:25 --delay 1 --endMP 204:154 --enddatetime 2017-03-09T21:38:50 --enforcementcount 0 &gt;&gt;C:\Users\stu\Documents\GitHub\eaglep3-reporting\EC\2017-03-09-refined-times.txt</v>
      </c>
      <c r="AI137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ID","value":"226-09"},{"id":16,"name":"Locomotive ID","value":"4004"},{"id":130,"name":"Impact","value":""},{"id":150,"name":"Time of Event (Mountain Time)","value":"21:38:50"},{"id":151,"name":"Denver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"/>
        <v>start /low /b %USERPROFILE%\Documents\GitHub\eaglep3\Utilities\DownloadLogsFromS3.py --loco 4004 --day 2017-03-09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790</v>
      </c>
      <c r="B138" s="7">
        <v>4018</v>
      </c>
      <c r="C138" s="21" t="s">
        <v>242</v>
      </c>
      <c r="D138" s="21" t="s">
        <v>547</v>
      </c>
      <c r="E138" s="13">
        <v>42803.842395833337</v>
      </c>
      <c r="F138" s="13">
        <v>42803.854421296295</v>
      </c>
      <c r="G138" s="7">
        <v>1</v>
      </c>
      <c r="H138" s="21" t="s">
        <v>249</v>
      </c>
      <c r="I138" s="13">
        <v>42803.88658564815</v>
      </c>
      <c r="J138" s="7">
        <v>0</v>
      </c>
      <c r="K138" s="98" t="str">
        <f>IF(ISEVEN(B138),(B138-1)&amp;"/"&amp;B138,B138&amp;"/"&amp;(B138+1))</f>
        <v>4017/4018</v>
      </c>
      <c r="L138" s="21" t="str">
        <f>VLOOKUP(A138,'Trips&amp;Operators'!$C$1:$G$99999,5,FALSE)</f>
        <v>SWANSON BRYCE</v>
      </c>
      <c r="M138" s="6">
        <f>I138-F138</f>
        <v>3.2164351854589768E-2</v>
      </c>
      <c r="N138" s="7">
        <f>24*60*SUM($M138:$M138)</f>
        <v>46.316666670609266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-03-09T19:13:03-0700',mode:absolute,to:'2017-03-09T22:16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187" t="str">
        <f>IF(AA138&lt;IF(AG138="EC",23,5.65),"Y","N")</f>
        <v>N</v>
      </c>
      <c r="X138" s="187">
        <f>VALUE(LEFT(AD138,4))-VALUE(LEFT(AD137,4))</f>
        <v>1</v>
      </c>
      <c r="Y138" s="62">
        <f>RIGHT(D138,LEN(D138)-4)/10000</f>
        <v>4.3799999999999999E-2</v>
      </c>
      <c r="Z138" s="62">
        <f>RIGHT(H138,LEN(H138)-4)/10000</f>
        <v>23.328900000000001</v>
      </c>
      <c r="AA138" s="62">
        <f>ABS(Z138-Y138)</f>
        <v>23.2851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0227-09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/stypes="app*4018*20170310*" /stext=" 04:.+((SYSTEM_STATE.+slice.+state.+changed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6"/>
        <v>"%USERPROFILE%\Documents\GitHub\eaglep3\Utilities\RefineRTDCRunTimes.py" --tripid 227-09 --locoid 4018 --swversion DE.1.0.9.0 --startMP 204:438 --initTime 2017-03-09T20:13:03 --startdatetime 2017-03-09T20:30:22 --delay 1 --endMP 204:233289 --enddatetime 2017-03-09T21:16:41 --enforcementcount 0 &gt;&gt;C:\Users\stu\Documents\GitHub\eaglep3-reporting\EC\2017-03-09-refined-times.txt</v>
      </c>
      <c r="AI138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ID","value":"227-09"},{"id":16,"name":"Locomotive ID","value":"4018"},{"id":130,"name":"Impact","value":""},{"id":150,"name":"Time of Event (Mountain Time)","value":"21:16:41"},{"id":151,"name":"Denver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8"/>
        <v>start /low /b %USERPROFILE%\Documents\GitHub\eaglep3\Utilities\DownloadLogsFromS3.py --loco 4018 --day 2017-03-09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796</v>
      </c>
      <c r="B139" s="7">
        <v>4017</v>
      </c>
      <c r="C139" s="21" t="s">
        <v>242</v>
      </c>
      <c r="D139" s="21" t="s">
        <v>825</v>
      </c>
      <c r="E139" s="13">
        <v>42803.892280092594</v>
      </c>
      <c r="F139" s="13">
        <v>42803.893495370372</v>
      </c>
      <c r="G139" s="7">
        <v>0</v>
      </c>
      <c r="H139" s="21" t="s">
        <v>270</v>
      </c>
      <c r="I139" s="13">
        <v>42803.923194444447</v>
      </c>
      <c r="J139" s="7">
        <v>0</v>
      </c>
      <c r="K139" s="98" t="str">
        <f>IF(ISEVEN(B139),(B139-1)&amp;"/"&amp;B139,B139&amp;"/"&amp;(B139+1))</f>
        <v>4017/4018</v>
      </c>
      <c r="L139" s="21" t="str">
        <f>VLOOKUP(A139,'Trips&amp;Operators'!$C$1:$G$99999,5,FALSE)</f>
        <v>SWANSON BRYCE</v>
      </c>
      <c r="M139" s="6">
        <f>I139-F139</f>
        <v>2.9699074075324461E-2</v>
      </c>
      <c r="N139" s="7">
        <f>24*60*SUM($M139:$M139)</f>
        <v>42.766666668467224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-03-09T20:24:53-0700',mode:absolute,to:'2017-03-09T23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187" t="str">
        <f>IF(AA139&lt;IF(AG139="EC",23,5.65),"Y","N")</f>
        <v>N</v>
      </c>
      <c r="X139" s="187">
        <f>VALUE(LEFT(AD139,4))-VALUE(LEFT(AD138,4))</f>
        <v>1</v>
      </c>
      <c r="Y139" s="62">
        <f>RIGHT(D139,LEN(D139)-4)/10000</f>
        <v>23.2972</v>
      </c>
      <c r="Z139" s="62">
        <f>RIGHT(H139,LEN(H139)-4)/10000</f>
        <v>1.61E-2</v>
      </c>
      <c r="AA139" s="62">
        <f>ABS(Z139-Y139)</f>
        <v>23.281099999999999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0228-09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/stypes="app*4017*20170310*" /stext=" 05:.+((SYSTEM_STATE.+slice.+state.+changed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6"/>
        <v>"%USERPROFILE%\Documents\GitHub\eaglep3\Utilities\RefineRTDCRunTimes.py" --tripid 228-09 --locoid 4017 --swversion DE.1.0.9.0 --startMP 204:232972 --initTime 2017-03-09T21:24:53 --startdatetime 2017-03-09T21:26:38 --delay 0 --endMP 204:161 --enddatetime 2017-03-09T22:09:24 --enforcementcount 0 &gt;&gt;C:\Users\stu\Documents\GitHub\eaglep3-reporting\EC\2017-03-09-refined-times.txt</v>
      </c>
      <c r="AI139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{"issue":{"subject":"","project_id":79,"tracker_id":40,"status_id":1,"priority_id":2,"assigned_to_id":23,"start_date":"2017-03-09","description":"","custom_fields":[{"id":1,"name":"Subdivision","value":"EC"},{"id":4,"name":"Milepost","value":"0.0161"},{"id":17,"name":"Train ID","value":"228-09"},{"id":16,"name":"Locomotive ID","value":"4017"},{"id":130,"name":"Impact","value":""},{"id":150,"name":"Time of Event (Mountain Time)","value":"22:09:24"},{"id":151,"name":"Denver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8"/>
        <v>start /low /b %USERPROFILE%\Documents\GitHub\eaglep3\Utilities\DownloadLogsFromS3.py --loco 4017 --day 2017-03-09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794</v>
      </c>
      <c r="B140" s="7">
        <v>4044</v>
      </c>
      <c r="C140" s="21" t="s">
        <v>242</v>
      </c>
      <c r="D140" s="21" t="s">
        <v>539</v>
      </c>
      <c r="E140" s="13">
        <v>42803.867152777777</v>
      </c>
      <c r="F140" s="13">
        <v>42803.875254629631</v>
      </c>
      <c r="G140" s="7">
        <v>1</v>
      </c>
      <c r="H140" s="21" t="s">
        <v>841</v>
      </c>
      <c r="I140" s="13">
        <v>42803.907488425924</v>
      </c>
      <c r="J140" s="7">
        <v>0</v>
      </c>
      <c r="K140" s="98" t="str">
        <f>IF(ISEVEN(B140),(B140-1)&amp;"/"&amp;B140,B140&amp;"/"&amp;(B140+1))</f>
        <v>4043/4044</v>
      </c>
      <c r="L140" s="21" t="str">
        <f>VLOOKUP(A140,'Trips&amp;Operators'!$C$1:$G$99999,5,FALSE)</f>
        <v>PERKINS DARREN</v>
      </c>
      <c r="M140" s="6">
        <f>I140-F140</f>
        <v>3.2233796293439809E-2</v>
      </c>
      <c r="N140" s="7">
        <f>24*60*SUM($M140:$M140)</f>
        <v>46.416666662553325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-03-09T19:48:42-0700',mode:absolute,to:'2017-03-09T22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87" t="str">
        <f>IF(AA140&lt;IF(AG140="EC",23,5.65),"Y","N")</f>
        <v>N</v>
      </c>
      <c r="X140" s="187">
        <f>VALUE(LEFT(AD140,4))-VALUE(LEFT(AD139,4))</f>
        <v>1</v>
      </c>
      <c r="Y140" s="62">
        <f>RIGHT(D140,LEN(D140)-4)/10000</f>
        <v>4.6399999999999997E-2</v>
      </c>
      <c r="Z140" s="62">
        <f>RIGHT(H140,LEN(H140)-4)/10000</f>
        <v>23.331499999999998</v>
      </c>
      <c r="AA140" s="62">
        <f>ABS(Z140-Y140)</f>
        <v>23.2851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0229-09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/stypes="app*4044*20170310*" /stext=" 04:.+((SYSTEM_STATE.+slice.+state.+changed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6"/>
        <v>"%USERPROFILE%\Documents\GitHub\eaglep3\Utilities\RefineRTDCRunTimes.py" --tripid 229-09 --locoid 4044 --swversion DE.1.0.9.0 --startMP 204:464 --initTime 2017-03-09T20:48:42 --startdatetime 2017-03-09T21:00:22 --delay 1 --endMP 204:233315 --enddatetime 2017-03-09T21:46:47 --enforcementcount 0 &gt;&gt;C:\Users\stu\Documents\GitHub\eaglep3-reporting\EC\2017-03-09-refined-times.txt</v>
      </c>
      <c r="AI140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ID","value":"229-09"},{"id":16,"name":"Locomotive ID","value":"4044"},{"id":130,"name":"Impact","value":""},{"id":150,"name":"Time of Event (Mountain Time)","value":"21:46:47"},{"id":151,"name":"Denver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8"/>
        <v>start /low /b %USERPROFILE%\Documents\GitHub\eaglep3\Utilities\DownloadLogsFromS3.py --loco 4044 --day 2017-03-09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797</v>
      </c>
      <c r="B141" s="7">
        <v>4043</v>
      </c>
      <c r="C141" s="21" t="s">
        <v>242</v>
      </c>
      <c r="D141" s="21" t="s">
        <v>264</v>
      </c>
      <c r="E141" s="13">
        <v>42803.909490740742</v>
      </c>
      <c r="F141" s="13">
        <v>42803.914444444446</v>
      </c>
      <c r="G141" s="7">
        <v>1</v>
      </c>
      <c r="H141" s="21" t="s">
        <v>873</v>
      </c>
      <c r="I141" s="13">
        <v>42803.934398148151</v>
      </c>
      <c r="J141" s="7">
        <v>0</v>
      </c>
      <c r="K141" s="98" t="str">
        <f>IF(ISEVEN(B141),(B141-1)&amp;"/"&amp;B141,B141&amp;"/"&amp;(B141+1))</f>
        <v>4043/4044</v>
      </c>
      <c r="L141" s="21" t="str">
        <f>VLOOKUP(A141,'Trips&amp;Operators'!$C$1:$G$99999,5,FALSE)</f>
        <v>PERKINS DARREN</v>
      </c>
      <c r="M141" s="6">
        <f>I141-F141</f>
        <v>1.9953703704231884E-2</v>
      </c>
      <c r="N141" s="7">
        <f>24*60*SUM($M141:$M141)</f>
        <v>28.733333334093913</v>
      </c>
      <c r="O141" s="7"/>
      <c r="P141" s="7"/>
      <c r="Q141" s="22"/>
      <c r="R141" s="22"/>
      <c r="S141" s="31">
        <f>SUM(U141:U141)/IF(AG141="EC",12,1)</f>
        <v>0.75</v>
      </c>
      <c r="T141" s="46" t="str">
        <f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9</v>
      </c>
      <c r="V141" s="18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-09T20:49:40-0700',mode:absolute,to:'2017-03-09T23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87" t="str">
        <f>IF(AA141&lt;IF(AG141="EC",23,5.65),"Y","N")</f>
        <v>Y</v>
      </c>
      <c r="X141" s="187">
        <f>VALUE(LEFT(AD141,4))-VALUE(LEFT(AD140,4))</f>
        <v>1</v>
      </c>
      <c r="Y141" s="62">
        <f>RIGHT(D141,LEN(D141)-4)/10000</f>
        <v>23.3</v>
      </c>
      <c r="Z141" s="62">
        <f>RIGHT(H141,LEN(H141)-4)/10000</f>
        <v>3.6741999999999999</v>
      </c>
      <c r="AA141" s="62">
        <f>ABS(Z141-Y141)</f>
        <v>19.625800000000002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0230-09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/stypes="app*4043*20170310*" /stext=" 05:.+((SYSTEM_STATE.+slice.+state.+changed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6"/>
        <v>"%USERPROFILE%\Documents\GitHub\eaglep3\Utilities\RefineRTDCRunTimes.py" --tripid 230-09 --locoid 4043 --swversion DE.1.0.9.0 --startMP 204:233000 --initTime 2017-03-09T21:49:40 --startdatetime 2017-03-09T21:56:48 --delay 1 --endMP 204:36742 --enddatetime 2017-03-09T22:25:32 --enforcementcount 0 &gt;&gt;C:\Users\stu\Documents\GitHub\eaglep3-reporting\EC\2017-03-09-refined-times.txt</v>
      </c>
      <c r="AI141" s="108" t="str">
        <f t="shared" si="7"/>
        <v>echo {"issue":{"subject":"","project_id":79,"tracker_id":40,"status_id":1,"priority_id":2,"assigned_to_id":23,"start_date":"2017-03-09","description":"","custom_fields":[{"id":1,"name":"Subdivision","value":"EC"},{"id":4,"name":"Milepost","value":"3.6742"},{"id":17,"name":"Train ID","value":"230-09"},{"id":16,"name":"Locomotive ID","value":"4043"},{"id":130,"name":"Impact","value":""},{"id":150,"name":"Time of Event (Mountain Time)","value":"22:25:32"},{"id":151,"name":"Denver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8"/>
        <v>start /low /b %USERPROFILE%\Documents\GitHub\eaglep3\Utilities\DownloadLogsFromS3.py --loco 4043 --day 2017-03-09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795</v>
      </c>
      <c r="B142" s="7">
        <v>4020</v>
      </c>
      <c r="C142" s="21" t="s">
        <v>242</v>
      </c>
      <c r="D142" s="21" t="s">
        <v>227</v>
      </c>
      <c r="E142" s="13">
        <v>42803.88721064815</v>
      </c>
      <c r="F142" s="13">
        <v>42803.895983796298</v>
      </c>
      <c r="G142" s="7">
        <v>1</v>
      </c>
      <c r="H142" s="21" t="s">
        <v>540</v>
      </c>
      <c r="I142" s="13">
        <v>42803.920601851853</v>
      </c>
      <c r="J142" s="7">
        <v>0</v>
      </c>
      <c r="K142" s="98" t="str">
        <f>IF(ISEVEN(B142),(B142-1)&amp;"/"&amp;B142,B142&amp;"/"&amp;(B142+1))</f>
        <v>4019/4020</v>
      </c>
      <c r="L142" s="21" t="str">
        <f>VLOOKUP(A142,'Trips&amp;Operators'!$C$1:$G$99999,5,FALSE)</f>
        <v>NEWELL JAMES</v>
      </c>
      <c r="M142" s="6">
        <f>I142-F142</f>
        <v>2.4618055555038154E-2</v>
      </c>
      <c r="N142" s="7">
        <f>24*60*SUM($M142:$M142)</f>
        <v>35.449999999254942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-09T20:17:35-0700',mode:absolute,to:'2017-03-09T23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2" s="187" t="str">
        <f>IF(AA142&lt;IF(AG142="EC",23,5.65),"Y","N")</f>
        <v>N</v>
      </c>
      <c r="X142" s="187">
        <f>VALUE(LEFT(AD142,4))-VALUE(LEFT(AD141,4))</f>
        <v>1</v>
      </c>
      <c r="Y142" s="62">
        <f>RIGHT(D142,LEN(D142)-4)/10000</f>
        <v>4.5499999999999999E-2</v>
      </c>
      <c r="Z142" s="62">
        <f>RIGHT(H142,LEN(H142)-4)/10000</f>
        <v>23.3306</v>
      </c>
      <c r="AA142" s="62">
        <f>ABS(Z142-Y142)</f>
        <v>23.2851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0231-09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/stypes="app*4020*20170310*" /stext=" 05:.+((SYSTEM_STATE.+slice.+state.+changed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ref="AH142:AH205" si="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231-09 --locoid 4020 --swversion DE.1.0.9.0 --startMP 204:455 --initTime 2017-03-09T21:17:35 --startdatetime 2017-03-09T21:30:13 --delay 1 --endMP 204:233306 --enddatetime 2017-03-09T22:05:40 --enforcementcount 0 &gt;&gt;C:\Users\stu\Documents\GitHub\eaglep3-reporting\EC\2017-03-09-refined-times.txt</v>
      </c>
      <c r="AI142" s="108" t="str">
        <f t="shared" ref="AI142:AI205" si="1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ID","value":"231-09"},{"id":16,"name":"Locomotive ID","value":"4020"},{"id":130,"name":"Impact","value":""},{"id":150,"name":"Time of Event (Mountain Time)","value":"22:05:40"},{"id":151,"name":"Denver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11">"start /low /b "&amp;dls3logs&amp;" --loco "&amp;B142&amp;" --day "&amp;TEXT(F142,"YYYY-MM-DD")</f>
        <v>start /low /b %USERPROFILE%\Documents\GitHub\eaglep3\Utilities\DownloadLogsFromS3.py --loco 4020 --day 2017-03-09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611</v>
      </c>
      <c r="B143" s="7">
        <v>4019</v>
      </c>
      <c r="C143" s="21" t="s">
        <v>242</v>
      </c>
      <c r="D143" s="21" t="s">
        <v>434</v>
      </c>
      <c r="E143" s="13">
        <v>42803.922291666669</v>
      </c>
      <c r="F143" s="13">
        <v>42803.934872685182</v>
      </c>
      <c r="G143" s="7">
        <v>1</v>
      </c>
      <c r="H143" s="21" t="s">
        <v>192</v>
      </c>
      <c r="I143" s="13">
        <v>42803.965428240743</v>
      </c>
      <c r="J143" s="7">
        <v>0</v>
      </c>
      <c r="K143" s="98" t="str">
        <f>IF(ISEVEN(B143),(B143-1)&amp;"/"&amp;B143,B143&amp;"/"&amp;(B143+1))</f>
        <v>4019/4020</v>
      </c>
      <c r="L143" s="21" t="str">
        <f>VLOOKUP(A143,'Trips&amp;Operators'!$C$1:$G$99999,5,FALSE)</f>
        <v>NEWELL JAMES</v>
      </c>
      <c r="M143" s="6">
        <f>I143-F143</f>
        <v>3.0555555560567882E-2</v>
      </c>
      <c r="N143" s="7">
        <f>24*60*SUM($M143:$M143)</f>
        <v>44.00000000721775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3" s="187" t="str">
        <f>IF(AA143&lt;IF(AG143="EC",23,5.65),"Y","N")</f>
        <v>N</v>
      </c>
      <c r="X143" s="187">
        <f>VALUE(LEFT(AD143,4))-VALUE(LEFT(AD142,4))</f>
        <v>1</v>
      </c>
      <c r="Y143" s="62">
        <f>RIGHT(D143,LEN(D143)-4)/10000</f>
        <v>23.301300000000001</v>
      </c>
      <c r="Z143" s="62">
        <f>RIGHT(H143,LEN(H143)-4)/10000</f>
        <v>1.4999999999999999E-2</v>
      </c>
      <c r="AA143" s="62">
        <f>ABS(Z143-Y143)</f>
        <v>23.286300000000001</v>
      </c>
      <c r="AB143" s="59" t="str">
        <f>VLOOKUP(A143,Enforcements!$C$7:$K$13,8,0)</f>
        <v>Bulletin (2)</v>
      </c>
      <c r="AC143" s="55" t="str">
        <f>VLOOKUP(A143,Enforcements!$C$7:$E$13,3,0)</f>
        <v>GRADE CROSSING</v>
      </c>
      <c r="AD143" s="56" t="str">
        <f>IF(LEN(A143)=6,"0"&amp;A143,A143)</f>
        <v>0232-09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/stypes="app*4019*20170310*" /stext=" 06:.+((SYSTEM_STATE.+slice.+state.+changed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si="9"/>
        <v>"%USERPROFILE%\Documents\GitHub\eaglep3\Utilities\RefineRTDCRunTimes.py" --tripid 232-09 --locoid 4019 --swversion DE.1.0.9.0 --startMP 204:233013 --initTime 2017-03-09T22:08:06 --startdatetime 2017-03-09T22:26:13 --delay 1 --endMP 204:150 --enddatetime 2017-03-09T23:10:13 --enforcementcount 0 &gt;&gt;C:\Users\stu\Documents\GitHub\eaglep3-reporting\EC\2017-03-09-refined-times.txt</v>
      </c>
      <c r="AI143" s="108" t="str">
        <f t="shared" si="10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ID","value":"232-09"},{"id":16,"name":"Locomotive ID","value":"4019"},{"id":130,"name":"Impact","value":""},{"id":150,"name":"Time of Event (Mountain Time)","value":"23:10:13"},{"id":151,"name":"Denver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11"/>
        <v>start /low /b %USERPROFILE%\Documents\GitHub\eaglep3\Utilities\DownloadLogsFromS3.py --loco 4019 --day 2017-03-09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798</v>
      </c>
      <c r="B144" s="7">
        <v>4003</v>
      </c>
      <c r="C144" s="21" t="s">
        <v>242</v>
      </c>
      <c r="D144" s="21" t="s">
        <v>284</v>
      </c>
      <c r="E144" s="13">
        <v>42803.911631944444</v>
      </c>
      <c r="F144" s="13">
        <v>42803.916828703703</v>
      </c>
      <c r="G144" s="7">
        <v>1</v>
      </c>
      <c r="H144" s="21" t="s">
        <v>247</v>
      </c>
      <c r="I144" s="13">
        <v>42803.945972222224</v>
      </c>
      <c r="J144" s="7">
        <v>0</v>
      </c>
      <c r="K144" s="98" t="str">
        <f>IF(ISEVEN(B144),(B144-1)&amp;"/"&amp;B144,B144&amp;"/"&amp;(B144+1))</f>
        <v>4003/4004</v>
      </c>
      <c r="L144" s="21" t="str">
        <f>VLOOKUP(A144,'Trips&amp;Operators'!$C$1:$G$99999,5,FALSE)</f>
        <v>MCREYNOLDS KYLE</v>
      </c>
      <c r="M144" s="6">
        <f>I144-F144</f>
        <v>2.9143518520868383E-2</v>
      </c>
      <c r="N144" s="7">
        <f>24*60*SUM($M144:$M144)</f>
        <v>41.966666670050472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-03-09T20:52:45-0700',mode:absolute,to:'2017-03-09T23:42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87" t="str">
        <f>IF(AA144&lt;IF(AG144="EC",23,5.65),"Y","N")</f>
        <v>N</v>
      </c>
      <c r="X144" s="187">
        <f>VALUE(LEFT(AD144,4))-VALUE(LEFT(AD143,4))</f>
        <v>1</v>
      </c>
      <c r="Y144" s="62">
        <f>RIGHT(D144,LEN(D144)-4)/10000</f>
        <v>4.6899999999999997E-2</v>
      </c>
      <c r="Z144" s="62">
        <f>RIGHT(H144,LEN(H144)-4)/10000</f>
        <v>23.331399999999999</v>
      </c>
      <c r="AA144" s="62">
        <f>ABS(Z144-Y144)</f>
        <v>23.284499999999998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0233-09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/stypes="app*4003*20170310*" /stext=" 05:.+((SYSTEM_STATE.+slice.+state.+changed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9"/>
        <v>"%USERPROFILE%\Documents\GitHub\eaglep3\Utilities\RefineRTDCRunTimes.py" --tripid 233-09 --locoid 4003 --swversion DE.1.0.9.0 --startMP 204:469 --initTime 2017-03-09T21:52:45 --startdatetime 2017-03-09T22:00:14 --delay 1 --endMP 204:233314 --enddatetime 2017-03-09T22:42:12 --enforcementcount 0 &gt;&gt;C:\Users\stu\Documents\GitHub\eaglep3-reporting\EC\2017-03-09-refined-times.txt</v>
      </c>
      <c r="AI144" s="108" t="str">
        <f t="shared" si="10"/>
        <v>echo {"issue":{"subject":"","project_id":79,"tracker_id":40,"status_id":1,"priority_id":2,"assigned_to_id":23,"start_date":"2017-03-09","description":"","custom_fields":[{"id":1,"name":"Subdivision","value":"EC"},{"id":4,"name":"Milepost","value":"23.3314"},{"id":17,"name":"Train ID","value":"233-09"},{"id":16,"name":"Locomotive ID","value":"4003"},{"id":130,"name":"Impact","value":""},{"id":150,"name":"Time of Event (Mountain Time)","value":"22:42:12"},{"id":151,"name":"Denver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1"/>
        <v>start /low /b %USERPROFILE%\Documents\GitHub\eaglep3\Utilities\DownloadLogsFromS3.py --loco 4003 --day 2017-03-09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</row>
    <row r="145" spans="1:91" s="20" customFormat="1" x14ac:dyDescent="0.25">
      <c r="A145" s="33" t="s">
        <v>804</v>
      </c>
      <c r="B145" s="7">
        <v>4004</v>
      </c>
      <c r="C145" s="21" t="s">
        <v>242</v>
      </c>
      <c r="D145" s="21" t="s">
        <v>268</v>
      </c>
      <c r="E145" s="13">
        <v>42803.95275462963</v>
      </c>
      <c r="F145" s="13">
        <v>42803.955821759257</v>
      </c>
      <c r="G145" s="7">
        <v>1</v>
      </c>
      <c r="H145" s="21" t="s">
        <v>549</v>
      </c>
      <c r="I145" s="13">
        <v>42803.986770833333</v>
      </c>
      <c r="J145" s="7">
        <v>0</v>
      </c>
      <c r="K145" s="98" t="str">
        <f>IF(ISEVEN(B145),(B145-1)&amp;"/"&amp;B145,B145&amp;"/"&amp;(B145+1))</f>
        <v>4003/4004</v>
      </c>
      <c r="L145" s="21" t="str">
        <f>VLOOKUP(A145,'Trips&amp;Operators'!$C$1:$G$99999,5,FALSE)</f>
        <v>MCREYNOLDS KYLE</v>
      </c>
      <c r="M145" s="6">
        <f>I145-F145</f>
        <v>3.0949074076488614E-2</v>
      </c>
      <c r="N145" s="7">
        <f>24*60*SUM($M145:$M145)</f>
        <v>44.566666670143604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-03-09T21:51:58-0700',mode:absolute,to:'2017-03-10T00:40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87" t="str">
        <f>IF(AA145&lt;IF(AG145="EC",23,5.65),"Y","N")</f>
        <v>N</v>
      </c>
      <c r="X145" s="187">
        <f>VALUE(LEFT(AD145,4))-VALUE(LEFT(AD144,4))</f>
        <v>1</v>
      </c>
      <c r="Y145" s="62">
        <f>RIGHT(D145,LEN(D145)-4)/10000</f>
        <v>23.3004</v>
      </c>
      <c r="Z145" s="62">
        <f>RIGHT(H145,LEN(H145)-4)/10000</f>
        <v>1.7000000000000001E-2</v>
      </c>
      <c r="AA145" s="62">
        <f>ABS(Z145-Y145)</f>
        <v>23.2834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0234-09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/stypes="app*4004*20170310*" /stext=" 06:.+((SYSTEM_STATE.+slice.+state.+changed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9"/>
        <v>"%USERPROFILE%\Documents\GitHub\eaglep3\Utilities\RefineRTDCRunTimes.py" --tripid 234-09 --locoid 4004 --swversion DE.1.0.9.0 --startMP 204:233004 --initTime 2017-03-09T22:51:58 --startdatetime 2017-03-09T22:56:23 --delay 1 --endMP 204:170 --enddatetime 2017-03-09T23:40:57 --enforcementcount 0 &gt;&gt;C:\Users\stu\Documents\GitHub\eaglep3-reporting\EC\2017-03-09-refined-times.txt</v>
      </c>
      <c r="AI145" s="108" t="str">
        <f t="shared" si="10"/>
        <v>echo {"issue":{"subject":"","project_id":79,"tracker_id":40,"status_id":1,"priority_id":2,"assigned_to_id":23,"start_date":"2017-03-09","description":"","custom_fields":[{"id":1,"name":"Subdivision","value":"EC"},{"id":4,"name":"Milepost","value":"0.017"},{"id":17,"name":"Train ID","value":"234-09"},{"id":16,"name":"Locomotive ID","value":"4004"},{"id":130,"name":"Impact","value":""},{"id":150,"name":"Time of Event (Mountain Time)","value":"23:40:57"},{"id":151,"name":"Denver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1"/>
        <v>start /low /b %USERPROFILE%\Documents\GitHub\eaglep3\Utilities\DownloadLogsFromS3.py --loco 4004 --day 2017-03-09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800</v>
      </c>
      <c r="B146" s="7">
        <v>4018</v>
      </c>
      <c r="C146" s="21" t="s">
        <v>242</v>
      </c>
      <c r="D146" s="21" t="s">
        <v>847</v>
      </c>
      <c r="E146" s="13">
        <v>42803.928414351853</v>
      </c>
      <c r="F146" s="13">
        <v>42803.937673611108</v>
      </c>
      <c r="G146" s="7">
        <v>1</v>
      </c>
      <c r="H146" s="21" t="s">
        <v>841</v>
      </c>
      <c r="I146" s="13">
        <v>42803.964189814818</v>
      </c>
      <c r="J146" s="7">
        <v>0</v>
      </c>
      <c r="K146" s="98" t="str">
        <f>IF(ISEVEN(B146),(B146-1)&amp;"/"&amp;B146,B146&amp;"/"&amp;(B146+1))</f>
        <v>4017/4018</v>
      </c>
      <c r="L146" s="21" t="str">
        <f>VLOOKUP(A146,'Trips&amp;Operators'!$C$1:$G$99999,5,FALSE)</f>
        <v>SWANSON BRYCE</v>
      </c>
      <c r="M146" s="6">
        <f>I146-F146</f>
        <v>2.6516203710343689E-2</v>
      </c>
      <c r="N146" s="7">
        <f>24*60*SUM($M146:$M146)</f>
        <v>38.183333342894912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-03-09T21:16:55-0700',mode:absolute,to:'2017-03-10T00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187" t="str">
        <f>IF(AA146&lt;IF(AG146="EC",23,5.65),"Y","N")</f>
        <v>N</v>
      </c>
      <c r="X146" s="187">
        <f>VALUE(LEFT(AD146,4))-VALUE(LEFT(AD145,4))</f>
        <v>1</v>
      </c>
      <c r="Y146" s="62">
        <f>RIGHT(D146,LEN(D146)-4)/10000</f>
        <v>4.8000000000000001E-2</v>
      </c>
      <c r="Z146" s="62">
        <f>RIGHT(H146,LEN(H146)-4)/10000</f>
        <v>23.331499999999998</v>
      </c>
      <c r="AA146" s="62">
        <f>ABS(Z146-Y146)</f>
        <v>23.2835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0235-09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/stypes="app*4018*20170310*" /stext=" 06:.+((SYSTEM_STATE.+slice.+state.+changed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9"/>
        <v>"%USERPROFILE%\Documents\GitHub\eaglep3\Utilities\RefineRTDCRunTimes.py" --tripid 235-09 --locoid 4018 --swversion DE.1.0.9.0 --startMP 204:480 --initTime 2017-03-09T22:16:55 --startdatetime 2017-03-09T22:30:15 --delay 1 --endMP 204:233315 --enddatetime 2017-03-09T23:08:26 --enforcementcount 0 &gt;&gt;C:\Users\stu\Documents\GitHub\eaglep3-reporting\EC\2017-03-09-refined-times.txt</v>
      </c>
      <c r="AI146" s="108" t="str">
        <f t="shared" si="10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ID","value":"235-09"},{"id":16,"name":"Locomotive ID","value":"4018"},{"id":130,"name":"Impact","value":""},{"id":150,"name":"Time of Event (Mountain Time)","value":"23:08:26"},{"id":151,"name":"Denver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1"/>
        <v>start /low /b %USERPROFILE%\Documents\GitHub\eaglep3\Utilities\DownloadLogsFromS3.py --loco 4018 --day 2017-03-09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805</v>
      </c>
      <c r="B147" s="7">
        <v>4017</v>
      </c>
      <c r="C147" s="21" t="s">
        <v>242</v>
      </c>
      <c r="D147" s="21" t="s">
        <v>268</v>
      </c>
      <c r="E147" s="13">
        <v>42803.965879629628</v>
      </c>
      <c r="F147" s="13">
        <v>42803.976990740739</v>
      </c>
      <c r="G147" s="7">
        <v>1</v>
      </c>
      <c r="H147" s="21" t="s">
        <v>270</v>
      </c>
      <c r="I147" s="13">
        <v>42804.006249999999</v>
      </c>
      <c r="J147" s="7">
        <v>0</v>
      </c>
      <c r="K147" s="98" t="str">
        <f>IF(ISEVEN(B147),(B147-1)&amp;"/"&amp;B147,B147&amp;"/"&amp;(B147+1))</f>
        <v>4017/4018</v>
      </c>
      <c r="L147" s="21" t="str">
        <f>VLOOKUP(A147,'Trips&amp;Operators'!$C$1:$G$99999,5,FALSE)</f>
        <v>SWANSON BRYCE</v>
      </c>
      <c r="M147" s="6">
        <f>I147-F147</f>
        <v>2.9259259259561077E-2</v>
      </c>
      <c r="N147" s="7">
        <f>24*60*SUM($M147:$M147)</f>
        <v>42.133333333767951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-03-09T22:10:52-0700',mode:absolute,to:'2017-03-10T01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187" t="str">
        <f>IF(AA147&lt;IF(AG147="EC",23,5.65),"Y","N")</f>
        <v>N</v>
      </c>
      <c r="X147" s="187">
        <f>VALUE(LEFT(AD147,4))-VALUE(LEFT(AD146,4))</f>
        <v>1</v>
      </c>
      <c r="Y147" s="62">
        <f>RIGHT(D147,LEN(D147)-4)/10000</f>
        <v>23.3004</v>
      </c>
      <c r="Z147" s="62">
        <f>RIGHT(H147,LEN(H147)-4)/10000</f>
        <v>1.61E-2</v>
      </c>
      <c r="AA147" s="62">
        <f>ABS(Z147-Y147)</f>
        <v>23.284299999999998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0236-09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/stypes="app*4017*20170310*" /stext=" 07:.+((SYSTEM_STATE.+slice.+state.+changed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9"/>
        <v>"%USERPROFILE%\Documents\GitHub\eaglep3\Utilities\RefineRTDCRunTimes.py" --tripid 236-09 --locoid 4017 --swversion DE.1.0.9.0 --startMP 204:233004 --initTime 2017-03-09T23:10:52 --startdatetime 2017-03-09T23:26:52 --delay 1 --endMP 204:161 --enddatetime 2017-03-10T00:09:00 --enforcementcount 0 &gt;&gt;C:\Users\stu\Documents\GitHub\eaglep3-reporting\EC\2017-03-09-refined-times.txt</v>
      </c>
      <c r="AI147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{"issue":{"subject":"","project_id":79,"tracker_id":40,"status_id":1,"priority_id":2,"assigned_to_id":23,"start_date":"2017-03-10","description":"","custom_fields":[{"id":1,"name":"Subdivision","value":"EC"},{"id":4,"name":"Milepost","value":"0.0161"},{"id":17,"name":"Train ID","value":"236-09"},{"id":16,"name":"Locomotive ID","value":"4017"},{"id":130,"name":"Impact","value":""},{"id":150,"name":"Time of Event (Mountain Time)","value":"00:09:00"},{"id":151,"name":"Denver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1"/>
        <v>start /low /b %USERPROFILE%\Documents\GitHub\eaglep3\Utilities\DownloadLogsFromS3.py --loco 4017 --day 2017-03-09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612</v>
      </c>
      <c r="B148" s="7">
        <v>4044</v>
      </c>
      <c r="C148" s="21" t="s">
        <v>242</v>
      </c>
      <c r="D148" s="21" t="s">
        <v>226</v>
      </c>
      <c r="E148" s="13">
        <v>42803.950219907405</v>
      </c>
      <c r="F148" s="13">
        <v>42803.958645833336</v>
      </c>
      <c r="G148" s="7">
        <v>1</v>
      </c>
      <c r="H148" s="21" t="s">
        <v>544</v>
      </c>
      <c r="I148" s="13">
        <v>42803.987407407411</v>
      </c>
      <c r="J148" s="7">
        <v>0</v>
      </c>
      <c r="K148" s="98" t="str">
        <f>IF(ISEVEN(B148),(B148-1)&amp;"/"&amp;B148,B148&amp;"/"&amp;(B148+1))</f>
        <v>4043/4044</v>
      </c>
      <c r="L148" s="21" t="str">
        <f>VLOOKUP(A148,'Trips&amp;Operators'!$C$1:$G$99999,5,FALSE)</f>
        <v>CHANDLER KELVIN</v>
      </c>
      <c r="M148" s="6">
        <f>I148-F148</f>
        <v>2.8761574074451346E-2</v>
      </c>
      <c r="N148" s="7">
        <f>24*60*SUM($M148:$M148)</f>
        <v>41.416666667209938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-03-09T21:48:19-0700',mode:absolute,to:'2017-03-10T00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87" t="str">
        <f>IF(AA148&lt;IF(AG148="EC",23,5.65),"Y","N")</f>
        <v>N</v>
      </c>
      <c r="X148" s="187">
        <f>VALUE(LEFT(AD148,4))-VALUE(LEFT(AD147,4))</f>
        <v>1</v>
      </c>
      <c r="Y148" s="62">
        <f>RIGHT(D148,LEN(D148)-4)/10000</f>
        <v>4.4600000000000001E-2</v>
      </c>
      <c r="Z148" s="62">
        <f>RIGHT(H148,LEN(H148)-4)/10000</f>
        <v>23.3293</v>
      </c>
      <c r="AA148" s="62">
        <f>ABS(Z148-Y148)</f>
        <v>23.284700000000001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0237-09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/stypes="app*4044*20170310*" /stext=" 06:.+((SYSTEM_STATE.+slice.+state.+changed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9"/>
        <v>"%USERPROFILE%\Documents\GitHub\eaglep3\Utilities\RefineRTDCRunTimes.py" --tripid 237-09 --locoid 4044 --swversion DE.1.0.9.0 --startMP 204:446 --initTime 2017-03-09T22:48:19 --startdatetime 2017-03-09T23:00:27 --delay 1 --endMP 204:233293 --enddatetime 2017-03-09T23:41:52 --enforcementcount 0 &gt;&gt;C:\Users\stu\Documents\GitHub\eaglep3-reporting\EC\2017-03-09-refined-times.txt</v>
      </c>
      <c r="AI148" s="108" t="str">
        <f t="shared" si="10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ID","value":"237-09"},{"id":16,"name":"Locomotive ID","value":"4044"},{"id":130,"name":"Impact","value":""},{"id":150,"name":"Time of Event (Mountain Time)","value":"23:41:52"},{"id":151,"name":"Denver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1"/>
        <v>start /low /b %USERPROFILE%\Documents\GitHub\eaglep3\Utilities\DownloadLogsFromS3.py --loco 4044 --day 2017-03-09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613</v>
      </c>
      <c r="B149" s="7">
        <v>4043</v>
      </c>
      <c r="C149" s="21" t="s">
        <v>242</v>
      </c>
      <c r="D149" s="21" t="s">
        <v>874</v>
      </c>
      <c r="E149" s="13">
        <v>42803.995868055557</v>
      </c>
      <c r="F149" s="13">
        <v>42803.997812499998</v>
      </c>
      <c r="G149" s="7">
        <v>1</v>
      </c>
      <c r="H149" s="21" t="s">
        <v>875</v>
      </c>
      <c r="I149" s="13">
        <v>42804.026053240741</v>
      </c>
      <c r="J149" s="7">
        <v>0</v>
      </c>
      <c r="K149" s="98" t="str">
        <f>IF(ISEVEN(B149),(B149-1)&amp;"/"&amp;B149,B149&amp;"/"&amp;(B149+1))</f>
        <v>4043/4044</v>
      </c>
      <c r="L149" s="21" t="str">
        <f>VLOOKUP(A149,'Trips&amp;Operators'!$C$1:$G$99999,5,FALSE)</f>
        <v>CHANDLER KELVIN</v>
      </c>
      <c r="M149" s="6">
        <f>I149-F149</f>
        <v>2.8240740743058268E-2</v>
      </c>
      <c r="N149" s="7">
        <f>24*60*SUM($M149:$M149)</f>
        <v>40.666666670003906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87" t="str">
        <f>IF(AA149&lt;IF(AG149="EC",23,5.65),"Y","N")</f>
        <v>N</v>
      </c>
      <c r="X149" s="187">
        <f>VALUE(LEFT(AD149,4))-VALUE(LEFT(AD148,4))</f>
        <v>1</v>
      </c>
      <c r="Y149" s="62">
        <f>RIGHT(D149,LEN(D149)-4)/10000</f>
        <v>23.296800000000001</v>
      </c>
      <c r="Z149" s="62">
        <f>RIGHT(H149,LEN(H149)-4)/10000</f>
        <v>1.9099999999999999E-2</v>
      </c>
      <c r="AA149" s="62">
        <f>ABS(Z149-Y149)</f>
        <v>23.277699999999999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0238-09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/stypes="app*4043*20170310*" /stext=" 07:.+((SYSTEM_STATE.+slice.+state.+changed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9"/>
        <v>"%USERPROFILE%\Documents\GitHub\eaglep3\Utilities\RefineRTDCRunTimes.py" --tripid 238-09 --locoid 4043 --swversion DE.1.0.9.0 --startMP 204:232968 --initTime 2017-03-09T23:54:03 --startdatetime 2017-03-09T23:56:51 --delay 1 --endMP 204:191 --enddatetime 2017-03-10T00:37:31 --enforcementcount 0 &gt;&gt;C:\Users\stu\Documents\GitHub\eaglep3-reporting\EC\2017-03-09-refined-times.txt</v>
      </c>
      <c r="AI149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{"issue":{"subject":"","project_id":79,"tracker_id":40,"status_id":1,"priority_id":2,"assigned_to_id":23,"start_date":"2017-03-10","description":"","custom_fields":[{"id":1,"name":"Subdivision","value":"EC"},{"id":4,"name":"Milepost","value":"0.0191"},{"id":17,"name":"Train ID","value":"238-09"},{"id":16,"name":"Locomotive ID","value":"4043"},{"id":130,"name":"Impact","value":""},{"id":150,"name":"Time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1"/>
        <v>start /low /b %USERPROFILE%\Documents\GitHub\eaglep3\Utilities\DownloadLogsFromS3.py --loco 4043 --day 2017-03-09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806</v>
      </c>
      <c r="B150" s="7">
        <v>4020</v>
      </c>
      <c r="C150" s="21" t="s">
        <v>242</v>
      </c>
      <c r="D150" s="21" t="s">
        <v>424</v>
      </c>
      <c r="E150" s="13">
        <v>42803.97729166667</v>
      </c>
      <c r="F150" s="13">
        <v>42803.97934027778</v>
      </c>
      <c r="G150" s="7">
        <v>1</v>
      </c>
      <c r="H150" s="21" t="s">
        <v>876</v>
      </c>
      <c r="I150" s="13">
        <v>42804.003923611112</v>
      </c>
      <c r="J150" s="7">
        <v>0</v>
      </c>
      <c r="K150" s="98" t="str">
        <f>IF(ISEVEN(B150),(B150-1)&amp;"/"&amp;B150,B150&amp;"/"&amp;(B150+1))</f>
        <v>4019/4020</v>
      </c>
      <c r="L150" s="21" t="str">
        <f>VLOOKUP(A150,'Trips&amp;Operators'!$C$1:$G$99999,5,FALSE)</f>
        <v>NEWELL JAMES</v>
      </c>
      <c r="M150" s="6">
        <f>I150-F150</f>
        <v>2.4583333331975155E-2</v>
      </c>
      <c r="N150" s="7">
        <f>24*60*SUM($M150:$M150)</f>
        <v>35.399999998044223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-03-09T22:27:18-0700',mode:absolute,to:'2017-03-10T01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0" s="187" t="str">
        <f>IF(AA150&lt;IF(AG150="EC",23,5.65),"Y","N")</f>
        <v>Y</v>
      </c>
      <c r="X150" s="187">
        <f>VALUE(LEFT(AD150,4))-VALUE(LEFT(AD149,4))</f>
        <v>1</v>
      </c>
      <c r="Y150" s="62">
        <f>RIGHT(D150,LEN(D150)-4)/10000</f>
        <v>4.8399999999999999E-2</v>
      </c>
      <c r="Z150" s="62">
        <f>RIGHT(H150,LEN(H150)-4)/10000</f>
        <v>22.811399999999999</v>
      </c>
      <c r="AA150" s="62">
        <f>ABS(Z150-Y150)</f>
        <v>22.762999999999998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0239-09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/stypes="app*4020*20170310*" /stext=" 07:.+((SYSTEM_STATE.+slice.+state.+changed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9"/>
        <v>"%USERPROFILE%\Documents\GitHub\eaglep3\Utilities\RefineRTDCRunTimes.py" --tripid 239-09 --locoid 4020 --swversion DE.1.0.9.0 --startMP 204:484 --initTime 2017-03-09T23:27:18 --startdatetime 2017-03-09T23:30:15 --delay 1 --endMP 204:228114 --enddatetime 2017-03-10T00:05:39 --enforcementcount 0 &gt;&gt;C:\Users\stu\Documents\GitHub\eaglep3-reporting\EC\2017-03-09-refined-times.txt</v>
      </c>
      <c r="AI150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{"issue":{"subject":"","project_id":79,"tracker_id":40,"status_id":1,"priority_id":2,"assigned_to_id":23,"start_date":"2017-03-10","description":"","custom_fields":[{"id":1,"name":"Subdivision","value":"EC"},{"id":4,"name":"Milepost","value":"22.8114"},{"id":17,"name":"Train ID","value":"239-09"},{"id":16,"name":"Locomotive ID","value":"4020"},{"id":130,"name":"Impact","value":""},{"id":150,"name":"Time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1"/>
        <v>start /low /b %USERPROFILE%\Documents\GitHub\eaglep3\Utilities\DownloadLogsFromS3.py --loco 4020 --day 2017-03-09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808</v>
      </c>
      <c r="B151" s="7">
        <v>4019</v>
      </c>
      <c r="C151" s="21" t="s">
        <v>242</v>
      </c>
      <c r="D151" s="21" t="s">
        <v>433</v>
      </c>
      <c r="E151" s="13">
        <v>42804.015277777777</v>
      </c>
      <c r="F151" s="13">
        <v>42804.018229166664</v>
      </c>
      <c r="G151" s="7">
        <v>1</v>
      </c>
      <c r="H151" s="21" t="s">
        <v>877</v>
      </c>
      <c r="I151" s="13">
        <v>42804.045937499999</v>
      </c>
      <c r="J151" s="7">
        <v>0</v>
      </c>
      <c r="K151" s="98" t="str">
        <f>IF(ISEVEN(B151),(B151-1)&amp;"/"&amp;B151,B151&amp;"/"&amp;(B151+1))</f>
        <v>4019/4020</v>
      </c>
      <c r="L151" s="21" t="str">
        <f>VLOOKUP(A151,'Trips&amp;Operators'!$C$1:$G$99999,5,FALSE)</f>
        <v>NEWELL JAMES</v>
      </c>
      <c r="M151" s="6">
        <f>I151-F151</f>
        <v>2.7708333334885538E-2</v>
      </c>
      <c r="N151" s="7">
        <f>24*60*SUM($M151:$M151)</f>
        <v>39.900000002235174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1" s="187" t="str">
        <f>IF(AA151&lt;IF(AG151="EC",23,5.65),"Y","N")</f>
        <v>N</v>
      </c>
      <c r="X151" s="187">
        <f>VALUE(LEFT(AD151,4))-VALUE(LEFT(AD150,4))</f>
        <v>1</v>
      </c>
      <c r="Y151" s="62">
        <f>RIGHT(D151,LEN(D151)-4)/10000</f>
        <v>23.299299999999999</v>
      </c>
      <c r="Z151" s="62">
        <f>RIGHT(H151,LEN(H151)-4)/10000</f>
        <v>6.4699999999999994E-2</v>
      </c>
      <c r="AA151" s="62">
        <f>ABS(Z151-Y151)</f>
        <v>23.2346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0240-09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/stypes="app*4019*20170310*" /stext=" 08:.+((SYSTEM_STATE.+slice.+state.+changed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9"/>
        <v>"%USERPROFILE%\Documents\GitHub\eaglep3\Utilities\RefineRTDCRunTimes.py" --tripid 240-09 --locoid 4019 --swversion DE.1.0.9.0 --startMP 204:232993 --initTime 2017-03-10T00:22:00 --startdatetime 2017-03-10T00:26:15 --delay 1 --endMP 204:647 --enddatetime 2017-03-10T01:06:09 --enforcementcount 0 &gt;&gt;C:\Users\stu\Documents\GitHub\eaglep3-reporting\EC\2017-03-09-refined-times.txt</v>
      </c>
      <c r="AI151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{"issue":{"subject":"","project_id":79,"tracker_id":40,"status_id":1,"priority_id":2,"assigned_to_id":23,"start_date":"2017-03-10","description":"","custom_fields":[{"id":1,"name":"Subdivision","value":"EC"},{"id":4,"name":"Milepost","value":"0.0647"},{"id":17,"name":"Train ID","value":"240-09"},{"id":16,"name":"Locomotive ID","value":"4019"},{"id":130,"name":"Impact","value":""},{"id":150,"name":"Time of Event (Mountain Time)","value":"01:06:09"},{"id":151,"name":"Denver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1"/>
        <v>start /low /b %USERPROFILE%\Documents\GitHub\eaglep3\Utilities\DownloadLogsFromS3.py --loco 4019 --day 2017-03-10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</row>
    <row r="152" spans="1:91" s="20" customFormat="1" x14ac:dyDescent="0.25">
      <c r="A152" s="33" t="s">
        <v>807</v>
      </c>
      <c r="B152" s="7">
        <v>4003</v>
      </c>
      <c r="C152" s="21" t="s">
        <v>242</v>
      </c>
      <c r="D152" s="21" t="s">
        <v>218</v>
      </c>
      <c r="E152" s="13">
        <v>42803.990844907406</v>
      </c>
      <c r="F152" s="13">
        <v>42804.000219907408</v>
      </c>
      <c r="G152" s="7">
        <v>1</v>
      </c>
      <c r="H152" s="21" t="s">
        <v>878</v>
      </c>
      <c r="I152" s="13">
        <v>42804.02616898148</v>
      </c>
      <c r="J152" s="7">
        <v>0</v>
      </c>
      <c r="K152" s="98" t="str">
        <f>IF(ISEVEN(B152),(B152-1)&amp;"/"&amp;B152,B152&amp;"/"&amp;(B152+1))</f>
        <v>4003/4004</v>
      </c>
      <c r="L152" s="21" t="str">
        <f>VLOOKUP(A152,'Trips&amp;Operators'!$C$1:$G$99999,5,FALSE)</f>
        <v>MCREYNOLDS KYLE</v>
      </c>
      <c r="M152" s="6">
        <f>I152-F152</f>
        <v>2.5949074071832001E-2</v>
      </c>
      <c r="N152" s="7">
        <f>24*60*SUM($M152:$M152)</f>
        <v>37.366666663438082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-03-09T22:46:49-0700',mode:absolute,to:'2017-03-10T01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87" t="str">
        <f>IF(AA152&lt;IF(AG152="EC",23,5.65),"Y","N")</f>
        <v>Y</v>
      </c>
      <c r="X152" s="187">
        <f>VALUE(LEFT(AD152,4))-VALUE(LEFT(AD151,4))</f>
        <v>1</v>
      </c>
      <c r="Y152" s="62">
        <f>RIGHT(D152,LEN(D152)-4)/10000</f>
        <v>4.5999999999999999E-2</v>
      </c>
      <c r="Z152" s="62">
        <f>RIGHT(H152,LEN(H152)-4)/10000</f>
        <v>22.733899999999998</v>
      </c>
      <c r="AA152" s="62">
        <f>ABS(Z152-Y152)</f>
        <v>22.687899999999999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0241-09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/stypes="app*4003*20170310*" /stext=" 07:.+((SYSTEM_STATE.+slice.+state.+changed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9"/>
        <v>"%USERPROFILE%\Documents\GitHub\eaglep3\Utilities\RefineRTDCRunTimes.py" --tripid 241-09 --locoid 4003 --swversion DE.1.0.9.0 --startMP 204:460 --initTime 2017-03-09T23:46:49 --startdatetime 2017-03-10T00:00:19 --delay 1 --endMP 204:227339 --enddatetime 2017-03-10T00:37:41 --enforcementcount 0 &gt;&gt;C:\Users\stu\Documents\GitHub\eaglep3-reporting\EC\2017-03-09-refined-times.txt</v>
      </c>
      <c r="AI152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{"issue":{"subject":"","project_id":79,"tracker_id":40,"status_id":1,"priority_id":2,"assigned_to_id":23,"start_date":"2017-03-10","description":"","custom_fields":[{"id":1,"name":"Subdivision","value":"EC"},{"id":4,"name":"Milepost","value":"22.7339"},{"id":17,"name":"Train ID","value":"241-09"},{"id":16,"name":"Locomotive ID","value":"4003"},{"id":130,"name":"Impact","value":""},{"id":150,"name":"Time of Event (Mountain Time)","value":"00:37:41"},{"id":151,"name":"Denver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1"/>
        <v>start /low /b %USERPROFILE%\Documents\GitHub\eaglep3\Utilities\DownloadLogsFromS3.py --loco 4003 --day 2017-03-10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810</v>
      </c>
      <c r="B153" s="7">
        <v>4004</v>
      </c>
      <c r="C153" s="21" t="s">
        <v>242</v>
      </c>
      <c r="D153" s="21" t="s">
        <v>832</v>
      </c>
      <c r="E153" s="13">
        <v>42804.032696759263</v>
      </c>
      <c r="F153" s="13">
        <v>42804.039131944446</v>
      </c>
      <c r="G153" s="7">
        <v>1</v>
      </c>
      <c r="H153" s="21" t="s">
        <v>879</v>
      </c>
      <c r="I153" s="13">
        <v>42804.068506944444</v>
      </c>
      <c r="J153" s="7">
        <v>0</v>
      </c>
      <c r="K153" s="98" t="str">
        <f>IF(ISEVEN(B153),(B153-1)&amp;"/"&amp;B153,B153&amp;"/"&amp;(B153+1))</f>
        <v>4003/4004</v>
      </c>
      <c r="L153" s="21" t="str">
        <f>VLOOKUP(A153,'Trips&amp;Operators'!$C$1:$G$99999,5,FALSE)</f>
        <v>MCREYNOLDS KYLE</v>
      </c>
      <c r="M153" s="6">
        <f>I153-F153</f>
        <v>2.937499999825377E-2</v>
      </c>
      <c r="N153" s="7">
        <f>24*60*SUM($M153:$M153)</f>
        <v>42.299999997485429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-03-09T23:47:05-0700',mode:absolute,to:'2017-03-10T02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87" t="str">
        <f>IF(AA153&lt;IF(AG153="EC",23,5.65),"Y","N")</f>
        <v>N</v>
      </c>
      <c r="X153" s="187">
        <f>VALUE(LEFT(AD153,4))-VALUE(LEFT(AD152,4))</f>
        <v>1</v>
      </c>
      <c r="Y153" s="62">
        <f>RIGHT(D153,LEN(D153)-4)/10000</f>
        <v>23.300999999999998</v>
      </c>
      <c r="Z153" s="62">
        <f>RIGHT(H153,LEN(H153)-4)/10000</f>
        <v>1.4200000000000001E-2</v>
      </c>
      <c r="AA153" s="62">
        <f>ABS(Z153-Y153)</f>
        <v>23.286799999999999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0242-09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/stypes="app*4004*20170310*" /stext=" 08:.+((SYSTEM_STATE.+slice.+state.+changed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9"/>
        <v>"%USERPROFILE%\Documents\GitHub\eaglep3\Utilities\RefineRTDCRunTimes.py" --tripid 242-09 --locoid 4004 --swversion DE.1.0.9.0 --startMP 204:233010 --initTime 2017-03-10T00:47:05 --startdatetime 2017-03-10T00:56:21 --delay 1 --endMP 204:142 --enddatetime 2017-03-10T01:38:39 --enforcementcount 0 &gt;&gt;C:\Users\stu\Documents\GitHub\eaglep3-reporting\EC\2017-03-09-refined-times.txt</v>
      </c>
      <c r="AI153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{"issue":{"subject":"","project_id":79,"tracker_id":40,"status_id":1,"priority_id":2,"assigned_to_id":23,"start_date":"2017-03-10","description":"","custom_fields":[{"id":1,"name":"Subdivision","value":"EC"},{"id":4,"name":"Milepost","value":"0.0142"},{"id":17,"name":"Train ID","value":"242-09"},{"id":16,"name":"Locomotive ID","value":"4004"},{"id":130,"name":"Impact","value":""},{"id":150,"name":"Time of Event (Mountain Time)","value":"01:38:39"},{"id":151,"name":"Denver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1"/>
        <v>start /low /b %USERPROFILE%\Documents\GitHub\eaglep3\Utilities\DownloadLogsFromS3.py --loco 4004 --day 2017-03-10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809</v>
      </c>
      <c r="B154" s="7">
        <v>4018</v>
      </c>
      <c r="C154" s="21" t="s">
        <v>242</v>
      </c>
      <c r="D154" s="21" t="s">
        <v>262</v>
      </c>
      <c r="E154" s="13">
        <v>42804.018518518518</v>
      </c>
      <c r="F154" s="13">
        <v>42804.021087962959</v>
      </c>
      <c r="G154" s="7">
        <v>1</v>
      </c>
      <c r="H154" s="21" t="s">
        <v>880</v>
      </c>
      <c r="I154" s="13">
        <v>42804.047905092593</v>
      </c>
      <c r="J154" s="7">
        <v>0</v>
      </c>
      <c r="K154" s="98" t="str">
        <f>IF(ISEVEN(B154),(B154-1)&amp;"/"&amp;B154,B154&amp;"/"&amp;(B154+1))</f>
        <v>4017/4018</v>
      </c>
      <c r="L154" s="21" t="str">
        <f>VLOOKUP(A154,'Trips&amp;Operators'!$C$1:$G$99999,5,FALSE)</f>
        <v>SWANSON BRYCE</v>
      </c>
      <c r="M154" s="6">
        <f>I154-F154</f>
        <v>2.6817129633855075E-2</v>
      </c>
      <c r="N154" s="7">
        <f>24*60*SUM($M154:$M154)</f>
        <v>38.616666672751307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-03-09T23:26:40-0700',mode:absolute,to:'2017-03-10T02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187" t="str">
        <f>IF(AA154&lt;IF(AG154="EC",23,5.65),"Y","N")</f>
        <v>Y</v>
      </c>
      <c r="X154" s="187">
        <f>VALUE(LEFT(AD154,4))-VALUE(LEFT(AD153,4))</f>
        <v>1</v>
      </c>
      <c r="Y154" s="62">
        <f>RIGHT(D154,LEN(D154)-4)/10000</f>
        <v>4.6699999999999998E-2</v>
      </c>
      <c r="Z154" s="62">
        <f>RIGHT(H154,LEN(H154)-4)/10000</f>
        <v>22.8293</v>
      </c>
      <c r="AA154" s="62">
        <f>ABS(Z154-Y154)</f>
        <v>22.782599999999999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0243-09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 &amp; 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/stypes="app*4018*20170310*" /stext=" 08:.+((SYSTEM_STATE.+slice.+state.+changed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9"/>
        <v>"%USERPROFILE%\Documents\GitHub\eaglep3\Utilities\RefineRTDCRunTimes.py" --tripid 243-09 --locoid 4018 --swversion DE.1.0.9.0 --startMP 204:467 --initTime 2017-03-10T00:26:40 --startdatetime 2017-03-10T00:30:22 --delay 1 --endMP 204:228293 --enddatetime 2017-03-10T01:08:59 --enforcementcount 0 &gt;&gt;C:\Users\stu\Documents\GitHub\eaglep3-reporting\EC\2017-03-09-refined-times.txt</v>
      </c>
      <c r="AI154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{"issue":{"subject":"","project_id":79,"tracker_id":40,"status_id":1,"priority_id":2,"assigned_to_id":23,"start_date":"2017-03-10","description":"","custom_fields":[{"id":1,"name":"Subdivision","value":"EC"},{"id":4,"name":"Milepost","value":"22.8293"},{"id":17,"name":"Train ID","value":"243-09"},{"id":16,"name":"Locomotive ID","value":"4018"},{"id":130,"name":"Impact","value":""},{"id":150,"name":"Time of Event (Mountain Time)","value":"01:08:59"},{"id":151,"name":"Denver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1"/>
        <v>start /low /b %USERPROFILE%\Documents\GitHub\eaglep3\Utilities\DownloadLogsFromS3.py --loco 4018 --day 2017-03-10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812</v>
      </c>
      <c r="B155" s="7">
        <v>4017</v>
      </c>
      <c r="C155" s="21" t="s">
        <v>242</v>
      </c>
      <c r="D155" s="21" t="s">
        <v>881</v>
      </c>
      <c r="E155" s="13">
        <v>42804.051898148151</v>
      </c>
      <c r="F155" s="13">
        <v>42804.059930555559</v>
      </c>
      <c r="G155" s="7">
        <v>1</v>
      </c>
      <c r="H155" s="21" t="s">
        <v>882</v>
      </c>
      <c r="I155" s="13">
        <v>42804.089490740742</v>
      </c>
      <c r="J155" s="7">
        <v>0</v>
      </c>
      <c r="K155" s="98" t="str">
        <f>IF(ISEVEN(B155),(B155-1)&amp;"/"&amp;B155,B155&amp;"/"&amp;(B155+1))</f>
        <v>4017/4018</v>
      </c>
      <c r="L155" s="21" t="str">
        <f>VLOOKUP(A155,'Trips&amp;Operators'!$C$1:$G$99999,5,FALSE)</f>
        <v>SWANSON BRYCE</v>
      </c>
      <c r="M155" s="6">
        <f>I155-F155</f>
        <v>2.9560185183072463E-2</v>
      </c>
      <c r="N155" s="7">
        <f>24*60*SUM($M155:$M155)</f>
        <v>42.566666663624346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-03-10T00:14:44-0700',mode:absolute,to:'2017-03-10T03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187" t="str">
        <f>IF(AA155&lt;IF(AG155="EC",23,5.65),"Y","N")</f>
        <v>N</v>
      </c>
      <c r="X155" s="187">
        <f>VALUE(LEFT(AD155,4))-VALUE(LEFT(AD154,4))</f>
        <v>1</v>
      </c>
      <c r="Y155" s="62">
        <f>RIGHT(D155,LEN(D155)-4)/10000</f>
        <v>23.3034</v>
      </c>
      <c r="Z155" s="62">
        <f>RIGHT(H155,LEN(H155)-4)/10000</f>
        <v>1.3299999999999999E-2</v>
      </c>
      <c r="AA155" s="62">
        <f>ABS(Z155-Y155)</f>
        <v>23.290099999999999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0244-09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 &amp; aws s3 cp s3://rtdc.mdm.uploadarchive.raw/RTDC4017/ "%USERPROFILE%\AppData\Local\Temp\OnboardLogs"\RTDC4017\2017-03-11 --exclude "*" --recursive --include "*20170311*" &amp; "%USERPROFILE%\Documents\GitHub\mrs-test-scripts\Headless Mode &amp; Sideloading\WalkAndUnGZ.bat" "%USERPROFILE%\AppData\Local\Temp\OnboardLogs"\RTDC4017\2017-03-11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/stypes="app*4017*20170310*" /stext=" 09:.+((SYSTEM_STATE.+slice.+state.+changed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9"/>
        <v>"%USERPROFILE%\Documents\GitHub\eaglep3\Utilities\RefineRTDCRunTimes.py" --tripid 244-09 --locoid 4017 --swversion DE.1.0.9.0 --startMP 204:233034 --initTime 2017-03-10T01:14:44 --startdatetime 2017-03-10T01:26:18 --delay 1 --endMP 204:133 --enddatetime 2017-03-10T02:08:52 --enforcementcount 0 &gt;&gt;C:\Users\stu\Documents\GitHub\eaglep3-reporting\EC\2017-03-09-refined-times.txt</v>
      </c>
      <c r="AI155" s="108" t="str">
        <f t="shared" si="10"/>
        <v>echo {"issue":{"subject":"","project_id":79,"tracker_id":40,"status_id":1,"priority_id":2,"assigned_to_id":23,"start_date":"2017-03-10","description":"","custom_fields":[{"id":1,"name":"Subdivision","value":"EC"},{"id":4,"name":"Milepost","value":"0.0133"},{"id":17,"name":"Train ID","value":"244-09"},{"id":16,"name":"Locomotive ID","value":"4017"},{"id":130,"name":"Impact","value":""},{"id":150,"name":"Time of Event (Mountain Time)","value":"02:08:52"},{"id":151,"name":"Denver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1"/>
        <v>start /low /b %USERPROFILE%\Documents\GitHub\eaglep3\Utilities\DownloadLogsFromS3.py --loco 4017 --day 2017-03-10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634</v>
      </c>
      <c r="B156" s="7">
        <v>4008</v>
      </c>
      <c r="C156" s="21" t="s">
        <v>242</v>
      </c>
      <c r="D156" s="21" t="s">
        <v>924</v>
      </c>
      <c r="E156" s="13">
        <v>42803.210752314815</v>
      </c>
      <c r="F156" s="13">
        <v>42803.215740740743</v>
      </c>
      <c r="G156" s="7">
        <v>1</v>
      </c>
      <c r="H156" s="21" t="s">
        <v>431</v>
      </c>
      <c r="I156" s="13">
        <v>42803.2262962963</v>
      </c>
      <c r="J156" s="7">
        <v>0</v>
      </c>
      <c r="K156" s="98" t="str">
        <f>IF(ISEVEN(B156),(B156-1)&amp;"/"&amp;B156,B156&amp;"/"&amp;(B156+1))</f>
        <v>4007/4008</v>
      </c>
      <c r="L156" s="21" t="str">
        <f>VLOOKUP(A156,'Trips&amp;Operators'!$C$1:$G$99999,5,FALSE)</f>
        <v>SHOOK JOHN</v>
      </c>
      <c r="M156" s="6">
        <f>I156-F156</f>
        <v>1.0555555556493346E-2</v>
      </c>
      <c r="N156" s="7">
        <f>24*60*SUM($M156:$M156)</f>
        <v>15.200000001350418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-03-09T04:03:29-0700',mode:absolute,to:'2017-03-09T06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187" t="str">
        <f>IF(AA156&lt;IF(AG156="EC",23,5.65),"Y","N")</f>
        <v>N</v>
      </c>
      <c r="X156" s="187">
        <f>VALUE(LEFT(AD156,4))-VALUE(LEFT(AD155,4))</f>
        <v>556</v>
      </c>
      <c r="Y156" s="62">
        <f>RIGHT(D156,LEN(D156)-4)/10000</f>
        <v>5.8678999999999997</v>
      </c>
      <c r="Z156" s="62">
        <f>RIGHT(H156,LEN(H156)-4)/10000</f>
        <v>7.4099999999999999E-2</v>
      </c>
      <c r="AA156" s="62">
        <f>ABS(Z156-Y156)</f>
        <v>5.7938000000000001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0800-09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/stypes="app*4008*20170309*" /stext=" 12:.+((SYSTEM_STATE.+slice.+state.+changed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NW</v>
      </c>
      <c r="AH156" s="86" t="str">
        <f t="shared" si="9"/>
        <v>"%USERPROFILE%\Documents\GitHub\eaglep3\Utilities\RefineRTDCRunTimes.py" --tripid 800-09 --locoid 4008 --swversion DE.1.0.9.0 --startMP 300:58679 --initTime 2017-03-09T05:03:29 --startdatetime 2017-03-09T05:10:40 --delay 1 --endMP 204:741 --enddatetime 2017-03-09T05:25:52 --enforcementcount 0 &gt;&gt;C:\Users\stu\Documents\GitHub\eaglep3-reporting\EC\2017-03-09-refined-times.txt</v>
      </c>
      <c r="AI156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{"issue":{"subject":"","project_id":79,"tracker_id":40,"status_id":1,"priority_id":2,"assigned_to_id":23,"start_date":"2017-03-09","description":"","custom_fields":[{"id":1,"name":"Subdivision","value":"NW"},{"id":4,"name":"Milepost","value":"0.0741"},{"id":17,"name":"Train ID","value":"800-09"},{"id":16,"name":"Locomotive ID","value":"4008"},{"id":130,"name":"Impact","value":""},{"id":150,"name":"Time of Event (Mountain Time)","value":"05:25:52"},{"id":151,"name":"Denver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1"/>
        <v>start /low /b %USERPROFILE%\Documents\GitHub\eaglep3\Utilities\DownloadLogsFromS3.py --loco 4008 --day 2017-03-09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639</v>
      </c>
      <c r="B157" s="7">
        <v>4007</v>
      </c>
      <c r="C157" s="21" t="s">
        <v>242</v>
      </c>
      <c r="D157" s="21" t="s">
        <v>557</v>
      </c>
      <c r="E157" s="13">
        <v>42803.228101851855</v>
      </c>
      <c r="F157" s="13">
        <v>42803.243958333333</v>
      </c>
      <c r="G157" s="7">
        <v>0</v>
      </c>
      <c r="H157" s="21" t="s">
        <v>925</v>
      </c>
      <c r="I157" s="13">
        <v>42803.253912037035</v>
      </c>
      <c r="J157" s="7">
        <v>0</v>
      </c>
      <c r="K157" s="98" t="str">
        <f>IF(ISEVEN(B157),(B157-1)&amp;"/"&amp;B157,B157&amp;"/"&amp;(B157+1))</f>
        <v>4007/4008</v>
      </c>
      <c r="L157" s="21" t="str">
        <f>VLOOKUP(A157,'Trips&amp;Operators'!$C$1:$G$99999,5,FALSE)</f>
        <v>SHOOK JOHN</v>
      </c>
      <c r="M157" s="6">
        <f>I157-F157</f>
        <v>9.9537037021946162E-3</v>
      </c>
      <c r="N157" s="7">
        <f>24*60*SUM($M157:$M157)</f>
        <v>14.333333331160247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-03-09T04:28:28-0700',mode:absolute,to:'2017-03-09T07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87" t="str">
        <f>IF(AA157&lt;IF(AG157="EC",23,5.65),"Y","N")</f>
        <v>N</v>
      </c>
      <c r="X157" s="187">
        <f>VALUE(LEFT(AD157,4))-VALUE(LEFT(AD156,4))</f>
        <v>1</v>
      </c>
      <c r="Y157" s="62">
        <f>RIGHT(D157,LEN(D157)-4)/10000</f>
        <v>0.1027</v>
      </c>
      <c r="Z157" s="62">
        <f>RIGHT(H157,LEN(H157)-4)/10000</f>
        <v>5.8994999999999997</v>
      </c>
      <c r="AA157" s="62">
        <f>ABS(Z157-Y157)</f>
        <v>5.7968000000000002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0801-09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/stypes="app*4007*20170309*" /stext=" 13:.+((SYSTEM_STATE.+slice.+state.+changed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NW</v>
      </c>
      <c r="AH157" s="86" t="str">
        <f t="shared" si="9"/>
        <v>"%USERPROFILE%\Documents\GitHub\eaglep3\Utilities\RefineRTDCRunTimes.py" --tripid 801-09 --locoid 4007 --swversion DE.1.0.9.0 --startMP 204:1027 --initTime 2017-03-09T05:28:28 --startdatetime 2017-03-09T05:51:18 --delay 0 --endMP 300:58995 --enddatetime 2017-03-09T06:05:38 --enforcementcount 0 &gt;&gt;C:\Users\stu\Documents\GitHub\eaglep3-reporting\EC\2017-03-09-refined-times.txt</v>
      </c>
      <c r="AI157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{"issue":{"subject":"","project_id":79,"tracker_id":40,"status_id":1,"priority_id":2,"assigned_to_id":23,"start_date":"2017-03-09","description":"","custom_fields":[{"id":1,"name":"Subdivision","value":"NW"},{"id":4,"name":"Milepost","value":"5.8995"},{"id":17,"name":"Train ID","value":"801-09"},{"id":16,"name":"Locomotive ID","value":"4007"},{"id":130,"name":"Impact","value":""},{"id":150,"name":"Time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1"/>
        <v>start /low /b %USERPROFILE%\Documents\GitHub\eaglep3\Utilities\DownloadLogsFromS3.py --loco 4007 --day 2017-03-09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58" spans="1:91" x14ac:dyDescent="0.25">
      <c r="A158" s="33" t="s">
        <v>645</v>
      </c>
      <c r="B158" s="7">
        <v>4008</v>
      </c>
      <c r="C158" s="21" t="s">
        <v>242</v>
      </c>
      <c r="D158" s="21" t="s">
        <v>924</v>
      </c>
      <c r="E158" s="13">
        <v>42803.256111111114</v>
      </c>
      <c r="F158" s="13">
        <v>42803.258125</v>
      </c>
      <c r="G158" s="7">
        <v>1</v>
      </c>
      <c r="H158" s="21" t="s">
        <v>926</v>
      </c>
      <c r="I158" s="13">
        <v>42803.267858796295</v>
      </c>
      <c r="J158" s="7">
        <v>0</v>
      </c>
      <c r="K158" s="98" t="str">
        <f>IF(ISEVEN(B158),(B158-1)&amp;"/"&amp;B158,B158&amp;"/"&amp;(B158+1))</f>
        <v>4007/4008</v>
      </c>
      <c r="L158" s="21" t="str">
        <f>VLOOKUP(A158,'Trips&amp;Operators'!$C$1:$G$99999,5,FALSE)</f>
        <v>SHOOK JOHN</v>
      </c>
      <c r="M158" s="6">
        <f>I158-F158</f>
        <v>9.7337962943129241E-3</v>
      </c>
      <c r="N158" s="7">
        <f>24*60*SUM($M158:$M158)</f>
        <v>14.016666663810611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-03-09T05:08:48-0700',mode:absolute,to:'2017-03-09T07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87" t="str">
        <f>IF(AA158&lt;IF(AG158="EC",23,5.65),"Y","N")</f>
        <v>N</v>
      </c>
      <c r="X158" s="187">
        <f>VALUE(LEFT(AD158,4))-VALUE(LEFT(AD157,4))</f>
        <v>1</v>
      </c>
      <c r="Y158" s="62">
        <f>RIGHT(D158,LEN(D158)-4)/10000</f>
        <v>5.8678999999999997</v>
      </c>
      <c r="Z158" s="62">
        <f>RIGHT(H158,LEN(H158)-4)/10000</f>
        <v>7.4800000000000005E-2</v>
      </c>
      <c r="AA158" s="62">
        <f>ABS(Z158-Y158)</f>
        <v>5.7930999999999999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0802-09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/stypes="app*4008*20170309*" /stext=" 13:.+((SYSTEM_STATE.+slice.+state.+changed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 t="shared" si="9"/>
        <v>"%USERPROFILE%\Documents\GitHub\eaglep3\Utilities\RefineRTDCRunTimes.py" --tripid 802-09 --locoid 4008 --swversion DE.1.0.9.0 --startMP 300:58679 --initTime 2017-03-09T06:08:48 --startdatetime 2017-03-09T06:11:42 --delay 1 --endMP 204:748 --enddatetime 2017-03-09T06:25:43 --enforcementcount 0 &gt;&gt;C:\Users\stu\Documents\GitHub\eaglep3-reporting\EC\2017-03-09-refined-times.txt</v>
      </c>
      <c r="AI158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{"issue":{"subject":"","project_id":79,"tracker_id":40,"status_id":1,"priority_id":2,"assigned_to_id":23,"start_date":"2017-03-09","description":"","custom_fields":[{"id":1,"name":"Subdivision","value":"NW"},{"id":4,"name":"Milepost","value":"0.0748"},{"id":17,"name":"Train ID","value":"802-09"},{"id":16,"name":"Locomotive ID","value":"4008"},{"id":130,"name":"Impact","value":""},{"id":150,"name":"Time of Event (Mountain Time)","value":"06:25:43"},{"id":151,"name":"Denver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1"/>
        <v>start /low /b %USERPROFILE%\Documents\GitHub\eaglep3\Utilities\DownloadLogsFromS3.py --loco 4008 --day 2017-03-09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59" spans="1:91" x14ac:dyDescent="0.25">
      <c r="A159" s="33" t="s">
        <v>646</v>
      </c>
      <c r="B159" s="7">
        <v>4011</v>
      </c>
      <c r="C159" s="21" t="s">
        <v>242</v>
      </c>
      <c r="D159" s="21" t="s">
        <v>927</v>
      </c>
      <c r="E159" s="13">
        <v>42803.264050925929</v>
      </c>
      <c r="F159" s="13">
        <v>42803.265393518515</v>
      </c>
      <c r="G159" s="7">
        <v>1</v>
      </c>
      <c r="H159" s="21" t="s">
        <v>439</v>
      </c>
      <c r="I159" s="13">
        <v>42803.274305555555</v>
      </c>
      <c r="J159" s="7">
        <v>0</v>
      </c>
      <c r="K159" s="98" t="str">
        <f>IF(ISEVEN(B159),(B159-1)&amp;"/"&amp;B159,B159&amp;"/"&amp;(B159+1))</f>
        <v>4011/4012</v>
      </c>
      <c r="L159" s="21" t="str">
        <f>VLOOKUP(A159,'Trips&amp;Operators'!$C$1:$G$99999,5,FALSE)</f>
        <v>LOZA FIDEL</v>
      </c>
      <c r="M159" s="6">
        <f>I159-F159</f>
        <v>8.9120370394084603E-3</v>
      </c>
      <c r="N159" s="7">
        <f>24*60*SUM($M159:$M159)</f>
        <v>12.833333336748183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-03-09T05:20:14-0700',mode:absolute,to:'2017-03-09T07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7" t="str">
        <f>IF(AA159&lt;IF(AG159="EC",23,5.65),"Y","N")</f>
        <v>N</v>
      </c>
      <c r="X159" s="187">
        <f>VALUE(LEFT(AD159,4))-VALUE(LEFT(AD158,4))</f>
        <v>1</v>
      </c>
      <c r="Y159" s="62">
        <f>RIGHT(D159,LEN(D159)-4)/10000</f>
        <v>9.7600000000000006E-2</v>
      </c>
      <c r="Z159" s="62">
        <f>RIGHT(H159,LEN(H159)-4)/10000</f>
        <v>5.8954000000000004</v>
      </c>
      <c r="AA159" s="62">
        <f>ABS(Z159-Y159)</f>
        <v>5.7978000000000005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0803-09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/stypes="app*4011*20170309*" /stext=" 13:.+((SYSTEM_STATE.+slice.+state.+changed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9"/>
        <v>"%USERPROFILE%\Documents\GitHub\eaglep3\Utilities\RefineRTDCRunTimes.py" --tripid 803-09 --locoid 4011 --swversion DE.1.0.9.0 --startMP 204:976 --initTime 2017-03-09T06:20:14 --startdatetime 2017-03-09T06:22:10 --delay 1 --endMP 300:58954 --enddatetime 2017-03-09T06:35:00 --enforcementcount 0 &gt;&gt;C:\Users\stu\Documents\GitHub\eaglep3-reporting\EC\2017-03-09-refined-times.txt</v>
      </c>
      <c r="AI159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{"issue":{"subject":"","project_id":79,"tracker_id":40,"status_id":1,"priority_id":2,"assigned_to_id":23,"start_date":"2017-03-09","description":"","custom_fields":[{"id":1,"name":"Subdivision","value":"NW"},{"id":4,"name":"Milepost","value":"5.8954"},{"id":17,"name":"Train ID","value":"803-09"},{"id":16,"name":"Locomotive ID","value":"4011"},{"id":130,"name":"Impact","value":""},{"id":150,"name":"Time of Event (Mountain Time)","value":"06:35:00"},{"id":151,"name":"Denver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1"/>
        <v>start /low /b %USERPROFILE%\Documents\GitHub\eaglep3\Utilities\DownloadLogsFromS3.py --loco 4011 --day 2017-03-09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0" spans="1:91" x14ac:dyDescent="0.25">
      <c r="A160" s="33" t="s">
        <v>650</v>
      </c>
      <c r="B160" s="7">
        <v>4012</v>
      </c>
      <c r="C160" s="21" t="s">
        <v>242</v>
      </c>
      <c r="D160" s="21" t="s">
        <v>928</v>
      </c>
      <c r="E160" s="13">
        <v>42803.275613425925</v>
      </c>
      <c r="F160" s="13">
        <v>42803.277465277781</v>
      </c>
      <c r="G160" s="7">
        <v>1</v>
      </c>
      <c r="H160" s="21" t="s">
        <v>929</v>
      </c>
      <c r="I160" s="13">
        <v>42803.289189814815</v>
      </c>
      <c r="J160" s="7">
        <v>0</v>
      </c>
      <c r="K160" s="98" t="str">
        <f>IF(ISEVEN(B160),(B160-1)&amp;"/"&amp;B160,B160&amp;"/"&amp;(B160+1))</f>
        <v>4011/4012</v>
      </c>
      <c r="L160" s="21" t="str">
        <f>VLOOKUP(A160,'Trips&amp;Operators'!$C$1:$G$99999,5,FALSE)</f>
        <v>LOZA FIDEL</v>
      </c>
      <c r="M160" s="6">
        <f>I160-F160</f>
        <v>1.1724537034751847E-2</v>
      </c>
      <c r="N160" s="7">
        <f>24*60*SUM($M160:$M160)</f>
        <v>16.88333333004266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-03-09T05:36:53-0700',mode:absolute,to:'2017-03-09T07:56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7" t="str">
        <f>IF(AA160&lt;IF(AG160="EC",23,5.65),"Y","N")</f>
        <v>N</v>
      </c>
      <c r="X160" s="187">
        <f>VALUE(LEFT(AD160,4))-VALUE(LEFT(AD159,4))</f>
        <v>1</v>
      </c>
      <c r="Y160" s="62">
        <f>RIGHT(D160,LEN(D160)-4)/10000</f>
        <v>5.8640999999999996</v>
      </c>
      <c r="Z160" s="62">
        <f>RIGHT(H160,LEN(H160)-4)/10000</f>
        <v>6.7299999999999999E-2</v>
      </c>
      <c r="AA160" s="62">
        <f>ABS(Z160-Y160)</f>
        <v>5.7967999999999993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0804-09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/stypes="app*4012*20170309*" /stext=" 13:.+((SYSTEM_STATE.+slice.+state.+changed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9"/>
        <v>"%USERPROFILE%\Documents\GitHub\eaglep3\Utilities\RefineRTDCRunTimes.py" --tripid 804-09 --locoid 4012 --swversion DE.1.0.9.0 --startMP 300:58641 --initTime 2017-03-09T06:36:53 --startdatetime 2017-03-09T06:39:33 --delay 1 --endMP 204:673 --enddatetime 2017-03-09T06:56:26 --enforcementcount 0 &gt;&gt;C:\Users\stu\Documents\GitHub\eaglep3-reporting\EC\2017-03-09-refined-times.txt</v>
      </c>
      <c r="AI160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{"issue":{"subject":"","project_id":79,"tracker_id":40,"status_id":1,"priority_id":2,"assigned_to_id":23,"start_date":"2017-03-09","description":"","custom_fields":[{"id":1,"name":"Subdivision","value":"NW"},{"id":4,"name":"Milepost","value":"0.0673"},{"id":17,"name":"Train ID","value":"804-09"},{"id":16,"name":"Locomotive ID","value":"4012"},{"id":130,"name":"Impact","value":""},{"id":150,"name":"Time of Event (Mountain Time)","value":"06:56:26"},{"id":151,"name":"Denver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1"/>
        <v>start /low /b %USERPROFILE%\Documents\GitHub\eaglep3\Utilities\DownloadLogsFromS3.py --loco 4012 --day 2017-03-09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61" spans="1:91" x14ac:dyDescent="0.25">
      <c r="A161" s="33" t="s">
        <v>648</v>
      </c>
      <c r="B161" s="7">
        <v>4007</v>
      </c>
      <c r="C161" s="21" t="s">
        <v>242</v>
      </c>
      <c r="D161" s="21" t="s">
        <v>910</v>
      </c>
      <c r="E161" s="13">
        <v>42803.269594907404</v>
      </c>
      <c r="F161" s="13">
        <v>42803.285590277781</v>
      </c>
      <c r="G161" s="7">
        <v>1</v>
      </c>
      <c r="H161" s="21" t="s">
        <v>930</v>
      </c>
      <c r="I161" s="13">
        <v>42803.294999999998</v>
      </c>
      <c r="J161" s="7">
        <v>0</v>
      </c>
      <c r="K161" s="98" t="str">
        <f>IF(ISEVEN(B161),(B161-1)&amp;"/"&amp;B161,B161&amp;"/"&amp;(B161+1))</f>
        <v>4007/4008</v>
      </c>
      <c r="L161" s="21" t="str">
        <f>VLOOKUP(A161,'Trips&amp;Operators'!$C$1:$G$99999,5,FALSE)</f>
        <v>SHOOK JOHN</v>
      </c>
      <c r="M161" s="6">
        <f>I161-F161</f>
        <v>9.4097222172422335E-3</v>
      </c>
      <c r="N161" s="7">
        <f>24*60*SUM($M161:$M161)</f>
        <v>13.549999992828816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-03-09T05:28:13-0700',mode:absolute,to:'2017-03-09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7" t="str">
        <f>IF(AA161&lt;IF(AG161="EC",23,5.65),"Y","N")</f>
        <v>N</v>
      </c>
      <c r="X161" s="187">
        <f>VALUE(LEFT(AD161,4))-VALUE(LEFT(AD160,4))</f>
        <v>1</v>
      </c>
      <c r="Y161" s="62">
        <f>RIGHT(D161,LEN(D161)-4)/10000</f>
        <v>0.1021</v>
      </c>
      <c r="Z161" s="62">
        <f>RIGHT(H161,LEN(H161)-4)/10000</f>
        <v>5.8992000000000004</v>
      </c>
      <c r="AA161" s="62">
        <f>ABS(Z161-Y161)</f>
        <v>5.7971000000000004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0805-09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/stypes="app*4007*20170309*" /stext=" 14:.+((SYSTEM_STATE.+slice.+state.+changed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9"/>
        <v>"%USERPROFILE%\Documents\GitHub\eaglep3\Utilities\RefineRTDCRunTimes.py" --tripid 805-09 --locoid 4007 --swversion DE.1.0.9.0 --startMP 204:1021 --initTime 2017-03-09T06:28:13 --startdatetime 2017-03-09T06:51:15 --delay 1 --endMP 300:58992 --enddatetime 2017-03-09T07:04:48 --enforcementcount 0 &gt;&gt;C:\Users\stu\Documents\GitHub\eaglep3-reporting\EC\2017-03-09-refined-times.txt</v>
      </c>
      <c r="AI161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{"issue":{"subject":"","project_id":79,"tracker_id":40,"status_id":1,"priority_id":2,"assigned_to_id":23,"start_date":"2017-03-09","description":"","custom_fields":[{"id":1,"name":"Subdivision","value":"NW"},{"id":4,"name":"Milepost","value":"5.8992"},{"id":17,"name":"Train ID","value":"805-09"},{"id":16,"name":"Locomotive ID","value":"4007"},{"id":130,"name":"Impact","value":""},{"id":150,"name":"Time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1"/>
        <v>start /low /b %USERPROFILE%\Documents\GitHub\eaglep3\Utilities\DownloadLogsFromS3.py --loco 4007 --day 2017-03-09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62" spans="1:91" x14ac:dyDescent="0.25">
      <c r="A162" s="33" t="s">
        <v>655</v>
      </c>
      <c r="B162" s="7">
        <v>4008</v>
      </c>
      <c r="C162" s="21" t="s">
        <v>242</v>
      </c>
      <c r="D162" s="21" t="s">
        <v>924</v>
      </c>
      <c r="E162" s="13">
        <v>42803.2965625</v>
      </c>
      <c r="F162" s="13">
        <v>42803.299270833333</v>
      </c>
      <c r="G162" s="7">
        <v>1</v>
      </c>
      <c r="H162" s="21" t="s">
        <v>931</v>
      </c>
      <c r="I162" s="13">
        <v>42803.309398148151</v>
      </c>
      <c r="J162" s="7">
        <v>0</v>
      </c>
      <c r="K162" s="98" t="str">
        <f>IF(ISEVEN(B162),(B162-1)&amp;"/"&amp;B162,B162&amp;"/"&amp;(B162+1))</f>
        <v>4007/4008</v>
      </c>
      <c r="L162" s="21" t="str">
        <f>VLOOKUP(A162,'Trips&amp;Operators'!$C$1:$G$99999,5,FALSE)</f>
        <v>SHOOK JOHN</v>
      </c>
      <c r="M162" s="6">
        <f>I162-F162</f>
        <v>1.0127314817509614E-2</v>
      </c>
      <c r="N162" s="7">
        <f>24*60*SUM($M162:$M162)</f>
        <v>14.583333337213844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-03-09T06:07:03-0700',mode:absolute,to:'2017-03-09T08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7" t="str">
        <f>IF(AA162&lt;IF(AG162="EC",23,5.65),"Y","N")</f>
        <v>N</v>
      </c>
      <c r="X162" s="187">
        <f>VALUE(LEFT(AD162,4))-VALUE(LEFT(AD161,4))</f>
        <v>1</v>
      </c>
      <c r="Y162" s="62">
        <f>RIGHT(D162,LEN(D162)-4)/10000</f>
        <v>5.8678999999999997</v>
      </c>
      <c r="Z162" s="62">
        <f>RIGHT(H162,LEN(H162)-4)/10000</f>
        <v>7.3099999999999998E-2</v>
      </c>
      <c r="AA162" s="62">
        <f>ABS(Z162-Y162)</f>
        <v>5.7947999999999995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0806-09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/stypes="app*4008*20170309*" /stext=" 14:.+((SYSTEM_STATE.+slice.+state.+changed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9"/>
        <v>"%USERPROFILE%\Documents\GitHub\eaglep3\Utilities\RefineRTDCRunTimes.py" --tripid 806-09 --locoid 4008 --swversion DE.1.0.9.0 --startMP 300:58679 --initTime 2017-03-09T07:07:03 --startdatetime 2017-03-09T07:10:57 --delay 1 --endMP 204:731 --enddatetime 2017-03-09T07:25:32 --enforcementcount 0 &gt;&gt;C:\Users\stu\Documents\GitHub\eaglep3-reporting\EC\2017-03-09-refined-times.txt</v>
      </c>
      <c r="AI162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{"issue":{"subject":"","project_id":79,"tracker_id":40,"status_id":1,"priority_id":2,"assigned_to_id":23,"start_date":"2017-03-09","description":"","custom_fields":[{"id":1,"name":"Subdivision","value":"NW"},{"id":4,"name":"Milepost","value":"0.0731"},{"id":17,"name":"Train ID","value":"806-09"},{"id":16,"name":"Locomotive ID","value":"4008"},{"id":130,"name":"Impact","value":""},{"id":150,"name":"Time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1"/>
        <v>start /low /b %USERPROFILE%\Documents\GitHub\eaglep3\Utilities\DownloadLogsFromS3.py --loco 4008 --day 2017-03-09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63" spans="1:91" x14ac:dyDescent="0.25">
      <c r="A163" s="33" t="s">
        <v>657</v>
      </c>
      <c r="B163" s="7">
        <v>4011</v>
      </c>
      <c r="C163" s="21" t="s">
        <v>242</v>
      </c>
      <c r="D163" s="21" t="s">
        <v>932</v>
      </c>
      <c r="E163" s="13">
        <v>42803.304039351853</v>
      </c>
      <c r="F163" s="13">
        <v>42803.306481481479</v>
      </c>
      <c r="G163" s="7">
        <v>1</v>
      </c>
      <c r="H163" s="21" t="s">
        <v>473</v>
      </c>
      <c r="I163" s="13">
        <v>42803.315601851849</v>
      </c>
      <c r="J163" s="7">
        <v>0</v>
      </c>
      <c r="K163" s="98" t="str">
        <f>IF(ISEVEN(B163),(B163-1)&amp;"/"&amp;B163,B163&amp;"/"&amp;(B163+1))</f>
        <v>4011/4012</v>
      </c>
      <c r="L163" s="21" t="str">
        <f>VLOOKUP(A163,'Trips&amp;Operators'!$C$1:$G$99999,5,FALSE)</f>
        <v>LOZA FIDEL</v>
      </c>
      <c r="M163" s="6">
        <f>I163-F163</f>
        <v>9.1203703705104999E-3</v>
      </c>
      <c r="N163" s="7">
        <f>24*60*SUM($M163:$M163)</f>
        <v>13.13333333353512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-03-09T06:17:49-0700',mode:absolute,to:'2017-03-09T08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187" t="str">
        <f>IF(AA163&lt;IF(AG163="EC",23,5.65),"Y","N")</f>
        <v>N</v>
      </c>
      <c r="X163" s="187">
        <f>VALUE(LEFT(AD163,4))-VALUE(LEFT(AD162,4))</f>
        <v>1</v>
      </c>
      <c r="Y163" s="62">
        <f>RIGHT(D163,LEN(D163)-4)/10000</f>
        <v>9.8299999999999998E-2</v>
      </c>
      <c r="Z163" s="62">
        <f>RIGHT(H163,LEN(H163)-4)/10000</f>
        <v>5.8949999999999996</v>
      </c>
      <c r="AA163" s="62">
        <f>ABS(Z163-Y163)</f>
        <v>5.7966999999999995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0807-09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/stypes="app*4011*20170309*" /stext=" 14:.+((SYSTEM_STATE.+slice.+state.+changed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9"/>
        <v>"%USERPROFILE%\Documents\GitHub\eaglep3\Utilities\RefineRTDCRunTimes.py" --tripid 807-09 --locoid 4011 --swversion DE.1.0.9.0 --startMP 204:983 --initTime 2017-03-09T07:17:49 --startdatetime 2017-03-09T07:21:20 --delay 1 --endMP 300:58950 --enddatetime 2017-03-09T07:34:28 --enforcementcount 0 &gt;&gt;C:\Users\stu\Documents\GitHub\eaglep3-reporting\EC\2017-03-09-refined-times.txt</v>
      </c>
      <c r="AI163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{"issue":{"subject":"","project_id":79,"tracker_id":40,"status_id":1,"priority_id":2,"assigned_to_id":23,"start_date":"2017-03-09","description":"","custom_fields":[{"id":1,"name":"Subdivision","value":"NW"},{"id":4,"name":"Milepost","value":"5.895"},{"id":17,"name":"Train ID","value":"807-09"},{"id":16,"name":"Locomotive ID","value":"4011"},{"id":130,"name":"Impact","value":""},{"id":150,"name":"Time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1"/>
        <v>start /low /b %USERPROFILE%\Documents\GitHub\eaglep3\Utilities\DownloadLogsFromS3.py --loco 4011 --day 2017-03-09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4" spans="1:91" x14ac:dyDescent="0.25">
      <c r="A164" s="33" t="s">
        <v>662</v>
      </c>
      <c r="B164" s="7">
        <v>4012</v>
      </c>
      <c r="C164" s="21" t="s">
        <v>242</v>
      </c>
      <c r="D164" s="21" t="s">
        <v>933</v>
      </c>
      <c r="E164" s="13">
        <v>42803.317199074074</v>
      </c>
      <c r="F164" s="13">
        <v>42803.318807870368</v>
      </c>
      <c r="G164" s="7">
        <v>1</v>
      </c>
      <c r="H164" s="21" t="s">
        <v>471</v>
      </c>
      <c r="I164" s="13">
        <v>42803.329687500001</v>
      </c>
      <c r="J164" s="7">
        <v>0</v>
      </c>
      <c r="K164" s="98" t="str">
        <f>IF(ISEVEN(B164),(B164-1)&amp;"/"&amp;B164,B164&amp;"/"&amp;(B164+1))</f>
        <v>4011/4012</v>
      </c>
      <c r="L164" s="21" t="str">
        <f>VLOOKUP(A164,'Trips&amp;Operators'!$C$1:$G$99999,5,FALSE)</f>
        <v>LOZA FIDEL</v>
      </c>
      <c r="M164" s="6">
        <f>I164-F164</f>
        <v>1.0879629633564036E-2</v>
      </c>
      <c r="N164" s="7">
        <f>24*60*SUM($M164:$M164)</f>
        <v>15.666666672332212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-03-09T06:36:46-0700',mode:absolute,to:'2017-03-09T08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87" t="str">
        <f>IF(AA164&lt;IF(AG164="EC",23,5.65),"Y","N")</f>
        <v>N</v>
      </c>
      <c r="X164" s="187">
        <f>VALUE(LEFT(AD164,4))-VALUE(LEFT(AD163,4))</f>
        <v>1</v>
      </c>
      <c r="Y164" s="62">
        <f>RIGHT(D164,LEN(D164)-4)/10000</f>
        <v>5.8638000000000003</v>
      </c>
      <c r="Z164" s="62">
        <f>RIGHT(H164,LEN(H164)-4)/10000</f>
        <v>6.8199999999999997E-2</v>
      </c>
      <c r="AA164" s="62">
        <f>ABS(Z164-Y164)</f>
        <v>5.7956000000000003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0808-09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/stypes="app*4012*20170309*" /stext=" 14:.+((SYSTEM_STATE.+slice.+state.+changed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9"/>
        <v>"%USERPROFILE%\Documents\GitHub\eaglep3\Utilities\RefineRTDCRunTimes.py" --tripid 808-09 --locoid 4012 --swversion DE.1.0.9.0 --startMP 300:58638 --initTime 2017-03-09T07:36:46 --startdatetime 2017-03-09T07:39:05 --delay 1 --endMP 204:682 --enddatetime 2017-03-09T07:54:45 --enforcementcount 0 &gt;&gt;C:\Users\stu\Documents\GitHub\eaglep3-reporting\EC\2017-03-09-refined-times.txt</v>
      </c>
      <c r="AI164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{"issue":{"subject":"","project_id":79,"tracker_id":40,"status_id":1,"priority_id":2,"assigned_to_id":23,"start_date":"2017-03-09","description":"","custom_fields":[{"id":1,"name":"Subdivision","value":"NW"},{"id":4,"name":"Milepost","value":"0.0682"},{"id":17,"name":"Train ID","value":"808-09"},{"id":16,"name":"Locomotive ID","value":"4012"},{"id":130,"name":"Impact","value":""},{"id":150,"name":"Time of Event (Mountain Time)","value":"07:54:45"},{"id":151,"name":"Denver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1"/>
        <v>start /low /b %USERPROFILE%\Documents\GitHub\eaglep3\Utilities\DownloadLogsFromS3.py --loco 4012 --day 2017-03-09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65" spans="1:91" s="20" customFormat="1" x14ac:dyDescent="0.25">
      <c r="A165" s="33" t="s">
        <v>661</v>
      </c>
      <c r="B165" s="7">
        <v>4007</v>
      </c>
      <c r="C165" s="21" t="s">
        <v>242</v>
      </c>
      <c r="D165" s="21" t="s">
        <v>934</v>
      </c>
      <c r="E165" s="13">
        <v>42803.310972222222</v>
      </c>
      <c r="F165" s="13">
        <v>42803.327280092592</v>
      </c>
      <c r="G165" s="7">
        <v>1</v>
      </c>
      <c r="H165" s="21" t="s">
        <v>935</v>
      </c>
      <c r="I165" s="13">
        <v>42803.336701388886</v>
      </c>
      <c r="J165" s="7">
        <v>0</v>
      </c>
      <c r="K165" s="98" t="str">
        <f>IF(ISEVEN(B165),(B165-1)&amp;"/"&amp;B165,B165&amp;"/"&amp;(B165+1))</f>
        <v>4007/4008</v>
      </c>
      <c r="L165" s="21" t="str">
        <f>VLOOKUP(A165,'Trips&amp;Operators'!$C$1:$G$99999,5,FALSE)</f>
        <v>SHOOK JOHN</v>
      </c>
      <c r="M165" s="6">
        <f>I165-F165</f>
        <v>9.4212962940218858E-3</v>
      </c>
      <c r="N165" s="7">
        <f>24*60*SUM($M165:$M165)</f>
        <v>13.566666663391516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-03-09T06:27:48-0700',mode:absolute,to:'2017-03-09T09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7" t="str">
        <f>IF(AA165&lt;IF(AG165="EC",23,5.65),"Y","N")</f>
        <v>N</v>
      </c>
      <c r="X165" s="187">
        <f>VALUE(LEFT(AD165,4))-VALUE(LEFT(AD164,4))</f>
        <v>1</v>
      </c>
      <c r="Y165" s="62">
        <f>RIGHT(D165,LEN(D165)-4)/10000</f>
        <v>0.1016</v>
      </c>
      <c r="Z165" s="62">
        <f>RIGHT(H165,LEN(H165)-4)/10000</f>
        <v>5.8997000000000002</v>
      </c>
      <c r="AA165" s="62">
        <f>ABS(Z165-Y165)</f>
        <v>5.7980999999999998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0809-09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/stypes="app*4007*20170309*" /stext=" 15:.+((SYSTEM_STATE.+slice.+state.+changed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9"/>
        <v>"%USERPROFILE%\Documents\GitHub\eaglep3\Utilities\RefineRTDCRunTimes.py" --tripid 809-09 --locoid 4007 --swversion DE.1.0.9.0 --startMP 204:1016 --initTime 2017-03-09T07:27:48 --startdatetime 2017-03-09T07:51:17 --delay 1 --endMP 300:58997 --enddatetime 2017-03-09T08:04:51 --enforcementcount 0 &gt;&gt;C:\Users\stu\Documents\GitHub\eaglep3-reporting\EC\2017-03-09-refined-times.txt</v>
      </c>
      <c r="AI165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{"issue":{"subject":"","project_id":79,"tracker_id":40,"status_id":1,"priority_id":2,"assigned_to_id":23,"start_date":"2017-03-09","description":"","custom_fields":[{"id":1,"name":"Subdivision","value":"NW"},{"id":4,"name":"Milepost","value":"5.8997"},{"id":17,"name":"Train ID","value":"809-09"},{"id":16,"name":"Locomotive ID","value":"4007"},{"id":130,"name":"Impact","value":""},{"id":150,"name":"Time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1"/>
        <v>start /low /b %USERPROFILE%\Documents\GitHub\eaglep3\Utilities\DownloadLogsFromS3.py --loco 4007 --day 2017-03-09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665</v>
      </c>
      <c r="B166" s="7">
        <v>4008</v>
      </c>
      <c r="C166" s="21" t="s">
        <v>242</v>
      </c>
      <c r="D166" s="21" t="s">
        <v>936</v>
      </c>
      <c r="E166" s="13">
        <v>42803.338206018518</v>
      </c>
      <c r="F166" s="13">
        <v>42803.340833333335</v>
      </c>
      <c r="G166" s="7">
        <v>1</v>
      </c>
      <c r="H166" s="21" t="s">
        <v>432</v>
      </c>
      <c r="I166" s="13">
        <v>42803.351215277777</v>
      </c>
      <c r="J166" s="7">
        <v>0</v>
      </c>
      <c r="K166" s="98" t="str">
        <f>IF(ISEVEN(B166),(B166-1)&amp;"/"&amp;B166,B166&amp;"/"&amp;(B166+1))</f>
        <v>4007/4008</v>
      </c>
      <c r="L166" s="21" t="str">
        <f>VLOOKUP(A166,'Trips&amp;Operators'!$C$1:$G$99999,5,FALSE)</f>
        <v>SHOOK JOHN</v>
      </c>
      <c r="M166" s="6">
        <f>I166-F166</f>
        <v>1.0381944441178348E-2</v>
      </c>
      <c r="N166" s="7">
        <f>24*60*SUM($M166:$M166)</f>
        <v>14.949999995296821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-03-09T07:07:01-0700',mode:absolute,to:'2017-03-09T09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7" t="str">
        <f>IF(AA166&lt;IF(AG166="EC",23,5.65),"Y","N")</f>
        <v>N</v>
      </c>
      <c r="X166" s="187">
        <f>VALUE(LEFT(AD166,4))-VALUE(LEFT(AD165,4))</f>
        <v>1</v>
      </c>
      <c r="Y166" s="62">
        <f>RIGHT(D166,LEN(D166)-4)/10000</f>
        <v>5.8674999999999997</v>
      </c>
      <c r="Z166" s="62">
        <f>RIGHT(H166,LEN(H166)-4)/10000</f>
        <v>1.6E-2</v>
      </c>
      <c r="AA166" s="62">
        <f>ABS(Z166-Y166)</f>
        <v>5.8514999999999997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0810-09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/stypes="app*4008*20170309*" /stext=" 15:.+((SYSTEM_STATE.+slice.+state.+changed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9"/>
        <v>"%USERPROFILE%\Documents\GitHub\eaglep3\Utilities\RefineRTDCRunTimes.py" --tripid 810-09 --locoid 4008 --swversion DE.1.0.9.0 --startMP 300:58675 --initTime 2017-03-09T08:07:01 --startdatetime 2017-03-09T08:10:48 --delay 1 --endMP 204:160 --enddatetime 2017-03-09T08:25:45 --enforcementcount 0 &gt;&gt;C:\Users\stu\Documents\GitHub\eaglep3-reporting\EC\2017-03-09-refined-times.txt</v>
      </c>
      <c r="AI166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{"issue":{"subject":"","project_id":79,"tracker_id":40,"status_id":1,"priority_id":2,"assigned_to_id":23,"start_date":"2017-03-09","description":"","custom_fields":[{"id":1,"name":"Subdivision","value":"NW"},{"id":4,"name":"Milepost","value":"0.016"},{"id":17,"name":"Train ID","value":"810-09"},{"id":16,"name":"Locomotive ID","value":"4008"},{"id":130,"name":"Impact","value":""},{"id":150,"name":"Time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1"/>
        <v>start /low /b %USERPROFILE%\Documents\GitHub\eaglep3\Utilities\DownloadLogsFromS3.py --loco 4008 --day 2017-03-09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67" spans="1:91" x14ac:dyDescent="0.25">
      <c r="A167" s="33" t="s">
        <v>582</v>
      </c>
      <c r="B167" s="7">
        <v>4011</v>
      </c>
      <c r="C167" s="21" t="s">
        <v>242</v>
      </c>
      <c r="D167" s="21" t="s">
        <v>937</v>
      </c>
      <c r="E167" s="13">
        <v>42803.346319444441</v>
      </c>
      <c r="F167" s="13">
        <v>42803.348252314812</v>
      </c>
      <c r="G167" s="7">
        <v>1</v>
      </c>
      <c r="H167" s="21" t="s">
        <v>938</v>
      </c>
      <c r="I167" s="13">
        <v>42803.357858796298</v>
      </c>
      <c r="J167" s="7">
        <v>0</v>
      </c>
      <c r="K167" s="98" t="str">
        <f>IF(ISEVEN(B167),(B167-1)&amp;"/"&amp;B167,B167&amp;"/"&amp;(B167+1))</f>
        <v>4011/4012</v>
      </c>
      <c r="L167" s="21" t="str">
        <f>VLOOKUP(A167,'Trips&amp;Operators'!$C$1:$G$99999,5,FALSE)</f>
        <v>LOZA FIDEL</v>
      </c>
      <c r="M167" s="6">
        <f>I167-F167</f>
        <v>9.606481486116536E-3</v>
      </c>
      <c r="N167" s="7">
        <f>24*60*SUM($M167:$M167)</f>
        <v>13.833333340007812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-03-09T07:18:42-0700',mode:absolute,to:'2017-03-09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187" t="str">
        <f>IF(AA167&lt;IF(AG167="EC",23,5.65),"Y","N")</f>
        <v>N</v>
      </c>
      <c r="X167" s="187">
        <f>VALUE(LEFT(AD167,4))-VALUE(LEFT(AD166,4))</f>
        <v>1</v>
      </c>
      <c r="Y167" s="62">
        <f>RIGHT(D167,LEN(D167)-4)/10000</f>
        <v>9.69E-2</v>
      </c>
      <c r="Z167" s="62">
        <f>RIGHT(H167,LEN(H167)-4)/10000</f>
        <v>5.8943000000000003</v>
      </c>
      <c r="AA167" s="62">
        <f>ABS(Z167-Y167)</f>
        <v>5.7974000000000006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0811-09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/stypes="app*4011*20170309*" /stext=" 15:.+((SYSTEM_STATE.+slice.+state.+changed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9"/>
        <v>"%USERPROFILE%\Documents\GitHub\eaglep3\Utilities\RefineRTDCRunTimes.py" --tripid 811-09 --locoid 4011 --swversion DE.1.0.9.0 --startMP 204:969 --initTime 2017-03-09T08:18:42 --startdatetime 2017-03-09T08:21:29 --delay 1 --endMP 300:58943 --enddatetime 2017-03-09T08:35:19 --enforcementcount 0 &gt;&gt;C:\Users\stu\Documents\GitHub\eaglep3-reporting\EC\2017-03-09-refined-times.txt</v>
      </c>
      <c r="AI167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{"issue":{"subject":"","project_id":79,"tracker_id":40,"status_id":1,"priority_id":2,"assigned_to_id":23,"start_date":"2017-03-09","description":"","custom_fields":[{"id":1,"name":"Subdivision","value":"NW"},{"id":4,"name":"Milepost","value":"5.8943"},{"id":17,"name":"Train ID","value":"811-09"},{"id":16,"name":"Locomotive ID","value":"4011"},{"id":130,"name":"Impact","value":""},{"id":150,"name":"Time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1"/>
        <v>start /low /b %USERPROFILE%\Documents\GitHub\eaglep3\Utilities\DownloadLogsFromS3.py --loco 4011 --day 2017-03-09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8" spans="1:91" x14ac:dyDescent="0.25">
      <c r="A168" s="33" t="s">
        <v>671</v>
      </c>
      <c r="B168" s="7">
        <v>4012</v>
      </c>
      <c r="C168" s="21" t="s">
        <v>242</v>
      </c>
      <c r="D168" s="21" t="s">
        <v>939</v>
      </c>
      <c r="E168" s="13">
        <v>42803.359120370369</v>
      </c>
      <c r="F168" s="13">
        <v>42803.360949074071</v>
      </c>
      <c r="G168" s="7">
        <v>1</v>
      </c>
      <c r="H168" s="21" t="s">
        <v>562</v>
      </c>
      <c r="I168" s="13">
        <v>42803.371099537035</v>
      </c>
      <c r="J168" s="7">
        <v>0</v>
      </c>
      <c r="K168" s="98" t="str">
        <f>IF(ISEVEN(B168),(B168-1)&amp;"/"&amp;B168,B168&amp;"/"&amp;(B168+1))</f>
        <v>4011/4012</v>
      </c>
      <c r="L168" s="21" t="str">
        <f>VLOOKUP(A168,'Trips&amp;Operators'!$C$1:$G$99999,5,FALSE)</f>
        <v>LOZA FIDEL</v>
      </c>
      <c r="M168" s="6">
        <f>I168-F168</f>
        <v>1.0150462963792961E-2</v>
      </c>
      <c r="N168" s="7">
        <f>24*60*SUM($M168:$M168)</f>
        <v>14.616666667861864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-03-09T07:37:08-0700',mode:absolute,to:'2017-03-09T09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87" t="str">
        <f>IF(AA168&lt;IF(AG168="EC",23,5.65),"Y","N")</f>
        <v>N</v>
      </c>
      <c r="X168" s="187">
        <f>VALUE(LEFT(AD168,4))-VALUE(LEFT(AD167,4))</f>
        <v>1</v>
      </c>
      <c r="Y168" s="62">
        <f>RIGHT(D168,LEN(D168)-4)/10000</f>
        <v>5.8630000000000004</v>
      </c>
      <c r="Z168" s="62">
        <f>RIGHT(H168,LEN(H168)-4)/10000</f>
        <v>6.9900000000000004E-2</v>
      </c>
      <c r="AA168" s="62">
        <f>ABS(Z168-Y168)</f>
        <v>5.7931000000000008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0812-09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/stypes="app*4012*20170309*" /stext=" 15:.+((SYSTEM_STATE.+slice.+state.+changed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9"/>
        <v>"%USERPROFILE%\Documents\GitHub\eaglep3\Utilities\RefineRTDCRunTimes.py" --tripid 812-09 --locoid 4012 --swversion DE.1.0.9.0 --startMP 300:58630 --initTime 2017-03-09T08:37:08 --startdatetime 2017-03-09T08:39:46 --delay 1 --endMP 204:699 --enddatetime 2017-03-09T08:54:23 --enforcementcount 0 &gt;&gt;C:\Users\stu\Documents\GitHub\eaglep3-reporting\EC\2017-03-09-refined-times.txt</v>
      </c>
      <c r="AI168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{"issue":{"subject":"","project_id":79,"tracker_id":40,"status_id":1,"priority_id":2,"assigned_to_id":23,"start_date":"2017-03-09","description":"","custom_fields":[{"id":1,"name":"Subdivision","value":"NW"},{"id":4,"name":"Milepost","value":"0.0699"},{"id":17,"name":"Train ID","value":"812-09"},{"id":16,"name":"Locomotive ID","value":"4012"},{"id":130,"name":"Impact","value":""},{"id":150,"name":"Time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1"/>
        <v>start /low /b %USERPROFILE%\Documents\GitHub\eaglep3\Utilities\DownloadLogsFromS3.py --loco 4012 --day 2017-03-09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69" spans="1:91" x14ac:dyDescent="0.25">
      <c r="A169" s="33" t="s">
        <v>677</v>
      </c>
      <c r="B169" s="7">
        <v>4011</v>
      </c>
      <c r="C169" s="21" t="s">
        <v>242</v>
      </c>
      <c r="D169" s="21" t="s">
        <v>940</v>
      </c>
      <c r="E169" s="13">
        <v>42803.386921296296</v>
      </c>
      <c r="F169" s="13">
        <v>42803.390081018515</v>
      </c>
      <c r="G169" s="7">
        <v>2</v>
      </c>
      <c r="H169" s="21" t="s">
        <v>941</v>
      </c>
      <c r="I169" s="13">
        <v>42803.398854166669</v>
      </c>
      <c r="J169" s="7">
        <v>0</v>
      </c>
      <c r="K169" s="98" t="str">
        <f>IF(ISEVEN(B169),(B169-1)&amp;"/"&amp;B169,B169&amp;"/"&amp;(B169+1))</f>
        <v>4011/4012</v>
      </c>
      <c r="L169" s="21" t="str">
        <f>VLOOKUP(A169,'Trips&amp;Operators'!$C$1:$G$99999,5,FALSE)</f>
        <v>LOZA FIDEL</v>
      </c>
      <c r="M169" s="6">
        <f>I169-F169</f>
        <v>8.7731481544324197E-3</v>
      </c>
      <c r="N169" s="7">
        <f>24*60*SUM($M169:$M169)</f>
        <v>12.633333342382684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-03-09T08:17:10-0700',mode:absolute,to:'2017-03-09T10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87" t="str">
        <f>IF(AA169&lt;IF(AG169="EC",23,5.65),"Y","N")</f>
        <v>N</v>
      </c>
      <c r="X169" s="187">
        <f>VALUE(LEFT(AD169,4))-VALUE(LEFT(AD168,4))</f>
        <v>1</v>
      </c>
      <c r="Y169" s="62">
        <f>RIGHT(D169,LEN(D169)-4)/10000</f>
        <v>9.8500000000000004E-2</v>
      </c>
      <c r="Z169" s="62">
        <f>RIGHT(H169,LEN(H169)-4)/10000</f>
        <v>5.8956</v>
      </c>
      <c r="AA169" s="62">
        <f>ABS(Z169-Y169)</f>
        <v>5.7971000000000004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0813-09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/stypes="app*4011*20170309*" /stext=" 16:.+((SYSTEM_STATE.+slice.+state.+changed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9"/>
        <v>"%USERPROFILE%\Documents\GitHub\eaglep3\Utilities\RefineRTDCRunTimes.py" --tripid 813-09 --locoid 4011 --swversion DE.1.0.9.0 --startMP 204:985 --initTime 2017-03-09T09:17:10 --startdatetime 2017-03-09T09:21:43 --delay 2 --endMP 300:58956 --enddatetime 2017-03-09T09:34:21 --enforcementcount 0 &gt;&gt;C:\Users\stu\Documents\GitHub\eaglep3-reporting\EC\2017-03-09-refined-times.txt</v>
      </c>
      <c r="AI169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{"issue":{"subject":"","project_id":79,"tracker_id":40,"status_id":1,"priority_id":2,"assigned_to_id":23,"start_date":"2017-03-09","description":"","custom_fields":[{"id":1,"name":"Subdivision","value":"NW"},{"id":4,"name":"Milepost","value":"5.8956"},{"id":17,"name":"Train ID","value":"813-09"},{"id":16,"name":"Locomotive ID","value":"4011"},{"id":130,"name":"Impact","value":""},{"id":150,"name":"Time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1"/>
        <v>start /low /b %USERPROFILE%\Documents\GitHub\eaglep3\Utilities\DownloadLogsFromS3.py --loco 4011 --day 2017-03-09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0" spans="1:91" s="20" customFormat="1" x14ac:dyDescent="0.25">
      <c r="A170" s="33" t="s">
        <v>679</v>
      </c>
      <c r="B170" s="7">
        <v>4012</v>
      </c>
      <c r="C170" s="21" t="s">
        <v>242</v>
      </c>
      <c r="D170" s="21" t="s">
        <v>942</v>
      </c>
      <c r="E170" s="13">
        <v>42803.400023148148</v>
      </c>
      <c r="F170" s="13">
        <v>42803.401736111111</v>
      </c>
      <c r="G170" s="7">
        <v>1</v>
      </c>
      <c r="H170" s="21" t="s">
        <v>943</v>
      </c>
      <c r="I170" s="13">
        <v>42803.412812499999</v>
      </c>
      <c r="J170" s="7">
        <v>0</v>
      </c>
      <c r="K170" s="98" t="str">
        <f>IF(ISEVEN(B170),(B170-1)&amp;"/"&amp;B170,B170&amp;"/"&amp;(B170+1))</f>
        <v>4011/4012</v>
      </c>
      <c r="L170" s="21" t="str">
        <f>VLOOKUP(A170,'Trips&amp;Operators'!$C$1:$G$99999,5,FALSE)</f>
        <v>LOZA FIDEL</v>
      </c>
      <c r="M170" s="6">
        <f>I170-F170</f>
        <v>1.1076388887886424E-2</v>
      </c>
      <c r="N170" s="7">
        <f>24*60*SUM($M170:$M170)</f>
        <v>15.94999999855645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-03-09T08:36:02-0700',mode:absolute,to:'2017-03-09T10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87" t="str">
        <f>IF(AA170&lt;IF(AG170="EC",23,5.65),"Y","N")</f>
        <v>N</v>
      </c>
      <c r="X170" s="187">
        <f>VALUE(LEFT(AD170,4))-VALUE(LEFT(AD169,4))</f>
        <v>1</v>
      </c>
      <c r="Y170" s="62">
        <f>RIGHT(D170,LEN(D170)-4)/10000</f>
        <v>5.8634000000000004</v>
      </c>
      <c r="Z170" s="62">
        <f>RIGHT(H170,LEN(H170)-4)/10000</f>
        <v>6.6799999999999998E-2</v>
      </c>
      <c r="AA170" s="62">
        <f>ABS(Z170-Y170)</f>
        <v>5.7966000000000006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0814-09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/stypes="app*4012*20170309*" /stext=" 16:.+((SYSTEM_STATE.+slice.+state.+changed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9"/>
        <v>"%USERPROFILE%\Documents\GitHub\eaglep3\Utilities\RefineRTDCRunTimes.py" --tripid 814-09 --locoid 4012 --swversion DE.1.0.9.0 --startMP 300:58634 --initTime 2017-03-09T09:36:02 --startdatetime 2017-03-09T09:38:30 --delay 1 --endMP 204:668 --enddatetime 2017-03-09T09:54:27 --enforcementcount 0 &gt;&gt;C:\Users\stu\Documents\GitHub\eaglep3-reporting\EC\2017-03-09-refined-times.txt</v>
      </c>
      <c r="AI170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{"issue":{"subject":"","project_id":79,"tracker_id":40,"status_id":1,"priority_id":2,"assigned_to_id":23,"start_date":"2017-03-09","description":"","custom_fields":[{"id":1,"name":"Subdivision","value":"NW"},{"id":4,"name":"Milepost","value":"0.0668"},{"id":17,"name":"Train ID","value":"814-09"},{"id":16,"name":"Locomotive ID","value":"4012"},{"id":130,"name":"Impact","value":""},{"id":150,"name":"Time of Event (Mountain Time)","value":"09:54:27"},{"id":151,"name":"Denver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1"/>
        <v>start /low /b %USERPROFILE%\Documents\GitHub\eaglep3\Utilities\DownloadLogsFromS3.py --loco 4012 --day 2017-03-09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685</v>
      </c>
      <c r="B171" s="7">
        <v>4011</v>
      </c>
      <c r="C171" s="21" t="s">
        <v>242</v>
      </c>
      <c r="D171" s="21" t="s">
        <v>893</v>
      </c>
      <c r="E171" s="13">
        <v>42803.429178240738</v>
      </c>
      <c r="F171" s="13">
        <v>42803.431527777779</v>
      </c>
      <c r="G171" s="7">
        <v>1</v>
      </c>
      <c r="H171" s="21" t="s">
        <v>560</v>
      </c>
      <c r="I171" s="13">
        <v>42803.44054398148</v>
      </c>
      <c r="J171" s="7">
        <v>0</v>
      </c>
      <c r="K171" s="98" t="str">
        <f>IF(ISEVEN(B171),(B171-1)&amp;"/"&amp;B171,B171&amp;"/"&amp;(B171+1))</f>
        <v>4011/4012</v>
      </c>
      <c r="L171" s="21" t="str">
        <f>VLOOKUP(A171,'Trips&amp;Operators'!$C$1:$G$99999,5,FALSE)</f>
        <v>LOZA FIDEL</v>
      </c>
      <c r="M171" s="6">
        <f>I171-F171</f>
        <v>9.0162037013215013E-3</v>
      </c>
      <c r="N171" s="7">
        <f>24*60*SUM($M171:$M171)</f>
        <v>12.983333329902962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-03-09T09:18:01-0700',mode:absolute,to:'2017-03-09T11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87" t="str">
        <f>IF(AA171&lt;IF(AG171="EC",23,5.65),"Y","N")</f>
        <v>N</v>
      </c>
      <c r="X171" s="187">
        <f>VALUE(LEFT(AD171,4))-VALUE(LEFT(AD170,4))</f>
        <v>1</v>
      </c>
      <c r="Y171" s="62">
        <f>RIGHT(D171,LEN(D171)-4)/10000</f>
        <v>9.5299999999999996E-2</v>
      </c>
      <c r="Z171" s="62">
        <f>RIGHT(H171,LEN(H171)-4)/10000</f>
        <v>5.8958000000000004</v>
      </c>
      <c r="AA171" s="62">
        <f>ABS(Z171-Y171)</f>
        <v>5.8005000000000004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0815-09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/stypes="app*4011*20170309*" /stext=" 17:.+((SYSTEM_STATE.+slice.+state.+changed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9"/>
        <v>"%USERPROFILE%\Documents\GitHub\eaglep3\Utilities\RefineRTDCRunTimes.py" --tripid 815-09 --locoid 4011 --swversion DE.1.0.9.0 --startMP 204:953 --initTime 2017-03-09T10:18:01 --startdatetime 2017-03-09T10:21:24 --delay 1 --endMP 300:58958 --enddatetime 2017-03-09T10:34:23 --enforcementcount 0 &gt;&gt;C:\Users\stu\Documents\GitHub\eaglep3-reporting\EC\2017-03-09-refined-times.txt</v>
      </c>
      <c r="AI171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{"issue":{"subject":"","project_id":79,"tracker_id":40,"status_id":1,"priority_id":2,"assigned_to_id":23,"start_date":"2017-03-09","description":"","custom_fields":[{"id":1,"name":"Subdivision","value":"NW"},{"id":4,"name":"Milepost","value":"5.8958"},{"id":17,"name":"Train ID","value":"815-09"},{"id":16,"name":"Locomotive ID","value":"4011"},{"id":130,"name":"Impact","value":""},{"id":150,"name":"Time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1"/>
        <v>start /low /b %USERPROFILE%\Documents\GitHub\eaglep3\Utilities\DownloadLogsFromS3.py --loco 4011 --day 2017-03-09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689</v>
      </c>
      <c r="B172" s="7">
        <v>4012</v>
      </c>
      <c r="C172" s="21" t="s">
        <v>242</v>
      </c>
      <c r="D172" s="21" t="s">
        <v>942</v>
      </c>
      <c r="E172" s="13">
        <v>42803.442060185182</v>
      </c>
      <c r="F172" s="13">
        <v>42803.44363425926</v>
      </c>
      <c r="G172" s="7">
        <v>1</v>
      </c>
      <c r="H172" s="21" t="s">
        <v>556</v>
      </c>
      <c r="I172" s="13">
        <v>42803.454456018517</v>
      </c>
      <c r="J172" s="7">
        <v>0</v>
      </c>
      <c r="K172" s="98" t="str">
        <f>IF(ISEVEN(B172),(B172-1)&amp;"/"&amp;B172,B172&amp;"/"&amp;(B172+1))</f>
        <v>4011/4012</v>
      </c>
      <c r="L172" s="21" t="str">
        <f>VLOOKUP(A172,'Trips&amp;Operators'!$C$1:$G$99999,5,FALSE)</f>
        <v>LOZA FIDEL</v>
      </c>
      <c r="M172" s="6">
        <f>I172-F172</f>
        <v>1.0821759256941732E-2</v>
      </c>
      <c r="N172" s="7">
        <f>24*60*SUM($M172:$M172)</f>
        <v>15.583333329996094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-03-09T09:36:34-0700',mode:absolute,to:'2017-03-09T11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87" t="str">
        <f>IF(AA172&lt;IF(AG172="EC",23,5.65),"Y","N")</f>
        <v>N</v>
      </c>
      <c r="X172" s="187">
        <f>VALUE(LEFT(AD172,4))-VALUE(LEFT(AD171,4))</f>
        <v>1</v>
      </c>
      <c r="Y172" s="62">
        <f>RIGHT(D172,LEN(D172)-4)/10000</f>
        <v>5.8634000000000004</v>
      </c>
      <c r="Z172" s="62">
        <f>RIGHT(H172,LEN(H172)-4)/10000</f>
        <v>6.8000000000000005E-2</v>
      </c>
      <c r="AA172" s="62">
        <f>ABS(Z172-Y172)</f>
        <v>5.7954000000000008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0816-09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/stypes="app*4012*20170309*" /stext=" 17:.+((SYSTEM_STATE.+slice.+state.+changed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9"/>
        <v>"%USERPROFILE%\Documents\GitHub\eaglep3\Utilities\RefineRTDCRunTimes.py" --tripid 816-09 --locoid 4012 --swversion DE.1.0.9.0 --startMP 300:58634 --initTime 2017-03-09T10:36:34 --startdatetime 2017-03-09T10:38:50 --delay 1 --endMP 204:680 --enddatetime 2017-03-09T10:54:25 --enforcementcount 0 &gt;&gt;C:\Users\stu\Documents\GitHub\eaglep3-reporting\EC\2017-03-09-refined-times.txt</v>
      </c>
      <c r="AI172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{"issue":{"subject":"","project_id":79,"tracker_id":40,"status_id":1,"priority_id":2,"assigned_to_id":23,"start_date":"2017-03-09","description":"","custom_fields":[{"id":1,"name":"Subdivision","value":"NW"},{"id":4,"name":"Milepost","value":"0.068"},{"id":17,"name":"Train ID","value":"816-09"},{"id":16,"name":"Locomotive ID","value":"4012"},{"id":130,"name":"Impact","value":""},{"id":150,"name":"Time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1"/>
        <v>start /low /b %USERPROFILE%\Documents\GitHub\eaglep3\Utilities\DownloadLogsFromS3.py --loco 4012 --day 2017-03-09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696</v>
      </c>
      <c r="B173" s="7">
        <v>4011</v>
      </c>
      <c r="C173" s="21" t="s">
        <v>242</v>
      </c>
      <c r="D173" s="21" t="s">
        <v>569</v>
      </c>
      <c r="E173" s="13">
        <v>42803.471400462964</v>
      </c>
      <c r="F173" s="13">
        <v>42803.473229166666</v>
      </c>
      <c r="G173" s="7">
        <v>1</v>
      </c>
      <c r="H173" s="21" t="s">
        <v>944</v>
      </c>
      <c r="I173" s="13">
        <v>42803.482488425929</v>
      </c>
      <c r="J173" s="7">
        <v>0</v>
      </c>
      <c r="K173" s="98" t="str">
        <f>IF(ISEVEN(B173),(B173-1)&amp;"/"&amp;B173,B173&amp;"/"&amp;(B173+1))</f>
        <v>4011/4012</v>
      </c>
      <c r="L173" s="21" t="str">
        <f>VLOOKUP(A173,'Trips&amp;Operators'!$C$1:$G$99999,5,FALSE)</f>
        <v>LOZA FIDEL</v>
      </c>
      <c r="M173" s="6">
        <f>I173-F173</f>
        <v>9.2592592627624981E-3</v>
      </c>
      <c r="N173" s="7">
        <f>24*60*SUM($M173:$M173)</f>
        <v>13.333333338377997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-03-09T10:18:49-0700',mode:absolute,to:'2017-03-09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87" t="str">
        <f>IF(AA173&lt;IF(AG173="EC",23,5.65),"Y","N")</f>
        <v>N</v>
      </c>
      <c r="X173" s="187">
        <f>VALUE(LEFT(AD173,4))-VALUE(LEFT(AD172,4))</f>
        <v>1</v>
      </c>
      <c r="Y173" s="62">
        <f>RIGHT(D173,LEN(D173)-4)/10000</f>
        <v>9.7100000000000006E-2</v>
      </c>
      <c r="Z173" s="62">
        <f>RIGHT(H173,LEN(H173)-4)/10000</f>
        <v>5.8945999999999996</v>
      </c>
      <c r="AA173" s="62">
        <f>ABS(Z173-Y173)</f>
        <v>5.7974999999999994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0817-09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/stypes="app*4011*20170309*" /stext=" 18:.+((SYSTEM_STATE.+slice.+state.+changed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9"/>
        <v>"%USERPROFILE%\Documents\GitHub\eaglep3\Utilities\RefineRTDCRunTimes.py" --tripid 817-09 --locoid 4011 --swversion DE.1.0.9.0 --startMP 204:971 --initTime 2017-03-09T11:18:49 --startdatetime 2017-03-09T11:21:27 --delay 1 --endMP 300:58946 --enddatetime 2017-03-09T11:34:47 --enforcementcount 0 &gt;&gt;C:\Users\stu\Documents\GitHub\eaglep3-reporting\EC\2017-03-09-refined-times.txt</v>
      </c>
      <c r="AI173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{"issue":{"subject":"","project_id":79,"tracker_id":40,"status_id":1,"priority_id":2,"assigned_to_id":23,"start_date":"2017-03-09","description":"","custom_fields":[{"id":1,"name":"Subdivision","value":"NW"},{"id":4,"name":"Milepost","value":"5.8946"},{"id":17,"name":"Train ID","value":"817-09"},{"id":16,"name":"Locomotive ID","value":"4011"},{"id":130,"name":"Impact","value":""},{"id":150,"name":"Time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1"/>
        <v>start /low /b %USERPROFILE%\Documents\GitHub\eaglep3\Utilities\DownloadLogsFromS3.py --loco 4011 --day 2017-03-09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4" spans="1:91" s="20" customFormat="1" x14ac:dyDescent="0.25">
      <c r="A174" s="33" t="s">
        <v>587</v>
      </c>
      <c r="B174" s="7">
        <v>4012</v>
      </c>
      <c r="C174" s="21" t="s">
        <v>242</v>
      </c>
      <c r="D174" s="21" t="s">
        <v>566</v>
      </c>
      <c r="E174" s="13">
        <v>42803.485775462963</v>
      </c>
      <c r="F174" s="13">
        <v>42803.487291666665</v>
      </c>
      <c r="G174" s="7">
        <v>1</v>
      </c>
      <c r="H174" s="21" t="s">
        <v>945</v>
      </c>
      <c r="I174" s="13">
        <v>42803.496099537035</v>
      </c>
      <c r="J174" s="7">
        <v>0</v>
      </c>
      <c r="K174" s="98" t="str">
        <f>IF(ISEVEN(B174),(B174-1)&amp;"/"&amp;B174,B174&amp;"/"&amp;(B174+1))</f>
        <v>4011/4012</v>
      </c>
      <c r="L174" s="21" t="str">
        <f>VLOOKUP(A174,'Trips&amp;Operators'!$C$1:$G$99999,5,FALSE)</f>
        <v>LOZA FIDEL</v>
      </c>
      <c r="M174" s="6">
        <f>I174-F174</f>
        <v>8.8078703702194616E-3</v>
      </c>
      <c r="N174" s="7">
        <f>24*60*SUM($M174:$M174)</f>
        <v>12.683333333116025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-03-09T10:39:31-0700',mode:absolute,to:'2017-03-09T12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87" t="str">
        <f>IF(AA174&lt;IF(AG174="EC",23,5.65),"Y","N")</f>
        <v>N</v>
      </c>
      <c r="X174" s="187">
        <f>VALUE(LEFT(AD174,4))-VALUE(LEFT(AD173,4))</f>
        <v>1</v>
      </c>
      <c r="Y174" s="62">
        <f>RIGHT(D174,LEN(D174)-4)/10000</f>
        <v>5.8625999999999996</v>
      </c>
      <c r="Z174" s="62">
        <f>RIGHT(H174,LEN(H174)-4)/10000</f>
        <v>7.17E-2</v>
      </c>
      <c r="AA174" s="62">
        <f>ABS(Z174-Y174)</f>
        <v>5.7908999999999997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0818-09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/stypes="app*4012*20170309*" /stext=" 18:.+((SYSTEM_STATE.+slice.+state.+changed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9"/>
        <v>"%USERPROFILE%\Documents\GitHub\eaglep3\Utilities\RefineRTDCRunTimes.py" --tripid 818-09 --locoid 4012 --swversion DE.1.0.9.0 --startMP 300:58626 --initTime 2017-03-09T11:39:31 --startdatetime 2017-03-09T11:41:42 --delay 1 --endMP 204:717 --enddatetime 2017-03-09T11:54:23 --enforcementcount 0 &gt;&gt;C:\Users\stu\Documents\GitHub\eaglep3-reporting\EC\2017-03-09-refined-times.txt</v>
      </c>
      <c r="AI174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{"issue":{"subject":"","project_id":79,"tracker_id":40,"status_id":1,"priority_id":2,"assigned_to_id":23,"start_date":"2017-03-09","description":"","custom_fields":[{"id":1,"name":"Subdivision","value":"NW"},{"id":4,"name":"Milepost","value":"0.0717"},{"id":17,"name":"Train ID","value":"818-09"},{"id":16,"name":"Locomotive ID","value":"4012"},{"id":130,"name":"Impact","value":""},{"id":150,"name":"Time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1"/>
        <v>start /low /b %USERPROFILE%\Documents\GitHub\eaglep3\Utilities\DownloadLogsFromS3.py --loco 4012 --day 2017-03-09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708</v>
      </c>
      <c r="B175" s="7">
        <v>4011</v>
      </c>
      <c r="C175" s="21" t="s">
        <v>242</v>
      </c>
      <c r="D175" s="21" t="s">
        <v>946</v>
      </c>
      <c r="E175" s="13">
        <v>42803.51253472222</v>
      </c>
      <c r="F175" s="13">
        <v>42803.514884259261</v>
      </c>
      <c r="G175" s="7">
        <v>1</v>
      </c>
      <c r="H175" s="21" t="s">
        <v>473</v>
      </c>
      <c r="I175" s="13">
        <v>42803.524004629631</v>
      </c>
      <c r="J175" s="7">
        <v>0</v>
      </c>
      <c r="K175" s="98" t="str">
        <f>IF(ISEVEN(B175),(B175-1)&amp;"/"&amp;B175,B175&amp;"/"&amp;(B175+1))</f>
        <v>4011/4012</v>
      </c>
      <c r="L175" s="21" t="str">
        <f>VLOOKUP(A175,'Trips&amp;Operators'!$C$1:$G$99999,5,FALSE)</f>
        <v>LOZA FIDEL</v>
      </c>
      <c r="M175" s="6">
        <f>I175-F175</f>
        <v>9.1203703705104999E-3</v>
      </c>
      <c r="N175" s="7">
        <f>24*60*SUM($M175:$M175)</f>
        <v>13.13333333353512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-03-09T11:18:03-0700',mode:absolute,to:'2017-03-09T13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87" t="str">
        <f>IF(AA175&lt;IF(AG175="EC",23,5.65),"Y","N")</f>
        <v>N</v>
      </c>
      <c r="X175" s="187">
        <f>VALUE(LEFT(AD175,4))-VALUE(LEFT(AD174,4))</f>
        <v>1</v>
      </c>
      <c r="Y175" s="62">
        <f>RIGHT(D175,LEN(D175)-4)/10000</f>
        <v>9.9699999999999997E-2</v>
      </c>
      <c r="Z175" s="62">
        <f>RIGHT(H175,LEN(H175)-4)/10000</f>
        <v>5.8949999999999996</v>
      </c>
      <c r="AA175" s="62">
        <f>ABS(Z175-Y175)</f>
        <v>5.7952999999999992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0819-09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/stypes="app*4011*20170309*" /stext=" 19:.+((SYSTEM_STATE.+slice.+state.+changed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9"/>
        <v>"%USERPROFILE%\Documents\GitHub\eaglep3\Utilities\RefineRTDCRunTimes.py" --tripid 819-09 --locoid 4011 --swversion DE.1.0.9.0 --startMP 204:997 --initTime 2017-03-09T12:18:03 --startdatetime 2017-03-09T12:21:26 --delay 1 --endMP 300:58950 --enddatetime 2017-03-09T12:34:34 --enforcementcount 0 &gt;&gt;C:\Users\stu\Documents\GitHub\eaglep3-reporting\EC\2017-03-09-refined-times.txt</v>
      </c>
      <c r="AI175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{"issue":{"subject":"","project_id":79,"tracker_id":40,"status_id":1,"priority_id":2,"assigned_to_id":23,"start_date":"2017-03-09","description":"","custom_fields":[{"id":1,"name":"Subdivision","value":"NW"},{"id":4,"name":"Milepost","value":"5.895"},{"id":17,"name":"Train ID","value":"819-09"},{"id":16,"name":"Locomotive ID","value":"4011"},{"id":130,"name":"Impact","value":""},{"id":150,"name":"Time of Event (Mountain Time)","value":"12:34:34"},{"id":151,"name":"Denver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1"/>
        <v>start /low /b %USERPROFILE%\Documents\GitHub\eaglep3\Utilities\DownloadLogsFromS3.py --loco 4011 --day 2017-03-09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6" spans="1:91" s="20" customFormat="1" x14ac:dyDescent="0.25">
      <c r="A176" s="33" t="s">
        <v>713</v>
      </c>
      <c r="B176" s="7">
        <v>4012</v>
      </c>
      <c r="C176" s="21" t="s">
        <v>242</v>
      </c>
      <c r="D176" s="21" t="s">
        <v>947</v>
      </c>
      <c r="E176" s="13">
        <v>42803.525347222225</v>
      </c>
      <c r="F176" s="13">
        <v>42803.52685185185</v>
      </c>
      <c r="G176" s="7">
        <v>1</v>
      </c>
      <c r="H176" s="21" t="s">
        <v>475</v>
      </c>
      <c r="I176" s="13">
        <v>42803.539722222224</v>
      </c>
      <c r="J176" s="7">
        <v>0</v>
      </c>
      <c r="K176" s="98" t="str">
        <f>IF(ISEVEN(B176),(B176-1)&amp;"/"&amp;B176,B176&amp;"/"&amp;(B176+1))</f>
        <v>4011/4012</v>
      </c>
      <c r="L176" s="21" t="str">
        <f>VLOOKUP(A176,'Trips&amp;Operators'!$C$1:$G$99999,5,FALSE)</f>
        <v>LOZA FIDEL</v>
      </c>
      <c r="M176" s="6">
        <f>I176-F176</f>
        <v>1.287037037400296E-2</v>
      </c>
      <c r="N176" s="7">
        <f>24*60*SUM($M176:$M176)</f>
        <v>18.533333338564262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-03-09T11:36:30-0700',mode:absolute,to:'2017-03-09T13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87" t="str">
        <f>IF(AA176&lt;IF(AG176="EC",23,5.65),"Y","N")</f>
        <v>N</v>
      </c>
      <c r="X176" s="187">
        <f>VALUE(LEFT(AD176,4))-VALUE(LEFT(AD175,4))</f>
        <v>1</v>
      </c>
      <c r="Y176" s="62">
        <f>RIGHT(D176,LEN(D176)-4)/10000</f>
        <v>5.8628</v>
      </c>
      <c r="Z176" s="62">
        <f>RIGHT(H176,LEN(H176)-4)/10000</f>
        <v>6.7799999999999999E-2</v>
      </c>
      <c r="AA176" s="62">
        <f>ABS(Z176-Y176)</f>
        <v>5.7949999999999999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0820-09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/stypes="app*4012*20170309*" /stext=" 19:.+((SYSTEM_STATE.+slice.+state.+changed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9"/>
        <v>"%USERPROFILE%\Documents\GitHub\eaglep3\Utilities\RefineRTDCRunTimes.py" --tripid 820-09 --locoid 4012 --swversion DE.1.0.9.0 --startMP 300:58628 --initTime 2017-03-09T12:36:30 --startdatetime 2017-03-09T12:38:40 --delay 1 --endMP 204:678 --enddatetime 2017-03-09T12:57:12 --enforcementcount 0 &gt;&gt;C:\Users\stu\Documents\GitHub\eaglep3-reporting\EC\2017-03-09-refined-times.txt</v>
      </c>
      <c r="AI176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{"issue":{"subject":"","project_id":79,"tracker_id":40,"status_id":1,"priority_id":2,"assigned_to_id":23,"start_date":"2017-03-09","description":"","custom_fields":[{"id":1,"name":"Subdivision","value":"NW"},{"id":4,"name":"Milepost","value":"0.0678"},{"id":17,"name":"Train ID","value":"820-09"},{"id":16,"name":"Locomotive ID","value":"4012"},{"id":130,"name":"Impact","value":""},{"id":150,"name":"Time of Event (Mountain Time)","value":"12:57:12"},{"id":151,"name":"Denver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1"/>
        <v>start /low /b %USERPROFILE%\Documents\GitHub\eaglep3\Utilities\DownloadLogsFromS3.py --loco 4012 --day 2017-03-09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717</v>
      </c>
      <c r="B177" s="7">
        <v>4011</v>
      </c>
      <c r="C177" s="21" t="s">
        <v>242</v>
      </c>
      <c r="D177" s="21" t="s">
        <v>571</v>
      </c>
      <c r="E177" s="13">
        <v>42803.549467592595</v>
      </c>
      <c r="F177" s="13">
        <v>42803.55667824074</v>
      </c>
      <c r="G177" s="7">
        <v>1</v>
      </c>
      <c r="H177" s="21" t="s">
        <v>948</v>
      </c>
      <c r="I177" s="13">
        <v>42803.566168981481</v>
      </c>
      <c r="J177" s="7">
        <v>0</v>
      </c>
      <c r="K177" s="98" t="str">
        <f>IF(ISEVEN(B177),(B177-1)&amp;"/"&amp;B177,B177&amp;"/"&amp;(B177+1))</f>
        <v>4011/4012</v>
      </c>
      <c r="L177" s="21" t="str">
        <f>VLOOKUP(A177,'Trips&amp;Operators'!$C$1:$G$99999,5,FALSE)</f>
        <v>LEVERE CRAIG</v>
      </c>
      <c r="M177" s="6">
        <f>I177-F177</f>
        <v>9.4907407401478849E-3</v>
      </c>
      <c r="N177" s="7">
        <f>24*60*SUM($M177:$M177)</f>
        <v>13.666666665812954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-03-09T12:11:14-0700',mode:absolute,to:'2017-03-09T14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87" t="str">
        <f>IF(AA177&lt;IF(AG177="EC",23,5.65),"Y","N")</f>
        <v>N</v>
      </c>
      <c r="X177" s="187">
        <f>VALUE(LEFT(AD177,4))-VALUE(LEFT(AD176,4))</f>
        <v>1</v>
      </c>
      <c r="Y177" s="62">
        <f>RIGHT(D177,LEN(D177)-4)/10000</f>
        <v>9.7199999999999995E-2</v>
      </c>
      <c r="Z177" s="62">
        <f>RIGHT(H177,LEN(H177)-4)/10000</f>
        <v>5.8960999999999997</v>
      </c>
      <c r="AA177" s="62">
        <f>ABS(Z177-Y177)</f>
        <v>5.7988999999999997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0821-09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/stypes="app*4011*20170309*" /stext=" 20:.+((SYSTEM_STATE.+slice.+state.+changed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9"/>
        <v>"%USERPROFILE%\Documents\GitHub\eaglep3\Utilities\RefineRTDCRunTimes.py" --tripid 821-09 --locoid 4011 --swversion DE.1.0.9.0 --startMP 204:972 --initTime 2017-03-09T13:11:14 --startdatetime 2017-03-09T13:21:37 --delay 1 --endMP 300:58961 --enddatetime 2017-03-09T13:35:17 --enforcementcount 0 &gt;&gt;C:\Users\stu\Documents\GitHub\eaglep3-reporting\EC\2017-03-09-refined-times.txt</v>
      </c>
      <c r="AI177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{"issue":{"subject":"","project_id":79,"tracker_id":40,"status_id":1,"priority_id":2,"assigned_to_id":23,"start_date":"2017-03-09","description":"","custom_fields":[{"id":1,"name":"Subdivision","value":"NW"},{"id":4,"name":"Milepost","value":"5.8961"},{"id":17,"name":"Train ID","value":"821-09"},{"id":16,"name":"Locomotive ID","value":"4011"},{"id":130,"name":"Impact","value":""},{"id":150,"name":"Time of Event (Mountain Time)","value":"13:35:17"},{"id":151,"name":"Denver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1"/>
        <v>start /low /b %USERPROFILE%\Documents\GitHub\eaglep3\Utilities\DownloadLogsFromS3.py --loco 4011 --day 2017-03-09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8" spans="1:91" s="20" customFormat="1" x14ac:dyDescent="0.25">
      <c r="A178" s="33" t="s">
        <v>592</v>
      </c>
      <c r="B178" s="7">
        <v>4012</v>
      </c>
      <c r="C178" s="21" t="s">
        <v>242</v>
      </c>
      <c r="D178" s="21" t="s">
        <v>949</v>
      </c>
      <c r="E178" s="13">
        <v>42803.567060185182</v>
      </c>
      <c r="F178" s="13">
        <v>42803.568657407406</v>
      </c>
      <c r="G178" s="7">
        <v>1</v>
      </c>
      <c r="H178" s="21" t="s">
        <v>950</v>
      </c>
      <c r="I178" s="13">
        <v>42803.579733796294</v>
      </c>
      <c r="J178" s="7">
        <v>0</v>
      </c>
      <c r="K178" s="98" t="str">
        <f>IF(ISEVEN(B178),(B178-1)&amp;"/"&amp;B178,B178&amp;"/"&amp;(B178+1))</f>
        <v>4011/4012</v>
      </c>
      <c r="L178" s="21" t="str">
        <f>VLOOKUP(A178,'Trips&amp;Operators'!$C$1:$G$99999,5,FALSE)</f>
        <v>LEVERE CRAIG</v>
      </c>
      <c r="M178" s="6">
        <f>I178-F178</f>
        <v>1.1076388887886424E-2</v>
      </c>
      <c r="N178" s="7">
        <f>24*60*SUM($M178:$M178)</f>
        <v>15.94999999855645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-03-09T12:36:34-0700',mode:absolute,to:'2017-03-09T14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87" t="str">
        <f>IF(AA178&lt;IF(AG178="EC",23,5.65),"Y","N")</f>
        <v>N</v>
      </c>
      <c r="X178" s="187">
        <f>VALUE(LEFT(AD178,4))-VALUE(LEFT(AD177,4))</f>
        <v>1</v>
      </c>
      <c r="Y178" s="62">
        <f>RIGHT(D178,LEN(D178)-4)/10000</f>
        <v>5.8653000000000004</v>
      </c>
      <c r="Z178" s="62">
        <f>RIGHT(H178,LEN(H178)-4)/10000</f>
        <v>7.4999999999999997E-2</v>
      </c>
      <c r="AA178" s="62">
        <f>ABS(Z178-Y178)</f>
        <v>5.7903000000000002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0822-09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/stypes="app*4012*20170309*" /stext=" 20:.+((SYSTEM_STATE.+slice.+state.+changed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9"/>
        <v>"%USERPROFILE%\Documents\GitHub\eaglep3\Utilities\RefineRTDCRunTimes.py" --tripid 822-09 --locoid 4012 --swversion DE.1.0.9.0 --startMP 300:58653 --initTime 2017-03-09T13:36:34 --startdatetime 2017-03-09T13:38:52 --delay 1 --endMP 204:750 --enddatetime 2017-03-09T13:54:49 --enforcementcount 0 &gt;&gt;C:\Users\stu\Documents\GitHub\eaglep3-reporting\EC\2017-03-09-refined-times.txt</v>
      </c>
      <c r="AI178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{"issue":{"subject":"","project_id":79,"tracker_id":40,"status_id":1,"priority_id":2,"assigned_to_id":23,"start_date":"2017-03-09","description":"","custom_fields":[{"id":1,"name":"Subdivision","value":"NW"},{"id":4,"name":"Milepost","value":"0.075"},{"id":17,"name":"Train ID","value":"822-09"},{"id":16,"name":"Locomotive ID","value":"4012"},{"id":130,"name":"Impact","value":""},{"id":150,"name":"Time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1"/>
        <v>start /low /b %USERPROFILE%\Documents\GitHub\eaglep3\Utilities\DownloadLogsFromS3.py --loco 4012 --day 2017-03-09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724</v>
      </c>
      <c r="B179" s="7">
        <v>4011</v>
      </c>
      <c r="C179" s="21" t="s">
        <v>242</v>
      </c>
      <c r="D179" s="21" t="s">
        <v>951</v>
      </c>
      <c r="E179" s="13">
        <v>42803.587071759262</v>
      </c>
      <c r="F179" s="13">
        <v>42803.598124999997</v>
      </c>
      <c r="G179" s="7">
        <v>1</v>
      </c>
      <c r="H179" s="21" t="s">
        <v>952</v>
      </c>
      <c r="I179" s="13">
        <v>42803.607557870368</v>
      </c>
      <c r="J179" s="7">
        <v>0</v>
      </c>
      <c r="K179" s="98" t="str">
        <f>IF(ISEVEN(B179),(B179-1)&amp;"/"&amp;B179,B179&amp;"/"&amp;(B179+1))</f>
        <v>4011/4012</v>
      </c>
      <c r="L179" s="21" t="str">
        <f>VLOOKUP(A179,'Trips&amp;Operators'!$C$1:$G$99999,5,FALSE)</f>
        <v>LEVERE CRAIG</v>
      </c>
      <c r="M179" s="6">
        <f>I179-F179</f>
        <v>9.4328703708015382E-3</v>
      </c>
      <c r="N179" s="7">
        <f>24*60*SUM($M179:$M179)</f>
        <v>13.583333333954215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-03-09T13:05:23-0700',mode:absolute,to:'2017-03-09T15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87" t="str">
        <f>IF(AA179&lt;IF(AG179="EC",23,5.65),"Y","N")</f>
        <v>N</v>
      </c>
      <c r="X179" s="187">
        <f>VALUE(LEFT(AD179,4))-VALUE(LEFT(AD178,4))</f>
        <v>1</v>
      </c>
      <c r="Y179" s="62">
        <f>RIGHT(D179,LEN(D179)-4)/10000</f>
        <v>0.10440000000000001</v>
      </c>
      <c r="Z179" s="62">
        <f>RIGHT(H179,LEN(H179)-4)/10000</f>
        <v>5.8967000000000001</v>
      </c>
      <c r="AA179" s="62">
        <f>ABS(Z179-Y179)</f>
        <v>5.7923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0823-09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/stypes="app*4011*20170309*" /stext=" 21:.+((SYSTEM_STATE.+slice.+state.+changed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9"/>
        <v>"%USERPROFILE%\Documents\GitHub\eaglep3\Utilities\RefineRTDCRunTimes.py" --tripid 823-09 --locoid 4011 --swversion DE.1.0.9.0 --startMP 204:1044 --initTime 2017-03-09T14:05:23 --startdatetime 2017-03-09T14:21:18 --delay 1 --endMP 300:58967 --enddatetime 2017-03-09T14:34:53 --enforcementcount 0 &gt;&gt;C:\Users\stu\Documents\GitHub\eaglep3-reporting\EC\2017-03-09-refined-times.txt</v>
      </c>
      <c r="AI179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{"issue":{"subject":"","project_id":79,"tracker_id":40,"status_id":1,"priority_id":2,"assigned_to_id":23,"start_date":"2017-03-09","description":"","custom_fields":[{"id":1,"name":"Subdivision","value":"NW"},{"id":4,"name":"Milepost","value":"5.8967"},{"id":17,"name":"Train ID","value":"823-09"},{"id":16,"name":"Locomotive ID","value":"4011"},{"id":130,"name":"Impact","value":""},{"id":150,"name":"Time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1"/>
        <v>start /low /b %USERPROFILE%\Documents\GitHub\eaglep3\Utilities\DownloadLogsFromS3.py --loco 4011 --day 2017-03-09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0" spans="1:91" x14ac:dyDescent="0.25">
      <c r="A180" s="33" t="s">
        <v>728</v>
      </c>
      <c r="B180" s="7">
        <v>4012</v>
      </c>
      <c r="C180" s="21" t="s">
        <v>242</v>
      </c>
      <c r="D180" s="21" t="s">
        <v>953</v>
      </c>
      <c r="E180" s="13">
        <v>42803.608530092592</v>
      </c>
      <c r="F180" s="13">
        <v>42803.610023148147</v>
      </c>
      <c r="G180" s="7">
        <v>1</v>
      </c>
      <c r="H180" s="21" t="s">
        <v>567</v>
      </c>
      <c r="I180" s="13">
        <v>42803.622314814813</v>
      </c>
      <c r="J180" s="7">
        <v>0</v>
      </c>
      <c r="K180" s="98" t="str">
        <f>IF(ISEVEN(B180),(B180-1)&amp;"/"&amp;B180,B180&amp;"/"&amp;(B180+1))</f>
        <v>4011/4012</v>
      </c>
      <c r="L180" s="21" t="str">
        <f>VLOOKUP(A180,'Trips&amp;Operators'!$C$1:$G$99999,5,FALSE)</f>
        <v>LEVERE CRAIG</v>
      </c>
      <c r="M180" s="6">
        <f>I180-F180</f>
        <v>1.2291666665987577E-2</v>
      </c>
      <c r="N180" s="7">
        <f>24*60*SUM($M180:$M180)</f>
        <v>17.699999999022111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-03-09T13:36:17-0700',mode:absolute,to:'2017-03-09T15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87" t="str">
        <f>IF(AA180&lt;IF(AG180="EC",23,5.65),"Y","N")</f>
        <v>N</v>
      </c>
      <c r="X180" s="187">
        <f>VALUE(LEFT(AD180,4))-VALUE(LEFT(AD179,4))</f>
        <v>1</v>
      </c>
      <c r="Y180" s="62">
        <f>RIGHT(D180,LEN(D180)-4)/10000</f>
        <v>5.8647</v>
      </c>
      <c r="Z180" s="62">
        <f>RIGHT(H180,LEN(H180)-4)/10000</f>
        <v>6.7500000000000004E-2</v>
      </c>
      <c r="AA180" s="62">
        <f>ABS(Z180-Y180)</f>
        <v>5.7972000000000001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0824-09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/stypes="app*4012*20170309*" /stext=" 21:.+((SYSTEM_STATE.+slice.+state.+changed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9"/>
        <v>"%USERPROFILE%\Documents\GitHub\eaglep3\Utilities\RefineRTDCRunTimes.py" --tripid 824-09 --locoid 4012 --swversion DE.1.0.9.0 --startMP 300:58647 --initTime 2017-03-09T14:36:17 --startdatetime 2017-03-09T14:38:26 --delay 1 --endMP 204:675 --enddatetime 2017-03-09T14:56:08 --enforcementcount 0 &gt;&gt;C:\Users\stu\Documents\GitHub\eaglep3-reporting\EC\2017-03-09-refined-times.txt</v>
      </c>
      <c r="AI180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{"issue":{"subject":"","project_id":79,"tracker_id":40,"status_id":1,"priority_id":2,"assigned_to_id":23,"start_date":"2017-03-09","description":"","custom_fields":[{"id":1,"name":"Subdivision","value":"NW"},{"id":4,"name":"Milepost","value":"0.0675"},{"id":17,"name":"Train ID","value":"824-09"},{"id":16,"name":"Locomotive ID","value":"4012"},{"id":130,"name":"Impact","value":""},{"id":150,"name":"Time of Event (Mountain Time)","value":"14:56:08"},{"id":151,"name":"Denver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1"/>
        <v>start /low /b %USERPROFILE%\Documents\GitHub\eaglep3\Utilities\DownloadLogsFromS3.py --loco 4012 --day 2017-03-09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81" spans="1:91" x14ac:dyDescent="0.25">
      <c r="A181" s="33" t="s">
        <v>734</v>
      </c>
      <c r="B181" s="7">
        <v>4011</v>
      </c>
      <c r="C181" s="21" t="s">
        <v>242</v>
      </c>
      <c r="D181" s="21" t="s">
        <v>559</v>
      </c>
      <c r="E181" s="13">
        <v>42803.629826388889</v>
      </c>
      <c r="F181" s="13">
        <v>42803.639780092592</v>
      </c>
      <c r="G181" s="7">
        <v>1</v>
      </c>
      <c r="H181" s="21" t="s">
        <v>954</v>
      </c>
      <c r="I181" s="13">
        <v>42803.644386574073</v>
      </c>
      <c r="J181" s="7">
        <v>0</v>
      </c>
      <c r="K181" s="98" t="str">
        <f>IF(ISEVEN(B181),(B181-1)&amp;"/"&amp;B181,B181&amp;"/"&amp;(B181+1))</f>
        <v>4011/4012</v>
      </c>
      <c r="L181" s="21" t="str">
        <f>VLOOKUP(A181,'Trips&amp;Operators'!$C$1:$G$99999,5,FALSE)</f>
        <v>LEVERE CRAIG</v>
      </c>
      <c r="M181" s="6">
        <f>I181-F181</f>
        <v>4.6064814814599231E-3</v>
      </c>
      <c r="N181" s="7">
        <f>24*60*SUM($M181:$M181)</f>
        <v>6.6333333333022892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-03-09T14:06:57-0700',mode:absolute,to:'2017-03-09T16:27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87" t="str">
        <f>IF(AA181&lt;IF(AG181="EC",23,5.65),"Y","N")</f>
        <v>N</v>
      </c>
      <c r="X181" s="187">
        <f>VALUE(LEFT(AD181,4))-VALUE(LEFT(AD180,4))</f>
        <v>1</v>
      </c>
      <c r="Y181" s="62">
        <f>RIGHT(D181,LEN(D181)-4)/10000</f>
        <v>9.74E-2</v>
      </c>
      <c r="Z181" s="62">
        <f>RIGHT(H181,LEN(H181)-4)/10000</f>
        <v>5.7599</v>
      </c>
      <c r="AA181" s="62">
        <f>ABS(Z181-Y181)</f>
        <v>5.6624999999999996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0825-09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/stypes="app*4011*20170309*" /stext=" 22:.+((SYSTEM_STATE.+slice.+state.+changed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9"/>
        <v>"%USERPROFILE%\Documents\GitHub\eaglep3\Utilities\RefineRTDCRunTimes.py" --tripid 825-09 --locoid 4011 --swversion DE.1.0.9.0 --startMP 204:974 --initTime 2017-03-09T15:06:57 --startdatetime 2017-03-09T15:21:17 --delay 1 --endMP 300:57599 --enddatetime 2017-03-09T15:27:55 --enforcementcount 0 &gt;&gt;C:\Users\stu\Documents\GitHub\eaglep3-reporting\EC\2017-03-09-refined-times.txt</v>
      </c>
      <c r="AI181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{"issue":{"subject":"","project_id":79,"tracker_id":40,"status_id":1,"priority_id":2,"assigned_to_id":23,"start_date":"2017-03-09","description":"","custom_fields":[{"id":1,"name":"Subdivision","value":"NW"},{"id":4,"name":"Milepost","value":"5.7599"},{"id":17,"name":"Train ID","value":"825-09"},{"id":16,"name":"Locomotive ID","value":"4011"},{"id":130,"name":"Impact","value":""},{"id":150,"name":"Time of Event (Mountain Time)","value":"15:27:55"},{"id":151,"name":"Denver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1"/>
        <v>start /low /b %USERPROFILE%\Documents\GitHub\eaglep3\Utilities\DownloadLogsFromS3.py --loco 4011 --day 2017-03-09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2" spans="1:91" s="20" customFormat="1" x14ac:dyDescent="0.25">
      <c r="A182" s="33" t="s">
        <v>599</v>
      </c>
      <c r="B182" s="7">
        <v>4012</v>
      </c>
      <c r="C182" s="21" t="s">
        <v>242</v>
      </c>
      <c r="D182" s="21" t="s">
        <v>561</v>
      </c>
      <c r="E182" s="13">
        <v>42803.655532407407</v>
      </c>
      <c r="F182" s="13">
        <v>42803.656875000001</v>
      </c>
      <c r="G182" s="7">
        <v>1</v>
      </c>
      <c r="H182" s="21" t="s">
        <v>955</v>
      </c>
      <c r="I182" s="13">
        <v>42803.667175925926</v>
      </c>
      <c r="J182" s="7">
        <v>0</v>
      </c>
      <c r="K182" s="98" t="str">
        <f>IF(ISEVEN(B182),(B182-1)&amp;"/"&amp;B182,B182&amp;"/"&amp;(B182+1))</f>
        <v>4011/4012</v>
      </c>
      <c r="L182" s="21" t="str">
        <f>VLOOKUP(A182,'Trips&amp;Operators'!$C$1:$G$99999,5,FALSE)</f>
        <v>LEVERE CRAIG</v>
      </c>
      <c r="M182" s="6">
        <f>I182-F182</f>
        <v>1.0300925925548654E-2</v>
      </c>
      <c r="N182" s="7">
        <f>24*60*SUM($M182:$M182)</f>
        <v>14.833333332790062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-03-09T14:43:58-0700',mode:absolute,to:'2017-03-09T17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87" t="str">
        <f>IF(AA182&lt;IF(AG182="EC",23,5.65),"Y","N")</f>
        <v>N</v>
      </c>
      <c r="X182" s="187">
        <f>VALUE(LEFT(AD182,4))-VALUE(LEFT(AD181,4))</f>
        <v>1</v>
      </c>
      <c r="Y182" s="62">
        <f>RIGHT(D182,LEN(D182)-4)/10000</f>
        <v>5.8639999999999999</v>
      </c>
      <c r="Z182" s="62">
        <f>RIGHT(H182,LEN(H182)-4)/10000</f>
        <v>7.3999999999999996E-2</v>
      </c>
      <c r="AA182" s="62">
        <f>ABS(Z182-Y182)</f>
        <v>5.79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0826-09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/stypes="app*4012*20170309*" /stext=" 23:.+((SYSTEM_STATE.+slice.+state.+changed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9"/>
        <v>"%USERPROFILE%\Documents\GitHub\eaglep3\Utilities\RefineRTDCRunTimes.py" --tripid 826-09 --locoid 4012 --swversion DE.1.0.9.0 --startMP 300:58640 --initTime 2017-03-09T15:43:58 --startdatetime 2017-03-09T15:45:54 --delay 1 --endMP 204:740 --enddatetime 2017-03-09T16:00:44 --enforcementcount 0 &gt;&gt;C:\Users\stu\Documents\GitHub\eaglep3-reporting\EC\2017-03-09-refined-times.txt</v>
      </c>
      <c r="AI182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{"issue":{"subject":"","project_id":79,"tracker_id":40,"status_id":1,"priority_id":2,"assigned_to_id":23,"start_date":"2017-03-09","description":"","custom_fields":[{"id":1,"name":"Subdivision","value":"NW"},{"id":4,"name":"Milepost","value":"0.074"},{"id":17,"name":"Train ID","value":"826-09"},{"id":16,"name":"Locomotive ID","value":"4012"},{"id":130,"name":"Impact","value":""},{"id":150,"name":"Time of Event (Mountain Time)","value":"16:00:44"},{"id":151,"name":"Denver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1"/>
        <v>start /low /b %USERPROFILE%\Documents\GitHub\eaglep3\Utilities\DownloadLogsFromS3.py --loco 4012 --day 2017-03-09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737</v>
      </c>
      <c r="B183" s="7">
        <v>4007</v>
      </c>
      <c r="C183" s="21" t="s">
        <v>242</v>
      </c>
      <c r="D183" s="21" t="s">
        <v>956</v>
      </c>
      <c r="E183" s="13">
        <v>42803.649965277778</v>
      </c>
      <c r="F183" s="13">
        <v>42803.660636574074</v>
      </c>
      <c r="G183" s="7">
        <v>1</v>
      </c>
      <c r="H183" s="21" t="s">
        <v>957</v>
      </c>
      <c r="I183" s="13">
        <v>42803.671261574076</v>
      </c>
      <c r="J183" s="7">
        <v>0</v>
      </c>
      <c r="K183" s="98" t="str">
        <f>IF(ISEVEN(B183),(B183-1)&amp;"/"&amp;B183,B183&amp;"/"&amp;(B183+1))</f>
        <v>4007/4008</v>
      </c>
      <c r="L183" s="21" t="str">
        <f>VLOOKUP(A183,'Trips&amp;Operators'!$C$1:$G$99999,5,FALSE)</f>
        <v>STORY SAMANTHA</v>
      </c>
      <c r="M183" s="6">
        <f>I183-F183</f>
        <v>1.0625000002619345E-2</v>
      </c>
      <c r="N183" s="7">
        <f>24*60*SUM($M183:$M183)</f>
        <v>15.300000003771856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-03-09T14:35:57-0700',mode:absolute,to:'2017-03-09T17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7" t="str">
        <f>IF(AA183&lt;IF(AG183="EC",23,5.65),"Y","N")</f>
        <v>N</v>
      </c>
      <c r="X183" s="187">
        <f>VALUE(LEFT(AD183,4))-VALUE(LEFT(AD182,4))</f>
        <v>1</v>
      </c>
      <c r="Y183" s="62">
        <f>RIGHT(D183,LEN(D183)-4)/10000</f>
        <v>9.9000000000000005E-2</v>
      </c>
      <c r="Z183" s="62">
        <f>RIGHT(H183,LEN(H183)-4)/10000</f>
        <v>5.9016000000000002</v>
      </c>
      <c r="AA183" s="62">
        <f>ABS(Z183-Y183)</f>
        <v>5.8026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0827-09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/stypes="app*4007*20170309*" /stext=" 23:.+((SYSTEM_STATE.+slice.+state.+changed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9"/>
        <v>"%USERPROFILE%\Documents\GitHub\eaglep3\Utilities\RefineRTDCRunTimes.py" --tripid 827-09 --locoid 4007 --swversion DE.1.0.9.0 --startMP 204:990 --initTime 2017-03-09T15:35:57 --startdatetime 2017-03-09T15:51:19 --delay 1 --endMP 300:59016 --enddatetime 2017-03-09T16:06:37 --enforcementcount 0 &gt;&gt;C:\Users\stu\Documents\GitHub\eaglep3-reporting\EC\2017-03-09-refined-times.txt</v>
      </c>
      <c r="AI183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{"issue":{"subject":"","project_id":79,"tracker_id":40,"status_id":1,"priority_id":2,"assigned_to_id":23,"start_date":"2017-03-09","description":"","custom_fields":[{"id":1,"name":"Subdivision","value":"NW"},{"id":4,"name":"Milepost","value":"5.9016"},{"id":17,"name":"Train ID","value":"827-09"},{"id":16,"name":"Locomotive ID","value":"4007"},{"id":130,"name":"Impact","value":""},{"id":150,"name":"Time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1"/>
        <v>start /low /b %USERPROFILE%\Documents\GitHub\eaglep3\Utilities\DownloadLogsFromS3.py --loco 4007 --day 2017-03-09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84" spans="1:91" s="20" customFormat="1" x14ac:dyDescent="0.25">
      <c r="A184" s="33" t="s">
        <v>742</v>
      </c>
      <c r="B184" s="7">
        <v>4008</v>
      </c>
      <c r="C184" s="21" t="s">
        <v>242</v>
      </c>
      <c r="D184" s="21" t="s">
        <v>958</v>
      </c>
      <c r="E184" s="13">
        <v>42803.672303240739</v>
      </c>
      <c r="F184" s="13">
        <v>42803.673622685186</v>
      </c>
      <c r="G184" s="7">
        <v>1</v>
      </c>
      <c r="H184" s="21" t="s">
        <v>959</v>
      </c>
      <c r="I184" s="13">
        <v>42803.685104166667</v>
      </c>
      <c r="J184" s="7">
        <v>0</v>
      </c>
      <c r="K184" s="98" t="str">
        <f>IF(ISEVEN(B184),(B184-1)&amp;"/"&amp;B184,B184&amp;"/"&amp;(B184+1))</f>
        <v>4007/4008</v>
      </c>
      <c r="L184" s="21" t="str">
        <f>VLOOKUP(A184,'Trips&amp;Operators'!$C$1:$G$99999,5,FALSE)</f>
        <v>STORY SAMANTHA</v>
      </c>
      <c r="M184" s="6">
        <f>I184-F184</f>
        <v>1.1481481480586808E-2</v>
      </c>
      <c r="N184" s="7">
        <f>24*60*SUM($M184:$M184)</f>
        <v>16.533333332045004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-03-09T15:08:07-0700',mode:absolute,to:'2017-03-09T17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7" t="str">
        <f>IF(AA184&lt;IF(AG184="EC",23,5.65),"Y","N")</f>
        <v>N</v>
      </c>
      <c r="X184" s="187">
        <f>VALUE(LEFT(AD184,4))-VALUE(LEFT(AD183,4))</f>
        <v>1</v>
      </c>
      <c r="Y184" s="62">
        <f>RIGHT(D184,LEN(D184)-4)/10000</f>
        <v>5.8704000000000001</v>
      </c>
      <c r="Z184" s="62">
        <f>RIGHT(H184,LEN(H184)-4)/10000</f>
        <v>7.8899999999999998E-2</v>
      </c>
      <c r="AA184" s="62">
        <f>ABS(Z184-Y184)</f>
        <v>5.7915000000000001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0828-09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/stypes="app*4008*20170309*" /stext=" 23:.+((SYSTEM_STATE.+slice.+state.+changed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9"/>
        <v>"%USERPROFILE%\Documents\GitHub\eaglep3\Utilities\RefineRTDCRunTimes.py" --tripid 828-09 --locoid 4008 --swversion DE.1.0.9.0 --startMP 300:58704 --initTime 2017-03-09T16:08:07 --startdatetime 2017-03-09T16:10:01 --delay 1 --endMP 204:789 --enddatetime 2017-03-09T16:26:33 --enforcementcount 0 &gt;&gt;C:\Users\stu\Documents\GitHub\eaglep3-reporting\EC\2017-03-09-refined-times.txt</v>
      </c>
      <c r="AI184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{"issue":{"subject":"","project_id":79,"tracker_id":40,"status_id":1,"priority_id":2,"assigned_to_id":23,"start_date":"2017-03-09","description":"","custom_fields":[{"id":1,"name":"Subdivision","value":"NW"},{"id":4,"name":"Milepost","value":"0.0789"},{"id":17,"name":"Train ID","value":"828-09"},{"id":16,"name":"Locomotive ID","value":"4008"},{"id":130,"name":"Impact","value":""},{"id":150,"name":"Time of Event (Mountain Time)","value":"16:26:33"},{"id":151,"name":"Denver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1"/>
        <v>start /low /b %USERPROFILE%\Documents\GitHub\eaglep3\Utilities\DownloadLogsFromS3.py --loco 4008 --day 2017-03-09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743</v>
      </c>
      <c r="B185" s="7">
        <v>4011</v>
      </c>
      <c r="C185" s="21" t="s">
        <v>242</v>
      </c>
      <c r="D185" s="21" t="s">
        <v>910</v>
      </c>
      <c r="E185" s="13">
        <v>42803.673333333332</v>
      </c>
      <c r="F185" s="13">
        <v>42803.681481481479</v>
      </c>
      <c r="G185" s="7">
        <v>2</v>
      </c>
      <c r="H185" s="21" t="s">
        <v>960</v>
      </c>
      <c r="I185" s="13">
        <v>42803.691157407404</v>
      </c>
      <c r="J185" s="7">
        <v>0</v>
      </c>
      <c r="K185" s="98" t="str">
        <f>IF(ISEVEN(B185),(B185-1)&amp;"/"&amp;B185,B185&amp;"/"&amp;(B185+1))</f>
        <v>4011/4012</v>
      </c>
      <c r="L185" s="21" t="str">
        <f>VLOOKUP(A185,'Trips&amp;Operators'!$C$1:$G$99999,5,FALSE)</f>
        <v>LEVERE CRAIG</v>
      </c>
      <c r="M185" s="6">
        <f>I185-F185</f>
        <v>9.6759259249665774E-3</v>
      </c>
      <c r="N185" s="7">
        <f>24*60*SUM($M185:$M185)</f>
        <v>13.933333331951872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-03-09T15:09:36-0700',mode:absolute,to:'2017-03-09T17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87" t="str">
        <f>IF(AA185&lt;IF(AG185="EC",23,5.65),"Y","N")</f>
        <v>N</v>
      </c>
      <c r="X185" s="187">
        <f>VALUE(LEFT(AD185,4))-VALUE(LEFT(AD184,4))</f>
        <v>1</v>
      </c>
      <c r="Y185" s="62">
        <f>RIGHT(D185,LEN(D185)-4)/10000</f>
        <v>0.1021</v>
      </c>
      <c r="Z185" s="62">
        <f>RIGHT(H185,LEN(H185)-4)/10000</f>
        <v>5.8968999999999996</v>
      </c>
      <c r="AA185" s="62">
        <f>ABS(Z185-Y185)</f>
        <v>5.7947999999999995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0829-09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/stypes="app*4011*20170309*" /stext=" 23:.+((SYSTEM_STATE.+slice.+state.+changed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9"/>
        <v>"%USERPROFILE%\Documents\GitHub\eaglep3\Utilities\RefineRTDCRunTimes.py" --tripid 829-09 --locoid 4011 --swversion DE.1.0.9.0 --startMP 204:1021 --initTime 2017-03-09T16:09:36 --startdatetime 2017-03-09T16:21:20 --delay 2 --endMP 300:58969 --enddatetime 2017-03-09T16:35:16 --enforcementcount 0 &gt;&gt;C:\Users\stu\Documents\GitHub\eaglep3-reporting\EC\2017-03-09-refined-times.txt</v>
      </c>
      <c r="AI185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{"issue":{"subject":"","project_id":79,"tracker_id":40,"status_id":1,"priority_id":2,"assigned_to_id":23,"start_date":"2017-03-09","description":"","custom_fields":[{"id":1,"name":"Subdivision","value":"NW"},{"id":4,"name":"Milepost","value":"5.8969"},{"id":17,"name":"Train ID","value":"829-09"},{"id":16,"name":"Locomotive ID","value":"4011"},{"id":130,"name":"Impact","value":""},{"id":150,"name":"Time of Event (Mountain Time)","value":"16:35:16"},{"id":151,"name":"Denver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1"/>
        <v>start /low /b %USERPROFILE%\Documents\GitHub\eaglep3\Utilities\DownloadLogsFromS3.py --loco 4011 --day 2017-03-09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6" spans="1:91" x14ac:dyDescent="0.25">
      <c r="A186" s="33" t="s">
        <v>746</v>
      </c>
      <c r="B186" s="7">
        <v>4012</v>
      </c>
      <c r="C186" s="21" t="s">
        <v>242</v>
      </c>
      <c r="D186" s="21" t="s">
        <v>961</v>
      </c>
      <c r="E186" s="13">
        <v>42803.692002314812</v>
      </c>
      <c r="F186" s="13">
        <v>42803.693391203706</v>
      </c>
      <c r="G186" s="7">
        <v>0</v>
      </c>
      <c r="H186" s="21" t="s">
        <v>962</v>
      </c>
      <c r="I186" s="13">
        <v>42803.705555555556</v>
      </c>
      <c r="J186" s="7">
        <v>0</v>
      </c>
      <c r="K186" s="98" t="str">
        <f>IF(ISEVEN(B186),(B186-1)&amp;"/"&amp;B186,B186&amp;"/"&amp;(B186+1))</f>
        <v>4011/4012</v>
      </c>
      <c r="L186" s="21" t="str">
        <f>VLOOKUP(A186,'Trips&amp;Operators'!$C$1:$G$99999,5,FALSE)</f>
        <v>LEVERE CRAIG</v>
      </c>
      <c r="M186" s="6">
        <f>I186-F186</f>
        <v>1.2164351850515231E-2</v>
      </c>
      <c r="N186" s="7">
        <f>24*60*SUM($M186:$M186)</f>
        <v>17.516666664741933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-03-09T15:36:29-0700',mode:absolute,to:'2017-03-09T17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87" t="str">
        <f>IF(AA186&lt;IF(AG186="EC",23,5.65),"Y","N")</f>
        <v>N</v>
      </c>
      <c r="X186" s="187">
        <f>VALUE(LEFT(AD186,4))-VALUE(LEFT(AD185,4))</f>
        <v>1</v>
      </c>
      <c r="Y186" s="62">
        <f>RIGHT(D186,LEN(D186)-4)/10000</f>
        <v>5.8642000000000003</v>
      </c>
      <c r="Z186" s="62">
        <f>RIGHT(H186,LEN(H186)-4)/10000</f>
        <v>7.0300000000000001E-2</v>
      </c>
      <c r="AA186" s="62">
        <f>ABS(Z186-Y186)</f>
        <v>5.7939000000000007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0830-09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/stypes="app*4012*20170309*" /stext=" 23:.+((SYSTEM_STATE.+slice.+state.+changed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9"/>
        <v>"%USERPROFILE%\Documents\GitHub\eaglep3\Utilities\RefineRTDCRunTimes.py" --tripid 830-09 --locoid 4012 --swversion DE.1.0.9.0 --startMP 300:58642 --initTime 2017-03-09T16:36:29 --startdatetime 2017-03-09T16:38:29 --delay 0 --endMP 204:703 --enddatetime 2017-03-09T16:56:00 --enforcementcount 0 &gt;&gt;C:\Users\stu\Documents\GitHub\eaglep3-reporting\EC\2017-03-09-refined-times.txt</v>
      </c>
      <c r="AI186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{"issue":{"subject":"","project_id":79,"tracker_id":40,"status_id":1,"priority_id":2,"assigned_to_id":23,"start_date":"2017-03-09","description":"","custom_fields":[{"id":1,"name":"Subdivision","value":"NW"},{"id":4,"name":"Milepost","value":"0.0703"},{"id":17,"name":"Train ID","value":"830-09"},{"id":16,"name":"Locomotive ID","value":"4012"},{"id":130,"name":"Impact","value":""},{"id":150,"name":"Time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1"/>
        <v>start /low /b %USERPROFILE%\Documents\GitHub\eaglep3\Utilities\DownloadLogsFromS3.py --loco 4012 --day 2017-03-09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87" spans="1:91" x14ac:dyDescent="0.25">
      <c r="A187" s="33" t="s">
        <v>601</v>
      </c>
      <c r="B187" s="7">
        <v>4007</v>
      </c>
      <c r="C187" s="21" t="s">
        <v>242</v>
      </c>
      <c r="D187" s="21" t="s">
        <v>963</v>
      </c>
      <c r="E187" s="13">
        <v>42803.699421296296</v>
      </c>
      <c r="F187" s="13">
        <v>42803.702314814815</v>
      </c>
      <c r="G187" s="7">
        <v>1</v>
      </c>
      <c r="H187" s="21" t="s">
        <v>964</v>
      </c>
      <c r="I187" s="13">
        <v>42803.712094907409</v>
      </c>
      <c r="J187" s="7">
        <v>0</v>
      </c>
      <c r="K187" s="98" t="str">
        <f>IF(ISEVEN(B187),(B187-1)&amp;"/"&amp;B187,B187&amp;"/"&amp;(B187+1))</f>
        <v>4007/4008</v>
      </c>
      <c r="L187" s="21" t="str">
        <f>VLOOKUP(A187,'Trips&amp;Operators'!$C$1:$G$99999,5,FALSE)</f>
        <v>STORY SAMANTHA</v>
      </c>
      <c r="M187" s="6">
        <f>I187-F187</f>
        <v>9.7800925941555761E-3</v>
      </c>
      <c r="N187" s="7">
        <f>24*60*SUM($M187:$M187)</f>
        <v>14.08333333558403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-03-09T15:47:10-0700',mode:absolute,to:'2017-03-09T18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7" t="str">
        <f>IF(AA187&lt;IF(AG187="EC",23,5.65),"Y","N")</f>
        <v>N</v>
      </c>
      <c r="X187" s="187">
        <f>VALUE(LEFT(AD187,4))-VALUE(LEFT(AD186,4))</f>
        <v>1</v>
      </c>
      <c r="Y187" s="62">
        <f>RIGHT(D187,LEN(D187)-4)/10000</f>
        <v>0.10879999999999999</v>
      </c>
      <c r="Z187" s="62">
        <f>RIGHT(H187,LEN(H187)-4)/10000</f>
        <v>5.8087999999999997</v>
      </c>
      <c r="AA187" s="62">
        <f>ABS(Z187-Y187)</f>
        <v>5.7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0831-09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/stypes="app*4007*20170310*" /stext=" 00:.+((SYSTEM_STATE.+slice.+state.+changed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9"/>
        <v>"%USERPROFILE%\Documents\GitHub\eaglep3\Utilities\RefineRTDCRunTimes.py" --tripid 831-09 --locoid 4007 --swversion DE.1.0.9.0 --startMP 204:1088 --initTime 2017-03-09T16:47:10 --startdatetime 2017-03-09T16:51:20 --delay 1 --endMP 300:58088 --enddatetime 2017-03-09T17:05:25 --enforcementcount 0 &gt;&gt;C:\Users\stu\Documents\GitHub\eaglep3-reporting\EC\2017-03-09-refined-times.txt</v>
      </c>
      <c r="AI187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{"issue":{"subject":"","project_id":79,"tracker_id":40,"status_id":1,"priority_id":2,"assigned_to_id":23,"start_date":"2017-03-09","description":"","custom_fields":[{"id":1,"name":"Subdivision","value":"NW"},{"id":4,"name":"Milepost","value":"5.8088"},{"id":17,"name":"Train ID","value":"831-09"},{"id":16,"name":"Locomotive ID","value":"4007"},{"id":130,"name":"Impact","value":""},{"id":150,"name":"Time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1"/>
        <v>start /low /b %USERPROFILE%\Documents\GitHub\eaglep3\Utilities\DownloadLogsFromS3.py --loco 4007 --day 2017-03-09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88" spans="1:91" x14ac:dyDescent="0.25">
      <c r="A188" s="33" t="s">
        <v>750</v>
      </c>
      <c r="B188" s="7">
        <v>4008</v>
      </c>
      <c r="C188" s="21" t="s">
        <v>242</v>
      </c>
      <c r="D188" s="21" t="s">
        <v>965</v>
      </c>
      <c r="E188" s="13">
        <v>42803.713067129633</v>
      </c>
      <c r="F188" s="13">
        <v>42803.71775462963</v>
      </c>
      <c r="G188" s="7">
        <v>2</v>
      </c>
      <c r="H188" s="21" t="s">
        <v>966</v>
      </c>
      <c r="I188" s="13">
        <v>42803.727361111109</v>
      </c>
      <c r="J188" s="7">
        <v>0</v>
      </c>
      <c r="K188" s="98" t="str">
        <f>IF(ISEVEN(B188),(B188-1)&amp;"/"&amp;B188,B188&amp;"/"&amp;(B188+1))</f>
        <v>4007/4008</v>
      </c>
      <c r="L188" s="21" t="str">
        <f>VLOOKUP(A188,'Trips&amp;Operators'!$C$1:$G$99999,5,FALSE)</f>
        <v>STORY SAMANTHA</v>
      </c>
      <c r="M188" s="6">
        <f>I188-F188</f>
        <v>9.6064814788405783E-3</v>
      </c>
      <c r="N188" s="7">
        <f>24*60*SUM($M188:$M188)</f>
        <v>13.833333329530433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-03-09T16:06:49-0700',mode:absolute,to:'2017-03-09T18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7" t="str">
        <f>IF(AA188&lt;IF(AG188="EC",23,5.65),"Y","N")</f>
        <v>N</v>
      </c>
      <c r="X188" s="187">
        <f>VALUE(LEFT(AD188,4))-VALUE(LEFT(AD187,4))</f>
        <v>1</v>
      </c>
      <c r="Y188" s="62">
        <f>RIGHT(D188,LEN(D188)-4)/10000</f>
        <v>5.7339000000000002</v>
      </c>
      <c r="Z188" s="62">
        <f>RIGHT(H188,LEN(H188)-4)/10000</f>
        <v>6.3100000000000003E-2</v>
      </c>
      <c r="AA188" s="62">
        <f>ABS(Z188-Y188)</f>
        <v>5.6707999999999998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0832-09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/stypes="app*4008*20170310*" /stext=" 00:.+((SYSTEM_STATE.+slice.+state.+changed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9"/>
        <v>"%USERPROFILE%\Documents\GitHub\eaglep3\Utilities\RefineRTDCRunTimes.py" --tripid 832-09 --locoid 4008 --swversion DE.1.0.9.0 --startMP 300:57339 --initTime 2017-03-09T17:06:49 --startdatetime 2017-03-09T17:13:34 --delay 2 --endMP 204:631 --enddatetime 2017-03-09T17:27:24 --enforcementcount 0 &gt;&gt;C:\Users\stu\Documents\GitHub\eaglep3-reporting\EC\2017-03-09-refined-times.txt</v>
      </c>
      <c r="AI188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{"issue":{"subject":"","project_id":79,"tracker_id":40,"status_id":1,"priority_id":2,"assigned_to_id":23,"start_date":"2017-03-09","description":"","custom_fields":[{"id":1,"name":"Subdivision","value":"NW"},{"id":4,"name":"Milepost","value":"0.0631"},{"id":17,"name":"Train ID","value":"832-09"},{"id":16,"name":"Locomotive ID","value":"4008"},{"id":130,"name":"Impact","value":""},{"id":150,"name":"Time of Event (Mountain Time)","value":"17:27:24"},{"id":151,"name":"Denver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1"/>
        <v>start /low /b %USERPROFILE%\Documents\GitHub\eaglep3\Utilities\DownloadLogsFromS3.py --loco 4008 --day 2017-03-09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189" spans="1:91" x14ac:dyDescent="0.25">
      <c r="A189" s="33" t="s">
        <v>751</v>
      </c>
      <c r="B189" s="7">
        <v>4011</v>
      </c>
      <c r="C189" s="21" t="s">
        <v>242</v>
      </c>
      <c r="D189" s="21" t="s">
        <v>967</v>
      </c>
      <c r="E189" s="13">
        <v>42803.71707175926</v>
      </c>
      <c r="F189" s="13">
        <v>42803.72315972222</v>
      </c>
      <c r="G189" s="7">
        <v>1</v>
      </c>
      <c r="H189" s="21" t="s">
        <v>968</v>
      </c>
      <c r="I189" s="13">
        <v>42803.733148148145</v>
      </c>
      <c r="J189" s="7">
        <v>0</v>
      </c>
      <c r="K189" s="98" t="str">
        <f>IF(ISEVEN(B189),(B189-1)&amp;"/"&amp;B189,B189&amp;"/"&amp;(B189+1))</f>
        <v>4011/4012</v>
      </c>
      <c r="L189" s="21" t="str">
        <f>VLOOKUP(A189,'Trips&amp;Operators'!$C$1:$G$99999,5,FALSE)</f>
        <v>LEVERE CRAIG</v>
      </c>
      <c r="M189" s="6">
        <f>I189-F189</f>
        <v>9.9884259252576157E-3</v>
      </c>
      <c r="N189" s="7">
        <f>24*60*SUM($M189:$M189)</f>
        <v>14.383333332370967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-03-09T16:12:35-0700',mode:absolute,to:'2017-03-09T18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87" t="str">
        <f>IF(AA189&lt;IF(AG189="EC",23,5.65),"Y","N")</f>
        <v>N</v>
      </c>
      <c r="X189" s="187">
        <f>VALUE(LEFT(AD189,4))-VALUE(LEFT(AD188,4))</f>
        <v>1</v>
      </c>
      <c r="Y189" s="62">
        <f>RIGHT(D189,LEN(D189)-4)/10000</f>
        <v>9.7900000000000001E-2</v>
      </c>
      <c r="Z189" s="62">
        <f>RIGHT(H189,LEN(H189)-4)/10000</f>
        <v>5.8964999999999996</v>
      </c>
      <c r="AA189" s="62">
        <f>ABS(Z189-Y189)</f>
        <v>5.7985999999999995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0833-09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/stypes="app*4011*20170310*" /stext=" 00:.+((SYSTEM_STATE.+slice.+state.+changed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9"/>
        <v>"%USERPROFILE%\Documents\GitHub\eaglep3\Utilities\RefineRTDCRunTimes.py" --tripid 833-09 --locoid 4011 --swversion DE.1.0.9.0 --startMP 204:979 --initTime 2017-03-09T17:12:35 --startdatetime 2017-03-09T17:21:21 --delay 1 --endMP 300:58965 --enddatetime 2017-03-09T17:35:44 --enforcementcount 0 &gt;&gt;C:\Users\stu\Documents\GitHub\eaglep3-reporting\EC\2017-03-09-refined-times.txt</v>
      </c>
      <c r="AI189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{"issue":{"subject":"","project_id":79,"tracker_id":40,"status_id":1,"priority_id":2,"assigned_to_id":23,"start_date":"2017-03-09","description":"","custom_fields":[{"id":1,"name":"Subdivision","value":"NW"},{"id":4,"name":"Milepost","value":"5.8965"},{"id":17,"name":"Train ID","value":"833-09"},{"id":16,"name":"Locomotive ID","value":"4011"},{"id":130,"name":"Impact","value":""},{"id":150,"name":"Time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1"/>
        <v>start /low /b %USERPROFILE%\Documents\GitHub\eaglep3\Utilities\DownloadLogsFromS3.py --loco 4011 --day 2017-03-09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0" spans="1:91" x14ac:dyDescent="0.25">
      <c r="A190" s="33" t="s">
        <v>759</v>
      </c>
      <c r="B190" s="7">
        <v>4012</v>
      </c>
      <c r="C190" s="21" t="s">
        <v>242</v>
      </c>
      <c r="D190" s="21" t="s">
        <v>928</v>
      </c>
      <c r="E190" s="13">
        <v>42803.73400462963</v>
      </c>
      <c r="F190" s="13">
        <v>42803.735625000001</v>
      </c>
      <c r="G190" s="7">
        <v>1</v>
      </c>
      <c r="H190" s="21" t="s">
        <v>568</v>
      </c>
      <c r="I190" s="13">
        <v>42803.750821759262</v>
      </c>
      <c r="J190" s="7">
        <v>0</v>
      </c>
      <c r="K190" s="98" t="str">
        <f>IF(ISEVEN(B190),(B190-1)&amp;"/"&amp;B190,B190&amp;"/"&amp;(B190+1))</f>
        <v>4011/4012</v>
      </c>
      <c r="L190" s="21" t="str">
        <f>VLOOKUP(A190,'Trips&amp;Operators'!$C$1:$G$99999,5,FALSE)</f>
        <v>LEVERE CRAIG</v>
      </c>
      <c r="M190" s="6">
        <f>I190-F190</f>
        <v>1.5196759261016268E-2</v>
      </c>
      <c r="N190" s="7">
        <f>24*60*SUM($M190:$M190)</f>
        <v>21.883333335863426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-03-09T16:36:58-0700',mode:absolute,to:'2017-03-09T19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87" t="str">
        <f>IF(AA190&lt;IF(AG190="EC",23,5.65),"Y","N")</f>
        <v>N</v>
      </c>
      <c r="X190" s="187">
        <f>VALUE(LEFT(AD190,4))-VALUE(LEFT(AD189,4))</f>
        <v>1</v>
      </c>
      <c r="Y190" s="62">
        <f>RIGHT(D190,LEN(D190)-4)/10000</f>
        <v>5.8640999999999996</v>
      </c>
      <c r="Z190" s="62">
        <f>RIGHT(H190,LEN(H190)-4)/10000</f>
        <v>6.9400000000000003E-2</v>
      </c>
      <c r="AA190" s="62">
        <f>ABS(Z190-Y190)</f>
        <v>5.7946999999999997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0834-09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/stypes="app*4012*20170310*" /stext=" 01:.+((SYSTEM_STATE.+slice.+state.+changed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9"/>
        <v>"%USERPROFILE%\Documents\GitHub\eaglep3\Utilities\RefineRTDCRunTimes.py" --tripid 834-09 --locoid 4012 --swversion DE.1.0.9.0 --startMP 300:58641 --initTime 2017-03-09T17:36:58 --startdatetime 2017-03-09T17:39:18 --delay 1 --endMP 204:694 --enddatetime 2017-03-09T18:01:11 --enforcementcount 0 &gt;&gt;C:\Users\stu\Documents\GitHub\eaglep3-reporting\EC\2017-03-09-refined-times.txt</v>
      </c>
      <c r="AI190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{"issue":{"subject":"","project_id":79,"tracker_id":40,"status_id":1,"priority_id":2,"assigned_to_id":23,"start_date":"2017-03-09","description":"","custom_fields":[{"id":1,"name":"Subdivision","value":"NW"},{"id":4,"name":"Milepost","value":"0.0694"},{"id":17,"name":"Train ID","value":"834-09"},{"id":16,"name":"Locomotive ID","value":"4012"},{"id":130,"name":"Impact","value":""},{"id":150,"name":"Time of Event (Mountain Time)","value":"18:01:11"},{"id":151,"name":"Denver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1"/>
        <v>start /low /b %USERPROFILE%\Documents\GitHub\eaglep3\Utilities\DownloadLogsFromS3.py --loco 4012 --day 2017-03-09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1" spans="1:91" x14ac:dyDescent="0.25">
      <c r="A191" s="33" t="s">
        <v>606</v>
      </c>
      <c r="B191" s="7">
        <v>4007</v>
      </c>
      <c r="C191" s="21" t="s">
        <v>242</v>
      </c>
      <c r="D191" s="21" t="s">
        <v>969</v>
      </c>
      <c r="E191" s="13">
        <v>42803.73841435185</v>
      </c>
      <c r="F191" s="13">
        <v>42803.746562499997</v>
      </c>
      <c r="G191" s="7">
        <v>1</v>
      </c>
      <c r="H191" s="21" t="s">
        <v>970</v>
      </c>
      <c r="I191" s="13">
        <v>42803.759467592594</v>
      </c>
      <c r="J191" s="7">
        <v>0</v>
      </c>
      <c r="K191" s="98" t="str">
        <f>IF(ISEVEN(B191),(B191-1)&amp;"/"&amp;B191,B191&amp;"/"&amp;(B191+1))</f>
        <v>4007/4008</v>
      </c>
      <c r="L191" s="21" t="str">
        <f>VLOOKUP(A191,'Trips&amp;Operators'!$C$1:$G$99999,5,FALSE)</f>
        <v>STORY SAMANTHA</v>
      </c>
      <c r="M191" s="6">
        <f>I191-F191</f>
        <v>1.2905092597065959E-2</v>
      </c>
      <c r="N191" s="7">
        <f>24*60*SUM($M191:$M191)</f>
        <v>18.583333339774981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-03-09T16:43:19-0700',mode:absolute,to:'2017-03-09T19:13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7" t="str">
        <f>IF(AA191&lt;IF(AG191="EC",23,5.65),"Y","N")</f>
        <v>N</v>
      </c>
      <c r="X191" s="187">
        <f>VALUE(LEFT(AD191,4))-VALUE(LEFT(AD190,4))</f>
        <v>1</v>
      </c>
      <c r="Y191" s="62">
        <f>RIGHT(D191,LEN(D191)-4)/10000</f>
        <v>9.0800000000000006E-2</v>
      </c>
      <c r="Z191" s="62">
        <f>RIGHT(H191,LEN(H191)-4)/10000</f>
        <v>5.8983999999999996</v>
      </c>
      <c r="AA191" s="62">
        <f>ABS(Z191-Y191)</f>
        <v>5.8075999999999999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0835-09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/stypes="app*4007*20170310*" /stext=" 01:.+((SYSTEM_STATE.+slice.+state.+changed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9"/>
        <v>"%USERPROFILE%\Documents\GitHub\eaglep3\Utilities\RefineRTDCRunTimes.py" --tripid 835-09 --locoid 4007 --swversion DE.1.0.9.0 --startMP 204:908 --initTime 2017-03-09T17:43:19 --startdatetime 2017-03-09T17:55:03 --delay 1 --endMP 300:58984 --enddatetime 2017-03-09T18:13:38 --enforcementcount 0 &gt;&gt;C:\Users\stu\Documents\GitHub\eaglep3-reporting\EC\2017-03-09-refined-times.txt</v>
      </c>
      <c r="AI191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{"issue":{"subject":"","project_id":79,"tracker_id":40,"status_id":1,"priority_id":2,"assigned_to_id":23,"start_date":"2017-03-09","description":"","custom_fields":[{"id":1,"name":"Subdivision","value":"NW"},{"id":4,"name":"Milepost","value":"5.8984"},{"id":17,"name":"Train ID","value":"835-09"},{"id":16,"name":"Locomotive ID","value":"4007"},{"id":130,"name":"Impact","value":""},{"id":150,"name":"Time of Event (Mountain Time)","value":"18:13:38"},{"id":151,"name":"Denver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1"/>
        <v>start /low /b %USERPROFILE%\Documents\GitHub\eaglep3\Utilities\DownloadLogsFromS3.py --loco 4007 --day 2017-03-09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2017-03-09-UncaughtWiMAX.txt</v>
      </c>
    </row>
    <row r="192" spans="1:91" x14ac:dyDescent="0.25">
      <c r="A192" s="33" t="s">
        <v>769</v>
      </c>
      <c r="B192" s="7">
        <v>4008</v>
      </c>
      <c r="C192" s="21" t="s">
        <v>242</v>
      </c>
      <c r="D192" s="21" t="s">
        <v>971</v>
      </c>
      <c r="E192" s="13">
        <v>42803.760254629633</v>
      </c>
      <c r="F192" s="13">
        <v>42803.761516203704</v>
      </c>
      <c r="G192" s="7">
        <v>1</v>
      </c>
      <c r="H192" s="21" t="s">
        <v>917</v>
      </c>
      <c r="I192" s="13">
        <v>42803.77034722222</v>
      </c>
      <c r="J192" s="7">
        <v>0</v>
      </c>
      <c r="K192" s="98" t="str">
        <f>IF(ISEVEN(B192),(B192-1)&amp;"/"&amp;B192,B192&amp;"/"&amp;(B192+1))</f>
        <v>4007/4008</v>
      </c>
      <c r="L192" s="21" t="str">
        <f>VLOOKUP(A192,'Trips&amp;Operators'!$C$1:$G$99999,5,FALSE)</f>
        <v>STORY SAMANTHA</v>
      </c>
      <c r="M192" s="6">
        <f>I192-F192</f>
        <v>8.8310185165028088E-3</v>
      </c>
      <c r="N192" s="7">
        <f>24*60*SUM($M192:$M192)</f>
        <v>12.716666663764045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-03-09T17:14:46-0700',mode:absolute,to:'2017-03-09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7" t="str">
        <f>IF(AA192&lt;IF(AG192="EC",23,5.65),"Y","N")</f>
        <v>N</v>
      </c>
      <c r="X192" s="187">
        <f>VALUE(LEFT(AD192,4))-VALUE(LEFT(AD191,4))</f>
        <v>1</v>
      </c>
      <c r="Y192" s="62">
        <f>RIGHT(D192,LEN(D192)-4)/10000</f>
        <v>5.8663999999999996</v>
      </c>
      <c r="Z192" s="62">
        <f>RIGHT(H192,LEN(H192)-4)/10000</f>
        <v>7.1900000000000006E-2</v>
      </c>
      <c r="AA192" s="62">
        <f>ABS(Z192-Y192)</f>
        <v>5.7944999999999993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0836-09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/stypes="app*4008*20170310*" /stext=" 01:.+((SYSTEM_STATE.+slice.+state.+changed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9"/>
        <v>"%USERPROFILE%\Documents\GitHub\eaglep3\Utilities\RefineRTDCRunTimes.py" --tripid 836-09 --locoid 4008 --swversion DE.1.0.9.0 --startMP 300:58664 --initTime 2017-03-09T18:14:46 --startdatetime 2017-03-09T18:16:35 --delay 1 --endMP 204:719 --enddatetime 2017-03-09T18:29:18 --enforcementcount 0 &gt;&gt;C:\Users\stu\Documents\GitHub\eaglep3-reporting\EC\2017-03-09-refined-times.txt</v>
      </c>
      <c r="AI192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{"issue":{"subject":"","project_id":79,"tracker_id":40,"status_id":1,"priority_id":2,"assigned_to_id":23,"start_date":"2017-03-09","description":"","custom_fields":[{"id":1,"name":"Subdivision","value":"NW"},{"id":4,"name":"Milepost","value":"0.0719"},{"id":17,"name":"Train ID","value":"836-09"},{"id":16,"name":"Locomotive ID","value":"4008"},{"id":130,"name":"Impact","value":""},{"id":150,"name":"Time of Event (Mountain Time)","value":"18:29:18"},{"id":151,"name":"Denver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1"/>
        <v>start /low /b %USERPROFILE%\Documents\GitHub\eaglep3\Utilities\DownloadLogsFromS3.py --loco 4008 --day 2017-03-09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193" spans="1:40" x14ac:dyDescent="0.25">
      <c r="A193" s="33" t="s">
        <v>768</v>
      </c>
      <c r="B193" s="7">
        <v>4011</v>
      </c>
      <c r="C193" s="21" t="s">
        <v>242</v>
      </c>
      <c r="D193" s="21" t="s">
        <v>569</v>
      </c>
      <c r="E193" s="13">
        <v>42803.756655092591</v>
      </c>
      <c r="F193" s="13">
        <v>42803.764803240738</v>
      </c>
      <c r="G193" s="7">
        <v>2</v>
      </c>
      <c r="H193" s="21" t="s">
        <v>439</v>
      </c>
      <c r="I193" s="13">
        <v>42803.774756944447</v>
      </c>
      <c r="J193" s="7">
        <v>0</v>
      </c>
      <c r="K193" s="98" t="str">
        <f>IF(ISEVEN(B193),(B193-1)&amp;"/"&amp;B193,B193&amp;"/"&amp;(B193+1))</f>
        <v>4011/4012</v>
      </c>
      <c r="L193" s="21" t="str">
        <f>VLOOKUP(A193,'Trips&amp;Operators'!$C$1:$G$99999,5,FALSE)</f>
        <v>LEVERE CRAIG</v>
      </c>
      <c r="M193" s="6">
        <f>I193-F193</f>
        <v>9.9537037094705738E-3</v>
      </c>
      <c r="N193" s="7">
        <f>24*60*SUM($M193:$M193)</f>
        <v>14.333333341637626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-03-09T17:09:35-0700',mode:absolute,to:'2017-03-09T19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187" t="str">
        <f>IF(AA193&lt;IF(AG193="EC",23,5.65),"Y","N")</f>
        <v>N</v>
      </c>
      <c r="X193" s="187">
        <f>VALUE(LEFT(AD193,4))-VALUE(LEFT(AD192,4))</f>
        <v>1</v>
      </c>
      <c r="Y193" s="62">
        <f>RIGHT(D193,LEN(D193)-4)/10000</f>
        <v>9.7100000000000006E-2</v>
      </c>
      <c r="Z193" s="62">
        <f>RIGHT(H193,LEN(H193)-4)/10000</f>
        <v>5.8954000000000004</v>
      </c>
      <c r="AA193" s="62">
        <f>ABS(Z193-Y193)</f>
        <v>5.7983000000000002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0837-09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/stypes="app*4011*20170310*" /stext=" 01:.+((SYSTEM_STATE.+slice.+state.+changed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9"/>
        <v>"%USERPROFILE%\Documents\GitHub\eaglep3\Utilities\RefineRTDCRunTimes.py" --tripid 837-09 --locoid 4011 --swversion DE.1.0.9.0 --startMP 204:971 --initTime 2017-03-09T18:09:35 --startdatetime 2017-03-09T18:21:19 --delay 2 --endMP 300:58954 --enddatetime 2017-03-09T18:35:39 --enforcementcount 0 &gt;&gt;C:\Users\stu\Documents\GitHub\eaglep3-reporting\EC\2017-03-09-refined-times.txt</v>
      </c>
      <c r="AI193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{"issue":{"subject":"","project_id":79,"tracker_id":40,"status_id":1,"priority_id":2,"assigned_to_id":23,"start_date":"2017-03-09","description":"","custom_fields":[{"id":1,"name":"Subdivision","value":"NW"},{"id":4,"name":"Milepost","value":"5.8954"},{"id":17,"name":"Train ID","value":"837-09"},{"id":16,"name":"Locomotive ID","value":"4011"},{"id":130,"name":"Impact","value":""},{"id":150,"name":"Time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1"/>
        <v>start /low /b %USERPROFILE%\Documents\GitHub\eaglep3\Utilities\DownloadLogsFromS3.py --loco 4011 --day 2017-03-09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4" spans="1:40" x14ac:dyDescent="0.25">
      <c r="A194" s="33" t="s">
        <v>773</v>
      </c>
      <c r="B194" s="7">
        <v>4012</v>
      </c>
      <c r="C194" s="21" t="s">
        <v>242</v>
      </c>
      <c r="D194" s="21" t="s">
        <v>565</v>
      </c>
      <c r="E194" s="13">
        <v>42803.775787037041</v>
      </c>
      <c r="F194" s="13">
        <v>42803.777604166666</v>
      </c>
      <c r="G194" s="7">
        <v>2</v>
      </c>
      <c r="H194" s="21" t="s">
        <v>972</v>
      </c>
      <c r="I194" s="13">
        <v>42803.788912037038</v>
      </c>
      <c r="J194" s="7">
        <v>0</v>
      </c>
      <c r="K194" s="98" t="str">
        <f>IF(ISEVEN(B194),(B194-1)&amp;"/"&amp;B194,B194&amp;"/"&amp;(B194+1))</f>
        <v>4011/4012</v>
      </c>
      <c r="L194" s="21" t="str">
        <f>VLOOKUP(A194,'Trips&amp;Operators'!$C$1:$G$99999,5,FALSE)</f>
        <v>LEVERE CRAIG</v>
      </c>
      <c r="M194" s="6">
        <f>I194-F194</f>
        <v>1.1307870372547768E-2</v>
      </c>
      <c r="N194" s="7">
        <f>24*60*SUM($M194:$M194)</f>
        <v>16.283333336468786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-03-09T17:37:08-0700',mode:absolute,to:'2017-03-09T19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87" t="str">
        <f>IF(AA194&lt;IF(AG194="EC",23,5.65),"Y","N")</f>
        <v>N</v>
      </c>
      <c r="X194" s="187">
        <f>VALUE(LEFT(AD194,4))-VALUE(LEFT(AD193,4))</f>
        <v>1</v>
      </c>
      <c r="Y194" s="62">
        <f>RIGHT(D194,LEN(D194)-4)/10000</f>
        <v>5.8644999999999996</v>
      </c>
      <c r="Z194" s="62">
        <f>RIGHT(H194,LEN(H194)-4)/10000</f>
        <v>6.9800000000000001E-2</v>
      </c>
      <c r="AA194" s="62">
        <f>ABS(Z194-Y194)</f>
        <v>5.7946999999999997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0838-09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/stypes="app*4012*20170310*" /stext=" 01:.+((SYSTEM_STATE.+slice.+state.+changed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9"/>
        <v>"%USERPROFILE%\Documents\GitHub\eaglep3\Utilities\RefineRTDCRunTimes.py" --tripid 838-09 --locoid 4012 --swversion DE.1.0.9.0 --startMP 300:58645 --initTime 2017-03-09T18:37:08 --startdatetime 2017-03-09T18:39:45 --delay 2 --endMP 204:698 --enddatetime 2017-03-09T18:56:02 --enforcementcount 0 &gt;&gt;C:\Users\stu\Documents\GitHub\eaglep3-reporting\EC\2017-03-09-refined-times.txt</v>
      </c>
      <c r="AI194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{"issue":{"subject":"","project_id":79,"tracker_id":40,"status_id":1,"priority_id":2,"assigned_to_id":23,"start_date":"2017-03-09","description":"","custom_fields":[{"id":1,"name":"Subdivision","value":"NW"},{"id":4,"name":"Milepost","value":"0.0698"},{"id":17,"name":"Train ID","value":"838-09"},{"id":16,"name":"Locomotive ID","value":"4012"},{"id":130,"name":"Impact","value":""},{"id":150,"name":"Time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1"/>
        <v>start /low /b %USERPROFILE%\Documents\GitHub\eaglep3\Utilities\DownloadLogsFromS3.py --loco 4012 --day 2017-03-09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5" spans="1:40" x14ac:dyDescent="0.25">
      <c r="A195" s="33" t="s">
        <v>775</v>
      </c>
      <c r="B195" s="7">
        <v>4007</v>
      </c>
      <c r="C195" s="21" t="s">
        <v>242</v>
      </c>
      <c r="D195" s="21" t="s">
        <v>973</v>
      </c>
      <c r="E195" s="13">
        <v>42803.780358796299</v>
      </c>
      <c r="F195" s="13">
        <v>42803.785682870373</v>
      </c>
      <c r="G195" s="7">
        <v>2</v>
      </c>
      <c r="H195" s="21" t="s">
        <v>974</v>
      </c>
      <c r="I195" s="13">
        <v>42803.79587962963</v>
      </c>
      <c r="J195" s="7">
        <v>0</v>
      </c>
      <c r="K195" s="98" t="str">
        <f>IF(ISEVEN(B195),(B195-1)&amp;"/"&amp;B195,B195&amp;"/"&amp;(B195+1))</f>
        <v>4007/4008</v>
      </c>
      <c r="L195" s="21" t="str">
        <f>VLOOKUP(A195,'Trips&amp;Operators'!$C$1:$G$99999,5,FALSE)</f>
        <v>STORY SAMANTHA</v>
      </c>
      <c r="M195" s="6">
        <f>I195-F195</f>
        <v>1.0196759256359655E-2</v>
      </c>
      <c r="N195" s="7">
        <f>24*60*SUM($M195:$M195)</f>
        <v>14.683333329157904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-03-09T17:43:43-0700',mode:absolute,to:'2017-03-09T20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7" t="str">
        <f>IF(AA195&lt;IF(AG195="EC",23,5.65),"Y","N")</f>
        <v>N</v>
      </c>
      <c r="X195" s="187">
        <f>VALUE(LEFT(AD195,4))-VALUE(LEFT(AD194,4))</f>
        <v>1</v>
      </c>
      <c r="Y195" s="62">
        <f>RIGHT(D195,LEN(D195)-4)/10000</f>
        <v>0.1</v>
      </c>
      <c r="Z195" s="62">
        <f>RIGHT(H195,LEN(H195)-4)/10000</f>
        <v>5.8986000000000001</v>
      </c>
      <c r="AA195" s="62">
        <f>ABS(Z195-Y195)</f>
        <v>5.7986000000000004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0839-09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/stypes="app*4007*20170310*" /stext=" 02:.+((SYSTEM_STATE.+slice.+state.+changed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9"/>
        <v>"%USERPROFILE%\Documents\GitHub\eaglep3\Utilities\RefineRTDCRunTimes.py" --tripid 839-09 --locoid 4007 --swversion DE.1.0.9.0 --startMP 204:1000 --initTime 2017-03-09T18:43:43 --startdatetime 2017-03-09T18:51:23 --delay 2 --endMP 300:58986 --enddatetime 2017-03-09T19:06:04 --enforcementcount 0 &gt;&gt;C:\Users\stu\Documents\GitHub\eaglep3-reporting\EC\2017-03-09-refined-times.txt</v>
      </c>
      <c r="AI195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{"issue":{"subject":"","project_id":79,"tracker_id":40,"status_id":1,"priority_id":2,"assigned_to_id":23,"start_date":"2017-03-09","description":"","custom_fields":[{"id":1,"name":"Subdivision","value":"NW"},{"id":4,"name":"Milepost","value":"5.8986"},{"id":17,"name":"Train ID","value":"839-09"},{"id":16,"name":"Locomotive ID","value":"4007"},{"id":130,"name":"Impact","value":""},{"id":150,"name":"Time of Event (Mountain Time)","value":"19:06:04"},{"id":151,"name":"Denver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1"/>
        <v>start /low /b %USERPROFILE%\Documents\GitHub\eaglep3\Utilities\DownloadLogsFromS3.py --loco 4007 --day 2017-03-09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2017-03-09-UncaughtWiMAX.txt</v>
      </c>
    </row>
    <row r="196" spans="1:40" x14ac:dyDescent="0.25">
      <c r="A196" s="33" t="s">
        <v>785</v>
      </c>
      <c r="B196" s="7">
        <v>4012</v>
      </c>
      <c r="C196" s="21" t="s">
        <v>242</v>
      </c>
      <c r="D196" s="21" t="s">
        <v>939</v>
      </c>
      <c r="E196" s="13">
        <v>42803.817002314812</v>
      </c>
      <c r="F196" s="13">
        <v>42803.81890046296</v>
      </c>
      <c r="G196" s="7">
        <v>1</v>
      </c>
      <c r="H196" s="21" t="s">
        <v>945</v>
      </c>
      <c r="I196" s="13">
        <v>42803.83021990741</v>
      </c>
      <c r="J196" s="7">
        <v>0</v>
      </c>
      <c r="K196" s="98" t="str">
        <f>IF(ISEVEN(B196),(B196-1)&amp;"/"&amp;B196,B196&amp;"/"&amp;(B196+1))</f>
        <v>4011/4012</v>
      </c>
      <c r="L196" s="21" t="str">
        <f>VLOOKUP(A196,'Trips&amp;Operators'!$C$1:$G$99999,5,FALSE)</f>
        <v>LOPES KIMBERLY</v>
      </c>
      <c r="M196" s="6">
        <f>I196-F196</f>
        <v>1.131944444932742E-2</v>
      </c>
      <c r="N196" s="7">
        <f>24*60*SUM($M196:$M196)</f>
        <v>16.300000007031485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-03-09T18:36:29-0700',mode:absolute,to:'2017-03-09T20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87" t="str">
        <f>IF(AA196&lt;IF(AG196="EC",23,5.65),"Y","N")</f>
        <v>N</v>
      </c>
      <c r="X196" s="187">
        <f>VALUE(LEFT(AD196,4))-VALUE(LEFT(AD195,4))</f>
        <v>1</v>
      </c>
      <c r="Y196" s="62">
        <f>RIGHT(D196,LEN(D196)-4)/10000</f>
        <v>5.8630000000000004</v>
      </c>
      <c r="Z196" s="62">
        <f>RIGHT(H196,LEN(H196)-4)/10000</f>
        <v>7.17E-2</v>
      </c>
      <c r="AA196" s="62">
        <f>ABS(Z196-Y196)</f>
        <v>5.7913000000000006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0840-09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/stypes="app*4012*20170310*" /stext=" 02:.+((SYSTEM_STATE.+slice.+state.+changed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9"/>
        <v>"%USERPROFILE%\Documents\GitHub\eaglep3\Utilities\RefineRTDCRunTimes.py" --tripid 840-09 --locoid 4012 --swversion DE.1.0.9.0 --startMP 300:58630 --initTime 2017-03-09T19:36:29 --startdatetime 2017-03-09T19:39:13 --delay 1 --endMP 204:717 --enddatetime 2017-03-09T19:55:31 --enforcementcount 0 &gt;&gt;C:\Users\stu\Documents\GitHub\eaglep3-reporting\EC\2017-03-09-refined-times.txt</v>
      </c>
      <c r="AI196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{"issue":{"subject":"","project_id":79,"tracker_id":40,"status_id":1,"priority_id":2,"assigned_to_id":23,"start_date":"2017-03-09","description":"","custom_fields":[{"id":1,"name":"Subdivision","value":"NW"},{"id":4,"name":"Milepost","value":"0.0717"},{"id":17,"name":"Train ID","value":"840-09"},{"id":16,"name":"Locomotive ID","value":"4012"},{"id":130,"name":"Impact","value":""},{"id":150,"name":"Time of Event (Mountain Time)","value":"19:55:31"},{"id":151,"name":"Denver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1"/>
        <v>start /low /b %USERPROFILE%\Documents\GitHub\eaglep3\Utilities\DownloadLogsFromS3.py --loco 4012 --day 2017-03-09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7" spans="1:40" x14ac:dyDescent="0.25">
      <c r="A197" s="33" t="s">
        <v>781</v>
      </c>
      <c r="B197" s="7">
        <v>4011</v>
      </c>
      <c r="C197" s="21" t="s">
        <v>242</v>
      </c>
      <c r="D197" s="21" t="s">
        <v>555</v>
      </c>
      <c r="E197" s="13">
        <v>42803.802893518521</v>
      </c>
      <c r="F197" s="13">
        <v>42803.806400462963</v>
      </c>
      <c r="G197" s="7">
        <v>1</v>
      </c>
      <c r="H197" s="21" t="s">
        <v>944</v>
      </c>
      <c r="I197" s="13">
        <v>42803.815601851849</v>
      </c>
      <c r="J197" s="7">
        <v>0</v>
      </c>
      <c r="K197" s="98" t="str">
        <f>IF(ISEVEN(B197),(B197-1)&amp;"/"&amp;B197,B197&amp;"/"&amp;(B197+1))</f>
        <v>4011/4012</v>
      </c>
      <c r="L197" s="21" t="str">
        <f>VLOOKUP(A197,'Trips&amp;Operators'!$C$1:$G$99999,5,FALSE)</f>
        <v>LOPES KIMBERLY</v>
      </c>
      <c r="M197" s="6">
        <f>I197-F197</f>
        <v>9.2013888861401938E-3</v>
      </c>
      <c r="N197" s="7">
        <f>24*60*SUM($M197:$M197)</f>
        <v>13.249999996041879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-03-09T18:16:10-0700',mode:absolute,to:'2017-03-09T20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7" s="187" t="str">
        <f>IF(AA197&lt;IF(AG197="EC",23,5.65),"Y","N")</f>
        <v>N</v>
      </c>
      <c r="X197" s="187">
        <f>VALUE(LEFT(AD197,4))-VALUE(LEFT(AD196,4))</f>
        <v>1</v>
      </c>
      <c r="Y197" s="62">
        <f>RIGHT(D197,LEN(D197)-4)/10000</f>
        <v>0.1002</v>
      </c>
      <c r="Z197" s="62">
        <f>RIGHT(H197,LEN(H197)-4)/10000</f>
        <v>5.8945999999999996</v>
      </c>
      <c r="AA197" s="62">
        <f>ABS(Z197-Y197)</f>
        <v>5.7943999999999996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0841-09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/stypes="app*4011*20170310*" /stext=" 02:.+((SYSTEM_STATE.+slice.+state.+changed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9"/>
        <v>"%USERPROFILE%\Documents\GitHub\eaglep3\Utilities\RefineRTDCRunTimes.py" --tripid 841-09 --locoid 4011 --swversion DE.1.0.9.0 --startMP 204:1002 --initTime 2017-03-09T19:16:10 --startdatetime 2017-03-09T19:21:13 --delay 1 --endMP 300:58946 --enddatetime 2017-03-09T19:34:28 --enforcementcount 0 &gt;&gt;C:\Users\stu\Documents\GitHub\eaglep3-reporting\EC\2017-03-09-refined-times.txt</v>
      </c>
      <c r="AI197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{"issue":{"subject":"","project_id":79,"tracker_id":40,"status_id":1,"priority_id":2,"assigned_to_id":23,"start_date":"2017-03-09","description":"","custom_fields":[{"id":1,"name":"Subdivision","value":"NW"},{"id":4,"name":"Milepost","value":"5.8946"},{"id":17,"name":"Train ID","value":"841-09"},{"id":16,"name":"Locomotive ID","value":"4011"},{"id":130,"name":"Impact","value":""},{"id":150,"name":"Time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1"/>
        <v>start /low /b %USERPROFILE%\Documents\GitHub\eaglep3\Utilities\DownloadLogsFromS3.py --loco 4011 --day 2017-03-09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8" spans="1:40" x14ac:dyDescent="0.25">
      <c r="A198" s="33" t="s">
        <v>792</v>
      </c>
      <c r="B198" s="7">
        <v>4012</v>
      </c>
      <c r="C198" s="21" t="s">
        <v>242</v>
      </c>
      <c r="D198" s="21" t="s">
        <v>975</v>
      </c>
      <c r="E198" s="13">
        <v>42803.859166666669</v>
      </c>
      <c r="F198" s="13">
        <v>42803.860856481479</v>
      </c>
      <c r="G198" s="7">
        <v>1</v>
      </c>
      <c r="H198" s="21" t="s">
        <v>564</v>
      </c>
      <c r="I198" s="13">
        <v>42803.87190972222</v>
      </c>
      <c r="J198" s="7">
        <v>0</v>
      </c>
      <c r="K198" s="98" t="str">
        <f>IF(ISEVEN(B198),(B198-1)&amp;"/"&amp;B198,B198&amp;"/"&amp;(B198+1))</f>
        <v>4011/4012</v>
      </c>
      <c r="L198" s="21" t="str">
        <f>VLOOKUP(A198,'Trips&amp;Operators'!$C$1:$G$99999,5,FALSE)</f>
        <v>LEVERE CRAIG</v>
      </c>
      <c r="M198" s="6">
        <f>I198-F198</f>
        <v>1.1053240741603076E-2</v>
      </c>
      <c r="N198" s="7">
        <f>24*60*SUM($M198:$M198)</f>
        <v>15.91666666790843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-03-09T19:37:12-0700',mode:absolute,to:'2017-03-09T21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87" t="str">
        <f>IF(AA198&lt;IF(AG198="EC",23,5.65),"Y","N")</f>
        <v>N</v>
      </c>
      <c r="X198" s="187">
        <f>VALUE(LEFT(AD198,4))-VALUE(LEFT(AD197,4))</f>
        <v>1</v>
      </c>
      <c r="Y198" s="62">
        <f>RIGHT(D198,LEN(D198)-4)/10000</f>
        <v>5.8648999999999996</v>
      </c>
      <c r="Z198" s="62">
        <f>RIGHT(H198,LEN(H198)-4)/10000</f>
        <v>6.8500000000000005E-2</v>
      </c>
      <c r="AA198" s="62">
        <f>ABS(Z198-Y198)</f>
        <v>5.7963999999999993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0842-09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/stypes="app*4012*20170310*" /stext=" 03:.+((SYSTEM_STATE.+slice.+state.+changed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9"/>
        <v>"%USERPROFILE%\Documents\GitHub\eaglep3\Utilities\RefineRTDCRunTimes.py" --tripid 842-09 --locoid 4012 --swversion DE.1.0.9.0 --startMP 300:58649 --initTime 2017-03-09T20:37:12 --startdatetime 2017-03-09T20:39:38 --delay 1 --endMP 204:685 --enddatetime 2017-03-09T20:55:33 --enforcementcount 0 &gt;&gt;C:\Users\stu\Documents\GitHub\eaglep3-reporting\EC\2017-03-09-refined-times.txt</v>
      </c>
      <c r="AI198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{"issue":{"subject":"","project_id":79,"tracker_id":40,"status_id":1,"priority_id":2,"assigned_to_id":23,"start_date":"2017-03-09","description":"","custom_fields":[{"id":1,"name":"Subdivision","value":"NW"},{"id":4,"name":"Milepost","value":"0.0685"},{"id":17,"name":"Train ID","value":"842-09"},{"id":16,"name":"Locomotive ID","value":"4012"},{"id":130,"name":"Impact","value":""},{"id":150,"name":"Time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1"/>
        <v>start /low /b %USERPROFILE%\Documents\GitHub\eaglep3\Utilities\DownloadLogsFromS3.py --loco 4012 --day 2017-03-09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9" spans="1:40" x14ac:dyDescent="0.25">
      <c r="A199" s="33" t="s">
        <v>789</v>
      </c>
      <c r="B199" s="7">
        <v>4011</v>
      </c>
      <c r="C199" s="21" t="s">
        <v>242</v>
      </c>
      <c r="D199" s="21" t="s">
        <v>976</v>
      </c>
      <c r="E199" s="13">
        <v>42803.838784722226</v>
      </c>
      <c r="F199" s="13">
        <v>42803.848124999997</v>
      </c>
      <c r="G199" s="7">
        <v>1</v>
      </c>
      <c r="H199" s="21" t="s">
        <v>960</v>
      </c>
      <c r="I199" s="13">
        <v>42803.858032407406</v>
      </c>
      <c r="J199" s="7">
        <v>0</v>
      </c>
      <c r="K199" s="98" t="str">
        <f>IF(ISEVEN(B199),(B199-1)&amp;"/"&amp;B199,B199&amp;"/"&amp;(B199+1))</f>
        <v>4011/4012</v>
      </c>
      <c r="L199" s="21" t="str">
        <f>VLOOKUP(A199,'Trips&amp;Operators'!$C$1:$G$99999,5,FALSE)</f>
        <v>LEVERE CRAIG</v>
      </c>
      <c r="M199" s="6">
        <f>I199-F199</f>
        <v>9.9074074096279219E-3</v>
      </c>
      <c r="N199" s="7">
        <f>24*60*SUM($M199:$M199)</f>
        <v>14.266666669864208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-03-09T19:07:51-0700',mode:absolute,to:'2017-03-09T21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187" t="str">
        <f>IF(AA199&lt;IF(AG199="EC",23,5.65),"Y","N")</f>
        <v>N</v>
      </c>
      <c r="X199" s="187">
        <f>VALUE(LEFT(AD199,4))-VALUE(LEFT(AD198,4))</f>
        <v>1</v>
      </c>
      <c r="Y199" s="62">
        <f>RIGHT(D199,LEN(D199)-4)/10000</f>
        <v>0.1004</v>
      </c>
      <c r="Z199" s="62">
        <f>RIGHT(H199,LEN(H199)-4)/10000</f>
        <v>5.8968999999999996</v>
      </c>
      <c r="AA199" s="62">
        <f>ABS(Z199-Y199)</f>
        <v>5.7965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0843-09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/stypes="app*4011*20170310*" /stext=" 03:.+((SYSTEM_STATE.+slice.+state.+changed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9"/>
        <v>"%USERPROFILE%\Documents\GitHub\eaglep3\Utilities\RefineRTDCRunTimes.py" --tripid 843-09 --locoid 4011 --swversion DE.1.0.9.0 --startMP 204:1004 --initTime 2017-03-09T20:07:51 --startdatetime 2017-03-09T20:21:18 --delay 1 --endMP 300:58969 --enddatetime 2017-03-09T20:35:34 --enforcementcount 0 &gt;&gt;C:\Users\stu\Documents\GitHub\eaglep3-reporting\EC\2017-03-09-refined-times.txt</v>
      </c>
      <c r="AI199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{"issue":{"subject":"","project_id":79,"tracker_id":40,"status_id":1,"priority_id":2,"assigned_to_id":23,"start_date":"2017-03-09","description":"","custom_fields":[{"id":1,"name":"Subdivision","value":"NW"},{"id":4,"name":"Milepost","value":"5.8969"},{"id":17,"name":"Train ID","value":"843-09"},{"id":16,"name":"Locomotive ID","value":"4011"},{"id":130,"name":"Impact","value":""},{"id":150,"name":"Time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1"/>
        <v>start /low /b %USERPROFILE%\Documents\GitHub\eaglep3\Utilities\DownloadLogsFromS3.py --loco 4011 --day 2017-03-09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0" spans="1:40" x14ac:dyDescent="0.25">
      <c r="A200" s="33" t="s">
        <v>610</v>
      </c>
      <c r="B200" s="7">
        <v>4012</v>
      </c>
      <c r="C200" s="21" t="s">
        <v>242</v>
      </c>
      <c r="D200" s="21" t="s">
        <v>977</v>
      </c>
      <c r="E200" s="13">
        <v>42803.900821759256</v>
      </c>
      <c r="F200" s="13">
        <v>42803.90247685185</v>
      </c>
      <c r="G200" s="7">
        <v>2</v>
      </c>
      <c r="H200" s="21" t="s">
        <v>570</v>
      </c>
      <c r="I200" s="13">
        <v>42803.913564814815</v>
      </c>
      <c r="J200" s="7">
        <v>0</v>
      </c>
      <c r="K200" s="98" t="str">
        <f>IF(ISEVEN(B200),(B200-1)&amp;"/"&amp;B200,B200&amp;"/"&amp;(B200+1))</f>
        <v>4011/4012</v>
      </c>
      <c r="L200" s="21" t="str">
        <f>VLOOKUP(A200,'Trips&amp;Operators'!$C$1:$G$99999,5,FALSE)</f>
        <v>STORY SAMANTHA</v>
      </c>
      <c r="M200" s="6">
        <f>I200-F200</f>
        <v>1.1087962964666076E-2</v>
      </c>
      <c r="N200" s="7">
        <f>24*60*SUM($M200:$M200)</f>
        <v>15.966666669119149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-03-09T20:37:11-0700',mode:absolute,to:'2017-03-09T22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187" t="str">
        <f>IF(AA200&lt;IF(AG200="EC",23,5.65),"Y","N")</f>
        <v>N</v>
      </c>
      <c r="X200" s="187">
        <f>VALUE(LEFT(AD200,4))-VALUE(LEFT(AD199,4))</f>
        <v>1</v>
      </c>
      <c r="Y200" s="62">
        <f>RIGHT(D200,LEN(D200)-4)/10000</f>
        <v>5.8686999999999996</v>
      </c>
      <c r="Z200" s="62">
        <f>RIGHT(H200,LEN(H200)-4)/10000</f>
        <v>6.8699999999999997E-2</v>
      </c>
      <c r="AA200" s="62">
        <f>ABS(Z200-Y200)</f>
        <v>5.8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0844-09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/stypes="app*4012*20170310*" /stext=" 04:.+((SYSTEM_STATE.+slice.+state.+changed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9"/>
        <v>"%USERPROFILE%\Documents\GitHub\eaglep3\Utilities\RefineRTDCRunTimes.py" --tripid 844-09 --locoid 4012 --swversion DE.1.0.9.0 --startMP 300:58687 --initTime 2017-03-09T21:37:11 --startdatetime 2017-03-09T21:39:34 --delay 2 --endMP 204:687 --enddatetime 2017-03-09T21:55:32 --enforcementcount 0 &gt;&gt;C:\Users\stu\Documents\GitHub\eaglep3-reporting\EC\2017-03-09-refined-times.txt</v>
      </c>
      <c r="AI200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{"issue":{"subject":"","project_id":79,"tracker_id":40,"status_id":1,"priority_id":2,"assigned_to_id":23,"start_date":"2017-03-09","description":"","custom_fields":[{"id":1,"name":"Subdivision","value":"NW"},{"id":4,"name":"Milepost","value":"0.0687"},{"id":17,"name":"Train ID","value":"844-09"},{"id":16,"name":"Locomotive ID","value":"4012"},{"id":130,"name":"Impact","value":""},{"id":150,"name":"Time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1"/>
        <v>start /low /b %USERPROFILE%\Documents\GitHub\eaglep3\Utilities\DownloadLogsFromS3.py --loco 4012 --day 2017-03-09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201" spans="1:40" x14ac:dyDescent="0.25">
      <c r="A201" s="33" t="s">
        <v>609</v>
      </c>
      <c r="B201" s="7">
        <v>4011</v>
      </c>
      <c r="C201" s="21" t="s">
        <v>242</v>
      </c>
      <c r="D201" s="21" t="s">
        <v>978</v>
      </c>
      <c r="E201" s="13">
        <v>42803.878067129626</v>
      </c>
      <c r="F201" s="13">
        <v>42803.889907407407</v>
      </c>
      <c r="G201" s="7">
        <v>1</v>
      </c>
      <c r="H201" s="21" t="s">
        <v>979</v>
      </c>
      <c r="I201" s="13">
        <v>42803.899826388886</v>
      </c>
      <c r="J201" s="7">
        <v>0</v>
      </c>
      <c r="K201" s="98" t="str">
        <f>IF(ISEVEN(B201),(B201-1)&amp;"/"&amp;B201,B201&amp;"/"&amp;(B201+1))</f>
        <v>4011/4012</v>
      </c>
      <c r="L201" s="21" t="str">
        <f>VLOOKUP(A201,'Trips&amp;Operators'!$C$1:$G$99999,5,FALSE)</f>
        <v>STORY SAMANTHA</v>
      </c>
      <c r="M201" s="6">
        <f>I201-F201</f>
        <v>9.9189814791316167E-3</v>
      </c>
      <c r="N201" s="7">
        <f>24*60*SUM($M201:$M201)</f>
        <v>14.283333329949528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-03-09T20:04:25-0700',mode:absolute,to:'2017-03-09T22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1" s="187" t="str">
        <f>IF(AA201&lt;IF(AG201="EC",23,5.65),"Y","N")</f>
        <v>N</v>
      </c>
      <c r="X201" s="187">
        <f>VALUE(LEFT(AD201,4))-VALUE(LEFT(AD200,4))</f>
        <v>1</v>
      </c>
      <c r="Y201" s="62">
        <f>RIGHT(D201,LEN(D201)-4)/10000</f>
        <v>9.8599999999999993E-2</v>
      </c>
      <c r="Z201" s="62">
        <f>RIGHT(H201,LEN(H201)-4)/10000</f>
        <v>5.9005000000000001</v>
      </c>
      <c r="AA201" s="62">
        <f>ABS(Z201-Y201)</f>
        <v>5.8018999999999998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0845-09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/stypes="app*4011*20170310*" /stext=" 04:.+((SYSTEM_STATE.+slice.+state.+changed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9"/>
        <v>"%USERPROFILE%\Documents\GitHub\eaglep3\Utilities\RefineRTDCRunTimes.py" --tripid 845-09 --locoid 4011 --swversion DE.1.0.9.0 --startMP 204:986 --initTime 2017-03-09T21:04:25 --startdatetime 2017-03-09T21:21:28 --delay 1 --endMP 300:59005 --enddatetime 2017-03-09T21:35:45 --enforcementcount 0 &gt;&gt;C:\Users\stu\Documents\GitHub\eaglep3-reporting\EC\2017-03-09-refined-times.txt</v>
      </c>
      <c r="AI201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{"issue":{"subject":"","project_id":79,"tracker_id":40,"status_id":1,"priority_id":2,"assigned_to_id":23,"start_date":"2017-03-09","description":"","custom_fields":[{"id":1,"name":"Subdivision","value":"NW"},{"id":4,"name":"Milepost","value":"5.9005"},{"id":17,"name":"Train ID","value":"845-09"},{"id":16,"name":"Locomotive ID","value":"4011"},{"id":130,"name":"Impact","value":""},{"id":150,"name":"Time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1"/>
        <v>start /low /b %USERPROFILE%\Documents\GitHub\eaglep3\Utilities\DownloadLogsFromS3.py --loco 4011 --day 2017-03-09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2" spans="1:40" x14ac:dyDescent="0.25">
      <c r="A202" s="33" t="s">
        <v>799</v>
      </c>
      <c r="B202" s="7">
        <v>4011</v>
      </c>
      <c r="C202" s="21" t="s">
        <v>242</v>
      </c>
      <c r="D202" s="21" t="s">
        <v>472</v>
      </c>
      <c r="E202" s="13">
        <v>42803.927800925929</v>
      </c>
      <c r="F202" s="13">
        <v>42803.932175925926</v>
      </c>
      <c r="G202" s="7">
        <v>2</v>
      </c>
      <c r="H202" s="21" t="s">
        <v>980</v>
      </c>
      <c r="I202" s="13">
        <v>42803.942326388889</v>
      </c>
      <c r="J202" s="7">
        <v>0</v>
      </c>
      <c r="K202" s="98" t="str">
        <f>IF(ISEVEN(B202),(B202-1)&amp;"/"&amp;B202,B202&amp;"/"&amp;(B202+1))</f>
        <v>4011/4012</v>
      </c>
      <c r="L202" s="21" t="str">
        <f>VLOOKUP(A202,'Trips&amp;Operators'!$C$1:$G$99999,5,FALSE)</f>
        <v>STORY SAMANTHA</v>
      </c>
      <c r="M202" s="6">
        <f>I202-F202</f>
        <v>1.0150462963792961E-2</v>
      </c>
      <c r="N202" s="7">
        <f>24*60*SUM($M202:$M202)</f>
        <v>14.616666667861864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-03-09T21:16:02-0700',mode:absolute,to:'2017-03-09T23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87" t="str">
        <f>IF(AA202&lt;IF(AG202="EC",23,5.65),"Y","N")</f>
        <v>N</v>
      </c>
      <c r="X202" s="187">
        <f>VALUE(LEFT(AD202,4))-VALUE(LEFT(AD201,4))</f>
        <v>2</v>
      </c>
      <c r="Y202" s="62">
        <f>RIGHT(D202,LEN(D202)-4)/10000</f>
        <v>9.6000000000000002E-2</v>
      </c>
      <c r="Z202" s="62">
        <f>RIGHT(H202,LEN(H202)-4)/10000</f>
        <v>5.8978000000000002</v>
      </c>
      <c r="AA202" s="62">
        <f>ABS(Z202-Y202)</f>
        <v>5.8018000000000001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0847-09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/stypes="app*4011*20170310*" /stext=" 05:.+((SYSTEM_STATE.+slice.+state.+changed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9"/>
        <v>"%USERPROFILE%\Documents\GitHub\eaglep3\Utilities\RefineRTDCRunTimes.py" --tripid 847-09 --locoid 4011 --swversion DE.1.0.9.0 --startMP 204:960 --initTime 2017-03-09T22:16:02 --startdatetime 2017-03-09T22:22:20 --delay 2 --endMP 300:58978 --enddatetime 2017-03-09T22:36:57 --enforcementcount 0 &gt;&gt;C:\Users\stu\Documents\GitHub\eaglep3-reporting\EC\2017-03-09-refined-times.txt</v>
      </c>
      <c r="AI202" s="108" t="str">
        <f t="shared" si="10"/>
        <v>echo {"issue":{"subject":"","project_id":79,"tracker_id":40,"status_id":1,"priority_id":2,"assigned_to_id":23,"start_date":"2017-03-09","description":"","custom_fields":[{"id":1,"name":"Subdivision","value":"NW"},{"id":4,"name":"Milepost","value":"5.8978"},{"id":17,"name":"Train ID","value":"847-09"},{"id":16,"name":"Locomotive ID","value":"4011"},{"id":130,"name":"Impact","value":""},{"id":150,"name":"Time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1"/>
        <v>start /low /b %USERPROFILE%\Documents\GitHub\eaglep3\Utilities\DownloadLogsFromS3.py --loco 4011 --day 2017-03-09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3" spans="1:40" x14ac:dyDescent="0.25">
      <c r="A203" s="33" t="s">
        <v>614</v>
      </c>
      <c r="B203" s="7">
        <v>4021</v>
      </c>
      <c r="C203" s="21" t="s">
        <v>242</v>
      </c>
      <c r="D203" s="21" t="s">
        <v>883</v>
      </c>
      <c r="E203" s="13">
        <v>42803.119016203702</v>
      </c>
      <c r="F203" s="13">
        <v>42803.122418981482</v>
      </c>
      <c r="G203" s="7">
        <v>4</v>
      </c>
      <c r="H203" s="21" t="s">
        <v>432</v>
      </c>
      <c r="I203" s="13">
        <v>42803.129178240742</v>
      </c>
      <c r="J203" s="7">
        <v>0</v>
      </c>
      <c r="K203" s="98" t="str">
        <f>IF(ISEVEN(B203),(B203-1)&amp;"/"&amp;B203,B203&amp;"/"&amp;(B203+1))</f>
        <v>4021/4022</v>
      </c>
      <c r="L203" s="21" t="str">
        <f>VLOOKUP(A203,'Trips&amp;Operators'!$C$1:$G$99999,5,FALSE)</f>
        <v>YOUNG ELIZABETH</v>
      </c>
      <c r="M203" s="6">
        <f>I203-F203</f>
        <v>6.7592592604341917E-3</v>
      </c>
      <c r="N203" s="7">
        <f>24*60*SUM($M203:$M203)</f>
        <v>9.733333335025236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-09T01:51:23-0700',mode:absolute,to:'2017-03-09T04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187" t="str">
        <f>IF(AA203&lt;IF(AG203="EC",23,5.65),"Y","N")</f>
        <v>Y</v>
      </c>
      <c r="X203" s="187">
        <f>VALUE(LEFT(AD203,4))-VALUE(LEFT(AD202,4))</f>
        <v>-545</v>
      </c>
      <c r="Y203" s="62">
        <f>RIGHT(D203,LEN(D203)-4)/10000</f>
        <v>2.2496999999999998</v>
      </c>
      <c r="Z203" s="62">
        <f>RIGHT(H203,LEN(H203)-4)/10000</f>
        <v>1.6E-2</v>
      </c>
      <c r="AA203" s="62">
        <f>ABS(Z203-Y203)</f>
        <v>2.2336999999999998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0302-09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/stypes="app*4021*20170309*" /stext=" 10:.+((SYSTEM_STATE.+slice.+state.+changed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Other</v>
      </c>
      <c r="AH203" s="86" t="str">
        <f t="shared" si="9"/>
        <v>"%USERPROFILE%\Documents\GitHub\eaglep3\Utilities\RefineRTDCRunTimes.py" --tripid 302-09 --locoid 4021 --swversion DE.1.0.9.0 --startMP 300:22497 --initTime 2017-03-09T02:51:23 --startdatetime 2017-03-09T02:56:17 --delay 4 --endMP 204:160 --enddatetime 2017-03-09T03:06:01 --enforcementcount 0 &gt;&gt;C:\Users\stu\Documents\GitHub\eaglep3-reporting\EC\2017-03-09-refined-times.txt</v>
      </c>
      <c r="AI203" s="108" t="str">
        <f t="shared" si="10"/>
        <v>echo {"issue":{"subject":"","project_id":79,"tracker_id":40,"status_id":1,"priority_id":2,"assigned_to_id":23,"start_date":"2017-03-09","description":"","custom_fields":[{"id":1,"name":"Subdivision","value":"Other"},{"id":4,"name":"Milepost","value":"0.016"},{"id":17,"name":"Train ID","value":"302-09"},{"id":16,"name":"Locomotive ID","value":"4021"},{"id":130,"name":"Impact","value":""},{"id":150,"name":"Time of Event (Mountain Time)","value":"03:06:01"},{"id":151,"name":"Denver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1"/>
        <v>start /low /b %USERPROFILE%\Documents\GitHub\eaglep3\Utilities\DownloadLogsFromS3.py --loco 4021 --day 2017-03-09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</row>
    <row r="204" spans="1:40" x14ac:dyDescent="0.25">
      <c r="A204" s="33" t="s">
        <v>614</v>
      </c>
      <c r="B204" s="7">
        <v>4021</v>
      </c>
      <c r="C204" s="21" t="s">
        <v>242</v>
      </c>
      <c r="D204" s="21" t="s">
        <v>884</v>
      </c>
      <c r="E204" s="13">
        <v>42803.115486111114</v>
      </c>
      <c r="F204" s="13">
        <v>42803.122418981482</v>
      </c>
      <c r="G204" s="7">
        <v>1</v>
      </c>
      <c r="H204" s="21" t="s">
        <v>885</v>
      </c>
      <c r="I204" s="13">
        <v>42803.129178240742</v>
      </c>
      <c r="J204" s="7">
        <v>0</v>
      </c>
      <c r="K204" s="98" t="str">
        <f>IF(ISEVEN(B204),(B204-1)&amp;"/"&amp;B204,B204&amp;"/"&amp;(B204+1))</f>
        <v>4021/4022</v>
      </c>
      <c r="L204" s="21" t="str">
        <f>VLOOKUP(A204,'Trips&amp;Operators'!$C$1:$G$99999,5,FALSE)</f>
        <v>YOUNG ELIZABETH</v>
      </c>
      <c r="M204" s="6">
        <f>I204-F204</f>
        <v>6.7592592604341917E-3</v>
      </c>
      <c r="N204" s="7">
        <f>24*60*SUM($M204:$M204)</f>
        <v>9.733333335025236</v>
      </c>
      <c r="O204" s="7"/>
      <c r="P204" s="7"/>
      <c r="Q204" s="22"/>
      <c r="R204" s="22"/>
      <c r="S204" s="31">
        <f>SUM(U204:U204)/IF(AG204="EC",12,1)</f>
        <v>0</v>
      </c>
      <c r="T204" s="46" t="str">
        <f>IF(ISEVEN(LEFT(AD204,4)),"Southbound","NorthBound")</f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-03-09T01:46:18-0700',mode:absolute,to:'2017-03-09T04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87" t="str">
        <f>IF(AA204&lt;IF(AG204="EC",23,5.65),"Y","N")</f>
        <v>Y</v>
      </c>
      <c r="X204" s="187">
        <f>VALUE(LEFT(AD204,4))-VALUE(LEFT(AD203,4))</f>
        <v>0</v>
      </c>
      <c r="Y204" s="62">
        <f>RIGHT(D204,LEN(D204)-4)/10000</f>
        <v>2.5127999999999999</v>
      </c>
      <c r="Z204" s="62">
        <f>RIGHT(H204,LEN(H204)-4)/10000</f>
        <v>2.4407000000000001</v>
      </c>
      <c r="AA204" s="62">
        <f>ABS(Z204-Y204)</f>
        <v>7.2099999999999831E-2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0302-09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/stypes="app*4021*20170309*" /stext=" 10:.+((SYSTEM_STATE.+slice.+state.+changed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Other</v>
      </c>
      <c r="AH204" s="86" t="str">
        <f t="shared" si="9"/>
        <v>"%USERPROFILE%\Documents\GitHub\eaglep3\Utilities\RefineRTDCRunTimes.py" --tripid 302-09 --locoid 4021 --swversion DE.1.0.9.0 --startMP 300:25128 --initTime 2017-03-09T02:46:18 --startdatetime 2017-03-09T02:56:17 --delay 1 --endMP 300:24407 --enddatetime 2017-03-09T03:06:01 --enforcementcount 0 &gt;&gt;C:\Users\stu\Documents\GitHub\eaglep3-reporting\EC\2017-03-09-refined-times.txt</v>
      </c>
      <c r="AI204" s="108" t="str">
        <f t="shared" si="10"/>
        <v>echo {"issue":{"subject":"","project_id":79,"tracker_id":40,"status_id":1,"priority_id":2,"assigned_to_id":23,"start_date":"2017-03-09","description":"","custom_fields":[{"id":1,"name":"Subdivision","value":"Other"},{"id":4,"name":"Milepost","value":"2.4407"},{"id":17,"name":"Train ID","value":"302-09"},{"id":16,"name":"Locomotive ID","value":"4021"},{"id":130,"name":"Impact","value":""},{"id":150,"name":"Time of Event (Mountain Time)","value":"03:06:01"},{"id":151,"name":"Denver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1"/>
        <v>start /low /b %USERPROFILE%\Documents\GitHub\eaglep3\Utilities\DownloadLogsFromS3.py --loco 4021 --day 2017-03-09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</row>
    <row r="205" spans="1:40" x14ac:dyDescent="0.25">
      <c r="A205" s="33" t="s">
        <v>774</v>
      </c>
      <c r="B205" s="7">
        <v>4040</v>
      </c>
      <c r="C205" s="21" t="s">
        <v>242</v>
      </c>
      <c r="D205" s="21" t="s">
        <v>550</v>
      </c>
      <c r="E205" s="13">
        <v>42803.779351851852</v>
      </c>
      <c r="F205" s="13">
        <v>42803.780810185184</v>
      </c>
      <c r="G205" s="7">
        <v>1</v>
      </c>
      <c r="H205" s="21" t="s">
        <v>886</v>
      </c>
      <c r="I205" s="13">
        <v>42803.785925925928</v>
      </c>
      <c r="J205" s="7">
        <v>0</v>
      </c>
      <c r="K205" s="98" t="str">
        <f>IF(ISEVEN(B205),(B205-1)&amp;"/"&amp;B205,B205&amp;"/"&amp;(B205+1))</f>
        <v>4039/4040</v>
      </c>
      <c r="L205" s="21" t="str">
        <f>VLOOKUP(A205,'Trips&amp;Operators'!$C$1:$G$99999,5,FALSE)</f>
        <v>SMITH MICHAEL</v>
      </c>
      <c r="M205" s="6">
        <f>I205-F205</f>
        <v>5.1157407433493063E-3</v>
      </c>
      <c r="N205" s="7">
        <f>24*60*SUM($M205:$M205)</f>
        <v>7.3666666704230011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-09T17:42:16-0700',mode:absolute,to:'2017-03-09T19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87" t="str">
        <f>IF(AA205&lt;IF(AG205="EC",23,5.65),"Y","N")</f>
        <v>Y</v>
      </c>
      <c r="X205" s="187">
        <f>VALUE(LEFT(AD205,4))-VALUE(LEFT(AD204,4))</f>
        <v>1</v>
      </c>
      <c r="Y205" s="62">
        <f>RIGHT(D205,LEN(D205)-4)/10000</f>
        <v>4.8599999999999997E-2</v>
      </c>
      <c r="Z205" s="62">
        <f>RIGHT(H205,LEN(H205)-4)/10000</f>
        <v>2.2991999999999999</v>
      </c>
      <c r="AA205" s="62">
        <f>ABS(Z205-Y205)</f>
        <v>2.2505999999999999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0303-09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/stypes="app*4040*20170310*" /stext=" 01:.+((SYSTEM_STATE.+slice.+state.+changed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9"/>
        <v>"%USERPROFILE%\Documents\GitHub\eaglep3\Utilities\RefineRTDCRunTimes.py" --tripid 303-09 --locoid 4040 --swversion DE.1.0.9.0 --startMP 204:486 --initTime 2017-03-09T18:42:16 --startdatetime 2017-03-09T18:44:22 --delay 1 --endMP 300:22992 --enddatetime 2017-03-09T18:51:44 --enforcementcount 0 &gt;&gt;C:\Users\stu\Documents\GitHub\eaglep3-reporting\EC\2017-03-09-refined-times.txt</v>
      </c>
      <c r="AI205" s="108" t="str">
        <f t="shared" si="10"/>
        <v>echo {"issue":{"subject":"","project_id":79,"tracker_id":40,"status_id":1,"priority_id":2,"assigned_to_id":23,"start_date":"2017-03-09","description":"","custom_fields":[{"id":1,"name":"Subdivision","value":"Other"},{"id":4,"name":"Milepost","value":"2.2992"},{"id":17,"name":"Train ID","value":"303-09"},{"id":16,"name":"Locomotive ID","value":"4040"},{"id":130,"name":"Impact","value":""},{"id":150,"name":"Time of Event (Mountain Time)","value":"18:51:44"},{"id":151,"name":"Denver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1"/>
        <v>start /low /b %USERPROFILE%\Documents\GitHub\eaglep3\Utilities\DownloadLogsFromS3.py --loco 4040 --day 2017-03-09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2017-03-09-UncaughtWiMAX.txt</v>
      </c>
    </row>
    <row r="206" spans="1:40" x14ac:dyDescent="0.25">
      <c r="A206" s="33" t="s">
        <v>619</v>
      </c>
      <c r="B206" s="7">
        <v>4017</v>
      </c>
      <c r="C206" s="21" t="s">
        <v>242</v>
      </c>
      <c r="D206" s="21" t="s">
        <v>887</v>
      </c>
      <c r="E206" s="13">
        <v>42803.141400462962</v>
      </c>
      <c r="F206" s="13">
        <v>42803.145567129628</v>
      </c>
      <c r="G206" s="7">
        <v>4</v>
      </c>
      <c r="H206" s="21" t="s">
        <v>270</v>
      </c>
      <c r="I206" s="13">
        <v>42803.150902777779</v>
      </c>
      <c r="J206" s="7">
        <v>0</v>
      </c>
      <c r="K206" s="98" t="str">
        <f>IF(ISEVEN(B206),(B206-1)&amp;"/"&amp;B206,B206&amp;"/"&amp;(B206+1))</f>
        <v>4017/4018</v>
      </c>
      <c r="L206" s="21" t="str">
        <f>VLOOKUP(A206,'Trips&amp;Operators'!$C$1:$G$99999,5,FALSE)</f>
        <v>BONDS REYNALDO</v>
      </c>
      <c r="M206" s="6">
        <f>I206-F206</f>
        <v>5.3356481512309983E-3</v>
      </c>
      <c r="N206" s="7">
        <f>24*60*SUM($M206:$M206)</f>
        <v>7.6833333377726376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-09T02:23:37-0700',mode:absolute,to:'2017-03-09T04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6" s="187" t="str">
        <f>IF(AA206&lt;IF(AG206="EC",23,5.65),"Y","N")</f>
        <v>Y</v>
      </c>
      <c r="X206" s="187">
        <f>VALUE(LEFT(AD206,4))-VALUE(LEFT(AD205,4))</f>
        <v>1</v>
      </c>
      <c r="Y206" s="62">
        <f>RIGHT(D206,LEN(D206)-4)/10000</f>
        <v>2.2061999999999999</v>
      </c>
      <c r="Z206" s="62">
        <f>RIGHT(H206,LEN(H206)-4)/10000</f>
        <v>1.61E-2</v>
      </c>
      <c r="AA206" s="62">
        <f>ABS(Z206-Y206)</f>
        <v>2.1901000000000002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0304-09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/stypes="app*4017*20170309*" /stext=" 10:.+((SYSTEM_STATE.+slice.+state.+changed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ref="AH206:AH242" si="1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304-09 --locoid 4017 --swversion DE.1.0.9.0 --startMP 300:22062 --initTime 2017-03-09T03:23:37 --startdatetime 2017-03-09T03:29:37 --delay 4 --endMP 204:161 --enddatetime 2017-03-09T03:37:18 --enforcementcount 0 &gt;&gt;C:\Users\stu\Documents\GitHub\eaglep3-reporting\EC\2017-03-09-refined-times.txt</v>
      </c>
      <c r="AI206" s="108" t="str">
        <f t="shared" ref="AI206:AI242" si="1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{"issue":{"subject":"","project_id":79,"tracker_id":40,"status_id":1,"priority_id":2,"assigned_to_id":23,"start_date":"2017-03-09","description":"","custom_fields":[{"id":1,"name":"Subdivision","value":"Other"},{"id":4,"name":"Milepost","value":"0.0161"},{"id":17,"name":"Train ID","value":"304-09"},{"id":16,"name":"Locomotive ID","value":"4017"},{"id":130,"name":"Impact","value":""},{"id":150,"name":"Time of Event (Mountain Time)","value":"03:37:18"},{"id":151,"name":"Denver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42" si="14">"start /low /b "&amp;dls3logs&amp;" --loco "&amp;B206&amp;" --day "&amp;TEXT(F206,"YYYY-MM-DD")</f>
        <v>start /low /b %USERPROFILE%\Documents\GitHub\eaglep3\Utilities\DownloadLogsFromS3.py --loco 4017 --day 2017-03-09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</row>
    <row r="207" spans="1:40" x14ac:dyDescent="0.25">
      <c r="A207" s="33" t="s">
        <v>779</v>
      </c>
      <c r="B207" s="7">
        <v>4014</v>
      </c>
      <c r="C207" s="21" t="s">
        <v>242</v>
      </c>
      <c r="D207" s="21" t="s">
        <v>277</v>
      </c>
      <c r="E207" s="13">
        <v>42803.798750000002</v>
      </c>
      <c r="F207" s="13">
        <v>42803.800243055557</v>
      </c>
      <c r="G207" s="7">
        <v>1</v>
      </c>
      <c r="H207" s="21" t="s">
        <v>888</v>
      </c>
      <c r="I207" s="13">
        <v>42803.804988425924</v>
      </c>
      <c r="J207" s="7">
        <v>0</v>
      </c>
      <c r="K207" s="98" t="str">
        <f>IF(ISEVEN(B207),(B207-1)&amp;"/"&amp;B207,B207&amp;"/"&amp;(B207+1))</f>
        <v>4013/4014</v>
      </c>
      <c r="L207" s="21" t="str">
        <f>VLOOKUP(A207,'Trips&amp;Operators'!$C$1:$G$99999,5,FALSE)</f>
        <v>LOCKLEAR TRAVIS</v>
      </c>
      <c r="M207" s="6">
        <f>I207-F207</f>
        <v>4.7453703664359637E-3</v>
      </c>
      <c r="N207" s="7">
        <f>24*60*SUM($M207:$M207)</f>
        <v>6.8333333276677877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-03-09T18:10:12-0700',mode:absolute,to:'2017-03-09T20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87" t="str">
        <f>IF(AA207&lt;IF(AG207="EC",23,5.65),"Y","N")</f>
        <v>Y</v>
      </c>
      <c r="X207" s="187">
        <f>VALUE(LEFT(AD207,4))-VALUE(LEFT(AD206,4))</f>
        <v>1</v>
      </c>
      <c r="Y207" s="62">
        <f>RIGHT(D207,LEN(D207)-4)/10000</f>
        <v>4.7699999999999999E-2</v>
      </c>
      <c r="Z207" s="62">
        <f>RIGHT(H207,LEN(H207)-4)/10000</f>
        <v>2.3136000000000001</v>
      </c>
      <c r="AA207" s="62">
        <f>ABS(Z207-Y207)</f>
        <v>2.2659000000000002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0305-09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/stypes="app*4014*20170310*" /stext=" 02:.+((SYSTEM_STATE.+slice.+state.+changed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2"/>
        <v>"%USERPROFILE%\Documents\GitHub\eaglep3\Utilities\RefineRTDCRunTimes.py" --tripid 305-09 --locoid 4014 --swversion DE.1.0.9.0 --startMP 204:477 --initTime 2017-03-09T19:10:12 --startdatetime 2017-03-09T19:12:21 --delay 1 --endMP 300:23136 --enddatetime 2017-03-09T19:19:11 --enforcementcount 0 &gt;&gt;C:\Users\stu\Documents\GitHub\eaglep3-reporting\EC\2017-03-09-refined-times.txt</v>
      </c>
      <c r="AI207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{"issue":{"subject":"","project_id":79,"tracker_id":40,"status_id":1,"priority_id":2,"assigned_to_id":23,"start_date":"2017-03-09","description":"","custom_fields":[{"id":1,"name":"Subdivision","value":"Other"},{"id":4,"name":"Milepost","value":"2.3136"},{"id":17,"name":"Train ID","value":"305-09"},{"id":16,"name":"Locomotive ID","value":"4014"},{"id":130,"name":"Impact","value":""},{"id":150,"name":"Time of Event (Mountain Time)","value":"19:19:11"},{"id":151,"name":"Denver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4"/>
        <v>start /low /b %USERPROFILE%\Documents\GitHub\eaglep3\Utilities\DownloadLogsFromS3.py --loco 4014 --day 2017-03-09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"%USERPROFILE%\AppData\Local\Temp\OnboardLogs"\RTDC4014\*4014*20170310* | grep -SE "(Enforcement Action)|(\[TIMEOUT)|(CHR.+\|PRM\|1\|D.+(SWITCH|SIGNAL).+UNKNOWN)" - &gt;&gt; 2017-03-09-UncaughtWiMAX.txt</v>
      </c>
    </row>
    <row r="208" spans="1:40" x14ac:dyDescent="0.25">
      <c r="A208" s="33" t="s">
        <v>621</v>
      </c>
      <c r="B208" s="7">
        <v>4043</v>
      </c>
      <c r="C208" s="21" t="s">
        <v>242</v>
      </c>
      <c r="D208" s="21" t="s">
        <v>889</v>
      </c>
      <c r="E208" s="13">
        <v>42803.156759259262</v>
      </c>
      <c r="F208" s="13">
        <v>42803.159861111111</v>
      </c>
      <c r="G208" s="7">
        <v>4</v>
      </c>
      <c r="H208" s="21" t="s">
        <v>232</v>
      </c>
      <c r="I208" s="13">
        <v>42803.165185185186</v>
      </c>
      <c r="J208" s="7">
        <v>0</v>
      </c>
      <c r="K208" s="98" t="str">
        <f>IF(ISEVEN(B208),(B208-1)&amp;"/"&amp;B208,B208&amp;"/"&amp;(B208+1))</f>
        <v>4043/4044</v>
      </c>
      <c r="L208" s="21" t="str">
        <f>VLOOKUP(A208,'Trips&amp;Operators'!$C$1:$G$99999,5,FALSE)</f>
        <v>ROBINSON KADDIBA</v>
      </c>
      <c r="M208" s="6">
        <f>I208-F208</f>
        <v>5.324074074451346E-3</v>
      </c>
      <c r="N208" s="7">
        <f>24*60*SUM($M208:$M208)</f>
        <v>7.6666666672099382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-03-09T02:45:44-0700',mode:absolute,to:'2017-03-09T04:57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87" t="str">
        <f>IF(AA208&lt;IF(AG208="EC",23,5.65),"Y","N")</f>
        <v>Y</v>
      </c>
      <c r="X208" s="187">
        <f>VALUE(LEFT(AD208,4))-VALUE(LEFT(AD207,4))</f>
        <v>1</v>
      </c>
      <c r="Y208" s="62">
        <f>RIGHT(D208,LEN(D208)-4)/10000</f>
        <v>2.1970999999999998</v>
      </c>
      <c r="Z208" s="62">
        <f>RIGHT(H208,LEN(H208)-4)/10000</f>
        <v>1.5599999999999999E-2</v>
      </c>
      <c r="AA208" s="62">
        <f>ABS(Z208-Y208)</f>
        <v>2.1814999999999998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0306-09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/stypes="app*4043*20170309*" /stext=" 10:.+((SYSTEM_STATE.+slice.+state.+changed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2"/>
        <v>"%USERPROFILE%\Documents\GitHub\eaglep3\Utilities\RefineRTDCRunTimes.py" --tripid 306-09 --locoid 4043 --swversion DE.1.0.9.0 --startMP 300:21971 --initTime 2017-03-09T03:45:44 --startdatetime 2017-03-09T03:50:12 --delay 4 --endMP 204:156 --enddatetime 2017-03-09T03:57:52 --enforcementcount 0 &gt;&gt;C:\Users\stu\Documents\GitHub\eaglep3-reporting\EC\2017-03-09-refined-times.txt</v>
      </c>
      <c r="AI208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{"issue":{"subject":"","project_id":79,"tracker_id":40,"status_id":1,"priority_id":2,"assigned_to_id":23,"start_date":"2017-03-09","description":"","custom_fields":[{"id":1,"name":"Subdivision","value":"Other"},{"id":4,"name":"Milepost","value":"0.0156"},{"id":17,"name":"Train ID","value":"306-09"},{"id":16,"name":"Locomotive ID","value":"4043"},{"id":130,"name":"Impact","value":""},{"id":150,"name":"Time of Event (Mountain Time)","value":"03:57:52"},{"id":151,"name":"Denver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4"/>
        <v>start /low /b %USERPROFILE%\Documents\GitHub\eaglep3\Utilities\DownloadLogsFromS3.py --loco 4043 --day 2017-03-09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</row>
    <row r="209" spans="1:40" x14ac:dyDescent="0.25">
      <c r="A209" s="33" t="s">
        <v>786</v>
      </c>
      <c r="B209" s="7">
        <v>4016</v>
      </c>
      <c r="C209" s="21" t="s">
        <v>242</v>
      </c>
      <c r="D209" s="21" t="s">
        <v>237</v>
      </c>
      <c r="E209" s="13">
        <v>42803.823865740742</v>
      </c>
      <c r="F209" s="13">
        <v>42803.826053240744</v>
      </c>
      <c r="G209" s="7">
        <v>1</v>
      </c>
      <c r="H209" s="21" t="s">
        <v>890</v>
      </c>
      <c r="I209" s="13">
        <v>42803.83153935185</v>
      </c>
      <c r="J209" s="7">
        <v>0</v>
      </c>
      <c r="K209" s="98" t="str">
        <f>IF(ISEVEN(B209),(B209-1)&amp;"/"&amp;B209,B209&amp;"/"&amp;(B209+1))</f>
        <v>4015/4016</v>
      </c>
      <c r="L209" s="21" t="str">
        <f>VLOOKUP(A209,'Trips&amp;Operators'!$C$1:$G$99999,5,FALSE)</f>
        <v>BRANDNER MELINDA</v>
      </c>
      <c r="M209" s="6">
        <f>I209-F209</f>
        <v>5.4861111057107337E-3</v>
      </c>
      <c r="N209" s="7">
        <f>24*60*SUM($M209:$M209)</f>
        <v>7.8999999922234565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-03-09T18:46:22-0700',mode:absolute,to:'2017-03-09T20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87" t="str">
        <f>IF(AA209&lt;IF(AG209="EC",23,5.65),"Y","N")</f>
        <v>Y</v>
      </c>
      <c r="X209" s="187">
        <f>VALUE(LEFT(AD209,4))-VALUE(LEFT(AD208,4))</f>
        <v>1</v>
      </c>
      <c r="Y209" s="62">
        <f>RIGHT(D209,LEN(D209)-4)/10000</f>
        <v>4.6600000000000003E-2</v>
      </c>
      <c r="Z209" s="62">
        <f>RIGHT(H209,LEN(H209)-4)/10000</f>
        <v>2.3294999999999999</v>
      </c>
      <c r="AA209" s="62">
        <f>ABS(Z209-Y209)</f>
        <v>2.2828999999999997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0307-09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/stypes="app*4016*20170310*" /stext=" 02:.+((SYSTEM_STATE.+slice.+state.+changed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2"/>
        <v>"%USERPROFILE%\Documents\GitHub\eaglep3\Utilities\RefineRTDCRunTimes.py" --tripid 307-09 --locoid 4016 --swversion DE.1.0.9.0 --startMP 204:466 --initTime 2017-03-09T19:46:22 --startdatetime 2017-03-09T19:49:31 --delay 1 --endMP 300:23295 --enddatetime 2017-03-09T19:57:25 --enforcementcount 0 &gt;&gt;C:\Users\stu\Documents\GitHub\eaglep3-reporting\EC\2017-03-09-refined-times.txt</v>
      </c>
      <c r="AI209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{"issue":{"subject":"","project_id":79,"tracker_id":40,"status_id":1,"priority_id":2,"assigned_to_id":23,"start_date":"2017-03-09","description":"","custom_fields":[{"id":1,"name":"Subdivision","value":"Other"},{"id":4,"name":"Milepost","value":"2.3295"},{"id":17,"name":"Train ID","value":"307-09"},{"id":16,"name":"Locomotive ID","value":"4016"},{"id":130,"name":"Impact","value":""},{"id":150,"name":"Time of Event (Mountain Time)","value":"19:57:25"},{"id":151,"name":"Denver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4"/>
        <v>start /low /b %USERPROFILE%\Documents\GitHub\eaglep3\Utilities\DownloadLogsFromS3.py --loco 4016 --day 2017-03-09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"%USERPROFILE%\AppData\Local\Temp\OnboardLogs"\RTDC4016\*4016*20170310* | grep -SE "(Enforcement Action)|(\[TIMEOUT)|(CHR.+\|PRM\|1\|D.+(SWITCH|SIGNAL).+UNKNOWN)" - &gt;&gt; 2017-03-09-UncaughtWiMAX.txt</v>
      </c>
    </row>
    <row r="210" spans="1:40" x14ac:dyDescent="0.25">
      <c r="A210" s="33" t="s">
        <v>625</v>
      </c>
      <c r="B210" s="7">
        <v>4030</v>
      </c>
      <c r="C210" s="21" t="s">
        <v>242</v>
      </c>
      <c r="D210" s="21" t="s">
        <v>891</v>
      </c>
      <c r="E210" s="13">
        <v>42803.171203703707</v>
      </c>
      <c r="F210" s="13">
        <v>42803.173819444448</v>
      </c>
      <c r="G210" s="7">
        <v>3</v>
      </c>
      <c r="H210" s="21" t="s">
        <v>892</v>
      </c>
      <c r="I210" s="13">
        <v>42803.180231481485</v>
      </c>
      <c r="J210" s="7">
        <v>0</v>
      </c>
      <c r="K210" s="98" t="str">
        <f>IF(ISEVEN(B210),(B210-1)&amp;"/"&amp;B210,B210&amp;"/"&amp;(B210+1))</f>
        <v>4029/4030</v>
      </c>
      <c r="L210" s="21" t="str">
        <f>VLOOKUP(A210,'Trips&amp;Operators'!$C$1:$G$99999,5,FALSE)</f>
        <v>GEBRETEKLE DAGNEW</v>
      </c>
      <c r="M210" s="6">
        <f>I210-F210</f>
        <v>6.4120370370801538E-3</v>
      </c>
      <c r="N210" s="7">
        <f>24*60*SUM($M210:$M210)</f>
        <v>9.2333333333954215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-03-09T03:06:32-0700',mode:absolute,to:'2017-03-09T05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87" t="str">
        <f>IF(AA210&lt;IF(AG210="EC",23,5.65),"Y","N")</f>
        <v>Y</v>
      </c>
      <c r="X210" s="187">
        <f>VALUE(LEFT(AD210,4))-VALUE(LEFT(AD209,4))</f>
        <v>1</v>
      </c>
      <c r="Y210" s="62">
        <f>RIGHT(D210,LEN(D210)-4)/10000</f>
        <v>2.3506</v>
      </c>
      <c r="Z210" s="62">
        <f>RIGHT(H210,LEN(H210)-4)/10000</f>
        <v>1.7600000000000001E-2</v>
      </c>
      <c r="AA210" s="62">
        <f>ABS(Z210-Y210)</f>
        <v>2.3330000000000002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0308-09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/stypes="app*4030*20170309*" /stext=" 11:.+((SYSTEM_STATE.+slice.+state.+changed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2"/>
        <v>"%USERPROFILE%\Documents\GitHub\eaglep3\Utilities\RefineRTDCRunTimes.py" --tripid 308-09 --locoid 4030 --swversion DE.1.0.9.0 --startMP 300:23506 --initTime 2017-03-09T04:06:32 --startdatetime 2017-03-09T04:10:18 --delay 3 --endMP 204:176 --enddatetime 2017-03-09T04:19:32 --enforcementcount 0 &gt;&gt;C:\Users\stu\Documents\GitHub\eaglep3-reporting\EC\2017-03-09-refined-times.txt</v>
      </c>
      <c r="AI210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{"issue":{"subject":"","project_id":79,"tracker_id":40,"status_id":1,"priority_id":2,"assigned_to_id":23,"start_date":"2017-03-09","description":"","custom_fields":[{"id":1,"name":"Subdivision","value":"Other"},{"id":4,"name":"Milepost","value":"0.0176"},{"id":17,"name":"Train ID","value":"308-09"},{"id":16,"name":"Locomotive ID","value":"4030"},{"id":130,"name":"Impact","value":""},{"id":150,"name":"Time of Event (Mountain Time)","value":"04:19:32"},{"id":151,"name":"Denver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4"/>
        <v>start /low /b %USERPROFILE%\Documents\GitHub\eaglep3\Utilities\DownloadLogsFromS3.py --loco 4030 --day 2017-03-09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</row>
    <row r="211" spans="1:40" x14ac:dyDescent="0.25">
      <c r="A211" s="33" t="s">
        <v>811</v>
      </c>
      <c r="B211" s="7">
        <v>4020</v>
      </c>
      <c r="C211" s="21" t="s">
        <v>242</v>
      </c>
      <c r="D211" s="21" t="s">
        <v>893</v>
      </c>
      <c r="E211" s="13">
        <v>42804.049479166664</v>
      </c>
      <c r="F211" s="13">
        <v>42804.05259259259</v>
      </c>
      <c r="G211" s="7">
        <v>1</v>
      </c>
      <c r="H211" s="21" t="s">
        <v>894</v>
      </c>
      <c r="I211" s="13">
        <v>42804.060393518521</v>
      </c>
      <c r="J211" s="7">
        <v>0</v>
      </c>
      <c r="K211" s="98" t="str">
        <f>IF(ISEVEN(B211),(B211-1)&amp;"/"&amp;B211,B211&amp;"/"&amp;(B211+1))</f>
        <v>4019/4020</v>
      </c>
      <c r="L211" s="21" t="str">
        <f>VLOOKUP(A211,'Trips&amp;Operators'!$C$1:$G$99999,5,FALSE)</f>
        <v>NEWELL JAMES</v>
      </c>
      <c r="M211" s="6">
        <f>I211-F211</f>
        <v>7.8009259304963052E-3</v>
      </c>
      <c r="N211" s="7">
        <f>24*60*SUM($M211:$M211)</f>
        <v>11.23333333991468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-03-10T00:11:15-0700',mode:absolute,to:'2017-03-10T02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87" t="str">
        <f>IF(AA211&lt;IF(AG211="EC",23,5.65),"Y","N")</f>
        <v>Y</v>
      </c>
      <c r="X211" s="187">
        <f>VALUE(LEFT(AD211,4))-VALUE(LEFT(AD210,4))</f>
        <v>1</v>
      </c>
      <c r="Y211" s="62">
        <f>RIGHT(D211,LEN(D211)-4)/10000</f>
        <v>9.5299999999999996E-2</v>
      </c>
      <c r="Z211" s="62">
        <f>RIGHT(H211,LEN(H211)-4)/10000</f>
        <v>2.3313999999999999</v>
      </c>
      <c r="AA211" s="62">
        <f>ABS(Z211-Y211)</f>
        <v>2.2361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0309-09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 &amp; 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/stypes="app*4020*20170310*" /stext=" 08:.+((SYSTEM_STATE.+slice.+state.+changed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2"/>
        <v>"%USERPROFILE%\Documents\GitHub\eaglep3\Utilities\RefineRTDCRunTimes.py" --tripid 309-09 --locoid 4020 --swversion DE.1.0.9.0 --startMP 204:953 --initTime 2017-03-10T01:11:15 --startdatetime 2017-03-10T01:15:44 --delay 1 --endMP 300:23314 --enddatetime 2017-03-10T01:26:58 --enforcementcount 0 &gt;&gt;C:\Users\stu\Documents\GitHub\eaglep3-reporting\EC\2017-03-09-refined-times.txt</v>
      </c>
      <c r="AI211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{"issue":{"subject":"","project_id":79,"tracker_id":40,"status_id":1,"priority_id":2,"assigned_to_id":23,"start_date":"2017-03-10","description":"","custom_fields":[{"id":1,"name":"Subdivision","value":"Other"},{"id":4,"name":"Milepost","value":"2.3314"},{"id":17,"name":"Train ID","value":"309-09"},{"id":16,"name":"Locomotive ID","value":"4020"},{"id":130,"name":"Impact","value":""},{"id":150,"name":"Time of Event (Mountain Time)","value":"01:26:58"},{"id":151,"name":"Denver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4"/>
        <v>start /low /b %USERPROFILE%\Documents\GitHub\eaglep3\Utilities\DownloadLogsFromS3.py --loco 4020 --day 2017-03-10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</row>
    <row r="212" spans="1:40" x14ac:dyDescent="0.25">
      <c r="A212" s="33" t="s">
        <v>627</v>
      </c>
      <c r="B212" s="7">
        <v>4039</v>
      </c>
      <c r="C212" s="21" t="s">
        <v>242</v>
      </c>
      <c r="D212" s="21" t="s">
        <v>895</v>
      </c>
      <c r="E212" s="13">
        <v>42803.185810185183</v>
      </c>
      <c r="F212" s="13">
        <v>42803.188206018516</v>
      </c>
      <c r="G212" s="7">
        <v>3</v>
      </c>
      <c r="H212" s="21" t="s">
        <v>194</v>
      </c>
      <c r="I212" s="13">
        <v>42803.193344907406</v>
      </c>
      <c r="J212" s="7">
        <v>0</v>
      </c>
      <c r="K212" s="98" t="str">
        <f>IF(ISEVEN(B212),(B212-1)&amp;"/"&amp;B212,B212&amp;"/"&amp;(B212+1))</f>
        <v>4039/4040</v>
      </c>
      <c r="L212" s="21" t="str">
        <f>VLOOKUP(A212,'Trips&amp;Operators'!$C$1:$G$99999,5,FALSE)</f>
        <v>ROCHA YAOTL</v>
      </c>
      <c r="M212" s="6">
        <f>I212-F212</f>
        <v>5.1388888896326534E-3</v>
      </c>
      <c r="N212" s="7">
        <f>24*60*SUM($M212:$M212)</f>
        <v>7.400000001071021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-03-09T03:27:34-0700',mode:absolute,to:'2017-03-09T05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187" t="str">
        <f>IF(AA212&lt;IF(AG212="EC",23,5.65),"Y","N")</f>
        <v>Y</v>
      </c>
      <c r="X212" s="187">
        <f>VALUE(LEFT(AD212,4))-VALUE(LEFT(AD211,4))</f>
        <v>1</v>
      </c>
      <c r="Y212" s="62">
        <f>RIGHT(D212,LEN(D212)-4)/10000</f>
        <v>2.351</v>
      </c>
      <c r="Z212" s="62">
        <f>RIGHT(H212,LEN(H212)-4)/10000</f>
        <v>1.4500000000000001E-2</v>
      </c>
      <c r="AA212" s="62">
        <f>ABS(Z212-Y212)</f>
        <v>2.3365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0310-09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/stypes="app*4039*20170309*" /stext=" 11:.+((SYSTEM_STATE.+slice.+state.+changed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2"/>
        <v>"%USERPROFILE%\Documents\GitHub\eaglep3\Utilities\RefineRTDCRunTimes.py" --tripid 310-09 --locoid 4039 --swversion DE.1.0.9.0 --startMP 300:23510 --initTime 2017-03-09T04:27:34 --startdatetime 2017-03-09T04:31:01 --delay 3 --endMP 204:145 --enddatetime 2017-03-09T04:38:25 --enforcementcount 0 &gt;&gt;C:\Users\stu\Documents\GitHub\eaglep3-reporting\EC\2017-03-09-refined-times.txt</v>
      </c>
      <c r="AI212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{"issue":{"subject":"","project_id":79,"tracker_id":40,"status_id":1,"priority_id":2,"assigned_to_id":23,"start_date":"2017-03-09","description":"","custom_fields":[{"id":1,"name":"Subdivision","value":"Other"},{"id":4,"name":"Milepost","value":"0.0145"},{"id":17,"name":"Train ID","value":"310-09"},{"id":16,"name":"Locomotive ID","value":"4039"},{"id":130,"name":"Impact","value":""},{"id":150,"name":"Time of Event (Mountain Time)","value":"04:38:25"},{"id":151,"name":"Denver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4"/>
        <v>start /low /b %USERPROFILE%\Documents\GitHub\eaglep3\Utilities\DownloadLogsFromS3.py --loco 4039 --day 2017-03-09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</row>
    <row r="213" spans="1:40" x14ac:dyDescent="0.25">
      <c r="A213" s="33" t="s">
        <v>538</v>
      </c>
      <c r="B213" s="7">
        <v>4046</v>
      </c>
      <c r="C213" s="21" t="s">
        <v>242</v>
      </c>
      <c r="D213" s="21" t="s">
        <v>262</v>
      </c>
      <c r="E213" s="13">
        <v>42803.09002314815</v>
      </c>
      <c r="F213" s="13">
        <v>42803.091168981482</v>
      </c>
      <c r="G213" s="7">
        <v>0</v>
      </c>
      <c r="H213" s="21" t="s">
        <v>469</v>
      </c>
      <c r="I213" s="13">
        <v>42803.09815972222</v>
      </c>
      <c r="J213" s="7">
        <v>0</v>
      </c>
      <c r="K213" s="98" t="str">
        <f>IF(ISEVEN(B213),(B213-1)&amp;"/"&amp;B213,B213&amp;"/"&amp;(B213+1))</f>
        <v>4045/4046</v>
      </c>
      <c r="L213" s="21" t="str">
        <f>VLOOKUP(A213,'Trips&amp;Operators'!$C$1:$G$99999,5,FALSE)</f>
        <v>NEWELL JAMES</v>
      </c>
      <c r="M213" s="6">
        <f>I213-F213</f>
        <v>6.9907407378195785E-3</v>
      </c>
      <c r="N213" s="7">
        <f>24*60*SUM($M213:$M213)</f>
        <v>10.066666662460193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-03-09T01:09:38-0700',mode:absolute,to:'2017-03-09T03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87" t="str">
        <f>IF(AA213&lt;IF(AG213="EC",23,5.65),"Y","N")</f>
        <v>Y</v>
      </c>
      <c r="X213" s="187">
        <f>VALUE(LEFT(AD213,4))-VALUE(LEFT(AD212,4))</f>
        <v>3</v>
      </c>
      <c r="Y213" s="62">
        <f>RIGHT(D213,LEN(D213)-4)/10000</f>
        <v>4.6699999999999998E-2</v>
      </c>
      <c r="Z213" s="62">
        <f>RIGHT(H213,LEN(H213)-4)/10000</f>
        <v>2.331</v>
      </c>
      <c r="AA213" s="62">
        <f>ABS(Z213-Y213)</f>
        <v>2.2843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0313-08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 &amp; 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/stypes="app*4046*20170309*" /stext=" 09:.+((SYSTEM_STATE.+slice.+state.+changed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2"/>
        <v>"%USERPROFILE%\Documents\GitHub\eaglep3\Utilities\RefineRTDCRunTimes.py" --tripid 313-08 --locoid 4046 --swversion DE.1.0.9.0 --startMP 204:467 --initTime 2017-03-09T02:09:38 --startdatetime 2017-03-09T02:11:17 --delay 0 --endMP 300:23310 --enddatetime 2017-03-09T02:21:21 --enforcementcount 0 &gt;&gt;C:\Users\stu\Documents\GitHub\eaglep3-reporting\EC\2017-03-09-refined-times.txt</v>
      </c>
      <c r="AI213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{"issue":{"subject":"","project_id":79,"tracker_id":40,"status_id":1,"priority_id":2,"assigned_to_id":23,"start_date":"2017-03-09","description":"","custom_fields":[{"id":1,"name":"Subdivision","value":"Other"},{"id":4,"name":"Milepost","value":"2.331"},{"id":17,"name":"Train ID","value":"313-08"},{"id":16,"name":"Locomotive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4"/>
        <v>start /low /b %USERPROFILE%\Documents\GitHub\eaglep3\Utilities\DownloadLogsFromS3.py --loco 4046 --day 2017-03-09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2017-03-09-UncaughtWiMAX.txt</v>
      </c>
    </row>
    <row r="214" spans="1:40" x14ac:dyDescent="0.25">
      <c r="A214" s="33" t="s">
        <v>814</v>
      </c>
      <c r="B214" s="7">
        <v>4018</v>
      </c>
      <c r="C214" s="21" t="s">
        <v>242</v>
      </c>
      <c r="D214" s="21" t="s">
        <v>828</v>
      </c>
      <c r="E214" s="13">
        <v>42804.091620370367</v>
      </c>
      <c r="F214" s="13">
        <v>42804.094768518517</v>
      </c>
      <c r="G214" s="7">
        <v>1</v>
      </c>
      <c r="H214" s="21" t="s">
        <v>896</v>
      </c>
      <c r="I214" s="13">
        <v>42804.10255787037</v>
      </c>
      <c r="J214" s="7">
        <v>0</v>
      </c>
      <c r="K214" s="98" t="str">
        <f>IF(ISEVEN(B214),(B214-1)&amp;"/"&amp;B214,B214&amp;"/"&amp;(B214+1))</f>
        <v>4017/4018</v>
      </c>
      <c r="L214" s="21" t="str">
        <f>VLOOKUP(A214,'Trips&amp;Operators'!$C$1:$G$99999,5,FALSE)</f>
        <v>SWANSON BRYCE</v>
      </c>
      <c r="M214" s="6">
        <f>I214-F214</f>
        <v>7.7893518537166528E-3</v>
      </c>
      <c r="N214" s="7">
        <f>24*60*SUM($M214:$M214)</f>
        <v>11.21666666935198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-03-10T01:11:56-0700',mode:absolute,to:'2017-03-10T03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4" s="187" t="str">
        <f>IF(AA214&lt;IF(AG214="EC",23,5.65),"Y","N")</f>
        <v>Y</v>
      </c>
      <c r="X214" s="187">
        <f>VALUE(LEFT(AD214,4))-VALUE(LEFT(AD213,4))</f>
        <v>0</v>
      </c>
      <c r="Y214" s="62">
        <f>RIGHT(D214,LEN(D214)-4)/10000</f>
        <v>4.2599999999999999E-2</v>
      </c>
      <c r="Z214" s="62">
        <f>RIGHT(H214,LEN(H214)-4)/10000</f>
        <v>2.3346</v>
      </c>
      <c r="AA214" s="62">
        <f>ABS(Z214-Y214)</f>
        <v>2.2919999999999998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0313-09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 &amp; 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/stypes="app*4018*20170310*" /stext=" 09:.+((SYSTEM_STATE.+slice.+state.+changed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2"/>
        <v>"%USERPROFILE%\Documents\GitHub\eaglep3\Utilities\RefineRTDCRunTimes.py" --tripid 313-09 --locoid 4018 --swversion DE.1.0.9.0 --startMP 204:426 --initTime 2017-03-10T02:11:56 --startdatetime 2017-03-10T02:16:28 --delay 1 --endMP 300:23346 --enddatetime 2017-03-10T02:27:41 --enforcementcount 0 &gt;&gt;C:\Users\stu\Documents\GitHub\eaglep3-reporting\EC\2017-03-09-refined-times.txt</v>
      </c>
      <c r="AI214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{"issue":{"subject":"","project_id":79,"tracker_id":40,"status_id":1,"priority_id":2,"assigned_to_id":23,"start_date":"2017-03-10","description":"","custom_fields":[{"id":1,"name":"Subdivision","value":"Other"},{"id":4,"name":"Milepost","value":"2.3346"},{"id":17,"name":"Train ID","value":"313-09"},{"id":16,"name":"Locomotive ID","value":"4018"},{"id":130,"name":"Impact","value":""},{"id":150,"name":"Time of Event (Mountain Time)","value":"02:27:41"},{"id":151,"name":"Denver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4"/>
        <v>start /low /b %USERPROFILE%\Documents\GitHub\eaglep3\Utilities\DownloadLogsFromS3.py --loco 4018 --day 2017-03-10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</row>
    <row r="215" spans="1:40" x14ac:dyDescent="0.25">
      <c r="A215" s="33" t="s">
        <v>630</v>
      </c>
      <c r="B215" s="7">
        <v>4007</v>
      </c>
      <c r="C215" s="21" t="s">
        <v>242</v>
      </c>
      <c r="D215" s="21" t="s">
        <v>987</v>
      </c>
      <c r="E215" s="13">
        <v>42803.197962962964</v>
      </c>
      <c r="F215" s="13">
        <v>42803.202627314815</v>
      </c>
      <c r="G215" s="7">
        <v>6</v>
      </c>
      <c r="H215" s="21" t="s">
        <v>925</v>
      </c>
      <c r="I215" s="13">
        <v>42803.208460648151</v>
      </c>
      <c r="J215" s="7">
        <v>0</v>
      </c>
      <c r="K215" s="98" t="str">
        <f>IF(ISEVEN(B215),(B215-1)&amp;"/"&amp;B215,B215&amp;"/"&amp;(B215+1))</f>
        <v>4007/4008</v>
      </c>
      <c r="L215" s="21" t="str">
        <f>VLOOKUP(A215,'Trips&amp;Operators'!$C$1:$G$99999,5,FALSE)</f>
        <v>SHOOK JOHN</v>
      </c>
      <c r="M215" s="6">
        <f>I215-F215</f>
        <v>5.8333333363407291E-3</v>
      </c>
      <c r="N215" s="7">
        <f>24*60*SUM($M215:$M215)</f>
        <v>8.40000000433065</v>
      </c>
      <c r="O215" s="7"/>
      <c r="P215" s="7"/>
      <c r="Q215" s="22"/>
      <c r="R215" s="22"/>
      <c r="S215" s="31">
        <f>SUM(U215:U215)/IF(AG215="EC",12,1)</f>
        <v>0</v>
      </c>
      <c r="T215" s="46" t="str">
        <f>IF(ISEVEN(LEFT(AD215,4)),"Southbound","NorthBound")</f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-03-09T03:45:04-0700',mode:absolute,to:'2017-03-09T06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87" t="str">
        <f>IF(AA215&lt;IF(AG215="EC",23,5.65),"Y","N")</f>
        <v>Y</v>
      </c>
      <c r="X215" s="187">
        <f>VALUE(LEFT(AD215,4))-VALUE(LEFT(AD214,4))</f>
        <v>588</v>
      </c>
      <c r="Y215" s="62">
        <f>RIGHT(D215,LEN(D215)-4)/10000</f>
        <v>3.0160999999999998</v>
      </c>
      <c r="Z215" s="62">
        <f>RIGHT(H215,LEN(H215)-4)/10000</f>
        <v>5.8994999999999997</v>
      </c>
      <c r="AA215" s="62">
        <f>ABS(Z215-Y215)</f>
        <v>2.8834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0901-09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/stypes="app*4007*20170309*" /stext=" 12:.+((SYSTEM_STATE.+slice.+state.+changed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2"/>
        <v>"%USERPROFILE%\Documents\GitHub\eaglep3\Utilities\RefineRTDCRunTimes.py" --tripid 901-09 --locoid 4007 --swversion DE.1.0.9.0 --startMP 300:30161 --initTime 2017-03-09T04:45:04 --startdatetime 2017-03-09T04:51:47 --delay 6 --endMP 300:58995 --enddatetime 2017-03-09T05:00:11 --enforcementcount 0 &gt;&gt;C:\Users\stu\Documents\GitHub\eaglep3-reporting\EC\2017-03-09-refined-times.txt</v>
      </c>
      <c r="AI215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{"issue":{"subject":"","project_id":79,"tracker_id":40,"status_id":1,"priority_id":2,"assigned_to_id":23,"start_date":"2017-03-09","description":"","custom_fields":[{"id":1,"name":"Subdivision","value":"Other"},{"id":4,"name":"Milepost","value":"5.8995"},{"id":17,"name":"Train ID","value":"901-09"},{"id":16,"name":"Locomotive ID","value":"4007"},{"id":130,"name":"Impact","value":""},{"id":150,"name":"Time of Event (Mountain Time)","value":"05:00:11"},{"id":151,"name":"Denver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4"/>
        <v>start /low /b %USERPROFILE%\Documents\GitHub\eaglep3\Utilities\DownloadLogsFromS3.py --loco 4007 --day 2017-03-09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216" spans="1:40" x14ac:dyDescent="0.25">
      <c r="A216" s="33" t="s">
        <v>643</v>
      </c>
      <c r="B216" s="7">
        <v>4012</v>
      </c>
      <c r="C216" s="21" t="s">
        <v>242</v>
      </c>
      <c r="D216" s="21" t="s">
        <v>988</v>
      </c>
      <c r="E216" s="13">
        <v>42803.253530092596</v>
      </c>
      <c r="F216" s="13">
        <v>42803.2578125</v>
      </c>
      <c r="G216" s="7">
        <v>6</v>
      </c>
      <c r="H216" s="21" t="s">
        <v>471</v>
      </c>
      <c r="I216" s="13">
        <v>42803.262777777774</v>
      </c>
      <c r="J216" s="7">
        <v>0</v>
      </c>
      <c r="K216" s="98" t="str">
        <f>IF(ISEVEN(B216),(B216-1)&amp;"/"&amp;B216,B216&amp;"/"&amp;(B216+1))</f>
        <v>4011/4012</v>
      </c>
      <c r="L216" s="21" t="str">
        <f>VLOOKUP(A216,'Trips&amp;Operators'!$C$1:$G$99999,5,FALSE)</f>
        <v>LOZA FIDEL</v>
      </c>
      <c r="M216" s="6">
        <f>I216-F216</f>
        <v>4.9652777743176557E-3</v>
      </c>
      <c r="N216" s="7">
        <f>24*60*SUM($M216:$M216)</f>
        <v>7.1499999950174242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-03-09T05:05:05-0700',mode:absolute,to:'2017-03-09T07:18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187" t="str">
        <f>IF(AA216&lt;IF(AG216="EC",23,5.65),"Y","N")</f>
        <v>Y</v>
      </c>
      <c r="X216" s="187">
        <f>VALUE(LEFT(AD216,4))-VALUE(LEFT(AD215,4))</f>
        <v>1</v>
      </c>
      <c r="Y216" s="62">
        <f>RIGHT(D216,LEN(D216)-4)/10000</f>
        <v>2.3473999999999999</v>
      </c>
      <c r="Z216" s="62">
        <f>RIGHT(H216,LEN(H216)-4)/10000</f>
        <v>6.8199999999999997E-2</v>
      </c>
      <c r="AA216" s="62">
        <f>ABS(Z216-Y216)</f>
        <v>2.2791999999999999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0902-09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/stypes="app*4012*20170309*" /stext=" 13:.+((SYSTEM_STATE.+slice.+state.+changed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2"/>
        <v>"%USERPROFILE%\Documents\GitHub\eaglep3\Utilities\RefineRTDCRunTimes.py" --tripid 902-09 --locoid 4012 --swversion DE.1.0.9.0 --startMP 300:23474 --initTime 2017-03-09T06:05:05 --startdatetime 2017-03-09T06:11:15 --delay 6 --endMP 204:682 --enddatetime 2017-03-09T06:18:24 --enforcementcount 0 &gt;&gt;C:\Users\stu\Documents\GitHub\eaglep3-reporting\EC\2017-03-09-refined-times.txt</v>
      </c>
      <c r="AI216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{"issue":{"subject":"","project_id":79,"tracker_id":40,"status_id":1,"priority_id":2,"assigned_to_id":23,"start_date":"2017-03-09","description":"","custom_fields":[{"id":1,"name":"Subdivision","value":"Other"},{"id":4,"name":"Milepost","value":"0.0682"},{"id":17,"name":"Train ID","value":"902-09"},{"id":16,"name":"Locomotive ID","value":"4012"},{"id":130,"name":"Impact","value":""},{"id":150,"name":"Time of Event (Mountain Time)","value":"06:18:24"},{"id":151,"name":"Denver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4"/>
        <v>start /low /b %USERPROFILE%\Documents\GitHub\eaglep3\Utilities\DownloadLogsFromS3.py --loco 4012 --day 2017-03-09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217" spans="1:40" x14ac:dyDescent="0.25">
      <c r="A217" s="33" t="s">
        <v>670</v>
      </c>
      <c r="B217" s="7">
        <v>4007</v>
      </c>
      <c r="C217" s="21" t="s">
        <v>242</v>
      </c>
      <c r="D217" s="21" t="s">
        <v>989</v>
      </c>
      <c r="E217" s="13">
        <v>42803.353263888886</v>
      </c>
      <c r="F217" s="13">
        <v>42803.355254629627</v>
      </c>
      <c r="G217" s="7">
        <v>1</v>
      </c>
      <c r="H217" s="21" t="s">
        <v>990</v>
      </c>
      <c r="I217" s="13">
        <v>42803.361944444441</v>
      </c>
      <c r="J217" s="7">
        <v>0</v>
      </c>
      <c r="K217" s="98" t="str">
        <f>IF(ISEVEN(B217),(B217-1)&amp;"/"&amp;B217,B217&amp;"/"&amp;(B217+1))</f>
        <v>4007/4008</v>
      </c>
      <c r="L217" s="21" t="str">
        <f>VLOOKUP(A217,'Trips&amp;Operators'!$C$1:$G$99999,5,FALSE)</f>
        <v>SHOOK JOHN</v>
      </c>
      <c r="M217" s="6">
        <f>I217-F217</f>
        <v>6.6898148143081926E-3</v>
      </c>
      <c r="N217" s="7">
        <f>24*60*SUM($M217:$M217)</f>
        <v>9.6333333326037973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-03-09T07:28:42-0700',mode:absolute,to:'2017-03-09T09:41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7" s="187" t="str">
        <f>IF(AA217&lt;IF(AG217="EC",23,5.65),"Y","N")</f>
        <v>Y</v>
      </c>
      <c r="X217" s="187">
        <f>VALUE(LEFT(AD217,4))-VALUE(LEFT(AD216,4))</f>
        <v>1</v>
      </c>
      <c r="Y217" s="62">
        <f>RIGHT(D217,LEN(D217)-4)/10000</f>
        <v>4.4999999999999998E-2</v>
      </c>
      <c r="Z217" s="62">
        <f>RIGHT(H217,LEN(H217)-4)/10000</f>
        <v>2.4262999999999999</v>
      </c>
      <c r="AA217" s="62">
        <f>ABS(Z217-Y217)</f>
        <v>2.3813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0903-09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/stypes="app*4007*20170309*" /stext=" 15:.+((SYSTEM_STATE.+slice.+state.+changed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2"/>
        <v>"%USERPROFILE%\Documents\GitHub\eaglep3\Utilities\RefineRTDCRunTimes.py" --tripid 903-09 --locoid 4007 --swversion DE.1.0.9.0 --startMP 204:450 --initTime 2017-03-09T08:28:42 --startdatetime 2017-03-09T08:31:34 --delay 1 --endMP 300:24263 --enddatetime 2017-03-09T08:41:12 --enforcementcount 0 &gt;&gt;C:\Users\stu\Documents\GitHub\eaglep3-reporting\EC\2017-03-09-refined-times.txt</v>
      </c>
      <c r="AI217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{"issue":{"subject":"","project_id":79,"tracker_id":40,"status_id":1,"priority_id":2,"assigned_to_id":23,"start_date":"2017-03-09","description":"","custom_fields":[{"id":1,"name":"Subdivision","value":"Other"},{"id":4,"name":"Milepost","value":"2.4263"},{"id":17,"name":"Train ID","value":"903-09"},{"id":16,"name":"Locomotive ID","value":"4007"},{"id":130,"name":"Impact","value":""},{"id":150,"name":"Time of Event (Mountain Time)","value":"08:41:12"},{"id":151,"name":"Denver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4"/>
        <v>start /low /b %USERPROFILE%\Documents\GitHub\eaglep3\Utilities\DownloadLogsFromS3.py --loco 4007 --day 2017-03-09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218" spans="1:40" x14ac:dyDescent="0.25">
      <c r="A218" s="33" t="s">
        <v>595</v>
      </c>
      <c r="B218" s="7">
        <v>4008</v>
      </c>
      <c r="C218" s="21" t="s">
        <v>242</v>
      </c>
      <c r="D218" s="21" t="s">
        <v>991</v>
      </c>
      <c r="E218" s="13">
        <v>42803.635011574072</v>
      </c>
      <c r="F218" s="13">
        <v>42803.638819444444</v>
      </c>
      <c r="G218" s="7">
        <v>5</v>
      </c>
      <c r="H218" s="21" t="s">
        <v>972</v>
      </c>
      <c r="I218" s="13">
        <v>42803.643912037034</v>
      </c>
      <c r="J218" s="7">
        <v>0</v>
      </c>
      <c r="K218" s="98" t="str">
        <f>IF(ISEVEN(B218),(B218-1)&amp;"/"&amp;B218,B218&amp;"/"&amp;(B218+1))</f>
        <v>4007/4008</v>
      </c>
      <c r="L218" s="21" t="str">
        <f>VLOOKUP(A218,'Trips&amp;Operators'!$C$1:$G$99999,5,FALSE)</f>
        <v>STORY SAMANTHA</v>
      </c>
      <c r="M218" s="6">
        <f>I218-F218</f>
        <v>5.0925925897900015E-3</v>
      </c>
      <c r="N218" s="7">
        <f>24*60*SUM($M218:$M218)</f>
        <v>7.3333333292976022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-03-09T14:14:25-0700',mode:absolute,to:'2017-03-09T16:27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187" t="str">
        <f>IF(AA218&lt;IF(AG218="EC",23,5.65),"Y","N")</f>
        <v>Y</v>
      </c>
      <c r="X218" s="187">
        <f>VALUE(LEFT(AD218,4))-VALUE(LEFT(AD217,4))</f>
        <v>1</v>
      </c>
      <c r="Y218" s="62">
        <f>RIGHT(D218,LEN(D218)-4)/10000</f>
        <v>2.3243</v>
      </c>
      <c r="Z218" s="62">
        <f>RIGHT(H218,LEN(H218)-4)/10000</f>
        <v>6.9800000000000001E-2</v>
      </c>
      <c r="AA218" s="62">
        <f>ABS(Z218-Y218)</f>
        <v>2.2545000000000002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0904-09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/stypes="app*4008*20170309*" /stext=" 22:.+((SYSTEM_STATE.+slice.+state.+changed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2"/>
        <v>"%USERPROFILE%\Documents\GitHub\eaglep3\Utilities\RefineRTDCRunTimes.py" --tripid 904-09 --locoid 4008 --swversion DE.1.0.9.0 --startMP 300:23243 --initTime 2017-03-09T15:14:25 --startdatetime 2017-03-09T15:19:54 --delay 5 --endMP 204:698 --enddatetime 2017-03-09T15:27:14 --enforcementcount 0 &gt;&gt;C:\Users\stu\Documents\GitHub\eaglep3-reporting\EC\2017-03-09-refined-times.txt</v>
      </c>
      <c r="AI218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{"issue":{"subject":"","project_id":79,"tracker_id":40,"status_id":1,"priority_id":2,"assigned_to_id":23,"start_date":"2017-03-09","description":"","custom_fields":[{"id":1,"name":"Subdivision","value":"Other"},{"id":4,"name":"Milepost","value":"0.0698"},{"id":17,"name":"Train ID","value":"904-09"},{"id":16,"name":"Locomotive ID","value":"4008"},{"id":130,"name":"Impact","value":""},{"id":150,"name":"Time of Event (Mountain Time)","value":"15:27:14"},{"id":151,"name":"Denver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4"/>
        <v>start /low /b %USERPROFILE%\Documents\GitHub\eaglep3\Utilities\DownloadLogsFromS3.py --loco 4008 --day 2017-03-09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219" spans="1:40" x14ac:dyDescent="0.25">
      <c r="A219" s="33" t="s">
        <v>608</v>
      </c>
      <c r="B219" s="7">
        <v>4008</v>
      </c>
      <c r="C219" s="21" t="s">
        <v>242</v>
      </c>
      <c r="D219" s="21" t="s">
        <v>992</v>
      </c>
      <c r="E219" s="13">
        <v>42803.796793981484</v>
      </c>
      <c r="F219" s="13">
        <v>42803.798182870371</v>
      </c>
      <c r="G219" s="7">
        <v>1</v>
      </c>
      <c r="H219" s="21" t="s">
        <v>993</v>
      </c>
      <c r="I219" s="13">
        <v>42803.809953703705</v>
      </c>
      <c r="J219" s="7">
        <v>0</v>
      </c>
      <c r="K219" s="98" t="str">
        <f>IF(ISEVEN(B219),(B219-1)&amp;"/"&amp;B219,B219&amp;"/"&amp;(B219+1))</f>
        <v>4007/4008</v>
      </c>
      <c r="L219" s="21" t="str">
        <f>VLOOKUP(A219,'Trips&amp;Operators'!$C$1:$G$99999,5,FALSE)</f>
        <v>STORY SAMANTHA</v>
      </c>
      <c r="M219" s="6">
        <f>I219-F219</f>
        <v>1.1770833334594499E-2</v>
      </c>
      <c r="N219" s="7">
        <f>24*60*SUM($M219:$M219)</f>
        <v>16.950000001816079</v>
      </c>
      <c r="O219" s="7"/>
      <c r="P219" s="7"/>
      <c r="Q219" s="22"/>
      <c r="R219" s="22"/>
      <c r="S219" s="31">
        <f>SUM(U219:U219)/IF(AG219="EC",12,1)</f>
        <v>0</v>
      </c>
      <c r="T219" s="46" t="str">
        <f>IF(ISEVEN(LEFT(AD219,4)),"Southbound","NorthBound")</f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-03-09T18:07:23-0700',mode:absolute,to:'2017-03-09T20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7" t="str">
        <f>IF(AA219&lt;IF(AG219="EC",23,5.65),"Y","N")</f>
        <v>Y</v>
      </c>
      <c r="X219" s="187">
        <f>VALUE(LEFT(AD219,4))-VALUE(LEFT(AD218,4))</f>
        <v>2</v>
      </c>
      <c r="Y219" s="62">
        <f>RIGHT(D219,LEN(D219)-4)/10000</f>
        <v>5.8673999999999999</v>
      </c>
      <c r="Z219" s="62">
        <f>RIGHT(H219,LEN(H219)-4)/10000</f>
        <v>2.8795000000000002</v>
      </c>
      <c r="AA219" s="62">
        <f>ABS(Z219-Y219)</f>
        <v>2.9878999999999998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0906-09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/stypes="app*4008*20170310*" /stext=" 02:.+((SYSTEM_STATE.+slice.+state.+changed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2"/>
        <v>"%USERPROFILE%\Documents\GitHub\eaglep3\Utilities\RefineRTDCRunTimes.py" --tripid 906-09 --locoid 4008 --swversion DE.1.0.9.0 --startMP 300:58674 --initTime 2017-03-09T19:07:23 --startdatetime 2017-03-09T19:09:23 --delay 1 --endMP 300:28795 --enddatetime 2017-03-09T19:26:20 --enforcementcount 0 &gt;&gt;C:\Users\stu\Documents\GitHub\eaglep3-reporting\EC\2017-03-09-refined-times.txt</v>
      </c>
      <c r="AI219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{"issue":{"subject":"","project_id":79,"tracker_id":40,"status_id":1,"priority_id":2,"assigned_to_id":23,"start_date":"2017-03-09","description":"","custom_fields":[{"id":1,"name":"Subdivision","value":"Other"},{"id":4,"name":"Milepost","value":"2.8795"},{"id":17,"name":"Train ID","value":"906-09"},{"id":16,"name":"Locomotive ID","value":"4008"},{"id":130,"name":"Impact","value":""},{"id":150,"name":"Time of Event (Mountain Time)","value":"19:26:20"},{"id":151,"name":"Denver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4"/>
        <v>start /low /b %USERPROFILE%\Documents\GitHub\eaglep3\Utilities\DownloadLogsFromS3.py --loco 4008 --day 2017-03-09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220" spans="1:40" x14ac:dyDescent="0.25">
      <c r="A220" s="33" t="s">
        <v>802</v>
      </c>
      <c r="B220" s="7">
        <v>4012</v>
      </c>
      <c r="C220" s="21" t="s">
        <v>242</v>
      </c>
      <c r="D220" s="21" t="s">
        <v>994</v>
      </c>
      <c r="E220" s="13">
        <v>42803.943356481483</v>
      </c>
      <c r="F220" s="13">
        <v>25568.708333333332</v>
      </c>
      <c r="G220" s="7">
        <v>1</v>
      </c>
      <c r="H220" s="21" t="s">
        <v>995</v>
      </c>
      <c r="I220" s="13">
        <v>25568.708333333332</v>
      </c>
      <c r="J220" s="7">
        <v>0</v>
      </c>
      <c r="K220" s="98" t="str">
        <f>IF(ISEVEN(B220),(B220-1)&amp;"/"&amp;B220,B220&amp;"/"&amp;(B220+1))</f>
        <v>4011/4012</v>
      </c>
      <c r="L220" s="21" t="str">
        <f>VLOOKUP(A220,'Trips&amp;Operators'!$C$1:$G$99999,5,FALSE)</f>
        <v>STORY SAMANTHA</v>
      </c>
      <c r="M220" s="6">
        <f>I220-F220</f>
        <v>0</v>
      </c>
      <c r="N220" s="7">
        <f>24*60*SUM($M220:$M220)</f>
        <v>0</v>
      </c>
      <c r="O220" s="7"/>
      <c r="P220" s="7"/>
      <c r="Q220" s="22"/>
      <c r="R220" s="22"/>
      <c r="S220" s="31">
        <f>SUM(U220:U220)/IF(AG220="EC",12,1)</f>
        <v>0</v>
      </c>
      <c r="T220" s="46" t="str">
        <f>IF(ISEVEN(LEFT(AD220,4)),"Southbound","NorthBound")</f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-03-09T21:38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187" t="str">
        <f>IF(AA220&lt;IF(AG220="EC",23,5.65),"Y","N")</f>
        <v>Y</v>
      </c>
      <c r="X220" s="187">
        <f>VALUE(LEFT(AD220,4))-VALUE(LEFT(AD219,4))</f>
        <v>2</v>
      </c>
      <c r="Y220" s="62">
        <f>RIGHT(D220,LEN(D220)-4)/10000</f>
        <v>5.8667999999999996</v>
      </c>
      <c r="Z220" s="62">
        <f>RIGHT(H220,LEN(H220)-4)/10000</f>
        <v>2.1608000000000001</v>
      </c>
      <c r="AA220" s="62">
        <f>ABS(Z220-Y220)</f>
        <v>3.7059999999999995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0908-09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/stypes="app*4012*19700101*" /stext=" 00:.+((SYSTEM_STATE.+slice.+state.+changed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2"/>
        <v>"%USERPROFILE%\Documents\GitHub\eaglep3\Utilities\RefineRTDCRunTimes.py" --tripid 908-09 --locoid 4012 --swversion DE.1.0.9.0 --startMP 300:58668 --initTime 2017-03-09T22:38:26 --startdatetime 1969-12-31T17:00:00 --delay 1 --endMP 300:21608 --enddatetime 1969-12-31T17:00:00 --enforcementcount 0 &gt;&gt;C:\Users\stu\Documents\GitHub\eaglep3-reporting\EC\2017-03-09-refined-times.txt</v>
      </c>
      <c r="AI220" s="108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{"issue":{"subject":"","project_id":79,"tracker_id":40,"status_id":1,"priority_id":2,"assigned_to_id":23,"start_date":"1969-12-31","description":"","custom_fields":[{"id":1,"name":"Subdivision","value":"Other"},{"id":4,"name":"Milepost","value":"2.1608"},{"id":17,"name":"Train ID","value":"908-09"},{"id":16,"name":"Locomotive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4"/>
        <v>start /low /b %USERPROFILE%\Documents\GitHub\eaglep3\Utilities\DownloadLogsFromS3.py --loco 4012 --day 1969-12-31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"%USERPROFILE%\AppData\Local\Temp\OnboardLogs"\RTDC4012\*4012*19700101* | grep -SE "(Enforcement Action)|(\[TIMEOUT)|(CHR.+\|PRM\|1\|D.+(SWITCH|SIGNAL).+UNKNOWN)" - &gt;&gt; 2017-03-09-UncaughtWiMAX.txt</v>
      </c>
    </row>
    <row r="221" spans="1:40" x14ac:dyDescent="0.25">
      <c r="A221" s="33" t="s">
        <v>586</v>
      </c>
      <c r="B221" s="7">
        <v>4023</v>
      </c>
      <c r="C221" s="21" t="s">
        <v>242</v>
      </c>
      <c r="D221" s="21" t="s">
        <v>897</v>
      </c>
      <c r="E221" s="13">
        <v>42803.451354166667</v>
      </c>
      <c r="F221" s="13">
        <v>42803.455405092594</v>
      </c>
      <c r="G221" s="7">
        <v>5</v>
      </c>
      <c r="H221" s="21" t="s">
        <v>898</v>
      </c>
      <c r="I221" s="13">
        <v>42803.460462962961</v>
      </c>
      <c r="J221" s="7">
        <v>0</v>
      </c>
      <c r="K221" s="98" t="str">
        <f>IF(ISEVEN(B221),(B221-1)&amp;"/"&amp;B221,B221&amp;"/"&amp;(B221+1))</f>
        <v>4023/4024</v>
      </c>
      <c r="L221" s="21" t="str">
        <f>VLOOKUP(A221,'Trips&amp;Operators'!$C$1:$G$99999,5,FALSE)</f>
        <v>DE LA ROSA ALEX</v>
      </c>
      <c r="M221" s="6">
        <f>I221-F221</f>
        <v>5.057870366727002E-3</v>
      </c>
      <c r="N221" s="7">
        <f>24*60*SUM($M221:$M221)</f>
        <v>7.2833333280868828</v>
      </c>
      <c r="O221" s="7"/>
      <c r="P221" s="7"/>
      <c r="Q221" s="22"/>
      <c r="R221" s="22"/>
      <c r="S221" s="31">
        <f>SUM(U221:U221)/IF(AG221="EC",12,1)</f>
        <v>0</v>
      </c>
      <c r="T221" s="46" t="e">
        <f>IF(ISEVEN(LEFT(AD221,4)),"Southbound","NorthBound")</f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-03-09T09:49:57-0700',mode:absolute,to:'2017-03-09T12:03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1" s="187" t="str">
        <f>IF(AA221&lt;IF(AG221="EC",23,5.65),"Y","N")</f>
        <v>Y</v>
      </c>
      <c r="X221" s="187" t="e">
        <f>VALUE(LEFT(AD221,4))-VALUE(LEFT(AD220,4))</f>
        <v>#VALUE!</v>
      </c>
      <c r="Y221" s="62">
        <f>RIGHT(D221,LEN(D221)-4)/10000</f>
        <v>2.1926000000000001</v>
      </c>
      <c r="Z221" s="62">
        <f>RIGHT(H221,LEN(H221)-4)/10000</f>
        <v>8.5900000000000004E-2</v>
      </c>
      <c r="AA221" s="62">
        <f>ABS(Z221-Y221)</f>
        <v>2.1067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50-09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s3://rtdc.mdm.uploadarchive.raw/RTDC4023/ "%USERPROFILE%\AppData\Local\Temp\OnboardLogs"\RTDC4023\2017-03-09 --exclude "*" --recursive --include "*20170309*" &amp; "%USERPROFILE%\Documents\GitHub\mrs-test-scripts\Headless Mode &amp; Sideloading\WalkAndUnGZ.bat" "%USERPROFILE%\AppData\Local\Temp\OnboardLogs"\RTDC4023\2017-03-09 &amp; aws s3 cp s3://rtdc.mdm.uploadarchive.raw/RTDC4023/ "%USERPROFILE%\AppData\Local\Temp\OnboardLogs"\RTDC4023\2017-03-10 --exclude "*" --recursive --include "*20170310*" &amp; "%USERPROFILE%\Documents\GitHub\mrs-test-scripts\Headless Mode &amp; Sideloading\WalkAndUnGZ.bat" "%USERPROFILE%\AppData\Local\Temp\OnboardLogs"\RTDC4023\2017-03-10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/stypes="app*4023*20170309*" /stext=" 18:.+((SYSTEM_STATE.+slice.+state.+changed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2"/>
        <v>"%USERPROFILE%\Documents\GitHub\eaglep3\Utilities\RefineRTDCRunTimes.py" --tripid 50-09 --locoid 4023 --swversion DE.1.0.9.0 --startMP 300:21926 --initTime 2017-03-09T10:49:57 --startdatetime 2017-03-09T10:55:47 --delay 5 --endMP 204:859 --enddatetime 2017-03-09T11:03:04 --enforcementcount 0 &gt;&gt;C:\Users\stu\Documents\GitHub\eaglep3-reporting\EC\2017-03-09-refined-times.txt</v>
      </c>
      <c r="AI221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{"issue":{"subject":"","project_id":79,"tracker_id":40,"status_id":1,"priority_id":2,"assigned_to_id":23,"start_date":"2017-03-09","description":"","custom_fields":[{"id":1,"name":"Subdivision","value":"Other"},{"id":4,"name":"Milepost","value":"0.0859"},{"id":17,"name":"Train ID","value":"50-09"},{"id":16,"name":"Locomotive ID","value":"4023"},{"id":130,"name":"Impact","value":""},{"id":150,"name":"Time of Event (Mountain Time)","value":"11:03:04"},{"id":151,"name":"Denver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4"/>
        <v>start /low /b %USERPROFILE%\Documents\GitHub\eaglep3\Utilities\DownloadLogsFromS3.py --loco 4023 --day 2017-03-09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"%USERPROFILE%\AppData\Local\Temp\OnboardLogs"\RTDC4023\*4023*20170309* | grep -SE "(Enforcement Action)|(\[TIMEOUT)|(CHR.+\|PRM\|1\|D.+(SWITCH|SIGNAL).+UNKNOWN)" - &gt;&gt; 2017-03-09-UncaughtWiMAX.txt</v>
      </c>
    </row>
    <row r="222" spans="1:40" x14ac:dyDescent="0.25">
      <c r="A222" s="33" t="s">
        <v>615</v>
      </c>
      <c r="B222" s="7">
        <v>4014</v>
      </c>
      <c r="C222" s="21" t="s">
        <v>242</v>
      </c>
      <c r="D222" s="21" t="s">
        <v>899</v>
      </c>
      <c r="E222" s="13">
        <v>42803.121134259258</v>
      </c>
      <c r="F222" s="13">
        <v>42803.124467592592</v>
      </c>
      <c r="G222" s="7">
        <v>1</v>
      </c>
      <c r="H222" s="21" t="s">
        <v>900</v>
      </c>
      <c r="I222" s="13">
        <v>42803.15047453704</v>
      </c>
      <c r="J222" s="7">
        <v>0</v>
      </c>
      <c r="K222" s="98" t="str">
        <f>IF(ISEVEN(B222),(B222-1)&amp;"/"&amp;B222,B222&amp;"/"&amp;(B222+1))</f>
        <v>4013/4014</v>
      </c>
      <c r="L222" s="21" t="str">
        <f>VLOOKUP(A222,'Trips&amp;Operators'!$C$1:$G$99999,5,FALSE)</f>
        <v>SPECTOR MICHAEL</v>
      </c>
      <c r="M222" s="6">
        <f>I222-F222</f>
        <v>2.6006944448454306E-2</v>
      </c>
      <c r="N222" s="7">
        <f>24*60*SUM($M222:$M222)</f>
        <v>37.4500000057742</v>
      </c>
      <c r="O222" s="7"/>
      <c r="P222" s="7"/>
      <c r="Q222" s="22"/>
      <c r="R222" s="22"/>
      <c r="S222" s="31">
        <f>SUM(U222:U222)/IF(AG222="EC",12,1)</f>
        <v>0</v>
      </c>
      <c r="T222" s="46" t="e">
        <f>IF(ISEVEN(LEFT(AD222,4)),"Southbound","NorthBound")</f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-03-09T01:54:26-0700',mode:absolute,to:'2017-03-09T04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187" t="str">
        <f>IF(AA222&lt;IF(AG222="EC",23,5.65),"Y","N")</f>
        <v>N</v>
      </c>
      <c r="X222" s="187" t="e">
        <f>VALUE(LEFT(AD222,4))-VALUE(LEFT(AD221,4))</f>
        <v>#VALUE!</v>
      </c>
      <c r="Y222" s="62">
        <f>RIGHT(D222,LEN(D222)-4)/10000</f>
        <v>0.1167</v>
      </c>
      <c r="Z222" s="62">
        <f>RIGHT(H222,LEN(H222)-4)/10000</f>
        <v>10.742900000000001</v>
      </c>
      <c r="AA222" s="62">
        <f>ABS(Z222-Y222)</f>
        <v>10.626200000000001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51-09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/stypes="app*4014*20170309*" /stext=" 10:.+((SYSTEM_STATE.+slice.+state.+changed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2"/>
        <v>"%USERPROFILE%\Documents\GitHub\eaglep3\Utilities\RefineRTDCRunTimes.py" --tripid 51-09 --locoid 4014 --swversion DE.1.0.9.0 --startMP 204:1167 --initTime 2017-03-09T02:54:26 --startdatetime 2017-03-09T02:59:14 --delay 1 --endMP 204:107429 --enddatetime 2017-03-09T03:36:41 --enforcementcount 0 &gt;&gt;C:\Users\stu\Documents\GitHub\eaglep3-reporting\EC\2017-03-09-refined-times.txt</v>
      </c>
      <c r="AI222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{"issue":{"subject":"","project_id":79,"tracker_id":40,"status_id":1,"priority_id":2,"assigned_to_id":23,"start_date":"2017-03-09","description":"","custom_fields":[{"id":1,"name":"Subdivision","value":"Other"},{"id":4,"name":"Milepost","value":"10.7429"},{"id":17,"name":"Train ID","value":"51-09"},{"id":16,"name":"Locomotive ID","value":"4014"},{"id":130,"name":"Impact","value":""},{"id":150,"name":"Time of Event (Mountain Time)","value":"03:36:41"},{"id":151,"name":"Denver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4"/>
        <v>start /low /b %USERPROFILE%\Documents\GitHub\eaglep3\Utilities\DownloadLogsFromS3.py --loco 4014 --day 2017-03-09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</row>
    <row r="223" spans="1:40" x14ac:dyDescent="0.25">
      <c r="A223" s="33" t="s">
        <v>574</v>
      </c>
      <c r="B223" s="7">
        <v>4013</v>
      </c>
      <c r="C223" s="21" t="s">
        <v>242</v>
      </c>
      <c r="D223" s="21" t="s">
        <v>901</v>
      </c>
      <c r="E223" s="13">
        <v>42803.152627314812</v>
      </c>
      <c r="F223" s="13">
        <v>42803.155277777776</v>
      </c>
      <c r="G223" s="7">
        <v>1</v>
      </c>
      <c r="H223" s="21" t="s">
        <v>902</v>
      </c>
      <c r="I223" s="13">
        <v>42803.172037037039</v>
      </c>
      <c r="J223" s="7">
        <v>0</v>
      </c>
      <c r="K223" s="98" t="str">
        <f>IF(ISEVEN(B223),(B223-1)&amp;"/"&amp;B223,B223&amp;"/"&amp;(B223+1))</f>
        <v>4013/4014</v>
      </c>
      <c r="L223" s="21" t="str">
        <f>VLOOKUP(A223,'Trips&amp;Operators'!$C$1:$G$99999,5,FALSE)</f>
        <v>SPECTOR MICHAEL</v>
      </c>
      <c r="M223" s="6">
        <f>I223-F223</f>
        <v>1.675925926247146E-2</v>
      </c>
      <c r="N223" s="7">
        <f>24*60*SUM($M223:$M223)</f>
        <v>24.133333337958902</v>
      </c>
      <c r="O223" s="7"/>
      <c r="P223" s="7"/>
      <c r="Q223" s="22"/>
      <c r="R223" s="22"/>
      <c r="S223" s="31">
        <f>SUM(U223:U223)/IF(AG223="EC",12,1)</f>
        <v>0</v>
      </c>
      <c r="T223" s="46" t="e">
        <f>IF(ISEVEN(LEFT(AD223,4)),"Southbound","NorthBound")</f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-03-09T02:39:47-0700',mode:absolute,to:'2017-03-09T05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>IF(AA223&lt;IF(AG223="EC",23,5.65),"Y","N")</f>
        <v>N</v>
      </c>
      <c r="X223" s="187" t="e">
        <f>VALUE(LEFT(AD223,4))-VALUE(LEFT(AD222,4))</f>
        <v>#VALUE!</v>
      </c>
      <c r="Y223" s="62">
        <f>RIGHT(D223,LEN(D223)-4)/10000</f>
        <v>10.7103</v>
      </c>
      <c r="Z223" s="62">
        <f>RIGHT(H223,LEN(H223)-4)/10000</f>
        <v>8.77E-2</v>
      </c>
      <c r="AA223" s="62">
        <f>ABS(Z223-Y223)</f>
        <v>10.6226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52-09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/stypes="app*4013*20170309*" /stext=" 11:.+((SYSTEM_STATE.+slice.+state.+changed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2"/>
        <v>"%USERPROFILE%\Documents\GitHub\eaglep3\Utilities\RefineRTDCRunTimes.py" --tripid 52-09 --locoid 4013 --swversion DE.1.0.9.0 --startMP 204:107103 --initTime 2017-03-09T03:39:47 --startdatetime 2017-03-09T03:43:36 --delay 1 --endMP 204:877 --enddatetime 2017-03-09T04:07:44 --enforcementcount 0 &gt;&gt;C:\Users\stu\Documents\GitHub\eaglep3-reporting\EC\2017-03-09-refined-times.txt</v>
      </c>
      <c r="AI223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{"issue":{"subject":"","project_id":79,"tracker_id":40,"status_id":1,"priority_id":2,"assigned_to_id":23,"start_date":"2017-03-09","description":"","custom_fields":[{"id":1,"name":"Subdivision","value":"Other"},{"id":4,"name":"Milepost","value":"0.0877"},{"id":17,"name":"Train ID","value":"52-09"},{"id":16,"name":"Locomotive ID","value":"4013"},{"id":130,"name":"Impact","value":""},{"id":150,"name":"Time of Event (Mountain Time)","value":"04:07:44"},{"id":151,"name":"Denver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4"/>
        <v>start /low /b %USERPROFILE%\Documents\GitHub\eaglep3\Utilities\DownloadLogsFromS3.py --loco 4013 --day 2017-03-09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</row>
    <row r="224" spans="1:40" x14ac:dyDescent="0.25">
      <c r="A224" s="33" t="s">
        <v>702</v>
      </c>
      <c r="B224" s="7">
        <v>4024</v>
      </c>
      <c r="C224" s="21" t="s">
        <v>242</v>
      </c>
      <c r="D224" s="21" t="s">
        <v>903</v>
      </c>
      <c r="E224" s="13">
        <v>42803.490844907406</v>
      </c>
      <c r="F224" s="13">
        <v>42803.49291666667</v>
      </c>
      <c r="G224" s="7">
        <v>2</v>
      </c>
      <c r="H224" s="21" t="s">
        <v>904</v>
      </c>
      <c r="I224" s="13">
        <v>42803.500104166669</v>
      </c>
      <c r="J224" s="7">
        <v>0</v>
      </c>
      <c r="K224" s="98" t="str">
        <f>IF(ISEVEN(B224),(B224-1)&amp;"/"&amp;B224,B224&amp;"/"&amp;(B224+1))</f>
        <v>4023/4024</v>
      </c>
      <c r="L224" s="21" t="str">
        <f>VLOOKUP(A224,'Trips&amp;Operators'!$C$1:$G$99999,5,FALSE)</f>
        <v>GEBRETEKLE DAGNEW</v>
      </c>
      <c r="M224" s="6">
        <f>I224-F224</f>
        <v>7.1874999994179234E-3</v>
      </c>
      <c r="N224" s="7">
        <f>24*60*SUM($M224:$M224)</f>
        <v>10.34999999916181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-03-09T10:46:49-0700',mode:absolute,to:'2017-03-09T13:00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187" t="str">
        <f>IF(AA224&lt;IF(AG224="EC",23,5.65),"Y","N")</f>
        <v>Y</v>
      </c>
      <c r="X224" s="187" t="e">
        <f>VALUE(LEFT(AD224,4))-VALUE(LEFT(AD223,4))</f>
        <v>#VALUE!</v>
      </c>
      <c r="Y224" s="62">
        <f>RIGHT(D224,LEN(D224)-4)/10000</f>
        <v>0.1181</v>
      </c>
      <c r="Z224" s="62">
        <f>RIGHT(H224,LEN(H224)-4)/10000</f>
        <v>2.4247999999999998</v>
      </c>
      <c r="AA224" s="62">
        <f>ABS(Z224-Y224)</f>
        <v>2.3066999999999998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53-09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s3://rtdc.mdm.uploadarchive.raw/RTDC4024/ "%USERPROFILE%\AppData\Local\Temp\OnboardLogs"\RTDC4024\2017-03-09 --exclude "*" --recursive --include "*20170309*" &amp; "%USERPROFILE%\Documents\GitHub\mrs-test-scripts\Headless Mode &amp; Sideloading\WalkAndUnGZ.bat" "%USERPROFILE%\AppData\Local\Temp\OnboardLogs"\RTDC4024\2017-03-09 &amp; aws s3 cp s3://rtdc.mdm.uploadarchive.raw/RTDC4024/ "%USERPROFILE%\AppData\Local\Temp\OnboardLogs"\RTDC4024\2017-03-10 --exclude "*" --recursive --include "*20170310*" &amp; "%USERPROFILE%\Documents\GitHub\mrs-test-scripts\Headless Mode &amp; Sideloading\WalkAndUnGZ.bat" "%USERPROFILE%\AppData\Local\Temp\OnboardLogs"\RTDC4024\2017-03-10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/stypes="app*4024*20170309*" /stext=" 19:.+((SYSTEM_STATE.+slice.+state.+changed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2"/>
        <v>"%USERPROFILE%\Documents\GitHub\eaglep3\Utilities\RefineRTDCRunTimes.py" --tripid 53-09 --locoid 4024 --swversion DE.1.0.9.0 --startMP 204:1181 --initTime 2017-03-09T11:46:49 --startdatetime 2017-03-09T11:49:48 --delay 2 --endMP 300:24248 --enddatetime 2017-03-09T12:00:09 --enforcementcount 0 &gt;&gt;C:\Users\stu\Documents\GitHub\eaglep3-reporting\EC\2017-03-09-refined-times.txt</v>
      </c>
      <c r="AI224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{"issue":{"subject":"","project_id":79,"tracker_id":40,"status_id":1,"priority_id":2,"assigned_to_id":23,"start_date":"2017-03-09","description":"","custom_fields":[{"id":1,"name":"Subdivision","value":"Other"},{"id":4,"name":"Milepost","value":"2.4248"},{"id":17,"name":"Train ID","value":"53-09"},{"id":16,"name":"Locomotive ID","value":"4024"},{"id":130,"name":"Impact","value":""},{"id":150,"name":"Time of Event (Mountain Time)","value":"12:00:09"},{"id":151,"name":"Denver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4"/>
        <v>start /low /b %USERPROFILE%\Documents\GitHub\eaglep3\Utilities\DownloadLogsFromS3.py --loco 4024 --day 2017-03-09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"%USERPROFILE%\AppData\Local\Temp\OnboardLogs"\RTDC4024\*4024*20170309* | grep -SE "(Enforcement Action)|(\[TIMEOUT)|(CHR.+\|PRM\|1\|D.+(SWITCH|SIGNAL).+UNKNOWN)" - &gt;&gt; 2017-03-09-UncaughtWiMAX.txt</v>
      </c>
    </row>
    <row r="225" spans="1:40" x14ac:dyDescent="0.25">
      <c r="A225" s="33" t="s">
        <v>698</v>
      </c>
      <c r="B225" s="7">
        <v>4041</v>
      </c>
      <c r="C225" s="21" t="s">
        <v>242</v>
      </c>
      <c r="D225" s="21" t="s">
        <v>905</v>
      </c>
      <c r="E225" s="13">
        <v>42803.482777777775</v>
      </c>
      <c r="F225" s="13">
        <v>42803.484247685185</v>
      </c>
      <c r="G225" s="7">
        <v>1</v>
      </c>
      <c r="H225" s="21" t="s">
        <v>906</v>
      </c>
      <c r="I225" s="13">
        <v>42803.488842592589</v>
      </c>
      <c r="J225" s="7">
        <v>0</v>
      </c>
      <c r="K225" s="98" t="str">
        <f>IF(ISEVEN(B225),(B225-1)&amp;"/"&amp;B225,B225&amp;"/"&amp;(B225+1))</f>
        <v>4041/4042</v>
      </c>
      <c r="L225" s="21" t="str">
        <f>VLOOKUP(A225,'Trips&amp;Operators'!$C$1:$G$99999,5,FALSE)</f>
        <v>HELVIE ADAM</v>
      </c>
      <c r="M225" s="6">
        <f>I225-F225</f>
        <v>4.5949074046802707E-3</v>
      </c>
      <c r="N225" s="7">
        <f>24*60*SUM($M225:$M225)</f>
        <v>6.6166666627395898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-03-09T10:35:12-0700',mode:absolute,to:'2017-03-09T12:43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87" t="str">
        <f>IF(AA225&lt;IF(AG225="EC",23,5.65),"Y","N")</f>
        <v>Y</v>
      </c>
      <c r="X225" s="187" t="e">
        <f>VALUE(LEFT(AD225,4))-VALUE(LEFT(AD224,4))</f>
        <v>#VALUE!</v>
      </c>
      <c r="Y225" s="62">
        <f>RIGHT(D225,LEN(D225)-4)/10000</f>
        <v>2.3022</v>
      </c>
      <c r="Z225" s="62">
        <f>RIGHT(H225,LEN(H225)-4)/10000</f>
        <v>1.17E-2</v>
      </c>
      <c r="AA225" s="62">
        <f>ABS(Z225-Y225)</f>
        <v>2.2905000000000002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54-09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 &amp; 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/stypes="app*4041*20170309*" /stext=" 18:.+((SYSTEM_STATE.+slice.+state.+changed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2"/>
        <v>"%USERPROFILE%\Documents\GitHub\eaglep3\Utilities\RefineRTDCRunTimes.py" --tripid 54-09 --locoid 4041 --swversion DE.1.0.9.0 --startMP 300:23022 --initTime 2017-03-09T11:35:12 --startdatetime 2017-03-09T11:37:19 --delay 1 --endMP 204:117 --enddatetime 2017-03-09T11:43:56 --enforcementcount 0 &gt;&gt;C:\Users\stu\Documents\GitHub\eaglep3-reporting\EC\2017-03-09-refined-times.txt</v>
      </c>
      <c r="AI225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{"issue":{"subject":"","project_id":79,"tracker_id":40,"status_id":1,"priority_id":2,"assigned_to_id":23,"start_date":"2017-03-09","description":"","custom_fields":[{"id":1,"name":"Subdivision","value":"Other"},{"id":4,"name":"Milepost","value":"0.0117"},{"id":17,"name":"Train ID","value":"54-09"},{"id":16,"name":"Locomotive ID","value":"4041"},{"id":130,"name":"Impact","value":""},{"id":150,"name":"Time of Event (Mountain Time)","value":"11:43:56"},{"id":151,"name":"Denver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4"/>
        <v>start /low /b %USERPROFILE%\Documents\GitHub\eaglep3\Utilities\DownloadLogsFromS3.py --loco 4041 --day 2017-03-09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2017-03-09-UncaughtWiMAX.txt</v>
      </c>
    </row>
    <row r="226" spans="1:40" x14ac:dyDescent="0.25">
      <c r="A226" s="33" t="s">
        <v>707</v>
      </c>
      <c r="B226" s="7">
        <v>4042</v>
      </c>
      <c r="C226" s="21" t="s">
        <v>242</v>
      </c>
      <c r="D226" s="21" t="s">
        <v>907</v>
      </c>
      <c r="E226" s="13">
        <v>42803.510138888887</v>
      </c>
      <c r="F226" s="13">
        <v>42803.513344907406</v>
      </c>
      <c r="G226" s="7">
        <v>1</v>
      </c>
      <c r="H226" s="21" t="s">
        <v>908</v>
      </c>
      <c r="I226" s="13">
        <v>42803.518275462964</v>
      </c>
      <c r="J226" s="7">
        <v>0</v>
      </c>
      <c r="K226" s="98" t="str">
        <f>IF(ISEVEN(B226),(B226-1)&amp;"/"&amp;B226,B226&amp;"/"&amp;(B226+1))</f>
        <v>4041/4042</v>
      </c>
      <c r="L226" s="21" t="str">
        <f>VLOOKUP(A226,'Trips&amp;Operators'!$C$1:$G$99999,5,FALSE)</f>
        <v>YORK EDGAR</v>
      </c>
      <c r="M226" s="6">
        <f>I226-F226</f>
        <v>4.9305555585306138E-3</v>
      </c>
      <c r="N226" s="7">
        <f>24*60*SUM($M226:$M226)</f>
        <v>7.1000000042840838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-03-09T11:14:36-0700',mode:absolute,to:'2017-03-09T13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187" t="str">
        <f>IF(AA226&lt;IF(AG226="EC",23,5.65),"Y","N")</f>
        <v>Y</v>
      </c>
      <c r="X226" s="187" t="e">
        <f>VALUE(LEFT(AD226,4))-VALUE(LEFT(AD225,4))</f>
        <v>#VALUE!</v>
      </c>
      <c r="Y226" s="62">
        <f>RIGHT(D226,LEN(D226)-4)/10000</f>
        <v>4.1700000000000001E-2</v>
      </c>
      <c r="Z226" s="62">
        <f>RIGHT(H226,LEN(H226)-4)/10000</f>
        <v>2.4241000000000001</v>
      </c>
      <c r="AA226" s="62">
        <f>ABS(Z226-Y226)</f>
        <v>2.3824000000000001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55-09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/stypes="app*4042*20170309*" /stext=" 19:.+((SYSTEM_STATE.+slice.+state.+changed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2"/>
        <v>"%USERPROFILE%\Documents\GitHub\eaglep3\Utilities\RefineRTDCRunTimes.py" --tripid 55-09 --locoid 4042 --swversion DE.1.0.9.0 --startMP 204:417 --initTime 2017-03-09T12:14:36 --startdatetime 2017-03-09T12:19:13 --delay 1 --endMP 300:24241 --enddatetime 2017-03-09T12:26:19 --enforcementcount 0 &gt;&gt;C:\Users\stu\Documents\GitHub\eaglep3-reporting\EC\2017-03-09-refined-times.txt</v>
      </c>
      <c r="AI226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{"issue":{"subject":"","project_id":79,"tracker_id":40,"status_id":1,"priority_id":2,"assigned_to_id":23,"start_date":"2017-03-09","description":"","custom_fields":[{"id":1,"name":"Subdivision","value":"Other"},{"id":4,"name":"Milepost","value":"2.4241"},{"id":17,"name":"Train ID","value":"55-09"},{"id":16,"name":"Locomotive ID","value":"4042"},{"id":130,"name":"Impact","value":""},{"id":150,"name":"Time of Event (Mountain Time)","value":"12:26:19"},{"id":151,"name":"Denver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4"/>
        <v>start /low /b %USERPROFILE%\Documents\GitHub\eaglep3\Utilities\DownloadLogsFromS3.py --loco 4042 --day 2017-03-09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2017-03-09-UncaughtWiMAX.txt</v>
      </c>
    </row>
    <row r="227" spans="1:40" x14ac:dyDescent="0.25">
      <c r="A227" s="33" t="s">
        <v>803</v>
      </c>
      <c r="B227" s="7">
        <v>4063</v>
      </c>
      <c r="C227" s="21" t="s">
        <v>242</v>
      </c>
      <c r="D227" s="21" t="s">
        <v>555</v>
      </c>
      <c r="E227" s="13">
        <v>42804.07303240741</v>
      </c>
      <c r="F227" s="13">
        <v>42804.102129629631</v>
      </c>
      <c r="G227" s="7">
        <v>1</v>
      </c>
      <c r="H227" s="21" t="s">
        <v>909</v>
      </c>
      <c r="I227" s="13">
        <v>42804.111585648148</v>
      </c>
      <c r="J227" s="7">
        <v>0</v>
      </c>
      <c r="K227" s="98" t="str">
        <f>IF(ISEVEN(B227),(B227-1)&amp;"/"&amp;B227,B227&amp;"/"&amp;(B227+1))</f>
        <v>4063/4064</v>
      </c>
      <c r="L227" s="21" t="str">
        <f>VLOOKUP(A227,'Trips&amp;Operators'!$C$1:$G$99999,5,FALSE)</f>
        <v>YANG JAN</v>
      </c>
      <c r="M227" s="6">
        <f>I227-F227</f>
        <v>9.4560185170848854E-3</v>
      </c>
      <c r="N227" s="7">
        <f>24*60*SUM($M227:$M227)</f>
        <v>13.616666664602235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-03-10T00:45:10-0700',mode:absolute,to:'2017-03-10T03:40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87" t="str">
        <f>IF(AA227&lt;IF(AG227="EC",23,5.65),"Y","N")</f>
        <v>N</v>
      </c>
      <c r="X227" s="187" t="e">
        <f>VALUE(LEFT(AD227,4))-VALUE(LEFT(AD226,4))</f>
        <v>#VALUE!</v>
      </c>
      <c r="Y227" s="62">
        <f>RIGHT(D227,LEN(D227)-4)/10000</f>
        <v>0.1002</v>
      </c>
      <c r="Z227" s="62">
        <f>RIGHT(H227,LEN(H227)-4)/10000</f>
        <v>5.8929</v>
      </c>
      <c r="AA227" s="62">
        <f>ABS(Z227-Y227)</f>
        <v>5.7927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57-09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2"/>
        <v>"%USERPROFILE%\Documents\GitHub\eaglep3\Utilities\RefineRTDCRunTimes.py" --tripid 57-09 --locoid 4063 --swversion DE.1.0.9.0 --startMP 204:1002 --initTime 2017-03-10T01:45:10 --startdatetime 2017-03-10T02:27:04 --delay 1 --endMP 300:58929 --enddatetime 2017-03-10T02:40:41 --enforcementcount 0 &gt;&gt;C:\Users\stu\Documents\GitHub\eaglep3-reporting\EC\2017-03-09-refined-times.txt</v>
      </c>
      <c r="AI227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{"issue":{"subject":"","project_id":79,"tracker_id":40,"status_id":1,"priority_id":2,"assigned_to_id":23,"start_date":"2017-03-10","description":"","custom_fields":[{"id":1,"name":"Subdivision","value":"Other"},{"id":4,"name":"Milepost","value":"5.8929"},{"id":17,"name":"Train ID","value":"57-09"},{"id":16,"name":"Locomotive ID","value":"4063"},{"id":130,"name":"Impact","value":""},{"id":150,"name":"Time of Event (Mountain Time)","value":"02:40:41"},{"id":151,"name":"Denver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4"/>
        <v>start /low /b %USERPROFILE%\Documents\GitHub\eaglep3\Utilities\DownloadLogsFromS3.py --loco 4063 --day 2017-03-10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28" spans="1:40" x14ac:dyDescent="0.25">
      <c r="A228" s="33" t="s">
        <v>803</v>
      </c>
      <c r="B228" s="7">
        <v>4063</v>
      </c>
      <c r="C228" s="21" t="s">
        <v>242</v>
      </c>
      <c r="D228" s="21" t="s">
        <v>910</v>
      </c>
      <c r="E228" s="13">
        <v>42804.100474537037</v>
      </c>
      <c r="F228" s="13">
        <v>42804.102129629631</v>
      </c>
      <c r="G228" s="7">
        <v>1</v>
      </c>
      <c r="H228" s="21" t="s">
        <v>911</v>
      </c>
      <c r="I228" s="13">
        <v>42804.111585648148</v>
      </c>
      <c r="J228" s="7">
        <v>0</v>
      </c>
      <c r="K228" s="98" t="str">
        <f>IF(ISEVEN(B228),(B228-1)&amp;"/"&amp;B228,B228&amp;"/"&amp;(B228+1))</f>
        <v>4063/4064</v>
      </c>
      <c r="L228" s="21" t="str">
        <f>VLOOKUP(A228,'Trips&amp;Operators'!$C$1:$G$99999,5,FALSE)</f>
        <v>YANG JAN</v>
      </c>
      <c r="M228" s="6">
        <f>I228-F228</f>
        <v>9.4560185170848854E-3</v>
      </c>
      <c r="N228" s="7">
        <f>24*60*SUM($M228:$M228)</f>
        <v>13.616666664602235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-03-10T01:24:41-0700',mode:absolute,to:'2017-03-10T03:40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187" t="str">
        <f>IF(AA228&lt;IF(AG228="EC",23,5.65),"Y","N")</f>
        <v>N</v>
      </c>
      <c r="X228" s="187" t="e">
        <f>VALUE(LEFT(AD228,4))-VALUE(LEFT(AD227,4))</f>
        <v>#VALUE!</v>
      </c>
      <c r="Y228" s="62">
        <f>RIGHT(D228,LEN(D228)-4)/10000</f>
        <v>0.1021</v>
      </c>
      <c r="Z228" s="62">
        <f>RIGHT(H228,LEN(H228)-4)/10000</f>
        <v>5.8928000000000003</v>
      </c>
      <c r="AA228" s="62">
        <f>ABS(Z228-Y228)</f>
        <v>5.7907000000000002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57-09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2"/>
        <v>"%USERPROFILE%\Documents\GitHub\eaglep3\Utilities\RefineRTDCRunTimes.py" --tripid 57-09 --locoid 4063 --swversion DE.1.0.9.0 --startMP 204:1021 --initTime 2017-03-10T02:24:41 --startdatetime 2017-03-10T02:27:04 --delay 1 --endMP 300:58928 --enddatetime 2017-03-10T02:40:41 --enforcementcount 0 &gt;&gt;C:\Users\stu\Documents\GitHub\eaglep3-reporting\EC\2017-03-09-refined-times.txt</v>
      </c>
      <c r="AI228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{"issue":{"subject":"","project_id":79,"tracker_id":40,"status_id":1,"priority_id":2,"assigned_to_id":23,"start_date":"2017-03-10","description":"","custom_fields":[{"id":1,"name":"Subdivision","value":"Other"},{"id":4,"name":"Milepost","value":"5.8928"},{"id":17,"name":"Train ID","value":"57-09"},{"id":16,"name":"Locomotive ID","value":"4063"},{"id":130,"name":"Impact","value":""},{"id":150,"name":"Time of Event (Mountain Time)","value":"02:40:41"},{"id":151,"name":"Denver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4"/>
        <v>start /low /b %USERPROFILE%\Documents\GitHub\eaglep3\Utilities\DownloadLogsFromS3.py --loco 4063 --day 2017-03-10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29" spans="1:40" x14ac:dyDescent="0.25">
      <c r="A229" s="33" t="s">
        <v>803</v>
      </c>
      <c r="B229" s="7">
        <v>4063</v>
      </c>
      <c r="C229" s="21" t="s">
        <v>242</v>
      </c>
      <c r="D229" s="21" t="s">
        <v>912</v>
      </c>
      <c r="E229" s="13">
        <v>42803.954664351855</v>
      </c>
      <c r="F229" s="13">
        <v>42803.962870370371</v>
      </c>
      <c r="G229" s="7">
        <v>1</v>
      </c>
      <c r="H229" s="21" t="s">
        <v>248</v>
      </c>
      <c r="I229" s="13">
        <v>42803.991678240738</v>
      </c>
      <c r="J229" s="7">
        <v>0</v>
      </c>
      <c r="K229" s="98" t="str">
        <f>IF(ISEVEN(B229),(B229-1)&amp;"/"&amp;B229,B229&amp;"/"&amp;(B229+1))</f>
        <v>4063/4064</v>
      </c>
      <c r="L229" s="21" t="str">
        <f>VLOOKUP(A229,'Trips&amp;Operators'!$C$1:$G$99999,5,FALSE)</f>
        <v>YANG JAN</v>
      </c>
      <c r="M229" s="6">
        <f>I229-F229</f>
        <v>2.880787036701804E-2</v>
      </c>
      <c r="N229" s="7">
        <f>24*60*SUM($M229:$M229)</f>
        <v>41.483333328505978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-03-09T21:54:43-0700',mode:absolute,to:'2017-03-10T00:48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87" t="str">
        <f>IF(AA229&lt;IF(AG229="EC",23,5.65),"Y","N")</f>
        <v>N</v>
      </c>
      <c r="X229" s="187" t="e">
        <f>VALUE(LEFT(AD229,4))-VALUE(LEFT(AD228,4))</f>
        <v>#VALUE!</v>
      </c>
      <c r="Y229" s="62">
        <f>RIGHT(D229,LEN(D229)-4)/10000</f>
        <v>0.1477</v>
      </c>
      <c r="Z229" s="62">
        <f>RIGHT(H229,LEN(H229)-4)/10000</f>
        <v>23.329699999999999</v>
      </c>
      <c r="AA229" s="62">
        <f>ABS(Z229-Y229)</f>
        <v>23.181999999999999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57-09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/stypes="app*4063*20170310*" /stext=" 06:.+((SYSTEM_STATE.+slice.+state.+changed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2"/>
        <v>"%USERPROFILE%\Documents\GitHub\eaglep3\Utilities\RefineRTDCRunTimes.py" --tripid 57-09 --locoid 4063 --swversion DE.1.0.9.0 --startMP 204:1477 --initTime 2017-03-09T22:54:43 --startdatetime 2017-03-09T23:06:32 --delay 1 --endMP 204:233297 --enddatetime 2017-03-09T23:48:01 --enforcementcount 0 &gt;&gt;C:\Users\stu\Documents\GitHub\eaglep3-reporting\EC\2017-03-09-refined-times.txt</v>
      </c>
      <c r="AI229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{"issue":{"subject":"","project_id":79,"tracker_id":40,"status_id":1,"priority_id":2,"assigned_to_id":23,"start_date":"2017-03-09","description":"","custom_fields":[{"id":1,"name":"Subdivision","value":"Other"},{"id":4,"name":"Milepost","value":"23.3297"},{"id":17,"name":"Train ID","value":"57-09"},{"id":16,"name":"Locomotive ID","value":"4063"},{"id":130,"name":"Impact","value":""},{"id":150,"name":"Time of Event (Mountain Time)","value":"23:48:01"},{"id":151,"name":"Denver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4"/>
        <v>start /low /b %USERPROFILE%\Documents\GitHub\eaglep3\Utilities\DownloadLogsFromS3.py --loco 4063 --day 2017-03-09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30" spans="1:40" x14ac:dyDescent="0.25">
      <c r="A230" s="33" t="s">
        <v>803</v>
      </c>
      <c r="B230" s="7">
        <v>4063</v>
      </c>
      <c r="C230" s="21" t="s">
        <v>242</v>
      </c>
      <c r="D230" s="21" t="s">
        <v>217</v>
      </c>
      <c r="E230" s="13">
        <v>42804.042453703703</v>
      </c>
      <c r="F230" s="13">
        <v>42804.075162037036</v>
      </c>
      <c r="G230" s="7">
        <v>1</v>
      </c>
      <c r="H230" s="21" t="s">
        <v>913</v>
      </c>
      <c r="I230" s="13">
        <v>42804.084513888891</v>
      </c>
      <c r="J230" s="7">
        <v>0</v>
      </c>
      <c r="K230" s="98" t="str">
        <f>IF(ISEVEN(B230),(B230-1)&amp;"/"&amp;B230,B230&amp;"/"&amp;(B230+1))</f>
        <v>4063/4064</v>
      </c>
      <c r="L230" s="21" t="str">
        <f>VLOOKUP(A230,'Trips&amp;Operators'!$C$1:$G$99999,5,FALSE)</f>
        <v>YANG JAN</v>
      </c>
      <c r="M230" s="6">
        <f>I230-F230</f>
        <v>9.3518518551718444E-3</v>
      </c>
      <c r="N230" s="7">
        <f>24*60*SUM($M230:$M230)</f>
        <v>13.466666671447456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-03-10T00:01:08-0700',mode:absolute,to:'2017-03-10T03:01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87" t="str">
        <f>IF(AA230&lt;IF(AG230="EC",23,5.65),"Y","N")</f>
        <v>N</v>
      </c>
      <c r="X230" s="187" t="e">
        <f>VALUE(LEFT(AD230,4))-VALUE(LEFT(AD229,4))</f>
        <v>#VALUE!</v>
      </c>
      <c r="Y230" s="62">
        <f>RIGHT(D230,LEN(D230)-4)/10000</f>
        <v>4.5699999999999998E-2</v>
      </c>
      <c r="Z230" s="62">
        <f>RIGHT(H230,LEN(H230)-4)/10000</f>
        <v>5.8917999999999999</v>
      </c>
      <c r="AA230" s="62">
        <f>ABS(Z230-Y230)</f>
        <v>5.8460999999999999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57-09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2"/>
        <v>"%USERPROFILE%\Documents\GitHub\eaglep3\Utilities\RefineRTDCRunTimes.py" --tripid 57-09 --locoid 4063 --swversion DE.1.0.9.0 --startMP 204:457 --initTime 2017-03-10T01:01:08 --startdatetime 2017-03-10T01:48:14 --delay 1 --endMP 300:58918 --enddatetime 2017-03-10T02:01:42 --enforcementcount 0 &gt;&gt;C:\Users\stu\Documents\GitHub\eaglep3-reporting\EC\2017-03-09-refined-times.txt</v>
      </c>
      <c r="AI230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{"issue":{"subject":"","project_id":79,"tracker_id":40,"status_id":1,"priority_id":2,"assigned_to_id":23,"start_date":"2017-03-10","description":"","custom_fields":[{"id":1,"name":"Subdivision","value":"Other"},{"id":4,"name":"Milepost","value":"5.8918"},{"id":17,"name":"Train ID","value":"57-09"},{"id":16,"name":"Locomotive ID","value":"4063"},{"id":130,"name":"Impact","value":""},{"id":150,"name":"Time of Event (Mountain Time)","value":"02:01:42"},{"id":151,"name":"Denver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4"/>
        <v>start /low /b %USERPROFILE%\Documents\GitHub\eaglep3\Utilities\DownloadLogsFromS3.py --loco 4063 --day 2017-03-10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31" spans="1:40" x14ac:dyDescent="0.25">
      <c r="A231" s="33" t="s">
        <v>801</v>
      </c>
      <c r="B231" s="7">
        <v>4064</v>
      </c>
      <c r="C231" s="21" t="s">
        <v>242</v>
      </c>
      <c r="D231" s="21" t="s">
        <v>437</v>
      </c>
      <c r="E231" s="13">
        <v>42803.996655092589</v>
      </c>
      <c r="F231" s="13">
        <v>42804.000347222223</v>
      </c>
      <c r="G231" s="7">
        <v>2</v>
      </c>
      <c r="H231" s="21" t="s">
        <v>914</v>
      </c>
      <c r="I231" s="13">
        <v>42804.036805555559</v>
      </c>
      <c r="J231" s="7">
        <v>0</v>
      </c>
      <c r="K231" s="98" t="str">
        <f>IF(ISEVEN(B231),(B231-1)&amp;"/"&amp;B231,B231&amp;"/"&amp;(B231+1))</f>
        <v>4063/4064</v>
      </c>
      <c r="L231" s="21" t="str">
        <f>VLOOKUP(A231,'Trips&amp;Operators'!$C$1:$G$99999,5,FALSE)</f>
        <v>YANG JAN</v>
      </c>
      <c r="M231" s="6">
        <f>I231-F231</f>
        <v>3.6458333335758653E-2</v>
      </c>
      <c r="N231" s="7">
        <f>24*60*SUM($M231:$M231)</f>
        <v>52.50000000349246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-03-09T22:55:11-0700',mode:absolute,to:'2017-03-10T01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87" t="str">
        <f>IF(AA231&lt;IF(AG231="EC",23,5.65),"Y","N")</f>
        <v>N</v>
      </c>
      <c r="X231" s="187" t="e">
        <f>VALUE(LEFT(AD231,4))-VALUE(LEFT(AD230,4))</f>
        <v>#VALUE!</v>
      </c>
      <c r="Y231" s="62">
        <f>RIGHT(D231,LEN(D231)-4)/10000</f>
        <v>23.297999999999998</v>
      </c>
      <c r="Z231" s="62">
        <f>RIGHT(H231,LEN(H231)-4)/10000</f>
        <v>1.38E-2</v>
      </c>
      <c r="AA231" s="62">
        <f>ABS(Z231-Y231)</f>
        <v>23.284199999999998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58-09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/stypes="app*4064*20170310*" /stext=" 07:.+((SYSTEM_STATE.+slice.+state.+changed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2"/>
        <v>"%USERPROFILE%\Documents\GitHub\eaglep3\Utilities\RefineRTDCRunTimes.py" --tripid 58-09 --locoid 4064 --swversion DE.1.0.9.0 --startMP 204:232980 --initTime 2017-03-09T23:55:11 --startdatetime 2017-03-10T00:00:30 --delay 2 --endMP 204:138 --enddatetime 2017-03-10T00:53:00 --enforcementcount 0 &gt;&gt;C:\Users\stu\Documents\GitHub\eaglep3-reporting\EC\2017-03-09-refined-times.txt</v>
      </c>
      <c r="AI231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{"issue":{"subject":"","project_id":79,"tracker_id":40,"status_id":1,"priority_id":2,"assigned_to_id":23,"start_date":"2017-03-10","description":"","custom_fields":[{"id":1,"name":"Subdivision","value":"Other"},{"id":4,"name":"Milepost","value":"0.0138"},{"id":17,"name":"Train ID","value":"58-09"},{"id":16,"name":"Locomotive ID","value":"4064"},{"id":130,"name":"Impact","value":""},{"id":150,"name":"Time of Event (Mountain Time)","value":"00:53:00"},{"id":151,"name":"Denver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4"/>
        <v>start /low /b %USERPROFILE%\Documents\GitHub\eaglep3\Utilities\DownloadLogsFromS3.py --loco 4064 --day 2017-03-10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2" spans="1:40" x14ac:dyDescent="0.25">
      <c r="A232" s="33" t="s">
        <v>801</v>
      </c>
      <c r="B232" s="7">
        <v>4064</v>
      </c>
      <c r="C232" s="21" t="s">
        <v>242</v>
      </c>
      <c r="D232" s="21" t="s">
        <v>915</v>
      </c>
      <c r="E232" s="13">
        <v>42803.935185185182</v>
      </c>
      <c r="F232" s="13">
        <v>42803.937118055554</v>
      </c>
      <c r="G232" s="7">
        <v>2</v>
      </c>
      <c r="H232" s="21" t="s">
        <v>916</v>
      </c>
      <c r="I232" s="13">
        <v>42803.946828703702</v>
      </c>
      <c r="J232" s="7">
        <v>0</v>
      </c>
      <c r="K232" s="98" t="str">
        <f>IF(ISEVEN(B232),(B232-1)&amp;"/"&amp;B232,B232&amp;"/"&amp;(B232+1))</f>
        <v>4063/4064</v>
      </c>
      <c r="L232" s="21" t="str">
        <f>VLOOKUP(A232,'Trips&amp;Operators'!$C$1:$G$99999,5,FALSE)</f>
        <v>YANG JAN</v>
      </c>
      <c r="M232" s="6">
        <f>I232-F232</f>
        <v>9.710648148029577E-3</v>
      </c>
      <c r="N232" s="7">
        <f>24*60*SUM($M232:$M232)</f>
        <v>13.983333333162591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-03-09T21:26:40-0700',mode:absolute,to:'2017-03-09T23:43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2" s="187" t="str">
        <f>IF(AA232&lt;IF(AG232="EC",23,5.65),"Y","N")</f>
        <v>Y</v>
      </c>
      <c r="X232" s="187" t="e">
        <f>VALUE(LEFT(AD232,4))-VALUE(LEFT(AD231,4))</f>
        <v>#VALUE!</v>
      </c>
      <c r="Y232" s="62">
        <f>RIGHT(D232,LEN(D232)-4)/10000</f>
        <v>2.3153999999999999</v>
      </c>
      <c r="Z232" s="62">
        <f>RIGHT(H232,LEN(H232)-4)/10000</f>
        <v>0.11650000000000001</v>
      </c>
      <c r="AA232" s="62">
        <f>ABS(Z232-Y232)</f>
        <v>2.1989000000000001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58-09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 &amp; 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/stypes="app*4064*20170310*" /stext=" 05:.+((SYSTEM_STATE.+slice.+state.+changed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12"/>
        <v>"%USERPROFILE%\Documents\GitHub\eaglep3\Utilities\RefineRTDCRunTimes.py" --tripid 58-09 --locoid 4064 --swversion DE.1.0.9.0 --startMP 300:23154 --initTime 2017-03-09T22:26:40 --startdatetime 2017-03-09T22:29:27 --delay 2 --endMP 204:1165 --enddatetime 2017-03-09T22:43:26 --enforcementcount 0 &gt;&gt;C:\Users\stu\Documents\GitHub\eaglep3-reporting\EC\2017-03-09-refined-times.txt</v>
      </c>
      <c r="AI232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{"issue":{"subject":"","project_id":79,"tracker_id":40,"status_id":1,"priority_id":2,"assigned_to_id":23,"start_date":"2017-03-09","description":"","custom_fields":[{"id":1,"name":"Subdivision","value":"Other"},{"id":4,"name":"Milepost","value":"0.1165"},{"id":17,"name":"Train ID","value":"58-09"},{"id":16,"name":"Locomotive ID","value":"4064"},{"id":130,"name":"Impact","value":""},{"id":150,"name":"Time of Event (Mountain Time)","value":"22:43:26"},{"id":151,"name":"Denver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4"/>
        <v>start /low /b %USERPROFILE%\Documents\GitHub\eaglep3\Utilities\DownloadLogsFromS3.py --loco 4064 --day 2017-03-09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3" spans="1:40" x14ac:dyDescent="0.25">
      <c r="A233" s="33" t="s">
        <v>801</v>
      </c>
      <c r="B233" s="7">
        <v>4064</v>
      </c>
      <c r="C233" s="21" t="s">
        <v>242</v>
      </c>
      <c r="D233" s="21" t="s">
        <v>470</v>
      </c>
      <c r="E233" s="13">
        <v>42804.060358796298</v>
      </c>
      <c r="F233" s="13">
        <v>42804.088692129626</v>
      </c>
      <c r="G233" s="7">
        <v>1</v>
      </c>
      <c r="H233" s="21" t="s">
        <v>917</v>
      </c>
      <c r="I233" s="13">
        <v>42804.09814814815</v>
      </c>
      <c r="J233" s="7">
        <v>0</v>
      </c>
      <c r="K233" s="98" t="str">
        <f>IF(ISEVEN(B233),(B233-1)&amp;"/"&amp;B233,B233&amp;"/"&amp;(B233+1))</f>
        <v>4063/4064</v>
      </c>
      <c r="L233" s="21" t="str">
        <f>VLOOKUP(A233,'Trips&amp;Operators'!$C$1:$G$99999,5,FALSE)</f>
        <v>YANG JAN</v>
      </c>
      <c r="M233" s="6">
        <f>I233-F233</f>
        <v>9.456018524360843E-3</v>
      </c>
      <c r="N233" s="7">
        <f>24*60*SUM($M233:$M233)</f>
        <v>13.616666675079614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-03-10T00:26:55-0700',mode:absolute,to:'2017-03-10T03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3" s="187" t="str">
        <f>IF(AA233&lt;IF(AG233="EC",23,5.65),"Y","N")</f>
        <v>N</v>
      </c>
      <c r="X233" s="187" t="e">
        <f>VALUE(LEFT(AD233,4))-VALUE(LEFT(AD232,4))</f>
        <v>#VALUE!</v>
      </c>
      <c r="Y233" s="62">
        <f>RIGHT(D233,LEN(D233)-4)/10000</f>
        <v>5.8597999999999999</v>
      </c>
      <c r="Z233" s="62">
        <f>RIGHT(H233,LEN(H233)-4)/10000</f>
        <v>7.1900000000000006E-2</v>
      </c>
      <c r="AA233" s="62">
        <f>ABS(Z233-Y233)</f>
        <v>5.7878999999999996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58-09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12"/>
        <v>"%USERPROFILE%\Documents\GitHub\eaglep3\Utilities\RefineRTDCRunTimes.py" --tripid 58-09 --locoid 4064 --swversion DE.1.0.9.0 --startMP 300:58598 --initTime 2017-03-10T01:26:55 --startdatetime 2017-03-10T02:07:43 --delay 1 --endMP 204:719 --enddatetime 2017-03-10T02:21:20 --enforcementcount 0 &gt;&gt;C:\Users\stu\Documents\GitHub\eaglep3-reporting\EC\2017-03-09-refined-times.txt</v>
      </c>
      <c r="AI233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{"issue":{"subject":"","project_id":79,"tracker_id":40,"status_id":1,"priority_id":2,"assigned_to_id":23,"start_date":"2017-03-10","description":"","custom_fields":[{"id":1,"name":"Subdivision","value":"Other"},{"id":4,"name":"Milepost","value":"0.0719"},{"id":17,"name":"Train ID","value":"58-09"},{"id":16,"name":"Locomotive ID","value":"4064"},{"id":130,"name":"Impact","value":""},{"id":150,"name":"Time of Event (Mountain Time)","value":"02:21:20"},{"id":151,"name":"Denver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4"/>
        <v>start /low /b %USERPROFILE%\Documents\GitHub\eaglep3\Utilities\DownloadLogsFromS3.py --loco 4064 --day 2017-03-10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4" spans="1:40" x14ac:dyDescent="0.25">
      <c r="A234" s="33" t="s">
        <v>801</v>
      </c>
      <c r="B234" s="7">
        <v>4064</v>
      </c>
      <c r="C234" s="21" t="s">
        <v>242</v>
      </c>
      <c r="D234" s="21" t="s">
        <v>918</v>
      </c>
      <c r="E234" s="13">
        <v>42804.085405092592</v>
      </c>
      <c r="F234" s="13">
        <v>42804.114687499998</v>
      </c>
      <c r="G234" s="7">
        <v>2</v>
      </c>
      <c r="H234" s="21" t="s">
        <v>919</v>
      </c>
      <c r="I234" s="13">
        <v>42804.121990740743</v>
      </c>
      <c r="J234" s="7">
        <v>0</v>
      </c>
      <c r="K234" s="98" t="str">
        <f>IF(ISEVEN(B234),(B234-1)&amp;"/"&amp;B234,B234&amp;"/"&amp;(B234+1))</f>
        <v>4063/4064</v>
      </c>
      <c r="L234" s="21" t="str">
        <f>VLOOKUP(A234,'Trips&amp;Operators'!$C$1:$G$99999,5,FALSE)</f>
        <v>YANG JAN</v>
      </c>
      <c r="M234" s="6">
        <f>I234-F234</f>
        <v>7.3032407453865744E-3</v>
      </c>
      <c r="N234" s="7">
        <f>24*60*SUM($M234:$M234)</f>
        <v>10.516666673356667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-03-10T01:02:59-0700',mode:absolute,to:'2017-03-10T03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4" s="187" t="str">
        <f>IF(AA234&lt;IF(AG234="EC",23,5.65),"Y","N")</f>
        <v>N</v>
      </c>
      <c r="X234" s="187" t="e">
        <f>VALUE(LEFT(AD234,4))-VALUE(LEFT(AD233,4))</f>
        <v>#VALUE!</v>
      </c>
      <c r="Y234" s="62">
        <f>RIGHT(D234,LEN(D234)-4)/10000</f>
        <v>5.8611000000000004</v>
      </c>
      <c r="Z234" s="62">
        <f>RIGHT(H234,LEN(H234)-4)/10000</f>
        <v>7.3300000000000004E-2</v>
      </c>
      <c r="AA234" s="62">
        <f>ABS(Z234-Y234)</f>
        <v>5.7878000000000007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58-09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12"/>
        <v>"%USERPROFILE%\Documents\GitHub\eaglep3\Utilities\RefineRTDCRunTimes.py" --tripid 58-09 --locoid 4064 --swversion DE.1.0.9.0 --startMP 300:58611 --initTime 2017-03-10T02:02:59 --startdatetime 2017-03-10T02:45:09 --delay 2 --endMP 204:733 --enddatetime 2017-03-10T02:55:40 --enforcementcount 0 &gt;&gt;C:\Users\stu\Documents\GitHub\eaglep3-reporting\EC\2017-03-09-refined-times.txt</v>
      </c>
      <c r="AI234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{"issue":{"subject":"","project_id":79,"tracker_id":40,"status_id":1,"priority_id":2,"assigned_to_id":23,"start_date":"2017-03-10","description":"","custom_fields":[{"id":1,"name":"Subdivision","value":"Other"},{"id":4,"name":"Milepost","value":"0.0733"},{"id":17,"name":"Train ID","value":"58-09"},{"id":16,"name":"Locomotive ID","value":"4064"},{"id":130,"name":"Impact","value":""},{"id":150,"name":"Time of Event (Mountain Time)","value":"02:55:40"},{"id":151,"name":"Denver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4"/>
        <v>start /low /b %USERPROFILE%\Documents\GitHub\eaglep3\Utilities\DownloadLogsFromS3.py --loco 4064 --day 2017-03-10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5" spans="1:40" x14ac:dyDescent="0.25">
      <c r="A235" s="33" t="s">
        <v>801</v>
      </c>
      <c r="B235" s="7">
        <v>4064</v>
      </c>
      <c r="C235" s="21" t="s">
        <v>242</v>
      </c>
      <c r="D235" s="21" t="s">
        <v>918</v>
      </c>
      <c r="E235" s="13">
        <v>42804.112847222219</v>
      </c>
      <c r="F235" s="13">
        <v>42804.114687499998</v>
      </c>
      <c r="G235" s="7">
        <v>1</v>
      </c>
      <c r="H235" s="21" t="s">
        <v>920</v>
      </c>
      <c r="I235" s="13">
        <v>42804.121990740743</v>
      </c>
      <c r="J235" s="7">
        <v>0</v>
      </c>
      <c r="K235" s="98" t="str">
        <f>IF(ISEVEN(B235),(B235-1)&amp;"/"&amp;B235,B235&amp;"/"&amp;(B235+1))</f>
        <v>4063/4064</v>
      </c>
      <c r="L235" s="21" t="str">
        <f>VLOOKUP(A235,'Trips&amp;Operators'!$C$1:$G$99999,5,FALSE)</f>
        <v>YANG JAN</v>
      </c>
      <c r="M235" s="6">
        <f>I235-F235</f>
        <v>7.3032407453865744E-3</v>
      </c>
      <c r="N235" s="7">
        <f>24*60*SUM($M235:$M235)</f>
        <v>10.516666673356667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-03-10T01:42:30-0700',mode:absolute,to:'2017-03-10T03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5" s="187" t="str">
        <f>IF(AA235&lt;IF(AG235="EC",23,5.65),"Y","N")</f>
        <v>Y</v>
      </c>
      <c r="X235" s="187" t="e">
        <f>VALUE(LEFT(AD235,4))-VALUE(LEFT(AD234,4))</f>
        <v>#VALUE!</v>
      </c>
      <c r="Y235" s="62">
        <f>RIGHT(D235,LEN(D235)-4)/10000</f>
        <v>5.8611000000000004</v>
      </c>
      <c r="Z235" s="62">
        <f>RIGHT(H235,LEN(H235)-4)/10000</f>
        <v>2.8782000000000001</v>
      </c>
      <c r="AA235" s="62">
        <f>ABS(Z235-Y235)</f>
        <v>2.9829000000000003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58-09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12"/>
        <v>"%USERPROFILE%\Documents\GitHub\eaglep3\Utilities\RefineRTDCRunTimes.py" --tripid 58-09 --locoid 4064 --swversion DE.1.0.9.0 --startMP 300:58611 --initTime 2017-03-10T02:42:30 --startdatetime 2017-03-10T02:45:09 --delay 1 --endMP 300:28782 --enddatetime 2017-03-10T02:55:40 --enforcementcount 0 &gt;&gt;C:\Users\stu\Documents\GitHub\eaglep3-reporting\EC\2017-03-09-refined-times.txt</v>
      </c>
      <c r="AI235" s="108" t="str">
        <f t="shared" si="13"/>
        <v>echo {"issue":{"subject":"","project_id":79,"tracker_id":40,"status_id":1,"priority_id":2,"assigned_to_id":23,"start_date":"2017-03-10","description":"","custom_fields":[{"id":1,"name":"Subdivision","value":"Other"},{"id":4,"name":"Milepost","value":"2.8782"},{"id":17,"name":"Train ID","value":"58-09"},{"id":16,"name":"Locomotive ID","value":"4064"},{"id":130,"name":"Impact","value":""},{"id":150,"name":"Time of Event (Mountain Time)","value":"02:55:40"},{"id":151,"name":"Denver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4"/>
        <v>start /low /b %USERPROFILE%\Documents\GitHub\eaglep3\Utilities\DownloadLogsFromS3.py --loco 4064 --day 2017-03-10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6" spans="1:40" x14ac:dyDescent="0.25">
      <c r="A236" s="33" t="s">
        <v>770</v>
      </c>
      <c r="B236" s="7">
        <v>4042</v>
      </c>
      <c r="C236" s="21" t="s">
        <v>242</v>
      </c>
      <c r="D236" s="21" t="s">
        <v>921</v>
      </c>
      <c r="E236" s="13">
        <v>42803.7656712963</v>
      </c>
      <c r="F236" s="13">
        <v>42803.770636574074</v>
      </c>
      <c r="G236" s="7">
        <v>1</v>
      </c>
      <c r="H236" s="21" t="s">
        <v>896</v>
      </c>
      <c r="I236" s="13">
        <v>42803.777361111112</v>
      </c>
      <c r="J236" s="7">
        <v>0</v>
      </c>
      <c r="K236" s="98" t="str">
        <f>IF(ISEVEN(B236),(B236-1)&amp;"/"&amp;B236,B236&amp;"/"&amp;(B236+1))</f>
        <v>4041/4042</v>
      </c>
      <c r="L236" s="21" t="str">
        <f>VLOOKUP(A236,'Trips&amp;Operators'!$C$1:$G$99999,5,FALSE)</f>
        <v>MOSES BRADLEY</v>
      </c>
      <c r="M236" s="6">
        <f>I236-F236</f>
        <v>6.7245370373711921E-3</v>
      </c>
      <c r="N236" s="7">
        <f>24*60*SUM($M236:$M236)</f>
        <v>9.6833333338145167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-03-09T17:22:34-0700',mode:absolute,to:'2017-03-09T19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187" t="str">
        <f>IF(AA236&lt;IF(AG236="EC",23,5.65),"Y","N")</f>
        <v>Y</v>
      </c>
      <c r="X236" s="187" t="e">
        <f>VALUE(LEFT(AD236,4))-VALUE(LEFT(AD235,4))</f>
        <v>#VALUE!</v>
      </c>
      <c r="Y236" s="62">
        <f>RIGHT(D236,LEN(D236)-4)/10000</f>
        <v>0.12089999999999999</v>
      </c>
      <c r="Z236" s="62">
        <f>RIGHT(H236,LEN(H236)-4)/10000</f>
        <v>2.3346</v>
      </c>
      <c r="AA236" s="62">
        <f>ABS(Z236-Y236)</f>
        <v>2.2137000000000002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71-09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/stypes="app*4042*20170310*" /stext=" 01:.+((SYSTEM_STATE.+slice.+state.+changed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12"/>
        <v>"%USERPROFILE%\Documents\GitHub\eaglep3\Utilities\RefineRTDCRunTimes.py" --tripid 71-09 --locoid 4042 --swversion DE.1.0.9.0 --startMP 204:1209 --initTime 2017-03-09T18:22:34 --startdatetime 2017-03-09T18:29:43 --delay 1 --endMP 300:23346 --enddatetime 2017-03-09T18:39:24 --enforcementcount 0 &gt;&gt;C:\Users\stu\Documents\GitHub\eaglep3-reporting\EC\2017-03-09-refined-times.txt</v>
      </c>
      <c r="AI236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{"issue":{"subject":"","project_id":79,"tracker_id":40,"status_id":1,"priority_id":2,"assigned_to_id":23,"start_date":"2017-03-09","description":"","custom_fields":[{"id":1,"name":"Subdivision","value":"Other"},{"id":4,"name":"Milepost","value":"2.3346"},{"id":17,"name":"Train ID","value":"71-09"},{"id":16,"name":"Locomotive ID","value":"4042"},{"id":130,"name":"Impact","value":""},{"id":150,"name":"Time of Event (Mountain Time)","value":"18:39:24"},{"id":151,"name":"Denver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4"/>
        <v>start /low /b %USERPROFILE%\Documents\GitHub\eaglep3\Utilities\DownloadLogsFromS3.py --loco 4042 --day 2017-03-09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"%USERPROFILE%\AppData\Local\Temp\OnboardLogs"\RTDC4042\*4042*20170310* | grep -SE "(Enforcement Action)|(\[TIMEOUT)|(CHR.+\|PRM\|1\|D.+(SWITCH|SIGNAL).+UNKNOWN)" - &gt;&gt; 2017-03-09-UncaughtWiMAX.txt</v>
      </c>
    </row>
    <row r="237" spans="1:40" x14ac:dyDescent="0.25">
      <c r="A237" s="33" t="s">
        <v>761</v>
      </c>
      <c r="B237" s="7">
        <v>4010</v>
      </c>
      <c r="C237" s="21" t="s">
        <v>242</v>
      </c>
      <c r="D237" s="21" t="s">
        <v>922</v>
      </c>
      <c r="E237" s="13">
        <v>42803.738888888889</v>
      </c>
      <c r="F237" s="13">
        <v>42803.740081018521</v>
      </c>
      <c r="G237" s="7">
        <v>1</v>
      </c>
      <c r="H237" s="21">
        <v>8.5347222222222232</v>
      </c>
      <c r="I237" s="13">
        <v>42803.74858796296</v>
      </c>
      <c r="J237" s="7">
        <v>0</v>
      </c>
      <c r="K237" s="98" t="str">
        <f>IF(ISEVEN(B237),(B237-1)&amp;"/"&amp;B237,B237&amp;"/"&amp;(B237+1))</f>
        <v>4009/4010</v>
      </c>
      <c r="L237" s="21" t="str">
        <f>VLOOKUP(A237,'Trips&amp;Operators'!$C$1:$G$99999,5,FALSE)</f>
        <v>PERKINS DARREN</v>
      </c>
      <c r="M237" s="6">
        <f>I237-F237</f>
        <v>8.5069444394321181E-3</v>
      </c>
      <c r="N237" s="7">
        <f>24*60*SUM($M237:$M237)</f>
        <v>12.24999999278225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-03-09T16:44:00-0700',mode:absolute,to:'2017-03-09T18:57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7" s="187" t="str">
        <f>IF(AA237&lt;IF(AG237="EC",23,5.65),"Y","N")</f>
        <v>N</v>
      </c>
      <c r="X237" s="187" t="e">
        <f>VALUE(LEFT(AD237,4))-VALUE(LEFT(AD236,4))</f>
        <v>#VALUE!</v>
      </c>
      <c r="Y237" s="62">
        <f>RIGHT(D237,LEN(D237)-4)/10000</f>
        <v>2.319</v>
      </c>
      <c r="Z237" s="62">
        <f>RIGHT(H237,LEN(H237)-4)/10000</f>
        <v>47222222.222199999</v>
      </c>
      <c r="AA237" s="62">
        <f>ABS(Z237-Y237)</f>
        <v>47222219.903200001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72-09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 &amp; 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/stypes="app*4010*20170310*" /stext=" 00:.+((SYSTEM_STATE.+slice.+state.+changed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12"/>
        <v>"%USERPROFILE%\Documents\GitHub\eaglep3\Utilities\RefineRTDCRunTimes.py" --tripid 72-09 --locoid 4010 --swversion DE.1.0.9.0 --startMP 300:23190 --initTime 2017-03-09T17:44:00 --startdatetime 2017-03-09T17:45:43 --delay 1 --endMP 8.53472222222222 --enddatetime 2017-03-09T17:57:58 --enforcementcount 0 &gt;&gt;C:\Users\stu\Documents\GitHub\eaglep3-reporting\EC\2017-03-09-refined-times.txt</v>
      </c>
      <c r="AI237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47222222.2222"},{"id":17,"name":"Train ID","value":"72-09"},{"id":16,"name":"Locomotive ID","value":"4010"},{"id":130,"name":"Impact","value":""},{"id":150,"name":"Time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14"/>
        <v>start /low /b %USERPROFILE%\Documents\GitHub\eaglep3\Utilities\DownloadLogsFromS3.py --loco 4010 --day 2017-03-09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2017-03-09-UncaughtWiMAX.txt</v>
      </c>
    </row>
    <row r="238" spans="1:40" x14ac:dyDescent="0.25">
      <c r="A238" s="33" t="s">
        <v>756</v>
      </c>
      <c r="B238" s="7">
        <v>4029</v>
      </c>
      <c r="C238" s="21" t="s">
        <v>242</v>
      </c>
      <c r="D238" s="21" t="s">
        <v>923</v>
      </c>
      <c r="E238" s="13">
        <v>42803.727083333331</v>
      </c>
      <c r="F238" s="13">
        <v>42803.728437500002</v>
      </c>
      <c r="G238" s="7">
        <v>1</v>
      </c>
      <c r="H238" s="21" t="s">
        <v>554</v>
      </c>
      <c r="I238" s="13">
        <v>42803.73265046296</v>
      </c>
      <c r="J238" s="7">
        <v>0</v>
      </c>
      <c r="K238" s="98" t="str">
        <f>IF(ISEVEN(B238),(B238-1)&amp;"/"&amp;B238,B238&amp;"/"&amp;(B238+1))</f>
        <v>4029/4030</v>
      </c>
      <c r="L238" s="21" t="str">
        <f>VLOOKUP(A238,'Trips&amp;Operators'!$C$1:$G$99999,5,FALSE)</f>
        <v>BEAM ROSS</v>
      </c>
      <c r="M238" s="6">
        <f>I238-F238</f>
        <v>4.2129629582632333E-3</v>
      </c>
      <c r="N238" s="7">
        <f>24*60*SUM($M238:$M238)</f>
        <v>6.066666659899056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-03-09T16:27:00-0700',mode:absolute,to:'2017-03-09T18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8" s="187" t="str">
        <f>IF(AA238&lt;IF(AG238="EC",23,5.65),"Y","N")</f>
        <v>Y</v>
      </c>
      <c r="X238" s="187" t="e">
        <f>VALUE(LEFT(AD238,4))-VALUE(LEFT(AD237,4))</f>
        <v>#VALUE!</v>
      </c>
      <c r="Y238" s="62">
        <f>RIGHT(D238,LEN(D238)-4)/10000</f>
        <v>0.1138</v>
      </c>
      <c r="Z238" s="62">
        <f>RIGHT(H238,LEN(H238)-4)/10000</f>
        <v>2.3304</v>
      </c>
      <c r="AA238" s="62">
        <f>ABS(Z238-Y238)</f>
        <v>2.2166000000000001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75-09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/stypes="app*4029*20170310*" /stext=" 00:.+((SYSTEM_STATE.+slice.+state.+changed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12"/>
        <v>"%USERPROFILE%\Documents\GitHub\eaglep3\Utilities\RefineRTDCRunTimes.py" --tripid 75-09 --locoid 4029 --swversion DE.1.0.9.0 --startMP 204:1138 --initTime 2017-03-09T17:27:00 --startdatetime 2017-03-09T17:28:57 --delay 1 --endMP 300:23304 --enddatetime 2017-03-09T17:35:01 --enforcementcount 0 &gt;&gt;C:\Users\stu\Documents\GitHub\eaglep3-reporting\EC\2017-03-09-refined-times.txt</v>
      </c>
      <c r="AI238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{"issue":{"subject":"","project_id":79,"tracker_id":40,"status_id":1,"priority_id":2,"assigned_to_id":23,"start_date":"2017-03-09","description":"","custom_fields":[{"id":1,"name":"Subdivision","value":"Other"},{"id":4,"name":"Milepost","value":"2.3304"},{"id":17,"name":"Train ID","value":"75-09"},{"id":16,"name":"Locomotive ID","value":"4029"},{"id":130,"name":"Impact","value":""},{"id":150,"name":"Time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14"/>
        <v>start /low /b %USERPROFILE%\Documents\GitHub\eaglep3\Utilities\DownloadLogsFromS3.py --loco 4029 --day 2017-03-09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2017-03-09-UncaughtWiMAX.txt</v>
      </c>
    </row>
    <row r="239" spans="1:40" x14ac:dyDescent="0.25">
      <c r="A239" s="33" t="s">
        <v>532</v>
      </c>
      <c r="B239" s="7">
        <v>4063</v>
      </c>
      <c r="C239" s="21" t="s">
        <v>242</v>
      </c>
      <c r="D239" s="21" t="s">
        <v>563</v>
      </c>
      <c r="E239" s="13">
        <v>42803.075844907406</v>
      </c>
      <c r="F239" s="13">
        <v>42803.077881944446</v>
      </c>
      <c r="G239" s="7">
        <v>1</v>
      </c>
      <c r="H239" s="21" t="s">
        <v>468</v>
      </c>
      <c r="I239" s="13">
        <v>42803.086539351854</v>
      </c>
      <c r="J239" s="7">
        <v>0</v>
      </c>
      <c r="K239" s="98" t="str">
        <f>IF(ISEVEN(B239),(B239-1)&amp;"/"&amp;B239,B239&amp;"/"&amp;(B239+1))</f>
        <v>4063/4064</v>
      </c>
      <c r="L239" s="21" t="str">
        <f>VLOOKUP(A239,'Trips&amp;Operators'!$C$1:$G$99999,5,FALSE)</f>
        <v>YANG JAN</v>
      </c>
      <c r="M239" s="6">
        <f>I239-F239</f>
        <v>8.6574074084637687E-3</v>
      </c>
      <c r="N239" s="7">
        <f>24*60*SUM($M239:$M239)</f>
        <v>12.466666668187827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-03-09T00:49:13-0700',mode:absolute,to:'2017-03-09T03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9" s="187" t="str">
        <f>IF(AA239&lt;IF(AG239="EC",23,5.65),"Y","N")</f>
        <v>Y</v>
      </c>
      <c r="X239" s="187" t="e">
        <f>VALUE(LEFT(AD239,4))-VALUE(LEFT(AD238,4))</f>
        <v>#VALUE!</v>
      </c>
      <c r="Y239" s="62">
        <f>RIGHT(D239,LEN(D239)-4)/10000</f>
        <v>0.14219999999999999</v>
      </c>
      <c r="Z239" s="62">
        <f>RIGHT(H239,LEN(H239)-4)/10000</f>
        <v>2.3302</v>
      </c>
      <c r="AA239" s="62">
        <f>ABS(Z239-Y239)</f>
        <v>2.1880000000000002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81-08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/stypes="app*4063*20170309*" /stext=" 09:.+((SYSTEM_STATE.+slice.+state.+changed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12"/>
        <v>"%USERPROFILE%\Documents\GitHub\eaglep3\Utilities\RefineRTDCRunTimes.py" --tripid 81-08 --locoid 4063 --swversion DE.1.0.9.0 --startMP 204:1422 --initTime 2017-03-09T01:49:13 --startdatetime 2017-03-09T01:52:09 --delay 1 --endMP 300:23302 --enddatetime 2017-03-09T02:04:37 --enforcementcount 0 &gt;&gt;C:\Users\stu\Documents\GitHub\eaglep3-reporting\EC\2017-03-09-refined-times.txt</v>
      </c>
      <c r="AI239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{"issue":{"subject":"","project_id":79,"tracker_id":40,"status_id":1,"priority_id":2,"assigned_to_id":23,"start_date":"2017-03-09","description":"","custom_fields":[{"id":1,"name":"Subdivision","value":"Other"},{"id":4,"name":"Milepost","value":"2.3302"},{"id":17,"name":"Train ID","value":"81-08"},{"id":16,"name":"Locomotive ID","value":"4063"},{"id":130,"name":"Impact","value":""},{"id":150,"name":"Time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14"/>
        <v>start /low /b %USERPROFILE%\Documents\GitHub\eaglep3\Utilities\DownloadLogsFromS3.py --loco 4063 --day 2017-03-09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2017-03-09-UncaughtWiMAX.txt</v>
      </c>
    </row>
    <row r="240" spans="1:40" x14ac:dyDescent="0.25">
      <c r="A240" s="33" t="s">
        <v>758</v>
      </c>
      <c r="B240" s="7">
        <v>4041</v>
      </c>
      <c r="C240" s="21" t="s">
        <v>242</v>
      </c>
      <c r="D240" s="21" t="s">
        <v>981</v>
      </c>
      <c r="E240" s="13">
        <v>42803.729490740741</v>
      </c>
      <c r="F240" s="13">
        <v>42803.731689814813</v>
      </c>
      <c r="G240" s="7">
        <v>3</v>
      </c>
      <c r="H240" s="21" t="s">
        <v>982</v>
      </c>
      <c r="I240" s="13">
        <v>42803.737893518519</v>
      </c>
      <c r="J240" s="7">
        <v>0</v>
      </c>
      <c r="K240" s="98" t="str">
        <f>IF(ISEVEN(B240),(B240-1)&amp;"/"&amp;B240,B240&amp;"/"&amp;(B240+1))</f>
        <v>4041/4042</v>
      </c>
      <c r="L240" s="21" t="str">
        <f>VLOOKUP(A240,'Trips&amp;Operators'!$C$1:$G$99999,5,FALSE)</f>
        <v>MCREYNOLDS KYLE</v>
      </c>
      <c r="M240" s="6">
        <f>I240-F240</f>
        <v>6.2037037059781142E-3</v>
      </c>
      <c r="N240" s="7">
        <f>24*60*SUM($M240:$M240)</f>
        <v>8.9333333366084844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-03-09T16:30:28-0700',mode:absolute,to:'2017-03-09T18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187" t="str">
        <f>IF(AA240&lt;IF(AG240="EC",23,5.65),"Y","N")</f>
        <v>Y</v>
      </c>
      <c r="X240" s="187" t="e">
        <f>VALUE(LEFT(AD240,4))-VALUE(LEFT(AD239,4))</f>
        <v>#VALUE!</v>
      </c>
      <c r="Y240" s="62">
        <f>RIGHT(D240,LEN(D240)-4)/10000</f>
        <v>2.3492999999999999</v>
      </c>
      <c r="Z240" s="62">
        <f>RIGHT(H240,LEN(H240)-4)/10000</f>
        <v>8.9099999999999999E-2</v>
      </c>
      <c r="AA240" s="62">
        <f>ABS(Z240-Y240)</f>
        <v>2.2601999999999998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86-09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 &amp; 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/stypes="app*4041*20170310*" /stext=" 00:.+((SYSTEM_STATE.+slice.+state.+changed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 t="shared" si="12"/>
        <v>"%USERPROFILE%\Documents\GitHub\eaglep3\Utilities\RefineRTDCRunTimes.py" --tripid 86-09 --locoid 4041 --swversion DE.1.0.9.0 --startMP 300:23493 --initTime 2017-03-09T17:30:28 --startdatetime 2017-03-09T17:33:38 --delay 3 --endMP 204:891 --enddatetime 2017-03-09T17:42:34 --enforcementcount 0 &gt;&gt;C:\Users\stu\Documents\GitHub\eaglep3-reporting\EC\2017-03-09-refined-times.txt</v>
      </c>
      <c r="AI240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{"issue":{"subject":"","project_id":79,"tracker_id":40,"status_id":1,"priority_id":2,"assigned_to_id":23,"start_date":"2017-03-09","description":"","custom_fields":[{"id":1,"name":"Subdivision","value":"Other"},{"id":4,"name":"Milepost","value":"0.0891"},{"id":17,"name":"Train ID","value":"86-09"},{"id":16,"name":"Locomotive ID","value":"4041"},{"id":130,"name":"Impact","value":""},{"id":150,"name":"Time of Event (Mountain Time)","value":"17:42:34"},{"id":151,"name":"Denver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14"/>
        <v>start /low /b %USERPROFILE%\Documents\GitHub\eaglep3\Utilities\DownloadLogsFromS3.py --loco 4041 --day 2017-03-09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"%USERPROFILE%\AppData\Local\Temp\OnboardLogs"\RTDC4041\*4041*20170310* | grep -SE "(Enforcement Action)|(\[TIMEOUT)|(CHR.+\|PRM\|1\|D.+(SWITCH|SIGNAL).+UNKNOWN)" - &gt;&gt; 2017-03-09-UncaughtWiMAX.txt</v>
      </c>
    </row>
    <row r="241" spans="1:40" x14ac:dyDescent="0.25">
      <c r="A241" s="33" t="s">
        <v>682</v>
      </c>
      <c r="B241" s="7">
        <v>4019</v>
      </c>
      <c r="C241" s="21" t="s">
        <v>242</v>
      </c>
      <c r="D241" s="21" t="s">
        <v>983</v>
      </c>
      <c r="E241" s="13">
        <v>42803.429826388892</v>
      </c>
      <c r="F241" s="13">
        <v>42803.431006944447</v>
      </c>
      <c r="G241" s="7">
        <v>1</v>
      </c>
      <c r="H241" s="21" t="s">
        <v>984</v>
      </c>
      <c r="I241" s="13">
        <v>42803.444293981483</v>
      </c>
      <c r="J241" s="7">
        <v>0</v>
      </c>
      <c r="K241" s="98" t="str">
        <f>IF(ISEVEN(B241),(B241-1)&amp;"/"&amp;B241,B241&amp;"/"&amp;(B241+1))</f>
        <v>4019/4020</v>
      </c>
      <c r="L241" s="21" t="str">
        <f>VLOOKUP(A241,'Trips&amp;Operators'!$C$1:$G$99999,5,FALSE)</f>
        <v>YANAI IAN</v>
      </c>
      <c r="M241" s="6">
        <f>I241-F241</f>
        <v>1.3287037036207039E-2</v>
      </c>
      <c r="N241" s="7">
        <f>24*60*SUM($M241:$M241)</f>
        <v>19.133333332138136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-03-09T09:18:57-0700',mode:absolute,to:'2017-03-09T11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1" s="187" t="str">
        <f>IF(AA241&lt;IF(AG241="EC",23,5.65),"Y","N")</f>
        <v>Y</v>
      </c>
      <c r="X241" s="187" t="e">
        <f>VALUE(LEFT(AD241,4))-VALUE(LEFT(AD240,4))</f>
        <v>#VALUE!</v>
      </c>
      <c r="Y241" s="62">
        <f>RIGHT(D241,LEN(D241)-4)/10000</f>
        <v>3.0991</v>
      </c>
      <c r="Z241" s="62">
        <f>RIGHT(H241,LEN(H241)-4)/10000</f>
        <v>0.16880000000000001</v>
      </c>
      <c r="AA241" s="62">
        <f>ABS(Z241-Y241)</f>
        <v>2.9302999999999999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88-09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241" s="82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/stypes="app*4019*20170309*" /stext=" 17:.+((SYSTEM_STATE.+slice.+state.+changed )|(ment ac)|(multiple cpu faults)|(system.+state.+changed )|(\[timeout)|(PRM\|1\|D)|(kpr)|(kdp)|(\|lc)|(penalty))"</v>
      </c>
      <c r="AG241" s="1" t="str">
        <f>IFERROR(IF(VALUE(LEFT(AD241,2))&lt;=2,"EC",IF(OR(VALUE(LEFT(AD241,2))=8,VALUE(LEFT(AD241,2))=18),"NW","Other")),"Other")</f>
        <v>Other</v>
      </c>
      <c r="AH241" s="86" t="str">
        <f t="shared" si="12"/>
        <v>"%USERPROFILE%\Documents\GitHub\eaglep3\Utilities\RefineRTDCRunTimes.py" --tripid 88-09 --locoid 4019 --swversion DE.1.0.9.0 --startMP 300:30991 --initTime 2017-03-09T10:18:57 --startdatetime 2017-03-09T10:20:39 --delay 1 --endMP 204:1688 --enddatetime 2017-03-09T10:39:47 --enforcementcount 0 &gt;&gt;C:\Users\stu\Documents\GitHub\eaglep3-reporting\EC\2017-03-09-refined-times.txt</v>
      </c>
      <c r="AI241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{"issue":{"subject":"","project_id":79,"tracker_id":40,"status_id":1,"priority_id":2,"assigned_to_id":23,"start_date":"2017-03-09","description":"","custom_fields":[{"id":1,"name":"Subdivision","value":"Other"},{"id":4,"name":"Milepost","value":"0.1688"},{"id":17,"name":"Train ID","value":"88-09"},{"id":16,"name":"Locomotive ID","value":"4019"},{"id":130,"name":"Impact","value":""},{"id":150,"name":"Time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14"/>
        <v>start /low /b %USERPROFILE%\Documents\GitHub\eaglep3\Utilities\DownloadLogsFromS3.py --loco 4019 --day 2017-03-09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</row>
    <row r="242" spans="1:40" x14ac:dyDescent="0.25">
      <c r="A242" s="33" t="s">
        <v>682</v>
      </c>
      <c r="B242" s="7">
        <v>4020</v>
      </c>
      <c r="C242" s="21" t="s">
        <v>242</v>
      </c>
      <c r="D242" s="21" t="s">
        <v>985</v>
      </c>
      <c r="E242" s="13">
        <v>42803.421550925923</v>
      </c>
      <c r="F242" s="13">
        <v>42803.431006944447</v>
      </c>
      <c r="G242" s="7">
        <v>1</v>
      </c>
      <c r="H242" s="21" t="s">
        <v>986</v>
      </c>
      <c r="I242" s="13">
        <v>42803.444293981483</v>
      </c>
      <c r="J242" s="7">
        <v>0</v>
      </c>
      <c r="K242" s="98" t="str">
        <f>IF(ISEVEN(B242),(B242-1)&amp;"/"&amp;B242,B242&amp;"/"&amp;(B242+1))</f>
        <v>4019/4020</v>
      </c>
      <c r="L242" s="21" t="str">
        <f>VLOOKUP(A242,'Trips&amp;Operators'!$C$1:$G$99999,5,FALSE)</f>
        <v>YANAI IAN</v>
      </c>
      <c r="M242" s="6">
        <f>I242-F242</f>
        <v>1.3287037036207039E-2</v>
      </c>
      <c r="N242" s="7">
        <f>24*60*SUM($M242:$M242)</f>
        <v>19.133333332138136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-03-09T09:07:02-0700',mode:absolute,to:'2017-03-09T11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2" s="187" t="str">
        <f>IF(AA242&lt;IF(AG242="EC",23,5.65),"Y","N")</f>
        <v>Y</v>
      </c>
      <c r="X242" s="187" t="e">
        <f>VALUE(LEFT(AD242,4))-VALUE(LEFT(AD241,4))</f>
        <v>#VALUE!</v>
      </c>
      <c r="Y242" s="62">
        <f>RIGHT(D242,LEN(D242)-4)/10000</f>
        <v>0.14879999999999999</v>
      </c>
      <c r="Z242" s="62">
        <f>RIGHT(H242,LEN(H242)-4)/10000</f>
        <v>3.1305000000000001</v>
      </c>
      <c r="AA242" s="62">
        <f>ABS(Z242-Y242)</f>
        <v>2.9817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88-09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242" s="82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/stypes="app*4020*20170309*" /stext=" 17:.+((SYSTEM_STATE.+slice.+state.+changed )|(ment ac)|(multiple cpu faults)|(system.+state.+changed )|(\[timeout)|(PRM\|1\|D)|(kpr)|(kdp)|(\|lc)|(penalty))"</v>
      </c>
      <c r="AG242" s="1" t="str">
        <f>IFERROR(IF(VALUE(LEFT(AD242,2))&lt;=2,"EC",IF(OR(VALUE(LEFT(AD242,2))=8,VALUE(LEFT(AD242,2))=18),"NW","Other")),"Other")</f>
        <v>Other</v>
      </c>
      <c r="AH242" s="86" t="str">
        <f t="shared" si="12"/>
        <v>"%USERPROFILE%\Documents\GitHub\eaglep3\Utilities\RefineRTDCRunTimes.py" --tripid 88-09 --locoid 4020 --swversion DE.1.0.9.0 --startMP 204:1488 --initTime 2017-03-09T10:07:02 --startdatetime 2017-03-09T10:20:39 --delay 1 --endMP 300:31305 --enddatetime 2017-03-09T10:39:47 --enforcementcount 0 &gt;&gt;C:\Users\stu\Documents\GitHub\eaglep3-reporting\EC\2017-03-09-refined-times.txt</v>
      </c>
      <c r="AI242" s="108" t="str">
        <f t="shared" si="13"/>
        <v>echo {"issue":{"subject":"","project_id":79,"tracker_id":40,"status_id":1,"priority_id":2,"assigned_to_id":23,"start_date":"2017-03-09","description":"","custom_fields":[{"id":1,"name":"Subdivision","value":"Other"},{"id":4,"name":"Milepost","value":"3.1305"},{"id":17,"name":"Train ID","value":"88-09"},{"id":16,"name":"Locomotive ID","value":"4020"},{"id":130,"name":"Impact","value":""},{"id":150,"name":"Time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14"/>
        <v>start /low /b %USERPROFILE%\Documents\GitHub\eaglep3\Utilities\DownloadLogsFromS3.py --loco 4020 --day 2017-03-09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57">
    <sortState ref="A13:AG257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42">
    <cfRule type="cellIs" dxfId="10" priority="363" operator="equal">
      <formula>"Y"</formula>
    </cfRule>
  </conditionalFormatting>
  <conditionalFormatting sqref="X276:X1048576 X13:X242">
    <cfRule type="cellIs" dxfId="9" priority="346" operator="greaterThan">
      <formula>1</formula>
    </cfRule>
  </conditionalFormatting>
  <conditionalFormatting sqref="X276:X1048576 X12:X242">
    <cfRule type="cellIs" dxfId="8" priority="343" operator="equal">
      <formula>0</formula>
    </cfRule>
  </conditionalFormatting>
  <conditionalFormatting sqref="A13:S242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A7" sqref="A7:L4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18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19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- 2017-03-09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42803.651666666665</v>
      </c>
      <c r="B7" s="30" t="s">
        <v>596</v>
      </c>
      <c r="C7" s="30" t="s">
        <v>597</v>
      </c>
      <c r="D7" s="30" t="s">
        <v>98</v>
      </c>
      <c r="E7" s="30" t="s">
        <v>195</v>
      </c>
      <c r="F7" s="43">
        <v>230</v>
      </c>
      <c r="G7" s="43">
        <v>283</v>
      </c>
      <c r="H7" s="43">
        <v>30935</v>
      </c>
      <c r="I7" s="43">
        <v>31608</v>
      </c>
      <c r="J7" s="30" t="s">
        <v>196</v>
      </c>
      <c r="K7" s="43">
        <v>30830</v>
      </c>
      <c r="L7" s="143" t="s">
        <v>50</v>
      </c>
      <c r="M7" s="144">
        <f>CONVERT((I7-K7)/10000,"mi","ft")*IF(L7="Increasing Mileposts (1)",-1,1)</f>
        <v>-410.78399999999999</v>
      </c>
      <c r="N7" s="145" t="str">
        <f>VLOOKUP(C7,'Trips&amp;Operators'!$C$1:$G$99999,5,FALSE)</f>
        <v>LOCKLEAR TRAVIS</v>
      </c>
      <c r="O7" s="194" t="s">
        <v>445</v>
      </c>
      <c r="P7" s="146"/>
      <c r="Q7" s="30"/>
      <c r="R7" s="89" t="str">
        <f>IF(VLOOKUP(C7,'Train Runs'!$A$13:$AE$9945,1,1)=C7,VLOOKUP(C7,'Train Runs'!$A$13:$AE$9945,31,1),NA())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S7" s="92" t="str">
        <f>IF(VLOOKUP(C7,'Train Runs'!$A$13:$AE$9945,1,1)=C7,VLOOKUP(C7,'Train Runs'!$A$13:$AE$9945,22,1),NA())</f>
        <v>https://d0f6bd738d7f1b3e5a7ca70fe4ff75f0.us-east-1.aws.found.io/app/kibana#/discover/Steve-Slow-Train-Analysis-(2080s-and-2083s)?_g=(refreshInterval:(display:Off,pause:!f,section:0,value:0),time:(from:'2017-03-09T14:23:46-0700',mode:absolute,to:'2017-03-09T17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/stypes="*4044*201703092*" /stext=" 22:.+((SYSTEM_STATE.+slice.+state.+changed )|(ment ac)|(multiple cpu faults)|(system.+state.+changed )|(\[timeout)|(PRM\|1\|D)|(kpr)|(kdp)|(\|lc)|(penalty))"</v>
      </c>
      <c r="U7" s="9" t="str">
        <f>MID(B7,13,4)</f>
        <v>4044</v>
      </c>
      <c r="V7" s="32">
        <f>A7-utc_offset/24</f>
        <v>42803.943333333329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{"issue":{"subject":"","project_id":79,"tracker_id":40,"status_id":1,"priority_id":2,"assigned_to_id":23,"start_date":"2017-03-09","description":"","custom_fields":[{"id":1,"name":"Subdivision","value":"EC"},{"id":4,"name":"Milepost","value":"3.083"},{"id":17,"name":"Train ID","value":"195-09"},{"id":16,"name":"Locomotive ID","value":"4044"},{"id":130,"name":"Impact","value":""},{"id":150,"name":"Time of Event (Mountain Time)","value":"15:38:24"},{"id":151,"name":"Denver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"%USERPROFILE%\AppData\Local\Temp\OnboardLogs"\RTDC4044\*4044*201703092*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"%USERPROFILE%\AppData\Local\Temp\OnboardLogs"\RTDC4044\*4044*201703092* &gt;&gt; 2017-03-09-SliceDisagreementCheck.txt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4044 --day 2017-03-09</v>
      </c>
    </row>
    <row r="8" spans="1:32" s="1" customFormat="1" x14ac:dyDescent="0.25">
      <c r="A8" s="32">
        <v>42803.958958333336</v>
      </c>
      <c r="B8" s="30" t="s">
        <v>418</v>
      </c>
      <c r="C8" s="30" t="s">
        <v>611</v>
      </c>
      <c r="D8" s="30" t="s">
        <v>49</v>
      </c>
      <c r="E8" s="30" t="s">
        <v>195</v>
      </c>
      <c r="F8" s="43">
        <v>0</v>
      </c>
      <c r="G8" s="43">
        <v>68</v>
      </c>
      <c r="H8" s="43">
        <v>31396</v>
      </c>
      <c r="I8" s="43">
        <v>31347</v>
      </c>
      <c r="J8" s="30" t="s">
        <v>196</v>
      </c>
      <c r="K8" s="43">
        <v>30970</v>
      </c>
      <c r="L8" s="143" t="s">
        <v>51</v>
      </c>
      <c r="M8" s="144">
        <f>CONVERT((I8-K8)/10000,"mi","ft")*IF(L8="Increasing Mileposts (1)",-1,1)</f>
        <v>199.05600000000001</v>
      </c>
      <c r="N8" s="145" t="str">
        <f>VLOOKUP(C8,'Trips&amp;Operators'!$C$1:$G$99999,5,FALSE)</f>
        <v>NEWELL JAMES</v>
      </c>
      <c r="O8" s="194" t="s">
        <v>445</v>
      </c>
      <c r="P8" s="146"/>
      <c r="Q8" s="30"/>
      <c r="R8" s="89" t="str">
        <f>IF(VLOOKUP(C8,'Train Runs'!$A$13:$AE$9945,1,1)=C8,VLOOKUP(C8,'Train Runs'!$A$13:$AE$9945,31,1),NA())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S8" s="92" t="str">
        <f>IF(VLOOKUP(C8,'Train Runs'!$A$13:$AE$9945,1,1)=C8,VLOOKUP(C8,'Train Runs'!$A$13:$AE$9945,22,1),NA())</f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/stypes="*4019*201703100*" /stext=" 06:.+((SYSTEM_STATE.+slice.+state.+changed )|(ment ac)|(multiple cpu faults)|(system.+state.+changed )|(\[timeout)|(PRM\|1\|D)|(kpr)|(kdp)|(\|lc)|(penalty))"</v>
      </c>
      <c r="U8" s="9" t="str">
        <f>MID(B8,13,4)</f>
        <v>4019</v>
      </c>
      <c r="V8" s="32">
        <f>A8-utc_offset/24</f>
        <v>42804.250625000001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{"issue":{"subject":"","project_id":79,"tracker_id":40,"status_id":1,"priority_id":2,"assigned_to_id":23,"start_date":"2017-03-09","description":"","custom_fields":[{"id":1,"name":"Subdivision","value":"EC"},{"id":4,"name":"Milepost","value":"3.097"},{"id":17,"name":"Train ID","value":"232-09"},{"id":16,"name":"Locomotive ID","value":"4019"},{"id":130,"name":"Impact","value":""},{"id":150,"name":"Time of Event (Mountain Time)","value":"23:00:54"},{"id":151,"name":"Denver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"%USERPROFILE%\AppData\Local\Temp\OnboardLogs"\RTDC4019\*4019*201703100*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"%USERPROFILE%\AppData\Local\Temp\OnboardLogs"\RTDC4019\*4019*201703100* &gt;&gt; 2017-03-09-SliceDisagreementCheck.txt</v>
      </c>
      <c r="AE8" s="157" t="str">
        <f t="shared" ref="AE8:AE43" si="1">"start /low /b "&amp;dls3logs&amp;" --loco "&amp;U8&amp;" --day "&amp;TEXT(V8,"YYYY-MM-DD")</f>
        <v>start /low /b %USERPROFILE%\Documents\GitHub\eaglep3\Utilities\DownloadLogsFromS3.py --loco 4019 --day 2017-03-10</v>
      </c>
    </row>
    <row r="9" spans="1:32" s="1" customFormat="1" x14ac:dyDescent="0.25">
      <c r="A9" s="32">
        <v>42803.381481481483</v>
      </c>
      <c r="B9" s="30" t="s">
        <v>271</v>
      </c>
      <c r="C9" s="30" t="s">
        <v>583</v>
      </c>
      <c r="D9" s="30" t="s">
        <v>49</v>
      </c>
      <c r="E9" s="30" t="s">
        <v>195</v>
      </c>
      <c r="F9" s="43">
        <v>350</v>
      </c>
      <c r="G9" s="43">
        <v>403</v>
      </c>
      <c r="H9" s="43">
        <v>32553</v>
      </c>
      <c r="I9" s="43">
        <v>33451</v>
      </c>
      <c r="J9" s="30" t="s">
        <v>196</v>
      </c>
      <c r="K9" s="43">
        <v>33137</v>
      </c>
      <c r="L9" s="143" t="s">
        <v>50</v>
      </c>
      <c r="M9" s="144">
        <f>CONVERT((I9-K9)/10000,"mi","ft")*IF(L9="Increasing Mileposts (1)",-1,1)</f>
        <v>-165.79199999999997</v>
      </c>
      <c r="N9" s="145" t="str">
        <f>VLOOKUP(C9,'Trips&amp;Operators'!$C$1:$G$99999,5,FALSE)</f>
        <v>STARKS ANGELINA</v>
      </c>
      <c r="O9" s="194" t="s">
        <v>445</v>
      </c>
      <c r="P9" s="146"/>
      <c r="Q9" s="30"/>
      <c r="R9" s="89" t="str">
        <f>IF(VLOOKUP(C9,'Train Runs'!$A$13:$AE$9945,1,1)=C9,VLOOKUP(C9,'Train Runs'!$A$13:$AE$9945,31,1),NA())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S9" s="92" t="str">
        <f>IF(VLOOKUP(C9,'Train Runs'!$A$13:$AE$9945,1,1)=C9,VLOOKUP(C9,'Train Runs'!$A$13:$AE$9945,22,1),NA())</f>
        <v>https://d0f6bd738d7f1b3e5a7ca70fe4ff75f0.us-east-1.aws.found.io/app/kibana#/discover/Steve-Slow-Train-Analysis-(2080s-and-2083s)?_g=(refreshInterval:(display:Off,pause:!f,section:0,value:0),time:(from:'2017-03-09T07:55:36-0700',mode:absolute,to:'2017-03-09T10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/stypes="*4016*201703091*" /stext=" 16:.+((SYSTEM_STATE.+slice.+state.+changed )|(ment ac)|(multiple cpu faults)|(system.+state.+changed )|(\[timeout)|(PRM\|1\|D)|(kpr)|(kdp)|(\|lc)|(penalty))"</v>
      </c>
      <c r="U9" s="9" t="str">
        <f>MID(B9,13,4)</f>
        <v>4016</v>
      </c>
      <c r="V9" s="32">
        <f>A9-utc_offset/24</f>
        <v>42803.673148148147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{"issue":{"subject":"","project_id":79,"tracker_id":40,"status_id":1,"priority_id":2,"assigned_to_id":23,"start_date":"2017-03-09","description":"","custom_fields":[{"id":1,"name":"Subdivision","value":"EC"},{"id":4,"name":"Milepost","value":"3.3137"},{"id":17,"name":"Train ID","value":"143-09"},{"id":16,"name":"Locomotive ID","value":"4016"},{"id":130,"name":"Impact","value":""},{"id":150,"name":"Time of Event (Mountain Time)","value":"09:09:20"},{"id":151,"name":"Denver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"%USERPROFILE%\AppData\Local\Temp\OnboardLogs"\RTDC4016\*4016*201703091*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"%USERPROFILE%\AppData\Local\Temp\OnboardLogs"\RTDC4016\*4016*201703091* &gt;&gt; 2017-03-09-SliceDisagreementCheck.txt</v>
      </c>
      <c r="AE9" s="157" t="str">
        <f t="shared" si="1"/>
        <v>start /low /b %USERPROFILE%\Documents\GitHub\eaglep3\Utilities\DownloadLogsFromS3.py --loco 4016 --day 2017-03-09</v>
      </c>
    </row>
    <row r="10" spans="1:32" s="1" customFormat="1" x14ac:dyDescent="0.25">
      <c r="A10" s="32">
        <v>42803.278900462959</v>
      </c>
      <c r="B10" s="30" t="s">
        <v>575</v>
      </c>
      <c r="C10" s="30" t="s">
        <v>578</v>
      </c>
      <c r="D10" s="30" t="s">
        <v>49</v>
      </c>
      <c r="E10" s="30" t="s">
        <v>195</v>
      </c>
      <c r="F10" s="43">
        <v>360</v>
      </c>
      <c r="G10" s="43">
        <v>410</v>
      </c>
      <c r="H10" s="43">
        <v>44292</v>
      </c>
      <c r="I10" s="43">
        <v>43013</v>
      </c>
      <c r="J10" s="30" t="s">
        <v>196</v>
      </c>
      <c r="K10" s="43">
        <v>42961</v>
      </c>
      <c r="L10" s="143" t="s">
        <v>51</v>
      </c>
      <c r="M10" s="144">
        <f>CONVERT((I10-K10)/10000,"mi","ft")*IF(L10="Increasing Mileposts (1)",-1,1)</f>
        <v>27.456</v>
      </c>
      <c r="N10" s="145" t="str">
        <f>VLOOKUP(C10,'Trips&amp;Operators'!$C$1:$G$99999,5,FALSE)</f>
        <v>YOUNG ELIZABETH</v>
      </c>
      <c r="O10" s="194" t="s">
        <v>445</v>
      </c>
      <c r="P10" s="146"/>
      <c r="Q10" s="30"/>
      <c r="R10" s="89" t="str">
        <f>IF(VLOOKUP(C10,'Train Runs'!$A$13:$AE$9945,1,1)=C10,VLOOKUP(C10,'Train Runs'!$A$13:$AE$9945,31,1),NA())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10" s="92" t="str">
        <f>IF(VLOOKUP(C10,'Train Runs'!$A$13:$AE$9945,1,1)=C10,VLOOKUP(C10,'Train Runs'!$A$13:$AE$9945,22,1),NA())</f>
        <v>https://d0f6bd738d7f1b3e5a7ca70fe4ff75f0.us-east-1.aws.found.io/app/kibana#/discover/Steve-Slow-Train-Analysis-(2080s-and-2083s)?_g=(refreshInterval:(display:Off,pause:!f,section:0,value:0),time:(from:'2017-03-09T04:57:30-0700',mode:absolute,to:'2017-03-09T07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/stypes="*4021*201703091*" /stext=" 13:.+((SYSTEM_STATE.+slice.+state.+changed )|(ment ac)|(multiple cpu faults)|(system.+state.+changed )|(\[timeout)|(PRM\|1\|D)|(kpr)|(kdp)|(\|lc)|(penalty))"</v>
      </c>
      <c r="U10" s="9" t="str">
        <f>MID(B10,13,4)</f>
        <v>4021</v>
      </c>
      <c r="V10" s="32">
        <f>A10-utc_offset/24</f>
        <v>42803.570567129624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{"issue":{"subject":"","project_id":79,"tracker_id":40,"status_id":1,"priority_id":2,"assigned_to_id":23,"start_date":"2017-03-09","description":"","custom_fields":[{"id":1,"name":"Subdivision","value":"EC"},{"id":4,"name":"Milepost","value":"4.2961"},{"id":17,"name":"Train ID","value":"114-09"},{"id":16,"name":"Locomotive ID","value":"4021"},{"id":130,"name":"Impact","value":""},{"id":150,"name":"Time of Event (Mountain Time)","value":"06:41:37"},{"id":151,"name":"Denver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"%USERPROFILE%\AppData\Local\Temp\OnboardLogs"\RTDC4021\*4021*201703091*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10" s="157" t="str">
        <f t="shared" si="1"/>
        <v>start /low /b %USERPROFILE%\Documents\GitHub\eaglep3\Utilities\DownloadLogsFromS3.py --loco 4021 --day 2017-03-09</v>
      </c>
    </row>
    <row r="11" spans="1:32" s="1" customFormat="1" x14ac:dyDescent="0.25">
      <c r="A11" s="32">
        <v>42803.433518518519</v>
      </c>
      <c r="B11" s="30" t="s">
        <v>272</v>
      </c>
      <c r="C11" s="30" t="s">
        <v>584</v>
      </c>
      <c r="D11" s="30" t="s">
        <v>49</v>
      </c>
      <c r="E11" s="30" t="s">
        <v>195</v>
      </c>
      <c r="F11" s="43">
        <v>540</v>
      </c>
      <c r="G11" s="43">
        <v>602</v>
      </c>
      <c r="H11" s="43">
        <v>44437</v>
      </c>
      <c r="I11" s="43">
        <v>42340</v>
      </c>
      <c r="J11" s="30" t="s">
        <v>196</v>
      </c>
      <c r="K11" s="43">
        <v>42961</v>
      </c>
      <c r="L11" s="143" t="s">
        <v>51</v>
      </c>
      <c r="M11" s="144">
        <f>CONVERT((I11-K11)/10000,"mi","ft")*IF(L11="Increasing Mileposts (1)",-1,1)</f>
        <v>-327.88799999999998</v>
      </c>
      <c r="N11" s="145" t="str">
        <f>VLOOKUP(C11,'Trips&amp;Operators'!$C$1:$G$99999,5,FALSE)</f>
        <v>STARKS ANGELINA</v>
      </c>
      <c r="O11" s="194" t="s">
        <v>445</v>
      </c>
      <c r="P11" s="146"/>
      <c r="Q11" s="30"/>
      <c r="R11" s="89" t="str">
        <f>IF(VLOOKUP(C11,'Train Runs'!$A$13:$AE$9945,1,1)=C11,VLOOKUP(C11,'Train Runs'!$A$13:$AE$9945,31,1),NA())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1" s="92" t="str">
        <f>IF(VLOOKUP(C11,'Train Runs'!$A$13:$AE$9945,1,1)=C11,VLOOKUP(C11,'Train Runs'!$A$13:$AE$9945,22,1),NA())</f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/stypes="*4015*201703091*" /stext=" 17:.+((SYSTEM_STATE.+slice.+state.+changed )|(ment ac)|(multiple cpu faults)|(system.+state.+changed )|(\[timeout)|(PRM\|1\|D)|(kpr)|(kdp)|(\|lc)|(penalty))"</v>
      </c>
      <c r="U11" s="9" t="str">
        <f>MID(B11,13,4)</f>
        <v>4015</v>
      </c>
      <c r="V11" s="32">
        <f>A11-utc_offset/24</f>
        <v>42803.725185185183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{"issue":{"subject":"","project_id":79,"tracker_id":40,"status_id":1,"priority_id":2,"assigned_to_id":23,"start_date":"2017-03-09","description":"","custom_fields":[{"id":1,"name":"Subdivision","value":"EC"},{"id":4,"name":"Milepost","value":"4.2961"},{"id":17,"name":"Train ID","value":"144-09"},{"id":16,"name":"Locomotive ID","value":"4015"},{"id":130,"name":"Impact","value":""},{"id":150,"name":"Time of Event (Mountain Time)","value":"10:24:16"},{"id":151,"name":"Denver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"%USERPROFILE%\AppData\Local\Temp\OnboardLogs"\RTDC4015\*4015*201703091*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11" s="157" t="str">
        <f t="shared" si="1"/>
        <v>start /low /b %USERPROFILE%\Documents\GitHub\eaglep3\Utilities\DownloadLogsFromS3.py --loco 4015 --day 2017-03-09</v>
      </c>
    </row>
    <row r="12" spans="1:32" s="1" customFormat="1" x14ac:dyDescent="0.25">
      <c r="A12" s="32">
        <v>42803.331203703703</v>
      </c>
      <c r="B12" s="30" t="s">
        <v>420</v>
      </c>
      <c r="C12" s="30" t="s">
        <v>580</v>
      </c>
      <c r="D12" s="30" t="s">
        <v>49</v>
      </c>
      <c r="E12" s="30" t="s">
        <v>195</v>
      </c>
      <c r="F12" s="43">
        <v>470</v>
      </c>
      <c r="G12" s="43">
        <v>542</v>
      </c>
      <c r="H12" s="43">
        <v>46615</v>
      </c>
      <c r="I12" s="43">
        <v>48516</v>
      </c>
      <c r="J12" s="30" t="s">
        <v>196</v>
      </c>
      <c r="K12" s="43">
        <v>47866</v>
      </c>
      <c r="L12" s="143" t="s">
        <v>50</v>
      </c>
      <c r="M12" s="144">
        <f>CONVERT((I12-K12)/10000,"mi","ft")*IF(L12="Increasing Mileposts (1)",-1,1)</f>
        <v>-343.2</v>
      </c>
      <c r="N12" s="145" t="str">
        <f>VLOOKUP(C12,'Trips&amp;Operators'!$C$1:$G$99999,5,FALSE)</f>
        <v>COOLAHAN JOHN</v>
      </c>
      <c r="O12" s="194" t="s">
        <v>445</v>
      </c>
      <c r="P12" s="146"/>
      <c r="Q12" s="30"/>
      <c r="R12" s="89" t="str">
        <f>IF(VLOOKUP(C12,'Train Runs'!$A$13:$AE$9945,1,1)=C12,VLOOKUP(C12,'Train Runs'!$A$13:$AE$9945,31,1),NA())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2" s="92" t="str">
        <f>IF(VLOOKUP(C12,'Train Runs'!$A$13:$AE$9945,1,1)=C12,VLOOKUP(C12,'Train Runs'!$A$13:$AE$9945,22,1),NA())</f>
        <v>https://d0f6bd738d7f1b3e5a7ca70fe4ff75f0.us-east-1.aws.found.io/app/kibana#/discover/Steve-Slow-Train-Analysis-(2080s-and-2083s)?_g=(refreshInterval:(display:Off,pause:!f,section:0,value:0),time:(from:'2017-03-09T06:38:07-0700',mode:absolute,to:'2017-03-09T09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/stypes="*4003*201703091*" /stext=" 14:.+((SYSTEM_STATE.+slice.+state.+changed )|(ment ac)|(multiple cpu faults)|(system.+state.+changed )|(\[timeout)|(PRM\|1\|D)|(kpr)|(kdp)|(\|lc)|(penalty))"</v>
      </c>
      <c r="U12" s="9" t="str">
        <f>MID(B12,13,4)</f>
        <v>4003</v>
      </c>
      <c r="V12" s="32">
        <f>A12-utc_offset/24</f>
        <v>42803.622870370367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{"issue":{"subject":"","project_id":79,"tracker_id":40,"status_id":1,"priority_id":2,"assigned_to_id":23,"start_date":"2017-03-09","description":"","custom_fields":[{"id":1,"name":"Subdivision","value":"EC"},{"id":4,"name":"Milepost","value":"4.7866"},{"id":17,"name":"Train ID","value":"133-09"},{"id":16,"name":"Locomotive ID","value":"4003"},{"id":130,"name":"Impact","value":""},{"id":150,"name":"Time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"%USERPROFILE%\AppData\Local\Temp\OnboardLogs"\RTDC4003\*4003*201703091*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"%USERPROFILE%\AppData\Local\Temp\OnboardLogs"\RTDC4003\*4003*201703091* &gt;&gt; 2017-03-09-SliceDisagreementCheck.txt</v>
      </c>
      <c r="AE12" s="157" t="str">
        <f t="shared" si="1"/>
        <v>start /low /b %USERPROFILE%\Documents\GitHub\eaglep3\Utilities\DownloadLogsFromS3.py --loco 4003 --day 2017-03-09</v>
      </c>
    </row>
    <row r="13" spans="1:32" s="1" customFormat="1" x14ac:dyDescent="0.25">
      <c r="A13" s="32">
        <v>42803.552627314813</v>
      </c>
      <c r="B13" s="30" t="s">
        <v>420</v>
      </c>
      <c r="C13" s="30" t="s">
        <v>591</v>
      </c>
      <c r="D13" s="30" t="s">
        <v>49</v>
      </c>
      <c r="E13" s="30" t="s">
        <v>195</v>
      </c>
      <c r="F13" s="43">
        <v>20</v>
      </c>
      <c r="G13" s="43">
        <v>83</v>
      </c>
      <c r="H13" s="43">
        <v>62993</v>
      </c>
      <c r="I13" s="43">
        <v>63137</v>
      </c>
      <c r="J13" s="30" t="s">
        <v>196</v>
      </c>
      <c r="K13" s="43">
        <v>63069</v>
      </c>
      <c r="L13" s="143" t="s">
        <v>50</v>
      </c>
      <c r="M13" s="144">
        <f>CONVERT((I13-K13)/10000,"mi","ft")*IF(L13="Increasing Mileposts (1)",-1,1)</f>
        <v>-35.904000000000003</v>
      </c>
      <c r="N13" s="145" t="str">
        <f>VLOOKUP(C13,'Trips&amp;Operators'!$C$1:$G$99999,5,FALSE)</f>
        <v>STRICKLAND EVAN</v>
      </c>
      <c r="O13" s="194" t="s">
        <v>445</v>
      </c>
      <c r="P13" s="146"/>
      <c r="Q13" s="30"/>
      <c r="R13" s="89" t="str">
        <f>IF(VLOOKUP(C13,'Train Runs'!$A$13:$AE$9945,1,1)=C13,VLOOKUP(C13,'Train Runs'!$A$13:$AE$9945,31,1),NA())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3" s="92" t="str">
        <f>IF(VLOOKUP(C13,'Train Runs'!$A$13:$AE$9945,1,1)=C13,VLOOKUP(C13,'Train Runs'!$A$13:$AE$9945,22,1),NA())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13" s="9" t="str">
        <f>MID(B13,13,4)</f>
        <v>4003</v>
      </c>
      <c r="V13" s="32">
        <f>A13-utc_offset/24</f>
        <v>42803.844293981478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{"issue":{"subject":"","project_id":79,"tracker_id":40,"status_id":1,"priority_id":2,"assigned_to_id":23,"start_date":"2017-03-09","description":"","custom_fields":[{"id":1,"name":"Subdivision","value":"EC"},{"id":4,"name":"Milepost","value":"6.3069"},{"id":17,"name":"Train ID","value":"175-09"},{"id":16,"name":"Locomotive ID","value":"4003"},{"id":130,"name":"Impact","value":""},{"id":150,"name":"Time of Event (Mountain Time)","value":"13:15:47"},{"id":151,"name":"Denver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"%USERPROFILE%\AppData\Local\Temp\OnboardLogs"\RTDC4003\*4003*201703092*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13" s="157" t="str">
        <f t="shared" si="1"/>
        <v>start /low /b %USERPROFILE%\Documents\GitHub\eaglep3\Utilities\DownloadLogsFromS3.py --loco 4003 --day 2017-03-09</v>
      </c>
    </row>
    <row r="14" spans="1:32" x14ac:dyDescent="0.25">
      <c r="A14" s="32">
        <v>42803.552106481482</v>
      </c>
      <c r="B14" s="30" t="s">
        <v>420</v>
      </c>
      <c r="C14" s="30" t="s">
        <v>591</v>
      </c>
      <c r="D14" s="30" t="s">
        <v>49</v>
      </c>
      <c r="E14" s="30" t="s">
        <v>195</v>
      </c>
      <c r="F14" s="43">
        <v>410</v>
      </c>
      <c r="G14" s="43">
        <v>541</v>
      </c>
      <c r="H14" s="43">
        <v>60758</v>
      </c>
      <c r="I14" s="43">
        <v>62870</v>
      </c>
      <c r="J14" s="30" t="s">
        <v>196</v>
      </c>
      <c r="K14" s="43">
        <v>63069</v>
      </c>
      <c r="L14" s="143" t="s">
        <v>50</v>
      </c>
      <c r="M14" s="144">
        <f>CONVERT((I14-K14)/10000,"mi","ft")*IF(L14="Increasing Mileposts (1)",-1,1)</f>
        <v>105.072</v>
      </c>
      <c r="N14" s="145" t="str">
        <f>VLOOKUP(C14,'Trips&amp;Operators'!$C$1:$G$99999,5,FALSE)</f>
        <v>STRICKLAND EVAN</v>
      </c>
      <c r="O14" s="194" t="s">
        <v>445</v>
      </c>
      <c r="P14" s="146"/>
      <c r="Q14" s="30"/>
      <c r="R14" s="89" t="str">
        <f>IF(VLOOKUP(C14,'Train Runs'!$A$13:$AE$9945,1,1)=C14,VLOOKUP(C14,'Train Runs'!$A$13:$AE$9945,31,1),NA())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4" s="92" t="str">
        <f>IF(VLOOKUP(C14,'Train Runs'!$A$13:$AE$9945,1,1)=C14,VLOOKUP(C14,'Train Runs'!$A$13:$AE$9945,22,1),NA())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14" s="9" t="str">
        <f>MID(B14,13,4)</f>
        <v>4003</v>
      </c>
      <c r="V14" s="32">
        <f>A14-utc_offset/24</f>
        <v>42803.843773148146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{"issue":{"subject":"","project_id":79,"tracker_id":40,"status_id":1,"priority_id":2,"assigned_to_id":23,"start_date":"2017-03-09","description":"","custom_fields":[{"id":1,"name":"Subdivision","value":"EC"},{"id":4,"name":"Milepost","value":"6.3069"},{"id":17,"name":"Train ID","value":"175-09"},{"id":16,"name":"Locomotive ID","value":"4003"},{"id":130,"name":"Impact","value":""},{"id":150,"name":"Time of Event (Mountain Time)","value":"13:15:02"},{"id":151,"name":"Denver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"%USERPROFILE%\AppData\Local\Temp\OnboardLogs"\RTDC4003\*4003*201703092*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14" s="157" t="str">
        <f t="shared" si="1"/>
        <v>start /low /b %USERPROFILE%\Documents\GitHub\eaglep3\Utilities\DownloadLogsFromS3.py --loco 4003 --day 2017-03-09</v>
      </c>
      <c r="AF14" s="1"/>
    </row>
    <row r="15" spans="1:32" x14ac:dyDescent="0.25">
      <c r="A15" s="32">
        <v>42804.015011574076</v>
      </c>
      <c r="B15" s="30" t="s">
        <v>602</v>
      </c>
      <c r="C15" s="30" t="s">
        <v>613</v>
      </c>
      <c r="D15" s="30" t="s">
        <v>98</v>
      </c>
      <c r="E15" s="30" t="s">
        <v>195</v>
      </c>
      <c r="F15" s="43">
        <v>0</v>
      </c>
      <c r="G15" s="43">
        <v>84</v>
      </c>
      <c r="H15" s="43">
        <v>63309</v>
      </c>
      <c r="I15" s="43">
        <v>63220</v>
      </c>
      <c r="J15" s="30" t="s">
        <v>196</v>
      </c>
      <c r="K15" s="43">
        <v>63309</v>
      </c>
      <c r="L15" s="143" t="s">
        <v>51</v>
      </c>
      <c r="M15" s="144">
        <f>CONVERT((I15-K15)/10000,"mi","ft")*IF(L15="Increasing Mileposts (1)",-1,1)</f>
        <v>-46.991999999999997</v>
      </c>
      <c r="N15" s="145" t="str">
        <f>VLOOKUP(C15,'Trips&amp;Operators'!$C$1:$G$99999,5,FALSE)</f>
        <v>CHANDLER KELVIN</v>
      </c>
      <c r="O15" s="194" t="s">
        <v>445</v>
      </c>
      <c r="P15" s="146"/>
      <c r="Q15" s="30"/>
      <c r="R15" s="89" t="str">
        <f>IF(VLOOKUP(C15,'Train Runs'!$A$13:$AE$9945,1,1)=C15,VLOOKUP(C15,'Train Runs'!$A$13:$AE$9945,31,1),NA())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S15" s="92" t="str">
        <f>IF(VLOOKUP(C15,'Train Runs'!$A$13:$AE$9945,1,1)=C15,VLOOKUP(C15,'Train Runs'!$A$13:$AE$9945,22,1),NA())</f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/stypes="*4043*201703100*" /stext=" 07:.+((SYSTEM_STATE.+slice.+state.+changed )|(ment ac)|(multiple cpu faults)|(system.+state.+changed )|(\[timeout)|(PRM\|1\|D)|(kpr)|(kdp)|(\|lc)|(penalty))"</v>
      </c>
      <c r="U15" s="9" t="str">
        <f>MID(B15,13,4)</f>
        <v>4043</v>
      </c>
      <c r="V15" s="32">
        <f>A15-utc_offset/24</f>
        <v>42804.30667824074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{"issue":{"subject":"","project_id":79,"tracker_id":40,"status_id":1,"priority_id":2,"assigned_to_id":23,"start_date":"2017-03-10","description":"","custom_fields":[{"id":1,"name":"Subdivision","value":"EC"},{"id":4,"name":"Milepost","value":"6.3309"},{"id":17,"name":"Train ID","value":"238-09"},{"id":16,"name":"Locomotive ID","value":"4043"},{"id":130,"name":"Impact","value":""},{"id":150,"name":"Time of Event (Mountain Time)","value":"00:21:37"},{"id":151,"name":"Denver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"%USERPROFILE%\AppData\Local\Temp\OnboardLogs"\RTDC4043\*4043*201703100*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"%USERPROFILE%\AppData\Local\Temp\OnboardLogs"\RTDC4043\*4043*201703100* &gt;&gt; 2017-03-09-SliceDisagreementCheck.txt</v>
      </c>
      <c r="AE15" s="157" t="str">
        <f t="shared" si="1"/>
        <v>start /low /b %USERPROFILE%\Documents\GitHub\eaglep3\Utilities\DownloadLogsFromS3.py --loco 4043 --day 2017-03-10</v>
      </c>
      <c r="AF15" s="1"/>
    </row>
    <row r="16" spans="1:32" x14ac:dyDescent="0.25">
      <c r="A16" s="32">
        <v>42803.54650462963</v>
      </c>
      <c r="B16" s="30" t="s">
        <v>502</v>
      </c>
      <c r="C16" s="30" t="s">
        <v>588</v>
      </c>
      <c r="D16" s="30" t="s">
        <v>49</v>
      </c>
      <c r="E16" s="30" t="s">
        <v>195</v>
      </c>
      <c r="F16" s="43">
        <v>80</v>
      </c>
      <c r="G16" s="43">
        <v>136</v>
      </c>
      <c r="H16" s="43">
        <v>64002</v>
      </c>
      <c r="I16" s="43">
        <v>63748</v>
      </c>
      <c r="J16" s="30" t="s">
        <v>196</v>
      </c>
      <c r="K16" s="43">
        <v>63309</v>
      </c>
      <c r="L16" s="143" t="s">
        <v>51</v>
      </c>
      <c r="M16" s="144">
        <f>CONVERT((I16-K16)/10000,"mi","ft")*IF(L16="Increasing Mileposts (1)",-1,1)</f>
        <v>231.792</v>
      </c>
      <c r="N16" s="145" t="str">
        <f>VLOOKUP(C16,'Trips&amp;Operators'!$C$1:$G$99999,5,FALSE)</f>
        <v>SMITH MICHAEL</v>
      </c>
      <c r="O16" s="194" t="s">
        <v>445</v>
      </c>
      <c r="P16" s="146"/>
      <c r="Q16" s="30"/>
      <c r="R16" s="89" t="str">
        <f>IF(VLOOKUP(C16,'Train Runs'!$A$13:$AE$9945,1,1)=C16,VLOOKUP(C16,'Train Runs'!$A$13:$AE$9945,31,1),NA())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16" s="92" t="str">
        <f>IF(VLOOKUP(C16,'Train Runs'!$A$13:$AE$9945,1,1)=C16,VLOOKUP(C16,'Train Runs'!$A$13:$AE$9945,22,1),NA())</f>
        <v>https://d0f6bd738d7f1b3e5a7ca70fe4ff75f0.us-east-1.aws.found.io/app/kibana#/discover/Steve-Slow-Train-Analysis-(2080s-and-2083s)?_g=(refreshInterval:(display:Off,pause:!f,section:0,value:0),time:(from:'2017-03-09T11:35:18-0700',mode:absolute,to:'2017-03-09T14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/stypes="*4039*201703092*" /stext=" 20:.+((SYSTEM_STATE.+slice.+state.+changed )|(ment ac)|(multiple cpu faults)|(system.+state.+changed )|(\[timeout)|(PRM\|1\|D)|(kpr)|(kdp)|(\|lc)|(penalty))"</v>
      </c>
      <c r="U16" s="9" t="str">
        <f>MID(B16,13,4)</f>
        <v>4039</v>
      </c>
      <c r="V16" s="32">
        <f>A16-utc_offset/24</f>
        <v>42803.838171296295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{"issue":{"subject":"","project_id":79,"tracker_id":40,"status_id":1,"priority_id":2,"assigned_to_id":23,"start_date":"2017-03-09","description":"","custom_fields":[{"id":1,"name":"Subdivision","value":"EC"},{"id":4,"name":"Milepost","value":"6.3309"},{"id":17,"name":"Train ID","value":"166-09"},{"id":16,"name":"Locomotive ID","value":"4039"},{"id":130,"name":"Impact","value":""},{"id":150,"name":"Time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"%USERPROFILE%\AppData\Local\Temp\OnboardLogs"\RTDC4039\*4039*201703092*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"%USERPROFILE%\AppData\Local\Temp\OnboardLogs"\RTDC4039\*4039*201703092* &gt;&gt; 2017-03-09-SliceDisagreementCheck.txt</v>
      </c>
      <c r="AE16" s="157" t="str">
        <f t="shared" si="1"/>
        <v>start /low /b %USERPROFILE%\Documents\GitHub\eaglep3\Utilities\DownloadLogsFromS3.py --loco 4039 --day 2017-03-09</v>
      </c>
      <c r="AF16" s="1"/>
    </row>
    <row r="17" spans="1:32" x14ac:dyDescent="0.25">
      <c r="A17" s="32">
        <v>42803.658553240741</v>
      </c>
      <c r="B17" s="30" t="s">
        <v>272</v>
      </c>
      <c r="C17" s="30" t="s">
        <v>598</v>
      </c>
      <c r="D17" s="30" t="s">
        <v>49</v>
      </c>
      <c r="E17" s="30" t="s">
        <v>195</v>
      </c>
      <c r="F17" s="43">
        <v>470</v>
      </c>
      <c r="G17" s="43">
        <v>559</v>
      </c>
      <c r="H17" s="43">
        <v>79641</v>
      </c>
      <c r="I17" s="43">
        <v>78099</v>
      </c>
      <c r="J17" s="30" t="s">
        <v>196</v>
      </c>
      <c r="K17" s="43">
        <v>78469</v>
      </c>
      <c r="L17" s="143" t="s">
        <v>51</v>
      </c>
      <c r="M17" s="144">
        <f>CONVERT((I17-K17)/10000,"mi","ft")*IF(L17="Increasing Mileposts (1)",-1,1)</f>
        <v>-195.36</v>
      </c>
      <c r="N17" s="145" t="str">
        <f>VLOOKUP(C17,'Trips&amp;Operators'!$C$1:$G$99999,5,FALSE)</f>
        <v>BRANDNER MELINDA</v>
      </c>
      <c r="O17" s="194" t="s">
        <v>445</v>
      </c>
      <c r="P17" s="146"/>
      <c r="Q17" s="30"/>
      <c r="R17" s="89" t="str">
        <f>IF(VLOOKUP(C17,'Train Runs'!$A$13:$AE$9945,1,1)=C17,VLOOKUP(C17,'Train Runs'!$A$13:$AE$9945,31,1),NA())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7" s="92" t="str">
        <f>IF(VLOOKUP(C17,'Train Runs'!$A$13:$AE$9945,1,1)=C17,VLOOKUP(C17,'Train Runs'!$A$13:$AE$9945,22,1),NA())</f>
        <v>https://d0f6bd738d7f1b3e5a7ca70fe4ff75f0.us-east-1.aws.found.io/app/kibana#/discover/Steve-Slow-Train-Analysis-(2080s-and-2083s)?_g=(refreshInterval:(display:Off,pause:!f,section:0,value:0),time:(from:'2017-03-09T14:19:06-0700',mode:absolute,to:'2017-03-09T17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/stypes="*4015*201703092*" /stext=" 22:.+((SYSTEM_STATE.+slice.+state.+changed )|(ment ac)|(multiple cpu faults)|(system.+state.+changed )|(\[timeout)|(PRM\|1\|D)|(kpr)|(kdp)|(\|lc)|(penalty))"</v>
      </c>
      <c r="U17" s="9" t="str">
        <f>MID(B17,13,4)</f>
        <v>4015</v>
      </c>
      <c r="V17" s="32">
        <f>A17-utc_offset/24</f>
        <v>42803.950219907405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{"issue":{"subject":"","project_id":79,"tracker_id":40,"status_id":1,"priority_id":2,"assigned_to_id":23,"start_date":"2017-03-09","description":"","custom_fields":[{"id":1,"name":"Subdivision","value":"EC"},{"id":4,"name":"Milepost","value":"7.8469"},{"id":17,"name":"Train ID","value":"188-09"},{"id":16,"name":"Locomotive ID","value":"4015"},{"id":130,"name":"Impact","value":""},{"id":150,"name":"Time of Event (Mountain Time)","value":"15:48:19"},{"id":151,"name":"Denver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"%USERPROFILE%\AppData\Local\Temp\OnboardLogs"\RTDC4015\*4015*201703092*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"%USERPROFILE%\AppData\Local\Temp\OnboardLogs"\RTDC4015\*4015*201703092* &gt;&gt; 2017-03-09-SliceDisagreementCheck.txt</v>
      </c>
      <c r="AE17" s="157" t="str">
        <f t="shared" si="1"/>
        <v>start /low /b %USERPROFILE%\Documents\GitHub\eaglep3\Utilities\DownloadLogsFromS3.py --loco 4015 --day 2017-03-09</v>
      </c>
      <c r="AF17" s="1"/>
    </row>
    <row r="18" spans="1:32" ht="15" customHeight="1" x14ac:dyDescent="0.25">
      <c r="A18" s="32">
        <v>42803.281157407408</v>
      </c>
      <c r="B18" s="30" t="s">
        <v>272</v>
      </c>
      <c r="C18" s="30" t="s">
        <v>579</v>
      </c>
      <c r="D18" s="30" t="s">
        <v>49</v>
      </c>
      <c r="E18" s="30" t="s">
        <v>195</v>
      </c>
      <c r="F18" s="43">
        <v>390</v>
      </c>
      <c r="G18" s="43">
        <v>441</v>
      </c>
      <c r="H18" s="43">
        <v>104884</v>
      </c>
      <c r="I18" s="43">
        <v>103718</v>
      </c>
      <c r="J18" s="30" t="s">
        <v>196</v>
      </c>
      <c r="K18" s="43">
        <v>103800</v>
      </c>
      <c r="L18" s="143" t="s">
        <v>51</v>
      </c>
      <c r="M18" s="144">
        <f>CONVERT((I18-K18)/10000,"mi","ft")*IF(L18="Increasing Mileposts (1)",-1,1)</f>
        <v>-43.296000000000006</v>
      </c>
      <c r="N18" s="145" t="str">
        <f>VLOOKUP(C18,'Trips&amp;Operators'!$C$1:$G$99999,5,FALSE)</f>
        <v>STARKS ANGELINA</v>
      </c>
      <c r="O18" s="194" t="s">
        <v>445</v>
      </c>
      <c r="P18" s="146"/>
      <c r="Q18" s="30"/>
      <c r="R18" s="89" t="str">
        <f>IF(VLOOKUP(C18,'Train Runs'!$A$13:$AE$9945,1,1)=C18,VLOOKUP(C18,'Train Runs'!$A$13:$AE$9945,31,1),NA())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8" s="92" t="str">
        <f>IF(VLOOKUP(C18,'Train Runs'!$A$13:$AE$9945,1,1)=C18,VLOOKUP(C18,'Train Runs'!$A$13:$AE$9945,22,1),NA())</f>
        <v>https://d0f6bd738d7f1b3e5a7ca70fe4ff75f0.us-east-1.aws.found.io/app/kibana#/discover/Steve-Slow-Train-Analysis-(2080s-and-2083s)?_g=(refreshInterval:(display:Off,pause:!f,section:0,value:0),time:(from:'2017-03-09T05:22:12-0700',mode:absolute,to:'2017-03-09T08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/stypes="*4015*201703091*" /stext=" 13:.+((SYSTEM_STATE.+slice.+state.+changed )|(ment ac)|(multiple cpu faults)|(system.+state.+changed )|(\[timeout)|(PRM\|1\|D)|(kpr)|(kdp)|(\|lc)|(penalty))"</v>
      </c>
      <c r="U18" s="9" t="str">
        <f>MID(B18,13,4)</f>
        <v>4015</v>
      </c>
      <c r="V18" s="32">
        <f>A18-utc_offset/24</f>
        <v>42803.572824074072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{"issue":{"subject":"","project_id":79,"tracker_id":40,"status_id":1,"priority_id":2,"assigned_to_id":23,"start_date":"2017-03-09","description":"","custom_fields":[{"id":1,"name":"Subdivision","value":"EC"},{"id":4,"name":"Milepost","value":"10.38"},{"id":17,"name":"Train ID","value":"116-09"},{"id":16,"name":"Locomotive ID","value":"4015"},{"id":130,"name":"Impact","value":""},{"id":150,"name":"Time of Event (Mountain Time)","value":"06:44:52"},{"id":151,"name":"Denver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"%USERPROFILE%\AppData\Local\Temp\OnboardLogs"\RTDC4015\*4015*201703091*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18" s="157" t="str">
        <f t="shared" si="1"/>
        <v>start /low /b %USERPROFILE%\Documents\GitHub\eaglep3\Utilities\DownloadLogsFromS3.py --loco 4015 --day 2017-03-09</v>
      </c>
      <c r="AF18" s="1"/>
    </row>
    <row r="19" spans="1:32" x14ac:dyDescent="0.25">
      <c r="A19" s="32">
        <v>42803.550370370373</v>
      </c>
      <c r="B19" s="30" t="s">
        <v>589</v>
      </c>
      <c r="C19" s="30" t="s">
        <v>590</v>
      </c>
      <c r="D19" s="30" t="s">
        <v>49</v>
      </c>
      <c r="E19" s="30" t="s">
        <v>195</v>
      </c>
      <c r="F19" s="43">
        <v>0</v>
      </c>
      <c r="G19" s="43">
        <v>124</v>
      </c>
      <c r="H19" s="43">
        <v>127142</v>
      </c>
      <c r="I19" s="43">
        <v>127307</v>
      </c>
      <c r="J19" s="30" t="s">
        <v>196</v>
      </c>
      <c r="K19" s="43">
        <v>127560</v>
      </c>
      <c r="L19" s="143" t="s">
        <v>50</v>
      </c>
      <c r="M19" s="144">
        <f>CONVERT((I19-K19)/10000,"mi","ft")*IF(L19="Increasing Mileposts (1)",-1,1)</f>
        <v>133.584</v>
      </c>
      <c r="N19" s="145" t="str">
        <f>VLOOKUP(C19,'Trips&amp;Operators'!$C$1:$G$99999,5,FALSE)</f>
        <v>CLARK KATHLEEN</v>
      </c>
      <c r="O19" s="194" t="s">
        <v>445</v>
      </c>
      <c r="P19" s="146"/>
      <c r="Q19" s="30"/>
      <c r="R19" s="89" t="str">
        <f>IF(VLOOKUP(C19,'Train Runs'!$A$13:$AE$9945,1,1)=C19,VLOOKUP(C19,'Train Runs'!$A$13:$AE$9945,31,1),NA())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S19" s="92" t="str">
        <f>IF(VLOOKUP(C19,'Train Runs'!$A$13:$AE$9945,1,1)=C19,VLOOKUP(C19,'Train Runs'!$A$13:$AE$9945,22,1),NA())</f>
        <v>https://d0f6bd738d7f1b3e5a7ca70fe4ff75f0.us-east-1.aws.found.io/app/kibana#/discover/Steve-Slow-Train-Analysis-(2080s-and-2083s)?_g=(refreshInterval:(display:Off,pause:!f,section:0,value:0),time:(from:'2017-03-09T11:41:06-0700',mode:absolute,to:'2017-03-09T14:32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/stypes="*4018*201703092*" /stext=" 20:.+((SYSTEM_STATE.+slice.+state.+changed )|(ment ac)|(multiple cpu faults)|(system.+state.+changed )|(\[timeout)|(PRM\|1\|D)|(kpr)|(kdp)|(\|lc)|(penalty))"</v>
      </c>
      <c r="U19" s="9" t="str">
        <f>MID(B19,13,4)</f>
        <v>4018</v>
      </c>
      <c r="V19" s="32">
        <f>A19-utc_offset/24</f>
        <v>42803.842037037037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{"issue":{"subject":"","project_id":79,"tracker_id":40,"status_id":1,"priority_id":2,"assigned_to_id":23,"start_date":"2017-03-09","description":"","custom_fields":[{"id":1,"name":"Subdivision","value":"EC"},{"id":4,"name":"Milepost","value":"12.756"},{"id":17,"name":"Train ID","value":"173-09"},{"id":16,"name":"Locomotive ID","value":"4018"},{"id":130,"name":"Impact","value":""},{"id":150,"name":"Time of Event (Mountain Time)","value":"13:12:32"},{"id":151,"name":"Denver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"%USERPROFILE%\AppData\Local\Temp\OnboardLogs"\RTDC4018\*4018*201703092*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"%USERPROFILE%\AppData\Local\Temp\OnboardLogs"\RTDC4018\*4018*201703092* &gt;&gt; 2017-03-09-SliceDisagreementCheck.txt</v>
      </c>
      <c r="AE19" s="157" t="str">
        <f t="shared" si="1"/>
        <v>start /low /b %USERPROFILE%\Documents\GitHub\eaglep3\Utilities\DownloadLogsFromS3.py --loco 4018 --day 2017-03-09</v>
      </c>
      <c r="AF19" s="1"/>
    </row>
    <row r="20" spans="1:32" x14ac:dyDescent="0.25">
      <c r="A20" s="32">
        <v>42803.719039351854</v>
      </c>
      <c r="B20" s="30" t="s">
        <v>589</v>
      </c>
      <c r="C20" s="30" t="s">
        <v>604</v>
      </c>
      <c r="D20" s="30" t="s">
        <v>98</v>
      </c>
      <c r="E20" s="30" t="s">
        <v>238</v>
      </c>
      <c r="F20" s="43">
        <v>700</v>
      </c>
      <c r="G20" s="43">
        <v>750</v>
      </c>
      <c r="H20" s="43">
        <v>174512</v>
      </c>
      <c r="I20" s="43">
        <v>177271</v>
      </c>
      <c r="J20" s="30" t="s">
        <v>239</v>
      </c>
      <c r="K20" s="43">
        <v>161962</v>
      </c>
      <c r="L20" s="143" t="s">
        <v>50</v>
      </c>
      <c r="M20" s="144">
        <f>CONVERT((I20-K20)/10000,"mi","ft")*IF(L20="Increasing Mileposts (1)",-1,1)</f>
        <v>-8083.152</v>
      </c>
      <c r="N20" s="145" t="str">
        <f>VLOOKUP(C20,'Trips&amp;Operators'!$C$1:$G$99999,5,FALSE)</f>
        <v>STRICKLAND EVAN</v>
      </c>
      <c r="O20" s="194" t="s">
        <v>185</v>
      </c>
      <c r="P20" s="146"/>
      <c r="Q20" s="30"/>
      <c r="R20" s="89" t="str">
        <f>IF(VLOOKUP(C20,'Train Runs'!$A$13:$AE$9945,1,1)=C20,VLOOKUP(C20,'Train Runs'!$A$13:$AE$9945,31,1),NA())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S20" s="92" t="str">
        <f>IF(VLOOKUP(C20,'Train Runs'!$A$13:$AE$9945,1,1)=C20,VLOOKUP(C20,'Train Runs'!$A$13:$AE$9945,22,1),NA())</f>
        <v>https://d0f6bd738d7f1b3e5a7ca70fe4ff75f0.us-east-1.aws.found.io/app/kibana#/discover/Steve-Slow-Train-Analysis-(2080s-and-2083s)?_g=(refreshInterval:(display:Off,pause:!f,section:0,value:0),time:(from:'2017-03-09T15:31:14-0700',mode:absolute,to:'2017-03-09T18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/stypes="*4018*201703100*" /stext=" 00:.+((SYSTEM_STATE.+slice.+state.+changed )|(ment ac)|(multiple cpu faults)|(system.+state.+changed )|(\[timeout)|(PRM\|1\|D)|(kpr)|(kdp)|(\|lc)|(penalty))"</v>
      </c>
      <c r="U20" s="9" t="str">
        <f>MID(B20,13,4)</f>
        <v>4018</v>
      </c>
      <c r="V20" s="32">
        <f>A20-utc_offset/24</f>
        <v>42804.010706018518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{"issue":{"subject":"","project_id":79,"tracker_id":40,"status_id":1,"priority_id":2,"assigned_to_id":23,"start_date":"2017-03-09","description":"","custom_fields":[{"id":1,"name":"Subdivision","value":"EC"},{"id":4,"name":"Milepost","value":"16.1962"},{"id":17,"name":"Train ID","value":"205-09"},{"id":16,"name":"Locomotive ID","value":"4018"},{"id":130,"name":"Impact","value":""},{"id":150,"name":"Time of Event (Mountain Time)","value":"17:15:25"},{"id":151,"name":"Denver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"%USERPROFILE%\AppData\Local\Temp\OnboardLogs"\RTDC4018\*4018*201703100*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"%USERPROFILE%\AppData\Local\Temp\OnboardLogs"\RTDC4018\*4018*201703100* &gt;&gt; 2017-03-09-SliceDisagreementCheck.txt</v>
      </c>
      <c r="AE20" s="157" t="str">
        <f t="shared" si="1"/>
        <v>start /low /b %USERPROFILE%\Documents\GitHub\eaglep3\Utilities\DownloadLogsFromS3.py --loco 4018 --day 2017-03-10</v>
      </c>
      <c r="AF20" s="1"/>
    </row>
    <row r="21" spans="1:32" x14ac:dyDescent="0.25">
      <c r="A21" s="32">
        <v>42803.346585648149</v>
      </c>
      <c r="B21" s="30" t="s">
        <v>272</v>
      </c>
      <c r="C21" s="30" t="s">
        <v>581</v>
      </c>
      <c r="D21" s="30" t="s">
        <v>98</v>
      </c>
      <c r="E21" s="30" t="s">
        <v>238</v>
      </c>
      <c r="F21" s="43">
        <v>700</v>
      </c>
      <c r="G21" s="43">
        <v>750</v>
      </c>
      <c r="H21" s="43">
        <v>179455</v>
      </c>
      <c r="I21" s="43">
        <v>175978</v>
      </c>
      <c r="J21" s="30" t="s">
        <v>239</v>
      </c>
      <c r="K21" s="43">
        <v>183829</v>
      </c>
      <c r="L21" s="143" t="s">
        <v>51</v>
      </c>
      <c r="M21" s="144">
        <f>CONVERT((I21-K21)/10000,"mi","ft")*IF(L21="Increasing Mileposts (1)",-1,1)</f>
        <v>-4145.3280000000004</v>
      </c>
      <c r="N21" s="145" t="str">
        <f>VLOOKUP(C21,'Trips&amp;Operators'!$C$1:$G$99999,5,FALSE)</f>
        <v>STARKS ANGELINA</v>
      </c>
      <c r="O21" s="194" t="s">
        <v>185</v>
      </c>
      <c r="P21" s="146"/>
      <c r="Q21" s="30"/>
      <c r="R21" s="89" t="str">
        <f>IF(VLOOKUP(C21,'Train Runs'!$A$13:$AE$9945,1,1)=C21,VLOOKUP(C21,'Train Runs'!$A$13:$AE$9945,31,1),NA())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21" s="92" t="str">
        <f>IF(VLOOKUP(C21,'Train Runs'!$A$13:$AE$9945,1,1)=C21,VLOOKUP(C21,'Train Runs'!$A$13:$AE$9945,22,1),NA())</f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/stypes="*4015*201703091*" /stext=" 15:.+((SYSTEM_STATE.+slice.+state.+changed )|(ment ac)|(multiple cpu faults)|(system.+state.+changed )|(\[timeout)|(PRM\|1\|D)|(kpr)|(kdp)|(\|lc)|(penalty))"</v>
      </c>
      <c r="U21" s="9" t="str">
        <f>MID(B21,13,4)</f>
        <v>4015</v>
      </c>
      <c r="V21" s="32">
        <f>A21-utc_offset/24</f>
        <v>42803.638252314813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{"issue":{"subject":"","project_id":79,"tracker_id":40,"status_id":1,"priority_id":2,"assigned_to_id":23,"start_date":"2017-03-09","description":"","custom_fields":[{"id":1,"name":"Subdivision","value":"EC"},{"id":4,"name":"Milepost","value":"18.3829"},{"id":17,"name":"Train ID","value":"130-09"},{"id":16,"name":"Locomotive ID","value":"4015"},{"id":130,"name":"Impact","value":""},{"id":150,"name":"Time of Event (Mountain Time)","value":"08:19:05"},{"id":151,"name":"Denver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"%USERPROFILE%\AppData\Local\Temp\OnboardLogs"\RTDC4015\*4015*201703091*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21" s="157" t="str">
        <f t="shared" si="1"/>
        <v>start /low /b %USERPROFILE%\Documents\GitHub\eaglep3\Utilities\DownloadLogsFromS3.py --loco 4015 --day 2017-03-09</v>
      </c>
      <c r="AF21" s="1"/>
    </row>
    <row r="22" spans="1:32" x14ac:dyDescent="0.25">
      <c r="A22" s="32">
        <v>42803.238599537035</v>
      </c>
      <c r="B22" s="30" t="s">
        <v>502</v>
      </c>
      <c r="C22" s="30" t="s">
        <v>577</v>
      </c>
      <c r="D22" s="30" t="s">
        <v>98</v>
      </c>
      <c r="E22" s="30" t="s">
        <v>238</v>
      </c>
      <c r="F22" s="43">
        <v>350</v>
      </c>
      <c r="G22" s="43">
        <v>405</v>
      </c>
      <c r="H22" s="43">
        <v>224682</v>
      </c>
      <c r="I22" s="43">
        <v>222922</v>
      </c>
      <c r="J22" s="30" t="s">
        <v>239</v>
      </c>
      <c r="K22" s="43">
        <v>232080</v>
      </c>
      <c r="L22" s="143" t="s">
        <v>51</v>
      </c>
      <c r="M22" s="144">
        <f>CONVERT((I22-K22)/10000,"mi","ft")*IF(L22="Increasing Mileposts (1)",-1,1)</f>
        <v>-4835.424</v>
      </c>
      <c r="N22" s="145" t="str">
        <f>VLOOKUP(C22,'Trips&amp;Operators'!$C$1:$G$99999,5,FALSE)</f>
        <v>ROCHA YAOTL</v>
      </c>
      <c r="O22" s="194" t="s">
        <v>185</v>
      </c>
      <c r="P22" s="146"/>
      <c r="Q22" s="30"/>
      <c r="R22" s="89" t="str">
        <f>IF(VLOOKUP(C22,'Train Runs'!$A$13:$AE$9945,1,1)=C22,VLOOKUP(C22,'Train Runs'!$A$13:$AE$9945,31,1),NA())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22" s="92" t="str">
        <f>IF(VLOOKUP(C22,'Train Runs'!$A$13:$AE$9945,1,1)=C22,VLOOKUP(C22,'Train Runs'!$A$13:$AE$9945,22,1),NA())</f>
        <v>https://d0f6bd738d7f1b3e5a7ca70fe4ff75f0.us-east-1.aws.found.io/app/kibana#/discover/Steve-Slow-Train-Analysis-(2080s-and-2083s)?_g=(refreshInterval:(display:Off,pause:!f,section:0,value:0),time:(from:'2017-03-09T04:38:55-0700',mode:absolute,to:'2017-03-09T07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/stypes="*4039*201703091*" /stext=" 12:.+((SYSTEM_STATE.+slice.+state.+changed )|(ment ac)|(multiple cpu faults)|(system.+state.+changed )|(\[timeout)|(PRM\|1\|D)|(kpr)|(kdp)|(\|lc)|(penalty))"</v>
      </c>
      <c r="U22" s="9" t="str">
        <f>MID(B22,13,4)</f>
        <v>4039</v>
      </c>
      <c r="V22" s="32">
        <f>A22-utc_offset/24</f>
        <v>42803.530266203699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{"issue":{"subject":"","project_id":79,"tracker_id":40,"status_id":1,"priority_id":2,"assigned_to_id":23,"start_date":"2017-03-09","description":"","custom_fields":[{"id":1,"name":"Subdivision","value":"EC"},{"id":4,"name":"Milepost","value":"23.208"},{"id":17,"name":"Train ID","value":"110-09"},{"id":16,"name":"Locomotive ID","value":"4039"},{"id":130,"name":"Impact","value":""},{"id":150,"name":"Time of Event (Mountain Time)","value":"05:43:35"},{"id":151,"name":"Denver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"%USERPROFILE%\AppData\Local\Temp\OnboardLogs"\RTDC4039\*4039*201703091*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"%USERPROFILE%\AppData\Local\Temp\OnboardLogs"\RTDC4039\*4039*201703091* &gt;&gt; 2017-03-09-SliceDisagreementCheck.txt</v>
      </c>
      <c r="AE22" s="157" t="str">
        <f t="shared" si="1"/>
        <v>start /low /b %USERPROFILE%\Documents\GitHub\eaglep3\Utilities\DownloadLogsFromS3.py --loco 4039 --day 2017-03-09</v>
      </c>
      <c r="AF22" s="1"/>
    </row>
    <row r="23" spans="1:32" x14ac:dyDescent="0.25">
      <c r="A23" s="32">
        <v>42803.564108796294</v>
      </c>
      <c r="B23" s="30" t="s">
        <v>420</v>
      </c>
      <c r="C23" s="30" t="s">
        <v>591</v>
      </c>
      <c r="D23" s="30" t="s">
        <v>49</v>
      </c>
      <c r="E23" s="30" t="s">
        <v>442</v>
      </c>
      <c r="F23" s="43">
        <v>0</v>
      </c>
      <c r="G23" s="43">
        <v>673</v>
      </c>
      <c r="H23" s="43">
        <v>172929</v>
      </c>
      <c r="I23" s="43">
        <v>176273</v>
      </c>
      <c r="J23" s="30" t="s">
        <v>443</v>
      </c>
      <c r="K23" s="43">
        <v>175383</v>
      </c>
      <c r="L23" s="143" t="s">
        <v>50</v>
      </c>
      <c r="M23" s="144">
        <f>CONVERT((I23-K23)/10000,"mi","ft")*IF(L23="Increasing Mileposts (1)",-1,1)</f>
        <v>-469.92</v>
      </c>
      <c r="N23" s="145" t="str">
        <f>VLOOKUP(C23,'Trips&amp;Operators'!$C$1:$G$99999,5,FALSE)</f>
        <v>STRICKLAND EVAN</v>
      </c>
      <c r="O23" s="194" t="s">
        <v>445</v>
      </c>
      <c r="P23" s="146"/>
      <c r="Q23" s="30"/>
      <c r="R23" s="89" t="str">
        <f>IF(VLOOKUP(C23,'Train Runs'!$A$13:$AE$9945,1,1)=C23,VLOOKUP(C23,'Train Runs'!$A$13:$AE$9945,31,1),NA())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23" s="92" t="str">
        <f>IF(VLOOKUP(C23,'Train Runs'!$A$13:$AE$9945,1,1)=C23,VLOOKUP(C23,'Train Runs'!$A$13:$AE$9945,22,1),NA())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23" s="9" t="str">
        <f>MID(B23,13,4)</f>
        <v>4003</v>
      </c>
      <c r="V23" s="32">
        <f>A23-utc_offset/24</f>
        <v>42803.855775462958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{"issue":{"subject":"","project_id":79,"tracker_id":40,"status_id":1,"priority_id":2,"assigned_to_id":23,"start_date":"2017-03-09","description":"","custom_fields":[{"id":1,"name":"Subdivision","value":"EC"},{"id":4,"name":"Milepost","value":"17.5383"},{"id":17,"name":"Train ID","value":"175-09"},{"id":16,"name":"Locomotive ID","value":"4003"},{"id":130,"name":"Impact","value":""},{"id":150,"name":"Time of Event (Mountain Time)","value":"13:32:19"},{"id":151,"name":"Denver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Ac)|(PRM.+XING))"" -"</f>
        <v>grep -hSE -A400 "Enforcement Action" "%USERPROFILE%\AppData\Local\Temp\OnboardLogs"\RTDC4003\*4003*201703092*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23" s="157" t="str">
        <f t="shared" si="1"/>
        <v>start /low /b %USERPROFILE%\Documents\GitHub\eaglep3\Utilities\DownloadLogsFromS3.py --loco 4003 --day 2017-03-09</v>
      </c>
      <c r="AF23" s="1"/>
    </row>
    <row r="24" spans="1:32" x14ac:dyDescent="0.25">
      <c r="A24" s="32">
        <v>42803.567002314812</v>
      </c>
      <c r="B24" s="30" t="s">
        <v>420</v>
      </c>
      <c r="C24" s="30" t="s">
        <v>591</v>
      </c>
      <c r="D24" s="30" t="s">
        <v>49</v>
      </c>
      <c r="E24" s="30" t="s">
        <v>442</v>
      </c>
      <c r="F24" s="43">
        <v>0</v>
      </c>
      <c r="G24" s="43">
        <v>156</v>
      </c>
      <c r="H24" s="43">
        <v>182183</v>
      </c>
      <c r="I24" s="43">
        <v>182354</v>
      </c>
      <c r="J24" s="30" t="s">
        <v>443</v>
      </c>
      <c r="K24" s="43">
        <v>182907</v>
      </c>
      <c r="L24" s="143" t="s">
        <v>50</v>
      </c>
      <c r="M24" s="144">
        <f>CONVERT((I24-K24)/10000,"mi","ft")*IF(L24="Increasing Mileposts (1)",-1,1)</f>
        <v>291.98399999999998</v>
      </c>
      <c r="N24" s="145" t="str">
        <f>VLOOKUP(C24,'Trips&amp;Operators'!$C$1:$G$99999,5,FALSE)</f>
        <v>STRICKLAND EVAN</v>
      </c>
      <c r="O24" s="194" t="s">
        <v>445</v>
      </c>
      <c r="P24" s="146"/>
      <c r="Q24" s="30"/>
      <c r="R24" s="89" t="str">
        <f>IF(VLOOKUP(C24,'Train Runs'!$A$13:$AE$9945,1,1)=C24,VLOOKUP(C24,'Train Runs'!$A$13:$AE$9945,31,1),NA())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24" s="92" t="str">
        <f>IF(VLOOKUP(C24,'Train Runs'!$A$13:$AE$9945,1,1)=C24,VLOOKUP(C24,'Train Runs'!$A$13:$AE$9945,22,1),NA())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24" s="9" t="str">
        <f>MID(B24,13,4)</f>
        <v>4003</v>
      </c>
      <c r="V24" s="32">
        <f>A24-utc_offset/24</f>
        <v>42803.858668981477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{"issue":{"subject":"","project_id":79,"tracker_id":40,"status_id":1,"priority_id":2,"assigned_to_id":23,"start_date":"2017-03-09","description":"","custom_fields":[{"id":1,"name":"Subdivision","value":"EC"},{"id":4,"name":"Milepost","value":"18.2907"},{"id":17,"name":"Train ID","value":"175-09"},{"id":16,"name":"Locomotive ID","value":"4003"},{"id":130,"name":"Impact","value":""},{"id":150,"name":"Time of Event (Mountain Time)","value":"13:36:29"},{"id":151,"name":"Denver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"%USERPROFILE%\AppData\Local\Temp\OnboardLogs"\RTDC4003\*4003*201703092*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24" s="157" t="str">
        <f t="shared" si="1"/>
        <v>start /low /b %USERPROFILE%\Documents\GitHub\eaglep3\Utilities\DownloadLogsFromS3.py --loco 4003 --day 2017-03-09</v>
      </c>
      <c r="AF24" s="1"/>
    </row>
    <row r="25" spans="1:32" x14ac:dyDescent="0.25">
      <c r="A25" s="32">
        <v>42803.783310185187</v>
      </c>
      <c r="B25" s="30" t="s">
        <v>418</v>
      </c>
      <c r="C25" s="30" t="s">
        <v>607</v>
      </c>
      <c r="D25" s="30" t="s">
        <v>49</v>
      </c>
      <c r="E25" s="30" t="s">
        <v>442</v>
      </c>
      <c r="F25" s="43">
        <v>0</v>
      </c>
      <c r="G25" s="43">
        <v>116</v>
      </c>
      <c r="H25" s="43">
        <v>192154</v>
      </c>
      <c r="I25" s="43">
        <v>191943</v>
      </c>
      <c r="J25" s="30" t="s">
        <v>443</v>
      </c>
      <c r="K25" s="43">
        <v>191723</v>
      </c>
      <c r="L25" s="143" t="s">
        <v>51</v>
      </c>
      <c r="M25" s="144">
        <f>CONVERT((I25-K25)/10000,"mi","ft")*IF(L25="Increasing Mileposts (1)",-1,1)</f>
        <v>116.16</v>
      </c>
      <c r="N25" s="145" t="str">
        <f>VLOOKUP(C25,'Trips&amp;Operators'!$C$1:$G$99999,5,FALSE)</f>
        <v>NEWELL JAMES</v>
      </c>
      <c r="O25" s="194" t="s">
        <v>445</v>
      </c>
      <c r="P25" s="146"/>
      <c r="Q25" s="30"/>
      <c r="R25" s="89" t="str">
        <f>IF(VLOOKUP(C25,'Train Runs'!$A$13:$AE$9945,1,1)=C25,VLOOKUP(C25,'Train Runs'!$A$13:$AE$9945,31,1),NA())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S25" s="92" t="str">
        <f>IF(VLOOKUP(C25,'Train Runs'!$A$13:$AE$9945,1,1)=C25,VLOOKUP(C25,'Train Runs'!$A$13:$AE$9945,22,1),NA())</f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/stypes="*4019*201703100*" /stext=" 01:.+((SYSTEM_STATE.+slice.+state.+changed )|(ment ac)|(multiple cpu faults)|(system.+state.+changed )|(\[timeout)|(PRM\|1\|D)|(kpr)|(kdp)|(\|lc)|(penalty))"</v>
      </c>
      <c r="U25" s="9" t="str">
        <f>MID(B25,13,4)</f>
        <v>4019</v>
      </c>
      <c r="V25" s="32">
        <f>A25-utc_offset/24</f>
        <v>42804.074976851851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{"issue":{"subject":"","project_id":79,"tracker_id":40,"status_id":1,"priority_id":2,"assigned_to_id":23,"start_date":"2017-03-09","description":"","custom_fields":[{"id":1,"name":"Subdivision","value":"EC"},{"id":4,"name":"Milepost","value":"19.1723"},{"id":17,"name":"Train ID","value":"214-09"},{"id":16,"name":"Locomotive ID","value":"4019"},{"id":130,"name":"Impact","value":""},{"id":150,"name":"Time of Event (Mountain Time)","value":"18:47:58"},{"id":151,"name":"Denver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Ac)|(PRM.+XING))"" -"</f>
        <v>grep -hSE -A400 "Enforcement Action" "%USERPROFILE%\AppData\Local\Temp\OnboardLogs"\RTDC4019\*4019*201703100*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"%USERPROFILE%\AppData\Local\Temp\OnboardLogs"\RTDC4019\*4019*201703100* &gt;&gt; 2017-03-09-SliceDisagreementCheck.txt</v>
      </c>
      <c r="AE25" s="157" t="str">
        <f t="shared" si="1"/>
        <v>start /low /b %USERPROFILE%\Documents\GitHub\eaglep3\Utilities\DownloadLogsFromS3.py --loco 4019 --day 2017-03-10</v>
      </c>
      <c r="AF25" s="1"/>
    </row>
    <row r="26" spans="1:32" x14ac:dyDescent="0.25">
      <c r="A26" s="32">
        <v>42803.984849537039</v>
      </c>
      <c r="B26" s="30" t="s">
        <v>596</v>
      </c>
      <c r="C26" s="30" t="s">
        <v>612</v>
      </c>
      <c r="D26" s="30" t="s">
        <v>49</v>
      </c>
      <c r="E26" s="30" t="s">
        <v>442</v>
      </c>
      <c r="F26" s="43">
        <v>0</v>
      </c>
      <c r="G26" s="43">
        <v>20</v>
      </c>
      <c r="H26" s="43">
        <v>227262</v>
      </c>
      <c r="I26" s="43">
        <v>227333</v>
      </c>
      <c r="J26" s="30" t="s">
        <v>443</v>
      </c>
      <c r="K26" s="43">
        <v>228572</v>
      </c>
      <c r="L26" s="143" t="s">
        <v>50</v>
      </c>
      <c r="M26" s="144">
        <f>CONVERT((I26-K26)/10000,"mi","ft")*IF(L26="Increasing Mileposts (1)",-1,1)</f>
        <v>654.19200000000001</v>
      </c>
      <c r="N26" s="145" t="str">
        <f>VLOOKUP(C26,'Trips&amp;Operators'!$C$1:$G$99999,5,FALSE)</f>
        <v>CHANDLER KELVIN</v>
      </c>
      <c r="O26" s="194" t="s">
        <v>445</v>
      </c>
      <c r="P26" s="146"/>
      <c r="Q26" s="30"/>
      <c r="R26" s="89" t="str">
        <f>IF(VLOOKUP(C26,'Train Runs'!$A$13:$AE$9945,1,1)=C26,VLOOKUP(C26,'Train Runs'!$A$13:$AE$9945,31,1),NA())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S26" s="92" t="str">
        <f>IF(VLOOKUP(C26,'Train Runs'!$A$13:$AE$9945,1,1)=C26,VLOOKUP(C26,'Train Runs'!$A$13:$AE$9945,22,1),NA())</f>
        <v>https://d0f6bd738d7f1b3e5a7ca70fe4ff75f0.us-east-1.aws.found.io/app/kibana#/discover/Steve-Slow-Train-Analysis-(2080s-and-2083s)?_g=(refreshInterval:(display:Off,pause:!f,section:0,value:0),time:(from:'2017-03-09T21:48:19-0700',mode:absolute,to:'2017-03-10T00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/stypes="*4044*201703100*" /stext=" 06:.+((SYSTEM_STATE.+slice.+state.+changed )|(ment ac)|(multiple cpu faults)|(system.+state.+changed )|(\[timeout)|(PRM\|1\|D)|(kpr)|(kdp)|(\|lc)|(penalty))"</v>
      </c>
      <c r="U26" s="9" t="str">
        <f>MID(B26,13,4)</f>
        <v>4044</v>
      </c>
      <c r="V26" s="32">
        <f>A26-utc_offset/24</f>
        <v>42804.276516203703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{"issue":{"subject":"","project_id":79,"tracker_id":40,"status_id":1,"priority_id":2,"assigned_to_id":23,"start_date":"2017-03-09","description":"","custom_fields":[{"id":1,"name":"Subdivision","value":"EC"},{"id":4,"name":"Milepost","value":"22.8572"},{"id":17,"name":"Train ID","value":"237-09"},{"id":16,"name":"Locomotive ID","value":"4044"},{"id":130,"name":"Impact","value":""},{"id":150,"name":"Time of Event (Mountain Time)","value":"23:38:11"},{"id":151,"name":"Denver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Ac)|(PRM.+XING))"" -"</f>
        <v>grep -hSE -A400 "Enforcement Action" "%USERPROFILE%\AppData\Local\Temp\OnboardLogs"\RTDC4044\*4044*201703100*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"%USERPROFILE%\AppData\Local\Temp\OnboardLogs"\RTDC4044\*4044*201703100* &gt;&gt; 2017-03-09-SliceDisagreementCheck.txt</v>
      </c>
      <c r="AE26" s="157" t="str">
        <f t="shared" si="1"/>
        <v>start /low /b %USERPROFILE%\Documents\GitHub\eaglep3\Utilities\DownloadLogsFromS3.py --loco 4044 --day 2017-03-10</v>
      </c>
      <c r="AF26" s="1"/>
    </row>
    <row r="27" spans="1:32" x14ac:dyDescent="0.25">
      <c r="A27" s="32">
        <v>42803.205243055556</v>
      </c>
      <c r="B27" s="30" t="s">
        <v>575</v>
      </c>
      <c r="C27" s="30" t="s">
        <v>576</v>
      </c>
      <c r="D27" s="30" t="s">
        <v>49</v>
      </c>
      <c r="E27" s="30" t="s">
        <v>186</v>
      </c>
      <c r="F27" s="43">
        <v>0</v>
      </c>
      <c r="G27" s="43">
        <v>42</v>
      </c>
      <c r="H27" s="43">
        <v>145</v>
      </c>
      <c r="I27" s="43">
        <v>116</v>
      </c>
      <c r="J27" s="30" t="s">
        <v>187</v>
      </c>
      <c r="K27" s="43">
        <v>1</v>
      </c>
      <c r="L27" s="143" t="s">
        <v>51</v>
      </c>
      <c r="M27" s="144">
        <f>CONVERT((I27-K27)/10000,"mi","ft")*IF(L27="Increasing Mileposts (1)",-1,1)</f>
        <v>60.72</v>
      </c>
      <c r="N27" s="145" t="str">
        <f>VLOOKUP(C27,'Trips&amp;Operators'!$C$1:$G$99999,5,FALSE)</f>
        <v>YOUNG ELIZABETH</v>
      </c>
      <c r="O27" s="194" t="s">
        <v>185</v>
      </c>
      <c r="P27" s="146"/>
      <c r="Q27" s="30"/>
      <c r="R27" s="89" t="str">
        <f>IF(VLOOKUP(C27,'Train Runs'!$A$13:$AE$9945,1,1)=C27,VLOOKUP(C27,'Train Runs'!$A$13:$AE$9945,31,1),NA())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27" s="92" t="str">
        <f>IF(VLOOKUP(C27,'Train Runs'!$A$13:$AE$9945,1,1)=C27,VLOOKUP(C27,'Train Runs'!$A$13:$AE$9945,22,1),NA())</f>
        <v>https://d0f6bd738d7f1b3e5a7ca70fe4ff75f0.us-east-1.aws.found.io/app/kibana#/discover/Steve-Slow-Train-Analysis-(2080s-and-2083s)?_g=(refreshInterval:(display:Off,pause:!f,section:0,value:0),time:(from:'2017-03-09T03:01:19-0700',mode:absolute,to:'2017-03-09T05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/stypes="*4021*201703091*" /stext=" 11:.+((SYSTEM_STATE.+slice.+state.+changed )|(ment ac)|(multiple cpu faults)|(system.+state.+changed )|(\[timeout)|(PRM\|1\|D)|(kpr)|(kdp)|(\|lc)|(penalty))"</v>
      </c>
      <c r="U27" s="9" t="str">
        <f>MID(B27,13,4)</f>
        <v>4021</v>
      </c>
      <c r="V27" s="32">
        <f>A27-utc_offset/24</f>
        <v>42803.49690972222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ID","value":"102-09"},{"id":16,"name":"Locomotive ID","value":"4021"},{"id":130,"name":"Impact","value":""},{"id":150,"name":"Time of Event (Mountain Time)","value":"04:55:33"},{"id":151,"name":"Denver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"%USERPROFILE%\AppData\Local\Temp\OnboardLogs"\RTDC4021\*4021*201703091*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27" s="157" t="str">
        <f t="shared" si="1"/>
        <v>start /low /b %USERPROFILE%\Documents\GitHub\eaglep3\Utilities\DownloadLogsFromS3.py --loco 4021 --day 2017-03-09</v>
      </c>
      <c r="AF27" s="1"/>
    </row>
    <row r="28" spans="1:32" x14ac:dyDescent="0.25">
      <c r="A28" s="32">
        <v>42803.63009259259</v>
      </c>
      <c r="B28" s="30" t="s">
        <v>502</v>
      </c>
      <c r="C28" s="30" t="s">
        <v>593</v>
      </c>
      <c r="D28" s="30" t="s">
        <v>49</v>
      </c>
      <c r="E28" s="30" t="s">
        <v>186</v>
      </c>
      <c r="F28" s="43">
        <v>0</v>
      </c>
      <c r="G28" s="43">
        <v>25</v>
      </c>
      <c r="H28" s="43">
        <v>139</v>
      </c>
      <c r="I28" s="43">
        <v>123</v>
      </c>
      <c r="J28" s="30" t="s">
        <v>187</v>
      </c>
      <c r="K28" s="43">
        <v>1</v>
      </c>
      <c r="L28" s="143" t="s">
        <v>51</v>
      </c>
      <c r="M28" s="144">
        <f>CONVERT((I28-K28)/10000,"mi","ft")*IF(L28="Increasing Mileposts (1)",-1,1)</f>
        <v>64.415999999999997</v>
      </c>
      <c r="N28" s="145" t="str">
        <f>VLOOKUP(C28,'Trips&amp;Operators'!$C$1:$G$99999,5,FALSE)</f>
        <v>SMITH MICHAEL</v>
      </c>
      <c r="O28" s="194" t="s">
        <v>185</v>
      </c>
      <c r="P28" s="146"/>
      <c r="Q28" s="30"/>
      <c r="R28" s="89" t="str">
        <f>IF(VLOOKUP(C28,'Train Runs'!$A$13:$AE$9945,1,1)=C28,VLOOKUP(C28,'Train Runs'!$A$13:$AE$9945,31,1),NA())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28" s="92" t="str">
        <f>IF(VLOOKUP(C28,'Train Runs'!$A$13:$AE$9945,1,1)=C28,VLOOKUP(C28,'Train Runs'!$A$13:$AE$9945,22,1),NA())</f>
        <v>https://d0f6bd738d7f1b3e5a7ca70fe4ff75f0.us-east-1.aws.found.io/app/kibana#/discover/Steve-Slow-Train-Analysis-(2080s-and-2083s)?_g=(refreshInterval:(display:Off,pause:!f,section:0,value:0),time:(from:'2017-03-09T13:21:19-0700',mode:absolute,to:'2017-03-09T16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/stypes="*4039*201703092*" /stext=" 22:.+((SYSTEM_STATE.+slice.+state.+changed )|(ment ac)|(multiple cpu faults)|(system.+state.+changed )|(\[timeout)|(PRM\|1\|D)|(kpr)|(kdp)|(\|lc)|(penalty))"</v>
      </c>
      <c r="U28" s="9" t="str">
        <f>MID(B28,13,4)</f>
        <v>4039</v>
      </c>
      <c r="V28" s="32">
        <f>A28-utc_offset/24</f>
        <v>42803.921759259254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ID","value":"180-09"},{"id":16,"name":"Locomotive ID","value":"4039"},{"id":130,"name":"Impact","value":""},{"id":150,"name":"Time of Event (Mountain Time)","value":"15:07:20"},{"id":151,"name":"Denver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Ac)|(PRM.+XING))"" -"</f>
        <v>grep -hSE -A400 "Enforcement Action" "%USERPROFILE%\AppData\Local\Temp\OnboardLogs"\RTDC4039\*4039*201703092*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"%USERPROFILE%\AppData\Local\Temp\OnboardLogs"\RTDC4039\*4039*201703092* &gt;&gt; 2017-03-09-SliceDisagreementCheck.txt</v>
      </c>
      <c r="AE28" s="157" t="str">
        <f t="shared" si="1"/>
        <v>start /low /b %USERPROFILE%\Documents\GitHub\eaglep3\Utilities\DownloadLogsFromS3.py --loco 4039 --day 2017-03-09</v>
      </c>
      <c r="AF28" s="1"/>
    </row>
    <row r="29" spans="1:32" x14ac:dyDescent="0.25">
      <c r="A29" s="32">
        <v>42803.715439814812</v>
      </c>
      <c r="B29" s="30" t="s">
        <v>602</v>
      </c>
      <c r="C29" s="30" t="s">
        <v>603</v>
      </c>
      <c r="D29" s="30" t="s">
        <v>49</v>
      </c>
      <c r="E29" s="30" t="s">
        <v>186</v>
      </c>
      <c r="F29" s="43">
        <v>0</v>
      </c>
      <c r="G29" s="43">
        <v>77</v>
      </c>
      <c r="H29" s="43">
        <v>273</v>
      </c>
      <c r="I29" s="43">
        <v>181</v>
      </c>
      <c r="J29" s="30" t="s">
        <v>187</v>
      </c>
      <c r="K29" s="43">
        <v>1</v>
      </c>
      <c r="L29" s="143" t="s">
        <v>51</v>
      </c>
      <c r="M29" s="144">
        <f>CONVERT((I29-K29)/10000,"mi","ft")*IF(L29="Increasing Mileposts (1)",-1,1)</f>
        <v>95.04</v>
      </c>
      <c r="N29" s="145" t="str">
        <f>VLOOKUP(C29,'Trips&amp;Operators'!$C$1:$G$99999,5,FALSE)</f>
        <v>LOCKLEAR TRAVIS</v>
      </c>
      <c r="O29" s="194" t="s">
        <v>185</v>
      </c>
      <c r="P29" s="146"/>
      <c r="Q29" s="30"/>
      <c r="R29" s="89" t="str">
        <f>IF(VLOOKUP(C29,'Train Runs'!$A$13:$AE$9945,1,1)=C29,VLOOKUP(C29,'Train Runs'!$A$13:$AE$9945,31,1),NA())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S29" s="92" t="str">
        <f>IF(VLOOKUP(C29,'Train Runs'!$A$13:$AE$9945,1,1)=C29,VLOOKUP(C29,'Train Runs'!$A$13:$AE$9945,22,1),NA())</f>
        <v>https://d0f6bd738d7f1b3e5a7ca70fe4ff75f0.us-east-1.aws.found.io/app/kibana#/discover/Steve-Slow-Train-Analysis-(2080s-and-2083s)?_g=(refreshInterval:(display:Off,pause:!f,section:0,value:0),time:(from:'2017-03-09T15:22:04-0700',mode:absolute,to:'2017-03-09T18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/stypes="*4043*201703100*" /stext=" 00:.+((SYSTEM_STATE.+slice.+state.+changed )|(ment ac)|(multiple cpu faults)|(system.+state.+changed )|(\[timeout)|(PRM\|1\|D)|(kpr)|(kdp)|(\|lc)|(penalty))"</v>
      </c>
      <c r="U29" s="9" t="str">
        <f>MID(B29,13,4)</f>
        <v>4043</v>
      </c>
      <c r="V29" s="32">
        <f>A29-utc_offset/24</f>
        <v>42804.007106481477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ID","value":"196-09"},{"id":16,"name":"Locomotive ID","value":"4043"},{"id":130,"name":"Impact","value":""},{"id":150,"name":"Time of Event (Mountain Time)","value":"17:10:14"},{"id":151,"name":"Denver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"%USERPROFILE%\AppData\Local\Temp\OnboardLogs"\RTDC4043\*4043*201703100*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"%USERPROFILE%\AppData\Local\Temp\OnboardLogs"\RTDC4043\*4043*201703100* &gt;&gt; 2017-03-09-SliceDisagreementCheck.txt</v>
      </c>
      <c r="AE29" s="157" t="str">
        <f t="shared" si="1"/>
        <v>start /low /b %USERPROFILE%\Documents\GitHub\eaglep3\Utilities\DownloadLogsFromS3.py --loco 4043 --day 2017-03-10</v>
      </c>
      <c r="AF29" s="1"/>
    </row>
    <row r="30" spans="1:32" x14ac:dyDescent="0.25">
      <c r="A30" s="32">
        <v>42803.724212962959</v>
      </c>
      <c r="B30" s="30" t="s">
        <v>252</v>
      </c>
      <c r="C30" s="30" t="s">
        <v>605</v>
      </c>
      <c r="D30" s="30" t="s">
        <v>49</v>
      </c>
      <c r="E30" s="30" t="s">
        <v>186</v>
      </c>
      <c r="F30" s="43">
        <v>0</v>
      </c>
      <c r="G30" s="43">
        <v>50</v>
      </c>
      <c r="H30" s="43">
        <v>170</v>
      </c>
      <c r="I30" s="43">
        <v>132</v>
      </c>
      <c r="J30" s="30" t="s">
        <v>187</v>
      </c>
      <c r="K30" s="43">
        <v>1</v>
      </c>
      <c r="L30" s="143" t="s">
        <v>51</v>
      </c>
      <c r="M30" s="144">
        <f>CONVERT((I30-K30)/10000,"mi","ft")*IF(L30="Increasing Mileposts (1)",-1,1)</f>
        <v>69.168000000000006</v>
      </c>
      <c r="N30" s="145" t="str">
        <f>VLOOKUP(C30,'Trips&amp;Operators'!$C$1:$G$99999,5,FALSE)</f>
        <v>HELVIE ADAM</v>
      </c>
      <c r="O30" s="194" t="s">
        <v>185</v>
      </c>
      <c r="P30" s="146"/>
      <c r="Q30" s="30"/>
      <c r="R30" s="89" t="str">
        <f>IF(VLOOKUP(C30,'Train Runs'!$A$13:$AE$9945,1,1)=C30,VLOOKUP(C30,'Train Runs'!$A$13:$AE$9945,31,1),NA())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S30" s="92" t="str">
        <f>IF(VLOOKUP(C30,'Train Runs'!$A$13:$AE$9945,1,1)=C30,VLOOKUP(C30,'Train Runs'!$A$13:$AE$9945,22,1),NA())</f>
        <v>https://d0f6bd738d7f1b3e5a7ca70fe4ff75f0.us-east-1.aws.found.io/app/kibana#/discover/Steve-Slow-Train-Analysis-(2080s-and-2083s)?_g=(refreshInterval:(display:Off,pause:!f,section:0,value:0),time:(from:'2017-03-09T15:38:00-0700',mode:absolute,to:'2017-03-09T18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/stypes="*4013*201703100*" /stext=" 00:.+((SYSTEM_STATE.+slice.+state.+changed )|(ment ac)|(multiple cpu faults)|(system.+state.+changed )|(\[timeout)|(PRM\|1\|D)|(kpr)|(kdp)|(\|lc)|(penalty))"</v>
      </c>
      <c r="U30" s="9" t="str">
        <f>MID(B30,13,4)</f>
        <v>4013</v>
      </c>
      <c r="V30" s="32">
        <f>A30-utc_offset/24</f>
        <v>42804.015879629624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ID","value":"198-09"},{"id":16,"name":"Locomotive ID","value":"4013"},{"id":130,"name":"Impact","value":""},{"id":150,"name":"Time of Event (Mountain Time)","value":"17:22:52"},{"id":151,"name":"Denver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Ac)|(PRM.+XING))"" -"</f>
        <v>grep -hSE -A400 "Enforcement Action" "%USERPROFILE%\AppData\Local\Temp\OnboardLogs"\RTDC4013\*4013*201703100*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"%USERPROFILE%\AppData\Local\Temp\OnboardLogs"\RTDC4013\*4013*201703100* &gt;&gt; 2017-03-09-SliceDisagreementCheck.txt</v>
      </c>
      <c r="AE30" s="157" t="str">
        <f t="shared" si="1"/>
        <v>start /low /b %USERPROFILE%\Documents\GitHub\eaglep3\Utilities\DownloadLogsFromS3.py --loco 4013 --day 2017-03-10</v>
      </c>
      <c r="AF30" s="1"/>
    </row>
    <row r="31" spans="1:32" x14ac:dyDescent="0.25">
      <c r="A31" s="32">
        <v>42803.437025462961</v>
      </c>
      <c r="B31" s="30" t="s">
        <v>575</v>
      </c>
      <c r="C31" s="30" t="s">
        <v>585</v>
      </c>
      <c r="D31" s="30" t="s">
        <v>49</v>
      </c>
      <c r="E31" s="30" t="s">
        <v>186</v>
      </c>
      <c r="F31" s="43">
        <v>0</v>
      </c>
      <c r="G31" s="43">
        <v>26</v>
      </c>
      <c r="H31" s="43">
        <v>911</v>
      </c>
      <c r="I31" s="43">
        <v>884</v>
      </c>
      <c r="J31" s="30" t="s">
        <v>187</v>
      </c>
      <c r="K31" s="43">
        <v>839</v>
      </c>
      <c r="L31" s="143" t="s">
        <v>51</v>
      </c>
      <c r="M31" s="144">
        <f>CONVERT((I31-K31)/10000,"mi","ft")*IF(L31="Increasing Mileposts (1)",-1,1)</f>
        <v>23.76</v>
      </c>
      <c r="N31" s="145" t="str">
        <f>VLOOKUP(C31,'Trips&amp;Operators'!$C$1:$G$99999,5,FALSE)</f>
        <v>YOUNG ELIZABETH</v>
      </c>
      <c r="O31" s="194" t="s">
        <v>185</v>
      </c>
      <c r="P31" s="146"/>
      <c r="Q31" s="30"/>
      <c r="R31" s="89" t="str">
        <f>IF(VLOOKUP(C31,'Train Runs'!$A$13:$AE$9945,1,1)=C31,VLOOKUP(C31,'Train Runs'!$A$13:$AE$9945,31,1),NA())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31" s="92" t="str">
        <f>IF(VLOOKUP(C31,'Train Runs'!$A$13:$AE$9945,1,1)=C31,VLOOKUP(C31,'Train Runs'!$A$13:$AE$9945,22,1),NA())</f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/stypes="*4021*201703091*" /stext=" 17:.+((SYSTEM_STATE.+slice.+state.+changed )|(ment ac)|(multiple cpu faults)|(system.+state.+changed )|(\[timeout)|(PRM\|1\|D)|(kpr)|(kdp)|(\|lc)|(penalty))"</v>
      </c>
      <c r="U31" s="9" t="str">
        <f>MID(B31,13,4)</f>
        <v>4021</v>
      </c>
      <c r="V31" s="32">
        <f>A31-utc_offset/24</f>
        <v>42803.728692129625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{"issue":{"subject":"","project_id":79,"tracker_id":40,"status_id":1,"priority_id":2,"assigned_to_id":23,"start_date":"2017-03-09","description":"","custom_fields":[{"id":1,"name":"Subdivision","value":"EC"},{"id":4,"name":"Milepost","value":"0.0839"},{"id":17,"name":"Train ID","value":"142-09"},{"id":16,"name":"Locomotive ID","value":"4021"},{"id":130,"name":"Impact","value":""},{"id":150,"name":"Time of Event (Mountain Time)","value":"10:29:19"},{"id":151,"name":"Denver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Ac)|(PRM.+XING))"" -"</f>
        <v>grep -hSE -A400 "Enforcement Action" "%USERPROFILE%\AppData\Local\Temp\OnboardLogs"\RTDC4021\*4021*201703091*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31" s="157" t="str">
        <f t="shared" si="1"/>
        <v>start /low /b %USERPROFILE%\Documents\GitHub\eaglep3\Utilities\DownloadLogsFromS3.py --loco 4021 --day 2017-03-09</v>
      </c>
      <c r="AF31" s="1"/>
    </row>
    <row r="32" spans="1:32" x14ac:dyDescent="0.25">
      <c r="A32" s="32">
        <v>42803.751898148148</v>
      </c>
      <c r="B32" s="30" t="s">
        <v>600</v>
      </c>
      <c r="C32" s="30" t="s">
        <v>606</v>
      </c>
      <c r="D32" s="30" t="s">
        <v>49</v>
      </c>
      <c r="E32" s="30" t="s">
        <v>195</v>
      </c>
      <c r="F32" s="43">
        <v>0</v>
      </c>
      <c r="G32" s="43">
        <v>350</v>
      </c>
      <c r="H32" s="43">
        <v>10329</v>
      </c>
      <c r="I32" s="43">
        <v>11097</v>
      </c>
      <c r="J32" s="30" t="s">
        <v>196</v>
      </c>
      <c r="K32" s="43">
        <v>10714</v>
      </c>
      <c r="L32" s="143" t="s">
        <v>50</v>
      </c>
      <c r="M32" s="144">
        <f>CONVERT((I32-K32)/10000,"mi","ft")*IF(L32="Increasing Mileposts (1)",-1,1)</f>
        <v>-202.22399999999999</v>
      </c>
      <c r="N32" s="145" t="str">
        <f>VLOOKUP(C32,'Trips&amp;Operators'!$C$1:$G$99999,5,FALSE)</f>
        <v>STORY SAMANTHA</v>
      </c>
      <c r="O32" s="194" t="s">
        <v>445</v>
      </c>
      <c r="P32" s="146"/>
      <c r="Q32" s="30"/>
      <c r="R32" s="89" t="e">
        <f>IF(VLOOKUP(C32,'Train Runs'!$A$13:$AE$9945,1,1)=C32,VLOOKUP(C32,'Train Runs'!$A$13:$AE$9945,31,1),NA())</f>
        <v>#N/A</v>
      </c>
      <c r="S32" s="92" t="e">
        <f>IF(VLOOKUP(C32,'Train Runs'!$A$13:$AE$9945,1,1)=C32,VLOOKUP(C32,'Train Runs'!$A$13:$AE$9945,22,1),NA())</f>
        <v>#N/A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/stypes="*4007*201703100*" /stext=" 01:.+((SYSTEM_STATE.+slice.+state.+changed )|(ment ac)|(multiple cpu faults)|(system.+state.+changed )|(\[timeout)|(PRM\|1\|D)|(kpr)|(kdp)|(\|lc)|(penalty))"</v>
      </c>
      <c r="U32" s="9" t="str">
        <f>MID(B32,13,4)</f>
        <v>4007</v>
      </c>
      <c r="V32" s="32">
        <f>A32-utc_offset/24</f>
        <v>42804.043564814812</v>
      </c>
      <c r="W32" s="46" t="str">
        <f>IFERROR(IF(VALUE(LEFT(IF(LEN(C32)=6,"0"&amp;C32,C32),2))&lt;=2,"EC",IF(OR(VALUE(LEFT(IF(LEN(C32)=6,"0"&amp;C32,C32),2))=8,VALUE(LEFT(IF(LEN(C32)=6,"0"&amp;C32,C32),2))=18),"NW","Other")),"Other")</f>
        <v>NW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{"issue":{"subject":"","project_id":79,"tracker_id":40,"status_id":1,"priority_id":2,"assigned_to_id":23,"start_date":"2017-03-09","description":"","custom_fields":[{"id":1,"name":"Subdivision","value":"NW"},{"id":4,"name":"Milepost","value":"1.0714"},{"id":17,"name":"Train ID","value":"835-09"},{"id":16,"name":"Locomotive ID","value":"4007"},{"id":130,"name":"Impact","value":""},{"id":150,"name":"Time of Event (Mountain Time)","value":"18:02:44"},{"id":151,"name":"Denver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Ac)|(PRM.+XING))"" -"</f>
        <v>grep -hSE -A400 "Enforcement Action" "%USERPROFILE%\AppData\Local\Temp\OnboardLogs"\RTDC4007\*4007*201703100*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"%USERPROFILE%\AppData\Local\Temp\OnboardLogs"\RTDC4007\*4007*201703100* &gt;&gt; 2017-03-09-SliceDisagreementCheck.txt</v>
      </c>
      <c r="AE32" s="157" t="str">
        <f t="shared" si="1"/>
        <v>start /low /b %USERPROFILE%\Documents\GitHub\eaglep3\Utilities\DownloadLogsFromS3.py --loco 4007 --day 2017-03-10</v>
      </c>
      <c r="AF32" s="1"/>
    </row>
    <row r="33" spans="1:32" x14ac:dyDescent="0.25">
      <c r="A33" s="32">
        <v>42803.35560185185</v>
      </c>
      <c r="B33" s="30" t="s">
        <v>190</v>
      </c>
      <c r="C33" s="30" t="s">
        <v>582</v>
      </c>
      <c r="D33" s="30" t="s">
        <v>49</v>
      </c>
      <c r="E33" s="30" t="s">
        <v>238</v>
      </c>
      <c r="F33" s="43">
        <v>150</v>
      </c>
      <c r="G33" s="43">
        <v>201</v>
      </c>
      <c r="H33" s="43">
        <v>56568</v>
      </c>
      <c r="I33" s="43">
        <v>56838</v>
      </c>
      <c r="J33" s="30" t="s">
        <v>239</v>
      </c>
      <c r="K33" s="43">
        <v>57008</v>
      </c>
      <c r="L33" s="143" t="s">
        <v>50</v>
      </c>
      <c r="M33" s="144">
        <f>CONVERT((I33-K33)/10000,"mi","ft")*IF(L33="Increasing Mileposts (1)",-1,1)</f>
        <v>89.76</v>
      </c>
      <c r="N33" s="145" t="str">
        <f>VLOOKUP(C33,'Trips&amp;Operators'!$C$1:$G$99999,5,FALSE)</f>
        <v>LOZA FIDEL</v>
      </c>
      <c r="O33" s="194" t="s">
        <v>185</v>
      </c>
      <c r="P33" s="146"/>
      <c r="Q33" s="30"/>
      <c r="R33" s="89" t="str">
        <f>IF(VLOOKUP(C33,'Train Runs'!$A$13:$AE$9945,1,1)=C33,VLOOKUP(C33,'Train Runs'!$A$13:$AE$9945,31,1),NA())</f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S33" s="92" t="str">
        <f>IF(VLOOKUP(C33,'Train Runs'!$A$13:$AE$9945,1,1)=C33,VLOOKUP(C33,'Train Runs'!$A$13:$AE$9945,22,1),NA())</f>
        <v>https://d0f6bd738d7f1b3e5a7ca70fe4ff75f0.us-east-1.aws.found.io/app/kibana#/discover/Steve-Slow-Train-Analysis-(2080s-and-2083s)?_g=(refreshInterval:(display:Off,pause:!f,section:0,value:0),time:(from:'2017-03-09T07:18:42-0700',mode:absolute,to:'2017-03-09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/stypes="*4011*201703091*" /stext=" 15:.+((SYSTEM_STATE.+slice.+state.+changed )|(ment ac)|(multiple cpu faults)|(system.+state.+changed )|(\[timeout)|(PRM\|1\|D)|(kpr)|(kdp)|(\|lc)|(penalty))"</v>
      </c>
      <c r="U33" s="9" t="str">
        <f>MID(B33,13,4)</f>
        <v>4011</v>
      </c>
      <c r="V33" s="32">
        <f>A33-utc_offset/24</f>
        <v>42803.647268518514</v>
      </c>
      <c r="W33" s="46" t="str">
        <f>IFERROR(IF(VALUE(LEFT(IF(LEN(C33)=6,"0"&amp;C33,C33),2))&lt;=2,"EC",IF(OR(VALUE(LEFT(IF(LEN(C33)=6,"0"&amp;C33,C33),2))=8,VALUE(LEFT(IF(LEN(C33)=6,"0"&amp;C33,C33),2))=18),"NW","Other")),"Other")</f>
        <v>NW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{"issue":{"subject":"","project_id":79,"tracker_id":40,"status_id":1,"priority_id":2,"assigned_to_id":23,"start_date":"2017-03-09","description":"","custom_fields":[{"id":1,"name":"Subdivision","value":"NW"},{"id":4,"name":"Milepost","value":"5.7008"},{"id":17,"name":"Train ID","value":"811-09"},{"id":16,"name":"Locomotive ID","value":"4011"},{"id":130,"name":"Impact","value":""},{"id":150,"name":"Time of Event (Mountain Time)","value":"08:32:04"},{"id":151,"name":"Denver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Ac)|(PRM.+XING))"" -"</f>
        <v>grep -hSE -A400 "Enforcement Action" "%USERPROFILE%\AppData\Local\Temp\OnboardLogs"\RTDC4011\*4011*201703091*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"%USERPROFILE%\AppData\Local\Temp\OnboardLogs"\RTDC4011\*4011*201703091* &gt;&gt; 2017-03-09-SliceDisagreementCheck.txt</v>
      </c>
      <c r="AE33" s="157" t="str">
        <f t="shared" si="1"/>
        <v>start /low /b %USERPROFILE%\Documents\GitHub\eaglep3\Utilities\DownloadLogsFromS3.py --loco 4011 --day 2017-03-09</v>
      </c>
      <c r="AF33" s="1"/>
    </row>
    <row r="34" spans="1:32" x14ac:dyDescent="0.25">
      <c r="A34" s="32">
        <v>42803.496099537035</v>
      </c>
      <c r="B34" s="30" t="s">
        <v>231</v>
      </c>
      <c r="C34" s="30" t="s">
        <v>587</v>
      </c>
      <c r="D34" s="30" t="s">
        <v>49</v>
      </c>
      <c r="E34" s="30" t="s">
        <v>186</v>
      </c>
      <c r="F34" s="43">
        <v>0</v>
      </c>
      <c r="G34" s="43">
        <v>54</v>
      </c>
      <c r="H34" s="43">
        <v>722</v>
      </c>
      <c r="I34" s="43">
        <v>678</v>
      </c>
      <c r="J34" s="30" t="s">
        <v>187</v>
      </c>
      <c r="K34" s="43">
        <v>575</v>
      </c>
      <c r="L34" s="143" t="s">
        <v>51</v>
      </c>
      <c r="M34" s="144">
        <f>CONVERT((I34-K34)/10000,"mi","ft")*IF(L34="Increasing Mileposts (1)",-1,1)</f>
        <v>54.384</v>
      </c>
      <c r="N34" s="145" t="str">
        <f>VLOOKUP(C34,'Trips&amp;Operators'!$C$1:$G$99999,5,FALSE)</f>
        <v>LOZA FIDEL</v>
      </c>
      <c r="O34" s="194" t="s">
        <v>185</v>
      </c>
      <c r="P34" s="146"/>
      <c r="Q34" s="30"/>
      <c r="R34" s="89" t="e">
        <f>IF(VLOOKUP(C34,'Train Runs'!$A$13:$AE$9945,1,1)=C34,VLOOKUP(C34,'Train Runs'!$A$13:$AE$9945,31,1),NA())</f>
        <v>#N/A</v>
      </c>
      <c r="S34" s="92" t="e">
        <f>IF(VLOOKUP(C34,'Train Runs'!$A$13:$AE$9945,1,1)=C34,VLOOKUP(C34,'Train Runs'!$A$13:$AE$9945,22,1),NA())</f>
        <v>#N/A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/stypes="*4012*201703091*" /stext=" 18:.+((SYSTEM_STATE.+slice.+state.+changed )|(ment ac)|(multiple cpu faults)|(system.+state.+changed )|(\[timeout)|(PRM\|1\|D)|(kpr)|(kdp)|(\|lc)|(penalty))"</v>
      </c>
      <c r="U34" s="9" t="str">
        <f>MID(B34,13,4)</f>
        <v>4012</v>
      </c>
      <c r="V34" s="32">
        <f>A34-utc_offset/24</f>
        <v>42803.787766203699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ID","value":"818-09"},{"id":16,"name":"Locomotive ID","value":"4012"},{"id":130,"name":"Impact","value":""},{"id":150,"name":"Time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Ac)|(PRM.+XING))"" -"</f>
        <v>grep -hSE -A400 "Enforcement Action" "%USERPROFILE%\AppData\Local\Temp\OnboardLogs"\RTDC4012\*4012*201703091*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"%USERPROFILE%\AppData\Local\Temp\OnboardLogs"\RTDC4012\*4012*201703091* &gt;&gt; 2017-03-09-SliceDisagreementCheck.txt</v>
      </c>
      <c r="AE34" s="157" t="str">
        <f t="shared" si="1"/>
        <v>start /low /b %USERPROFILE%\Documents\GitHub\eaglep3\Utilities\DownloadLogsFromS3.py --loco 4012 --day 2017-03-09</v>
      </c>
      <c r="AF34" s="1"/>
    </row>
    <row r="35" spans="1:32" x14ac:dyDescent="0.25">
      <c r="A35" s="32">
        <v>42803.579733796294</v>
      </c>
      <c r="B35" s="30" t="s">
        <v>231</v>
      </c>
      <c r="C35" s="30" t="s">
        <v>592</v>
      </c>
      <c r="D35" s="30" t="s">
        <v>49</v>
      </c>
      <c r="E35" s="30" t="s">
        <v>186</v>
      </c>
      <c r="F35" s="43">
        <v>0</v>
      </c>
      <c r="G35" s="43">
        <v>56</v>
      </c>
      <c r="H35" s="43">
        <v>757</v>
      </c>
      <c r="I35" s="43">
        <v>717</v>
      </c>
      <c r="J35" s="30" t="s">
        <v>187</v>
      </c>
      <c r="K35" s="43">
        <v>575</v>
      </c>
      <c r="L35" s="143" t="s">
        <v>51</v>
      </c>
      <c r="M35" s="144">
        <f>CONVERT((I35-K35)/10000,"mi","ft")*IF(L35="Increasing Mileposts (1)",-1,1)</f>
        <v>74.975999999999999</v>
      </c>
      <c r="N35" s="145" t="str">
        <f>VLOOKUP(C35,'Trips&amp;Operators'!$C$1:$G$99999,5,FALSE)</f>
        <v>LEVERE CRAIG</v>
      </c>
      <c r="O35" s="194" t="s">
        <v>185</v>
      </c>
      <c r="P35" s="146"/>
      <c r="Q35" s="30"/>
      <c r="R35" s="89" t="e">
        <f>IF(VLOOKUP(C35,'Train Runs'!$A$13:$AE$9945,1,1)=C35,VLOOKUP(C35,'Train Runs'!$A$13:$AE$9945,31,1),NA())</f>
        <v>#N/A</v>
      </c>
      <c r="S35" s="92" t="e">
        <f>IF(VLOOKUP(C35,'Train Runs'!$A$13:$AE$9945,1,1)=C35,VLOOKUP(C35,'Train Runs'!$A$13:$AE$9945,22,1),NA())</f>
        <v>#N/A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/stypes="*4012*201703092*" /stext=" 20:.+((SYSTEM_STATE.+slice.+state.+changed )|(ment ac)|(multiple cpu faults)|(system.+state.+changed )|(\[timeout)|(PRM\|1\|D)|(kpr)|(kdp)|(\|lc)|(penalty))"</v>
      </c>
      <c r="U35" s="9" t="str">
        <f>MID(B35,13,4)</f>
        <v>4012</v>
      </c>
      <c r="V35" s="32">
        <f>A35-utc_offset/24</f>
        <v>42803.871400462958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ID","value":"822-09"},{"id":16,"name":"Locomotive ID","value":"4012"},{"id":130,"name":"Impact","value":""},{"id":150,"name":"Time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"%USERPROFILE%\AppData\Local\Temp\OnboardLogs"\RTDC4012\*4012*201703092*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"%USERPROFILE%\AppData\Local\Temp\OnboardLogs"\RTDC4012\*4012*201703092* &gt;&gt; 2017-03-09-SliceDisagreementCheck.txt</v>
      </c>
      <c r="AE35" s="157" t="str">
        <f t="shared" si="1"/>
        <v>start /low /b %USERPROFILE%\Documents\GitHub\eaglep3\Utilities\DownloadLogsFromS3.py --loco 4012 --day 2017-03-09</v>
      </c>
      <c r="AF35" s="1"/>
    </row>
    <row r="36" spans="1:32" x14ac:dyDescent="0.25">
      <c r="A36" s="32">
        <v>42803.667175925926</v>
      </c>
      <c r="B36" s="30" t="s">
        <v>231</v>
      </c>
      <c r="C36" s="30" t="s">
        <v>599</v>
      </c>
      <c r="D36" s="30" t="s">
        <v>49</v>
      </c>
      <c r="E36" s="30" t="s">
        <v>186</v>
      </c>
      <c r="F36" s="43">
        <v>0</v>
      </c>
      <c r="G36" s="43">
        <v>49</v>
      </c>
      <c r="H36" s="43">
        <v>759</v>
      </c>
      <c r="I36" s="43">
        <v>715</v>
      </c>
      <c r="J36" s="30" t="s">
        <v>187</v>
      </c>
      <c r="K36" s="43">
        <v>575</v>
      </c>
      <c r="L36" s="143" t="s">
        <v>51</v>
      </c>
      <c r="M36" s="144">
        <f>CONVERT((I36-K36)/10000,"mi","ft")*IF(L36="Increasing Mileposts (1)",-1,1)</f>
        <v>73.92</v>
      </c>
      <c r="N36" s="145" t="str">
        <f>VLOOKUP(C36,'Trips&amp;Operators'!$C$1:$G$99999,5,FALSE)</f>
        <v>LEVERE CRAIG</v>
      </c>
      <c r="O36" s="194" t="s">
        <v>185</v>
      </c>
      <c r="P36" s="146"/>
      <c r="Q36" s="30"/>
      <c r="R36" s="89" t="e">
        <f>IF(VLOOKUP(C36,'Train Runs'!$A$13:$AE$9945,1,1)=C36,VLOOKUP(C36,'Train Runs'!$A$13:$AE$9945,31,1),NA())</f>
        <v>#N/A</v>
      </c>
      <c r="S36" s="92" t="e">
        <f>IF(VLOOKUP(C36,'Train Runs'!$A$13:$AE$9945,1,1)=C36,VLOOKUP(C36,'Train Runs'!$A$13:$AE$9945,22,1),NA())</f>
        <v>#N/A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/stypes="*4012*201703092*" /stext=" 23:.+((SYSTEM_STATE.+slice.+state.+changed )|(ment ac)|(multiple cpu faults)|(system.+state.+changed )|(\[timeout)|(PRM\|1\|D)|(kpr)|(kdp)|(\|lc)|(penalty))"</v>
      </c>
      <c r="U36" s="9" t="str">
        <f>MID(B36,13,4)</f>
        <v>4012</v>
      </c>
      <c r="V36" s="32">
        <f>A36-utc_offset/24</f>
        <v>42803.95884259259</v>
      </c>
      <c r="W36" s="46" t="str">
        <f>IFERROR(IF(VALUE(LEFT(IF(LEN(C36)=6,"0"&amp;C36,C36),2))&lt;=2,"EC",IF(OR(VALUE(LEFT(IF(LEN(C36)=6,"0"&amp;C36,C36),2))=8,VALUE(LEFT(IF(LEN(C36)=6,"0"&amp;C36,C36),2))=18),"NW","Other")),"Other")</f>
        <v>NW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ID","value":"826-09"},{"id":16,"name":"Locomotive ID","value":"4012"},{"id":130,"name":"Impact","value":""},{"id":150,"name":"Time of Event (Mountain Time)","value":"16:00:44"},{"id":151,"name":"Denver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Ac)|(PRM.+XING))"" -"</f>
        <v>grep -hSE -A400 "Enforcement Action" "%USERPROFILE%\AppData\Local\Temp\OnboardLogs"\RTDC4012\*4012*201703092*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"%USERPROFILE%\AppData\Local\Temp\OnboardLogs"\RTDC4012\*4012*201703092* &gt;&gt; 2017-03-09-SliceDisagreementCheck.txt</v>
      </c>
      <c r="AE36" s="157" t="str">
        <f t="shared" si="1"/>
        <v>start /low /b %USERPROFILE%\Documents\GitHub\eaglep3\Utilities\DownloadLogsFromS3.py --loco 4012 --day 2017-03-09</v>
      </c>
      <c r="AF36" s="1"/>
    </row>
    <row r="37" spans="1:32" x14ac:dyDescent="0.25">
      <c r="A37" s="32">
        <v>42803.913576388892</v>
      </c>
      <c r="B37" s="30" t="s">
        <v>231</v>
      </c>
      <c r="C37" s="30" t="s">
        <v>610</v>
      </c>
      <c r="D37" s="30" t="s">
        <v>49</v>
      </c>
      <c r="E37" s="30" t="s">
        <v>186</v>
      </c>
      <c r="F37" s="43">
        <v>0</v>
      </c>
      <c r="G37" s="43">
        <v>34</v>
      </c>
      <c r="H37" s="43">
        <v>691</v>
      </c>
      <c r="I37" s="43">
        <v>657</v>
      </c>
      <c r="J37" s="30" t="s">
        <v>187</v>
      </c>
      <c r="K37" s="43">
        <v>575</v>
      </c>
      <c r="L37" s="143" t="s">
        <v>51</v>
      </c>
      <c r="M37" s="144">
        <f>CONVERT((I37-K37)/10000,"mi","ft")*IF(L37="Increasing Mileposts (1)",-1,1)</f>
        <v>43.296000000000006</v>
      </c>
      <c r="N37" s="145" t="str">
        <f>VLOOKUP(C37,'Trips&amp;Operators'!$C$1:$G$99999,5,FALSE)</f>
        <v>STORY SAMANTHA</v>
      </c>
      <c r="O37" s="194" t="s">
        <v>185</v>
      </c>
      <c r="P37" s="146"/>
      <c r="Q37" s="30"/>
      <c r="R37" s="89" t="e">
        <f>IF(VLOOKUP(C37,'Train Runs'!$A$13:$AE$9945,1,1)=C37,VLOOKUP(C37,'Train Runs'!$A$13:$AE$9945,31,1),NA())</f>
        <v>#N/A</v>
      </c>
      <c r="S37" s="92" t="e">
        <f>IF(VLOOKUP(C37,'Train Runs'!$A$13:$AE$9945,1,1)=C37,VLOOKUP(C37,'Train Runs'!$A$13:$AE$9945,22,1),NA())</f>
        <v>#N/A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/stypes="*4012*201703100*" /stext=" 04:.+((SYSTEM_STATE.+slice.+state.+changed )|(ment ac)|(multiple cpu faults)|(system.+state.+changed )|(\[timeout)|(PRM\|1\|D)|(kpr)|(kdp)|(\|lc)|(penalty))"</v>
      </c>
      <c r="U37" s="9" t="str">
        <f>MID(B37,13,4)</f>
        <v>4012</v>
      </c>
      <c r="V37" s="32">
        <f>A37-utc_offset/24</f>
        <v>42804.205243055556</v>
      </c>
      <c r="W37" s="46" t="str">
        <f>IFERROR(IF(VALUE(LEFT(IF(LEN(C37)=6,"0"&amp;C37,C37),2))&lt;=2,"EC",IF(OR(VALUE(LEFT(IF(LEN(C37)=6,"0"&amp;C37,C37),2))=8,VALUE(LEFT(IF(LEN(C37)=6,"0"&amp;C37,C37),2))=18),"NW","Other")),"Other")</f>
        <v>NW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ID","value":"844-09"},{"id":16,"name":"Locomotive ID","value":"4012"},{"id":130,"name":"Impact","value":""},{"id":150,"name":"Time of Event (Mountain Time)","value":"21:55:33"},{"id":151,"name":"Denver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Ac)|(PRM.+XING))"" -"</f>
        <v>grep -hSE -A400 "Enforcement Action" "%USERPROFILE%\AppData\Local\Temp\OnboardLogs"\RTDC4012\*4012*201703100*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"%USERPROFILE%\AppData\Local\Temp\OnboardLogs"\RTDC4012\*4012*201703100* &gt;&gt; 2017-03-09-SliceDisagreementCheck.txt</v>
      </c>
      <c r="AE37" s="157" t="str">
        <f t="shared" si="1"/>
        <v>start /low /b %USERPROFILE%\Documents\GitHub\eaglep3\Utilities\DownloadLogsFromS3.py --loco 4012 --day 2017-03-10</v>
      </c>
      <c r="AF37" s="1"/>
    </row>
    <row r="38" spans="1:32" x14ac:dyDescent="0.25">
      <c r="A38" s="32">
        <v>42803.712094907409</v>
      </c>
      <c r="B38" s="30" t="s">
        <v>600</v>
      </c>
      <c r="C38" s="30" t="s">
        <v>601</v>
      </c>
      <c r="D38" s="30" t="s">
        <v>98</v>
      </c>
      <c r="E38" s="30" t="s">
        <v>186</v>
      </c>
      <c r="F38" s="43">
        <v>0</v>
      </c>
      <c r="G38" s="43">
        <v>8</v>
      </c>
      <c r="H38" s="43">
        <v>59048</v>
      </c>
      <c r="I38" s="43">
        <v>0</v>
      </c>
      <c r="J38" s="30" t="s">
        <v>187</v>
      </c>
      <c r="K38" s="43">
        <v>59048</v>
      </c>
      <c r="L38" s="143" t="s">
        <v>50</v>
      </c>
      <c r="M38" s="144">
        <f>CONVERT((I38-K38)/10000,"mi","ft")*IF(L38="Increasing Mileposts (1)",-1,1)</f>
        <v>31177.344000000001</v>
      </c>
      <c r="N38" s="145" t="str">
        <f>VLOOKUP(C38,'Trips&amp;Operators'!$C$1:$G$99999,5,FALSE)</f>
        <v>STORY SAMANTHA</v>
      </c>
      <c r="O38" s="194" t="s">
        <v>185</v>
      </c>
      <c r="P38" s="146"/>
      <c r="Q38" s="30"/>
      <c r="R38" s="89" t="e">
        <f>IF(VLOOKUP(C38,'Train Runs'!$A$13:$AE$9945,1,1)=C38,VLOOKUP(C38,'Train Runs'!$A$13:$AE$9945,31,1),NA())</f>
        <v>#N/A</v>
      </c>
      <c r="S38" s="92" t="e">
        <f>IF(VLOOKUP(C38,'Train Runs'!$A$13:$AE$9945,1,1)=C38,VLOOKUP(C38,'Train Runs'!$A$13:$AE$9945,22,1),NA())</f>
        <v>#N/A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/stypes="*4007*201703100*" /stext=" 00:.+((SYSTEM_STATE.+slice.+state.+changed )|(ment ac)|(multiple cpu faults)|(system.+state.+changed )|(\[timeout)|(PRM\|1\|D)|(kpr)|(kdp)|(\|lc)|(penalty))"</v>
      </c>
      <c r="U38" s="9" t="str">
        <f>MID(B38,13,4)</f>
        <v>4007</v>
      </c>
      <c r="V38" s="32">
        <f>A38-utc_offset/24</f>
        <v>42804.003761574073</v>
      </c>
      <c r="W38" s="46" t="str">
        <f>IFERROR(IF(VALUE(LEFT(IF(LEN(C38)=6,"0"&amp;C38,C38),2))&lt;=2,"EC",IF(OR(VALUE(LEFT(IF(LEN(C38)=6,"0"&amp;C38,C38),2))=8,VALUE(LEFT(IF(LEN(C38)=6,"0"&amp;C38,C38),2))=18),"NW","Other")),"Other")</f>
        <v>NW</v>
      </c>
      <c r="X38" s="46" t="str">
        <f>IF(AND(E38="TRACK WARRANT AUTHORITY",G38&lt;10),"OMIT","KEEP")</f>
        <v>OMIT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{"issue":{"subject":"","project_id":79,"tracker_id":40,"status_id":1,"priority_id":2,"assigned_to_id":23,"start_date":"2017-03-09","description":"","custom_fields":[{"id":1,"name":"Subdivision","value":"NW"},{"id":4,"name":"Milepost","value":"5.9048"},{"id":17,"name":"Train ID","value":"831-09"},{"id":16,"name":"Locomotive ID","value":"4007"},{"id":130,"name":"Impact","value":""},{"id":150,"name":"Time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Ac)|(PRM.+XING))"" -"</f>
        <v>grep -hSE -A400 "Enforcement Action" "%USERPROFILE%\AppData\Local\Temp\OnboardLogs"\RTDC4007\*4007*201703100*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"%USERPROFILE%\AppData\Local\Temp\OnboardLogs"\RTDC4007\*4007*201703100* &gt;&gt; 2017-03-09-SliceDisagreementCheck.txt</v>
      </c>
      <c r="AE38" s="157" t="str">
        <f t="shared" si="1"/>
        <v>start /low /b %USERPROFILE%\Documents\GitHub\eaglep3\Utilities\DownloadLogsFromS3.py --loco 4007 --day 2017-03-10</v>
      </c>
      <c r="AF38" s="1"/>
    </row>
    <row r="39" spans="1:32" x14ac:dyDescent="0.25">
      <c r="A39" s="32">
        <v>42803.899143518516</v>
      </c>
      <c r="B39" s="30" t="s">
        <v>190</v>
      </c>
      <c r="C39" s="30" t="s">
        <v>609</v>
      </c>
      <c r="D39" s="30" t="s">
        <v>49</v>
      </c>
      <c r="E39" s="30" t="s">
        <v>186</v>
      </c>
      <c r="F39" s="43">
        <v>0</v>
      </c>
      <c r="G39" s="43">
        <v>103</v>
      </c>
      <c r="H39" s="43">
        <v>58645</v>
      </c>
      <c r="I39" s="43">
        <v>58801</v>
      </c>
      <c r="J39" s="30" t="s">
        <v>187</v>
      </c>
      <c r="K39" s="43">
        <v>59058</v>
      </c>
      <c r="L39" s="143" t="s">
        <v>50</v>
      </c>
      <c r="M39" s="144">
        <f>CONVERT((I39-K39)/10000,"mi","ft")*IF(L39="Increasing Mileposts (1)",-1,1)</f>
        <v>135.696</v>
      </c>
      <c r="N39" s="145" t="str">
        <f>VLOOKUP(C39,'Trips&amp;Operators'!$C$1:$G$99999,5,FALSE)</f>
        <v>STORY SAMANTHA</v>
      </c>
      <c r="O39" s="194" t="s">
        <v>185</v>
      </c>
      <c r="P39" s="146"/>
      <c r="Q39" s="30"/>
      <c r="R39" s="89" t="e">
        <f>IF(VLOOKUP(C39,'Train Runs'!$A$13:$AE$9945,1,1)=C39,VLOOKUP(C39,'Train Runs'!$A$13:$AE$9945,31,1),NA())</f>
        <v>#N/A</v>
      </c>
      <c r="S39" s="92" t="e">
        <f>IF(VLOOKUP(C39,'Train Runs'!$A$13:$AE$9945,1,1)=C39,VLOOKUP(C39,'Train Runs'!$A$13:$AE$9945,22,1),NA())</f>
        <v>#N/A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/stypes="*4011*201703100*" /stext=" 04:.+((SYSTEM_STATE.+slice.+state.+changed )|(ment ac)|(multiple cpu faults)|(system.+state.+changed )|(\[timeout)|(PRM\|1\|D)|(kpr)|(kdp)|(\|lc)|(penalty))"</v>
      </c>
      <c r="U39" s="9" t="str">
        <f>MID(B39,13,4)</f>
        <v>4011</v>
      </c>
      <c r="V39" s="32">
        <f>A39-utc_offset/24</f>
        <v>42804.19081018518</v>
      </c>
      <c r="W39" s="46" t="str">
        <f>IFERROR(IF(VALUE(LEFT(IF(LEN(C39)=6,"0"&amp;C39,C39),2))&lt;=2,"EC",IF(OR(VALUE(LEFT(IF(LEN(C39)=6,"0"&amp;C39,C39),2))=8,VALUE(LEFT(IF(LEN(C39)=6,"0"&amp;C39,C39),2))=18),"NW","Other")),"Other")</f>
        <v>NW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{"issue":{"subject":"","project_id":79,"tracker_id":40,"status_id":1,"priority_id":2,"assigned_to_id":23,"start_date":"2017-03-09","description":"","custom_fields":[{"id":1,"name":"Subdivision","value":"NW"},{"id":4,"name":"Milepost","value":"5.9058"},{"id":17,"name":"Train ID","value":"845-09"},{"id":16,"name":"Locomotive ID","value":"4011"},{"id":130,"name":"Impact","value":""},{"id":150,"name":"Time of Event (Mountain Time)","value":"21:34:46"},{"id":151,"name":"Denver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"%USERPROFILE%\AppData\Local\Temp\OnboardLogs"\RTDC4011\*4011*201703100*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"%USERPROFILE%\AppData\Local\Temp\OnboardLogs"\RTDC4011\*4011*201703100* &gt;&gt; 2017-03-09-SliceDisagreementCheck.txt</v>
      </c>
      <c r="AE39" s="157" t="str">
        <f t="shared" si="1"/>
        <v>start /low /b %USERPROFILE%\Documents\GitHub\eaglep3\Utilities\DownloadLogsFromS3.py --loco 4011 --day 2017-03-10</v>
      </c>
      <c r="AF39" s="1"/>
    </row>
    <row r="40" spans="1:32" x14ac:dyDescent="0.25">
      <c r="A40" s="32">
        <v>42803.799270833333</v>
      </c>
      <c r="B40" s="30" t="s">
        <v>594</v>
      </c>
      <c r="C40" s="30" t="s">
        <v>608</v>
      </c>
      <c r="D40" s="30" t="s">
        <v>98</v>
      </c>
      <c r="E40" s="30" t="s">
        <v>238</v>
      </c>
      <c r="F40" s="43">
        <v>150</v>
      </c>
      <c r="G40" s="43">
        <v>200</v>
      </c>
      <c r="H40" s="43">
        <v>57039</v>
      </c>
      <c r="I40" s="43">
        <v>56695</v>
      </c>
      <c r="J40" s="30" t="s">
        <v>239</v>
      </c>
      <c r="K40" s="43">
        <v>59060</v>
      </c>
      <c r="L40" s="143" t="s">
        <v>51</v>
      </c>
      <c r="M40" s="144">
        <f>CONVERT((I40-K40)/10000,"mi","ft")*IF(L40="Increasing Mileposts (1)",-1,1)</f>
        <v>-1248.72</v>
      </c>
      <c r="N40" s="145" t="str">
        <f>VLOOKUP(C40,'Trips&amp;Operators'!$C$1:$G$99999,5,FALSE)</f>
        <v>STORY SAMANTHA</v>
      </c>
      <c r="O40" s="194" t="s">
        <v>185</v>
      </c>
      <c r="P40" s="146"/>
      <c r="Q40" s="30"/>
      <c r="R40" s="89" t="e">
        <f>IF(VLOOKUP(C40,'Train Runs'!$A$13:$AE$9945,1,1)=C40,VLOOKUP(C40,'Train Runs'!$A$13:$AE$9945,31,1),NA())</f>
        <v>#N/A</v>
      </c>
      <c r="S40" s="92" t="e">
        <f>IF(VLOOKUP(C40,'Train Runs'!$A$13:$AE$9945,1,1)=C40,VLOOKUP(C40,'Train Runs'!$A$13:$AE$9945,22,1),NA())</f>
        <v>#N/A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/stypes="*4008*201703100*" /stext=" 02:.+((SYSTEM_STATE.+slice.+state.+changed )|(ment ac)|(multiple cpu faults)|(system.+state.+changed )|(\[timeout)|(PRM\|1\|D)|(kpr)|(kdp)|(\|lc)|(penalty))"</v>
      </c>
      <c r="U40" s="9" t="str">
        <f>MID(B40,13,4)</f>
        <v>4008</v>
      </c>
      <c r="V40" s="32">
        <f>A40-utc_offset/24</f>
        <v>42804.090937499997</v>
      </c>
      <c r="W40" s="46" t="str">
        <f>IFERROR(IF(VALUE(LEFT(IF(LEN(C40)=6,"0"&amp;C40,C40),2))&lt;=2,"EC",IF(OR(VALUE(LEFT(IF(LEN(C40)=6,"0"&amp;C40,C40),2))=8,VALUE(LEFT(IF(LEN(C40)=6,"0"&amp;C40,C40),2))=18),"NW","Other")),"Other")</f>
        <v>Other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{"issue":{"subject":"","project_id":79,"tracker_id":40,"status_id":1,"priority_id":2,"assigned_to_id":23,"start_date":"2017-03-09","description":"","custom_fields":[{"id":1,"name":"Subdivision","value":"Other"},{"id":4,"name":"Milepost","value":"5.906"},{"id":17,"name":"Train ID","value":"906-09"},{"id":16,"name":"Locomotive ID","value":"4008"},{"id":130,"name":"Impact","value":""},{"id":150,"name":"Time of Event (Mountain Time)","value":"19:10:57"},{"id":151,"name":"Denver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Ac)|(PRM.+XING))"" -"</f>
        <v>grep -hSE -A400 "Enforcement Action" "%USERPROFILE%\AppData\Local\Temp\OnboardLogs"\RTDC4008\*4008*201703100*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"%USERPROFILE%\AppData\Local\Temp\OnboardLogs"\RTDC4008\*4008*201703100* &gt;&gt; 2017-03-09-SliceDisagreementCheck.txt</v>
      </c>
      <c r="AE40" s="157" t="str">
        <f t="shared" si="1"/>
        <v>start /low /b %USERPROFILE%\Documents\GitHub\eaglep3\Utilities\DownloadLogsFromS3.py --loco 4008 --day 2017-03-10</v>
      </c>
      <c r="AF40" s="1"/>
    </row>
    <row r="41" spans="1:32" x14ac:dyDescent="0.25">
      <c r="A41" s="32">
        <v>42803.643912037034</v>
      </c>
      <c r="B41" s="30" t="s">
        <v>594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46</v>
      </c>
      <c r="H41" s="43">
        <v>713</v>
      </c>
      <c r="I41" s="43">
        <v>664</v>
      </c>
      <c r="J41" s="30" t="s">
        <v>187</v>
      </c>
      <c r="K41" s="43">
        <v>575</v>
      </c>
      <c r="L41" s="143" t="s">
        <v>51</v>
      </c>
      <c r="M41" s="144">
        <f>CONVERT((I41-K41)/10000,"mi","ft")*IF(L41="Increasing Mileposts (1)",-1,1)</f>
        <v>46.991999999999997</v>
      </c>
      <c r="N41" s="145" t="str">
        <f>VLOOKUP(C41,'Trips&amp;Operators'!$C$1:$G$99999,5,FALSE)</f>
        <v>STORY SAMANTHA</v>
      </c>
      <c r="O41" s="194" t="s">
        <v>185</v>
      </c>
      <c r="P41" s="146"/>
      <c r="Q41" s="30"/>
      <c r="R41" s="89" t="e">
        <f>IF(VLOOKUP(C41,'Train Runs'!$A$13:$AE$9945,1,1)=C41,VLOOKUP(C41,'Train Runs'!$A$13:$AE$9945,31,1),NA())</f>
        <v>#N/A</v>
      </c>
      <c r="S41" s="92" t="e">
        <f>IF(VLOOKUP(C41,'Train Runs'!$A$13:$AE$9945,1,1)=C41,VLOOKUP(C41,'Train Runs'!$A$13:$AE$9945,22,1),NA())</f>
        <v>#N/A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/stypes="*4008*201703092*" /stext=" 22:.+((SYSTEM_STATE.+slice.+state.+changed )|(ment ac)|(multiple cpu faults)|(system.+state.+changed )|(\[timeout)|(PRM\|1\|D)|(kpr)|(kdp)|(\|lc)|(penalty))"</v>
      </c>
      <c r="U41" s="9" t="str">
        <f>MID(B41,13,4)</f>
        <v>4008</v>
      </c>
      <c r="V41" s="32">
        <f>A41-utc_offset/24</f>
        <v>42803.935578703698</v>
      </c>
      <c r="W41" s="46" t="str">
        <f>IFERROR(IF(VALUE(LEFT(IF(LEN(C41)=6,"0"&amp;C41,C41),2))&lt;=2,"EC",IF(OR(VALUE(LEFT(IF(LEN(C41)=6,"0"&amp;C41,C41),2))=8,VALUE(LEFT(IF(LEN(C41)=6,"0"&amp;C41,C41),2))=18),"NW","Other")),"Other")</f>
        <v>Other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{"issue":{"subject":"","project_id":79,"tracker_id":40,"status_id":1,"priority_id":2,"assigned_to_id":23,"start_date":"2017-03-09","description":"","custom_fields":[{"id":1,"name":"Subdivision","value":"Other"},{"id":4,"name":"Milepost","value":"0.0575"},{"id":17,"name":"Train ID","value":"904-09"},{"id":16,"name":"Locomotive ID","value":"4008"},{"id":130,"name":"Impact","value":""},{"id":150,"name":"Time of Event (Mountain Time)","value":"15:27:14"},{"id":151,"name":"Denver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Ac)|(PRM.+XING))"" -"</f>
        <v>grep -hSE -A400 "Enforcement Action" "%USERPROFILE%\AppData\Local\Temp\OnboardLogs"\RTDC4008\*4008*201703092*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"%USERPROFILE%\AppData\Local\Temp\OnboardLogs"\RTDC4008\*4008*201703092* &gt;&gt; 2017-03-09-SliceDisagreementCheck.txt</v>
      </c>
      <c r="AE41" s="157" t="str">
        <f t="shared" si="1"/>
        <v>start /low /b %USERPROFILE%\Documents\GitHub\eaglep3\Utilities\DownloadLogsFromS3.py --loco 4008 --day 2017-03-09</v>
      </c>
      <c r="AF41" s="1"/>
    </row>
    <row r="42" spans="1:32" x14ac:dyDescent="0.25">
      <c r="A42" s="32">
        <v>42803.460451388892</v>
      </c>
      <c r="B42" s="30" t="s">
        <v>503</v>
      </c>
      <c r="C42" s="30" t="s">
        <v>586</v>
      </c>
      <c r="D42" s="30" t="s">
        <v>49</v>
      </c>
      <c r="E42" s="30" t="s">
        <v>186</v>
      </c>
      <c r="F42" s="43">
        <v>0</v>
      </c>
      <c r="G42" s="43">
        <v>16</v>
      </c>
      <c r="H42" s="43">
        <v>835</v>
      </c>
      <c r="I42" s="43">
        <v>828</v>
      </c>
      <c r="J42" s="30" t="s">
        <v>187</v>
      </c>
      <c r="K42" s="43">
        <v>826</v>
      </c>
      <c r="L42" s="143" t="s">
        <v>51</v>
      </c>
      <c r="M42" s="144">
        <f>CONVERT((I42-K42)/10000,"mi","ft")*IF(L42="Increasing Mileposts (1)",-1,1)</f>
        <v>1.056</v>
      </c>
      <c r="N42" s="145" t="str">
        <f>VLOOKUP(C42,'Trips&amp;Operators'!$C$1:$G$99999,5,FALSE)</f>
        <v>DE LA ROSA ALEX</v>
      </c>
      <c r="O42" s="194" t="s">
        <v>185</v>
      </c>
      <c r="P42" s="146"/>
      <c r="Q42" s="30"/>
      <c r="R42" s="89" t="e">
        <f>IF(VLOOKUP(C42,'Train Runs'!$A$13:$AE$9945,1,1)=C42,VLOOKUP(C42,'Train Runs'!$A$13:$AE$9945,31,1),NA())</f>
        <v>#N/A</v>
      </c>
      <c r="S42" s="92" t="e">
        <f>IF(VLOOKUP(C42,'Train Runs'!$A$13:$AE$9945,1,1)=C42,VLOOKUP(C42,'Train Runs'!$A$13:$AE$9945,22,1),NA())</f>
        <v>#N/A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/stypes="*4023*201703091*" /stext=" 18:.+((SYSTEM_STATE.+slice.+state.+changed )|(ment ac)|(multiple cpu faults)|(system.+state.+changed )|(\[timeout)|(PRM\|1\|D)|(kpr)|(kdp)|(\|lc)|(penalty))"</v>
      </c>
      <c r="U42" s="9" t="str">
        <f>MID(B42,13,4)</f>
        <v>4023</v>
      </c>
      <c r="V42" s="32">
        <f>A42-utc_offset/24</f>
        <v>42803.752118055556</v>
      </c>
      <c r="W42" s="46" t="str">
        <f>IFERROR(IF(VALUE(LEFT(IF(LEN(C42)=6,"0"&amp;C42,C42),2))&lt;=2,"EC",IF(OR(VALUE(LEFT(IF(LEN(C42)=6,"0"&amp;C42,C42),2))=8,VALUE(LEFT(IF(LEN(C42)=6,"0"&amp;C42,C42),2))=18),"NW","Other")),"Other")</f>
        <v>Other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{"issue":{"subject":"","project_id":79,"tracker_id":40,"status_id":1,"priority_id":2,"assigned_to_id":23,"start_date":"2017-03-09","description":"","custom_fields":[{"id":1,"name":"Subdivision","value":"Other"},{"id":4,"name":"Milepost","value":"0.0826"},{"id":17,"name":"Train ID","value":"50-09"},{"id":16,"name":"Locomotive ID","value":"4023"},{"id":130,"name":"Impact","value":""},{"id":150,"name":"Time of Event (Mountain Time)","value":"11:03:03"},{"id":151,"name":"Denver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Ac)|(PRM.+XING))"" -"</f>
        <v>grep -hSE -A400 "Enforcement Action" "%USERPROFILE%\AppData\Local\Temp\OnboardLogs"\RTDC4023\*4023*201703091*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"%USERPROFILE%\AppData\Local\Temp\OnboardLogs"\RTDC4023\*4023*201703091* &gt;&gt; 2017-03-09-SliceDisagreementCheck.txt</v>
      </c>
      <c r="AE42" s="157" t="str">
        <f t="shared" si="1"/>
        <v>start /low /b %USERPROFILE%\Documents\GitHub\eaglep3\Utilities\DownloadLogsFromS3.py --loco 4023 --day 2017-03-09</v>
      </c>
      <c r="AF42" s="1"/>
    </row>
    <row r="43" spans="1:32" x14ac:dyDescent="0.25">
      <c r="A43" s="32">
        <v>42803.172037037039</v>
      </c>
      <c r="B43" s="30" t="s">
        <v>252</v>
      </c>
      <c r="C43" s="30" t="s">
        <v>574</v>
      </c>
      <c r="D43" s="30" t="s">
        <v>49</v>
      </c>
      <c r="E43" s="30" t="s">
        <v>186</v>
      </c>
      <c r="F43" s="43">
        <v>0</v>
      </c>
      <c r="G43" s="43">
        <v>13</v>
      </c>
      <c r="H43" s="43">
        <v>854</v>
      </c>
      <c r="I43" s="43">
        <v>845</v>
      </c>
      <c r="J43" s="30" t="s">
        <v>187</v>
      </c>
      <c r="K43" s="43">
        <v>839</v>
      </c>
      <c r="L43" s="143" t="s">
        <v>51</v>
      </c>
      <c r="M43" s="144">
        <f>CONVERT((I43-K43)/10000,"mi","ft")*IF(L43="Increasing Mileposts (1)",-1,1)</f>
        <v>3.1680000000000001</v>
      </c>
      <c r="N43" s="145" t="str">
        <f>VLOOKUP(C43,'Trips&amp;Operators'!$C$1:$G$99999,5,FALSE)</f>
        <v>SPECTOR MICHAEL</v>
      </c>
      <c r="O43" s="194" t="s">
        <v>185</v>
      </c>
      <c r="P43" s="146"/>
      <c r="Q43" s="30"/>
      <c r="R43" s="89" t="e">
        <f>IF(VLOOKUP(C43,'Train Runs'!$A$13:$AE$9945,1,1)=C43,VLOOKUP(C43,'Train Runs'!$A$13:$AE$9945,31,1),NA())</f>
        <v>#N/A</v>
      </c>
      <c r="S43" s="92" t="e">
        <f>IF(VLOOKUP(C43,'Train Runs'!$A$13:$AE$9945,1,1)=C43,VLOOKUP(C43,'Train Runs'!$A$13:$AE$9945,22,1),NA())</f>
        <v>#N/A</v>
      </c>
      <c r="T43" s="94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/stypes="*4013*201703091*" /stext=" 11:.+((SYSTEM_STATE.+slice.+state.+changed )|(ment ac)|(multiple cpu faults)|(system.+state.+changed )|(\[timeout)|(PRM\|1\|D)|(kpr)|(kdp)|(\|lc)|(penalty))"</v>
      </c>
      <c r="U43" s="9" t="str">
        <f>MID(B43,13,4)</f>
        <v>4013</v>
      </c>
      <c r="V43" s="32">
        <f>A43-utc_offset/24</f>
        <v>42803.463703703703</v>
      </c>
      <c r="W43" s="46" t="str">
        <f>IFERROR(IF(VALUE(LEFT(IF(LEN(C43)=6,"0"&amp;C43,C43),2))&lt;=2,"EC",IF(OR(VALUE(LEFT(IF(LEN(C43)=6,"0"&amp;C43,C43),2))=8,VALUE(LEFT(IF(LEN(C43)=6,"0"&amp;C43,C43),2))=18),"NW","Other")),"Other")</f>
        <v>Other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{"issue":{"subject":"","project_id":79,"tracker_id":40,"status_id":1,"priority_id":2,"assigned_to_id":23,"start_date":"2017-03-09","description":"","custom_fields":[{"id":1,"name":"Subdivision","value":"Other"},{"id":4,"name":"Milepost","value":"0.0839"},{"id":17,"name":"Train ID","value":"52-09"},{"id":16,"name":"Locomotive ID","value":"4013"},{"id":130,"name":"Impact","value":""},{"id":150,"name":"Time of Event (Mountain Time)","value":"04:07:44"},{"id":151,"name":"Denver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Ac)|(PRM.+XING))"" -"</f>
        <v>grep -hSE -A400 "Enforcement Action" "%USERPROFILE%\AppData\Local\Temp\OnboardLogs"\RTDC4013\*4013*201703091*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"%USERPROFILE%\AppData\Local\Temp\OnboardLogs"\RTDC4013\*4013*201703091* &gt;&gt; 2017-03-09-SliceDisagreementCheck.txt</v>
      </c>
      <c r="AE43" s="157" t="str">
        <f t="shared" si="1"/>
        <v>start /low /b %USERPROFILE%\Documents\GitHub\eaglep3\Utilities\DownloadLogsFromS3.py --loco 4013 --day 2017-03-09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2017-03-09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-09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Runs'!$A$13:$A$99942,1,FALSE)</f>
        <v>#N/A</v>
      </c>
    </row>
    <row r="4" spans="1:10" x14ac:dyDescent="0.25">
      <c r="A4" s="185"/>
      <c r="B4" s="43" t="str">
        <f>A4&amp;"-"&amp;IF(DAY(Variables!$A$2)&lt;10,0,"")&amp;DAY(Variables!$A$2)</f>
        <v>-09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Runs'!$A$13:$A$99942,1,FALSE)</f>
        <v>#N/A</v>
      </c>
    </row>
    <row r="5" spans="1:10" x14ac:dyDescent="0.25">
      <c r="A5" s="185"/>
      <c r="B5" s="43" t="str">
        <f>A5&amp;"-"&amp;IF(DAY(Variables!$A$2)&lt;10,0,"")&amp;DAY(Variables!$A$2)</f>
        <v>-09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Runs'!$A$13:$A$99942,1,FALSE)</f>
        <v>#N/A</v>
      </c>
    </row>
    <row r="6" spans="1:10" x14ac:dyDescent="0.25">
      <c r="A6" s="185"/>
      <c r="B6" s="43" t="str">
        <f>A6&amp;"-"&amp;IF(DAY(Variables!$A$2)&lt;10,0,"")&amp;DAY(Variables!$A$2)</f>
        <v>-09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Runs'!$A$13:$A$99942,1,FALSE)</f>
        <v>#N/A</v>
      </c>
    </row>
    <row r="7" spans="1:10" x14ac:dyDescent="0.25">
      <c r="A7" s="185"/>
      <c r="B7" s="43" t="str">
        <f>A7&amp;"-"&amp;IF(DAY(Variables!$A$2)&lt;10,0,"")&amp;DAY(Variables!$A$2)</f>
        <v>-09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Runs'!$A$13:$A$99942,1,FALSE)</f>
        <v>#N/A</v>
      </c>
    </row>
    <row r="8" spans="1:10" x14ac:dyDescent="0.25">
      <c r="A8" s="185"/>
      <c r="B8" s="43" t="str">
        <f>A8&amp;"-"&amp;IF(DAY(Variables!$A$2)&lt;10,0,"")&amp;DAY(Variables!$A$2)</f>
        <v>-09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-09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-09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-09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-09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-09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-09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-09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ref="I1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-09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-09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-09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-09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-09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-09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-09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-09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-09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-09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-09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-09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-09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-09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-09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-09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-09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-09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-09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-09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-09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-09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-09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-09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-09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-09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-09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-09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-09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-09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-09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-09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ref="I47:I7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-09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-09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-09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-09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-09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-09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-09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-09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-09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-09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-09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-09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-09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-09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-09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-09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-09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-09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-09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-09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-09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-09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-09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-09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-09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-09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-09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-09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-09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-09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-09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-09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ref="I79:I10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-09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-09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-09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-09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-09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-09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-09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-09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-09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-09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-09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-09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1" s="30" t="e">
        <f>VLOOKUP(B91,'Train Runs'!$A$13:$A$99942,1,FALSE)</f>
        <v>#N/A</v>
      </c>
    </row>
    <row r="92" spans="1:10" x14ac:dyDescent="0.25">
      <c r="A92" s="185"/>
      <c r="B92" s="43" t="str">
        <f>A92&amp;"-"&amp;IF(DAY(Variables!$A$2)&lt;10,0,"")&amp;DAY(Variables!$A$2)</f>
        <v>-09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2" s="30" t="e">
        <f>VLOOKUP(B92,'Train Runs'!$A$13:$A$99942,1,FALSE)</f>
        <v>#N/A</v>
      </c>
    </row>
    <row r="93" spans="1:10" x14ac:dyDescent="0.25">
      <c r="A93" s="185"/>
      <c r="B93" s="43" t="str">
        <f>A93&amp;"-"&amp;IF(DAY(Variables!$A$2)&lt;10,0,"")&amp;DAY(Variables!$A$2)</f>
        <v>-09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3" s="30" t="e">
        <f>VLOOKUP(B93,'Train Runs'!$A$13:$A$99942,1,FALSE)</f>
        <v>#N/A</v>
      </c>
    </row>
    <row r="94" spans="1:10" x14ac:dyDescent="0.25">
      <c r="A94" s="185"/>
      <c r="B94" s="43" t="str">
        <f>A94&amp;"-"&amp;IF(DAY(Variables!$A$2)&lt;10,0,"")&amp;DAY(Variables!$A$2)</f>
        <v>-09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4" s="30" t="e">
        <f>VLOOKUP(B94,'Train Runs'!$A$13:$A$99942,1,FALSE)</f>
        <v>#N/A</v>
      </c>
    </row>
    <row r="95" spans="1:10" x14ac:dyDescent="0.25">
      <c r="A95" s="185"/>
      <c r="B95" s="43" t="str">
        <f>A95&amp;"-"&amp;IF(DAY(Variables!$A$2)&lt;10,0,"")&amp;DAY(Variables!$A$2)</f>
        <v>-09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5" s="30" t="e">
        <f>VLOOKUP(B95,'Train Runs'!$A$13:$A$99942,1,FALSE)</f>
        <v>#N/A</v>
      </c>
    </row>
    <row r="96" spans="1:10" x14ac:dyDescent="0.25">
      <c r="A96" s="185"/>
      <c r="B96" s="43" t="str">
        <f>A96&amp;"-"&amp;IF(DAY(Variables!$A$2)&lt;10,0,"")&amp;DAY(Variables!$A$2)</f>
        <v>-09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6" s="30" t="e">
        <f>VLOOKUP(B96,'Train Runs'!$A$13:$A$99942,1,FALSE)</f>
        <v>#N/A</v>
      </c>
    </row>
    <row r="97" spans="1:10" x14ac:dyDescent="0.25">
      <c r="A97" s="185"/>
      <c r="B97" s="43" t="str">
        <f>A97&amp;"-"&amp;IF(DAY(Variables!$A$2)&lt;10,0,"")&amp;DAY(Variables!$A$2)</f>
        <v>-09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7" s="30" t="e">
        <f>VLOOKUP(B97,'Train Runs'!$A$13:$A$99942,1,FALSE)</f>
        <v>#N/A</v>
      </c>
    </row>
    <row r="98" spans="1:10" x14ac:dyDescent="0.25">
      <c r="A98" s="185"/>
      <c r="B98" s="43" t="str">
        <f>A98&amp;"-"&amp;IF(DAY(Variables!$A$2)&lt;10,0,"")&amp;DAY(Variables!$A$2)</f>
        <v>-09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8" s="30" t="e">
        <f>VLOOKUP(B98,'Train Runs'!$A$13:$A$99942,1,FALSE)</f>
        <v>#N/A</v>
      </c>
    </row>
    <row r="99" spans="1:10" x14ac:dyDescent="0.25">
      <c r="A99" s="185"/>
      <c r="B99" s="43" t="str">
        <f>A99&amp;"-"&amp;IF(DAY(Variables!$A$2)&lt;10,0,"")&amp;DAY(Variables!$A$2)</f>
        <v>-09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9" s="30" t="e">
        <f>VLOOKUP(B99,'Train Runs'!$A$13:$A$99942,1,FALSE)</f>
        <v>#N/A</v>
      </c>
    </row>
    <row r="100" spans="1:10" x14ac:dyDescent="0.25">
      <c r="A100" s="185"/>
      <c r="B100" s="43" t="str">
        <f>A100&amp;"-"&amp;IF(DAY(Variables!$A$2)&lt;10,0,"")&amp;DAY(Variables!$A$2)</f>
        <v>-09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0" s="30" t="e">
        <f>VLOOKUP(B100,'Train Runs'!$A$13:$A$99942,1,FALSE)</f>
        <v>#N/A</v>
      </c>
    </row>
  </sheetData>
  <autoFilter ref="A2:J10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476</v>
      </c>
      <c r="B1" s="207" t="s">
        <v>477</v>
      </c>
      <c r="C1" s="199" t="s">
        <v>485</v>
      </c>
      <c r="D1" s="211" t="s">
        <v>58</v>
      </c>
      <c r="E1" s="196" t="s">
        <v>24</v>
      </c>
      <c r="F1" s="211" t="s">
        <v>491</v>
      </c>
      <c r="G1" s="215" t="s">
        <v>94</v>
      </c>
      <c r="H1" s="217" t="s">
        <v>495</v>
      </c>
      <c r="I1" s="213" t="s">
        <v>494</v>
      </c>
      <c r="J1" s="209" t="s">
        <v>84</v>
      </c>
      <c r="K1" s="209" t="s">
        <v>490</v>
      </c>
      <c r="L1" s="204" t="s">
        <v>487</v>
      </c>
      <c r="M1" s="204" t="s">
        <v>478</v>
      </c>
      <c r="N1" s="204" t="s">
        <v>480</v>
      </c>
      <c r="O1" s="204" t="s">
        <v>481</v>
      </c>
      <c r="P1" s="204" t="s">
        <v>482</v>
      </c>
      <c r="Q1" s="203" t="s">
        <v>479</v>
      </c>
    </row>
    <row r="2" spans="1:17" x14ac:dyDescent="0.25">
      <c r="A2" s="201">
        <v>42800.21875</v>
      </c>
      <c r="B2" s="208" t="s">
        <v>484</v>
      </c>
      <c r="C2" s="198" t="s">
        <v>486</v>
      </c>
      <c r="D2" s="212">
        <v>104</v>
      </c>
      <c r="E2" s="30" t="s">
        <v>489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/stypes="*4017*201703061*" /stext=" 12:.+((SYSTEM_STATE.+slice.+state.+changed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12:.+((\|PRM\|1\|D)|(crossing.((167)|(168)|(199)|(200))))" "%USERPROFILE%\AppData\Local\Temp\OnboardLogs"\RTDC4017\*4017*201703061*</v>
      </c>
      <c r="I2" s="214" t="str">
        <f>IF(VLOOKUP(K2,'Train Runs'!$A$13:$V$998,1,TRUE)=K2,VLOOKUP(K2,'Train Runs'!$A$13:$V$998,22,TRUE),NA())</f>
        <v>https://d0f6bd738d7f1b3e5a7ca70fe4ff75f0.us-east-1.aws.found.io/app/kibana#/discover/Steve-Slow-Train-Analysis-(2080s-and-2083s)?_g=(refreshInterval:(display:Off,pause:!f,section:0,value:0),time:(from:'2017-03-09T03:35:34-0700',mode:absolute,to:'2017-03-09T06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" s="210">
        <f t="shared" ref="J2:J35" si="2">A2-utc_offset/24</f>
        <v>42800.510416666664</v>
      </c>
      <c r="K2" s="210" t="str">
        <f>D2&amp;"-"&amp;IF(DAY(Variables!$A$2)&lt;10,0,"")&amp;DAY(Variables!$A$2)</f>
        <v>104-09</v>
      </c>
      <c r="L2" s="206">
        <f>IF(VLOOKUP(K2,'Train Runs'!$A$12:$B$998,1,TRUE)=K2,VLOOKUP(K2,'Train Runs'!$A$12:$B$998,2,TRUE),NA())</f>
        <v>4017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484</v>
      </c>
      <c r="C3" s="198" t="s">
        <v>486</v>
      </c>
      <c r="D3" s="212">
        <v>126</v>
      </c>
      <c r="E3" s="30" t="s">
        <v>488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15:.+((\|PRM\|1\|D)|(crossing.((167)|(168)|(199)|(200))))" "%USERPROFILE%\AppData\Local\Temp\OnboardLogs"\RTDC4019\*4019*201703061*</v>
      </c>
      <c r="I3" s="214" t="str">
        <f>IF(VLOOKUP(K3,'Train Runs'!$A$13:$V$998,1,TRUE)=K3,VLOOKUP(K3,'Train Runs'!$A$13:$V$998,22,TRUE),NA())</f>
        <v>https://d0f6bd738d7f1b3e5a7ca70fe4ff75f0.us-east-1.aws.found.io/app/kibana#/discover/Steve-Slow-Train-Analysis-(2080s-and-2083s)?_g=(refreshInterval:(display:Off,pause:!f,section:0,value:0),time:(from:'2017-03-09T06:27:49-0700',mode:absolute,to:'2017-03-09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42800.634722222218</v>
      </c>
      <c r="K3" s="210" t="str">
        <f>D3&amp;"-"&amp;IF(DAY(Variables!$A$2)&lt;10,0,"")&amp;DAY(Variables!$A$2)</f>
        <v>126-09</v>
      </c>
      <c r="L3" s="206">
        <f>IF(VLOOKUP(K3,'Train Runs'!$A$12:$B$998,1,TRUE)=K3,VLOOKUP(K3,'Train Runs'!$A$12:$B$998,2,TRUE),NA())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484</v>
      </c>
      <c r="C4" s="198" t="s">
        <v>486</v>
      </c>
      <c r="D4" s="212">
        <v>128</v>
      </c>
      <c r="E4" s="30" t="s">
        <v>488</v>
      </c>
      <c r="F4" s="212" t="b">
        <v>1</v>
      </c>
      <c r="G4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15:.+((\|PRM\|1\|D)|(crossing.((167)|(168)|(199)|(200))))" "%USERPROFILE%\AppData\Local\Temp\OnboardLogs"\RTDC4021\*4021*201703061*</v>
      </c>
      <c r="I4" s="214" t="str">
        <f>IF(VLOOKUP(K4,'Train Runs'!$A$13:$V$998,1,TRUE)=K4,VLOOKUP(K4,'Train Runs'!$A$13:$V$998,22,TRUE),NA())</f>
        <v>https://d0f6bd738d7f1b3e5a7ca70fe4ff75f0.us-east-1.aws.found.io/app/kibana#/discover/Steve-Slow-Train-Analysis-(2080s-and-2083s)?_g=(refreshInterval:(display:Off,pause:!f,section:0,value:0),time:(from:'2017-03-09T06:43:04-0700',mode:absolute,to:'2017-03-09T09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4" s="210">
        <f t="shared" si="2"/>
        <v>42800.646527777775</v>
      </c>
      <c r="K4" s="210" t="str">
        <f>D4&amp;"-"&amp;IF(DAY(Variables!$A$2)&lt;10,0,"")&amp;DAY(Variables!$A$2)</f>
        <v>128-09</v>
      </c>
      <c r="L4" s="206">
        <f>IF(VLOOKUP(K4,'Train Runs'!$A$12:$B$998,1,TRUE)=K4,VLOOKUP(K4,'Train Runs'!$A$12:$B$998,2,TRUE),NA())</f>
        <v>4021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484</v>
      </c>
      <c r="C5" s="198" t="s">
        <v>486</v>
      </c>
      <c r="D5" s="212">
        <f>D4+2</f>
        <v>130</v>
      </c>
      <c r="E5" s="30" t="s">
        <v>488</v>
      </c>
      <c r="F5" s="212" t="b">
        <v>1</v>
      </c>
      <c r="G5" s="216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15:.+((\|PRM\|1\|D)|(crossing.((167)|(168)|(199)|(200))))" "%USERPROFILE%\AppData\Local\Temp\OnboardLogs"\RTDC4015\*4015*201703061*</v>
      </c>
      <c r="I5" s="214" t="str">
        <f>IF(VLOOKUP(K5,'Train Runs'!$A$13:$V$998,1,TRUE)=K5,VLOOKUP(K5,'Train Runs'!$A$13:$V$998,22,TRUE),NA())</f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5" s="210">
        <f t="shared" si="2"/>
        <v>42800.65625</v>
      </c>
      <c r="K5" s="210" t="str">
        <f>D5&amp;"-"&amp;IF(DAY(Variables!$A$2)&lt;10,0,"")&amp;DAY(Variables!$A$2)</f>
        <v>130-09</v>
      </c>
      <c r="L5" s="206">
        <f>IF(VLOOKUP(K5,'Train Runs'!$A$12:$B$998,1,TRUE)=K5,VLOOKUP(K5,'Train Runs'!$A$12:$B$998,2,TRUE),NA())</f>
        <v>4015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484</v>
      </c>
      <c r="C6" s="198" t="s">
        <v>486</v>
      </c>
      <c r="D6" s="212">
        <f>D5+2</f>
        <v>132</v>
      </c>
      <c r="E6" s="30" t="s">
        <v>488</v>
      </c>
      <c r="F6" s="212" t="b">
        <v>1</v>
      </c>
      <c r="G6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16:.+((\|PRM\|1\|D)|(crossing.((167)|(168)|(199)|(200))))" "%USERPROFILE%\AppData\Local\Temp\OnboardLogs"\RTDC4017\*4017*201703061*</v>
      </c>
      <c r="I6" s="214" t="str">
        <f>IF(VLOOKUP(K6,'Train Runs'!$A$13:$V$998,1,TRUE)=K6,VLOOKUP(K6,'Train Runs'!$A$13:$V$998,22,TRUE),NA())</f>
        <v>https://d0f6bd738d7f1b3e5a7ca70fe4ff75f0.us-east-1.aws.found.io/app/kibana#/discover/Steve-Slow-Train-Analysis-(2080s-and-2083s)?_g=(refreshInterval:(display:Off,pause:!f,section:0,value:0),time:(from:'2017-03-09T07:19:21-0700',mode:absolute,to:'2017-03-09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6" s="210">
        <f t="shared" si="2"/>
        <v>42800.666666666664</v>
      </c>
      <c r="K6" s="210" t="str">
        <f>D6&amp;"-"&amp;IF(DAY(Variables!$A$2)&lt;10,0,"")&amp;DAY(Variables!$A$2)</f>
        <v>132-09</v>
      </c>
      <c r="L6" s="206">
        <f>IF(VLOOKUP(K6,'Train Runs'!$A$12:$B$998,1,TRUE)=K6,VLOOKUP(K6,'Train Runs'!$A$12:$B$998,2,TRUE),NA())</f>
        <v>4017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484</v>
      </c>
      <c r="C7" s="198" t="s">
        <v>486</v>
      </c>
      <c r="D7" s="212">
        <f t="shared" ref="D7:D11" si="4">D6+2</f>
        <v>134</v>
      </c>
      <c r="E7" s="30" t="s">
        <v>488</v>
      </c>
      <c r="F7" s="212" t="b">
        <v>1</v>
      </c>
      <c r="G7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16:.+((\|PRM\|1\|D)|(crossing.((167)|(168)|(199)|(200))))" "%USERPROFILE%\AppData\Local\Temp\OnboardLogs"\RTDC4004\*4004*201703061*</v>
      </c>
      <c r="I7" s="214" t="str">
        <f>IF(VLOOKUP(K7,'Train Runs'!$A$13:$V$998,1,TRUE)=K7,VLOOKUP(K7,'Train Runs'!$A$13:$V$998,22,TRUE),NA())</f>
        <v>https://d0f6bd738d7f1b3e5a7ca70fe4ff75f0.us-east-1.aws.found.io/app/kibana#/discover/Steve-Slow-Train-Analysis-(2080s-and-2083s)?_g=(refreshInterval:(display:Off,pause:!f,section:0,value:0),time:(from:'2017-03-09T07:28:19-0700',mode:absolute,to:'2017-03-09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7" s="210">
        <f t="shared" si="2"/>
        <v>42800.674999999996</v>
      </c>
      <c r="K7" s="210" t="str">
        <f>D7&amp;"-"&amp;IF(DAY(Variables!$A$2)&lt;10,0,"")&amp;DAY(Variables!$A$2)</f>
        <v>134-09</v>
      </c>
      <c r="L7" s="206">
        <f>IF(VLOOKUP(K7,'Train Runs'!$A$12:$B$998,1,TRUE)=K7,VLOOKUP(K7,'Train Runs'!$A$12:$B$998,2,TRUE),NA())</f>
        <v>4004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484</v>
      </c>
      <c r="C8" s="198" t="s">
        <v>486</v>
      </c>
      <c r="D8" s="212">
        <f t="shared" si="4"/>
        <v>136</v>
      </c>
      <c r="E8" s="30" t="s">
        <v>488</v>
      </c>
      <c r="F8" s="212" t="b">
        <v>1</v>
      </c>
      <c r="G8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16:.+((\|PRM\|1\|D)|(crossing.((167)|(168)|(199)|(200))))" "%USERPROFILE%\AppData\Local\Temp\OnboardLogs"\RTDC4030\*4030*201703061*</v>
      </c>
      <c r="I8" s="214" t="str">
        <f>IF(VLOOKUP(K8,'Train Runs'!$A$13:$V$998,1,TRUE)=K8,VLOOKUP(K8,'Train Runs'!$A$13:$V$998,22,TRUE),NA())</f>
        <v>https://d0f6bd738d7f1b3e5a7ca70fe4ff75f0.us-east-1.aws.found.io/app/kibana#/discover/Steve-Slow-Train-Analysis-(2080s-and-2083s)?_g=(refreshInterval:(display:Off,pause:!f,section:0,value:0),time:(from:'2017-03-09T07:51:25-0700',mode:absolute,to:'2017-03-09T10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8" s="210">
        <f t="shared" si="2"/>
        <v>42800.685416666667</v>
      </c>
      <c r="K8" s="210" t="str">
        <f>D8&amp;"-"&amp;IF(DAY(Variables!$A$2)&lt;10,0,"")&amp;DAY(Variables!$A$2)</f>
        <v>136-09</v>
      </c>
      <c r="L8" s="206">
        <f>IF(VLOOKUP(K8,'Train Runs'!$A$12:$B$998,1,TRUE)=K8,VLOOKUP(K8,'Train Runs'!$A$12:$B$998,2,TRUE),NA())</f>
        <v>4030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484</v>
      </c>
      <c r="C9" s="198" t="s">
        <v>486</v>
      </c>
      <c r="D9" s="212">
        <f t="shared" si="4"/>
        <v>138</v>
      </c>
      <c r="E9" s="30" t="s">
        <v>488</v>
      </c>
      <c r="F9" s="212" t="b">
        <v>1</v>
      </c>
      <c r="G9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16:.+((\|PRM\|1\|D)|(crossing.((167)|(168)|(199)|(200))))" "%USERPROFILE%\AppData\Local\Temp\OnboardLogs"\RTDC4039\*4039*201703061*</v>
      </c>
      <c r="I9" s="214" t="str">
        <f>IF(VLOOKUP(K9,'Train Runs'!$A$13:$V$998,1,TRUE)=K9,VLOOKUP(K9,'Train Runs'!$A$13:$V$998,22,TRUE),NA())</f>
        <v>https://d0f6bd738d7f1b3e5a7ca70fe4ff75f0.us-east-1.aws.found.io/app/kibana#/discover/Steve-Slow-Train-Analysis-(2080s-and-2083s)?_g=(refreshInterval:(display:Off,pause:!f,section:0,value:0),time:(from:'2017-03-09T07:55:33-0700',mode:absolute,to:'2017-03-09T10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9" s="210">
        <f t="shared" si="2"/>
        <v>42800.696527777778</v>
      </c>
      <c r="K9" s="210" t="str">
        <f>D9&amp;"-"&amp;IF(DAY(Variables!$A$2)&lt;10,0,"")&amp;DAY(Variables!$A$2)</f>
        <v>138-09</v>
      </c>
      <c r="L9" s="206">
        <f>IF(VLOOKUP(K9,'Train Runs'!$A$12:$B$998,1,TRUE)=K9,VLOOKUP(K9,'Train Runs'!$A$12:$B$998,2,TRUE),NA())</f>
        <v>4039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484</v>
      </c>
      <c r="C10" s="198" t="s">
        <v>486</v>
      </c>
      <c r="D10" s="212">
        <f t="shared" si="4"/>
        <v>140</v>
      </c>
      <c r="E10" s="30" t="s">
        <v>488</v>
      </c>
      <c r="F10" s="212" t="b">
        <v>1</v>
      </c>
      <c r="G10" s="216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16:.+((\|PRM\|1\|D)|(crossing.((167)|(168)|(199)|(200))))" "%USERPROFILE%\AppData\Local\Temp\OnboardLogs"\RTDC4043\*4043*201703061*</v>
      </c>
      <c r="I10" s="214" t="str">
        <f>IF(VLOOKUP(K10,'Train Runs'!$A$13:$V$998,1,TRUE)=K10,VLOOKUP(K10,'Train Runs'!$A$13:$V$998,22,TRUE),NA())</f>
        <v>https://d0f6bd738d7f1b3e5a7ca70fe4ff75f0.us-east-1.aws.found.io/app/kibana#/discover/Steve-Slow-Train-Analysis-(2080s-and-2083s)?_g=(refreshInterval:(display:Off,pause:!f,section:0,value:0),time:(from:'2017-03-09T08:07:36-0700',mode:absolute,to:'2017-03-09T11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10">
        <f t="shared" si="2"/>
        <v>42800.707638888889</v>
      </c>
      <c r="K10" s="210" t="str">
        <f>D10&amp;"-"&amp;IF(DAY(Variables!$A$2)&lt;10,0,"")&amp;DAY(Variables!$A$2)</f>
        <v>140-09</v>
      </c>
      <c r="L10" s="206">
        <f>IF(VLOOKUP(K10,'Train Runs'!$A$12:$B$998,1,TRUE)=K10,VLOOKUP(K10,'Train Runs'!$A$12:$B$998,2,TRUE),NA())</f>
        <v>4043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484</v>
      </c>
      <c r="C11" s="198" t="s">
        <v>486</v>
      </c>
      <c r="D11" s="212">
        <f t="shared" si="4"/>
        <v>142</v>
      </c>
      <c r="E11" s="30" t="s">
        <v>488</v>
      </c>
      <c r="F11" s="212" t="b">
        <v>1</v>
      </c>
      <c r="G11" s="216" t="str">
        <f t="shared" si="0"/>
        <v>"C:\Program Files (x86)\AstroGrep\AstroGrep.exe" /e /r /s /spath="%USERPROFILE%\AppData\Local\Temp\OnboardLogs" /stypes="*4021*201703061*" /stext=" 17:.+((SYSTEM_STATE.+slice.+state.+changed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17:.+((\|PRM\|1\|D)|(crossing.((167)|(168)|(199)|(200))))" "%USERPROFILE%\AppData\Local\Temp\OnboardLogs"\RTDC4021\*4021*201703061*</v>
      </c>
      <c r="I11" s="214" t="str">
        <f>IF(VLOOKUP(K11,'Train Runs'!$A$13:$V$998,1,TRUE)=K11,VLOOKUP(K11,'Train Runs'!$A$13:$V$998,22,TRUE),NA())</f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1" s="210">
        <f t="shared" si="2"/>
        <v>42800.716666666667</v>
      </c>
      <c r="K11" s="210" t="str">
        <f>D11&amp;"-"&amp;IF(DAY(Variables!$A$2)&lt;10,0,"")&amp;DAY(Variables!$A$2)</f>
        <v>142-09</v>
      </c>
      <c r="L11" s="206">
        <f>IF(VLOOKUP(K11,'Train Runs'!$A$12:$B$998,1,TRUE)=K11,VLOOKUP(K11,'Train Runs'!$A$12:$B$998,2,TRUE),NA())</f>
        <v>4021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484</v>
      </c>
      <c r="C12" s="198" t="s">
        <v>486</v>
      </c>
      <c r="D12" s="212">
        <v>144</v>
      </c>
      <c r="E12" s="30" t="s">
        <v>488</v>
      </c>
      <c r="F12" s="212" t="b">
        <v>1</v>
      </c>
      <c r="G12" s="216" t="str">
        <f t="shared" si="0"/>
        <v>"C:\Program Files (x86)\AstroGrep\AstroGrep.exe" /e /r /s /spath="%USERPROFILE%\AppData\Local\Temp\OnboardLogs" /stypes="*4015*201703061*" /stext=" 17:.+((SYSTEM_STATE.+slice.+state.+changed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17:.+((\|PRM\|1\|D)|(crossing.((167)|(168)|(199)|(200))))" "%USERPROFILE%\AppData\Local\Temp\OnboardLogs"\RTDC4015\*4015*201703061*</v>
      </c>
      <c r="I12" s="214" t="str">
        <f>IF(VLOOKUP(K12,'Train Runs'!$A$13:$V$998,1,TRUE)=K12,VLOOKUP(K12,'Train Runs'!$A$13:$V$998,22,TRUE),NA())</f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2" s="210">
        <f t="shared" si="2"/>
        <v>42800.727083333331</v>
      </c>
      <c r="K12" s="210" t="str">
        <f>D12&amp;"-"&amp;IF(DAY(Variables!$A$2)&lt;10,0,"")&amp;DAY(Variables!$A$2)</f>
        <v>144-09</v>
      </c>
      <c r="L12" s="206">
        <f>IF(VLOOKUP(K12,'Train Runs'!$A$12:$B$998,1,TRUE)=K12,VLOOKUP(K12,'Train Runs'!$A$12:$B$998,2,TRUE),NA())</f>
        <v>4015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484</v>
      </c>
      <c r="C13" s="198" t="s">
        <v>486</v>
      </c>
      <c r="D13" s="212">
        <v>146</v>
      </c>
      <c r="E13" s="30" t="s">
        <v>488</v>
      </c>
      <c r="F13" s="212" t="b">
        <v>1</v>
      </c>
      <c r="G13" s="216" t="str">
        <f t="shared" si="0"/>
        <v>"C:\Program Files (x86)\AstroGrep\AstroGrep.exe" /e /r /s /spath="%USERPROFILE%\AppData\Local\Temp\OnboardLogs" /stypes="*4017*201703061*" /stext=" 17:.+((SYSTEM_STATE.+slice.+state.+changed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17:.+((\|PRM\|1\|D)|(crossing.((167)|(168)|(199)|(200))))" "%USERPROFILE%\AppData\Local\Temp\OnboardLogs"\RTDC4017\*4017*201703061*</v>
      </c>
      <c r="I13" s="214" t="str">
        <f>IF(VLOOKUP(K13,'Train Runs'!$A$13:$V$998,1,TRUE)=K13,VLOOKUP(K13,'Train Runs'!$A$13:$V$998,22,TRUE),NA())</f>
        <v>https://d0f6bd738d7f1b3e5a7ca70fe4ff75f0.us-east-1.aws.found.io/app/kibana#/discover/Steve-Slow-Train-Analysis-(2080s-and-2083s)?_g=(refreshInterval:(display:Off,pause:!f,section:0,value:0),time:(from:'2017-03-09T09:06:58-0700',mode:absolute,to:'2017-03-09T11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3" s="210">
        <f t="shared" si="2"/>
        <v>42800.737499999996</v>
      </c>
      <c r="K13" s="210" t="str">
        <f>D13&amp;"-"&amp;IF(DAY(Variables!$A$2)&lt;10,0,"")&amp;DAY(Variables!$A$2)</f>
        <v>146-09</v>
      </c>
      <c r="L13" s="206">
        <f>IF(VLOOKUP(K13,'Train Runs'!$A$12:$B$998,1,TRUE)=K13,VLOOKUP(K13,'Train Runs'!$A$12:$B$998,2,TRUE),NA())</f>
        <v>4017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484</v>
      </c>
      <c r="C14" s="198" t="s">
        <v>486</v>
      </c>
      <c r="D14" s="212">
        <v>148</v>
      </c>
      <c r="E14" s="30" t="s">
        <v>492</v>
      </c>
      <c r="F14" s="212" t="b">
        <v>1</v>
      </c>
      <c r="G14" s="216" t="str">
        <f t="shared" si="0"/>
        <v>"C:\Program Files (x86)\AstroGrep\AstroGrep.exe" /e /r /s /spath="%USERPROFILE%\AppData\Local\Temp\OnboardLogs" /stypes="*4004*201703061*" /stext=" 17:.+((SYSTEM_STATE.+slice.+state.+changed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17:.+((\|PRM\|1\|D)|(crossing.((167)|(168)|(199)|(200))))" "%USERPROFILE%\AppData\Local\Temp\OnboardLogs"\RTDC4004\*4004*201703061*</v>
      </c>
      <c r="I14" s="214" t="str">
        <f>IF(VLOOKUP(K14,'Train Runs'!$A$13:$V$998,1,TRUE)=K14,VLOOKUP(K14,'Train Runs'!$A$13:$V$998,22,TRUE),NA())</f>
        <v>https://d0f6bd738d7f1b3e5a7ca70fe4ff75f0.us-east-1.aws.found.io/app/kibana#/discover/Steve-Slow-Train-Analysis-(2080s-and-2083s)?_g=(refreshInterval:(display:Off,pause:!f,section:0,value:0),time:(from:'2017-03-09T09:19:47-0700',mode:absolute,to:'2017-03-09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4" s="210">
        <f t="shared" si="2"/>
        <v>42800.748611111107</v>
      </c>
      <c r="K14" s="210" t="str">
        <f>D14&amp;"-"&amp;IF(DAY(Variables!$A$2)&lt;10,0,"")&amp;DAY(Variables!$A$2)</f>
        <v>148-09</v>
      </c>
      <c r="L14" s="206">
        <f>IF(VLOOKUP(K14,'Train Runs'!$A$12:$B$998,1,TRUE)=K14,VLOOKUP(K14,'Train Runs'!$A$12:$B$998,2,TRUE),NA())</f>
        <v>4004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484</v>
      </c>
      <c r="C15" s="198" t="s">
        <v>486</v>
      </c>
      <c r="D15" s="212">
        <v>178</v>
      </c>
      <c r="E15" s="30" t="s">
        <v>493</v>
      </c>
      <c r="F15" s="212" t="b">
        <v>1</v>
      </c>
      <c r="G15" s="216" t="str">
        <f t="shared" si="0"/>
        <v>"C:\Program Files (x86)\AstroGrep\AstroGrep.exe" /e /r /s /spath="%USERPROFILE%\AppData\Local\Temp\OnboardLogs" /stypes="*4030*201703062*" /stext=" 21:.+((SYSTEM_STATE.+slice.+state.+changed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21:.+((\|PRM\|1\|D)|(crossing.((167)|(168)|(199)|(200))))" "%USERPROFILE%\AppData\Local\Temp\OnboardLogs"\RTDC4030\*4030*201703062*</v>
      </c>
      <c r="I15" s="214" t="str">
        <f>IF(VLOOKUP(K15,'Train Runs'!$A$13:$V$998,1,TRUE)=K15,VLOOKUP(K15,'Train Runs'!$A$13:$V$998,22,TRUE),NA())</f>
        <v>https://d0f6bd738d7f1b3e5a7ca70fe4ff75f0.us-east-1.aws.found.io/app/kibana#/discover/Steve-Slow-Train-Analysis-(2080s-and-2083s)?_g=(refreshInterval:(display:Off,pause:!f,section:0,value:0),time:(from:'2017-03-09T13:05:16-0700',mode:absolute,to:'2017-03-09T15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5" s="210">
        <f t="shared" si="2"/>
        <v>42800.90625</v>
      </c>
      <c r="K15" s="210" t="str">
        <f>D15&amp;"-"&amp;IF(DAY(Variables!$A$2)&lt;10,0,"")&amp;DAY(Variables!$A$2)</f>
        <v>178-09</v>
      </c>
      <c r="L15" s="206">
        <f>IF(VLOOKUP(K15,'Train Runs'!$A$12:$B$998,1,TRUE)=K15,VLOOKUP(K15,'Train Runs'!$A$12:$B$998,2,TRUE),NA())</f>
        <v>4030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484</v>
      </c>
      <c r="C16" s="198" t="s">
        <v>486</v>
      </c>
      <c r="D16" s="212">
        <v>194</v>
      </c>
      <c r="E16" s="30" t="s">
        <v>493</v>
      </c>
      <c r="F16" s="212" t="b">
        <v>1</v>
      </c>
      <c r="G16" s="216" t="str">
        <f t="shared" si="0"/>
        <v>"C:\Program Files (x86)\AstroGrep\AstroGrep.exe" /e /r /s /spath="%USERPROFILE%\AppData\Local\Temp\OnboardLogs" /stypes="*4039*201703062*" /stext=" 23:.+((SYSTEM_STATE.+slice.+state.+changed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23:.+((\|PRM\|1\|D)|(crossing.((167)|(168)|(199)|(200))))" "%USERPROFILE%\AppData\Local\Temp\OnboardLogs"\RTDC4039\*4039*201703062*</v>
      </c>
      <c r="I16" s="214" t="str">
        <f>IF(VLOOKUP(K16,'Train Runs'!$A$13:$V$998,1,TRUE)=K16,VLOOKUP(K16,'Train Runs'!$A$13:$V$998,22,TRUE),NA())</f>
        <v>https://d0f6bd738d7f1b3e5a7ca70fe4ff75f0.us-east-1.aws.found.io/app/kibana#/discover/Steve-Slow-Train-Analysis-(2080s-and-2083s)?_g=(refreshInterval:(display:Off,pause:!f,section:0,value:0),time:(from:'2017-03-09T15:01:37-0700',mode:absolute,to:'2017-03-09T17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10">
        <f t="shared" si="2"/>
        <v>42800.990972222222</v>
      </c>
      <c r="K16" s="210" t="str">
        <f>D16&amp;"-"&amp;IF(DAY(Variables!$A$2)&lt;10,0,"")&amp;DAY(Variables!$A$2)</f>
        <v>194-09</v>
      </c>
      <c r="L16" s="206">
        <f>IF(VLOOKUP(K16,'Train Runs'!$A$12:$B$998,1,TRUE)=K16,VLOOKUP(K16,'Train Runs'!$A$12:$B$998,2,TRUE),NA())</f>
        <v>4039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484</v>
      </c>
      <c r="C17" s="198" t="s">
        <v>486</v>
      </c>
      <c r="D17" s="212">
        <v>206</v>
      </c>
      <c r="E17" s="30" t="s">
        <v>488</v>
      </c>
      <c r="F17" s="212" t="b">
        <v>1</v>
      </c>
      <c r="G17" s="216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01:.+((\|PRM\|1\|D)|(crossing.((167)|(168)|(199)|(200))))" "%USERPROFILE%\AppData\Local\Temp\OnboardLogs"\RTDC4017\*4017*201703070*</v>
      </c>
      <c r="I17" s="214" t="str">
        <f>IF(VLOOKUP(K17,'Train Runs'!$A$13:$V$998,1,TRUE)=K17,VLOOKUP(K17,'Train Runs'!$A$13:$V$998,22,TRUE),NA())</f>
        <v>https://d0f6bd738d7f1b3e5a7ca70fe4ff75f0.us-east-1.aws.found.io/app/kibana#/discover/Steve-Slow-Train-Analysis-(2080s-and-2083s)?_g=(refreshInterval:(display:Off,pause:!f,section:0,value:0),time:(from:'2017-03-09T16:28:31-0700',mode:absolute,to:'2017-03-09T19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7" s="210">
        <f t="shared" si="2"/>
        <v>42801.063194444439</v>
      </c>
      <c r="K17" s="210" t="str">
        <f>D17&amp;"-"&amp;IF(DAY(Variables!$A$2)&lt;10,0,"")&amp;DAY(Variables!$A$2)</f>
        <v>206-09</v>
      </c>
      <c r="L17" s="206">
        <f>IF(VLOOKUP(K17,'Train Runs'!$A$12:$B$998,1,TRUE)=K17,VLOOKUP(K17,'Train Runs'!$A$12:$B$998,2,TRUE),NA())</f>
        <v>4017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484</v>
      </c>
      <c r="C18" s="198" t="s">
        <v>486</v>
      </c>
      <c r="D18" s="212">
        <v>210</v>
      </c>
      <c r="E18" s="30" t="s">
        <v>488</v>
      </c>
      <c r="F18" s="212" t="b">
        <v>1</v>
      </c>
      <c r="G18" s="216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01:.+((\|PRM\|1\|D)|(crossing.((167)|(168)|(199)|(200))))" "%USERPROFILE%\AppData\Local\Temp\OnboardLogs"\RTDC4043\*4043*201703070*</v>
      </c>
      <c r="I18" s="214" t="str">
        <f>IF(VLOOKUP(K18,'Train Runs'!$A$13:$V$998,1,TRUE)=K18,VLOOKUP(K18,'Train Runs'!$A$13:$V$998,22,TRUE),NA())</f>
        <v>https://d0f6bd738d7f1b3e5a7ca70fe4ff75f0.us-east-1.aws.found.io/app/kibana#/discover/Steve-Slow-Train-Analysis-(2080s-and-2083s)?_g=(refreshInterval:(display:Off,pause:!f,section:0,value:0),time:(from:'2017-03-09T17:08:08-0700',mode:absolute,to:'2017-03-09T19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8" s="210">
        <f t="shared" si="2"/>
        <v>42801.076388888883</v>
      </c>
      <c r="K18" s="210" t="str">
        <f>D18&amp;"-"&amp;IF(DAY(Variables!$A$2)&lt;10,0,"")&amp;DAY(Variables!$A$2)</f>
        <v>210-09</v>
      </c>
      <c r="L18" s="206">
        <f>IF(VLOOKUP(K18,'Train Runs'!$A$12:$B$998,1,TRUE)=K18,VLOOKUP(K18,'Train Runs'!$A$12:$B$998,2,TRUE),NA())</f>
        <v>4043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484</v>
      </c>
      <c r="C19" s="198" t="s">
        <v>486</v>
      </c>
      <c r="D19" s="212">
        <f>D18+2</f>
        <v>212</v>
      </c>
      <c r="E19" s="30" t="s">
        <v>488</v>
      </c>
      <c r="F19" s="212" t="b">
        <v>1</v>
      </c>
      <c r="G19" s="216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01:.+((\|PRM\|1\|D)|(crossing.((167)|(168)|(199)|(200))))" "%USERPROFILE%\AppData\Local\Temp\OnboardLogs"\RTDC4013\*4013*201703070*</v>
      </c>
      <c r="I19" s="214" t="str">
        <f>IF(VLOOKUP(K19,'Train Runs'!$A$13:$V$998,1,TRUE)=K19,VLOOKUP(K19,'Train Runs'!$A$13:$V$998,22,TRUE),NA())</f>
        <v>https://d0f6bd738d7f1b3e5a7ca70fe4ff75f0.us-east-1.aws.found.io/app/kibana#/discover/Steve-Slow-Train-Analysis-(2080s-and-2083s)?_g=(refreshInterval:(display:Off,pause:!f,section:0,value:0),time:(from:'2017-03-09T17:22:47-0700',mode:absolute,to:'2017-03-09T20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9" s="210">
        <f t="shared" si="2"/>
        <v>42801.081944444442</v>
      </c>
      <c r="K19" s="210" t="str">
        <f>D19&amp;"-"&amp;IF(DAY(Variables!$A$2)&lt;10,0,"")&amp;DAY(Variables!$A$2)</f>
        <v>212-09</v>
      </c>
      <c r="L19" s="206">
        <f>IF(VLOOKUP(K19,'Train Runs'!$A$12:$B$998,1,TRUE)=K19,VLOOKUP(K19,'Train Runs'!$A$12:$B$998,2,TRUE),NA())</f>
        <v>4013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484</v>
      </c>
      <c r="C20" s="198" t="s">
        <v>486</v>
      </c>
      <c r="D20" s="212">
        <v>214</v>
      </c>
      <c r="E20" s="30" t="s">
        <v>488</v>
      </c>
      <c r="F20" s="212" t="b">
        <v>1</v>
      </c>
      <c r="G20" s="216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02:.+((\|PRM\|1\|D)|(crossing.((167)|(168)|(199)|(200))))" "%USERPROFILE%\AppData\Local\Temp\OnboardLogs"\RTDC4019\*4019*201703070*</v>
      </c>
      <c r="I20" s="214" t="str">
        <f>IF(VLOOKUP(K20,'Train Runs'!$A$13:$V$998,1,TRUE)=K20,VLOOKUP(K20,'Train Runs'!$A$13:$V$998,22,TRUE),NA())</f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0" s="210">
        <f t="shared" si="2"/>
        <v>42801.095138888886</v>
      </c>
      <c r="K20" s="210" t="str">
        <f>D20&amp;"-"&amp;IF(DAY(Variables!$A$2)&lt;10,0,"")&amp;DAY(Variables!$A$2)</f>
        <v>214-09</v>
      </c>
      <c r="L20" s="206">
        <f>IF(VLOOKUP(K20,'Train Runs'!$A$12:$B$998,1,TRUE)=K20,VLOOKUP(K20,'Train Runs'!$A$12:$B$998,2,TRUE),NA())</f>
        <v>4019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484</v>
      </c>
      <c r="C21" s="198" t="s">
        <v>486</v>
      </c>
      <c r="D21" s="212">
        <v>216</v>
      </c>
      <c r="E21" s="30" t="s">
        <v>488</v>
      </c>
      <c r="F21" s="212" t="b">
        <v>1</v>
      </c>
      <c r="G21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02:.+((\|PRM\|1\|D)|(crossing.((167)|(168)|(199)|(200))))" "%USERPROFILE%\AppData\Local\Temp\OnboardLogs"\RTDC4015\*4015*201703070*</v>
      </c>
      <c r="I21" s="214" t="str">
        <f>IF(VLOOKUP(K21,'Train Runs'!$A$13:$V$998,1,TRUE)=K21,VLOOKUP(K21,'Train Runs'!$A$13:$V$998,22,TRUE),NA())</f>
        <v>https://d0f6bd738d7f1b3e5a7ca70fe4ff75f0.us-east-1.aws.found.io/app/kibana#/discover/Steve-Slow-Train-Analysis-(2080s-and-2083s)?_g=(refreshInterval:(display:Off,pause:!f,section:0,value:0),time:(from:'2017-03-09T17:58:54-0700',mode:absolute,to:'2017-03-09T20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1" s="210">
        <f t="shared" si="2"/>
        <v>42801.111111111109</v>
      </c>
      <c r="K21" s="210" t="str">
        <f>D21&amp;"-"&amp;IF(DAY(Variables!$A$2)&lt;10,0,"")&amp;DAY(Variables!$A$2)</f>
        <v>216-09</v>
      </c>
      <c r="L21" s="206">
        <f>IF(VLOOKUP(K21,'Train Runs'!$A$12:$B$998,1,TRUE)=K21,VLOOKUP(K21,'Train Runs'!$A$12:$B$998,2,TRUE),NA())</f>
        <v>4015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484</v>
      </c>
      <c r="C22" s="198" t="s">
        <v>486</v>
      </c>
      <c r="D22" s="212">
        <f>D21+2</f>
        <v>218</v>
      </c>
      <c r="E22" s="30" t="s">
        <v>488</v>
      </c>
      <c r="F22" s="212" t="b">
        <v>1</v>
      </c>
      <c r="G22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02:.+((\|PRM\|1\|D)|(crossing.((167)|(168)|(199)|(200))))" "%USERPROFILE%\AppData\Local\Temp\OnboardLogs"\RTDC4004\*4004*201703070*</v>
      </c>
      <c r="I22" s="214" t="str">
        <f>IF(VLOOKUP(K22,'Train Runs'!$A$13:$V$998,1,TRUE)=K22,VLOOKUP(K22,'Train Runs'!$A$13:$V$998,22,TRUE),NA())</f>
        <v>https://d0f6bd738d7f1b3e5a7ca70fe4ff75f0.us-east-1.aws.found.io/app/kibana#/discover/Steve-Slow-Train-Analysis-(2080s-and-2083s)?_g=(refreshInterval:(display:Off,pause:!f,section:0,value:0),time:(from:'2017-03-09T18:02:23-0700',mode:absolute,to:'2017-03-09T20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2" s="210">
        <f t="shared" si="2"/>
        <v>42801.120138888888</v>
      </c>
      <c r="K22" s="210" t="str">
        <f>D22&amp;"-"&amp;IF(DAY(Variables!$A$2)&lt;10,0,"")&amp;DAY(Variables!$A$2)</f>
        <v>218-09</v>
      </c>
      <c r="L22" s="206">
        <f>IF(VLOOKUP(K22,'Train Runs'!$A$12:$B$998,1,TRUE)=K22,VLOOKUP(K22,'Train Runs'!$A$12:$B$998,2,TRUE),NA())</f>
        <v>4004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484</v>
      </c>
      <c r="C23" s="198" t="s">
        <v>486</v>
      </c>
      <c r="D23" s="212">
        <f>D22+2</f>
        <v>220</v>
      </c>
      <c r="E23" s="30" t="s">
        <v>488</v>
      </c>
      <c r="F23" s="212" t="b">
        <v>1</v>
      </c>
      <c r="G23" s="216" t="str">
        <f t="shared" si="0"/>
        <v>"C:\Program Files (x86)\AstroGrep\AstroGrep.exe" /e /r /s /spath="%USERPROFILE%\AppData\Local\Temp\OnboardLogs" /stypes="*4017*201703070*" /stext=" 03:.+((SYSTEM_STATE.+slice.+state.+changed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03:.+((\|PRM\|1\|D)|(crossing.((167)|(168)|(199)|(200))))" "%USERPROFILE%\AppData\Local\Temp\OnboardLogs"\RTDC4017\*4017*201703070*</v>
      </c>
      <c r="I23" s="214" t="str">
        <f>IF(VLOOKUP(K23,'Train Runs'!$A$13:$V$998,1,TRUE)=K23,VLOOKUP(K23,'Train Runs'!$A$13:$V$998,22,TRUE),NA())</f>
        <v>https://d0f6bd738d7f1b3e5a7ca70fe4ff75f0.us-east-1.aws.found.io/app/kibana#/discover/Steve-Slow-Train-Analysis-(2080s-and-2083s)?_g=(refreshInterval:(display:Off,pause:!f,section:0,value:0),time:(from:'2017-03-09T18:13:56-0700',mode:absolute,to:'2017-03-09T21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3" s="210">
        <f t="shared" si="2"/>
        <v>42801.127083333333</v>
      </c>
      <c r="K23" s="210" t="str">
        <f>D23&amp;"-"&amp;IF(DAY(Variables!$A$2)&lt;10,0,"")&amp;DAY(Variables!$A$2)</f>
        <v>220-09</v>
      </c>
      <c r="L23" s="206">
        <f>IF(VLOOKUP(K23,'Train Runs'!$A$12:$B$998,1,TRUE)=K23,VLOOKUP(K23,'Train Runs'!$A$12:$B$998,2,TRUE),NA())</f>
        <v>4017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484</v>
      </c>
      <c r="C24" s="198" t="s">
        <v>486</v>
      </c>
      <c r="D24" s="212">
        <f>D23+2</f>
        <v>222</v>
      </c>
      <c r="E24" s="30" t="s">
        <v>488</v>
      </c>
      <c r="F24" s="212" t="b">
        <v>1</v>
      </c>
      <c r="G24" s="216" t="str">
        <f t="shared" si="0"/>
        <v>"C:\Program Files (x86)\AstroGrep\AstroGrep.exe" /e /r /s /spath="%USERPROFILE%\AppData\Local\Temp\OnboardLogs" /stypes="*4043*201703070*" /stext=" 03:.+((SYSTEM_STATE.+slice.+state.+changed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03:.+((\|PRM\|1\|D)|(crossing.((167)|(168)|(199)|(200))))" "%USERPROFILE%\AppData\Local\Temp\OnboardLogs"\RTDC4043\*4043*201703070*</v>
      </c>
      <c r="I24" s="214" t="str">
        <f>IF(VLOOKUP(K24,'Train Runs'!$A$13:$V$998,1,TRUE)=K24,VLOOKUP(K24,'Train Runs'!$A$13:$V$998,22,TRUE),NA())</f>
        <v>https://d0f6bd738d7f1b3e5a7ca70fe4ff75f0.us-east-1.aws.found.io/app/kibana#/discover/Steve-Slow-Train-Analysis-(2080s-and-2083s)?_g=(refreshInterval:(display:Off,pause:!f,section:0,value:0),time:(from:'2017-03-09T18:52:09-0700',mode:absolute,to:'2017-03-09T21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4" s="210">
        <f t="shared" si="2"/>
        <v>42801.145833333328</v>
      </c>
      <c r="K24" s="210" t="str">
        <f>D24&amp;"-"&amp;IF(DAY(Variables!$A$2)&lt;10,0,"")&amp;DAY(Variables!$A$2)</f>
        <v>222-09</v>
      </c>
      <c r="L24" s="206">
        <f>IF(VLOOKUP(K24,'Train Runs'!$A$12:$B$998,1,TRUE)=K24,VLOOKUP(K24,'Train Runs'!$A$12:$B$998,2,TRUE),NA())</f>
        <v>4043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484</v>
      </c>
      <c r="C25" s="198" t="s">
        <v>486</v>
      </c>
      <c r="D25" s="212">
        <f>D24+2</f>
        <v>224</v>
      </c>
      <c r="E25" s="30" t="s">
        <v>488</v>
      </c>
      <c r="F25" s="212" t="b">
        <v>1</v>
      </c>
      <c r="G25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03:.+((\|PRM\|1\|D)|(crossing.((167)|(168)|(199)|(200))))" "%USERPROFILE%\AppData\Local\Temp\OnboardLogs"\RTDC4019\*4019*201703070*</v>
      </c>
      <c r="I25" s="214" t="str">
        <f>IF(VLOOKUP(K25,'Train Runs'!$A$13:$V$998,1,TRUE)=K25,VLOOKUP(K25,'Train Runs'!$A$13:$V$998,22,TRUE),NA())</f>
        <v>https://d0f6bd738d7f1b3e5a7ca70fe4ff75f0.us-east-1.aws.found.io/app/kibana#/discover/Steve-Slow-Train-Analysis-(2080s-and-2083s)?_g=(refreshInterval:(display:Off,pause:!f,section:0,value:0),time:(from:'2017-03-09T19:21:48-0700',mode:absolute,to:'2017-03-09T22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5" s="210">
        <f t="shared" si="2"/>
        <v>42801.164583333331</v>
      </c>
      <c r="K25" s="210" t="str">
        <f>D25&amp;"-"&amp;IF(DAY(Variables!$A$2)&lt;10,0,"")&amp;DAY(Variables!$A$2)</f>
        <v>224-09</v>
      </c>
      <c r="L25" s="206">
        <f>IF(VLOOKUP(K25,'Train Runs'!$A$12:$B$998,1,TRUE)=K25,VLOOKUP(K25,'Train Runs'!$A$12:$B$998,2,TRUE),NA())</f>
        <v>4019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484</v>
      </c>
      <c r="C26" s="198" t="s">
        <v>486</v>
      </c>
      <c r="D26" s="212">
        <f>D25+2</f>
        <v>226</v>
      </c>
      <c r="E26" s="30" t="s">
        <v>488</v>
      </c>
      <c r="F26" s="212" t="b">
        <v>1</v>
      </c>
      <c r="G26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04:.+((\|PRM\|1\|D)|(crossing.((167)|(168)|(199)|(200))))" "%USERPROFILE%\AppData\Local\Temp\OnboardLogs"\RTDC4004\*4004*201703070*</v>
      </c>
      <c r="I26" s="214" t="str">
        <f>IF(VLOOKUP(K26,'Train Runs'!$A$13:$V$998,1,TRUE)=K26,VLOOKUP(K26,'Train Runs'!$A$13:$V$998,22,TRUE),NA())</f>
        <v>https://d0f6bd738d7f1b3e5a7ca70fe4ff75f0.us-east-1.aws.found.io/app/kibana#/discover/Steve-Slow-Train-Analysis-(2080s-and-2083s)?_g=(refreshInterval:(display:Off,pause:!f,section:0,value:0),time:(from:'2017-03-09T19:47:24-0700',mode:absolute,to:'2017-03-09T22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6" s="210">
        <f t="shared" si="2"/>
        <v>42801.186805555553</v>
      </c>
      <c r="K26" s="210" t="str">
        <f>D26&amp;"-"&amp;IF(DAY(Variables!$A$2)&lt;10,0,"")&amp;DAY(Variables!$A$2)</f>
        <v>226-09</v>
      </c>
      <c r="L26" s="206">
        <f>IF(VLOOKUP(K26,'Train Runs'!$A$12:$B$998,1,TRUE)=K26,VLOOKUP(K26,'Train Runs'!$A$12:$B$998,2,TRUE),NA())</f>
        <v>4004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484</v>
      </c>
      <c r="C27" s="198" t="s">
        <v>486</v>
      </c>
      <c r="D27" s="212">
        <f t="shared" ref="D27:D33" si="5">D26+2</f>
        <v>228</v>
      </c>
      <c r="E27" s="30" t="s">
        <v>488</v>
      </c>
      <c r="F27" s="212" t="b">
        <v>1</v>
      </c>
      <c r="G27" s="216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05:.+((\|PRM\|1\|D)|(crossing.((167)|(168)|(199)|(200))))" "%USERPROFILE%\AppData\Local\Temp\OnboardLogs"\RTDC4017\*4017*201703070*</v>
      </c>
      <c r="I27" s="214" t="str">
        <f>IF(VLOOKUP(K27,'Train Runs'!$A$13:$V$998,1,TRUE)=K27,VLOOKUP(K27,'Train Runs'!$A$13:$V$998,22,TRUE),NA())</f>
        <v>https://d0f6bd738d7f1b3e5a7ca70fe4ff75f0.us-east-1.aws.found.io/app/kibana#/discover/Steve-Slow-Train-Analysis-(2080s-and-2083s)?_g=(refreshInterval:(display:Off,pause:!f,section:0,value:0),time:(from:'2017-03-09T20:24:53-0700',mode:absolute,to:'2017-03-09T23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7" s="210">
        <f t="shared" si="2"/>
        <v>42801.208333333328</v>
      </c>
      <c r="K27" s="210" t="str">
        <f>D27&amp;"-"&amp;IF(DAY(Variables!$A$2)&lt;10,0,"")&amp;DAY(Variables!$A$2)</f>
        <v>228-09</v>
      </c>
      <c r="L27" s="206">
        <f>IF(VLOOKUP(K27,'Train Runs'!$A$12:$B$998,1,TRUE)=K27,VLOOKUP(K27,'Train Runs'!$A$12:$B$998,2,TRUE),NA())</f>
        <v>4017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484</v>
      </c>
      <c r="C28" s="198" t="s">
        <v>486</v>
      </c>
      <c r="D28" s="212">
        <f t="shared" si="5"/>
        <v>230</v>
      </c>
      <c r="E28" s="30" t="s">
        <v>488</v>
      </c>
      <c r="F28" s="212" t="b">
        <v>1</v>
      </c>
      <c r="G28" s="216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05:.+((\|PRM\|1\|D)|(crossing.((167)|(168)|(199)|(200))))" "%USERPROFILE%\AppData\Local\Temp\OnboardLogs"\RTDC4043\*4043*201703070*</v>
      </c>
      <c r="I28" s="214" t="str">
        <f>IF(VLOOKUP(K28,'Train Runs'!$A$13:$V$998,1,TRUE)=K28,VLOOKUP(K28,'Train Runs'!$A$13:$V$998,22,TRUE),NA())</f>
        <v>https://d0f6bd738d7f1b3e5a7ca70fe4ff75f0.us-east-1.aws.found.io/app/kibana#/discover/Steve-Slow-Train-Analysis-(2080s-and-2083s)?_g=(refreshInterval:(display:Off,pause:!f,section:0,value:0),time:(from:'2017-03-09T20:49:40-0700',mode:absolute,to:'2017-03-09T23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8" s="210">
        <f t="shared" si="2"/>
        <v>42801.231249999997</v>
      </c>
      <c r="K28" s="210" t="str">
        <f>D28&amp;"-"&amp;IF(DAY(Variables!$A$2)&lt;10,0,"")&amp;DAY(Variables!$A$2)</f>
        <v>230-09</v>
      </c>
      <c r="L28" s="206">
        <f>IF(VLOOKUP(K28,'Train Runs'!$A$12:$B$998,1,TRUE)=K28,VLOOKUP(K28,'Train Runs'!$A$12:$B$998,2,TRUE),NA())</f>
        <v>4043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484</v>
      </c>
      <c r="C29" s="198" t="s">
        <v>486</v>
      </c>
      <c r="D29" s="212">
        <f t="shared" si="5"/>
        <v>232</v>
      </c>
      <c r="E29" s="30" t="s">
        <v>488</v>
      </c>
      <c r="F29" s="212" t="b">
        <v>1</v>
      </c>
      <c r="G29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05:.+((\|PRM\|1\|D)|(crossing.((167)|(168)|(199)|(200))))" "%USERPROFILE%\AppData\Local\Temp\OnboardLogs"\RTDC4019\*4019*201703070*</v>
      </c>
      <c r="I29" s="214" t="str">
        <f>IF(VLOOKUP(K29,'Train Runs'!$A$13:$V$998,1,TRUE)=K29,VLOOKUP(K29,'Train Runs'!$A$13:$V$998,22,TRUE),NA())</f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9" s="210">
        <f t="shared" si="2"/>
        <v>42801.249305555553</v>
      </c>
      <c r="K29" s="210" t="str">
        <f>D29&amp;"-"&amp;IF(DAY(Variables!$A$2)&lt;10,0,"")&amp;DAY(Variables!$A$2)</f>
        <v>232-09</v>
      </c>
      <c r="L29" s="206">
        <f>IF(VLOOKUP(K29,'Train Runs'!$A$12:$B$998,1,TRUE)=K29,VLOOKUP(K29,'Train Runs'!$A$12:$B$998,2,TRUE),NA())</f>
        <v>4019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484</v>
      </c>
      <c r="C30" s="198" t="s">
        <v>486</v>
      </c>
      <c r="D30" s="212">
        <f t="shared" si="5"/>
        <v>234</v>
      </c>
      <c r="E30" s="30" t="s">
        <v>488</v>
      </c>
      <c r="F30" s="212" t="b">
        <v>1</v>
      </c>
      <c r="G30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06:.+((\|PRM\|1\|D)|(crossing.((167)|(168)|(199)|(200))))" "%USERPROFILE%\AppData\Local\Temp\OnboardLogs"\RTDC4004\*4004*201703070*</v>
      </c>
      <c r="I30" s="214" t="str">
        <f>IF(VLOOKUP(K30,'Train Runs'!$A$13:$V$998,1,TRUE)=K30,VLOOKUP(K30,'Train Runs'!$A$13:$V$998,22,TRUE),NA())</f>
        <v>https://d0f6bd738d7f1b3e5a7ca70fe4ff75f0.us-east-1.aws.found.io/app/kibana#/discover/Steve-Slow-Train-Analysis-(2080s-and-2083s)?_g=(refreshInterval:(display:Off,pause:!f,section:0,value:0),time:(from:'2017-03-09T21:51:58-0700',mode:absolute,to:'2017-03-10T00:40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0" s="210">
        <f t="shared" si="2"/>
        <v>42801.260416666664</v>
      </c>
      <c r="K30" s="210" t="str">
        <f>D30&amp;"-"&amp;IF(DAY(Variables!$A$2)&lt;10,0,"")&amp;DAY(Variables!$A$2)</f>
        <v>234-09</v>
      </c>
      <c r="L30" s="206">
        <f>IF(VLOOKUP(K30,'Train Runs'!$A$12:$B$998,1,TRUE)=K30,VLOOKUP(K30,'Train Runs'!$A$12:$B$998,2,TRUE),NA())</f>
        <v>4004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484</v>
      </c>
      <c r="C31" s="198" t="s">
        <v>486</v>
      </c>
      <c r="D31" s="212">
        <f t="shared" si="5"/>
        <v>236</v>
      </c>
      <c r="E31" s="30" t="s">
        <v>488</v>
      </c>
      <c r="F31" s="212" t="b">
        <v>1</v>
      </c>
      <c r="G31" s="216" t="str">
        <f t="shared" si="0"/>
        <v>"C:\Program Files (x86)\AstroGrep\AstroGrep.exe" /e /r /s /spath="%USERPROFILE%\AppData\Local\Temp\OnboardLogs" /stypes="*4017*201703070*" /stext=" 06:.+((SYSTEM_STATE.+slice.+state.+changed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06:.+((\|PRM\|1\|D)|(crossing.((167)|(168)|(199)|(200))))" "%USERPROFILE%\AppData\Local\Temp\OnboardLogs"\RTDC4017\*4017*201703070*</v>
      </c>
      <c r="I31" s="214" t="str">
        <f>IF(VLOOKUP(K31,'Train Runs'!$A$13:$V$998,1,TRUE)=K31,VLOOKUP(K31,'Train Runs'!$A$13:$V$998,22,TRUE),NA())</f>
        <v>https://d0f6bd738d7f1b3e5a7ca70fe4ff75f0.us-east-1.aws.found.io/app/kibana#/discover/Steve-Slow-Train-Analysis-(2080s-and-2083s)?_g=(refreshInterval:(display:Off,pause:!f,section:0,value:0),time:(from:'2017-03-09T22:10:52-0700',mode:absolute,to:'2017-03-10T01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1" s="210">
        <f t="shared" si="2"/>
        <v>42801.271527777775</v>
      </c>
      <c r="K31" s="210" t="str">
        <f>D31&amp;"-"&amp;IF(DAY(Variables!$A$2)&lt;10,0,"")&amp;DAY(Variables!$A$2)</f>
        <v>236-09</v>
      </c>
      <c r="L31" s="206">
        <f>IF(VLOOKUP(K31,'Train Runs'!$A$12:$B$998,1,TRUE)=K31,VLOOKUP(K31,'Train Runs'!$A$12:$B$998,2,TRUE),NA())</f>
        <v>4017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484</v>
      </c>
      <c r="C32" s="198" t="s">
        <v>486</v>
      </c>
      <c r="D32" s="212">
        <f t="shared" si="5"/>
        <v>238</v>
      </c>
      <c r="E32" s="30" t="s">
        <v>488</v>
      </c>
      <c r="F32" s="212" t="b">
        <v>1</v>
      </c>
      <c r="G32" s="216" t="str">
        <f t="shared" si="0"/>
        <v>"C:\Program Files (x86)\AstroGrep\AstroGrep.exe" /e /r /s /spath="%USERPROFILE%\AppData\Local\Temp\OnboardLogs" /stypes="*4043*201703070*" /stext=" 06:.+((SYSTEM_STATE.+slice.+state.+changed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06:.+((\|PRM\|1\|D)|(crossing.((167)|(168)|(199)|(200))))" "%USERPROFILE%\AppData\Local\Temp\OnboardLogs"\RTDC4043\*4043*201703070*</v>
      </c>
      <c r="I32" s="214" t="str">
        <f>IF(VLOOKUP(K32,'Train Runs'!$A$13:$V$998,1,TRUE)=K32,VLOOKUP(K32,'Train Runs'!$A$13:$V$998,22,TRUE),NA())</f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2" s="210">
        <f t="shared" si="2"/>
        <v>42801.290972222218</v>
      </c>
      <c r="K32" s="210" t="str">
        <f>D32&amp;"-"&amp;IF(DAY(Variables!$A$2)&lt;10,0,"")&amp;DAY(Variables!$A$2)</f>
        <v>238-09</v>
      </c>
      <c r="L32" s="206">
        <f>IF(VLOOKUP(K32,'Train Runs'!$A$12:$B$998,1,TRUE)=K32,VLOOKUP(K32,'Train Runs'!$A$12:$B$998,2,TRUE),NA())</f>
        <v>4043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484</v>
      </c>
      <c r="C33" s="198" t="s">
        <v>486</v>
      </c>
      <c r="D33" s="212">
        <f t="shared" si="5"/>
        <v>240</v>
      </c>
      <c r="E33" s="30" t="s">
        <v>488</v>
      </c>
      <c r="F33" s="212" t="b">
        <v>1</v>
      </c>
      <c r="G33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07:.+((\|PRM\|1\|D)|(crossing.((167)|(168)|(199)|(200))))" "%USERPROFILE%\AppData\Local\Temp\OnboardLogs"\RTDC4019\*4019*201703070*</v>
      </c>
      <c r="I33" s="214" t="str">
        <f>IF(VLOOKUP(K33,'Train Runs'!$A$13:$V$998,1,TRUE)=K33,VLOOKUP(K33,'Train Runs'!$A$13:$V$998,22,TRUE),NA())</f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3" s="210">
        <f t="shared" si="2"/>
        <v>42801.313888888886</v>
      </c>
      <c r="K33" s="210" t="str">
        <f>D33&amp;"-"&amp;IF(DAY(Variables!$A$2)&lt;10,0,"")&amp;DAY(Variables!$A$2)</f>
        <v>240-09</v>
      </c>
      <c r="L33" s="206">
        <f>IF(VLOOKUP(K33,'Train Runs'!$A$12:$B$998,1,TRUE)=K33,VLOOKUP(K33,'Train Runs'!$A$12:$B$998,2,TRUE),NA())</f>
        <v>4019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484</v>
      </c>
      <c r="C34" s="198" t="s">
        <v>486</v>
      </c>
      <c r="D34" s="212">
        <v>240</v>
      </c>
      <c r="E34" s="30" t="s">
        <v>488</v>
      </c>
      <c r="F34" s="212" t="b">
        <v>1</v>
      </c>
      <c r="G34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07:.+((\|PRM\|1\|D)|(crossing.((167)|(168)|(199)|(200))))" "%USERPROFILE%\AppData\Local\Temp\OnboardLogs"\RTDC4019\*4019*201703070*</v>
      </c>
      <c r="I34" s="214" t="str">
        <f>IF(VLOOKUP(K34,'Train Runs'!$A$13:$V$998,1,TRUE)=K34,VLOOKUP(K34,'Train Runs'!$A$13:$V$998,22,TRUE),NA())</f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4" s="210">
        <f t="shared" si="2"/>
        <v>42801.331944444442</v>
      </c>
      <c r="K34" s="210" t="str">
        <f>D34&amp;"-"&amp;IF(DAY(Variables!$A$2)&lt;10,0,"")&amp;DAY(Variables!$A$2)</f>
        <v>240-09</v>
      </c>
      <c r="L34" s="206">
        <f>IF(VLOOKUP(K34,'Train Runs'!$A$12:$B$998,1,TRUE)=K34,VLOOKUP(K34,'Train Runs'!$A$12:$B$998,2,TRUE),NA())</f>
        <v>4019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484</v>
      </c>
      <c r="C35" s="198" t="s">
        <v>486</v>
      </c>
      <c r="D35" s="212">
        <v>242</v>
      </c>
      <c r="E35" s="30" t="s">
        <v>488</v>
      </c>
      <c r="F35" s="212" t="b">
        <v>1</v>
      </c>
      <c r="G35" s="216" t="str">
        <f t="shared" si="0"/>
        <v>"C:\Program Files (x86)\AstroGrep\AstroGrep.exe" /e /r /s /spath="%USERPROFILE%\AppData\Local\Temp\OnboardLogs" /stypes="*4004*201703070*" /stext=" 08:.+((SYSTEM_STATE.+slice.+state.+changed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08:.+((\|PRM\|1\|D)|(crossing.((167)|(168)|(199)|(200))))" "%USERPROFILE%\AppData\Local\Temp\OnboardLogs"\RTDC4004\*4004*201703070*</v>
      </c>
      <c r="I35" s="214" t="str">
        <f>IF(VLOOKUP(K35,'Train Runs'!$A$13:$V$998,1,TRUE)=K35,VLOOKUP(K35,'Train Runs'!$A$13:$V$998,22,TRUE),NA())</f>
        <v>https://d0f6bd738d7f1b3e5a7ca70fe4ff75f0.us-east-1.aws.found.io/app/kibana#/discover/Steve-Slow-Train-Analysis-(2080s-and-2083s)?_g=(refreshInterval:(display:Off,pause:!f,section:0,value:0),time:(from:'2017-03-09T23:47:05-0700',mode:absolute,to:'2017-03-10T02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5" s="210">
        <f t="shared" si="2"/>
        <v>42801.353472222218</v>
      </c>
      <c r="K35" s="210" t="str">
        <f>D35&amp;"-"&amp;IF(DAY(Variables!$A$2)&lt;10,0,"")&amp;DAY(Variables!$A$2)</f>
        <v>242-09</v>
      </c>
      <c r="L35" s="206">
        <f>IF(VLOOKUP(K35,'Train Runs'!$A$12:$B$998,1,TRUE)=K35,VLOOKUP(K35,'Train Runs'!$A$12:$B$998,2,TRUE),NA())</f>
        <v>4004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42803.033553240741</v>
      </c>
      <c r="B2" s="20" t="s">
        <v>444</v>
      </c>
      <c r="C2" s="20" t="s">
        <v>533</v>
      </c>
      <c r="D2" s="150">
        <v>2150000</v>
      </c>
      <c r="E2" s="20" t="s">
        <v>526</v>
      </c>
      <c r="F2" s="20" t="s">
        <v>527</v>
      </c>
      <c r="G2" s="8" t="str">
        <f>E2&amp;" "&amp;F2</f>
        <v>SWANSON BRYCE</v>
      </c>
    </row>
    <row r="3" spans="1:7" x14ac:dyDescent="0.25">
      <c r="A3" s="8">
        <v>42803.036689814813</v>
      </c>
      <c r="B3" s="20" t="s">
        <v>500</v>
      </c>
      <c r="C3" s="20" t="s">
        <v>534</v>
      </c>
      <c r="D3" s="150">
        <v>2450000</v>
      </c>
      <c r="E3" s="20" t="s">
        <v>528</v>
      </c>
      <c r="F3" s="20" t="s">
        <v>529</v>
      </c>
      <c r="G3" s="8" t="str">
        <f t="shared" ref="G3:G66" si="0">E3&amp;" "&amp;F3</f>
        <v>NELSON ARIANE</v>
      </c>
    </row>
    <row r="4" spans="1:7" x14ac:dyDescent="0.25">
      <c r="A4" s="8">
        <v>42803.048831018517</v>
      </c>
      <c r="B4" s="20" t="s">
        <v>499</v>
      </c>
      <c r="C4" s="20" t="s">
        <v>531</v>
      </c>
      <c r="D4" s="150">
        <v>2730000</v>
      </c>
      <c r="E4" s="20" t="s">
        <v>240</v>
      </c>
      <c r="F4" s="20" t="s">
        <v>241</v>
      </c>
      <c r="G4" s="8" t="str">
        <f t="shared" si="0"/>
        <v>YANG JAN</v>
      </c>
    </row>
    <row r="5" spans="1:7" x14ac:dyDescent="0.25">
      <c r="A5" s="8">
        <v>42803.05740740741</v>
      </c>
      <c r="B5" s="20" t="s">
        <v>212</v>
      </c>
      <c r="C5" s="20" t="s">
        <v>535</v>
      </c>
      <c r="D5" s="150">
        <v>1810000</v>
      </c>
      <c r="E5" s="20" t="s">
        <v>201</v>
      </c>
      <c r="F5" s="20" t="s">
        <v>197</v>
      </c>
      <c r="G5" s="8" t="str">
        <f t="shared" si="0"/>
        <v>NEWELL JAMES</v>
      </c>
    </row>
    <row r="6" spans="1:7" x14ac:dyDescent="0.25">
      <c r="A6" s="8">
        <v>42803.069062499999</v>
      </c>
      <c r="B6" s="20" t="s">
        <v>427</v>
      </c>
      <c r="C6" s="20" t="s">
        <v>536</v>
      </c>
      <c r="D6" s="150">
        <v>1740000</v>
      </c>
      <c r="E6" s="20" t="s">
        <v>458</v>
      </c>
      <c r="F6" s="20" t="s">
        <v>459</v>
      </c>
      <c r="G6" s="8" t="str">
        <f t="shared" si="0"/>
        <v>STORY SAMANTHA</v>
      </c>
    </row>
    <row r="7" spans="1:7" x14ac:dyDescent="0.25">
      <c r="A7" s="8">
        <v>42803.07240740741</v>
      </c>
      <c r="B7" s="20" t="s">
        <v>501</v>
      </c>
      <c r="C7" s="20" t="s">
        <v>537</v>
      </c>
      <c r="D7" s="150">
        <v>2450000</v>
      </c>
      <c r="E7" s="20" t="s">
        <v>528</v>
      </c>
      <c r="F7" s="20" t="s">
        <v>529</v>
      </c>
      <c r="G7" s="8" t="str">
        <f t="shared" si="0"/>
        <v>NELSON ARIANE</v>
      </c>
    </row>
    <row r="8" spans="1:7" x14ac:dyDescent="0.25">
      <c r="A8" s="8">
        <v>42803.076689814814</v>
      </c>
      <c r="B8" s="20" t="s">
        <v>504</v>
      </c>
      <c r="C8" s="20" t="s">
        <v>532</v>
      </c>
      <c r="D8" s="150">
        <v>2730000</v>
      </c>
      <c r="E8" s="20" t="s">
        <v>240</v>
      </c>
      <c r="F8" s="20" t="s">
        <v>241</v>
      </c>
      <c r="G8" s="8" t="str">
        <f t="shared" si="0"/>
        <v>YANG JAN</v>
      </c>
    </row>
    <row r="9" spans="1:7" ht="15.75" thickBot="1" x14ac:dyDescent="0.3">
      <c r="A9" s="24">
        <v>42803.090300925927</v>
      </c>
      <c r="B9" s="20" t="s">
        <v>211</v>
      </c>
      <c r="C9" s="20" t="s">
        <v>538</v>
      </c>
      <c r="D9" s="150">
        <v>1810000</v>
      </c>
      <c r="E9" s="20" t="s">
        <v>201</v>
      </c>
      <c r="F9" s="20" t="s">
        <v>197</v>
      </c>
      <c r="G9" s="8" t="str">
        <f t="shared" si="0"/>
        <v>NEWELL JAMES</v>
      </c>
    </row>
    <row r="10" spans="1:7" x14ac:dyDescent="0.25">
      <c r="A10" s="8">
        <v>42803.116238425922</v>
      </c>
      <c r="B10" s="20" t="s">
        <v>575</v>
      </c>
      <c r="C10" s="20" t="s">
        <v>614</v>
      </c>
      <c r="D10" s="150">
        <v>1140000</v>
      </c>
      <c r="E10" s="20" t="s">
        <v>505</v>
      </c>
      <c r="F10" s="20" t="s">
        <v>506</v>
      </c>
      <c r="G10" s="8" t="str">
        <f t="shared" si="0"/>
        <v>YOUNG ELIZABETH</v>
      </c>
    </row>
    <row r="11" spans="1:7" x14ac:dyDescent="0.25">
      <c r="A11" s="8">
        <v>42803.119432870371</v>
      </c>
      <c r="B11" s="20" t="s">
        <v>575</v>
      </c>
      <c r="C11" s="20" t="s">
        <v>614</v>
      </c>
      <c r="D11" s="150">
        <v>1140000</v>
      </c>
      <c r="E11" s="20" t="s">
        <v>505</v>
      </c>
      <c r="F11" s="20" t="s">
        <v>506</v>
      </c>
      <c r="G11" s="8" t="str">
        <f t="shared" si="0"/>
        <v>YOUNG ELIZABETH</v>
      </c>
    </row>
    <row r="12" spans="1:7" x14ac:dyDescent="0.25">
      <c r="A12" s="8">
        <v>42803.121631944443</v>
      </c>
      <c r="B12" s="20" t="s">
        <v>254</v>
      </c>
      <c r="C12" s="20" t="s">
        <v>615</v>
      </c>
      <c r="D12" s="150">
        <v>1090000</v>
      </c>
      <c r="E12" s="20" t="s">
        <v>616</v>
      </c>
      <c r="F12" s="20" t="s">
        <v>200</v>
      </c>
      <c r="G12" s="8" t="str">
        <f t="shared" si="0"/>
        <v>SPECTOR MICHAEL</v>
      </c>
    </row>
    <row r="13" spans="1:7" x14ac:dyDescent="0.25">
      <c r="A13" s="8">
        <v>42803.133715277778</v>
      </c>
      <c r="B13" s="20" t="s">
        <v>278</v>
      </c>
      <c r="C13" s="20" t="s">
        <v>617</v>
      </c>
      <c r="D13" s="150">
        <v>1140000</v>
      </c>
      <c r="E13" s="20" t="s">
        <v>505</v>
      </c>
      <c r="F13" s="20" t="s">
        <v>506</v>
      </c>
      <c r="G13" s="8" t="str">
        <f t="shared" si="0"/>
        <v>YOUNG ELIZABETH</v>
      </c>
    </row>
    <row r="14" spans="1:7" x14ac:dyDescent="0.25">
      <c r="A14" s="8">
        <v>42803.141875000001</v>
      </c>
      <c r="B14" s="20" t="s">
        <v>618</v>
      </c>
      <c r="C14" s="20" t="s">
        <v>619</v>
      </c>
      <c r="D14" s="150">
        <v>940000</v>
      </c>
      <c r="E14" s="20" t="s">
        <v>448</v>
      </c>
      <c r="F14" s="20" t="s">
        <v>449</v>
      </c>
      <c r="G14" s="8" t="str">
        <f t="shared" si="0"/>
        <v>BONDS REYNALDO</v>
      </c>
    </row>
    <row r="15" spans="1:7" x14ac:dyDescent="0.25">
      <c r="A15" s="8">
        <v>42803.153032407405</v>
      </c>
      <c r="B15" s="20" t="s">
        <v>252</v>
      </c>
      <c r="C15" s="20" t="s">
        <v>574</v>
      </c>
      <c r="D15" s="150">
        <v>1090000</v>
      </c>
      <c r="E15" s="20" t="s">
        <v>616</v>
      </c>
      <c r="F15" s="20" t="s">
        <v>200</v>
      </c>
      <c r="G15" s="8" t="str">
        <f t="shared" si="0"/>
        <v>SPECTOR MICHAEL</v>
      </c>
    </row>
    <row r="16" spans="1:7" x14ac:dyDescent="0.25">
      <c r="A16" s="8">
        <v>42803.153391203705</v>
      </c>
      <c r="B16" s="20" t="s">
        <v>271</v>
      </c>
      <c r="C16" s="20" t="s">
        <v>620</v>
      </c>
      <c r="D16" s="150">
        <v>940000</v>
      </c>
      <c r="E16" s="20" t="s">
        <v>448</v>
      </c>
      <c r="F16" s="20" t="s">
        <v>449</v>
      </c>
      <c r="G16" s="8" t="str">
        <f t="shared" si="0"/>
        <v>BONDS REYNALDO</v>
      </c>
    </row>
    <row r="17" spans="1:7" x14ac:dyDescent="0.25">
      <c r="A17" s="8">
        <v>42803.157523148147</v>
      </c>
      <c r="B17" s="20" t="s">
        <v>602</v>
      </c>
      <c r="C17" s="20" t="s">
        <v>621</v>
      </c>
      <c r="D17" s="150">
        <v>2140000</v>
      </c>
      <c r="E17" s="20" t="s">
        <v>622</v>
      </c>
      <c r="F17" s="20" t="s">
        <v>623</v>
      </c>
      <c r="G17" s="8" t="str">
        <f t="shared" si="0"/>
        <v>ROBINSON KADDIBA</v>
      </c>
    </row>
    <row r="18" spans="1:7" x14ac:dyDescent="0.25">
      <c r="A18" s="8">
        <v>42803.168298611112</v>
      </c>
      <c r="B18" s="20" t="s">
        <v>420</v>
      </c>
      <c r="C18" s="20" t="s">
        <v>624</v>
      </c>
      <c r="D18" s="150">
        <v>2140000</v>
      </c>
      <c r="E18" s="20" t="s">
        <v>622</v>
      </c>
      <c r="F18" s="20" t="s">
        <v>623</v>
      </c>
      <c r="G18" s="8" t="str">
        <f t="shared" si="0"/>
        <v>ROBINSON KADDIBA</v>
      </c>
    </row>
    <row r="19" spans="1:7" x14ac:dyDescent="0.25">
      <c r="A19" s="8">
        <v>42803.168564814812</v>
      </c>
      <c r="B19" s="20" t="s">
        <v>575</v>
      </c>
      <c r="C19" s="20" t="s">
        <v>576</v>
      </c>
      <c r="D19" s="150">
        <v>1140000</v>
      </c>
      <c r="E19" s="20" t="s">
        <v>505</v>
      </c>
      <c r="F19" s="20" t="s">
        <v>506</v>
      </c>
      <c r="G19" s="8" t="str">
        <f t="shared" si="0"/>
        <v>YOUNG ELIZABETH</v>
      </c>
    </row>
    <row r="20" spans="1:7" x14ac:dyDescent="0.25">
      <c r="A20" s="8">
        <v>42803.170231481483</v>
      </c>
      <c r="B20" s="20" t="s">
        <v>204</v>
      </c>
      <c r="C20" s="20" t="s">
        <v>625</v>
      </c>
      <c r="D20" s="150">
        <v>1100000</v>
      </c>
      <c r="E20" s="20" t="s">
        <v>507</v>
      </c>
      <c r="F20" s="20" t="s">
        <v>508</v>
      </c>
      <c r="G20" s="8" t="str">
        <f t="shared" si="0"/>
        <v>GEBRETEKLE DAGNEW</v>
      </c>
    </row>
    <row r="21" spans="1:7" x14ac:dyDescent="0.25">
      <c r="A21" s="8">
        <v>42803.171585648146</v>
      </c>
      <c r="B21" s="20" t="s">
        <v>204</v>
      </c>
      <c r="C21" s="20" t="s">
        <v>625</v>
      </c>
      <c r="D21" s="150">
        <v>1100000</v>
      </c>
      <c r="E21" s="20" t="s">
        <v>507</v>
      </c>
      <c r="F21" s="20" t="s">
        <v>508</v>
      </c>
      <c r="G21" s="8" t="str">
        <f t="shared" si="0"/>
        <v>GEBRETEKLE DAGNEW</v>
      </c>
    </row>
    <row r="22" spans="1:7" x14ac:dyDescent="0.25">
      <c r="A22" s="26">
        <v>42803.182858796295</v>
      </c>
      <c r="B22" s="20" t="s">
        <v>425</v>
      </c>
      <c r="C22" s="20" t="s">
        <v>626</v>
      </c>
      <c r="D22" s="150">
        <v>1100000</v>
      </c>
      <c r="E22" s="20" t="s">
        <v>507</v>
      </c>
      <c r="F22" s="20" t="s">
        <v>508</v>
      </c>
      <c r="G22" s="8" t="str">
        <f t="shared" si="0"/>
        <v>GEBRETEKLE DAGNEW</v>
      </c>
    </row>
    <row r="23" spans="1:7" x14ac:dyDescent="0.25">
      <c r="A23" s="8">
        <v>42803.183993055558</v>
      </c>
      <c r="B23" s="20" t="s">
        <v>425</v>
      </c>
      <c r="C23" s="20" t="s">
        <v>626</v>
      </c>
      <c r="D23" s="150">
        <v>1100000</v>
      </c>
      <c r="E23" s="20" t="s">
        <v>507</v>
      </c>
      <c r="F23" s="20" t="s">
        <v>508</v>
      </c>
      <c r="G23" s="8" t="str">
        <f t="shared" si="0"/>
        <v>GEBRETEKLE DAGNEW</v>
      </c>
    </row>
    <row r="24" spans="1:7" x14ac:dyDescent="0.25">
      <c r="A24" s="8">
        <v>42803.186215277776</v>
      </c>
      <c r="B24" s="20" t="s">
        <v>502</v>
      </c>
      <c r="C24" s="20" t="s">
        <v>627</v>
      </c>
      <c r="D24" s="150">
        <v>900000</v>
      </c>
      <c r="E24" s="20" t="s">
        <v>452</v>
      </c>
      <c r="F24" s="20" t="s">
        <v>453</v>
      </c>
      <c r="G24" s="8" t="str">
        <f t="shared" si="0"/>
        <v>ROCHA YAOTL</v>
      </c>
    </row>
    <row r="25" spans="1:7" x14ac:dyDescent="0.25">
      <c r="A25" s="8">
        <v>42803.191666666666</v>
      </c>
      <c r="B25" s="20" t="s">
        <v>618</v>
      </c>
      <c r="C25" s="20" t="s">
        <v>628</v>
      </c>
      <c r="D25" s="150">
        <v>940000</v>
      </c>
      <c r="E25" s="20" t="s">
        <v>448</v>
      </c>
      <c r="F25" s="20" t="s">
        <v>449</v>
      </c>
      <c r="G25" s="8" t="str">
        <f t="shared" si="0"/>
        <v>BONDS REYNALDO</v>
      </c>
    </row>
    <row r="26" spans="1:7" x14ac:dyDescent="0.25">
      <c r="A26" s="8">
        <v>42803.196064814816</v>
      </c>
      <c r="B26" s="20" t="s">
        <v>510</v>
      </c>
      <c r="C26" s="20" t="s">
        <v>629</v>
      </c>
      <c r="D26" s="150">
        <v>900000</v>
      </c>
      <c r="E26" s="20" t="s">
        <v>452</v>
      </c>
      <c r="F26" s="20" t="s">
        <v>453</v>
      </c>
      <c r="G26" s="8" t="str">
        <f t="shared" si="0"/>
        <v>ROCHA YAOTL</v>
      </c>
    </row>
    <row r="27" spans="1:7" x14ac:dyDescent="0.25">
      <c r="A27" s="8">
        <v>42803.198495370372</v>
      </c>
      <c r="B27" s="20" t="s">
        <v>600</v>
      </c>
      <c r="C27" s="20" t="s">
        <v>630</v>
      </c>
      <c r="D27" s="150">
        <v>2020000</v>
      </c>
      <c r="E27" s="20" t="s">
        <v>631</v>
      </c>
      <c r="F27" s="20" t="s">
        <v>421</v>
      </c>
      <c r="G27" s="8" t="str">
        <f t="shared" si="0"/>
        <v>SHOOK JOHN</v>
      </c>
    </row>
    <row r="28" spans="1:7" x14ac:dyDescent="0.25">
      <c r="A28" s="8">
        <v>42803.207997685182</v>
      </c>
      <c r="B28" s="20" t="s">
        <v>278</v>
      </c>
      <c r="C28" s="20" t="s">
        <v>632</v>
      </c>
      <c r="D28" s="150">
        <v>1830000</v>
      </c>
      <c r="E28" s="20" t="s">
        <v>450</v>
      </c>
      <c r="F28" s="20" t="s">
        <v>451</v>
      </c>
      <c r="G28" s="8" t="str">
        <f t="shared" si="0"/>
        <v>YORK EDGAR</v>
      </c>
    </row>
    <row r="29" spans="1:7" x14ac:dyDescent="0.25">
      <c r="A29" s="8">
        <v>42803.210370370369</v>
      </c>
      <c r="B29" s="20" t="s">
        <v>602</v>
      </c>
      <c r="C29" s="20" t="s">
        <v>633</v>
      </c>
      <c r="D29" s="150">
        <v>2140000</v>
      </c>
      <c r="E29" s="20" t="s">
        <v>622</v>
      </c>
      <c r="F29" s="20" t="s">
        <v>623</v>
      </c>
      <c r="G29" s="8" t="str">
        <f t="shared" si="0"/>
        <v>ROBINSON KADDIBA</v>
      </c>
    </row>
    <row r="30" spans="1:7" x14ac:dyDescent="0.25">
      <c r="A30" s="8">
        <v>42803.211539351854</v>
      </c>
      <c r="B30" s="20" t="s">
        <v>594</v>
      </c>
      <c r="C30" s="20" t="s">
        <v>634</v>
      </c>
      <c r="D30" s="150">
        <v>2020000</v>
      </c>
      <c r="E30" s="20" t="s">
        <v>631</v>
      </c>
      <c r="F30" s="20" t="s">
        <v>421</v>
      </c>
      <c r="G30" s="8" t="str">
        <f t="shared" si="0"/>
        <v>SHOOK JOHN</v>
      </c>
    </row>
    <row r="31" spans="1:7" x14ac:dyDescent="0.25">
      <c r="A31" s="8">
        <v>42803.212650462963</v>
      </c>
      <c r="B31" s="20" t="s">
        <v>635</v>
      </c>
      <c r="C31" s="20" t="s">
        <v>636</v>
      </c>
      <c r="D31" s="150">
        <v>1140000</v>
      </c>
      <c r="E31" s="20" t="s">
        <v>505</v>
      </c>
      <c r="F31" s="20" t="s">
        <v>506</v>
      </c>
      <c r="G31" s="8" t="str">
        <f t="shared" si="0"/>
        <v>YOUNG ELIZABETH</v>
      </c>
    </row>
    <row r="32" spans="1:7" x14ac:dyDescent="0.25">
      <c r="A32" s="8">
        <v>42803.224282407406</v>
      </c>
      <c r="B32" s="20" t="s">
        <v>204</v>
      </c>
      <c r="C32" s="20" t="s">
        <v>637</v>
      </c>
      <c r="D32" s="150">
        <v>1100000</v>
      </c>
      <c r="E32" s="20" t="s">
        <v>507</v>
      </c>
      <c r="F32" s="20" t="s">
        <v>508</v>
      </c>
      <c r="G32" s="8" t="str">
        <f t="shared" si="0"/>
        <v>GEBRETEKLE DAGNEW</v>
      </c>
    </row>
    <row r="33" spans="1:7" x14ac:dyDescent="0.25">
      <c r="A33" s="8">
        <v>42803.228020833332</v>
      </c>
      <c r="B33" s="20" t="s">
        <v>271</v>
      </c>
      <c r="C33" s="20" t="s">
        <v>638</v>
      </c>
      <c r="D33" s="150">
        <v>1110000</v>
      </c>
      <c r="E33" s="20" t="s">
        <v>446</v>
      </c>
      <c r="F33" s="20" t="s">
        <v>447</v>
      </c>
      <c r="G33" s="8" t="str">
        <f t="shared" si="0"/>
        <v>STARKS ANGELINA</v>
      </c>
    </row>
    <row r="34" spans="1:7" x14ac:dyDescent="0.25">
      <c r="A34" s="8">
        <v>42803.228460648148</v>
      </c>
      <c r="B34" s="20" t="s">
        <v>600</v>
      </c>
      <c r="C34" s="20" t="s">
        <v>639</v>
      </c>
      <c r="D34" s="150">
        <v>2020000</v>
      </c>
      <c r="E34" s="20" t="s">
        <v>631</v>
      </c>
      <c r="F34" s="20" t="s">
        <v>421</v>
      </c>
      <c r="G34" s="8" t="str">
        <f t="shared" si="0"/>
        <v>SHOOK JOHN</v>
      </c>
    </row>
    <row r="35" spans="1:7" x14ac:dyDescent="0.25">
      <c r="A35" s="8">
        <v>42803.232187499998</v>
      </c>
      <c r="B35" s="20" t="s">
        <v>589</v>
      </c>
      <c r="C35" s="20" t="s">
        <v>640</v>
      </c>
      <c r="D35" s="150">
        <v>940000</v>
      </c>
      <c r="E35" s="20" t="s">
        <v>448</v>
      </c>
      <c r="F35" s="20" t="s">
        <v>449</v>
      </c>
      <c r="G35" s="8" t="str">
        <f t="shared" si="0"/>
        <v>BONDS REYNALDO</v>
      </c>
    </row>
    <row r="36" spans="1:7" x14ac:dyDescent="0.25">
      <c r="A36" s="8">
        <v>42803.233171296299</v>
      </c>
      <c r="B36" s="20" t="s">
        <v>589</v>
      </c>
      <c r="C36" s="20" t="s">
        <v>640</v>
      </c>
      <c r="D36" s="150">
        <v>940000</v>
      </c>
      <c r="E36" s="20" t="s">
        <v>448</v>
      </c>
      <c r="F36" s="20" t="s">
        <v>449</v>
      </c>
      <c r="G36" s="8" t="str">
        <f t="shared" si="0"/>
        <v>BONDS REYNALDO</v>
      </c>
    </row>
    <row r="37" spans="1:7" x14ac:dyDescent="0.25">
      <c r="A37" s="8">
        <v>42803.235879629632</v>
      </c>
      <c r="B37" s="20" t="s">
        <v>502</v>
      </c>
      <c r="C37" s="20" t="s">
        <v>577</v>
      </c>
      <c r="D37" s="150">
        <v>900000</v>
      </c>
      <c r="E37" s="20" t="s">
        <v>452</v>
      </c>
      <c r="F37" s="20" t="s">
        <v>453</v>
      </c>
      <c r="G37" s="8" t="str">
        <f t="shared" si="0"/>
        <v>ROCHA YAOTL</v>
      </c>
    </row>
    <row r="38" spans="1:7" x14ac:dyDescent="0.25">
      <c r="A38" s="8">
        <v>42803.246979166666</v>
      </c>
      <c r="B38" s="20" t="s">
        <v>418</v>
      </c>
      <c r="C38" s="20" t="s">
        <v>641</v>
      </c>
      <c r="D38" s="150">
        <v>1830000</v>
      </c>
      <c r="E38" s="20" t="s">
        <v>450</v>
      </c>
      <c r="F38" s="20" t="s">
        <v>451</v>
      </c>
      <c r="G38" s="8" t="str">
        <f t="shared" si="0"/>
        <v>YORK EDGAR</v>
      </c>
    </row>
    <row r="39" spans="1:7" x14ac:dyDescent="0.25">
      <c r="A39" s="8">
        <v>42803.247314814813</v>
      </c>
      <c r="B39" s="20" t="s">
        <v>420</v>
      </c>
      <c r="C39" s="20" t="s">
        <v>642</v>
      </c>
      <c r="D39" s="150">
        <v>1290000</v>
      </c>
      <c r="E39" s="20" t="s">
        <v>509</v>
      </c>
      <c r="F39" s="20" t="s">
        <v>421</v>
      </c>
      <c r="G39" s="8" t="str">
        <f t="shared" si="0"/>
        <v>COOLAHAN JOHN</v>
      </c>
    </row>
    <row r="40" spans="1:7" x14ac:dyDescent="0.25">
      <c r="A40" s="8">
        <v>42803.248622685183</v>
      </c>
      <c r="B40" s="25" t="s">
        <v>575</v>
      </c>
      <c r="C40" s="20" t="s">
        <v>578</v>
      </c>
      <c r="D40" s="150">
        <v>1140000</v>
      </c>
      <c r="E40" s="20" t="s">
        <v>505</v>
      </c>
      <c r="F40" s="20" t="s">
        <v>506</v>
      </c>
      <c r="G40" s="8" t="str">
        <f t="shared" si="0"/>
        <v>YOUNG ELIZABETH</v>
      </c>
    </row>
    <row r="41" spans="1:7" x14ac:dyDescent="0.25">
      <c r="A41" s="8">
        <v>42803.255324074074</v>
      </c>
      <c r="B41" s="20" t="s">
        <v>231</v>
      </c>
      <c r="C41" s="20" t="s">
        <v>643</v>
      </c>
      <c r="D41" s="150">
        <v>890000</v>
      </c>
      <c r="E41" s="20" t="s">
        <v>513</v>
      </c>
      <c r="F41" s="20" t="s">
        <v>514</v>
      </c>
      <c r="G41" s="8" t="str">
        <f t="shared" si="0"/>
        <v>LOZA FIDEL</v>
      </c>
    </row>
    <row r="42" spans="1:7" x14ac:dyDescent="0.25">
      <c r="A42" s="8">
        <v>42803.256377314814</v>
      </c>
      <c r="B42" s="20" t="s">
        <v>425</v>
      </c>
      <c r="C42" s="20" t="s">
        <v>644</v>
      </c>
      <c r="D42" s="150">
        <v>1100000</v>
      </c>
      <c r="E42" s="20" t="s">
        <v>507</v>
      </c>
      <c r="F42" s="20" t="s">
        <v>508</v>
      </c>
      <c r="G42" s="8" t="str">
        <f t="shared" si="0"/>
        <v>GEBRETEKLE DAGNEW</v>
      </c>
    </row>
    <row r="43" spans="1:7" x14ac:dyDescent="0.25">
      <c r="A43" s="8">
        <v>42803.256516203706</v>
      </c>
      <c r="B43" s="20" t="s">
        <v>594</v>
      </c>
      <c r="C43" s="20" t="s">
        <v>645</v>
      </c>
      <c r="D43" s="150">
        <v>2020000</v>
      </c>
      <c r="E43" s="20" t="s">
        <v>631</v>
      </c>
      <c r="F43" s="20" t="s">
        <v>421</v>
      </c>
      <c r="G43" s="8" t="str">
        <f t="shared" si="0"/>
        <v>SHOOK JOHN</v>
      </c>
    </row>
    <row r="44" spans="1:7" x14ac:dyDescent="0.25">
      <c r="A44" s="8">
        <v>42803.264398148145</v>
      </c>
      <c r="B44" s="20" t="s">
        <v>190</v>
      </c>
      <c r="C44" s="20" t="s">
        <v>646</v>
      </c>
      <c r="D44" s="150">
        <v>890000</v>
      </c>
      <c r="E44" s="20" t="s">
        <v>513</v>
      </c>
      <c r="F44" s="20" t="s">
        <v>514</v>
      </c>
      <c r="G44" s="8" t="str">
        <f t="shared" si="0"/>
        <v>LOZA FIDEL</v>
      </c>
    </row>
    <row r="45" spans="1:7" x14ac:dyDescent="0.25">
      <c r="A45" s="8">
        <v>42803.266238425924</v>
      </c>
      <c r="B45" s="20" t="s">
        <v>272</v>
      </c>
      <c r="C45" s="20" t="s">
        <v>579</v>
      </c>
      <c r="D45" s="150">
        <v>1110000</v>
      </c>
      <c r="E45" s="20" t="s">
        <v>446</v>
      </c>
      <c r="F45" s="20" t="s">
        <v>447</v>
      </c>
      <c r="G45" s="8" t="str">
        <f t="shared" si="0"/>
        <v>STARKS ANGELINA</v>
      </c>
    </row>
    <row r="46" spans="1:7" x14ac:dyDescent="0.25">
      <c r="A46" s="8">
        <v>42803.266377314816</v>
      </c>
      <c r="B46" s="20" t="s">
        <v>510</v>
      </c>
      <c r="C46" s="20" t="s">
        <v>647</v>
      </c>
      <c r="D46" s="150">
        <v>900000</v>
      </c>
      <c r="E46" s="20" t="s">
        <v>452</v>
      </c>
      <c r="F46" s="20" t="s">
        <v>453</v>
      </c>
      <c r="G46" s="8" t="str">
        <f t="shared" si="0"/>
        <v>ROCHA YAOTL</v>
      </c>
    </row>
    <row r="47" spans="1:7" x14ac:dyDescent="0.25">
      <c r="A47" s="8">
        <v>42803.269953703704</v>
      </c>
      <c r="B47" s="20" t="s">
        <v>600</v>
      </c>
      <c r="C47" s="20" t="s">
        <v>648</v>
      </c>
      <c r="D47" s="150">
        <v>2020000</v>
      </c>
      <c r="E47" s="20" t="s">
        <v>631</v>
      </c>
      <c r="F47" s="20" t="s">
        <v>421</v>
      </c>
      <c r="G47" s="8" t="str">
        <f t="shared" si="0"/>
        <v>SHOOK JOHN</v>
      </c>
    </row>
    <row r="48" spans="1:7" x14ac:dyDescent="0.25">
      <c r="A48" s="8">
        <v>42803.275879629633</v>
      </c>
      <c r="B48" s="20" t="s">
        <v>618</v>
      </c>
      <c r="C48" s="20" t="s">
        <v>649</v>
      </c>
      <c r="D48" s="150">
        <v>940000</v>
      </c>
      <c r="E48" s="20" t="s">
        <v>448</v>
      </c>
      <c r="F48" s="20" t="s">
        <v>449</v>
      </c>
      <c r="G48" s="8" t="str">
        <f t="shared" si="0"/>
        <v>BONDS REYNALDO</v>
      </c>
    </row>
    <row r="49" spans="1:7" x14ac:dyDescent="0.25">
      <c r="A49" s="8">
        <v>42803.276469907411</v>
      </c>
      <c r="B49" s="20" t="s">
        <v>231</v>
      </c>
      <c r="C49" s="20" t="s">
        <v>650</v>
      </c>
      <c r="D49" s="150">
        <v>890000</v>
      </c>
      <c r="E49" s="20" t="s">
        <v>513</v>
      </c>
      <c r="F49" s="20" t="s">
        <v>514</v>
      </c>
      <c r="G49" s="8" t="str">
        <f t="shared" si="0"/>
        <v>LOZA FIDEL</v>
      </c>
    </row>
    <row r="50" spans="1:7" x14ac:dyDescent="0.25">
      <c r="A50" s="8">
        <v>42803.277256944442</v>
      </c>
      <c r="B50" s="20" t="s">
        <v>278</v>
      </c>
      <c r="C50" s="20" t="s">
        <v>651</v>
      </c>
      <c r="D50" s="150">
        <v>1830000</v>
      </c>
      <c r="E50" s="20" t="s">
        <v>450</v>
      </c>
      <c r="F50" s="20" t="s">
        <v>451</v>
      </c>
      <c r="G50" s="8" t="str">
        <f t="shared" si="0"/>
        <v>YORK EDGAR</v>
      </c>
    </row>
    <row r="51" spans="1:7" x14ac:dyDescent="0.25">
      <c r="A51" s="8">
        <v>42803.283518518518</v>
      </c>
      <c r="B51" s="20" t="s">
        <v>419</v>
      </c>
      <c r="C51" s="20" t="s">
        <v>652</v>
      </c>
      <c r="D51" s="150">
        <v>1290000</v>
      </c>
      <c r="E51" s="20" t="s">
        <v>509</v>
      </c>
      <c r="F51" s="20" t="s">
        <v>421</v>
      </c>
      <c r="G51" s="8" t="str">
        <f t="shared" si="0"/>
        <v>COOLAHAN JOHN</v>
      </c>
    </row>
    <row r="52" spans="1:7" x14ac:dyDescent="0.25">
      <c r="A52" s="8">
        <v>42803.290393518517</v>
      </c>
      <c r="B52" s="20" t="s">
        <v>635</v>
      </c>
      <c r="C52" s="20" t="s">
        <v>653</v>
      </c>
      <c r="D52" s="150">
        <v>1140000</v>
      </c>
      <c r="E52" s="20" t="s">
        <v>505</v>
      </c>
      <c r="F52" s="20" t="s">
        <v>506</v>
      </c>
      <c r="G52" s="8" t="str">
        <f t="shared" si="0"/>
        <v>YOUNG ELIZABETH</v>
      </c>
    </row>
    <row r="53" spans="1:7" x14ac:dyDescent="0.25">
      <c r="A53" s="8">
        <v>42803.296875</v>
      </c>
      <c r="B53" s="20" t="s">
        <v>204</v>
      </c>
      <c r="C53" s="20" t="s">
        <v>654</v>
      </c>
      <c r="D53" s="150">
        <v>1100000</v>
      </c>
      <c r="E53" s="20" t="s">
        <v>507</v>
      </c>
      <c r="F53" s="20" t="s">
        <v>508</v>
      </c>
      <c r="G53" s="8" t="str">
        <f t="shared" si="0"/>
        <v>GEBRETEKLE DAGNEW</v>
      </c>
    </row>
    <row r="54" spans="1:7" x14ac:dyDescent="0.25">
      <c r="A54" s="8">
        <v>42803.297025462962</v>
      </c>
      <c r="B54" s="20" t="s">
        <v>594</v>
      </c>
      <c r="C54" s="20" t="s">
        <v>655</v>
      </c>
      <c r="D54" s="150">
        <v>2020000</v>
      </c>
      <c r="E54" s="20" t="s">
        <v>631</v>
      </c>
      <c r="F54" s="20" t="s">
        <v>421</v>
      </c>
      <c r="G54" s="8" t="str">
        <f t="shared" si="0"/>
        <v>SHOOK JOHN</v>
      </c>
    </row>
    <row r="55" spans="1:7" x14ac:dyDescent="0.25">
      <c r="A55" s="8">
        <v>42803.300682870373</v>
      </c>
      <c r="B55" s="20" t="s">
        <v>271</v>
      </c>
      <c r="C55" s="20" t="s">
        <v>656</v>
      </c>
      <c r="D55" s="150">
        <v>1110000</v>
      </c>
      <c r="E55" s="20" t="s">
        <v>446</v>
      </c>
      <c r="F55" s="20" t="s">
        <v>447</v>
      </c>
      <c r="G55" s="8" t="str">
        <f t="shared" si="0"/>
        <v>STARKS ANGELINA</v>
      </c>
    </row>
    <row r="56" spans="1:7" x14ac:dyDescent="0.25">
      <c r="A56" s="8">
        <v>42803.304548611108</v>
      </c>
      <c r="B56" s="20" t="s">
        <v>190</v>
      </c>
      <c r="C56" s="20" t="s">
        <v>657</v>
      </c>
      <c r="D56" s="150">
        <v>890000</v>
      </c>
      <c r="E56" s="20" t="s">
        <v>513</v>
      </c>
      <c r="F56" s="20" t="s">
        <v>514</v>
      </c>
      <c r="G56" s="8" t="str">
        <f t="shared" si="0"/>
        <v>LOZA FIDEL</v>
      </c>
    </row>
    <row r="57" spans="1:7" x14ac:dyDescent="0.25">
      <c r="A57" s="8">
        <v>42803.309259259258</v>
      </c>
      <c r="B57" s="20" t="s">
        <v>502</v>
      </c>
      <c r="C57" s="20" t="s">
        <v>658</v>
      </c>
      <c r="D57" s="150">
        <v>900000</v>
      </c>
      <c r="E57" s="20" t="s">
        <v>452</v>
      </c>
      <c r="F57" s="20" t="s">
        <v>453</v>
      </c>
      <c r="G57" s="8" t="str">
        <f t="shared" si="0"/>
        <v>ROCHA YAOTL</v>
      </c>
    </row>
    <row r="58" spans="1:7" x14ac:dyDescent="0.25">
      <c r="A58" s="8">
        <v>42803.309282407405</v>
      </c>
      <c r="B58" s="20" t="s">
        <v>589</v>
      </c>
      <c r="C58" s="20" t="s">
        <v>659</v>
      </c>
      <c r="D58" s="150">
        <v>940000</v>
      </c>
      <c r="E58" s="20" t="s">
        <v>448</v>
      </c>
      <c r="F58" s="20" t="s">
        <v>449</v>
      </c>
      <c r="G58" s="8" t="str">
        <f t="shared" si="0"/>
        <v>BONDS REYNALDO</v>
      </c>
    </row>
    <row r="59" spans="1:7" x14ac:dyDescent="0.25">
      <c r="A59" s="8">
        <v>42803.311261574076</v>
      </c>
      <c r="B59" s="20" t="s">
        <v>418</v>
      </c>
      <c r="C59" s="20" t="s">
        <v>660</v>
      </c>
      <c r="D59" s="150">
        <v>1830000</v>
      </c>
      <c r="E59" s="20" t="s">
        <v>450</v>
      </c>
      <c r="F59" s="20" t="s">
        <v>451</v>
      </c>
      <c r="G59" s="8" t="str">
        <f t="shared" si="0"/>
        <v>YORK EDGAR</v>
      </c>
    </row>
    <row r="60" spans="1:7" x14ac:dyDescent="0.25">
      <c r="A60" s="8">
        <v>42803.311377314814</v>
      </c>
      <c r="B60" s="20" t="s">
        <v>600</v>
      </c>
      <c r="C60" s="20" t="s">
        <v>661</v>
      </c>
      <c r="D60" s="150">
        <v>2020000</v>
      </c>
      <c r="E60" s="20" t="s">
        <v>631</v>
      </c>
      <c r="F60" s="20" t="s">
        <v>421</v>
      </c>
      <c r="G60" s="8" t="str">
        <f t="shared" si="0"/>
        <v>SHOOK JOHN</v>
      </c>
    </row>
    <row r="61" spans="1:7" x14ac:dyDescent="0.25">
      <c r="A61" s="8">
        <v>42803.31763888889</v>
      </c>
      <c r="B61" s="20" t="s">
        <v>231</v>
      </c>
      <c r="C61" s="20" t="s">
        <v>662</v>
      </c>
      <c r="D61" s="150">
        <v>890000</v>
      </c>
      <c r="E61" s="20" t="s">
        <v>513</v>
      </c>
      <c r="F61" s="20" t="s">
        <v>514</v>
      </c>
      <c r="G61" s="8" t="str">
        <f t="shared" si="0"/>
        <v>LOZA FIDEL</v>
      </c>
    </row>
    <row r="62" spans="1:7" x14ac:dyDescent="0.25">
      <c r="A62" s="8">
        <v>42803.318564814814</v>
      </c>
      <c r="B62" s="20" t="s">
        <v>420</v>
      </c>
      <c r="C62" s="20" t="s">
        <v>580</v>
      </c>
      <c r="D62" s="150">
        <v>1290000</v>
      </c>
      <c r="E62" s="20" t="s">
        <v>509</v>
      </c>
      <c r="F62" s="20" t="s">
        <v>421</v>
      </c>
      <c r="G62" s="8" t="str">
        <f t="shared" si="0"/>
        <v>COOLAHAN JOHN</v>
      </c>
    </row>
    <row r="63" spans="1:7" x14ac:dyDescent="0.25">
      <c r="A63" s="8">
        <v>42803.321921296294</v>
      </c>
      <c r="B63" s="20" t="s">
        <v>575</v>
      </c>
      <c r="C63" s="20" t="s">
        <v>663</v>
      </c>
      <c r="D63" s="150">
        <v>1140000</v>
      </c>
      <c r="E63" s="20" t="s">
        <v>505</v>
      </c>
      <c r="F63" s="20" t="s">
        <v>506</v>
      </c>
      <c r="G63" s="8" t="str">
        <f t="shared" si="0"/>
        <v>YOUNG ELIZABETH</v>
      </c>
    </row>
    <row r="64" spans="1:7" x14ac:dyDescent="0.25">
      <c r="A64" s="26">
        <v>42803.329571759263</v>
      </c>
      <c r="B64" s="20" t="s">
        <v>425</v>
      </c>
      <c r="C64" s="20" t="s">
        <v>664</v>
      </c>
      <c r="D64" s="150">
        <v>1100000</v>
      </c>
      <c r="E64" s="20" t="s">
        <v>507</v>
      </c>
      <c r="F64" s="20" t="s">
        <v>508</v>
      </c>
      <c r="G64" s="8" t="str">
        <f t="shared" si="0"/>
        <v>GEBRETEKLE DAGNEW</v>
      </c>
    </row>
    <row r="65" spans="1:7" x14ac:dyDescent="0.25">
      <c r="A65" s="8">
        <v>42803.338009259256</v>
      </c>
      <c r="B65" s="20" t="s">
        <v>272</v>
      </c>
      <c r="C65" s="20" t="s">
        <v>581</v>
      </c>
      <c r="D65" s="150">
        <v>1110000</v>
      </c>
      <c r="E65" s="20" t="s">
        <v>446</v>
      </c>
      <c r="F65" s="20" t="s">
        <v>447</v>
      </c>
      <c r="G65" s="8" t="str">
        <f t="shared" si="0"/>
        <v>STARKS ANGELINA</v>
      </c>
    </row>
    <row r="66" spans="1:7" x14ac:dyDescent="0.25">
      <c r="A66" s="8">
        <v>42803.338692129626</v>
      </c>
      <c r="B66" s="20" t="s">
        <v>594</v>
      </c>
      <c r="C66" s="20" t="s">
        <v>665</v>
      </c>
      <c r="D66" s="150">
        <v>2020000</v>
      </c>
      <c r="E66" s="20" t="s">
        <v>631</v>
      </c>
      <c r="F66" s="20" t="s">
        <v>421</v>
      </c>
      <c r="G66" s="8" t="str">
        <f t="shared" si="0"/>
        <v>SHOOK JOHN</v>
      </c>
    </row>
    <row r="67" spans="1:7" x14ac:dyDescent="0.25">
      <c r="A67" s="8">
        <v>42803.340150462966</v>
      </c>
      <c r="B67" s="20" t="s">
        <v>510</v>
      </c>
      <c r="C67" s="20" t="s">
        <v>666</v>
      </c>
      <c r="D67" s="150">
        <v>900000</v>
      </c>
      <c r="E67" s="20" t="s">
        <v>452</v>
      </c>
      <c r="F67" s="20" t="s">
        <v>453</v>
      </c>
      <c r="G67" s="8" t="str">
        <f t="shared" ref="G67:G130" si="1">E67&amp;" "&amp;F67</f>
        <v>ROCHA YAOTL</v>
      </c>
    </row>
    <row r="68" spans="1:7" x14ac:dyDescent="0.25">
      <c r="A68" s="8">
        <v>42803.346875000003</v>
      </c>
      <c r="B68" s="20" t="s">
        <v>190</v>
      </c>
      <c r="C68" s="20" t="s">
        <v>582</v>
      </c>
      <c r="D68" s="150">
        <v>890000</v>
      </c>
      <c r="E68" s="20" t="s">
        <v>513</v>
      </c>
      <c r="F68" s="20" t="s">
        <v>514</v>
      </c>
      <c r="G68" s="8" t="str">
        <f t="shared" si="1"/>
        <v>LOZA FIDEL</v>
      </c>
    </row>
    <row r="69" spans="1:7" x14ac:dyDescent="0.25">
      <c r="A69" s="8">
        <v>42803.347083333334</v>
      </c>
      <c r="B69" s="20" t="s">
        <v>618</v>
      </c>
      <c r="C69" s="20" t="s">
        <v>667</v>
      </c>
      <c r="D69" s="150">
        <v>940000</v>
      </c>
      <c r="E69" s="20" t="s">
        <v>448</v>
      </c>
      <c r="F69" s="20" t="s">
        <v>449</v>
      </c>
      <c r="G69" s="8" t="str">
        <f t="shared" si="1"/>
        <v>BONDS REYNALDO</v>
      </c>
    </row>
    <row r="70" spans="1:7" x14ac:dyDescent="0.25">
      <c r="A70" s="8">
        <v>42803.351261574076</v>
      </c>
      <c r="B70" s="20" t="s">
        <v>596</v>
      </c>
      <c r="C70" s="20" t="s">
        <v>668</v>
      </c>
      <c r="D70" s="150">
        <v>1830000</v>
      </c>
      <c r="E70" s="20" t="s">
        <v>450</v>
      </c>
      <c r="F70" s="20" t="s">
        <v>451</v>
      </c>
      <c r="G70" s="8" t="str">
        <f t="shared" si="1"/>
        <v>YORK EDGAR</v>
      </c>
    </row>
    <row r="71" spans="1:7" x14ac:dyDescent="0.25">
      <c r="A71" s="8">
        <v>42803.353460648148</v>
      </c>
      <c r="B71" s="20" t="s">
        <v>419</v>
      </c>
      <c r="C71" s="20" t="s">
        <v>669</v>
      </c>
      <c r="D71" s="150">
        <v>2140000</v>
      </c>
      <c r="E71" s="20" t="s">
        <v>622</v>
      </c>
      <c r="F71" s="20" t="s">
        <v>623</v>
      </c>
      <c r="G71" s="8" t="str">
        <f t="shared" si="1"/>
        <v>ROBINSON KADDIBA</v>
      </c>
    </row>
    <row r="72" spans="1:7" x14ac:dyDescent="0.25">
      <c r="A72" s="8">
        <v>42803.353807870371</v>
      </c>
      <c r="B72" s="20" t="s">
        <v>600</v>
      </c>
      <c r="C72" s="20" t="s">
        <v>670</v>
      </c>
      <c r="D72" s="150">
        <v>2020000</v>
      </c>
      <c r="E72" s="20" t="s">
        <v>631</v>
      </c>
      <c r="F72" s="20" t="s">
        <v>421</v>
      </c>
      <c r="G72" s="8" t="str">
        <f t="shared" si="1"/>
        <v>SHOOK JOHN</v>
      </c>
    </row>
    <row r="73" spans="1:7" x14ac:dyDescent="0.25">
      <c r="A73" s="8">
        <v>42803.359652777777</v>
      </c>
      <c r="B73" s="20" t="s">
        <v>231</v>
      </c>
      <c r="C73" s="20" t="s">
        <v>671</v>
      </c>
      <c r="D73" s="150">
        <v>890000</v>
      </c>
      <c r="E73" s="20" t="s">
        <v>513</v>
      </c>
      <c r="F73" s="20" t="s">
        <v>514</v>
      </c>
      <c r="G73" s="8" t="str">
        <f t="shared" si="1"/>
        <v>LOZA FIDEL</v>
      </c>
    </row>
    <row r="74" spans="1:7" x14ac:dyDescent="0.25">
      <c r="A74" s="8">
        <v>42803.36273148148</v>
      </c>
      <c r="B74" s="20" t="s">
        <v>635</v>
      </c>
      <c r="C74" s="20" t="s">
        <v>672</v>
      </c>
      <c r="D74" s="150">
        <v>1140000</v>
      </c>
      <c r="E74" s="20" t="s">
        <v>505</v>
      </c>
      <c r="F74" s="20" t="s">
        <v>506</v>
      </c>
      <c r="G74" s="8" t="str">
        <f t="shared" si="1"/>
        <v>YOUNG ELIZABETH</v>
      </c>
    </row>
    <row r="75" spans="1:7" x14ac:dyDescent="0.25">
      <c r="A75" s="8">
        <v>42803.369398148148</v>
      </c>
      <c r="B75" s="20" t="s">
        <v>204</v>
      </c>
      <c r="C75" s="20" t="s">
        <v>673</v>
      </c>
      <c r="D75" s="150">
        <v>1100000</v>
      </c>
      <c r="E75" s="20" t="s">
        <v>507</v>
      </c>
      <c r="F75" s="20" t="s">
        <v>508</v>
      </c>
      <c r="G75" s="8" t="str">
        <f t="shared" si="1"/>
        <v>GEBRETEKLE DAGNEW</v>
      </c>
    </row>
    <row r="76" spans="1:7" x14ac:dyDescent="0.25">
      <c r="A76" s="8">
        <v>42803.37226851852</v>
      </c>
      <c r="B76" s="20" t="s">
        <v>502</v>
      </c>
      <c r="C76" s="20" t="s">
        <v>674</v>
      </c>
      <c r="D76" s="150">
        <v>900000</v>
      </c>
      <c r="E76" s="20" t="s">
        <v>452</v>
      </c>
      <c r="F76" s="20" t="s">
        <v>453</v>
      </c>
      <c r="G76" s="8" t="str">
        <f t="shared" si="1"/>
        <v>ROCHA YAOTL</v>
      </c>
    </row>
    <row r="77" spans="1:7" x14ac:dyDescent="0.25">
      <c r="A77" s="8">
        <v>42803.372430555559</v>
      </c>
      <c r="B77" s="20" t="s">
        <v>271</v>
      </c>
      <c r="C77" s="20" t="s">
        <v>583</v>
      </c>
      <c r="D77" s="150">
        <v>1110000</v>
      </c>
      <c r="E77" s="20" t="s">
        <v>446</v>
      </c>
      <c r="F77" s="20" t="s">
        <v>447</v>
      </c>
      <c r="G77" s="8" t="str">
        <f t="shared" si="1"/>
        <v>STARKS ANGELINA</v>
      </c>
    </row>
    <row r="78" spans="1:7" x14ac:dyDescent="0.25">
      <c r="A78" s="8">
        <v>42803.380694444444</v>
      </c>
      <c r="B78" s="20" t="s">
        <v>602</v>
      </c>
      <c r="C78" s="20" t="s">
        <v>675</v>
      </c>
      <c r="D78" s="150">
        <v>1830000</v>
      </c>
      <c r="E78" s="20" t="s">
        <v>450</v>
      </c>
      <c r="F78" s="20" t="s">
        <v>451</v>
      </c>
      <c r="G78" s="8" t="str">
        <f t="shared" si="1"/>
        <v>YORK EDGAR</v>
      </c>
    </row>
    <row r="79" spans="1:7" x14ac:dyDescent="0.25">
      <c r="A79" s="8">
        <v>42803.382233796299</v>
      </c>
      <c r="B79" s="20" t="s">
        <v>589</v>
      </c>
      <c r="C79" s="20" t="s">
        <v>676</v>
      </c>
      <c r="D79" s="150">
        <v>940000</v>
      </c>
      <c r="E79" s="20" t="s">
        <v>448</v>
      </c>
      <c r="F79" s="20" t="s">
        <v>449</v>
      </c>
      <c r="G79" s="8" t="str">
        <f t="shared" si="1"/>
        <v>BONDS REYNALDO</v>
      </c>
    </row>
    <row r="80" spans="1:7" x14ac:dyDescent="0.25">
      <c r="A80" s="8">
        <v>42803.388113425928</v>
      </c>
      <c r="B80" s="20" t="s">
        <v>190</v>
      </c>
      <c r="C80" s="20" t="s">
        <v>677</v>
      </c>
      <c r="D80" s="150">
        <v>890000</v>
      </c>
      <c r="E80" s="20" t="s">
        <v>513</v>
      </c>
      <c r="F80" s="20" t="s">
        <v>514</v>
      </c>
      <c r="G80" s="8" t="str">
        <f t="shared" si="1"/>
        <v>LOZA FIDEL</v>
      </c>
    </row>
    <row r="81" spans="1:7" x14ac:dyDescent="0.25">
      <c r="A81" s="8">
        <v>42803.392708333333</v>
      </c>
      <c r="B81" s="20" t="s">
        <v>420</v>
      </c>
      <c r="C81" s="20" t="s">
        <v>678</v>
      </c>
      <c r="D81" s="150">
        <v>2140000</v>
      </c>
      <c r="E81" s="20" t="s">
        <v>622</v>
      </c>
      <c r="F81" s="20" t="s">
        <v>623</v>
      </c>
      <c r="G81" s="8" t="str">
        <f t="shared" si="1"/>
        <v>ROBINSON KADDIBA</v>
      </c>
    </row>
    <row r="82" spans="1:7" x14ac:dyDescent="0.25">
      <c r="A82" s="8">
        <v>42803.394803240742</v>
      </c>
      <c r="B82" s="20" t="s">
        <v>575</v>
      </c>
      <c r="C82" s="20" t="s">
        <v>585</v>
      </c>
      <c r="D82" s="150">
        <v>1140000</v>
      </c>
      <c r="E82" s="20" t="s">
        <v>505</v>
      </c>
      <c r="F82" s="20" t="s">
        <v>506</v>
      </c>
      <c r="G82" s="8" t="str">
        <f t="shared" si="1"/>
        <v>YOUNG ELIZABETH</v>
      </c>
    </row>
    <row r="83" spans="1:7" x14ac:dyDescent="0.25">
      <c r="A83" s="8">
        <v>42803.400405092594</v>
      </c>
      <c r="B83" s="20" t="s">
        <v>231</v>
      </c>
      <c r="C83" s="20" t="s">
        <v>679</v>
      </c>
      <c r="D83" s="150">
        <v>890000</v>
      </c>
      <c r="E83" s="20" t="s">
        <v>513</v>
      </c>
      <c r="F83" s="20" t="s">
        <v>514</v>
      </c>
      <c r="G83" s="8" t="str">
        <f t="shared" si="1"/>
        <v>LOZA FIDEL</v>
      </c>
    </row>
    <row r="84" spans="1:7" x14ac:dyDescent="0.25">
      <c r="A84" s="8">
        <v>42803.405972222223</v>
      </c>
      <c r="B84" s="20" t="s">
        <v>425</v>
      </c>
      <c r="C84" s="20" t="s">
        <v>680</v>
      </c>
      <c r="D84" s="150">
        <v>1100000</v>
      </c>
      <c r="E84" s="20" t="s">
        <v>507</v>
      </c>
      <c r="F84" s="20" t="s">
        <v>508</v>
      </c>
      <c r="G84" s="8" t="str">
        <f t="shared" si="1"/>
        <v>GEBRETEKLE DAGNEW</v>
      </c>
    </row>
    <row r="85" spans="1:7" x14ac:dyDescent="0.25">
      <c r="A85" s="8">
        <v>42803.411979166667</v>
      </c>
      <c r="B85" s="20" t="s">
        <v>272</v>
      </c>
      <c r="C85" s="20" t="s">
        <v>584</v>
      </c>
      <c r="D85" s="150">
        <v>1110000</v>
      </c>
      <c r="E85" s="20" t="s">
        <v>446</v>
      </c>
      <c r="F85" s="20" t="s">
        <v>447</v>
      </c>
      <c r="G85" s="8" t="str">
        <f t="shared" si="1"/>
        <v>STARKS ANGELINA</v>
      </c>
    </row>
    <row r="86" spans="1:7" x14ac:dyDescent="0.25">
      <c r="A86" s="8">
        <v>42803.414305555554</v>
      </c>
      <c r="B86" s="20" t="s">
        <v>510</v>
      </c>
      <c r="C86" s="20" t="s">
        <v>681</v>
      </c>
      <c r="D86" s="150">
        <v>900000</v>
      </c>
      <c r="E86" s="20" t="s">
        <v>452</v>
      </c>
      <c r="F86" s="20" t="s">
        <v>453</v>
      </c>
      <c r="G86" s="8" t="str">
        <f t="shared" si="1"/>
        <v>ROCHA YAOTL</v>
      </c>
    </row>
    <row r="87" spans="1:7" x14ac:dyDescent="0.25">
      <c r="A87" s="8">
        <v>42803.420763888891</v>
      </c>
      <c r="B87" s="20" t="s">
        <v>278</v>
      </c>
      <c r="C87" s="20" t="s">
        <v>682</v>
      </c>
      <c r="D87" s="150">
        <v>1230000</v>
      </c>
      <c r="E87" s="20" t="s">
        <v>511</v>
      </c>
      <c r="F87" s="20" t="s">
        <v>512</v>
      </c>
      <c r="G87" s="8" t="str">
        <f t="shared" si="1"/>
        <v>YANAI IAN</v>
      </c>
    </row>
    <row r="88" spans="1:7" x14ac:dyDescent="0.25">
      <c r="A88" s="8">
        <v>42803.421249999999</v>
      </c>
      <c r="B88" s="20" t="s">
        <v>278</v>
      </c>
      <c r="C88" s="20" t="s">
        <v>682</v>
      </c>
      <c r="D88" s="150">
        <v>1230000</v>
      </c>
      <c r="E88" s="20" t="s">
        <v>511</v>
      </c>
      <c r="F88" s="20" t="s">
        <v>512</v>
      </c>
      <c r="G88" s="8" t="str">
        <f t="shared" si="1"/>
        <v>YANAI IAN</v>
      </c>
    </row>
    <row r="89" spans="1:7" x14ac:dyDescent="0.25">
      <c r="A89" s="8">
        <v>42803.421747685185</v>
      </c>
      <c r="B89" s="20" t="s">
        <v>596</v>
      </c>
      <c r="C89" s="20" t="s">
        <v>683</v>
      </c>
      <c r="D89" s="150">
        <v>1830000</v>
      </c>
      <c r="E89" s="20" t="s">
        <v>450</v>
      </c>
      <c r="F89" s="20" t="s">
        <v>451</v>
      </c>
      <c r="G89" s="8" t="str">
        <f t="shared" si="1"/>
        <v>YORK EDGAR</v>
      </c>
    </row>
    <row r="90" spans="1:7" x14ac:dyDescent="0.25">
      <c r="A90" s="8">
        <v>42803.421805555554</v>
      </c>
      <c r="B90" s="20" t="s">
        <v>278</v>
      </c>
      <c r="C90" s="20" t="s">
        <v>682</v>
      </c>
      <c r="D90" s="150">
        <v>1230000</v>
      </c>
      <c r="E90" s="20" t="s">
        <v>511</v>
      </c>
      <c r="F90" s="20" t="s">
        <v>512</v>
      </c>
      <c r="G90" s="8" t="str">
        <f t="shared" si="1"/>
        <v>YANAI IAN</v>
      </c>
    </row>
    <row r="91" spans="1:7" x14ac:dyDescent="0.25">
      <c r="A91" s="8">
        <v>42803.421863425923</v>
      </c>
      <c r="B91" s="20" t="s">
        <v>618</v>
      </c>
      <c r="C91" s="20" t="s">
        <v>684</v>
      </c>
      <c r="D91" s="150">
        <v>940000</v>
      </c>
      <c r="E91" s="20" t="s">
        <v>448</v>
      </c>
      <c r="F91" s="20" t="s">
        <v>449</v>
      </c>
      <c r="G91" s="8" t="str">
        <f t="shared" si="1"/>
        <v>BONDS REYNALDO</v>
      </c>
    </row>
    <row r="92" spans="1:7" x14ac:dyDescent="0.25">
      <c r="A92" s="8">
        <v>42803.429212962961</v>
      </c>
      <c r="B92" s="20" t="s">
        <v>418</v>
      </c>
      <c r="C92" s="20" t="s">
        <v>682</v>
      </c>
      <c r="D92" s="150">
        <v>1230000</v>
      </c>
      <c r="E92" s="20" t="s">
        <v>511</v>
      </c>
      <c r="F92" s="20" t="s">
        <v>512</v>
      </c>
      <c r="G92" s="8" t="str">
        <f t="shared" si="1"/>
        <v>YANAI IAN</v>
      </c>
    </row>
    <row r="93" spans="1:7" x14ac:dyDescent="0.25">
      <c r="A93" s="8">
        <v>42803.429675925923</v>
      </c>
      <c r="B93" s="20" t="s">
        <v>190</v>
      </c>
      <c r="C93" s="20" t="s">
        <v>685</v>
      </c>
      <c r="D93" s="150">
        <v>890000</v>
      </c>
      <c r="E93" s="20" t="s">
        <v>513</v>
      </c>
      <c r="F93" s="20" t="s">
        <v>514</v>
      </c>
      <c r="G93" s="8" t="str">
        <f t="shared" si="1"/>
        <v>LOZA FIDEL</v>
      </c>
    </row>
    <row r="94" spans="1:7" x14ac:dyDescent="0.25">
      <c r="A94" s="8">
        <v>42803.430115740739</v>
      </c>
      <c r="B94" s="20" t="s">
        <v>418</v>
      </c>
      <c r="C94" s="20" t="s">
        <v>682</v>
      </c>
      <c r="D94" s="150">
        <v>1230000</v>
      </c>
      <c r="E94" s="20" t="s">
        <v>511</v>
      </c>
      <c r="F94" s="20" t="s">
        <v>512</v>
      </c>
      <c r="G94" s="8" t="str">
        <f t="shared" si="1"/>
        <v>YANAI IAN</v>
      </c>
    </row>
    <row r="95" spans="1:7" x14ac:dyDescent="0.25">
      <c r="A95" s="8">
        <v>42803.430775462963</v>
      </c>
      <c r="B95" s="20" t="s">
        <v>419</v>
      </c>
      <c r="C95" s="20" t="s">
        <v>686</v>
      </c>
      <c r="D95" s="150">
        <v>2140000</v>
      </c>
      <c r="E95" s="20" t="s">
        <v>622</v>
      </c>
      <c r="F95" s="20" t="s">
        <v>623</v>
      </c>
      <c r="G95" s="8" t="str">
        <f t="shared" si="1"/>
        <v>ROBINSON KADDIBA</v>
      </c>
    </row>
    <row r="96" spans="1:7" x14ac:dyDescent="0.25">
      <c r="A96" s="8">
        <v>42803.434618055559</v>
      </c>
      <c r="B96" s="20" t="s">
        <v>204</v>
      </c>
      <c r="C96" s="20" t="s">
        <v>687</v>
      </c>
      <c r="D96" s="150">
        <v>1100000</v>
      </c>
      <c r="E96" s="20" t="s">
        <v>507</v>
      </c>
      <c r="F96" s="20" t="s">
        <v>508</v>
      </c>
      <c r="G96" s="8" t="str">
        <f t="shared" si="1"/>
        <v>GEBRETEKLE DAGNEW</v>
      </c>
    </row>
    <row r="97" spans="1:7" x14ac:dyDescent="0.25">
      <c r="A97" s="8">
        <v>42803.435763888891</v>
      </c>
      <c r="B97" s="20" t="s">
        <v>254</v>
      </c>
      <c r="C97" s="20" t="s">
        <v>688</v>
      </c>
      <c r="D97" s="150">
        <v>2020000</v>
      </c>
      <c r="E97" s="20" t="s">
        <v>631</v>
      </c>
      <c r="F97" s="20" t="s">
        <v>421</v>
      </c>
      <c r="G97" s="8" t="str">
        <f t="shared" si="1"/>
        <v>SHOOK JOHN</v>
      </c>
    </row>
    <row r="98" spans="1:7" x14ac:dyDescent="0.25">
      <c r="A98" s="8">
        <v>42803.442418981482</v>
      </c>
      <c r="B98" s="20" t="s">
        <v>231</v>
      </c>
      <c r="C98" s="20" t="s">
        <v>689</v>
      </c>
      <c r="D98" s="150">
        <v>890000</v>
      </c>
      <c r="E98" s="20" t="s">
        <v>513</v>
      </c>
      <c r="F98" s="20" t="s">
        <v>514</v>
      </c>
      <c r="G98" s="8" t="str">
        <f t="shared" si="1"/>
        <v>LOZA FIDEL</v>
      </c>
    </row>
    <row r="99" spans="1:7" x14ac:dyDescent="0.25">
      <c r="A99" s="8">
        <v>42803.445833333331</v>
      </c>
      <c r="B99" s="20" t="s">
        <v>271</v>
      </c>
      <c r="C99" s="20" t="s">
        <v>690</v>
      </c>
      <c r="D99" s="150">
        <v>1110000</v>
      </c>
      <c r="E99" s="20" t="s">
        <v>446</v>
      </c>
      <c r="F99" s="20" t="s">
        <v>447</v>
      </c>
      <c r="G99" s="8" t="str">
        <f t="shared" si="1"/>
        <v>STARKS ANGELINA</v>
      </c>
    </row>
    <row r="100" spans="1:7" x14ac:dyDescent="0.25">
      <c r="A100" s="8">
        <v>42803.448229166665</v>
      </c>
      <c r="B100" s="20" t="s">
        <v>502</v>
      </c>
      <c r="C100" s="20" t="s">
        <v>691</v>
      </c>
      <c r="D100" s="150">
        <v>900000</v>
      </c>
      <c r="E100" s="20" t="s">
        <v>452</v>
      </c>
      <c r="F100" s="20" t="s">
        <v>453</v>
      </c>
      <c r="G100" s="8" t="str">
        <f t="shared" si="1"/>
        <v>ROCHA YAOTL</v>
      </c>
    </row>
    <row r="101" spans="1:7" x14ac:dyDescent="0.25">
      <c r="A101" s="8">
        <v>42803.451840277776</v>
      </c>
      <c r="B101" s="20" t="s">
        <v>503</v>
      </c>
      <c r="C101" s="20" t="s">
        <v>586</v>
      </c>
      <c r="D101" s="150">
        <v>1780000</v>
      </c>
      <c r="E101" s="20" t="s">
        <v>517</v>
      </c>
      <c r="F101" s="20" t="s">
        <v>518</v>
      </c>
      <c r="G101" s="8" t="str">
        <f t="shared" si="1"/>
        <v>DE LA ROSA ALEX</v>
      </c>
    </row>
    <row r="102" spans="1:7" x14ac:dyDescent="0.25">
      <c r="A102" s="8">
        <v>42803.453240740739</v>
      </c>
      <c r="B102" s="20" t="s">
        <v>602</v>
      </c>
      <c r="C102" s="20" t="s">
        <v>692</v>
      </c>
      <c r="D102" s="150">
        <v>1830000</v>
      </c>
      <c r="E102" s="20" t="s">
        <v>450</v>
      </c>
      <c r="F102" s="20" t="s">
        <v>451</v>
      </c>
      <c r="G102" s="8" t="str">
        <f t="shared" si="1"/>
        <v>YORK EDGAR</v>
      </c>
    </row>
    <row r="103" spans="1:7" x14ac:dyDescent="0.25">
      <c r="A103" s="8">
        <v>42803.457800925928</v>
      </c>
      <c r="B103" s="20" t="s">
        <v>589</v>
      </c>
      <c r="C103" s="20" t="s">
        <v>693</v>
      </c>
      <c r="D103" s="150">
        <v>930000</v>
      </c>
      <c r="E103" s="20" t="s">
        <v>454</v>
      </c>
      <c r="F103" s="20" t="s">
        <v>455</v>
      </c>
      <c r="G103" s="8" t="str">
        <f t="shared" si="1"/>
        <v>CLARK KATHLEEN</v>
      </c>
    </row>
    <row r="104" spans="1:7" x14ac:dyDescent="0.25">
      <c r="A104" s="8">
        <v>42803.466724537036</v>
      </c>
      <c r="B104" s="20" t="s">
        <v>420</v>
      </c>
      <c r="C104" s="20" t="s">
        <v>694</v>
      </c>
      <c r="D104" s="150">
        <v>2040000</v>
      </c>
      <c r="E104" s="20" t="s">
        <v>279</v>
      </c>
      <c r="F104" s="20" t="s">
        <v>280</v>
      </c>
      <c r="G104" s="8" t="str">
        <f t="shared" si="1"/>
        <v>MOSES BRADLEY</v>
      </c>
    </row>
    <row r="105" spans="1:7" x14ac:dyDescent="0.25">
      <c r="A105" s="8">
        <v>42803.46775462963</v>
      </c>
      <c r="B105" s="20" t="s">
        <v>252</v>
      </c>
      <c r="C105" s="20" t="s">
        <v>695</v>
      </c>
      <c r="D105" s="150">
        <v>2020000</v>
      </c>
      <c r="E105" s="20" t="s">
        <v>631</v>
      </c>
      <c r="F105" s="20" t="s">
        <v>421</v>
      </c>
      <c r="G105" s="8" t="str">
        <f t="shared" si="1"/>
        <v>SHOOK JOHN</v>
      </c>
    </row>
    <row r="106" spans="1:7" x14ac:dyDescent="0.25">
      <c r="A106" s="8">
        <v>42803.471875000003</v>
      </c>
      <c r="B106" s="20" t="s">
        <v>190</v>
      </c>
      <c r="C106" s="20" t="s">
        <v>696</v>
      </c>
      <c r="D106" s="150">
        <v>890000</v>
      </c>
      <c r="E106" s="20" t="s">
        <v>513</v>
      </c>
      <c r="F106" s="20" t="s">
        <v>514</v>
      </c>
      <c r="G106" s="8" t="str">
        <f t="shared" si="1"/>
        <v>LOZA FIDEL</v>
      </c>
    </row>
    <row r="107" spans="1:7" x14ac:dyDescent="0.25">
      <c r="A107" s="8">
        <v>42803.479224537034</v>
      </c>
      <c r="B107" s="20" t="s">
        <v>425</v>
      </c>
      <c r="C107" s="20" t="s">
        <v>697</v>
      </c>
      <c r="D107" s="150">
        <v>1770000</v>
      </c>
      <c r="E107" s="20" t="s">
        <v>524</v>
      </c>
      <c r="F107" s="20" t="s">
        <v>525</v>
      </c>
      <c r="G107" s="8" t="str">
        <f t="shared" si="1"/>
        <v>BRUDER RICHARD</v>
      </c>
    </row>
    <row r="108" spans="1:7" x14ac:dyDescent="0.25">
      <c r="A108" s="8">
        <v>42803.483310185184</v>
      </c>
      <c r="B108" s="20" t="s">
        <v>500</v>
      </c>
      <c r="C108" s="20" t="s">
        <v>698</v>
      </c>
      <c r="D108" s="150">
        <v>1540000</v>
      </c>
      <c r="E108" s="20" t="s">
        <v>519</v>
      </c>
      <c r="F108" s="20" t="s">
        <v>520</v>
      </c>
      <c r="G108" s="8" t="str">
        <f t="shared" si="1"/>
        <v>HELVIE ADAM</v>
      </c>
    </row>
    <row r="109" spans="1:7" x14ac:dyDescent="0.25">
      <c r="A109" s="8">
        <v>42803.485023148147</v>
      </c>
      <c r="B109" s="20" t="s">
        <v>272</v>
      </c>
      <c r="C109" s="20" t="s">
        <v>699</v>
      </c>
      <c r="D109" s="150">
        <v>1110000</v>
      </c>
      <c r="E109" s="20" t="s">
        <v>446</v>
      </c>
      <c r="F109" s="20" t="s">
        <v>447</v>
      </c>
      <c r="G109" s="8" t="str">
        <f t="shared" si="1"/>
        <v>STARKS ANGELINA</v>
      </c>
    </row>
    <row r="110" spans="1:7" x14ac:dyDescent="0.25">
      <c r="A110" s="8">
        <v>42803.48609953704</v>
      </c>
      <c r="B110" s="20" t="s">
        <v>231</v>
      </c>
      <c r="C110" s="20" t="s">
        <v>587</v>
      </c>
      <c r="D110" s="150">
        <v>890000</v>
      </c>
      <c r="E110" s="20" t="s">
        <v>513</v>
      </c>
      <c r="F110" s="20" t="s">
        <v>514</v>
      </c>
      <c r="G110" s="8" t="str">
        <f t="shared" si="1"/>
        <v>LOZA FIDEL</v>
      </c>
    </row>
    <row r="111" spans="1:7" x14ac:dyDescent="0.25">
      <c r="A111" s="8">
        <v>42803.487916666665</v>
      </c>
      <c r="B111" s="20" t="s">
        <v>510</v>
      </c>
      <c r="C111" s="20" t="s">
        <v>700</v>
      </c>
      <c r="D111" s="150">
        <v>2230000</v>
      </c>
      <c r="E111" s="20" t="s">
        <v>701</v>
      </c>
      <c r="F111" s="20" t="s">
        <v>200</v>
      </c>
      <c r="G111" s="8" t="str">
        <f t="shared" si="1"/>
        <v>SMITH MICHAEL</v>
      </c>
    </row>
    <row r="112" spans="1:7" x14ac:dyDescent="0.25">
      <c r="A112" s="8">
        <v>42803.491307870368</v>
      </c>
      <c r="B112" s="20" t="s">
        <v>521</v>
      </c>
      <c r="C112" s="20" t="s">
        <v>702</v>
      </c>
      <c r="D112" s="150">
        <v>1100000</v>
      </c>
      <c r="E112" s="20" t="s">
        <v>507</v>
      </c>
      <c r="F112" s="20" t="s">
        <v>508</v>
      </c>
      <c r="G112" s="8" t="str">
        <f t="shared" si="1"/>
        <v>GEBRETEKLE DAGNEW</v>
      </c>
    </row>
    <row r="113" spans="1:7" x14ac:dyDescent="0.25">
      <c r="A113" s="8">
        <v>42803.497025462966</v>
      </c>
      <c r="B113" s="20" t="s">
        <v>618</v>
      </c>
      <c r="C113" s="20" t="s">
        <v>703</v>
      </c>
      <c r="D113" s="150">
        <v>930000</v>
      </c>
      <c r="E113" s="20" t="s">
        <v>454</v>
      </c>
      <c r="F113" s="20" t="s">
        <v>455</v>
      </c>
      <c r="G113" s="8" t="str">
        <f t="shared" si="1"/>
        <v>CLARK KATHLEEN</v>
      </c>
    </row>
    <row r="114" spans="1:7" x14ac:dyDescent="0.25">
      <c r="A114" s="8">
        <v>42803.497060185182</v>
      </c>
      <c r="B114" s="20" t="s">
        <v>596</v>
      </c>
      <c r="C114" s="20" t="s">
        <v>704</v>
      </c>
      <c r="D114" s="150">
        <v>1120000</v>
      </c>
      <c r="E114" s="20" t="s">
        <v>265</v>
      </c>
      <c r="F114" s="20" t="s">
        <v>266</v>
      </c>
      <c r="G114" s="8" t="str">
        <f t="shared" si="1"/>
        <v>LOCKLEAR TRAVIS</v>
      </c>
    </row>
    <row r="115" spans="1:7" x14ac:dyDescent="0.25">
      <c r="A115" s="8">
        <v>42803.50472222222</v>
      </c>
      <c r="B115" s="20" t="s">
        <v>419</v>
      </c>
      <c r="C115" s="20" t="s">
        <v>705</v>
      </c>
      <c r="D115" s="150">
        <v>2040000</v>
      </c>
      <c r="E115" s="20" t="s">
        <v>279</v>
      </c>
      <c r="F115" s="20" t="s">
        <v>280</v>
      </c>
      <c r="G115" s="8" t="str">
        <f t="shared" si="1"/>
        <v>MOSES BRADLEY</v>
      </c>
    </row>
    <row r="116" spans="1:7" x14ac:dyDescent="0.25">
      <c r="A116" s="8">
        <v>42803.509027777778</v>
      </c>
      <c r="B116" s="20" t="s">
        <v>254</v>
      </c>
      <c r="C116" s="20" t="s">
        <v>706</v>
      </c>
      <c r="D116" s="150">
        <v>1540000</v>
      </c>
      <c r="E116" s="20" t="s">
        <v>519</v>
      </c>
      <c r="F116" s="20" t="s">
        <v>520</v>
      </c>
      <c r="G116" s="8" t="str">
        <f t="shared" si="1"/>
        <v>HELVIE ADAM</v>
      </c>
    </row>
    <row r="117" spans="1:7" x14ac:dyDescent="0.25">
      <c r="A117" s="8">
        <v>42803.51059027778</v>
      </c>
      <c r="B117" s="20" t="s">
        <v>501</v>
      </c>
      <c r="C117" s="20" t="s">
        <v>707</v>
      </c>
      <c r="D117" s="150">
        <v>1830000</v>
      </c>
      <c r="E117" s="20" t="s">
        <v>450</v>
      </c>
      <c r="F117" s="20" t="s">
        <v>451</v>
      </c>
      <c r="G117" s="8" t="str">
        <f t="shared" si="1"/>
        <v>YORK EDGAR</v>
      </c>
    </row>
    <row r="118" spans="1:7" x14ac:dyDescent="0.25">
      <c r="A118" s="8">
        <v>42803.513055555559</v>
      </c>
      <c r="B118" s="20" t="s">
        <v>190</v>
      </c>
      <c r="C118" s="20" t="s">
        <v>708</v>
      </c>
      <c r="D118" s="150">
        <v>890000</v>
      </c>
      <c r="E118" s="20" t="s">
        <v>513</v>
      </c>
      <c r="F118" s="20" t="s">
        <v>514</v>
      </c>
      <c r="G118" s="8" t="str">
        <f t="shared" si="1"/>
        <v>LOZA FIDEL</v>
      </c>
    </row>
    <row r="119" spans="1:7" x14ac:dyDescent="0.25">
      <c r="A119" s="8">
        <v>42803.514398148145</v>
      </c>
      <c r="B119" s="20" t="s">
        <v>204</v>
      </c>
      <c r="C119" s="20" t="s">
        <v>709</v>
      </c>
      <c r="D119" s="150">
        <v>1770000</v>
      </c>
      <c r="E119" s="20" t="s">
        <v>524</v>
      </c>
      <c r="F119" s="20" t="s">
        <v>525</v>
      </c>
      <c r="G119" s="8" t="str">
        <f t="shared" si="1"/>
        <v>BRUDER RICHARD</v>
      </c>
    </row>
    <row r="120" spans="1:7" x14ac:dyDescent="0.25">
      <c r="A120" s="8">
        <v>42803.52140046296</v>
      </c>
      <c r="B120" s="20" t="s">
        <v>271</v>
      </c>
      <c r="C120" s="20" t="s">
        <v>710</v>
      </c>
      <c r="D120" s="150">
        <v>2360000</v>
      </c>
      <c r="E120" s="20" t="s">
        <v>711</v>
      </c>
      <c r="F120" s="20" t="s">
        <v>712</v>
      </c>
      <c r="G120" s="8" t="str">
        <f t="shared" si="1"/>
        <v>BRANDNER MELINDA</v>
      </c>
    </row>
    <row r="121" spans="1:7" x14ac:dyDescent="0.25">
      <c r="A121" s="8">
        <v>42803.525023148148</v>
      </c>
      <c r="B121" s="20" t="s">
        <v>502</v>
      </c>
      <c r="C121" s="20" t="s">
        <v>588</v>
      </c>
      <c r="D121" s="150">
        <v>2230000</v>
      </c>
      <c r="E121" s="20" t="s">
        <v>701</v>
      </c>
      <c r="F121" s="20" t="s">
        <v>200</v>
      </c>
      <c r="G121" s="8" t="str">
        <f t="shared" si="1"/>
        <v>SMITH MICHAEL</v>
      </c>
    </row>
    <row r="122" spans="1:7" x14ac:dyDescent="0.25">
      <c r="A122" s="8">
        <v>42803.525682870371</v>
      </c>
      <c r="B122" s="25" t="s">
        <v>231</v>
      </c>
      <c r="C122" s="20" t="s">
        <v>713</v>
      </c>
      <c r="D122" s="150">
        <v>890000</v>
      </c>
      <c r="E122" s="20" t="s">
        <v>513</v>
      </c>
      <c r="F122" s="20" t="s">
        <v>514</v>
      </c>
      <c r="G122" s="8" t="str">
        <f t="shared" si="1"/>
        <v>LOZA FIDEL</v>
      </c>
    </row>
    <row r="123" spans="1:7" x14ac:dyDescent="0.25">
      <c r="A123" s="8">
        <v>42803.529120370367</v>
      </c>
      <c r="B123" s="20" t="s">
        <v>589</v>
      </c>
      <c r="C123" s="20" t="s">
        <v>590</v>
      </c>
      <c r="D123" s="150">
        <v>930000</v>
      </c>
      <c r="E123" s="20" t="s">
        <v>454</v>
      </c>
      <c r="F123" s="20" t="s">
        <v>455</v>
      </c>
      <c r="G123" s="8" t="str">
        <f t="shared" si="1"/>
        <v>CLARK KATHLEEN</v>
      </c>
    </row>
    <row r="124" spans="1:7" x14ac:dyDescent="0.25">
      <c r="A124" s="8">
        <v>42803.537199074075</v>
      </c>
      <c r="B124" s="20" t="s">
        <v>602</v>
      </c>
      <c r="C124" s="20" t="s">
        <v>714</v>
      </c>
      <c r="D124" s="150">
        <v>1120000</v>
      </c>
      <c r="E124" s="20" t="s">
        <v>265</v>
      </c>
      <c r="F124" s="20" t="s">
        <v>266</v>
      </c>
      <c r="G124" s="8" t="str">
        <f t="shared" si="1"/>
        <v>LOCKLEAR TRAVIS</v>
      </c>
    </row>
    <row r="125" spans="1:7" x14ac:dyDescent="0.25">
      <c r="A125" s="8">
        <v>42803.537557870368</v>
      </c>
      <c r="B125" s="20" t="s">
        <v>420</v>
      </c>
      <c r="C125" s="20" t="s">
        <v>591</v>
      </c>
      <c r="D125" s="150">
        <v>1760000</v>
      </c>
      <c r="E125" s="20" t="s">
        <v>522</v>
      </c>
      <c r="F125" s="20" t="s">
        <v>523</v>
      </c>
      <c r="G125" s="8" t="str">
        <f t="shared" si="1"/>
        <v>STRICKLAND EVAN</v>
      </c>
    </row>
    <row r="126" spans="1:7" x14ac:dyDescent="0.25">
      <c r="A126" s="8">
        <v>42803.548252314817</v>
      </c>
      <c r="B126" s="20" t="s">
        <v>252</v>
      </c>
      <c r="C126" s="20" t="s">
        <v>715</v>
      </c>
      <c r="D126" s="150">
        <v>1540000</v>
      </c>
      <c r="E126" s="20" t="s">
        <v>519</v>
      </c>
      <c r="F126" s="20" t="s">
        <v>520</v>
      </c>
      <c r="G126" s="8" t="str">
        <f t="shared" si="1"/>
        <v>HELVIE ADAM</v>
      </c>
    </row>
    <row r="127" spans="1:7" x14ac:dyDescent="0.25">
      <c r="A127" s="8">
        <v>42803.548437500001</v>
      </c>
      <c r="B127" s="20" t="s">
        <v>425</v>
      </c>
      <c r="C127" s="20" t="s">
        <v>716</v>
      </c>
      <c r="D127" s="150">
        <v>1770000</v>
      </c>
      <c r="E127" s="20" t="s">
        <v>524</v>
      </c>
      <c r="F127" s="20" t="s">
        <v>525</v>
      </c>
      <c r="G127" s="8" t="str">
        <f t="shared" si="1"/>
        <v>BRUDER RICHARD</v>
      </c>
    </row>
    <row r="128" spans="1:7" x14ac:dyDescent="0.25">
      <c r="A128" s="8">
        <v>42803.550046296295</v>
      </c>
      <c r="B128" s="20" t="s">
        <v>190</v>
      </c>
      <c r="C128" s="20" t="s">
        <v>717</v>
      </c>
      <c r="D128" s="150">
        <v>1180000</v>
      </c>
      <c r="E128" s="20" t="s">
        <v>456</v>
      </c>
      <c r="F128" s="20" t="s">
        <v>457</v>
      </c>
      <c r="G128" s="8" t="str">
        <f t="shared" si="1"/>
        <v>LEVERE CRAIG</v>
      </c>
    </row>
    <row r="129" spans="1:7" x14ac:dyDescent="0.25">
      <c r="A129" s="8">
        <v>42803.555706018517</v>
      </c>
      <c r="B129" s="20" t="s">
        <v>272</v>
      </c>
      <c r="C129" s="20" t="s">
        <v>718</v>
      </c>
      <c r="D129" s="150">
        <v>2360000</v>
      </c>
      <c r="E129" s="20" t="s">
        <v>711</v>
      </c>
      <c r="F129" s="20" t="s">
        <v>712</v>
      </c>
      <c r="G129" s="8" t="str">
        <f t="shared" si="1"/>
        <v>BRANDNER MELINDA</v>
      </c>
    </row>
    <row r="130" spans="1:7" x14ac:dyDescent="0.25">
      <c r="A130" s="8">
        <v>42803.559675925928</v>
      </c>
      <c r="B130" s="20" t="s">
        <v>510</v>
      </c>
      <c r="C130" s="20" t="s">
        <v>719</v>
      </c>
      <c r="D130" s="150">
        <v>2230000</v>
      </c>
      <c r="E130" s="20" t="s">
        <v>701</v>
      </c>
      <c r="F130" s="20" t="s">
        <v>200</v>
      </c>
      <c r="G130" s="8" t="str">
        <f t="shared" si="1"/>
        <v>SMITH MICHAEL</v>
      </c>
    </row>
    <row r="131" spans="1:7" x14ac:dyDescent="0.25">
      <c r="A131" s="8">
        <v>42803.56758101852</v>
      </c>
      <c r="B131" s="20" t="s">
        <v>231</v>
      </c>
      <c r="C131" s="20" t="s">
        <v>592</v>
      </c>
      <c r="D131" s="150">
        <v>1180000</v>
      </c>
      <c r="E131" s="20" t="s">
        <v>456</v>
      </c>
      <c r="F131" s="20" t="s">
        <v>457</v>
      </c>
      <c r="G131" s="8" t="str">
        <f t="shared" ref="G131:G194" si="2">E131&amp;" "&amp;F131</f>
        <v>LEVERE CRAIG</v>
      </c>
    </row>
    <row r="132" spans="1:7" x14ac:dyDescent="0.25">
      <c r="A132" s="8">
        <v>42803.568784722222</v>
      </c>
      <c r="B132" s="20" t="s">
        <v>618</v>
      </c>
      <c r="C132" s="20" t="s">
        <v>720</v>
      </c>
      <c r="D132" s="150">
        <v>930000</v>
      </c>
      <c r="E132" s="20" t="s">
        <v>454</v>
      </c>
      <c r="F132" s="20" t="s">
        <v>455</v>
      </c>
      <c r="G132" s="8" t="str">
        <f t="shared" si="2"/>
        <v>CLARK KATHLEEN</v>
      </c>
    </row>
    <row r="133" spans="1:7" x14ac:dyDescent="0.25">
      <c r="A133" s="8">
        <v>42803.573530092595</v>
      </c>
      <c r="B133" s="20" t="s">
        <v>596</v>
      </c>
      <c r="C133" s="20" t="s">
        <v>721</v>
      </c>
      <c r="D133" s="150">
        <v>1120000</v>
      </c>
      <c r="E133" s="20" t="s">
        <v>265</v>
      </c>
      <c r="F133" s="20" t="s">
        <v>266</v>
      </c>
      <c r="G133" s="8" t="str">
        <f t="shared" si="2"/>
        <v>LOCKLEAR TRAVIS</v>
      </c>
    </row>
    <row r="134" spans="1:7" x14ac:dyDescent="0.25">
      <c r="A134" s="8">
        <v>42803.577824074076</v>
      </c>
      <c r="B134" s="20" t="s">
        <v>419</v>
      </c>
      <c r="C134" s="20" t="s">
        <v>722</v>
      </c>
      <c r="D134" s="150">
        <v>1760000</v>
      </c>
      <c r="E134" s="20" t="s">
        <v>522</v>
      </c>
      <c r="F134" s="20" t="s">
        <v>523</v>
      </c>
      <c r="G134" s="8" t="str">
        <f t="shared" si="2"/>
        <v>STRICKLAND EVAN</v>
      </c>
    </row>
    <row r="135" spans="1:7" x14ac:dyDescent="0.25">
      <c r="A135" s="8">
        <v>42803.580381944441</v>
      </c>
      <c r="B135" s="20" t="s">
        <v>254</v>
      </c>
      <c r="C135" s="20" t="s">
        <v>723</v>
      </c>
      <c r="D135" s="150">
        <v>1540000</v>
      </c>
      <c r="E135" s="20" t="s">
        <v>519</v>
      </c>
      <c r="F135" s="20" t="s">
        <v>520</v>
      </c>
      <c r="G135" s="8" t="str">
        <f t="shared" si="2"/>
        <v>HELVIE ADAM</v>
      </c>
    </row>
    <row r="136" spans="1:7" x14ac:dyDescent="0.25">
      <c r="A136" s="8">
        <v>42803.587465277778</v>
      </c>
      <c r="B136" s="20" t="s">
        <v>190</v>
      </c>
      <c r="C136" s="20" t="s">
        <v>724</v>
      </c>
      <c r="D136" s="150">
        <v>1180000</v>
      </c>
      <c r="E136" s="20" t="s">
        <v>456</v>
      </c>
      <c r="F136" s="20" t="s">
        <v>457</v>
      </c>
      <c r="G136" s="8" t="str">
        <f t="shared" si="2"/>
        <v>LEVERE CRAIG</v>
      </c>
    </row>
    <row r="137" spans="1:7" x14ac:dyDescent="0.25">
      <c r="A137" s="8">
        <v>42803.58766203704</v>
      </c>
      <c r="B137" s="20" t="s">
        <v>204</v>
      </c>
      <c r="C137" s="20" t="s">
        <v>725</v>
      </c>
      <c r="D137" s="150">
        <v>1770000</v>
      </c>
      <c r="E137" s="20" t="s">
        <v>524</v>
      </c>
      <c r="F137" s="20" t="s">
        <v>525</v>
      </c>
      <c r="G137" s="8" t="str">
        <f t="shared" si="2"/>
        <v>BRUDER RICHARD</v>
      </c>
    </row>
    <row r="138" spans="1:7" x14ac:dyDescent="0.25">
      <c r="A138" s="8">
        <v>42803.591238425928</v>
      </c>
      <c r="B138" s="20" t="s">
        <v>278</v>
      </c>
      <c r="C138" s="20" t="s">
        <v>726</v>
      </c>
      <c r="D138" s="150">
        <v>1340000</v>
      </c>
      <c r="E138" s="20" t="s">
        <v>515</v>
      </c>
      <c r="F138" s="20" t="s">
        <v>516</v>
      </c>
      <c r="G138" s="8" t="str">
        <f t="shared" si="2"/>
        <v>BEAM ROSS</v>
      </c>
    </row>
    <row r="139" spans="1:7" x14ac:dyDescent="0.25">
      <c r="A139" s="8">
        <v>42803.598333333335</v>
      </c>
      <c r="B139" s="20" t="s">
        <v>271</v>
      </c>
      <c r="C139" s="20" t="s">
        <v>727</v>
      </c>
      <c r="D139" s="150">
        <v>2360000</v>
      </c>
      <c r="E139" s="20" t="s">
        <v>711</v>
      </c>
      <c r="F139" s="20" t="s">
        <v>712</v>
      </c>
      <c r="G139" s="8" t="str">
        <f t="shared" si="2"/>
        <v>BRANDNER MELINDA</v>
      </c>
    </row>
    <row r="140" spans="1:7" x14ac:dyDescent="0.25">
      <c r="A140" s="8">
        <v>42803.598541666666</v>
      </c>
      <c r="B140" s="20" t="s">
        <v>502</v>
      </c>
      <c r="C140" s="20" t="s">
        <v>593</v>
      </c>
      <c r="D140" s="150">
        <v>2230000</v>
      </c>
      <c r="E140" s="20" t="s">
        <v>701</v>
      </c>
      <c r="F140" s="20" t="s">
        <v>200</v>
      </c>
      <c r="G140" s="8" t="str">
        <f t="shared" si="2"/>
        <v>SMITH MICHAEL</v>
      </c>
    </row>
    <row r="141" spans="1:7" x14ac:dyDescent="0.25">
      <c r="A141" s="8">
        <v>42803.608877314815</v>
      </c>
      <c r="B141" s="20" t="s">
        <v>231</v>
      </c>
      <c r="C141" s="20" t="s">
        <v>728</v>
      </c>
      <c r="D141" s="150">
        <v>1180000</v>
      </c>
      <c r="E141" s="20" t="s">
        <v>456</v>
      </c>
      <c r="F141" s="20" t="s">
        <v>457</v>
      </c>
      <c r="G141" s="8" t="str">
        <f t="shared" si="2"/>
        <v>LEVERE CRAIG</v>
      </c>
    </row>
    <row r="142" spans="1:7" x14ac:dyDescent="0.25">
      <c r="A142" s="8">
        <v>42803.609548611108</v>
      </c>
      <c r="B142" s="20" t="s">
        <v>602</v>
      </c>
      <c r="C142" s="20" t="s">
        <v>729</v>
      </c>
      <c r="D142" s="150">
        <v>1120000</v>
      </c>
      <c r="E142" s="20" t="s">
        <v>265</v>
      </c>
      <c r="F142" s="20" t="s">
        <v>266</v>
      </c>
      <c r="G142" s="8" t="str">
        <f t="shared" si="2"/>
        <v>LOCKLEAR TRAVIS</v>
      </c>
    </row>
    <row r="143" spans="1:7" x14ac:dyDescent="0.25">
      <c r="A143" s="8">
        <v>42803.612326388888</v>
      </c>
      <c r="B143" s="20" t="s">
        <v>420</v>
      </c>
      <c r="C143" s="20" t="s">
        <v>730</v>
      </c>
      <c r="D143" s="150">
        <v>2040000</v>
      </c>
      <c r="E143" s="20" t="s">
        <v>279</v>
      </c>
      <c r="F143" s="20" t="s">
        <v>280</v>
      </c>
      <c r="G143" s="8" t="str">
        <f t="shared" si="2"/>
        <v>MOSES BRADLEY</v>
      </c>
    </row>
    <row r="144" spans="1:7" x14ac:dyDescent="0.25">
      <c r="A144" s="8">
        <v>42803.620381944442</v>
      </c>
      <c r="B144" s="20" t="s">
        <v>252</v>
      </c>
      <c r="C144" s="20" t="s">
        <v>731</v>
      </c>
      <c r="D144" s="150">
        <v>1540000</v>
      </c>
      <c r="E144" s="20" t="s">
        <v>519</v>
      </c>
      <c r="F144" s="20" t="s">
        <v>520</v>
      </c>
      <c r="G144" s="8" t="str">
        <f t="shared" si="2"/>
        <v>HELVIE ADAM</v>
      </c>
    </row>
    <row r="145" spans="1:7" x14ac:dyDescent="0.25">
      <c r="A145" s="8">
        <v>42803.621770833335</v>
      </c>
      <c r="B145" s="20" t="s">
        <v>425</v>
      </c>
      <c r="C145" s="20" t="s">
        <v>732</v>
      </c>
      <c r="D145" s="150">
        <v>1770000</v>
      </c>
      <c r="E145" s="20" t="s">
        <v>524</v>
      </c>
      <c r="F145" s="20" t="s">
        <v>525</v>
      </c>
      <c r="G145" s="8" t="str">
        <f t="shared" si="2"/>
        <v>BRUDER RICHARD</v>
      </c>
    </row>
    <row r="146" spans="1:7" x14ac:dyDescent="0.25">
      <c r="A146" s="8">
        <v>42803.626319444447</v>
      </c>
      <c r="B146" s="20" t="s">
        <v>418</v>
      </c>
      <c r="C146" s="20" t="s">
        <v>733</v>
      </c>
      <c r="D146" s="150">
        <v>1340000</v>
      </c>
      <c r="E146" s="20" t="s">
        <v>515</v>
      </c>
      <c r="F146" s="20" t="s">
        <v>516</v>
      </c>
      <c r="G146" s="8" t="str">
        <f t="shared" si="2"/>
        <v>BEAM ROSS</v>
      </c>
    </row>
    <row r="147" spans="1:7" x14ac:dyDescent="0.25">
      <c r="A147" s="8">
        <v>42803.630532407406</v>
      </c>
      <c r="B147" s="20" t="s">
        <v>190</v>
      </c>
      <c r="C147" s="20" t="s">
        <v>734</v>
      </c>
      <c r="D147" s="150">
        <v>1180000</v>
      </c>
      <c r="E147" s="20" t="s">
        <v>456</v>
      </c>
      <c r="F147" s="20" t="s">
        <v>457</v>
      </c>
      <c r="G147" s="8" t="str">
        <f t="shared" si="2"/>
        <v>LEVERE CRAIG</v>
      </c>
    </row>
    <row r="148" spans="1:7" x14ac:dyDescent="0.25">
      <c r="A148" s="8">
        <v>42803.632013888891</v>
      </c>
      <c r="B148" s="20" t="s">
        <v>510</v>
      </c>
      <c r="C148" s="20" t="s">
        <v>735</v>
      </c>
      <c r="D148" s="150">
        <v>2230000</v>
      </c>
      <c r="E148" s="20" t="s">
        <v>701</v>
      </c>
      <c r="F148" s="20" t="s">
        <v>200</v>
      </c>
      <c r="G148" s="8" t="str">
        <f t="shared" si="2"/>
        <v>SMITH MICHAEL</v>
      </c>
    </row>
    <row r="149" spans="1:7" x14ac:dyDescent="0.25">
      <c r="A149" s="8">
        <v>42803.636574074073</v>
      </c>
      <c r="B149" s="20" t="s">
        <v>594</v>
      </c>
      <c r="C149" s="20" t="s">
        <v>595</v>
      </c>
      <c r="D149" s="150">
        <v>1740000</v>
      </c>
      <c r="E149" s="20" t="s">
        <v>458</v>
      </c>
      <c r="F149" s="20" t="s">
        <v>459</v>
      </c>
      <c r="G149" s="8" t="str">
        <f t="shared" si="2"/>
        <v>STORY SAMANTHA</v>
      </c>
    </row>
    <row r="150" spans="1:7" x14ac:dyDescent="0.25">
      <c r="A150" s="8">
        <v>42803.638668981483</v>
      </c>
      <c r="B150" s="20" t="s">
        <v>272</v>
      </c>
      <c r="C150" s="20" t="s">
        <v>598</v>
      </c>
      <c r="D150" s="150">
        <v>2360000</v>
      </c>
      <c r="E150" s="20" t="s">
        <v>711</v>
      </c>
      <c r="F150" s="20" t="s">
        <v>712</v>
      </c>
      <c r="G150" s="8" t="str">
        <f t="shared" si="2"/>
        <v>BRANDNER MELINDA</v>
      </c>
    </row>
    <row r="151" spans="1:7" x14ac:dyDescent="0.25">
      <c r="A151" s="8">
        <v>42803.641793981478</v>
      </c>
      <c r="B151" s="20" t="s">
        <v>596</v>
      </c>
      <c r="C151" s="20" t="s">
        <v>597</v>
      </c>
      <c r="D151" s="150">
        <v>1120000</v>
      </c>
      <c r="E151" s="20" t="s">
        <v>265</v>
      </c>
      <c r="F151" s="20" t="s">
        <v>266</v>
      </c>
      <c r="G151" s="8" t="str">
        <f t="shared" si="2"/>
        <v>LOCKLEAR TRAVIS</v>
      </c>
    </row>
    <row r="152" spans="1:7" x14ac:dyDescent="0.25">
      <c r="A152" s="8">
        <v>42803.649918981479</v>
      </c>
      <c r="B152" s="20" t="s">
        <v>419</v>
      </c>
      <c r="C152" s="20" t="s">
        <v>736</v>
      </c>
      <c r="D152" s="150">
        <v>2040000</v>
      </c>
      <c r="E152" s="20" t="s">
        <v>279</v>
      </c>
      <c r="F152" s="20" t="s">
        <v>280</v>
      </c>
      <c r="G152" s="8" t="str">
        <f t="shared" si="2"/>
        <v>MOSES BRADLEY</v>
      </c>
    </row>
    <row r="153" spans="1:7" x14ac:dyDescent="0.25">
      <c r="A153" s="8">
        <v>42803.650601851848</v>
      </c>
      <c r="B153" s="20" t="s">
        <v>600</v>
      </c>
      <c r="C153" s="20" t="s">
        <v>737</v>
      </c>
      <c r="D153" s="150">
        <v>1740000</v>
      </c>
      <c r="E153" s="20" t="s">
        <v>458</v>
      </c>
      <c r="F153" s="20" t="s">
        <v>459</v>
      </c>
      <c r="G153" s="8" t="str">
        <f t="shared" si="2"/>
        <v>STORY SAMANTHA</v>
      </c>
    </row>
    <row r="154" spans="1:7" x14ac:dyDescent="0.25">
      <c r="A154" s="8">
        <v>42803.654537037037</v>
      </c>
      <c r="B154" s="20" t="s">
        <v>254</v>
      </c>
      <c r="C154" s="20" t="s">
        <v>738</v>
      </c>
      <c r="D154" s="150">
        <v>1540000</v>
      </c>
      <c r="E154" s="20" t="s">
        <v>519</v>
      </c>
      <c r="F154" s="20" t="s">
        <v>520</v>
      </c>
      <c r="G154" s="8" t="str">
        <f t="shared" si="2"/>
        <v>HELVIE ADAM</v>
      </c>
    </row>
    <row r="155" spans="1:7" x14ac:dyDescent="0.25">
      <c r="A155" s="8">
        <v>42803.655902777777</v>
      </c>
      <c r="B155" s="20" t="s">
        <v>231</v>
      </c>
      <c r="C155" s="20" t="s">
        <v>599</v>
      </c>
      <c r="D155" s="150">
        <v>1180000</v>
      </c>
      <c r="E155" s="20" t="s">
        <v>456</v>
      </c>
      <c r="F155" s="20" t="s">
        <v>457</v>
      </c>
      <c r="G155" s="8" t="str">
        <f t="shared" si="2"/>
        <v>LEVERE CRAIG</v>
      </c>
    </row>
    <row r="156" spans="1:7" x14ac:dyDescent="0.25">
      <c r="A156" s="8">
        <v>42803.66070601852</v>
      </c>
      <c r="B156" s="20" t="s">
        <v>204</v>
      </c>
      <c r="C156" s="20" t="s">
        <v>739</v>
      </c>
      <c r="D156" s="150">
        <v>1770000</v>
      </c>
      <c r="E156" s="20" t="s">
        <v>524</v>
      </c>
      <c r="F156" s="20" t="s">
        <v>525</v>
      </c>
      <c r="G156" s="8" t="str">
        <f t="shared" si="2"/>
        <v>BRUDER RICHARD</v>
      </c>
    </row>
    <row r="157" spans="1:7" x14ac:dyDescent="0.25">
      <c r="A157" s="8">
        <v>42803.661296296297</v>
      </c>
      <c r="B157" s="20" t="s">
        <v>278</v>
      </c>
      <c r="C157" s="20" t="s">
        <v>740</v>
      </c>
      <c r="D157" s="150">
        <v>930000</v>
      </c>
      <c r="E157" s="20" t="s">
        <v>454</v>
      </c>
      <c r="F157" s="20" t="s">
        <v>455</v>
      </c>
      <c r="G157" s="8" t="str">
        <f t="shared" si="2"/>
        <v>CLARK KATHLEEN</v>
      </c>
    </row>
    <row r="158" spans="1:7" x14ac:dyDescent="0.25">
      <c r="A158" s="8">
        <v>42803.66815972222</v>
      </c>
      <c r="B158" s="20" t="s">
        <v>502</v>
      </c>
      <c r="C158" s="20" t="s">
        <v>741</v>
      </c>
      <c r="D158" s="150">
        <v>2230000</v>
      </c>
      <c r="E158" s="20" t="s">
        <v>701</v>
      </c>
      <c r="F158" s="20" t="s">
        <v>200</v>
      </c>
      <c r="G158" s="8" t="str">
        <f t="shared" si="2"/>
        <v>SMITH MICHAEL</v>
      </c>
    </row>
    <row r="159" spans="1:7" x14ac:dyDescent="0.25">
      <c r="A159" s="8">
        <v>42803.672650462962</v>
      </c>
      <c r="B159" s="20" t="s">
        <v>594</v>
      </c>
      <c r="C159" s="20" t="s">
        <v>742</v>
      </c>
      <c r="D159" s="150">
        <v>1740000</v>
      </c>
      <c r="E159" s="20" t="s">
        <v>458</v>
      </c>
      <c r="F159" s="20" t="s">
        <v>459</v>
      </c>
      <c r="G159" s="8" t="str">
        <f t="shared" si="2"/>
        <v>STORY SAMANTHA</v>
      </c>
    </row>
    <row r="160" spans="1:7" x14ac:dyDescent="0.25">
      <c r="A160" s="8">
        <v>42803.673807870371</v>
      </c>
      <c r="B160" s="20" t="s">
        <v>190</v>
      </c>
      <c r="C160" s="20" t="s">
        <v>743</v>
      </c>
      <c r="D160" s="150">
        <v>1180000</v>
      </c>
      <c r="E160" s="20" t="s">
        <v>456</v>
      </c>
      <c r="F160" s="20" t="s">
        <v>457</v>
      </c>
      <c r="G160" s="8" t="str">
        <f t="shared" si="2"/>
        <v>LEVERE CRAIG</v>
      </c>
    </row>
    <row r="161" spans="1:7" x14ac:dyDescent="0.25">
      <c r="A161" s="8">
        <v>42803.676041666666</v>
      </c>
      <c r="B161" s="20" t="s">
        <v>271</v>
      </c>
      <c r="C161" s="20" t="s">
        <v>744</v>
      </c>
      <c r="D161" s="150">
        <v>2360000</v>
      </c>
      <c r="E161" s="20" t="s">
        <v>711</v>
      </c>
      <c r="F161" s="20" t="s">
        <v>712</v>
      </c>
      <c r="G161" s="8" t="str">
        <f t="shared" si="2"/>
        <v>BRANDNER MELINDA</v>
      </c>
    </row>
    <row r="162" spans="1:7" x14ac:dyDescent="0.25">
      <c r="A162" s="8">
        <v>42803.682291666664</v>
      </c>
      <c r="B162" s="20" t="s">
        <v>602</v>
      </c>
      <c r="C162" s="20" t="s">
        <v>603</v>
      </c>
      <c r="D162" s="150">
        <v>1120000</v>
      </c>
      <c r="E162" s="20" t="s">
        <v>265</v>
      </c>
      <c r="F162" s="20" t="s">
        <v>266</v>
      </c>
      <c r="G162" s="8" t="str">
        <f t="shared" si="2"/>
        <v>LOCKLEAR TRAVIS</v>
      </c>
    </row>
    <row r="163" spans="1:7" x14ac:dyDescent="0.25">
      <c r="A163" s="8">
        <v>42803.684606481482</v>
      </c>
      <c r="B163" s="20" t="s">
        <v>420</v>
      </c>
      <c r="C163" s="20" t="s">
        <v>745</v>
      </c>
      <c r="D163" s="150">
        <v>2040000</v>
      </c>
      <c r="E163" s="20" t="s">
        <v>279</v>
      </c>
      <c r="F163" s="20" t="s">
        <v>280</v>
      </c>
      <c r="G163" s="8" t="str">
        <f t="shared" si="2"/>
        <v>MOSES BRADLEY</v>
      </c>
    </row>
    <row r="164" spans="1:7" x14ac:dyDescent="0.25">
      <c r="A164" s="8">
        <v>42803.689560185187</v>
      </c>
      <c r="B164" s="20" t="s">
        <v>589</v>
      </c>
      <c r="C164" s="20" t="s">
        <v>604</v>
      </c>
      <c r="D164" s="150">
        <v>1760000</v>
      </c>
      <c r="E164" s="20" t="s">
        <v>522</v>
      </c>
      <c r="F164" s="20" t="s">
        <v>523</v>
      </c>
      <c r="G164" s="8" t="str">
        <f t="shared" si="2"/>
        <v>STRICKLAND EVAN</v>
      </c>
    </row>
    <row r="165" spans="1:7" x14ac:dyDescent="0.25">
      <c r="A165" s="8">
        <v>42803.692349537036</v>
      </c>
      <c r="B165" s="20" t="s">
        <v>231</v>
      </c>
      <c r="C165" s="20" t="s">
        <v>746</v>
      </c>
      <c r="D165" s="150">
        <v>1180000</v>
      </c>
      <c r="E165" s="20" t="s">
        <v>456</v>
      </c>
      <c r="F165" s="20" t="s">
        <v>457</v>
      </c>
      <c r="G165" s="8" t="str">
        <f t="shared" si="2"/>
        <v>LEVERE CRAIG</v>
      </c>
    </row>
    <row r="166" spans="1:7" x14ac:dyDescent="0.25">
      <c r="A166" s="8">
        <v>42803.693541666667</v>
      </c>
      <c r="B166" s="20" t="s">
        <v>252</v>
      </c>
      <c r="C166" s="20" t="s">
        <v>605</v>
      </c>
      <c r="D166" s="150">
        <v>1540000</v>
      </c>
      <c r="E166" s="20" t="s">
        <v>519</v>
      </c>
      <c r="F166" s="20" t="s">
        <v>520</v>
      </c>
      <c r="G166" s="8" t="str">
        <f t="shared" si="2"/>
        <v>HELVIE ADAM</v>
      </c>
    </row>
    <row r="167" spans="1:7" x14ac:dyDescent="0.25">
      <c r="A167" s="8">
        <v>42803.700104166666</v>
      </c>
      <c r="B167" s="20" t="s">
        <v>600</v>
      </c>
      <c r="C167" s="20" t="s">
        <v>601</v>
      </c>
      <c r="D167" s="150">
        <v>1740000</v>
      </c>
      <c r="E167" s="20" t="s">
        <v>458</v>
      </c>
      <c r="F167" s="20" t="s">
        <v>459</v>
      </c>
      <c r="G167" s="8" t="str">
        <f t="shared" si="2"/>
        <v>STORY SAMANTHA</v>
      </c>
    </row>
    <row r="168" spans="1:7" x14ac:dyDescent="0.25">
      <c r="A168" s="8">
        <v>42803.702210648145</v>
      </c>
      <c r="B168" s="20" t="s">
        <v>418</v>
      </c>
      <c r="C168" s="20" t="s">
        <v>747</v>
      </c>
      <c r="D168" s="150">
        <v>930000</v>
      </c>
      <c r="E168" s="20" t="s">
        <v>454</v>
      </c>
      <c r="F168" s="20" t="s">
        <v>455</v>
      </c>
      <c r="G168" s="8" t="str">
        <f t="shared" si="2"/>
        <v>CLARK KATHLEEN</v>
      </c>
    </row>
    <row r="169" spans="1:7" x14ac:dyDescent="0.25">
      <c r="A169" s="8">
        <v>42803.705995370372</v>
      </c>
      <c r="B169" s="20" t="s">
        <v>510</v>
      </c>
      <c r="C169" s="20" t="s">
        <v>748</v>
      </c>
      <c r="D169" s="150">
        <v>2230000</v>
      </c>
      <c r="E169" s="20" t="s">
        <v>701</v>
      </c>
      <c r="F169" s="20" t="s">
        <v>200</v>
      </c>
      <c r="G169" s="8" t="str">
        <f t="shared" si="2"/>
        <v>SMITH MICHAEL</v>
      </c>
    </row>
    <row r="170" spans="1:7" x14ac:dyDescent="0.25">
      <c r="A170" s="8">
        <v>42803.710694444446</v>
      </c>
      <c r="B170" s="20" t="s">
        <v>272</v>
      </c>
      <c r="C170" s="20" t="s">
        <v>749</v>
      </c>
      <c r="D170" s="150">
        <v>2360000</v>
      </c>
      <c r="E170" s="20" t="s">
        <v>711</v>
      </c>
      <c r="F170" s="20" t="s">
        <v>712</v>
      </c>
      <c r="G170" s="8" t="str">
        <f t="shared" si="2"/>
        <v>BRANDNER MELINDA</v>
      </c>
    </row>
    <row r="171" spans="1:7" x14ac:dyDescent="0.25">
      <c r="A171" s="8">
        <v>42803.713414351849</v>
      </c>
      <c r="B171" s="20" t="s">
        <v>594</v>
      </c>
      <c r="C171" s="20" t="s">
        <v>750</v>
      </c>
      <c r="D171" s="150">
        <v>1740000</v>
      </c>
      <c r="E171" s="20" t="s">
        <v>458</v>
      </c>
      <c r="F171" s="20" t="s">
        <v>459</v>
      </c>
      <c r="G171" s="8" t="str">
        <f t="shared" si="2"/>
        <v>STORY SAMANTHA</v>
      </c>
    </row>
    <row r="172" spans="1:7" x14ac:dyDescent="0.25">
      <c r="A172" s="8">
        <v>42803.717476851853</v>
      </c>
      <c r="B172" s="20" t="s">
        <v>190</v>
      </c>
      <c r="C172" s="20" t="s">
        <v>751</v>
      </c>
      <c r="D172" s="150">
        <v>1180000</v>
      </c>
      <c r="E172" s="20" t="s">
        <v>456</v>
      </c>
      <c r="F172" s="20" t="s">
        <v>457</v>
      </c>
      <c r="G172" s="8" t="str">
        <f t="shared" si="2"/>
        <v>LEVERE CRAIG</v>
      </c>
    </row>
    <row r="173" spans="1:7" x14ac:dyDescent="0.25">
      <c r="A173" s="8">
        <v>42803.719780092593</v>
      </c>
      <c r="B173" s="20" t="s">
        <v>596</v>
      </c>
      <c r="C173" s="20" t="s">
        <v>752</v>
      </c>
      <c r="D173" s="150">
        <v>1800000</v>
      </c>
      <c r="E173" s="20" t="s">
        <v>224</v>
      </c>
      <c r="F173" s="20" t="s">
        <v>225</v>
      </c>
      <c r="G173" s="8" t="str">
        <f t="shared" si="2"/>
        <v>CHANDLER KELVIN</v>
      </c>
    </row>
    <row r="174" spans="1:7" x14ac:dyDescent="0.25">
      <c r="A174" s="8">
        <v>42803.722696759258</v>
      </c>
      <c r="B174" s="20" t="s">
        <v>419</v>
      </c>
      <c r="C174" s="20" t="s">
        <v>753</v>
      </c>
      <c r="D174" s="150">
        <v>2040000</v>
      </c>
      <c r="E174" s="20" t="s">
        <v>279</v>
      </c>
      <c r="F174" s="20" t="s">
        <v>280</v>
      </c>
      <c r="G174" s="8" t="str">
        <f t="shared" si="2"/>
        <v>MOSES BRADLEY</v>
      </c>
    </row>
    <row r="175" spans="1:7" x14ac:dyDescent="0.25">
      <c r="A175" s="8">
        <v>42803.725092592591</v>
      </c>
      <c r="B175" s="20" t="s">
        <v>635</v>
      </c>
      <c r="C175" s="20" t="s">
        <v>754</v>
      </c>
      <c r="D175" s="150">
        <v>1780000</v>
      </c>
      <c r="E175" s="20" t="s">
        <v>517</v>
      </c>
      <c r="F175" s="20" t="s">
        <v>518</v>
      </c>
      <c r="G175" s="8" t="str">
        <f t="shared" si="2"/>
        <v>DE LA ROSA ALEX</v>
      </c>
    </row>
    <row r="176" spans="1:7" x14ac:dyDescent="0.25">
      <c r="A176" s="8">
        <v>42803.72724537037</v>
      </c>
      <c r="B176" s="20" t="s">
        <v>254</v>
      </c>
      <c r="C176" s="20" t="s">
        <v>755</v>
      </c>
      <c r="D176" s="150">
        <v>1120000</v>
      </c>
      <c r="E176" s="20" t="s">
        <v>265</v>
      </c>
      <c r="F176" s="20" t="s">
        <v>266</v>
      </c>
      <c r="G176" s="8" t="str">
        <f t="shared" si="2"/>
        <v>LOCKLEAR TRAVIS</v>
      </c>
    </row>
    <row r="177" spans="1:7" x14ac:dyDescent="0.25">
      <c r="A177" s="8">
        <v>42803.727511574078</v>
      </c>
      <c r="B177" s="20" t="s">
        <v>425</v>
      </c>
      <c r="C177" s="20" t="s">
        <v>756</v>
      </c>
      <c r="D177" s="150">
        <v>1340000</v>
      </c>
      <c r="E177" s="20" t="s">
        <v>515</v>
      </c>
      <c r="F177" s="20" t="s">
        <v>516</v>
      </c>
      <c r="G177" s="8" t="str">
        <f t="shared" si="2"/>
        <v>BEAM ROSS</v>
      </c>
    </row>
    <row r="178" spans="1:7" x14ac:dyDescent="0.25">
      <c r="A178" s="8">
        <v>42803.72896990741</v>
      </c>
      <c r="B178" s="20" t="s">
        <v>618</v>
      </c>
      <c r="C178" s="20" t="s">
        <v>757</v>
      </c>
      <c r="D178" s="150">
        <v>1760000</v>
      </c>
      <c r="E178" s="20" t="s">
        <v>522</v>
      </c>
      <c r="F178" s="20" t="s">
        <v>523</v>
      </c>
      <c r="G178" s="8" t="str">
        <f t="shared" si="2"/>
        <v>STRICKLAND EVAN</v>
      </c>
    </row>
    <row r="179" spans="1:7" x14ac:dyDescent="0.25">
      <c r="A179" s="8">
        <v>42803.729988425926</v>
      </c>
      <c r="B179" s="20" t="s">
        <v>500</v>
      </c>
      <c r="C179" s="20" t="s">
        <v>758</v>
      </c>
      <c r="D179" s="150">
        <v>2540000</v>
      </c>
      <c r="E179" s="20" t="s">
        <v>214</v>
      </c>
      <c r="F179" s="20" t="s">
        <v>215</v>
      </c>
      <c r="G179" s="8" t="str">
        <f t="shared" si="2"/>
        <v>MCREYNOLDS KYLE</v>
      </c>
    </row>
    <row r="180" spans="1:7" x14ac:dyDescent="0.25">
      <c r="A180" s="8">
        <v>42803.734502314815</v>
      </c>
      <c r="B180" s="20" t="s">
        <v>231</v>
      </c>
      <c r="C180" s="20" t="s">
        <v>759</v>
      </c>
      <c r="D180" s="150">
        <v>1180000</v>
      </c>
      <c r="E180" s="20" t="s">
        <v>456</v>
      </c>
      <c r="F180" s="20" t="s">
        <v>457</v>
      </c>
      <c r="G180" s="8" t="str">
        <f t="shared" si="2"/>
        <v>LEVERE CRAIG</v>
      </c>
    </row>
    <row r="181" spans="1:7" x14ac:dyDescent="0.25">
      <c r="A181" s="8">
        <v>42803.737928240742</v>
      </c>
      <c r="B181" s="20" t="s">
        <v>278</v>
      </c>
      <c r="C181" s="20" t="s">
        <v>760</v>
      </c>
      <c r="D181" s="150">
        <v>1810000</v>
      </c>
      <c r="E181" s="20" t="s">
        <v>201</v>
      </c>
      <c r="F181" s="20" t="s">
        <v>197</v>
      </c>
      <c r="G181" s="8" t="str">
        <f t="shared" si="2"/>
        <v>NEWELL JAMES</v>
      </c>
    </row>
    <row r="182" spans="1:7" x14ac:dyDescent="0.25">
      <c r="A182" s="8">
        <v>42803.738807870373</v>
      </c>
      <c r="B182" s="20" t="s">
        <v>600</v>
      </c>
      <c r="C182" s="20" t="s">
        <v>606</v>
      </c>
      <c r="D182" s="150">
        <v>1740000</v>
      </c>
      <c r="E182" s="20" t="s">
        <v>458</v>
      </c>
      <c r="F182" s="20" t="s">
        <v>459</v>
      </c>
      <c r="G182" s="8" t="str">
        <f t="shared" si="2"/>
        <v>STORY SAMANTHA</v>
      </c>
    </row>
    <row r="183" spans="1:7" x14ac:dyDescent="0.25">
      <c r="A183" s="8">
        <v>42803.739351851851</v>
      </c>
      <c r="B183" s="20" t="s">
        <v>426</v>
      </c>
      <c r="C183" s="20" t="s">
        <v>761</v>
      </c>
      <c r="D183" s="150">
        <v>2620000</v>
      </c>
      <c r="E183" s="20" t="s">
        <v>762</v>
      </c>
      <c r="F183" s="20" t="s">
        <v>763</v>
      </c>
      <c r="G183" s="8" t="str">
        <f t="shared" si="2"/>
        <v>PERKINS DARREN</v>
      </c>
    </row>
    <row r="184" spans="1:7" x14ac:dyDescent="0.25">
      <c r="A184" s="8">
        <v>42803.739652777775</v>
      </c>
      <c r="B184" s="20" t="s">
        <v>502</v>
      </c>
      <c r="C184" s="20" t="s">
        <v>764</v>
      </c>
      <c r="D184" s="150">
        <v>2230000</v>
      </c>
      <c r="E184" s="20" t="s">
        <v>701</v>
      </c>
      <c r="F184" s="20" t="s">
        <v>200</v>
      </c>
      <c r="G184" s="8" t="str">
        <f t="shared" si="2"/>
        <v>SMITH MICHAEL</v>
      </c>
    </row>
    <row r="185" spans="1:7" x14ac:dyDescent="0.25">
      <c r="A185" s="8">
        <v>42803.749652777777</v>
      </c>
      <c r="B185" s="20" t="s">
        <v>271</v>
      </c>
      <c r="C185" s="20" t="s">
        <v>765</v>
      </c>
      <c r="D185" s="150">
        <v>2480000</v>
      </c>
      <c r="E185" s="20" t="s">
        <v>530</v>
      </c>
      <c r="F185" s="20" t="s">
        <v>210</v>
      </c>
      <c r="G185" s="8" t="str">
        <f t="shared" si="2"/>
        <v>WHITED DUSTIN</v>
      </c>
    </row>
    <row r="186" spans="1:7" x14ac:dyDescent="0.25">
      <c r="A186" s="8">
        <v>42803.750416666669</v>
      </c>
      <c r="B186" s="20" t="s">
        <v>271</v>
      </c>
      <c r="C186" s="20" t="s">
        <v>765</v>
      </c>
      <c r="D186" s="150">
        <v>2480000</v>
      </c>
      <c r="E186" s="20" t="s">
        <v>530</v>
      </c>
      <c r="F186" s="20" t="s">
        <v>210</v>
      </c>
      <c r="G186" s="8" t="str">
        <f t="shared" si="2"/>
        <v>WHITED DUSTIN</v>
      </c>
    </row>
    <row r="187" spans="1:7" x14ac:dyDescent="0.25">
      <c r="A187" s="8">
        <v>42803.751516203702</v>
      </c>
      <c r="B187" s="20" t="s">
        <v>271</v>
      </c>
      <c r="C187" s="20" t="s">
        <v>765</v>
      </c>
      <c r="D187" s="150">
        <v>2480000</v>
      </c>
      <c r="E187" s="20" t="s">
        <v>530</v>
      </c>
      <c r="F187" s="20" t="s">
        <v>210</v>
      </c>
      <c r="G187" s="8" t="str">
        <f t="shared" si="2"/>
        <v>WHITED DUSTIN</v>
      </c>
    </row>
    <row r="188" spans="1:7" x14ac:dyDescent="0.25">
      <c r="A188" s="8">
        <v>42803.756180555552</v>
      </c>
      <c r="B188" s="20" t="s">
        <v>602</v>
      </c>
      <c r="C188" s="20" t="s">
        <v>766</v>
      </c>
      <c r="D188" s="150">
        <v>1800000</v>
      </c>
      <c r="E188" s="20" t="s">
        <v>224</v>
      </c>
      <c r="F188" s="20" t="s">
        <v>225</v>
      </c>
      <c r="G188" s="8" t="str">
        <f t="shared" si="2"/>
        <v>CHANDLER KELVIN</v>
      </c>
    </row>
    <row r="189" spans="1:7" x14ac:dyDescent="0.25">
      <c r="A189" s="8">
        <v>42803.756666666668</v>
      </c>
      <c r="B189" s="20" t="s">
        <v>271</v>
      </c>
      <c r="C189" s="20" t="s">
        <v>767</v>
      </c>
      <c r="D189" s="150">
        <v>2360000</v>
      </c>
      <c r="E189" s="20" t="s">
        <v>711</v>
      </c>
      <c r="F189" s="20" t="s">
        <v>712</v>
      </c>
      <c r="G189" s="8" t="str">
        <f t="shared" si="2"/>
        <v>BRANDNER MELINDA</v>
      </c>
    </row>
    <row r="190" spans="1:7" x14ac:dyDescent="0.25">
      <c r="A190" s="8">
        <v>42803.757673611108</v>
      </c>
      <c r="B190" s="20" t="s">
        <v>190</v>
      </c>
      <c r="C190" s="20" t="s">
        <v>768</v>
      </c>
      <c r="D190" s="150">
        <v>1180000</v>
      </c>
      <c r="E190" s="20" t="s">
        <v>456</v>
      </c>
      <c r="F190" s="20" t="s">
        <v>457</v>
      </c>
      <c r="G190" s="8" t="str">
        <f t="shared" si="2"/>
        <v>LEVERE CRAIG</v>
      </c>
    </row>
    <row r="191" spans="1:7" x14ac:dyDescent="0.25">
      <c r="A191" s="8">
        <v>42803.758171296293</v>
      </c>
      <c r="B191" s="20" t="s">
        <v>420</v>
      </c>
      <c r="C191" s="20" t="s">
        <v>765</v>
      </c>
      <c r="D191" s="150">
        <v>2480000</v>
      </c>
      <c r="E191" s="20" t="s">
        <v>530</v>
      </c>
      <c r="F191" s="20" t="s">
        <v>210</v>
      </c>
      <c r="G191" s="8" t="str">
        <f t="shared" si="2"/>
        <v>WHITED DUSTIN</v>
      </c>
    </row>
    <row r="192" spans="1:7" x14ac:dyDescent="0.25">
      <c r="A192" s="8">
        <v>42803.760717592595</v>
      </c>
      <c r="B192" s="20" t="s">
        <v>594</v>
      </c>
      <c r="C192" s="20" t="s">
        <v>769</v>
      </c>
      <c r="D192" s="150">
        <v>1740000</v>
      </c>
      <c r="E192" s="20" t="s">
        <v>458</v>
      </c>
      <c r="F192" s="20" t="s">
        <v>459</v>
      </c>
      <c r="G192" s="8" t="str">
        <f t="shared" si="2"/>
        <v>STORY SAMANTHA</v>
      </c>
    </row>
    <row r="193" spans="1:7" x14ac:dyDescent="0.25">
      <c r="A193" s="8">
        <v>42803.766122685185</v>
      </c>
      <c r="B193" s="20" t="s">
        <v>501</v>
      </c>
      <c r="C193" s="20" t="s">
        <v>770</v>
      </c>
      <c r="D193" s="150">
        <v>2040000</v>
      </c>
      <c r="E193" s="20" t="s">
        <v>279</v>
      </c>
      <c r="F193" s="20" t="s">
        <v>280</v>
      </c>
      <c r="G193" s="8" t="str">
        <f t="shared" si="2"/>
        <v>MOSES BRADLEY</v>
      </c>
    </row>
    <row r="194" spans="1:7" x14ac:dyDescent="0.25">
      <c r="A194" s="8">
        <v>42803.766250000001</v>
      </c>
      <c r="B194" s="20" t="s">
        <v>252</v>
      </c>
      <c r="C194" s="20" t="s">
        <v>771</v>
      </c>
      <c r="D194" s="150">
        <v>1120000</v>
      </c>
      <c r="E194" s="20" t="s">
        <v>265</v>
      </c>
      <c r="F194" s="20" t="s">
        <v>266</v>
      </c>
      <c r="G194" s="8" t="str">
        <f t="shared" si="2"/>
        <v>LOCKLEAR TRAVIS</v>
      </c>
    </row>
    <row r="195" spans="1:7" x14ac:dyDescent="0.25">
      <c r="A195" s="8">
        <v>42803.769259259258</v>
      </c>
      <c r="B195" s="20" t="s">
        <v>418</v>
      </c>
      <c r="C195" s="20" t="s">
        <v>607</v>
      </c>
      <c r="D195" s="150">
        <v>1810000</v>
      </c>
      <c r="E195" s="20" t="s">
        <v>201</v>
      </c>
      <c r="F195" s="20" t="s">
        <v>197</v>
      </c>
      <c r="G195" s="8" t="str">
        <f t="shared" ref="G195:G258" si="3">E195&amp;" "&amp;F195</f>
        <v>NEWELL JAMES</v>
      </c>
    </row>
    <row r="196" spans="1:7" x14ac:dyDescent="0.25">
      <c r="A196" s="8">
        <v>42803.770624999997</v>
      </c>
      <c r="B196" s="20" t="s">
        <v>589</v>
      </c>
      <c r="C196" s="20" t="s">
        <v>772</v>
      </c>
      <c r="D196" s="150">
        <v>2150000</v>
      </c>
      <c r="E196" s="20" t="s">
        <v>526</v>
      </c>
      <c r="F196" s="20" t="s">
        <v>527</v>
      </c>
      <c r="G196" s="8" t="str">
        <f t="shared" si="3"/>
        <v>SWANSON BRYCE</v>
      </c>
    </row>
    <row r="197" spans="1:7" x14ac:dyDescent="0.25">
      <c r="A197" s="8">
        <v>42803.776203703703</v>
      </c>
      <c r="B197" s="20" t="s">
        <v>231</v>
      </c>
      <c r="C197" s="20" t="s">
        <v>773</v>
      </c>
      <c r="D197" s="150">
        <v>1180000</v>
      </c>
      <c r="E197" s="20" t="s">
        <v>456</v>
      </c>
      <c r="F197" s="20" t="s">
        <v>457</v>
      </c>
      <c r="G197" s="8" t="str">
        <f t="shared" si="3"/>
        <v>LEVERE CRAIG</v>
      </c>
    </row>
    <row r="198" spans="1:7" x14ac:dyDescent="0.25">
      <c r="A198" s="8">
        <v>42803.779803240737</v>
      </c>
      <c r="B198" s="20" t="s">
        <v>510</v>
      </c>
      <c r="C198" s="20" t="s">
        <v>774</v>
      </c>
      <c r="D198" s="150">
        <v>2230000</v>
      </c>
      <c r="E198" s="20" t="s">
        <v>701</v>
      </c>
      <c r="F198" s="20" t="s">
        <v>200</v>
      </c>
      <c r="G198" s="8" t="str">
        <f t="shared" si="3"/>
        <v>SMITH MICHAEL</v>
      </c>
    </row>
    <row r="199" spans="1:7" x14ac:dyDescent="0.25">
      <c r="A199" s="8">
        <v>42803.780821759261</v>
      </c>
      <c r="B199" s="20" t="s">
        <v>600</v>
      </c>
      <c r="C199" s="20" t="s">
        <v>775</v>
      </c>
      <c r="D199" s="150">
        <v>1740000</v>
      </c>
      <c r="E199" s="20" t="s">
        <v>458</v>
      </c>
      <c r="F199" s="20" t="s">
        <v>459</v>
      </c>
      <c r="G199" s="8" t="str">
        <f t="shared" si="3"/>
        <v>STORY SAMANTHA</v>
      </c>
    </row>
    <row r="200" spans="1:7" x14ac:dyDescent="0.25">
      <c r="A200" s="8">
        <v>42803.789907407408</v>
      </c>
      <c r="B200" s="20" t="s">
        <v>596</v>
      </c>
      <c r="C200" s="20" t="s">
        <v>776</v>
      </c>
      <c r="D200" s="150">
        <v>1800000</v>
      </c>
      <c r="E200" s="20" t="s">
        <v>224</v>
      </c>
      <c r="F200" s="20" t="s">
        <v>225</v>
      </c>
      <c r="G200" s="8" t="str">
        <f t="shared" si="3"/>
        <v>CHANDLER KELVIN</v>
      </c>
    </row>
    <row r="201" spans="1:7" x14ac:dyDescent="0.25">
      <c r="A201" s="8">
        <v>42803.79142361111</v>
      </c>
      <c r="B201" s="20" t="s">
        <v>272</v>
      </c>
      <c r="C201" s="20" t="s">
        <v>777</v>
      </c>
      <c r="D201" s="150">
        <v>2360000</v>
      </c>
      <c r="E201" s="20" t="s">
        <v>711</v>
      </c>
      <c r="F201" s="20" t="s">
        <v>712</v>
      </c>
      <c r="G201" s="8" t="str">
        <f t="shared" si="3"/>
        <v>BRANDNER MELINDA</v>
      </c>
    </row>
    <row r="202" spans="1:7" x14ac:dyDescent="0.25">
      <c r="A202" s="26">
        <v>42803.793900462966</v>
      </c>
      <c r="B202" s="20" t="s">
        <v>419</v>
      </c>
      <c r="C202" s="20" t="s">
        <v>778</v>
      </c>
      <c r="D202" s="150">
        <v>2480000</v>
      </c>
      <c r="E202" s="20" t="s">
        <v>530</v>
      </c>
      <c r="F202" s="20" t="s">
        <v>210</v>
      </c>
      <c r="G202" s="8" t="str">
        <f t="shared" si="3"/>
        <v>WHITED DUSTIN</v>
      </c>
    </row>
    <row r="203" spans="1:7" x14ac:dyDescent="0.25">
      <c r="A203" s="8">
        <v>42803.797233796293</v>
      </c>
      <c r="B203" s="20" t="s">
        <v>594</v>
      </c>
      <c r="C203" s="20" t="s">
        <v>608</v>
      </c>
      <c r="D203" s="150">
        <v>1740000</v>
      </c>
      <c r="E203" s="20" t="s">
        <v>458</v>
      </c>
      <c r="F203" s="20" t="s">
        <v>459</v>
      </c>
      <c r="G203" s="8" t="str">
        <f t="shared" si="3"/>
        <v>STORY SAMANTHA</v>
      </c>
    </row>
    <row r="204" spans="1:7" x14ac:dyDescent="0.25">
      <c r="A204" s="8">
        <v>42803.799074074072</v>
      </c>
      <c r="B204" s="20" t="s">
        <v>254</v>
      </c>
      <c r="C204" s="20" t="s">
        <v>779</v>
      </c>
      <c r="D204" s="150">
        <v>1120000</v>
      </c>
      <c r="E204" s="20" t="s">
        <v>265</v>
      </c>
      <c r="F204" s="20" t="s">
        <v>266</v>
      </c>
      <c r="G204" s="8" t="str">
        <f t="shared" si="3"/>
        <v>LOCKLEAR TRAVIS</v>
      </c>
    </row>
    <row r="205" spans="1:7" x14ac:dyDescent="0.25">
      <c r="A205" s="8">
        <v>42803.801932870374</v>
      </c>
      <c r="B205" s="20" t="s">
        <v>618</v>
      </c>
      <c r="C205" s="20" t="s">
        <v>780</v>
      </c>
      <c r="D205" s="150">
        <v>2150000</v>
      </c>
      <c r="E205" s="20" t="s">
        <v>526</v>
      </c>
      <c r="F205" s="20" t="s">
        <v>527</v>
      </c>
      <c r="G205" s="8" t="str">
        <f t="shared" si="3"/>
        <v>SWANSON BRYCE</v>
      </c>
    </row>
    <row r="206" spans="1:7" x14ac:dyDescent="0.25">
      <c r="A206" s="8">
        <v>42803.803483796299</v>
      </c>
      <c r="B206" s="20" t="s">
        <v>190</v>
      </c>
      <c r="C206" s="20" t="s">
        <v>781</v>
      </c>
      <c r="D206" s="150">
        <v>2440000</v>
      </c>
      <c r="E206" s="20" t="s">
        <v>782</v>
      </c>
      <c r="F206" s="20" t="s">
        <v>783</v>
      </c>
      <c r="G206" s="8" t="str">
        <f t="shared" si="3"/>
        <v>LOPES KIMBERLY</v>
      </c>
    </row>
    <row r="207" spans="1:7" x14ac:dyDescent="0.25">
      <c r="A207" s="8">
        <v>42803.809965277775</v>
      </c>
      <c r="B207" s="20" t="s">
        <v>278</v>
      </c>
      <c r="C207" s="20" t="s">
        <v>784</v>
      </c>
      <c r="D207" s="150">
        <v>1810000</v>
      </c>
      <c r="E207" s="20" t="s">
        <v>201</v>
      </c>
      <c r="F207" s="20" t="s">
        <v>197</v>
      </c>
      <c r="G207" s="8" t="str">
        <f t="shared" si="3"/>
        <v>NEWELL JAMES</v>
      </c>
    </row>
    <row r="208" spans="1:7" x14ac:dyDescent="0.25">
      <c r="A208" s="8">
        <v>42803.817511574074</v>
      </c>
      <c r="B208" s="20" t="s">
        <v>231</v>
      </c>
      <c r="C208" s="20" t="s">
        <v>785</v>
      </c>
      <c r="D208" s="150">
        <v>2440000</v>
      </c>
      <c r="E208" s="20" t="s">
        <v>782</v>
      </c>
      <c r="F208" s="20" t="s">
        <v>783</v>
      </c>
      <c r="G208" s="8" t="str">
        <f t="shared" si="3"/>
        <v>LOPES KIMBERLY</v>
      </c>
    </row>
    <row r="209" spans="1:7" x14ac:dyDescent="0.25">
      <c r="A209" s="8">
        <v>42803.824525462966</v>
      </c>
      <c r="B209" s="20" t="s">
        <v>271</v>
      </c>
      <c r="C209" s="20" t="s">
        <v>786</v>
      </c>
      <c r="D209" s="150">
        <v>2360000</v>
      </c>
      <c r="E209" s="20" t="s">
        <v>711</v>
      </c>
      <c r="F209" s="20" t="s">
        <v>712</v>
      </c>
      <c r="G209" s="8" t="str">
        <f t="shared" si="3"/>
        <v>BRANDNER MELINDA</v>
      </c>
    </row>
    <row r="210" spans="1:7" x14ac:dyDescent="0.25">
      <c r="A210" s="8">
        <v>42803.828194444446</v>
      </c>
      <c r="B210" s="20" t="s">
        <v>602</v>
      </c>
      <c r="C210" s="20" t="s">
        <v>787</v>
      </c>
      <c r="D210" s="150">
        <v>1800000</v>
      </c>
      <c r="E210" s="20" t="s">
        <v>224</v>
      </c>
      <c r="F210" s="20" t="s">
        <v>225</v>
      </c>
      <c r="G210" s="8" t="str">
        <f t="shared" si="3"/>
        <v>CHANDLER KELVIN</v>
      </c>
    </row>
    <row r="211" spans="1:7" x14ac:dyDescent="0.25">
      <c r="A211" s="8">
        <v>42803.829444444447</v>
      </c>
      <c r="B211" s="20" t="s">
        <v>420</v>
      </c>
      <c r="C211" s="20" t="s">
        <v>788</v>
      </c>
      <c r="D211" s="150">
        <v>2540000</v>
      </c>
      <c r="E211" s="20" t="s">
        <v>214</v>
      </c>
      <c r="F211" s="20" t="s">
        <v>215</v>
      </c>
      <c r="G211" s="8" t="str">
        <f t="shared" si="3"/>
        <v>MCREYNOLDS KYLE</v>
      </c>
    </row>
    <row r="212" spans="1:7" x14ac:dyDescent="0.25">
      <c r="A212" s="8">
        <v>42803.839259259257</v>
      </c>
      <c r="B212" s="20" t="s">
        <v>190</v>
      </c>
      <c r="C212" s="20" t="s">
        <v>789</v>
      </c>
      <c r="D212" s="150">
        <v>1180000</v>
      </c>
      <c r="E212" s="20" t="s">
        <v>456</v>
      </c>
      <c r="F212" s="20" t="s">
        <v>457</v>
      </c>
      <c r="G212" s="8" t="str">
        <f t="shared" si="3"/>
        <v>LEVERE CRAIG</v>
      </c>
    </row>
    <row r="213" spans="1:7" x14ac:dyDescent="0.25">
      <c r="A213" s="8">
        <v>42803.842870370368</v>
      </c>
      <c r="B213" s="20" t="s">
        <v>589</v>
      </c>
      <c r="C213" s="20" t="s">
        <v>790</v>
      </c>
      <c r="D213" s="150">
        <v>2150000</v>
      </c>
      <c r="E213" s="20" t="s">
        <v>526</v>
      </c>
      <c r="F213" s="20" t="s">
        <v>527</v>
      </c>
      <c r="G213" s="8" t="str">
        <f t="shared" si="3"/>
        <v>SWANSON BRYCE</v>
      </c>
    </row>
    <row r="214" spans="1:7" x14ac:dyDescent="0.25">
      <c r="A214" s="8">
        <v>42803.84878472222</v>
      </c>
      <c r="B214" s="20" t="s">
        <v>418</v>
      </c>
      <c r="C214" s="20" t="s">
        <v>791</v>
      </c>
      <c r="D214" s="150">
        <v>1810000</v>
      </c>
      <c r="E214" s="20" t="s">
        <v>201</v>
      </c>
      <c r="F214" s="20" t="s">
        <v>197</v>
      </c>
      <c r="G214" s="8" t="str">
        <f t="shared" si="3"/>
        <v>NEWELL JAMES</v>
      </c>
    </row>
    <row r="215" spans="1:7" x14ac:dyDescent="0.25">
      <c r="A215" s="8">
        <v>42803.8596875</v>
      </c>
      <c r="B215" s="20" t="s">
        <v>231</v>
      </c>
      <c r="C215" s="20" t="s">
        <v>792</v>
      </c>
      <c r="D215" s="150">
        <v>1180000</v>
      </c>
      <c r="E215" s="20" t="s">
        <v>456</v>
      </c>
      <c r="F215" s="20" t="s">
        <v>457</v>
      </c>
      <c r="G215" s="8" t="str">
        <f t="shared" si="3"/>
        <v>LEVERE CRAIG</v>
      </c>
    </row>
    <row r="216" spans="1:7" x14ac:dyDescent="0.25">
      <c r="A216" s="8">
        <v>42803.866793981484</v>
      </c>
      <c r="B216" s="20" t="s">
        <v>419</v>
      </c>
      <c r="C216" s="20" t="s">
        <v>793</v>
      </c>
      <c r="D216" s="150">
        <v>2540000</v>
      </c>
      <c r="E216" s="20" t="s">
        <v>214</v>
      </c>
      <c r="F216" s="20" t="s">
        <v>215</v>
      </c>
      <c r="G216" s="8" t="str">
        <f t="shared" si="3"/>
        <v>MCREYNOLDS KYLE</v>
      </c>
    </row>
    <row r="217" spans="1:7" x14ac:dyDescent="0.25">
      <c r="A217" s="8">
        <v>42803.867951388886</v>
      </c>
      <c r="B217" s="20" t="s">
        <v>596</v>
      </c>
      <c r="C217" s="20" t="s">
        <v>794</v>
      </c>
      <c r="D217" s="150">
        <v>2620000</v>
      </c>
      <c r="E217" s="20" t="s">
        <v>762</v>
      </c>
      <c r="F217" s="20" t="s">
        <v>763</v>
      </c>
      <c r="G217" s="8" t="str">
        <f t="shared" si="3"/>
        <v>PERKINS DARREN</v>
      </c>
    </row>
    <row r="218" spans="1:7" x14ac:dyDescent="0.25">
      <c r="A218" s="8">
        <v>42803.878750000003</v>
      </c>
      <c r="B218" s="20" t="s">
        <v>190</v>
      </c>
      <c r="C218" s="20" t="s">
        <v>609</v>
      </c>
      <c r="D218" s="150">
        <v>1740000</v>
      </c>
      <c r="E218" s="20" t="s">
        <v>458</v>
      </c>
      <c r="F218" s="20" t="s">
        <v>459</v>
      </c>
      <c r="G218" s="8" t="str">
        <f t="shared" si="3"/>
        <v>STORY SAMANTHA</v>
      </c>
    </row>
    <row r="219" spans="1:7" x14ac:dyDescent="0.25">
      <c r="A219" s="8">
        <v>42803.887569444443</v>
      </c>
      <c r="B219" s="20" t="s">
        <v>278</v>
      </c>
      <c r="C219" s="20" t="s">
        <v>795</v>
      </c>
      <c r="D219" s="150">
        <v>1810000</v>
      </c>
      <c r="E219" s="20" t="s">
        <v>201</v>
      </c>
      <c r="F219" s="20" t="s">
        <v>197</v>
      </c>
      <c r="G219" s="8" t="str">
        <f t="shared" si="3"/>
        <v>NEWELL JAMES</v>
      </c>
    </row>
    <row r="220" spans="1:7" x14ac:dyDescent="0.25">
      <c r="A220" s="8">
        <v>42803.892638888887</v>
      </c>
      <c r="B220" s="20" t="s">
        <v>618</v>
      </c>
      <c r="C220" s="20" t="s">
        <v>796</v>
      </c>
      <c r="D220" s="150">
        <v>2150000</v>
      </c>
      <c r="E220" s="20" t="s">
        <v>526</v>
      </c>
      <c r="F220" s="20" t="s">
        <v>527</v>
      </c>
      <c r="G220" s="8" t="str">
        <f t="shared" si="3"/>
        <v>SWANSON BRYCE</v>
      </c>
    </row>
    <row r="221" spans="1:7" x14ac:dyDescent="0.25">
      <c r="A221" s="8">
        <v>42803.901550925926</v>
      </c>
      <c r="B221" s="20" t="s">
        <v>231</v>
      </c>
      <c r="C221" s="20" t="s">
        <v>610</v>
      </c>
      <c r="D221" s="150">
        <v>1740000</v>
      </c>
      <c r="E221" s="20" t="s">
        <v>458</v>
      </c>
      <c r="F221" s="20" t="s">
        <v>459</v>
      </c>
      <c r="G221" s="8" t="str">
        <f t="shared" si="3"/>
        <v>STORY SAMANTHA</v>
      </c>
    </row>
    <row r="222" spans="1:7" x14ac:dyDescent="0.25">
      <c r="A222" s="8">
        <v>42803.91002314815</v>
      </c>
      <c r="B222" s="20" t="s">
        <v>602</v>
      </c>
      <c r="C222" s="20" t="s">
        <v>797</v>
      </c>
      <c r="D222" s="150">
        <v>2620000</v>
      </c>
      <c r="E222" s="20" t="s">
        <v>762</v>
      </c>
      <c r="F222" s="20" t="s">
        <v>763</v>
      </c>
      <c r="G222" s="8" t="str">
        <f t="shared" si="3"/>
        <v>PERKINS DARREN</v>
      </c>
    </row>
    <row r="223" spans="1:7" x14ac:dyDescent="0.25">
      <c r="A223" s="8">
        <v>42803.912002314813</v>
      </c>
      <c r="B223" s="20" t="s">
        <v>420</v>
      </c>
      <c r="C223" s="20" t="s">
        <v>798</v>
      </c>
      <c r="D223" s="150">
        <v>2540000</v>
      </c>
      <c r="E223" s="20" t="s">
        <v>214</v>
      </c>
      <c r="F223" s="20" t="s">
        <v>215</v>
      </c>
      <c r="G223" s="8" t="str">
        <f t="shared" si="3"/>
        <v>MCREYNOLDS KYLE</v>
      </c>
    </row>
    <row r="224" spans="1:7" x14ac:dyDescent="0.25">
      <c r="A224" s="8">
        <v>42803.922662037039</v>
      </c>
      <c r="B224" t="s">
        <v>418</v>
      </c>
      <c r="C224" t="s">
        <v>611</v>
      </c>
      <c r="D224" s="150">
        <v>1810000</v>
      </c>
      <c r="E224" t="s">
        <v>201</v>
      </c>
      <c r="F224" s="20" t="s">
        <v>197</v>
      </c>
      <c r="G224" s="8" t="str">
        <f t="shared" si="3"/>
        <v>NEWELL JAMES</v>
      </c>
    </row>
    <row r="225" spans="1:7" x14ac:dyDescent="0.25">
      <c r="A225" s="8">
        <v>42803.928530092591</v>
      </c>
      <c r="B225" t="s">
        <v>190</v>
      </c>
      <c r="C225" t="s">
        <v>799</v>
      </c>
      <c r="D225" s="150">
        <v>1740000</v>
      </c>
      <c r="E225" t="s">
        <v>458</v>
      </c>
      <c r="F225" s="20" t="s">
        <v>459</v>
      </c>
      <c r="G225" s="8" t="str">
        <f t="shared" si="3"/>
        <v>STORY SAMANTHA</v>
      </c>
    </row>
    <row r="226" spans="1:7" x14ac:dyDescent="0.25">
      <c r="A226" s="8">
        <v>42803.928854166668</v>
      </c>
      <c r="B226" t="s">
        <v>589</v>
      </c>
      <c r="C226" t="s">
        <v>800</v>
      </c>
      <c r="D226" s="150">
        <v>2150000</v>
      </c>
      <c r="E226" t="s">
        <v>526</v>
      </c>
      <c r="F226" s="20" t="s">
        <v>527</v>
      </c>
      <c r="G226" s="8" t="str">
        <f t="shared" si="3"/>
        <v>SWANSON BRYCE</v>
      </c>
    </row>
    <row r="227" spans="1:7" x14ac:dyDescent="0.25">
      <c r="A227" s="8">
        <v>42803.935682870368</v>
      </c>
      <c r="B227" t="s">
        <v>499</v>
      </c>
      <c r="C227" t="s">
        <v>801</v>
      </c>
      <c r="D227" s="150">
        <v>2730000</v>
      </c>
      <c r="E227" t="s">
        <v>240</v>
      </c>
      <c r="F227" s="20" t="s">
        <v>241</v>
      </c>
      <c r="G227" s="8" t="str">
        <f t="shared" si="3"/>
        <v>YANG JAN</v>
      </c>
    </row>
    <row r="228" spans="1:7" x14ac:dyDescent="0.25">
      <c r="A228" s="8">
        <v>42803.943680555552</v>
      </c>
      <c r="B228" t="s">
        <v>231</v>
      </c>
      <c r="C228" t="s">
        <v>802</v>
      </c>
      <c r="D228" s="150">
        <v>1740000</v>
      </c>
      <c r="E228" t="s">
        <v>458</v>
      </c>
      <c r="F228" s="20" t="s">
        <v>459</v>
      </c>
      <c r="G228" s="8" t="str">
        <f t="shared" si="3"/>
        <v>STORY SAMANTHA</v>
      </c>
    </row>
    <row r="229" spans="1:7" x14ac:dyDescent="0.25">
      <c r="A229" s="8">
        <v>42803.95076388889</v>
      </c>
      <c r="B229" t="s">
        <v>596</v>
      </c>
      <c r="C229" t="s">
        <v>612</v>
      </c>
      <c r="D229" s="150">
        <v>1800000</v>
      </c>
      <c r="E229" t="s">
        <v>224</v>
      </c>
      <c r="F229" s="20" t="s">
        <v>225</v>
      </c>
      <c r="G229" s="8" t="str">
        <f t="shared" si="3"/>
        <v>CHANDLER KELVIN</v>
      </c>
    </row>
    <row r="230" spans="1:7" x14ac:dyDescent="0.25">
      <c r="A230" s="8">
        <v>42803.951550925929</v>
      </c>
      <c r="B230" t="s">
        <v>504</v>
      </c>
      <c r="C230" t="s">
        <v>803</v>
      </c>
      <c r="D230" s="150">
        <v>2730000</v>
      </c>
      <c r="E230" t="s">
        <v>240</v>
      </c>
      <c r="F230" s="20" t="s">
        <v>241</v>
      </c>
      <c r="G230" s="8" t="str">
        <f t="shared" si="3"/>
        <v>YANG JAN</v>
      </c>
    </row>
    <row r="231" spans="1:7" x14ac:dyDescent="0.25">
      <c r="A231" s="8">
        <v>42803.951608796298</v>
      </c>
      <c r="B231" t="s">
        <v>190</v>
      </c>
      <c r="C231" t="s">
        <v>802</v>
      </c>
      <c r="D231" s="150">
        <v>1740000</v>
      </c>
      <c r="E231" t="s">
        <v>458</v>
      </c>
      <c r="F231" s="20" t="s">
        <v>459</v>
      </c>
      <c r="G231" s="8" t="str">
        <f t="shared" si="3"/>
        <v>STORY SAMANTHA</v>
      </c>
    </row>
    <row r="232" spans="1:7" x14ac:dyDescent="0.25">
      <c r="A232" s="8">
        <v>42803.952465277776</v>
      </c>
      <c r="B232" t="s">
        <v>504</v>
      </c>
      <c r="C232" t="s">
        <v>803</v>
      </c>
      <c r="D232" s="150">
        <v>2730000</v>
      </c>
      <c r="E232" t="s">
        <v>240</v>
      </c>
      <c r="F232" s="20" t="s">
        <v>241</v>
      </c>
      <c r="G232" s="8" t="str">
        <f t="shared" si="3"/>
        <v>YANG JAN</v>
      </c>
    </row>
    <row r="233" spans="1:7" x14ac:dyDescent="0.25">
      <c r="A233" s="8">
        <v>42803.953240740739</v>
      </c>
      <c r="B233" t="s">
        <v>419</v>
      </c>
      <c r="C233" t="s">
        <v>804</v>
      </c>
      <c r="D233" s="150">
        <v>2540000</v>
      </c>
      <c r="E233" t="s">
        <v>214</v>
      </c>
      <c r="F233" s="20" t="s">
        <v>215</v>
      </c>
      <c r="G233" s="8" t="str">
        <f t="shared" si="3"/>
        <v>MCREYNOLDS KYLE</v>
      </c>
    </row>
    <row r="234" spans="1:7" x14ac:dyDescent="0.25">
      <c r="A234" s="8">
        <v>42803.95511574074</v>
      </c>
      <c r="B234" t="s">
        <v>504</v>
      </c>
      <c r="C234" t="s">
        <v>803</v>
      </c>
      <c r="D234" s="150">
        <v>2730000</v>
      </c>
      <c r="E234" t="s">
        <v>240</v>
      </c>
      <c r="F234" s="20" t="s">
        <v>241</v>
      </c>
      <c r="G234" s="8" t="str">
        <f t="shared" si="3"/>
        <v>YANG JAN</v>
      </c>
    </row>
    <row r="235" spans="1:7" x14ac:dyDescent="0.25">
      <c r="A235" s="8">
        <v>42803.966319444444</v>
      </c>
      <c r="B235" t="s">
        <v>618</v>
      </c>
      <c r="C235" t="s">
        <v>805</v>
      </c>
      <c r="D235" s="150">
        <v>2150000</v>
      </c>
      <c r="E235" t="s">
        <v>526</v>
      </c>
      <c r="F235" s="20" t="s">
        <v>527</v>
      </c>
      <c r="G235" s="8" t="str">
        <f t="shared" si="3"/>
        <v>SWANSON BRYCE</v>
      </c>
    </row>
    <row r="236" spans="1:7" x14ac:dyDescent="0.25">
      <c r="A236" s="8">
        <v>42803.97760416667</v>
      </c>
      <c r="B236" t="s">
        <v>278</v>
      </c>
      <c r="C236" t="s">
        <v>806</v>
      </c>
      <c r="D236" s="150">
        <v>1810000</v>
      </c>
      <c r="E236" t="s">
        <v>201</v>
      </c>
      <c r="F236" s="20" t="s">
        <v>197</v>
      </c>
      <c r="G236" s="8" t="str">
        <f t="shared" si="3"/>
        <v>NEWELL JAMES</v>
      </c>
    </row>
    <row r="237" spans="1:7" x14ac:dyDescent="0.25">
      <c r="A237" s="8">
        <v>42803.991446759261</v>
      </c>
      <c r="B237" t="s">
        <v>420</v>
      </c>
      <c r="C237" t="s">
        <v>807</v>
      </c>
      <c r="D237" s="150">
        <v>2540000</v>
      </c>
      <c r="E237" t="s">
        <v>214</v>
      </c>
      <c r="F237" s="20" t="s">
        <v>215</v>
      </c>
      <c r="G237" s="8" t="str">
        <f t="shared" si="3"/>
        <v>MCREYNOLDS KYLE</v>
      </c>
    </row>
    <row r="238" spans="1:7" x14ac:dyDescent="0.25">
      <c r="A238" s="8">
        <v>42803.996504629627</v>
      </c>
      <c r="B238" t="s">
        <v>602</v>
      </c>
      <c r="C238" t="s">
        <v>613</v>
      </c>
      <c r="D238" s="150">
        <v>1800000</v>
      </c>
      <c r="E238" t="s">
        <v>224</v>
      </c>
      <c r="F238" s="20" t="s">
        <v>225</v>
      </c>
      <c r="G238" s="8" t="str">
        <f t="shared" si="3"/>
        <v>CHANDLER KELVIN</v>
      </c>
    </row>
    <row r="239" spans="1:7" x14ac:dyDescent="0.25">
      <c r="A239" s="8">
        <v>42803.996979166666</v>
      </c>
      <c r="B239" t="s">
        <v>499</v>
      </c>
      <c r="C239" t="s">
        <v>801</v>
      </c>
      <c r="D239" s="150">
        <v>2730000</v>
      </c>
      <c r="E239" t="s">
        <v>240</v>
      </c>
      <c r="F239" s="20" t="s">
        <v>241</v>
      </c>
      <c r="G239" s="8" t="str">
        <f t="shared" si="3"/>
        <v>YANG JAN</v>
      </c>
    </row>
    <row r="240" spans="1:7" x14ac:dyDescent="0.25">
      <c r="A240" s="8">
        <v>42804.015717592592</v>
      </c>
      <c r="B240" t="s">
        <v>418</v>
      </c>
      <c r="C240" t="s">
        <v>808</v>
      </c>
      <c r="D240" s="150">
        <v>1810000</v>
      </c>
      <c r="E240" t="s">
        <v>201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42804.018888888888</v>
      </c>
      <c r="B241" t="s">
        <v>589</v>
      </c>
      <c r="C241" t="s">
        <v>809</v>
      </c>
      <c r="D241" s="150">
        <v>2150000</v>
      </c>
      <c r="E241" t="s">
        <v>526</v>
      </c>
      <c r="F241" s="20" t="s">
        <v>527</v>
      </c>
      <c r="G241" s="8" t="str">
        <f t="shared" si="3"/>
        <v>SWANSON BRYCE</v>
      </c>
    </row>
    <row r="242" spans="1:7" x14ac:dyDescent="0.25">
      <c r="A242" s="8">
        <v>42804.033171296294</v>
      </c>
      <c r="B242" t="s">
        <v>419</v>
      </c>
      <c r="C242" t="s">
        <v>810</v>
      </c>
      <c r="D242" s="150">
        <v>2540000</v>
      </c>
      <c r="E242" t="s">
        <v>214</v>
      </c>
      <c r="F242" s="20" t="s">
        <v>215</v>
      </c>
      <c r="G242" s="8" t="str">
        <f t="shared" si="3"/>
        <v>MCREYNOLDS KYLE</v>
      </c>
    </row>
    <row r="243" spans="1:7" x14ac:dyDescent="0.25">
      <c r="A243" s="8">
        <v>42804.042881944442</v>
      </c>
      <c r="B243" t="s">
        <v>504</v>
      </c>
      <c r="C243" t="s">
        <v>803</v>
      </c>
      <c r="D243" s="150">
        <v>2730000</v>
      </c>
      <c r="E243" t="s">
        <v>240</v>
      </c>
      <c r="F243" s="20" t="s">
        <v>241</v>
      </c>
      <c r="G243" s="8" t="str">
        <f t="shared" si="3"/>
        <v>YANG JAN</v>
      </c>
    </row>
    <row r="244" spans="1:7" x14ac:dyDescent="0.25">
      <c r="A244" s="8">
        <v>42804.04996527778</v>
      </c>
      <c r="B244" t="s">
        <v>278</v>
      </c>
      <c r="C244" t="s">
        <v>811</v>
      </c>
      <c r="D244" s="150">
        <v>1810000</v>
      </c>
      <c r="E244" t="s">
        <v>201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42804.052256944444</v>
      </c>
      <c r="B245" t="s">
        <v>618</v>
      </c>
      <c r="C245" t="s">
        <v>812</v>
      </c>
      <c r="D245" s="150">
        <v>2150000</v>
      </c>
      <c r="E245" t="s">
        <v>526</v>
      </c>
      <c r="F245" s="20" t="s">
        <v>527</v>
      </c>
      <c r="G245" s="8" t="str">
        <f t="shared" si="3"/>
        <v>SWANSON BRYCE</v>
      </c>
    </row>
    <row r="246" spans="1:7" x14ac:dyDescent="0.25">
      <c r="A246" s="8">
        <v>42804.060740740744</v>
      </c>
      <c r="B246" t="s">
        <v>499</v>
      </c>
      <c r="C246" t="s">
        <v>801</v>
      </c>
      <c r="D246" s="150">
        <v>2730000</v>
      </c>
      <c r="E246" t="s">
        <v>240</v>
      </c>
      <c r="F246" s="20" t="s">
        <v>241</v>
      </c>
      <c r="G246" s="8" t="str">
        <f t="shared" si="3"/>
        <v>YANG JAN</v>
      </c>
    </row>
    <row r="247" spans="1:7" x14ac:dyDescent="0.25">
      <c r="A247" s="8">
        <v>42804.071018518516</v>
      </c>
      <c r="B247" t="s">
        <v>420</v>
      </c>
      <c r="C247" t="s">
        <v>813</v>
      </c>
      <c r="D247" s="150">
        <v>2540000</v>
      </c>
      <c r="E247" t="s">
        <v>214</v>
      </c>
      <c r="F247" s="20" t="s">
        <v>215</v>
      </c>
      <c r="G247" s="8" t="str">
        <f t="shared" si="3"/>
        <v>MCREYNOLDS KYLE</v>
      </c>
    </row>
    <row r="248" spans="1:7" x14ac:dyDescent="0.25">
      <c r="A248" s="8">
        <v>42804.073368055557</v>
      </c>
      <c r="B248" t="s">
        <v>504</v>
      </c>
      <c r="C248" t="s">
        <v>803</v>
      </c>
      <c r="D248" s="150">
        <v>2730000</v>
      </c>
      <c r="E248" t="s">
        <v>240</v>
      </c>
      <c r="F248" s="20" t="s">
        <v>241</v>
      </c>
      <c r="G248" s="8" t="str">
        <f t="shared" si="3"/>
        <v>YANG JAN</v>
      </c>
    </row>
    <row r="249" spans="1:7" x14ac:dyDescent="0.25">
      <c r="A249" s="8">
        <v>42804.085752314815</v>
      </c>
      <c r="B249" t="s">
        <v>499</v>
      </c>
      <c r="C249" t="s">
        <v>801</v>
      </c>
      <c r="D249" s="150">
        <v>2730000</v>
      </c>
      <c r="E249" t="s">
        <v>240</v>
      </c>
      <c r="F249" s="20" t="s">
        <v>241</v>
      </c>
      <c r="G249" s="8" t="str">
        <f t="shared" si="3"/>
        <v>YANG JAN</v>
      </c>
    </row>
    <row r="250" spans="1:7" x14ac:dyDescent="0.25">
      <c r="A250" s="8">
        <v>42804.091979166667</v>
      </c>
      <c r="B250" t="s">
        <v>589</v>
      </c>
      <c r="C250" t="s">
        <v>814</v>
      </c>
      <c r="D250" s="150">
        <v>2150000</v>
      </c>
      <c r="E250" t="s">
        <v>526</v>
      </c>
      <c r="F250" s="20" t="s">
        <v>527</v>
      </c>
      <c r="G250" s="8" t="str">
        <f t="shared" si="3"/>
        <v>SWANSON BRYCE</v>
      </c>
    </row>
    <row r="251" spans="1:7" x14ac:dyDescent="0.25">
      <c r="A251" s="8">
        <v>42804.100902777776</v>
      </c>
      <c r="B251" t="s">
        <v>504</v>
      </c>
      <c r="C251" t="s">
        <v>803</v>
      </c>
      <c r="D251" s="150">
        <v>2730000</v>
      </c>
      <c r="E251" t="s">
        <v>240</v>
      </c>
      <c r="F251" s="20" t="s">
        <v>241</v>
      </c>
      <c r="G251" s="8" t="str">
        <f t="shared" si="3"/>
        <v>YANG JAN</v>
      </c>
    </row>
    <row r="252" spans="1:7" x14ac:dyDescent="0.25">
      <c r="A252" s="8">
        <v>42804.11314814815</v>
      </c>
      <c r="B252" t="s">
        <v>499</v>
      </c>
      <c r="C252" t="s">
        <v>801</v>
      </c>
      <c r="D252" s="150">
        <v>2730000</v>
      </c>
      <c r="E252" t="s">
        <v>240</v>
      </c>
      <c r="F252" s="20" t="s">
        <v>241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444</v>
      </c>
      <c r="C253" t="s">
        <v>533</v>
      </c>
      <c r="D253" s="150">
        <v>2150000</v>
      </c>
      <c r="E253" t="s">
        <v>526</v>
      </c>
      <c r="F253" s="20" t="s">
        <v>527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500</v>
      </c>
      <c r="C254" t="s">
        <v>534</v>
      </c>
      <c r="D254" s="150">
        <v>2450000</v>
      </c>
      <c r="E254" t="s">
        <v>528</v>
      </c>
      <c r="F254" s="20" t="s">
        <v>529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499</v>
      </c>
      <c r="C255" t="s">
        <v>531</v>
      </c>
      <c r="D255" s="150">
        <v>2730000</v>
      </c>
      <c r="E255" t="s">
        <v>240</v>
      </c>
      <c r="F255" s="20" t="s">
        <v>241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212</v>
      </c>
      <c r="C256" t="s">
        <v>535</v>
      </c>
      <c r="D256" s="150">
        <v>1810000</v>
      </c>
      <c r="E256" t="s">
        <v>201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427</v>
      </c>
      <c r="C257" t="s">
        <v>536</v>
      </c>
      <c r="D257" s="150">
        <v>1740000</v>
      </c>
      <c r="E257" t="s">
        <v>458</v>
      </c>
      <c r="F257" s="20" t="s">
        <v>459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501</v>
      </c>
      <c r="C258" t="s">
        <v>537</v>
      </c>
      <c r="D258" s="150">
        <v>2450000</v>
      </c>
      <c r="E258" t="s">
        <v>528</v>
      </c>
      <c r="F258" s="20" t="s">
        <v>529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504</v>
      </c>
      <c r="C259" t="s">
        <v>532</v>
      </c>
      <c r="D259" s="150">
        <v>2730000</v>
      </c>
      <c r="E259" t="s">
        <v>240</v>
      </c>
      <c r="F259" s="20" t="s">
        <v>241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211</v>
      </c>
      <c r="C260" t="s">
        <v>538</v>
      </c>
      <c r="D260" s="150">
        <v>1810000</v>
      </c>
      <c r="E260" t="s">
        <v>201</v>
      </c>
      <c r="F260" s="20" t="s">
        <v>197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252</v>
      </c>
      <c r="C261" t="s">
        <v>253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245</v>
      </c>
      <c r="C262" t="s">
        <v>255</v>
      </c>
      <c r="D262" s="150">
        <v>2670000</v>
      </c>
      <c r="E262" t="s">
        <v>221</v>
      </c>
      <c r="F262" s="20" t="s">
        <v>222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211</v>
      </c>
      <c r="C263" t="s">
        <v>257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246</v>
      </c>
      <c r="C264" t="s">
        <v>256</v>
      </c>
      <c r="D264" s="150">
        <v>2730000</v>
      </c>
      <c r="E264" t="s">
        <v>240</v>
      </c>
      <c r="F264" s="20" t="s">
        <v>241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231</v>
      </c>
      <c r="C265" t="s">
        <v>258</v>
      </c>
      <c r="D265" s="150">
        <v>2220000</v>
      </c>
      <c r="E265" t="s">
        <v>209</v>
      </c>
      <c r="F265" s="20" t="s">
        <v>210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245</v>
      </c>
      <c r="C266" t="s">
        <v>255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246</v>
      </c>
      <c r="C267" t="s">
        <v>256</v>
      </c>
      <c r="D267" s="150">
        <v>2730000</v>
      </c>
      <c r="E267" t="s">
        <v>240</v>
      </c>
      <c r="F267" s="20" t="s">
        <v>241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254</v>
      </c>
      <c r="C268" t="s">
        <v>259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245</v>
      </c>
      <c r="C269" t="s">
        <v>255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246</v>
      </c>
      <c r="C270" t="s">
        <v>256</v>
      </c>
      <c r="D270" s="150">
        <v>2730000</v>
      </c>
      <c r="E270" t="s">
        <v>240</v>
      </c>
      <c r="F270" s="20" t="s">
        <v>241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260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245</v>
      </c>
      <c r="C272" t="s">
        <v>255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246</v>
      </c>
      <c r="C273" t="s">
        <v>256</v>
      </c>
      <c r="D273" s="150">
        <v>2730000</v>
      </c>
      <c r="E273" t="s">
        <v>240</v>
      </c>
      <c r="F273" s="20" t="s">
        <v>241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42.92</v>
      </c>
      <c r="B2" s="168">
        <v>0.52</v>
      </c>
      <c r="C2" s="168">
        <v>15.94</v>
      </c>
      <c r="D2" s="8">
        <v>42803</v>
      </c>
      <c r="E2" s="168">
        <v>0.31</v>
      </c>
      <c r="F2" s="168" t="s">
        <v>428</v>
      </c>
      <c r="G2" s="168">
        <v>315.64999999999998</v>
      </c>
      <c r="H2" s="168">
        <v>0</v>
      </c>
      <c r="I2" s="168">
        <v>0</v>
      </c>
      <c r="J2" s="168">
        <v>1017.73</v>
      </c>
      <c r="K2" s="168" t="s">
        <v>429</v>
      </c>
      <c r="L2" s="168">
        <v>44.88</v>
      </c>
      <c r="M2" s="168">
        <v>1489042800</v>
      </c>
      <c r="N2" s="168">
        <v>6.46</v>
      </c>
      <c r="O2" s="168">
        <v>227</v>
      </c>
      <c r="P2" s="168">
        <v>4.04</v>
      </c>
      <c r="Q2"/>
      <c r="R2"/>
    </row>
    <row r="3" spans="1:18" x14ac:dyDescent="0.25">
      <c r="A3" s="168">
        <v>40.79</v>
      </c>
      <c r="B3" s="168">
        <v>0.48</v>
      </c>
      <c r="C3" s="168">
        <v>15.48</v>
      </c>
      <c r="D3" s="8">
        <v>42803.041666666664</v>
      </c>
      <c r="E3" s="168">
        <v>0.32</v>
      </c>
      <c r="F3" s="168" t="s">
        <v>428</v>
      </c>
      <c r="G3" s="168">
        <v>315.62</v>
      </c>
      <c r="H3" s="168">
        <v>0</v>
      </c>
      <c r="I3" s="168">
        <v>0</v>
      </c>
      <c r="J3" s="168">
        <v>1018.52</v>
      </c>
      <c r="K3" s="168" t="s">
        <v>429</v>
      </c>
      <c r="L3" s="168">
        <v>43.15</v>
      </c>
      <c r="M3" s="168">
        <v>1489046400</v>
      </c>
      <c r="N3" s="168">
        <v>6.36</v>
      </c>
      <c r="O3" s="168">
        <v>195</v>
      </c>
      <c r="P3" s="168">
        <v>4.2</v>
      </c>
      <c r="Q3"/>
      <c r="R3"/>
    </row>
    <row r="4" spans="1:18" x14ac:dyDescent="0.25">
      <c r="A4" s="168">
        <v>39.06</v>
      </c>
      <c r="B4" s="168">
        <v>0.44</v>
      </c>
      <c r="C4" s="168">
        <v>14.81</v>
      </c>
      <c r="D4" s="8">
        <v>42803.083333333336</v>
      </c>
      <c r="E4" s="168">
        <v>0.34</v>
      </c>
      <c r="F4" s="168" t="s">
        <v>428</v>
      </c>
      <c r="G4" s="168">
        <v>315.58999999999997</v>
      </c>
      <c r="H4" s="168">
        <v>0</v>
      </c>
      <c r="I4" s="168">
        <v>0</v>
      </c>
      <c r="J4" s="168">
        <v>1019.14</v>
      </c>
      <c r="K4" s="168" t="s">
        <v>429</v>
      </c>
      <c r="L4" s="168">
        <v>41</v>
      </c>
      <c r="M4" s="168">
        <v>1489050000</v>
      </c>
      <c r="N4" s="168">
        <v>6.08</v>
      </c>
      <c r="O4" s="168">
        <v>206</v>
      </c>
      <c r="P4" s="168">
        <v>3.4</v>
      </c>
      <c r="Q4"/>
      <c r="R4"/>
    </row>
    <row r="5" spans="1:18" x14ac:dyDescent="0.25">
      <c r="A5" s="168">
        <v>37.380000000000003</v>
      </c>
      <c r="B5" s="168">
        <v>0.5</v>
      </c>
      <c r="C5" s="168">
        <v>14.07</v>
      </c>
      <c r="D5" s="8">
        <v>42803.125</v>
      </c>
      <c r="E5" s="168">
        <v>0.34</v>
      </c>
      <c r="F5" s="168" t="s">
        <v>428</v>
      </c>
      <c r="G5" s="168">
        <v>315.52</v>
      </c>
      <c r="H5" s="168">
        <v>0</v>
      </c>
      <c r="I5" s="168">
        <v>0</v>
      </c>
      <c r="J5" s="168">
        <v>1018.42</v>
      </c>
      <c r="K5" s="168" t="s">
        <v>429</v>
      </c>
      <c r="L5" s="168">
        <v>40.21</v>
      </c>
      <c r="M5" s="168">
        <v>1489053600</v>
      </c>
      <c r="N5" s="168">
        <v>5.93</v>
      </c>
      <c r="O5" s="168">
        <v>224</v>
      </c>
      <c r="P5" s="168">
        <v>4.2</v>
      </c>
      <c r="Q5"/>
      <c r="R5"/>
    </row>
    <row r="6" spans="1:18" x14ac:dyDescent="0.25">
      <c r="A6" s="168">
        <v>37.880000000000003</v>
      </c>
      <c r="B6" s="168">
        <v>0.64</v>
      </c>
      <c r="C6" s="168">
        <v>15.3</v>
      </c>
      <c r="D6" s="8">
        <v>42803.166666666664</v>
      </c>
      <c r="E6" s="168">
        <v>0.36</v>
      </c>
      <c r="F6" s="168" t="s">
        <v>428</v>
      </c>
      <c r="G6" s="168">
        <v>315.5</v>
      </c>
      <c r="H6" s="168">
        <v>0</v>
      </c>
      <c r="I6" s="168">
        <v>0</v>
      </c>
      <c r="J6" s="168">
        <v>1016.94</v>
      </c>
      <c r="K6" s="168" t="s">
        <v>815</v>
      </c>
      <c r="L6" s="168">
        <v>40.020000000000003</v>
      </c>
      <c r="M6" s="168">
        <v>1489057200</v>
      </c>
      <c r="N6" s="168">
        <v>6.26</v>
      </c>
      <c r="O6" s="168">
        <v>245</v>
      </c>
      <c r="P6" s="168">
        <v>3.46</v>
      </c>
      <c r="Q6"/>
      <c r="R6"/>
    </row>
    <row r="7" spans="1:18" x14ac:dyDescent="0.25">
      <c r="A7" s="168">
        <v>39.840000000000003</v>
      </c>
      <c r="B7" s="168">
        <v>0.69</v>
      </c>
      <c r="C7" s="168">
        <v>16.760000000000002</v>
      </c>
      <c r="D7" s="8">
        <v>42803.208333333336</v>
      </c>
      <c r="E7" s="168">
        <v>0.39</v>
      </c>
      <c r="F7" s="168" t="s">
        <v>428</v>
      </c>
      <c r="G7" s="168">
        <v>315.83999999999997</v>
      </c>
      <c r="H7" s="168">
        <v>0</v>
      </c>
      <c r="I7" s="168">
        <v>0</v>
      </c>
      <c r="J7" s="168">
        <v>1016.37</v>
      </c>
      <c r="K7" s="168" t="s">
        <v>815</v>
      </c>
      <c r="L7" s="168">
        <v>39.840000000000003</v>
      </c>
      <c r="M7" s="168">
        <v>1489060800</v>
      </c>
      <c r="N7" s="168">
        <v>7.43</v>
      </c>
      <c r="O7" s="168">
        <v>238</v>
      </c>
      <c r="P7" s="168">
        <v>2.57</v>
      </c>
      <c r="Q7"/>
      <c r="R7"/>
    </row>
    <row r="8" spans="1:18" x14ac:dyDescent="0.25">
      <c r="A8" s="168">
        <v>38.200000000000003</v>
      </c>
      <c r="B8" s="168">
        <v>0.63</v>
      </c>
      <c r="C8" s="168">
        <v>14.33</v>
      </c>
      <c r="D8" s="8">
        <v>42803.25</v>
      </c>
      <c r="E8" s="168">
        <v>0.34</v>
      </c>
      <c r="F8" s="168" t="s">
        <v>428</v>
      </c>
      <c r="G8" s="168">
        <v>316.79000000000002</v>
      </c>
      <c r="H8" s="168">
        <v>0</v>
      </c>
      <c r="I8" s="168">
        <v>0</v>
      </c>
      <c r="J8" s="168">
        <v>1016.61</v>
      </c>
      <c r="K8" s="168" t="s">
        <v>815</v>
      </c>
      <c r="L8" s="168">
        <v>40.24</v>
      </c>
      <c r="M8" s="168">
        <v>1489064400</v>
      </c>
      <c r="N8" s="168">
        <v>10</v>
      </c>
      <c r="O8" s="168">
        <v>236</v>
      </c>
      <c r="P8" s="168">
        <v>3.39</v>
      </c>
      <c r="Q8"/>
      <c r="R8"/>
    </row>
    <row r="9" spans="1:18" x14ac:dyDescent="0.25">
      <c r="A9" s="168">
        <v>41.09</v>
      </c>
      <c r="B9" s="168">
        <v>0.51</v>
      </c>
      <c r="C9" s="168">
        <v>14.95</v>
      </c>
      <c r="D9" s="8">
        <v>42803.291666666664</v>
      </c>
      <c r="E9" s="168">
        <v>0.34</v>
      </c>
      <c r="F9" s="168" t="s">
        <v>430</v>
      </c>
      <c r="G9" s="168">
        <v>318.11</v>
      </c>
      <c r="H9" s="168">
        <v>0</v>
      </c>
      <c r="I9" s="168">
        <v>0</v>
      </c>
      <c r="J9" s="168">
        <v>1017.3</v>
      </c>
      <c r="K9" s="168" t="s">
        <v>429</v>
      </c>
      <c r="L9" s="168">
        <v>41.09</v>
      </c>
      <c r="M9" s="168">
        <v>1489068000</v>
      </c>
      <c r="N9" s="168">
        <v>5.89</v>
      </c>
      <c r="O9" s="168">
        <v>247</v>
      </c>
      <c r="P9" s="168">
        <v>2.69</v>
      </c>
      <c r="Q9"/>
      <c r="R9"/>
    </row>
    <row r="10" spans="1:18" x14ac:dyDescent="0.25">
      <c r="A10" s="168">
        <v>42.18</v>
      </c>
      <c r="B10" s="168">
        <v>0.43</v>
      </c>
      <c r="C10" s="168">
        <v>15.33</v>
      </c>
      <c r="D10" s="8">
        <v>42803.333333333336</v>
      </c>
      <c r="E10" s="168">
        <v>0.33</v>
      </c>
      <c r="F10" s="168" t="s">
        <v>430</v>
      </c>
      <c r="G10" s="168">
        <v>319.45</v>
      </c>
      <c r="H10" s="168">
        <v>0</v>
      </c>
      <c r="I10" s="168">
        <v>0</v>
      </c>
      <c r="J10" s="168">
        <v>1017.62</v>
      </c>
      <c r="K10" s="168" t="s">
        <v>429</v>
      </c>
      <c r="L10" s="168">
        <v>42.18</v>
      </c>
      <c r="M10" s="168">
        <v>1489071600</v>
      </c>
      <c r="N10" s="168">
        <v>5.41</v>
      </c>
      <c r="O10" s="168">
        <v>261</v>
      </c>
      <c r="P10" s="168">
        <v>1.8</v>
      </c>
      <c r="Q10"/>
      <c r="R10"/>
    </row>
    <row r="11" spans="1:18" x14ac:dyDescent="0.25">
      <c r="A11" s="168">
        <v>47.54</v>
      </c>
      <c r="B11" s="168">
        <v>0.45</v>
      </c>
      <c r="C11" s="168">
        <v>19.239999999999998</v>
      </c>
      <c r="D11" s="8">
        <v>42803.375</v>
      </c>
      <c r="E11" s="168">
        <v>0.31</v>
      </c>
      <c r="F11" s="168" t="s">
        <v>430</v>
      </c>
      <c r="G11" s="168">
        <v>321.02999999999997</v>
      </c>
      <c r="H11" s="168">
        <v>0</v>
      </c>
      <c r="I11" s="168">
        <v>0</v>
      </c>
      <c r="J11" s="168">
        <v>1016.56</v>
      </c>
      <c r="K11" s="168" t="s">
        <v>429</v>
      </c>
      <c r="L11" s="168">
        <v>48.5</v>
      </c>
      <c r="M11" s="168">
        <v>1489075200</v>
      </c>
      <c r="N11" s="168">
        <v>5.25</v>
      </c>
      <c r="O11" s="168">
        <v>268</v>
      </c>
      <c r="P11" s="168">
        <v>3.5</v>
      </c>
      <c r="Q11"/>
      <c r="R11"/>
    </row>
    <row r="12" spans="1:18" x14ac:dyDescent="0.25">
      <c r="A12" s="168">
        <v>56.09</v>
      </c>
      <c r="B12" s="168">
        <v>0.46</v>
      </c>
      <c r="C12" s="168">
        <v>15.65</v>
      </c>
      <c r="D12" s="8">
        <v>42803.416666666664</v>
      </c>
      <c r="E12" s="168">
        <v>0.2</v>
      </c>
      <c r="F12" s="168" t="s">
        <v>430</v>
      </c>
      <c r="G12" s="168">
        <v>322.63</v>
      </c>
      <c r="H12" s="168">
        <v>0</v>
      </c>
      <c r="I12" s="168">
        <v>0</v>
      </c>
      <c r="J12" s="168">
        <v>1015.32</v>
      </c>
      <c r="K12" s="168" t="s">
        <v>429</v>
      </c>
      <c r="L12" s="168">
        <v>56.09</v>
      </c>
      <c r="M12" s="168">
        <v>1489078800</v>
      </c>
      <c r="N12" s="168">
        <v>5.23</v>
      </c>
      <c r="O12" s="168">
        <v>275</v>
      </c>
      <c r="P12" s="168">
        <v>5.1100000000000003</v>
      </c>
      <c r="Q12"/>
      <c r="R12"/>
    </row>
    <row r="13" spans="1:18" x14ac:dyDescent="0.25">
      <c r="A13" s="168">
        <v>61.73</v>
      </c>
      <c r="B13" s="168">
        <v>0.49</v>
      </c>
      <c r="C13" s="168">
        <v>17.079999999999998</v>
      </c>
      <c r="D13" s="8">
        <v>42803.458333333336</v>
      </c>
      <c r="E13" s="168">
        <v>0.17</v>
      </c>
      <c r="F13" s="168" t="s">
        <v>430</v>
      </c>
      <c r="G13" s="168">
        <v>323.25</v>
      </c>
      <c r="H13" s="168">
        <v>0</v>
      </c>
      <c r="I13" s="168">
        <v>0</v>
      </c>
      <c r="J13" s="168">
        <v>1014.58</v>
      </c>
      <c r="K13" s="168" t="s">
        <v>429</v>
      </c>
      <c r="L13" s="168">
        <v>61.73</v>
      </c>
      <c r="M13" s="168">
        <v>1489082400</v>
      </c>
      <c r="N13" s="168">
        <v>10</v>
      </c>
      <c r="O13" s="168">
        <v>303</v>
      </c>
      <c r="P13" s="168">
        <v>9.58</v>
      </c>
      <c r="Q13"/>
      <c r="R13"/>
    </row>
    <row r="14" spans="1:18" x14ac:dyDescent="0.25">
      <c r="A14" s="168">
        <v>66.930000000000007</v>
      </c>
      <c r="B14" s="168">
        <v>0.45</v>
      </c>
      <c r="C14" s="168">
        <v>15.78</v>
      </c>
      <c r="D14" s="8">
        <v>42803.5</v>
      </c>
      <c r="E14" s="168">
        <v>0.14000000000000001</v>
      </c>
      <c r="F14" s="168" t="s">
        <v>430</v>
      </c>
      <c r="G14" s="168">
        <v>322.11</v>
      </c>
      <c r="H14" s="168">
        <v>0</v>
      </c>
      <c r="I14" s="168">
        <v>0</v>
      </c>
      <c r="J14" s="168">
        <v>1014.59</v>
      </c>
      <c r="K14" s="168" t="s">
        <v>429</v>
      </c>
      <c r="L14" s="168">
        <v>66.930000000000007</v>
      </c>
      <c r="M14" s="168">
        <v>1489086000</v>
      </c>
      <c r="N14" s="168">
        <v>5.27</v>
      </c>
      <c r="O14" s="168">
        <v>328</v>
      </c>
      <c r="P14" s="168">
        <v>10.199999999999999</v>
      </c>
      <c r="Q14"/>
      <c r="R14"/>
    </row>
    <row r="15" spans="1:18" x14ac:dyDescent="0.25">
      <c r="A15" s="168">
        <v>68.55</v>
      </c>
      <c r="B15" s="168">
        <v>0.39</v>
      </c>
      <c r="C15" s="168">
        <v>18.010000000000002</v>
      </c>
      <c r="D15" s="8">
        <v>42803.541666666664</v>
      </c>
      <c r="E15" s="168">
        <v>0.14000000000000001</v>
      </c>
      <c r="F15" s="168" t="s">
        <v>430</v>
      </c>
      <c r="G15" s="168">
        <v>319.99</v>
      </c>
      <c r="H15" s="168">
        <v>0</v>
      </c>
      <c r="I15" s="168">
        <v>0</v>
      </c>
      <c r="J15" s="168">
        <v>1015.07</v>
      </c>
      <c r="K15" s="168" t="s">
        <v>429</v>
      </c>
      <c r="L15" s="168">
        <v>68.55</v>
      </c>
      <c r="M15" s="168">
        <v>1489089600</v>
      </c>
      <c r="N15" s="168">
        <v>5.34</v>
      </c>
      <c r="O15" s="168">
        <v>329</v>
      </c>
      <c r="P15" s="168">
        <v>11.18</v>
      </c>
      <c r="Q15"/>
      <c r="R15"/>
    </row>
    <row r="16" spans="1:18" x14ac:dyDescent="0.25">
      <c r="A16" s="168">
        <v>69.63</v>
      </c>
      <c r="B16" s="168">
        <v>0.37</v>
      </c>
      <c r="C16" s="168">
        <v>18.010000000000002</v>
      </c>
      <c r="D16" s="8">
        <v>42803.583333333336</v>
      </c>
      <c r="E16" s="168">
        <v>0.14000000000000001</v>
      </c>
      <c r="F16" s="168" t="s">
        <v>430</v>
      </c>
      <c r="G16" s="168">
        <v>318.25</v>
      </c>
      <c r="H16" s="168">
        <v>0</v>
      </c>
      <c r="I16" s="168">
        <v>0</v>
      </c>
      <c r="J16" s="168">
        <v>1015.66</v>
      </c>
      <c r="K16" s="168" t="s">
        <v>429</v>
      </c>
      <c r="L16" s="168">
        <v>69.63</v>
      </c>
      <c r="M16" s="168">
        <v>1489093200</v>
      </c>
      <c r="N16" s="168">
        <v>5.24</v>
      </c>
      <c r="O16" s="168">
        <v>334</v>
      </c>
      <c r="P16" s="168">
        <v>10.57</v>
      </c>
      <c r="Q16"/>
      <c r="R16"/>
    </row>
    <row r="17" spans="1:18" x14ac:dyDescent="0.25">
      <c r="A17" s="168">
        <v>69.25</v>
      </c>
      <c r="B17" s="168">
        <v>0.39</v>
      </c>
      <c r="C17" s="168">
        <v>17.77</v>
      </c>
      <c r="D17" s="8">
        <v>42803.625</v>
      </c>
      <c r="E17" s="168">
        <v>0.14000000000000001</v>
      </c>
      <c r="F17" s="168" t="s">
        <v>430</v>
      </c>
      <c r="G17" s="168">
        <v>317.43</v>
      </c>
      <c r="H17" s="168">
        <v>0</v>
      </c>
      <c r="I17" s="168">
        <v>0</v>
      </c>
      <c r="J17" s="168">
        <v>1015.4</v>
      </c>
      <c r="K17" s="168" t="s">
        <v>429</v>
      </c>
      <c r="L17" s="168">
        <v>69.25</v>
      </c>
      <c r="M17" s="168">
        <v>1489096800</v>
      </c>
      <c r="N17" s="168">
        <v>5.28</v>
      </c>
      <c r="O17" s="168">
        <v>329</v>
      </c>
      <c r="P17" s="168">
        <v>9.51</v>
      </c>
      <c r="Q17"/>
      <c r="R17"/>
    </row>
    <row r="18" spans="1:18" x14ac:dyDescent="0.25">
      <c r="A18" s="168">
        <v>67.239999999999995</v>
      </c>
      <c r="B18" s="168">
        <v>0.44</v>
      </c>
      <c r="C18" s="168">
        <v>19.190000000000001</v>
      </c>
      <c r="D18" s="8">
        <v>42803.666666666664</v>
      </c>
      <c r="E18" s="168">
        <v>0.16</v>
      </c>
      <c r="F18" s="168" t="s">
        <v>430</v>
      </c>
      <c r="G18" s="168">
        <v>316.99</v>
      </c>
      <c r="H18" s="168">
        <v>0</v>
      </c>
      <c r="I18" s="168">
        <v>0</v>
      </c>
      <c r="J18" s="168">
        <v>1015.18</v>
      </c>
      <c r="K18" s="168" t="s">
        <v>429</v>
      </c>
      <c r="L18" s="168">
        <v>67.239999999999995</v>
      </c>
      <c r="M18" s="168">
        <v>1489100400</v>
      </c>
      <c r="N18" s="168">
        <v>6.93</v>
      </c>
      <c r="O18" s="168">
        <v>327</v>
      </c>
      <c r="P18" s="168">
        <v>8.86</v>
      </c>
      <c r="Q18"/>
      <c r="R18"/>
    </row>
    <row r="19" spans="1:18" x14ac:dyDescent="0.25">
      <c r="A19" s="168">
        <v>65.209999999999994</v>
      </c>
      <c r="B19" s="168">
        <v>0.43</v>
      </c>
      <c r="C19" s="168">
        <v>18.02</v>
      </c>
      <c r="D19" s="8">
        <v>42803.708333333336</v>
      </c>
      <c r="E19" s="168">
        <v>0.16</v>
      </c>
      <c r="F19" s="168" t="s">
        <v>430</v>
      </c>
      <c r="G19" s="168">
        <v>316.69</v>
      </c>
      <c r="H19" s="168">
        <v>0</v>
      </c>
      <c r="I19" s="168">
        <v>0</v>
      </c>
      <c r="J19" s="168">
        <v>1015.6</v>
      </c>
      <c r="K19" s="168" t="s">
        <v>429</v>
      </c>
      <c r="L19" s="168">
        <v>65.209999999999994</v>
      </c>
      <c r="M19" s="168">
        <v>1489104000</v>
      </c>
      <c r="N19" s="168">
        <v>5.78</v>
      </c>
      <c r="O19" s="168">
        <v>338</v>
      </c>
      <c r="P19" s="168">
        <v>7.91</v>
      </c>
      <c r="Q19"/>
      <c r="R19"/>
    </row>
    <row r="20" spans="1:18" x14ac:dyDescent="0.25">
      <c r="A20" s="168">
        <v>63.63</v>
      </c>
      <c r="B20" s="168">
        <v>0.46</v>
      </c>
      <c r="C20" s="168">
        <v>18.899999999999999</v>
      </c>
      <c r="D20" s="8">
        <v>42803.75</v>
      </c>
      <c r="E20" s="168">
        <v>0.18</v>
      </c>
      <c r="F20" s="168" t="s">
        <v>428</v>
      </c>
      <c r="G20" s="168">
        <v>316.55</v>
      </c>
      <c r="H20" s="168">
        <v>0</v>
      </c>
      <c r="I20" s="168">
        <v>0</v>
      </c>
      <c r="J20" s="168">
        <v>1016.62</v>
      </c>
      <c r="K20" s="168" t="s">
        <v>429</v>
      </c>
      <c r="L20" s="168">
        <v>63.63</v>
      </c>
      <c r="M20" s="168">
        <v>1489107600</v>
      </c>
      <c r="N20" s="168">
        <v>6.43</v>
      </c>
      <c r="O20" s="168">
        <v>338</v>
      </c>
      <c r="P20" s="168">
        <v>5.38</v>
      </c>
      <c r="Q20"/>
      <c r="R20"/>
    </row>
    <row r="21" spans="1:18" x14ac:dyDescent="0.25">
      <c r="A21" s="168">
        <v>60.17</v>
      </c>
      <c r="B21" s="168">
        <v>0.56000000000000005</v>
      </c>
      <c r="C21" s="168">
        <v>18.98</v>
      </c>
      <c r="D21" s="8">
        <v>42803.791666666664</v>
      </c>
      <c r="E21" s="168">
        <v>0.2</v>
      </c>
      <c r="F21" s="168" t="s">
        <v>428</v>
      </c>
      <c r="G21" s="168">
        <v>316.54000000000002</v>
      </c>
      <c r="H21" s="168">
        <v>0</v>
      </c>
      <c r="I21" s="168">
        <v>0</v>
      </c>
      <c r="J21" s="168">
        <v>1018.43</v>
      </c>
      <c r="K21" s="168" t="s">
        <v>429</v>
      </c>
      <c r="L21" s="168">
        <v>60.17</v>
      </c>
      <c r="M21" s="168">
        <v>1489111200</v>
      </c>
      <c r="N21" s="168">
        <v>7.51</v>
      </c>
      <c r="O21" s="168">
        <v>5</v>
      </c>
      <c r="P21" s="168">
        <v>3.51</v>
      </c>
      <c r="Q21"/>
      <c r="R21"/>
    </row>
    <row r="22" spans="1:18" x14ac:dyDescent="0.25">
      <c r="A22" s="168">
        <v>55.33</v>
      </c>
      <c r="B22" s="168">
        <v>0.64</v>
      </c>
      <c r="C22" s="168">
        <v>23.29</v>
      </c>
      <c r="D22" s="8">
        <v>42803.833333333336</v>
      </c>
      <c r="E22" s="168">
        <v>0.28999999999999998</v>
      </c>
      <c r="F22" s="168" t="s">
        <v>428</v>
      </c>
      <c r="G22" s="168">
        <v>316.33</v>
      </c>
      <c r="H22" s="168">
        <v>0</v>
      </c>
      <c r="I22" s="168">
        <v>0</v>
      </c>
      <c r="J22" s="168">
        <v>1020.52</v>
      </c>
      <c r="K22" s="168" t="s">
        <v>815</v>
      </c>
      <c r="L22" s="168">
        <v>55.33</v>
      </c>
      <c r="M22" s="168">
        <v>1489114800</v>
      </c>
      <c r="N22" s="168">
        <v>10</v>
      </c>
      <c r="O22" s="168">
        <v>40</v>
      </c>
      <c r="P22" s="168">
        <v>4.24</v>
      </c>
      <c r="Q22"/>
      <c r="R22"/>
    </row>
    <row r="23" spans="1:18" x14ac:dyDescent="0.25">
      <c r="A23" s="168">
        <v>50.54</v>
      </c>
      <c r="B23" s="168">
        <v>0.78</v>
      </c>
      <c r="C23" s="168">
        <v>23.49</v>
      </c>
      <c r="D23" s="8">
        <v>42803.875</v>
      </c>
      <c r="E23" s="168">
        <v>0.34</v>
      </c>
      <c r="F23" s="168" t="s">
        <v>428</v>
      </c>
      <c r="G23" s="168">
        <v>315.70999999999998</v>
      </c>
      <c r="H23" s="168">
        <v>0</v>
      </c>
      <c r="I23" s="168">
        <v>0</v>
      </c>
      <c r="J23" s="168">
        <v>1022.9</v>
      </c>
      <c r="K23" s="168" t="s">
        <v>815</v>
      </c>
      <c r="L23" s="168">
        <v>50.54</v>
      </c>
      <c r="M23" s="168">
        <v>1489118400</v>
      </c>
      <c r="N23" s="168">
        <v>5.63</v>
      </c>
      <c r="O23" s="168">
        <v>39</v>
      </c>
      <c r="P23" s="168">
        <v>4.3</v>
      </c>
      <c r="Q23"/>
      <c r="R23"/>
    </row>
    <row r="24" spans="1:18" x14ac:dyDescent="0.25">
      <c r="A24" s="168">
        <v>43.89</v>
      </c>
      <c r="B24" s="168">
        <v>0.82</v>
      </c>
      <c r="C24" s="168">
        <v>25.51</v>
      </c>
      <c r="D24" s="8">
        <v>42803.916666666664</v>
      </c>
      <c r="E24" s="168">
        <v>0.44</v>
      </c>
      <c r="F24" s="168" t="s">
        <v>428</v>
      </c>
      <c r="G24" s="168">
        <v>314.89</v>
      </c>
      <c r="H24" s="168">
        <v>0</v>
      </c>
      <c r="I24" s="168">
        <v>0</v>
      </c>
      <c r="J24" s="168">
        <v>1025.3</v>
      </c>
      <c r="K24" s="168" t="s">
        <v>815</v>
      </c>
      <c r="L24" s="168">
        <v>46.23</v>
      </c>
      <c r="M24" s="168">
        <v>1489122000</v>
      </c>
      <c r="N24" s="168">
        <v>6.92</v>
      </c>
      <c r="O24" s="168">
        <v>29</v>
      </c>
      <c r="P24" s="168">
        <v>4.8499999999999996</v>
      </c>
      <c r="Q24"/>
      <c r="R24"/>
    </row>
    <row r="25" spans="1:18" x14ac:dyDescent="0.25">
      <c r="A25" s="168">
        <v>41.03</v>
      </c>
      <c r="B25" s="168">
        <v>0.8</v>
      </c>
      <c r="C25" s="168">
        <v>27.32</v>
      </c>
      <c r="D25" s="8">
        <v>42803.958333333336</v>
      </c>
      <c r="E25" s="168">
        <v>0.51</v>
      </c>
      <c r="F25" s="168" t="s">
        <v>428</v>
      </c>
      <c r="G25" s="168">
        <v>314.18</v>
      </c>
      <c r="H25" s="168">
        <v>0</v>
      </c>
      <c r="I25" s="168">
        <v>0</v>
      </c>
      <c r="J25" s="168">
        <v>1027.01</v>
      </c>
      <c r="K25" s="168" t="s">
        <v>815</v>
      </c>
      <c r="L25" s="168">
        <v>44.4</v>
      </c>
      <c r="M25" s="168">
        <v>1489125600</v>
      </c>
      <c r="N25" s="168">
        <v>10</v>
      </c>
      <c r="O25" s="168">
        <v>28</v>
      </c>
      <c r="P25" s="168">
        <v>5.95</v>
      </c>
      <c r="Q25"/>
      <c r="R25"/>
    </row>
    <row r="26" spans="1:18" x14ac:dyDescent="0.25">
      <c r="A26" s="168">
        <v>39.450000000000003</v>
      </c>
      <c r="B26" s="168">
        <v>0.72</v>
      </c>
      <c r="C26" s="168">
        <v>24.95</v>
      </c>
      <c r="D26" s="8">
        <v>42804</v>
      </c>
      <c r="E26" s="168">
        <v>0.52</v>
      </c>
      <c r="F26" s="168" t="s">
        <v>428</v>
      </c>
      <c r="G26" s="168">
        <v>313.77999999999997</v>
      </c>
      <c r="H26" s="168">
        <v>0</v>
      </c>
      <c r="I26" s="168">
        <v>0</v>
      </c>
      <c r="J26" s="168">
        <v>1027.1199999999999</v>
      </c>
      <c r="K26" s="168" t="s">
        <v>815</v>
      </c>
      <c r="L26" s="168">
        <v>41.03</v>
      </c>
      <c r="M26" s="168">
        <v>1489129200</v>
      </c>
      <c r="N26" s="168">
        <v>10</v>
      </c>
      <c r="O26" s="168">
        <v>41</v>
      </c>
      <c r="P26" s="168">
        <v>3.07</v>
      </c>
      <c r="Q26"/>
      <c r="R26"/>
    </row>
    <row r="27" spans="1:18" x14ac:dyDescent="0.25">
      <c r="A27" s="168">
        <v>37.479999999999997</v>
      </c>
      <c r="B27" s="168">
        <v>0.71</v>
      </c>
      <c r="C27" s="168">
        <v>23.76</v>
      </c>
      <c r="D27" s="8">
        <v>42804.041666666664</v>
      </c>
      <c r="E27" s="168">
        <v>0.56999999999999995</v>
      </c>
      <c r="F27" s="168" t="s">
        <v>428</v>
      </c>
      <c r="G27" s="168">
        <v>313.38</v>
      </c>
      <c r="H27" s="168">
        <v>0</v>
      </c>
      <c r="I27" s="168">
        <v>0</v>
      </c>
      <c r="J27" s="168">
        <v>1027.22</v>
      </c>
      <c r="K27" s="168" t="s">
        <v>815</v>
      </c>
      <c r="L27" s="168">
        <v>37.479999999999997</v>
      </c>
      <c r="M27" s="168">
        <v>1489132800</v>
      </c>
      <c r="N27" s="168">
        <v>5.54</v>
      </c>
      <c r="O27" s="168">
        <v>67</v>
      </c>
      <c r="P27" s="168">
        <v>1.57</v>
      </c>
      <c r="Q27"/>
      <c r="R27"/>
    </row>
    <row r="28" spans="1:18" x14ac:dyDescent="0.25">
      <c r="A28" s="168">
        <v>36.270000000000003</v>
      </c>
      <c r="B28" s="168">
        <v>0.6</v>
      </c>
      <c r="C28" s="168">
        <v>22.91</v>
      </c>
      <c r="D28" s="8">
        <v>42804.083333333336</v>
      </c>
      <c r="E28" s="168">
        <v>0.57999999999999996</v>
      </c>
      <c r="F28" s="168" t="s">
        <v>428</v>
      </c>
      <c r="G28" s="168">
        <v>312.98</v>
      </c>
      <c r="H28" s="168">
        <v>0</v>
      </c>
      <c r="I28" s="168">
        <v>0</v>
      </c>
      <c r="J28" s="168">
        <v>1027.3</v>
      </c>
      <c r="K28" s="168" t="s">
        <v>815</v>
      </c>
      <c r="L28" s="168">
        <v>36.270000000000003</v>
      </c>
      <c r="M28" s="168">
        <v>1489136400</v>
      </c>
      <c r="N28" s="168">
        <v>3.93</v>
      </c>
      <c r="O28" s="168">
        <v>123</v>
      </c>
      <c r="P28" s="168">
        <v>0.86</v>
      </c>
      <c r="Q28"/>
      <c r="R28"/>
    </row>
    <row r="29" spans="1:18" x14ac:dyDescent="0.25">
      <c r="A29" s="168">
        <v>33.99</v>
      </c>
      <c r="B29" s="168">
        <v>0.6</v>
      </c>
      <c r="C29" s="168">
        <v>20.81</v>
      </c>
      <c r="D29" s="8">
        <v>42804.125</v>
      </c>
      <c r="E29" s="168">
        <v>0.57999999999999996</v>
      </c>
      <c r="F29" s="168" t="s">
        <v>428</v>
      </c>
      <c r="G29" s="168">
        <v>312.54000000000002</v>
      </c>
      <c r="H29" s="168">
        <v>0</v>
      </c>
      <c r="I29" s="168">
        <v>0</v>
      </c>
      <c r="J29" s="168">
        <v>1027.1099999999999</v>
      </c>
      <c r="K29" s="168" t="s">
        <v>815</v>
      </c>
      <c r="L29" s="168">
        <v>33.99</v>
      </c>
      <c r="M29" s="168">
        <v>1489140000</v>
      </c>
      <c r="N29" s="168">
        <v>6.65</v>
      </c>
      <c r="O29" s="168">
        <v>140</v>
      </c>
      <c r="P29" s="168">
        <v>1.41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A6" sqref="A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483</v>
      </c>
      <c r="U1" s="219"/>
      <c r="V1" s="219"/>
      <c r="W1" s="219"/>
      <c r="X1" s="219"/>
    </row>
    <row r="2" spans="1:24" ht="15.75" thickBot="1" x14ac:dyDescent="0.3">
      <c r="A2" s="12">
        <v>42803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484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496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497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498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996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997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998</v>
      </c>
      <c r="J20" s="152" t="s">
        <v>87</v>
      </c>
      <c r="M20" s="168" t="s">
        <v>474</v>
      </c>
      <c r="N20" s="168" t="s">
        <v>474</v>
      </c>
      <c r="T20" s="197"/>
      <c r="U20" s="197"/>
      <c r="V20" s="197"/>
      <c r="W20" s="197"/>
      <c r="X20" s="197"/>
    </row>
    <row r="21" spans="3:24" x14ac:dyDescent="0.25">
      <c r="C21" t="s">
        <v>999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1000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1001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572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1002</v>
      </c>
      <c r="J25" s="152" t="s">
        <v>150</v>
      </c>
      <c r="M25" s="168" t="b">
        <v>1</v>
      </c>
    </row>
    <row r="26" spans="3:24" x14ac:dyDescent="0.25">
      <c r="C26" t="s">
        <v>1003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C:\Users\stu\Documents\GitHub\eaglep3-reporting\EC\2017-03-09-refined-times.txt</v>
      </c>
    </row>
    <row r="27" spans="3:24" x14ac:dyDescent="0.25">
      <c r="C27" t="s">
        <v>1004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C:\Users\stu\Documents\GitHub\eaglep3-reporting\EC\2017-03-09-Enforcements.txt</v>
      </c>
    </row>
    <row r="28" spans="3:24" x14ac:dyDescent="0.25">
      <c r="C28" t="s">
        <v>1005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C:\Users\stu\Documents\GitHub\eaglep3-reporting\EC\2017-03-09-Runs-refined.txt</v>
      </c>
    </row>
    <row r="29" spans="3:24" x14ac:dyDescent="0.25">
      <c r="C29" t="s">
        <v>573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C:\Users\stu\Documents\GitHub\eaglep3-reporting\EC\2017-03-09-Trips.txt</v>
      </c>
    </row>
    <row r="30" spans="3:24" x14ac:dyDescent="0.25">
      <c r="C30" t="s">
        <v>1006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C:\Users\stu\Documents\GitHub\eaglep3-reporting\EC\2017-03-09-Weather.txt</v>
      </c>
    </row>
    <row r="31" spans="3:24" x14ac:dyDescent="0.25">
      <c r="C31" t="s">
        <v>1007</v>
      </c>
      <c r="J31" s="152" t="s">
        <v>206</v>
      </c>
      <c r="M31" s="168" t="s">
        <v>207</v>
      </c>
    </row>
    <row r="32" spans="3:24" x14ac:dyDescent="0.25">
      <c r="C32" t="s">
        <v>1008</v>
      </c>
    </row>
    <row r="33" spans="3:3" x14ac:dyDescent="0.25">
      <c r="C33" t="s">
        <v>1009</v>
      </c>
    </row>
    <row r="34" spans="3:3" x14ac:dyDescent="0.25">
      <c r="C34" t="s">
        <v>1010</v>
      </c>
    </row>
    <row r="35" spans="3:3" x14ac:dyDescent="0.25">
      <c r="C35" t="s">
        <v>1011</v>
      </c>
    </row>
    <row r="36" spans="3:3" x14ac:dyDescent="0.25">
      <c r="C36" t="s">
        <v>1012</v>
      </c>
    </row>
    <row r="37" spans="3:3" x14ac:dyDescent="0.25">
      <c r="C37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288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289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290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291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292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293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294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295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296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297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298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299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300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301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302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303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304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305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306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307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308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309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310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311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312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313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314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315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316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317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318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319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320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321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322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323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324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325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326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327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328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329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330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331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332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333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334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335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336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337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338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339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340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341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342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343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344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345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346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347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348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349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350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351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352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353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354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355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356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357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358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359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360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361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362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363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364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365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366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367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368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369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370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371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372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373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374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375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376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377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378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379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380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381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382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383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384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385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386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387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388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389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390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391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392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393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394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395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396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397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398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399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400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401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402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403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404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405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406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407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408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409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410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411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412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413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414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415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416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417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2017-03-10T13:56:43Z</dcterms:modified>
</cp:coreProperties>
</file>