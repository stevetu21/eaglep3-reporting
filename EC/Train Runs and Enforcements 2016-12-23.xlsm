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8" i="9" l="1"/>
  <c r="C88" i="9"/>
  <c r="B89" i="9"/>
  <c r="C90" i="9" s="1"/>
  <c r="B90" i="9"/>
  <c r="B91" i="9"/>
  <c r="C92" i="9" s="1"/>
  <c r="B92" i="9"/>
  <c r="B93" i="9"/>
  <c r="C94" i="9" s="1"/>
  <c r="B94" i="9"/>
  <c r="B95" i="9"/>
  <c r="C96" i="9" s="1"/>
  <c r="B96" i="9"/>
  <c r="B97" i="9"/>
  <c r="C98" i="9" s="1"/>
  <c r="B98" i="9"/>
  <c r="B99" i="9"/>
  <c r="C100" i="9" s="1"/>
  <c r="B100" i="9"/>
  <c r="B101" i="9"/>
  <c r="C102" i="9" s="1"/>
  <c r="B102" i="9"/>
  <c r="B103" i="9"/>
  <c r="C104" i="9" s="1"/>
  <c r="B104" i="9"/>
  <c r="B105" i="9"/>
  <c r="C106" i="9" s="1"/>
  <c r="B106" i="9"/>
  <c r="B107" i="9"/>
  <c r="C108" i="9" s="1"/>
  <c r="B108" i="9"/>
  <c r="B109" i="9"/>
  <c r="C110" i="9" s="1"/>
  <c r="B110" i="9"/>
  <c r="B111" i="9"/>
  <c r="C111" i="9" s="1"/>
  <c r="X196" i="1"/>
  <c r="X197" i="1"/>
  <c r="X198" i="1"/>
  <c r="X199" i="1"/>
  <c r="X200" i="1"/>
  <c r="X201" i="1"/>
  <c r="X202" i="1"/>
  <c r="X203" i="1"/>
  <c r="X204" i="1"/>
  <c r="X205" i="1"/>
  <c r="C109" i="9" l="1"/>
  <c r="C107" i="9"/>
  <c r="C105" i="9"/>
  <c r="C103" i="9"/>
  <c r="C101" i="9"/>
  <c r="C99" i="9"/>
  <c r="C97" i="9"/>
  <c r="C95" i="9"/>
  <c r="C93" i="9"/>
  <c r="C91" i="9"/>
  <c r="C89" i="9"/>
  <c r="K14" i="1"/>
  <c r="L14" i="1"/>
  <c r="M14" i="1"/>
  <c r="N14" i="1" s="1"/>
  <c r="V14" i="1"/>
  <c r="S22" i="3" s="1"/>
  <c r="Y14" i="1"/>
  <c r="Z14" i="1"/>
  <c r="AA14" i="1" s="1"/>
  <c r="AB14" i="1"/>
  <c r="AC14" i="1"/>
  <c r="AD14" i="1"/>
  <c r="T14" i="1" s="1"/>
  <c r="AE14" i="1"/>
  <c r="R22" i="3" s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S12" i="3" s="1"/>
  <c r="Y16" i="1"/>
  <c r="Z16" i="1"/>
  <c r="AA16" i="1" s="1"/>
  <c r="AB16" i="1"/>
  <c r="AC16" i="1"/>
  <c r="AD16" i="1"/>
  <c r="T16" i="1" s="1"/>
  <c r="AE16" i="1"/>
  <c r="R12" i="3" s="1"/>
  <c r="AF16" i="1"/>
  <c r="AG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R9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T29" i="1"/>
  <c r="V29" i="1"/>
  <c r="Y29" i="1"/>
  <c r="Z29" i="1"/>
  <c r="AB29" i="1"/>
  <c r="AC29" i="1"/>
  <c r="AD29" i="1"/>
  <c r="AE29" i="1"/>
  <c r="AF29" i="1"/>
  <c r="AG29" i="1"/>
  <c r="AI29" i="1" s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R17" i="3" s="1"/>
  <c r="AF36" i="1"/>
  <c r="AH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K38" i="1"/>
  <c r="L38" i="1"/>
  <c r="M38" i="1"/>
  <c r="N38" i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G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R8" i="3" s="1"/>
  <c r="AF43" i="1"/>
  <c r="AH43" i="1"/>
  <c r="K44" i="1"/>
  <c r="L44" i="1"/>
  <c r="M44" i="1"/>
  <c r="N44" i="1" s="1"/>
  <c r="V44" i="1"/>
  <c r="S7" i="3" s="1"/>
  <c r="Y44" i="1"/>
  <c r="Z44" i="1"/>
  <c r="AB44" i="1"/>
  <c r="AC44" i="1"/>
  <c r="AD44" i="1"/>
  <c r="T44" i="1" s="1"/>
  <c r="AE44" i="1"/>
  <c r="R7" i="3" s="1"/>
  <c r="AF44" i="1"/>
  <c r="AH44" i="1"/>
  <c r="K45" i="1"/>
  <c r="L45" i="1"/>
  <c r="M45" i="1"/>
  <c r="N45" i="1" s="1"/>
  <c r="V45" i="1"/>
  <c r="Y45" i="1"/>
  <c r="Z45" i="1"/>
  <c r="AA45" i="1" s="1"/>
  <c r="W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G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R24" i="3" s="1"/>
  <c r="AF58" i="1"/>
  <c r="AH58" i="1"/>
  <c r="K59" i="1"/>
  <c r="L59" i="1"/>
  <c r="M59" i="1"/>
  <c r="N59" i="1" s="1"/>
  <c r="V59" i="1"/>
  <c r="Y59" i="1"/>
  <c r="Z59" i="1"/>
  <c r="AA59" i="1" s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G60" i="1" s="1"/>
  <c r="AE60" i="1"/>
  <c r="R18" i="3" s="1"/>
  <c r="AF60" i="1"/>
  <c r="AH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R25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I84" i="1"/>
  <c r="K85" i="1"/>
  <c r="L85" i="1"/>
  <c r="M85" i="1"/>
  <c r="N85" i="1" s="1"/>
  <c r="V85" i="1"/>
  <c r="Y85" i="1"/>
  <c r="Z85" i="1"/>
  <c r="AA85" i="1" s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A86" i="1" s="1"/>
  <c r="W86" i="1" s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AF101" i="1"/>
  <c r="AH101" i="1"/>
  <c r="K102" i="1"/>
  <c r="L102" i="1"/>
  <c r="M102" i="1"/>
  <c r="N102" i="1" s="1"/>
  <c r="V102" i="1"/>
  <c r="X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G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V109" i="1"/>
  <c r="Y109" i="1"/>
  <c r="Z109" i="1"/>
  <c r="AB109" i="1"/>
  <c r="AC109" i="1"/>
  <c r="AD109" i="1"/>
  <c r="T109" i="1" s="1"/>
  <c r="AE109" i="1"/>
  <c r="R13" i="3" s="1"/>
  <c r="AF109" i="1"/>
  <c r="AH109" i="1"/>
  <c r="K110" i="1"/>
  <c r="L110" i="1"/>
  <c r="M110" i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R27" i="3" s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G114" i="1" s="1"/>
  <c r="AE114" i="1"/>
  <c r="AF114" i="1"/>
  <c r="AH114" i="1"/>
  <c r="AI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/>
  <c r="V120" i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I124" i="1" s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A128" i="1" s="1"/>
  <c r="W128" i="1" s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S30" i="3" s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R33" i="3" s="1"/>
  <c r="AF140" i="1"/>
  <c r="AH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S28" i="3" s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E145" i="1"/>
  <c r="R11" i="3" s="1"/>
  <c r="AF145" i="1"/>
  <c r="AH145" i="1"/>
  <c r="K146" i="1"/>
  <c r="L146" i="1"/>
  <c r="M146" i="1"/>
  <c r="N146" i="1" s="1"/>
  <c r="V146" i="1"/>
  <c r="S34" i="3" s="1"/>
  <c r="Y146" i="1"/>
  <c r="Z146" i="1"/>
  <c r="AB146" i="1"/>
  <c r="AC146" i="1"/>
  <c r="AD146" i="1"/>
  <c r="T146" i="1" s="1"/>
  <c r="AE146" i="1"/>
  <c r="R34" i="3" s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X148" i="1"/>
  <c r="Y148" i="1"/>
  <c r="Z148" i="1"/>
  <c r="AI148" i="1" s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S31" i="3" s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S21" i="3" s="1"/>
  <c r="Y151" i="1"/>
  <c r="Z151" i="1"/>
  <c r="AB151" i="1"/>
  <c r="AC151" i="1"/>
  <c r="AD151" i="1"/>
  <c r="AE151" i="1"/>
  <c r="R21" i="3" s="1"/>
  <c r="AF151" i="1"/>
  <c r="AH151" i="1"/>
  <c r="K152" i="1"/>
  <c r="L152" i="1"/>
  <c r="M152" i="1"/>
  <c r="N152" i="1" s="1"/>
  <c r="V152" i="1"/>
  <c r="Y152" i="1"/>
  <c r="Z152" i="1"/>
  <c r="AI152" i="1" s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S16" i="3" s="1"/>
  <c r="Y155" i="1"/>
  <c r="Z155" i="1"/>
  <c r="AB155" i="1"/>
  <c r="AC155" i="1"/>
  <c r="AD155" i="1"/>
  <c r="T155" i="1" s="1"/>
  <c r="AE155" i="1"/>
  <c r="R16" i="3" s="1"/>
  <c r="AF155" i="1"/>
  <c r="AH155" i="1"/>
  <c r="K156" i="1"/>
  <c r="L156" i="1"/>
  <c r="M156" i="1"/>
  <c r="N156" i="1"/>
  <c r="V156" i="1"/>
  <c r="Y156" i="1"/>
  <c r="Z156" i="1"/>
  <c r="AA156" i="1" s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V159" i="1"/>
  <c r="Y159" i="1"/>
  <c r="Z159" i="1"/>
  <c r="AB159" i="1"/>
  <c r="AC159" i="1"/>
  <c r="AD159" i="1"/>
  <c r="T159" i="1" s="1"/>
  <c r="AE159" i="1"/>
  <c r="AF159" i="1"/>
  <c r="AH159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7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7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78" i="1"/>
  <c r="K164" i="1"/>
  <c r="L164" i="1"/>
  <c r="M164" i="1"/>
  <c r="N164" i="1"/>
  <c r="V164" i="1"/>
  <c r="Y164" i="1"/>
  <c r="Z164" i="1"/>
  <c r="AA164" i="1" s="1"/>
  <c r="W164" i="1" s="1"/>
  <c r="AB164" i="1"/>
  <c r="AC164" i="1"/>
  <c r="AD164" i="1"/>
  <c r="AG164" i="1" s="1"/>
  <c r="AE164" i="1"/>
  <c r="AF164" i="1"/>
  <c r="AH179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0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81" i="1"/>
  <c r="AH18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3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4" i="1"/>
  <c r="K169" i="1"/>
  <c r="L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AF169" i="1"/>
  <c r="AH18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6" i="1"/>
  <c r="K171" i="1"/>
  <c r="L171" i="1"/>
  <c r="M171" i="1"/>
  <c r="N171" i="1"/>
  <c r="V171" i="1"/>
  <c r="Y171" i="1"/>
  <c r="Z171" i="1"/>
  <c r="AA171" i="1" s="1"/>
  <c r="W171" i="1" s="1"/>
  <c r="AB171" i="1"/>
  <c r="AC171" i="1"/>
  <c r="AD171" i="1"/>
  <c r="AG171" i="1" s="1"/>
  <c r="AE171" i="1"/>
  <c r="AF171" i="1"/>
  <c r="AH187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8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89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9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4" i="1"/>
  <c r="K179" i="1"/>
  <c r="L179" i="1"/>
  <c r="M179" i="1"/>
  <c r="N179" i="1"/>
  <c r="V179" i="1"/>
  <c r="Y179" i="1"/>
  <c r="Z179" i="1"/>
  <c r="AA179" i="1" s="1"/>
  <c r="W179" i="1" s="1"/>
  <c r="AB179" i="1"/>
  <c r="AC179" i="1"/>
  <c r="AD179" i="1"/>
  <c r="AG179" i="1" s="1"/>
  <c r="AE179" i="1"/>
  <c r="AF179" i="1"/>
  <c r="AH195" i="1"/>
  <c r="K180" i="1"/>
  <c r="L180" i="1"/>
  <c r="M180" i="1"/>
  <c r="P180" i="1" s="1"/>
  <c r="V180" i="1"/>
  <c r="Y180" i="1"/>
  <c r="Z180" i="1"/>
  <c r="AA180" i="1" s="1"/>
  <c r="AB180" i="1"/>
  <c r="AC180" i="1"/>
  <c r="AD180" i="1"/>
  <c r="T180" i="1" s="1"/>
  <c r="AE180" i="1"/>
  <c r="AF180" i="1"/>
  <c r="AH19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7" i="1"/>
  <c r="K183" i="1"/>
  <c r="L183" i="1"/>
  <c r="M183" i="1"/>
  <c r="N183" i="1" s="1"/>
  <c r="V183" i="1"/>
  <c r="Y183" i="1"/>
  <c r="Z183" i="1"/>
  <c r="AA183" i="1" s="1"/>
  <c r="AB183" i="1"/>
  <c r="AC183" i="1"/>
  <c r="AD183" i="1"/>
  <c r="AG183" i="1" s="1"/>
  <c r="AE183" i="1"/>
  <c r="R37" i="3" s="1"/>
  <c r="AF183" i="1"/>
  <c r="AH198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19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0" i="1"/>
  <c r="K186" i="1"/>
  <c r="L186" i="1"/>
  <c r="M186" i="1"/>
  <c r="N186" i="1" s="1"/>
  <c r="V186" i="1"/>
  <c r="Y186" i="1"/>
  <c r="Z186" i="1"/>
  <c r="AA186" i="1" s="1"/>
  <c r="W186" i="1" s="1"/>
  <c r="AB186" i="1"/>
  <c r="AC186" i="1"/>
  <c r="AD186" i="1"/>
  <c r="AG186" i="1" s="1"/>
  <c r="AE186" i="1"/>
  <c r="AF186" i="1"/>
  <c r="AH20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4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05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R36" i="3" s="1"/>
  <c r="AF191" i="1"/>
  <c r="AH206" i="1"/>
  <c r="K192" i="1"/>
  <c r="L192" i="1"/>
  <c r="M192" i="1"/>
  <c r="N192" i="1" s="1"/>
  <c r="V192" i="1"/>
  <c r="S41" i="3" s="1"/>
  <c r="Y192" i="1"/>
  <c r="Z192" i="1"/>
  <c r="AB192" i="1"/>
  <c r="AC192" i="1"/>
  <c r="AD192" i="1"/>
  <c r="T192" i="1" s="1"/>
  <c r="AE192" i="1"/>
  <c r="R40" i="3" s="1"/>
  <c r="AF192" i="1"/>
  <c r="AH20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8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09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1" i="1"/>
  <c r="AH212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AG197" i="1" s="1"/>
  <c r="AE197" i="1"/>
  <c r="AF197" i="1"/>
  <c r="AH213" i="1"/>
  <c r="K198" i="1"/>
  <c r="L198" i="1"/>
  <c r="M198" i="1"/>
  <c r="N198" i="1" s="1"/>
  <c r="V198" i="1"/>
  <c r="Y198" i="1"/>
  <c r="Z198" i="1"/>
  <c r="AA198" i="1" s="1"/>
  <c r="AB198" i="1"/>
  <c r="AC198" i="1"/>
  <c r="AD198" i="1"/>
  <c r="AG198" i="1" s="1"/>
  <c r="AE198" i="1"/>
  <c r="AF198" i="1"/>
  <c r="AH214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15" i="1"/>
  <c r="K200" i="1"/>
  <c r="L200" i="1"/>
  <c r="M200" i="1"/>
  <c r="N200" i="1" s="1"/>
  <c r="V200" i="1"/>
  <c r="S45" i="3" s="1"/>
  <c r="Y200" i="1"/>
  <c r="Z200" i="1"/>
  <c r="AB200" i="1"/>
  <c r="AC200" i="1"/>
  <c r="AD200" i="1"/>
  <c r="T200" i="1" s="1"/>
  <c r="AE200" i="1"/>
  <c r="R46" i="3" s="1"/>
  <c r="AF200" i="1"/>
  <c r="AH21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1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0" i="1"/>
  <c r="K205" i="1"/>
  <c r="L205" i="1"/>
  <c r="M205" i="1"/>
  <c r="N205" i="1" s="1"/>
  <c r="V205" i="1"/>
  <c r="S38" i="3" s="1"/>
  <c r="Y205" i="1"/>
  <c r="Z205" i="1"/>
  <c r="AA205" i="1" s="1"/>
  <c r="AB205" i="1"/>
  <c r="AC205" i="1"/>
  <c r="AD205" i="1"/>
  <c r="AG205" i="1" s="1"/>
  <c r="AE205" i="1"/>
  <c r="R38" i="3" s="1"/>
  <c r="AF205" i="1"/>
  <c r="AH221" i="1"/>
  <c r="K206" i="1"/>
  <c r="L206" i="1"/>
  <c r="M206" i="1"/>
  <c r="N206" i="1" s="1"/>
  <c r="V206" i="1"/>
  <c r="Y206" i="1"/>
  <c r="Z206" i="1"/>
  <c r="AA206" i="1" s="1"/>
  <c r="AB206" i="1"/>
  <c r="AC206" i="1"/>
  <c r="AD206" i="1"/>
  <c r="AG206" i="1" s="1"/>
  <c r="AE206" i="1"/>
  <c r="AF206" i="1"/>
  <c r="AH222" i="1"/>
  <c r="K207" i="1"/>
  <c r="L207" i="1"/>
  <c r="M207" i="1"/>
  <c r="N207" i="1" s="1"/>
  <c r="V207" i="1"/>
  <c r="S47" i="3" s="1"/>
  <c r="Y207" i="1"/>
  <c r="Z207" i="1"/>
  <c r="AA207" i="1" s="1"/>
  <c r="AB207" i="1"/>
  <c r="AC207" i="1"/>
  <c r="AD207" i="1"/>
  <c r="T207" i="1" s="1"/>
  <c r="AE207" i="1"/>
  <c r="R47" i="3" s="1"/>
  <c r="AF207" i="1"/>
  <c r="AH22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4" i="1"/>
  <c r="K222" i="1"/>
  <c r="L222" i="1"/>
  <c r="M222" i="1"/>
  <c r="N222" i="1" s="1"/>
  <c r="V222" i="1"/>
  <c r="Y222" i="1"/>
  <c r="Z222" i="1"/>
  <c r="AA222" i="1" s="1"/>
  <c r="AB222" i="1"/>
  <c r="AC222" i="1"/>
  <c r="AD222" i="1"/>
  <c r="X222" i="1" s="1"/>
  <c r="AE222" i="1"/>
  <c r="AF222" i="1"/>
  <c r="AH225" i="1"/>
  <c r="K223" i="1"/>
  <c r="L223" i="1"/>
  <c r="M223" i="1"/>
  <c r="N223" i="1" s="1"/>
  <c r="V223" i="1"/>
  <c r="S49" i="3" s="1"/>
  <c r="Y223" i="1"/>
  <c r="Z223" i="1"/>
  <c r="AA223" i="1" s="1"/>
  <c r="AB223" i="1"/>
  <c r="AC223" i="1"/>
  <c r="AD223" i="1"/>
  <c r="AG223" i="1" s="1"/>
  <c r="AE223" i="1"/>
  <c r="R49" i="3" s="1"/>
  <c r="AF223" i="1"/>
  <c r="AH22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7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228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29" i="1"/>
  <c r="AI229" i="1"/>
  <c r="M12" i="3"/>
  <c r="U12" i="3"/>
  <c r="T12" i="3" s="1"/>
  <c r="V12" i="3"/>
  <c r="W12" i="3"/>
  <c r="X12" i="3"/>
  <c r="AC12" i="3"/>
  <c r="M22" i="3"/>
  <c r="U22" i="3"/>
  <c r="T22" i="3" s="1"/>
  <c r="V22" i="3"/>
  <c r="W22" i="3"/>
  <c r="X22" i="3"/>
  <c r="M23" i="3"/>
  <c r="R23" i="3"/>
  <c r="S23" i="3"/>
  <c r="U23" i="3"/>
  <c r="T23" i="3" s="1"/>
  <c r="V23" i="3"/>
  <c r="W23" i="3"/>
  <c r="X23" i="3"/>
  <c r="M39" i="3"/>
  <c r="R39" i="3"/>
  <c r="S39" i="3"/>
  <c r="U39" i="3"/>
  <c r="T39" i="3" s="1"/>
  <c r="V39" i="3"/>
  <c r="W39" i="3"/>
  <c r="X39" i="3"/>
  <c r="AC39" i="3"/>
  <c r="M9" i="3"/>
  <c r="S9" i="3"/>
  <c r="U9" i="3"/>
  <c r="T9" i="3" s="1"/>
  <c r="V9" i="3"/>
  <c r="W9" i="3"/>
  <c r="X9" i="3"/>
  <c r="AC9" i="3"/>
  <c r="M10" i="3"/>
  <c r="R10" i="3"/>
  <c r="S10" i="3"/>
  <c r="U10" i="3"/>
  <c r="T10" i="3" s="1"/>
  <c r="V10" i="3"/>
  <c r="W10" i="3"/>
  <c r="X10" i="3"/>
  <c r="AC10" i="3"/>
  <c r="M32" i="3"/>
  <c r="R32" i="3"/>
  <c r="S32" i="3"/>
  <c r="U32" i="3"/>
  <c r="T32" i="3" s="1"/>
  <c r="V32" i="3"/>
  <c r="W32" i="3"/>
  <c r="X32" i="3"/>
  <c r="AC32" i="3"/>
  <c r="M8" i="3"/>
  <c r="S8" i="3"/>
  <c r="U8" i="3"/>
  <c r="T8" i="3" s="1"/>
  <c r="V8" i="3"/>
  <c r="W8" i="3"/>
  <c r="X8" i="3"/>
  <c r="AC8" i="3"/>
  <c r="M17" i="3"/>
  <c r="S17" i="3"/>
  <c r="U17" i="3"/>
  <c r="T17" i="3" s="1"/>
  <c r="V17" i="3"/>
  <c r="W17" i="3"/>
  <c r="Y17" i="3" s="1"/>
  <c r="X17" i="3"/>
  <c r="AC17" i="3"/>
  <c r="M35" i="3"/>
  <c r="R35" i="3"/>
  <c r="U35" i="3"/>
  <c r="T35" i="3" s="1"/>
  <c r="V35" i="3"/>
  <c r="W35" i="3"/>
  <c r="X35" i="3"/>
  <c r="AC35" i="3"/>
  <c r="M49" i="3"/>
  <c r="U49" i="3"/>
  <c r="T49" i="3" s="1"/>
  <c r="V49" i="3"/>
  <c r="W49" i="3"/>
  <c r="Y49" i="3" s="1"/>
  <c r="X49" i="3"/>
  <c r="AC49" i="3"/>
  <c r="M7" i="3"/>
  <c r="U7" i="3"/>
  <c r="T7" i="3" s="1"/>
  <c r="V7" i="3"/>
  <c r="W7" i="3"/>
  <c r="X7" i="3"/>
  <c r="AC7" i="3"/>
  <c r="M18" i="3"/>
  <c r="S18" i="3"/>
  <c r="U18" i="3"/>
  <c r="T18" i="3" s="1"/>
  <c r="V18" i="3"/>
  <c r="W18" i="3"/>
  <c r="X18" i="3"/>
  <c r="AC18" i="3"/>
  <c r="M24" i="3"/>
  <c r="S24" i="3"/>
  <c r="U24" i="3"/>
  <c r="T24" i="3" s="1"/>
  <c r="V24" i="3"/>
  <c r="W24" i="3"/>
  <c r="X24" i="3"/>
  <c r="AC24" i="3"/>
  <c r="M19" i="3"/>
  <c r="R19" i="3"/>
  <c r="S19" i="3"/>
  <c r="U19" i="3"/>
  <c r="T19" i="3" s="1"/>
  <c r="V19" i="3"/>
  <c r="W19" i="3"/>
  <c r="Y19" i="3" s="1"/>
  <c r="X19" i="3"/>
  <c r="AC19" i="3"/>
  <c r="M15" i="3"/>
  <c r="R15" i="3"/>
  <c r="S15" i="3"/>
  <c r="U15" i="3"/>
  <c r="T15" i="3" s="1"/>
  <c r="V15" i="3"/>
  <c r="W15" i="3"/>
  <c r="X15" i="3"/>
  <c r="AC15" i="3"/>
  <c r="M25" i="3"/>
  <c r="S25" i="3"/>
  <c r="U25" i="3"/>
  <c r="T25" i="3" s="1"/>
  <c r="V25" i="3"/>
  <c r="W25" i="3"/>
  <c r="X25" i="3"/>
  <c r="AC25" i="3"/>
  <c r="M26" i="3"/>
  <c r="R26" i="3"/>
  <c r="S26" i="3"/>
  <c r="U26" i="3"/>
  <c r="T26" i="3" s="1"/>
  <c r="V26" i="3"/>
  <c r="W26" i="3"/>
  <c r="X26" i="3"/>
  <c r="AC26" i="3"/>
  <c r="M37" i="3"/>
  <c r="S37" i="3"/>
  <c r="U37" i="3"/>
  <c r="T37" i="3" s="1"/>
  <c r="V37" i="3"/>
  <c r="W37" i="3"/>
  <c r="X37" i="3"/>
  <c r="AC37" i="3"/>
  <c r="M13" i="3"/>
  <c r="S13" i="3"/>
  <c r="U13" i="3"/>
  <c r="T13" i="3" s="1"/>
  <c r="V13" i="3"/>
  <c r="W13" i="3"/>
  <c r="X13" i="3"/>
  <c r="AC13" i="3"/>
  <c r="M14" i="3"/>
  <c r="S14" i="3"/>
  <c r="U14" i="3"/>
  <c r="T14" i="3" s="1"/>
  <c r="V14" i="3"/>
  <c r="W14" i="3"/>
  <c r="X14" i="3"/>
  <c r="AC14" i="3"/>
  <c r="M36" i="3"/>
  <c r="S36" i="3"/>
  <c r="U36" i="3"/>
  <c r="T36" i="3" s="1"/>
  <c r="V36" i="3"/>
  <c r="W36" i="3"/>
  <c r="X36" i="3"/>
  <c r="AC36" i="3"/>
  <c r="M40" i="3"/>
  <c r="U40" i="3"/>
  <c r="T40" i="3" s="1"/>
  <c r="V40" i="3"/>
  <c r="W40" i="3"/>
  <c r="X40" i="3"/>
  <c r="AC40" i="3"/>
  <c r="M41" i="3"/>
  <c r="U41" i="3"/>
  <c r="T41" i="3" s="1"/>
  <c r="V41" i="3"/>
  <c r="W41" i="3"/>
  <c r="X41" i="3"/>
  <c r="AC41" i="3"/>
  <c r="M27" i="3"/>
  <c r="S27" i="3"/>
  <c r="U27" i="3"/>
  <c r="T27" i="3" s="1"/>
  <c r="V27" i="3"/>
  <c r="W27" i="3"/>
  <c r="X27" i="3"/>
  <c r="M42" i="3"/>
  <c r="R42" i="3"/>
  <c r="S42" i="3"/>
  <c r="U42" i="3"/>
  <c r="T42" i="3" s="1"/>
  <c r="V42" i="3"/>
  <c r="W42" i="3"/>
  <c r="X42" i="3"/>
  <c r="AC42" i="3"/>
  <c r="M43" i="3"/>
  <c r="R43" i="3"/>
  <c r="S43" i="3"/>
  <c r="U43" i="3"/>
  <c r="T43" i="3" s="1"/>
  <c r="V43" i="3"/>
  <c r="W43" i="3"/>
  <c r="X43" i="3"/>
  <c r="AC43" i="3"/>
  <c r="M44" i="3"/>
  <c r="R44" i="3"/>
  <c r="U44" i="3"/>
  <c r="T44" i="3" s="1"/>
  <c r="V44" i="3"/>
  <c r="W44" i="3"/>
  <c r="X44" i="3"/>
  <c r="M45" i="3"/>
  <c r="U45" i="3"/>
  <c r="T45" i="3" s="1"/>
  <c r="V45" i="3"/>
  <c r="W45" i="3"/>
  <c r="X45" i="3"/>
  <c r="AC45" i="3"/>
  <c r="M46" i="3"/>
  <c r="U46" i="3"/>
  <c r="T46" i="3" s="1"/>
  <c r="V46" i="3"/>
  <c r="W46" i="3"/>
  <c r="X46" i="3"/>
  <c r="AC46" i="3"/>
  <c r="M29" i="3"/>
  <c r="R29" i="3"/>
  <c r="U29" i="3"/>
  <c r="T29" i="3" s="1"/>
  <c r="V29" i="3"/>
  <c r="W29" i="3"/>
  <c r="Y29" i="3" s="1"/>
  <c r="X29" i="3"/>
  <c r="M30" i="3"/>
  <c r="R30" i="3"/>
  <c r="U30" i="3"/>
  <c r="T30" i="3" s="1"/>
  <c r="V30" i="3"/>
  <c r="W30" i="3"/>
  <c r="X30" i="3"/>
  <c r="AC30" i="3"/>
  <c r="M33" i="3"/>
  <c r="S33" i="3"/>
  <c r="U33" i="3"/>
  <c r="T33" i="3" s="1"/>
  <c r="V33" i="3"/>
  <c r="W33" i="3"/>
  <c r="X33" i="3"/>
  <c r="AC33" i="3"/>
  <c r="M38" i="3"/>
  <c r="U38" i="3"/>
  <c r="T38" i="3" s="1"/>
  <c r="V38" i="3"/>
  <c r="W38" i="3"/>
  <c r="X38" i="3"/>
  <c r="AC38" i="3"/>
  <c r="M11" i="3"/>
  <c r="S11" i="3"/>
  <c r="U11" i="3"/>
  <c r="T11" i="3" s="1"/>
  <c r="V11" i="3"/>
  <c r="W11" i="3"/>
  <c r="X11" i="3"/>
  <c r="AC11" i="3"/>
  <c r="M34" i="3"/>
  <c r="U34" i="3"/>
  <c r="T34" i="3" s="1"/>
  <c r="V34" i="3"/>
  <c r="W34" i="3"/>
  <c r="X34" i="3"/>
  <c r="AC34" i="3"/>
  <c r="M28" i="3"/>
  <c r="R28" i="3"/>
  <c r="U28" i="3"/>
  <c r="T28" i="3" s="1"/>
  <c r="V28" i="3"/>
  <c r="W28" i="3"/>
  <c r="X28" i="3"/>
  <c r="AC28" i="3"/>
  <c r="M47" i="3"/>
  <c r="U47" i="3"/>
  <c r="T47" i="3" s="1"/>
  <c r="V47" i="3"/>
  <c r="W47" i="3"/>
  <c r="X47" i="3"/>
  <c r="AC47" i="3"/>
  <c r="M20" i="3"/>
  <c r="R20" i="3"/>
  <c r="S20" i="3"/>
  <c r="U20" i="3"/>
  <c r="T20" i="3" s="1"/>
  <c r="V20" i="3"/>
  <c r="W20" i="3"/>
  <c r="X20" i="3"/>
  <c r="AC20" i="3"/>
  <c r="M31" i="3"/>
  <c r="R31" i="3"/>
  <c r="U31" i="3"/>
  <c r="T31" i="3" s="1"/>
  <c r="V31" i="3"/>
  <c r="W31" i="3"/>
  <c r="X31" i="3"/>
  <c r="AC31" i="3"/>
  <c r="M21" i="3"/>
  <c r="U21" i="3"/>
  <c r="T21" i="3" s="1"/>
  <c r="V21" i="3"/>
  <c r="W21" i="3"/>
  <c r="X21" i="3"/>
  <c r="AC21" i="3"/>
  <c r="M16" i="3"/>
  <c r="U16" i="3"/>
  <c r="T16" i="3" s="1"/>
  <c r="V16" i="3"/>
  <c r="W16" i="3"/>
  <c r="X16" i="3"/>
  <c r="AC27" i="3" l="1"/>
  <c r="AC23" i="3"/>
  <c r="Y11" i="3"/>
  <c r="Y23" i="3"/>
  <c r="AC44" i="3"/>
  <c r="Y20" i="3"/>
  <c r="AC29" i="3"/>
  <c r="Y43" i="3"/>
  <c r="Y37" i="3"/>
  <c r="Y40" i="3"/>
  <c r="Y32" i="3"/>
  <c r="Y9" i="3"/>
  <c r="Y12" i="3"/>
  <c r="AG213" i="1"/>
  <c r="AI213" i="1" s="1"/>
  <c r="X213" i="1"/>
  <c r="AA56" i="1"/>
  <c r="W56" i="1" s="1"/>
  <c r="AG167" i="1"/>
  <c r="X167" i="1"/>
  <c r="AG217" i="1"/>
  <c r="AI217" i="1" s="1"/>
  <c r="W114" i="1"/>
  <c r="S40" i="3"/>
  <c r="T190" i="1"/>
  <c r="X182" i="1"/>
  <c r="AI209" i="1"/>
  <c r="R45" i="3"/>
  <c r="AG96" i="1"/>
  <c r="AA90" i="1"/>
  <c r="AG77" i="1"/>
  <c r="W77" i="1" s="1"/>
  <c r="AA194" i="1"/>
  <c r="W194" i="1" s="1"/>
  <c r="AA192" i="1"/>
  <c r="AA191" i="1"/>
  <c r="W191" i="1" s="1"/>
  <c r="AA190" i="1"/>
  <c r="AG180" i="1"/>
  <c r="AA169" i="1"/>
  <c r="AI144" i="1"/>
  <c r="AG134" i="1"/>
  <c r="U134" i="1" s="1"/>
  <c r="AA123" i="1"/>
  <c r="AA116" i="1"/>
  <c r="AG73" i="1"/>
  <c r="U73" i="1" s="1"/>
  <c r="S73" i="1" s="1"/>
  <c r="AG21" i="1"/>
  <c r="AI136" i="1"/>
  <c r="AA96" i="1"/>
  <c r="AA95" i="1"/>
  <c r="AA94" i="1"/>
  <c r="AA77" i="1"/>
  <c r="AA76" i="1"/>
  <c r="AA75" i="1"/>
  <c r="W75" i="1" s="1"/>
  <c r="AA27" i="1"/>
  <c r="AA26" i="1"/>
  <c r="S46" i="3"/>
  <c r="AG162" i="1"/>
  <c r="U162" i="1" s="1"/>
  <c r="S162" i="1" s="1"/>
  <c r="AG154" i="1"/>
  <c r="AG69" i="1"/>
  <c r="U69" i="1" s="1"/>
  <c r="R41" i="3"/>
  <c r="AA226" i="1"/>
  <c r="W226" i="1" s="1"/>
  <c r="AG203" i="1"/>
  <c r="AG184" i="1"/>
  <c r="U184" i="1" s="1"/>
  <c r="AA177" i="1"/>
  <c r="AG172" i="1"/>
  <c r="U172" i="1" s="1"/>
  <c r="S172" i="1" s="1"/>
  <c r="AG165" i="1"/>
  <c r="AG227" i="1"/>
  <c r="AA211" i="1"/>
  <c r="W211" i="1" s="1"/>
  <c r="P158" i="1"/>
  <c r="AG150" i="1"/>
  <c r="U150" i="1" s="1"/>
  <c r="X144" i="1"/>
  <c r="AG139" i="1"/>
  <c r="AI139" i="1" s="1"/>
  <c r="AA132" i="1"/>
  <c r="AA120" i="1"/>
  <c r="W120" i="1" s="1"/>
  <c r="P109" i="1"/>
  <c r="AA82" i="1"/>
  <c r="W82" i="1" s="1"/>
  <c r="AG57" i="1"/>
  <c r="U57" i="1" s="1"/>
  <c r="S57" i="1" s="1"/>
  <c r="AI51" i="1"/>
  <c r="AA51" i="1"/>
  <c r="X45" i="1"/>
  <c r="AA44" i="1"/>
  <c r="AG41" i="1"/>
  <c r="AG37" i="1"/>
  <c r="AI37" i="1" s="1"/>
  <c r="X21" i="1"/>
  <c r="S29" i="3"/>
  <c r="S44" i="3"/>
  <c r="AG142" i="1"/>
  <c r="AG131" i="1"/>
  <c r="U131" i="1" s="1"/>
  <c r="S131" i="1" s="1"/>
  <c r="AI128" i="1"/>
  <c r="AA113" i="1"/>
  <c r="AA89" i="1"/>
  <c r="AG83" i="1"/>
  <c r="U83" i="1" s="1"/>
  <c r="S83" i="1" s="1"/>
  <c r="AG49" i="1"/>
  <c r="U49" i="1" s="1"/>
  <c r="S49" i="1" s="1"/>
  <c r="AG44" i="1"/>
  <c r="W37" i="1"/>
  <c r="AG33" i="1"/>
  <c r="U33" i="1" s="1"/>
  <c r="S33" i="1" s="1"/>
  <c r="AA17" i="1"/>
  <c r="AG224" i="1"/>
  <c r="X194" i="1"/>
  <c r="AG146" i="1"/>
  <c r="U146" i="1" s="1"/>
  <c r="AA144" i="1"/>
  <c r="W144" i="1" s="1"/>
  <c r="AI115" i="1"/>
  <c r="AA115" i="1"/>
  <c r="T101" i="1"/>
  <c r="AA98" i="1"/>
  <c r="T82" i="1"/>
  <c r="AG61" i="1"/>
  <c r="AG48" i="1"/>
  <c r="U48" i="1" s="1"/>
  <c r="AI45" i="1"/>
  <c r="AG27" i="1"/>
  <c r="AG19" i="1"/>
  <c r="AA159" i="1"/>
  <c r="AG159" i="1"/>
  <c r="AI159" i="1" s="1"/>
  <c r="X159" i="1"/>
  <c r="R14" i="3"/>
  <c r="AG109" i="1"/>
  <c r="AI109" i="1" s="1"/>
  <c r="T196" i="1"/>
  <c r="AG196" i="1"/>
  <c r="AG188" i="1"/>
  <c r="AG182" i="1"/>
  <c r="AI182" i="1" s="1"/>
  <c r="AA178" i="1"/>
  <c r="W178" i="1" s="1"/>
  <c r="AG174" i="1"/>
  <c r="AA170" i="1"/>
  <c r="T218" i="1"/>
  <c r="U218" i="1" s="1"/>
  <c r="S218" i="1" s="1"/>
  <c r="X218" i="1"/>
  <c r="AG218" i="1"/>
  <c r="T138" i="1"/>
  <c r="X139" i="1"/>
  <c r="AG138" i="1"/>
  <c r="AI138" i="1" s="1"/>
  <c r="T118" i="1"/>
  <c r="AG118" i="1"/>
  <c r="T112" i="1"/>
  <c r="AG112" i="1"/>
  <c r="AI112" i="1" s="1"/>
  <c r="AG110" i="1"/>
  <c r="X110" i="1"/>
  <c r="W51" i="1"/>
  <c r="X37" i="1"/>
  <c r="T36" i="1"/>
  <c r="AG36" i="1"/>
  <c r="AA201" i="1"/>
  <c r="AG178" i="1"/>
  <c r="X178" i="1"/>
  <c r="AG170" i="1"/>
  <c r="AI170" i="1" s="1"/>
  <c r="X170" i="1"/>
  <c r="T163" i="1"/>
  <c r="U163" i="1" s="1"/>
  <c r="S163" i="1" s="1"/>
  <c r="X163" i="1"/>
  <c r="AG163" i="1"/>
  <c r="W163" i="1" s="1"/>
  <c r="AG215" i="1"/>
  <c r="AI215" i="1" s="1"/>
  <c r="T215" i="1"/>
  <c r="U215" i="1" s="1"/>
  <c r="S215" i="1" s="1"/>
  <c r="AG160" i="1"/>
  <c r="AI160" i="1" s="1"/>
  <c r="X160" i="1"/>
  <c r="W115" i="1"/>
  <c r="T93" i="1"/>
  <c r="U93" i="1" s="1"/>
  <c r="S93" i="1" s="1"/>
  <c r="AG93" i="1"/>
  <c r="T65" i="1"/>
  <c r="AG65" i="1"/>
  <c r="T32" i="1"/>
  <c r="X32" i="1"/>
  <c r="AG32" i="1"/>
  <c r="AA196" i="1"/>
  <c r="W196" i="1" s="1"/>
  <c r="AA195" i="1"/>
  <c r="W195" i="1" s="1"/>
  <c r="AG132" i="1"/>
  <c r="AI132" i="1" s="1"/>
  <c r="X132" i="1"/>
  <c r="T81" i="1"/>
  <c r="X82" i="1"/>
  <c r="T47" i="1"/>
  <c r="X48" i="1"/>
  <c r="AG47" i="1"/>
  <c r="T24" i="1"/>
  <c r="AG24" i="1"/>
  <c r="AI24" i="1" s="1"/>
  <c r="T181" i="1"/>
  <c r="X181" i="1"/>
  <c r="AG181" i="1"/>
  <c r="U181" i="1" s="1"/>
  <c r="S181" i="1" s="1"/>
  <c r="T173" i="1"/>
  <c r="X173" i="1"/>
  <c r="AG173" i="1"/>
  <c r="T166" i="1"/>
  <c r="U166" i="1" s="1"/>
  <c r="S166" i="1" s="1"/>
  <c r="AG166" i="1"/>
  <c r="W218" i="1"/>
  <c r="T130" i="1"/>
  <c r="X131" i="1"/>
  <c r="AG130" i="1"/>
  <c r="T55" i="1"/>
  <c r="AG55" i="1"/>
  <c r="AI55" i="1" s="1"/>
  <c r="T40" i="1"/>
  <c r="X40" i="1"/>
  <c r="AG40" i="1"/>
  <c r="AA155" i="1"/>
  <c r="AA151" i="1"/>
  <c r="AA147" i="1"/>
  <c r="AA143" i="1"/>
  <c r="AA97" i="1"/>
  <c r="AA71" i="1"/>
  <c r="W71" i="1" s="1"/>
  <c r="AA39" i="1"/>
  <c r="AA19" i="1"/>
  <c r="W19" i="1" s="1"/>
  <c r="AA18" i="1"/>
  <c r="AG207" i="1"/>
  <c r="AI207" i="1" s="1"/>
  <c r="AA203" i="1"/>
  <c r="W203" i="1" s="1"/>
  <c r="AA202" i="1"/>
  <c r="AG199" i="1"/>
  <c r="AA193" i="1"/>
  <c r="AG192" i="1"/>
  <c r="U192" i="1" s="1"/>
  <c r="AA188" i="1"/>
  <c r="W188" i="1" s="1"/>
  <c r="AA187" i="1"/>
  <c r="W187" i="1" s="1"/>
  <c r="AI167" i="1"/>
  <c r="AI164" i="1"/>
  <c r="AA162" i="1"/>
  <c r="W162" i="1" s="1"/>
  <c r="X228" i="1"/>
  <c r="AA228" i="1"/>
  <c r="W228" i="1" s="1"/>
  <c r="AA227" i="1"/>
  <c r="AG220" i="1"/>
  <c r="U220" i="1" s="1"/>
  <c r="AA217" i="1"/>
  <c r="W217" i="1" s="1"/>
  <c r="AA214" i="1"/>
  <c r="AA213" i="1"/>
  <c r="AA210" i="1"/>
  <c r="AG158" i="1"/>
  <c r="AG155" i="1"/>
  <c r="X155" i="1"/>
  <c r="AA154" i="1"/>
  <c r="W154" i="1" s="1"/>
  <c r="AA153" i="1"/>
  <c r="AA148" i="1"/>
  <c r="W148" i="1" s="1"/>
  <c r="AG147" i="1"/>
  <c r="X147" i="1"/>
  <c r="AG143" i="1"/>
  <c r="X143" i="1"/>
  <c r="AA141" i="1"/>
  <c r="AA139" i="1"/>
  <c r="W139" i="1" s="1"/>
  <c r="AA135" i="1"/>
  <c r="AA131" i="1"/>
  <c r="AA124" i="1"/>
  <c r="W124" i="1" s="1"/>
  <c r="AG122" i="1"/>
  <c r="U122" i="1" s="1"/>
  <c r="AG116" i="1"/>
  <c r="X116" i="1"/>
  <c r="X105" i="1"/>
  <c r="AA105" i="1"/>
  <c r="AA104" i="1"/>
  <c r="W104" i="1" s="1"/>
  <c r="AA103" i="1"/>
  <c r="AA102" i="1"/>
  <c r="W102" i="1" s="1"/>
  <c r="AG101" i="1"/>
  <c r="U101" i="1" s="1"/>
  <c r="AG88" i="1"/>
  <c r="W88" i="1" s="1"/>
  <c r="X86" i="1"/>
  <c r="AI85" i="1"/>
  <c r="AA83" i="1"/>
  <c r="W83" i="1" s="1"/>
  <c r="AA69" i="1"/>
  <c r="AA68" i="1"/>
  <c r="AA67" i="1"/>
  <c r="W67" i="1" s="1"/>
  <c r="U61" i="1"/>
  <c r="U53" i="1"/>
  <c r="AA215" i="1"/>
  <c r="AA152" i="1"/>
  <c r="W152" i="1" s="1"/>
  <c r="AA140" i="1"/>
  <c r="AA138" i="1"/>
  <c r="AA137" i="1"/>
  <c r="AA130" i="1"/>
  <c r="W130" i="1" s="1"/>
  <c r="AA112" i="1"/>
  <c r="AA111" i="1"/>
  <c r="AA110" i="1"/>
  <c r="AA80" i="1"/>
  <c r="AA79" i="1"/>
  <c r="AA65" i="1"/>
  <c r="AA64" i="1"/>
  <c r="AA63" i="1"/>
  <c r="W63" i="1" s="1"/>
  <c r="AA55" i="1"/>
  <c r="AA47" i="1"/>
  <c r="AA46" i="1"/>
  <c r="AA36" i="1"/>
  <c r="W36" i="1" s="1"/>
  <c r="AA32" i="1"/>
  <c r="X25" i="1"/>
  <c r="AA25" i="1"/>
  <c r="AA24" i="1"/>
  <c r="W24" i="1" s="1"/>
  <c r="W205" i="1"/>
  <c r="AI205" i="1"/>
  <c r="AI197" i="1"/>
  <c r="T201" i="1"/>
  <c r="T226" i="1"/>
  <c r="U226" i="1" s="1"/>
  <c r="S226" i="1" s="1"/>
  <c r="AA225" i="1"/>
  <c r="T225" i="1"/>
  <c r="AG222" i="1"/>
  <c r="AI222" i="1" s="1"/>
  <c r="AG221" i="1"/>
  <c r="AI221" i="1" s="1"/>
  <c r="X221" i="1"/>
  <c r="AA204" i="1"/>
  <c r="T204" i="1"/>
  <c r="AG201" i="1"/>
  <c r="AG200" i="1"/>
  <c r="X193" i="1"/>
  <c r="AG193" i="1"/>
  <c r="W193" i="1" s="1"/>
  <c r="AG190" i="1"/>
  <c r="X186" i="1"/>
  <c r="AA185" i="1"/>
  <c r="T176" i="1"/>
  <c r="AG176" i="1"/>
  <c r="AI176" i="1" s="1"/>
  <c r="AA174" i="1"/>
  <c r="W174" i="1" s="1"/>
  <c r="X169" i="1"/>
  <c r="T161" i="1"/>
  <c r="X162" i="1"/>
  <c r="AG161" i="1"/>
  <c r="X227" i="1"/>
  <c r="AG156" i="1"/>
  <c r="W156" i="1" s="1"/>
  <c r="X156" i="1"/>
  <c r="X127" i="1"/>
  <c r="T222" i="1"/>
  <c r="W199" i="1"/>
  <c r="T197" i="1"/>
  <c r="U197" i="1" s="1"/>
  <c r="S197" i="1" s="1"/>
  <c r="T194" i="1"/>
  <c r="U194" i="1" s="1"/>
  <c r="S194" i="1" s="1"/>
  <c r="W192" i="1"/>
  <c r="X185" i="1"/>
  <c r="AG185" i="1"/>
  <c r="AI185" i="1" s="1"/>
  <c r="AI194" i="1"/>
  <c r="T168" i="1"/>
  <c r="AG168" i="1"/>
  <c r="U168" i="1" s="1"/>
  <c r="T216" i="1"/>
  <c r="X217" i="1"/>
  <c r="AG216" i="1"/>
  <c r="X135" i="1"/>
  <c r="AG135" i="1"/>
  <c r="W135" i="1" s="1"/>
  <c r="T135" i="1"/>
  <c r="U135" i="1" s="1"/>
  <c r="S135" i="1" s="1"/>
  <c r="T126" i="1"/>
  <c r="AG126" i="1"/>
  <c r="AI126" i="1" s="1"/>
  <c r="AI75" i="1"/>
  <c r="AG74" i="1"/>
  <c r="U74" i="1" s="1"/>
  <c r="S74" i="1" s="1"/>
  <c r="T74" i="1"/>
  <c r="X74" i="1"/>
  <c r="AI59" i="1"/>
  <c r="AG58" i="1"/>
  <c r="AI58" i="1" s="1"/>
  <c r="T58" i="1"/>
  <c r="X58" i="1"/>
  <c r="T35" i="1"/>
  <c r="X36" i="1"/>
  <c r="AG35" i="1"/>
  <c r="T23" i="1"/>
  <c r="X24" i="1"/>
  <c r="AG23" i="1"/>
  <c r="AI23" i="1" s="1"/>
  <c r="T205" i="1"/>
  <c r="U205" i="1" s="1"/>
  <c r="S205" i="1" s="1"/>
  <c r="X226" i="1"/>
  <c r="AG225" i="1"/>
  <c r="AI225" i="1" s="1"/>
  <c r="AA221" i="1"/>
  <c r="W221" i="1" s="1"/>
  <c r="AG204" i="1"/>
  <c r="AA200" i="1"/>
  <c r="W200" i="1" s="1"/>
  <c r="W190" i="1"/>
  <c r="T186" i="1"/>
  <c r="U186" i="1" s="1"/>
  <c r="S186" i="1" s="1"/>
  <c r="W184" i="1"/>
  <c r="AI174" i="1"/>
  <c r="AI186" i="1"/>
  <c r="T119" i="1"/>
  <c r="X119" i="1"/>
  <c r="AG119" i="1"/>
  <c r="T108" i="1"/>
  <c r="U108" i="1" s="1"/>
  <c r="S108" i="1" s="1"/>
  <c r="AG108" i="1"/>
  <c r="X109" i="1"/>
  <c r="AG189" i="1"/>
  <c r="X189" i="1"/>
  <c r="T185" i="1"/>
  <c r="AA182" i="1"/>
  <c r="X177" i="1"/>
  <c r="AI178" i="1"/>
  <c r="X214" i="1"/>
  <c r="AG214" i="1"/>
  <c r="W214" i="1" s="1"/>
  <c r="T214" i="1"/>
  <c r="X151" i="1"/>
  <c r="AG151" i="1"/>
  <c r="T151" i="1"/>
  <c r="AG140" i="1"/>
  <c r="X140" i="1"/>
  <c r="AA136" i="1"/>
  <c r="W136" i="1" s="1"/>
  <c r="X123" i="1"/>
  <c r="AG123" i="1"/>
  <c r="W123" i="1" s="1"/>
  <c r="T123" i="1"/>
  <c r="U123" i="1" s="1"/>
  <c r="S123" i="1" s="1"/>
  <c r="T182" i="1"/>
  <c r="AA176" i="1"/>
  <c r="W176" i="1" s="1"/>
  <c r="AA175" i="1"/>
  <c r="T174" i="1"/>
  <c r="U174" i="1" s="1"/>
  <c r="S174" i="1" s="1"/>
  <c r="AA168" i="1"/>
  <c r="AA167" i="1"/>
  <c r="W167" i="1" s="1"/>
  <c r="AA161" i="1"/>
  <c r="AA229" i="1"/>
  <c r="W229" i="1" s="1"/>
  <c r="T228" i="1"/>
  <c r="U228" i="1" s="1"/>
  <c r="S228" i="1" s="1"/>
  <c r="AA216" i="1"/>
  <c r="W216" i="1" s="1"/>
  <c r="AA212" i="1"/>
  <c r="X211" i="1"/>
  <c r="AG210" i="1"/>
  <c r="U210" i="1" s="1"/>
  <c r="X210" i="1"/>
  <c r="T152" i="1"/>
  <c r="U152" i="1" s="1"/>
  <c r="S152" i="1" s="1"/>
  <c r="AA149" i="1"/>
  <c r="W147" i="1"/>
  <c r="W143" i="1"/>
  <c r="T136" i="1"/>
  <c r="U136" i="1" s="1"/>
  <c r="S136" i="1" s="1"/>
  <c r="AA133" i="1"/>
  <c r="W133" i="1" s="1"/>
  <c r="AA126" i="1"/>
  <c r="W126" i="1" s="1"/>
  <c r="T124" i="1"/>
  <c r="U124" i="1" s="1"/>
  <c r="S124" i="1" s="1"/>
  <c r="AG94" i="1"/>
  <c r="X94" i="1"/>
  <c r="AI79" i="1"/>
  <c r="AG78" i="1"/>
  <c r="T78" i="1"/>
  <c r="U78" i="1" s="1"/>
  <c r="S78" i="1" s="1"/>
  <c r="X78" i="1"/>
  <c r="AI63" i="1"/>
  <c r="AG62" i="1"/>
  <c r="T62" i="1"/>
  <c r="X62" i="1"/>
  <c r="W59" i="1"/>
  <c r="AG54" i="1"/>
  <c r="T54" i="1"/>
  <c r="X54" i="1"/>
  <c r="AA49" i="1"/>
  <c r="U41" i="1"/>
  <c r="S41" i="1" s="1"/>
  <c r="AI41" i="1"/>
  <c r="U21" i="1"/>
  <c r="S21" i="1" s="1"/>
  <c r="AI21" i="1"/>
  <c r="W180" i="1"/>
  <c r="T178" i="1"/>
  <c r="U178" i="1" s="1"/>
  <c r="S178" i="1" s="1"/>
  <c r="T170" i="1"/>
  <c r="U170" i="1" s="1"/>
  <c r="S170" i="1" s="1"/>
  <c r="W165" i="1"/>
  <c r="AA220" i="1"/>
  <c r="AA219" i="1"/>
  <c r="W219" i="1" s="1"/>
  <c r="T211" i="1"/>
  <c r="AA209" i="1"/>
  <c r="W209" i="1" s="1"/>
  <c r="T160" i="1"/>
  <c r="U160" i="1" s="1"/>
  <c r="S160" i="1" s="1"/>
  <c r="AA157" i="1"/>
  <c r="U154" i="1"/>
  <c r="X152" i="1"/>
  <c r="AA146" i="1"/>
  <c r="W146" i="1" s="1"/>
  <c r="T144" i="1"/>
  <c r="U144" i="1" s="1"/>
  <c r="S144" i="1" s="1"/>
  <c r="X136" i="1"/>
  <c r="AA127" i="1"/>
  <c r="X124" i="1"/>
  <c r="AI71" i="1"/>
  <c r="AG70" i="1"/>
  <c r="AI70" i="1" s="1"/>
  <c r="T70" i="1"/>
  <c r="X70" i="1"/>
  <c r="AI49" i="1"/>
  <c r="T43" i="1"/>
  <c r="X44" i="1"/>
  <c r="AG43" i="1"/>
  <c r="AA41" i="1"/>
  <c r="W41" i="1" s="1"/>
  <c r="T28" i="1"/>
  <c r="X29" i="1"/>
  <c r="X28" i="1"/>
  <c r="AG28" i="1"/>
  <c r="T17" i="1"/>
  <c r="X17" i="1"/>
  <c r="AG17" i="1"/>
  <c r="AA189" i="1"/>
  <c r="W189" i="1" s="1"/>
  <c r="AA181" i="1"/>
  <c r="AG177" i="1"/>
  <c r="AA173" i="1"/>
  <c r="W173" i="1" s="1"/>
  <c r="AG169" i="1"/>
  <c r="W169" i="1" s="1"/>
  <c r="AA166" i="1"/>
  <c r="W166" i="1" s="1"/>
  <c r="W227" i="1"/>
  <c r="W210" i="1"/>
  <c r="AA208" i="1"/>
  <c r="W155" i="1"/>
  <c r="AA150" i="1"/>
  <c r="W150" i="1" s="1"/>
  <c r="T148" i="1"/>
  <c r="U148" i="1" s="1"/>
  <c r="S148" i="1" s="1"/>
  <c r="AA145" i="1"/>
  <c r="AA134" i="1"/>
  <c r="W134" i="1" s="1"/>
  <c r="T132" i="1"/>
  <c r="U132" i="1" s="1"/>
  <c r="S132" i="1" s="1"/>
  <c r="AA129" i="1"/>
  <c r="AG127" i="1"/>
  <c r="AI120" i="1"/>
  <c r="U118" i="1"/>
  <c r="S118" i="1" s="1"/>
  <c r="T113" i="1"/>
  <c r="X113" i="1"/>
  <c r="AG113" i="1"/>
  <c r="W113" i="1" s="1"/>
  <c r="X114" i="1"/>
  <c r="W112" i="1"/>
  <c r="W110" i="1"/>
  <c r="T110" i="1"/>
  <c r="U110" i="1" s="1"/>
  <c r="T97" i="1"/>
  <c r="X97" i="1"/>
  <c r="AG97" i="1"/>
  <c r="X98" i="1"/>
  <c r="W94" i="1"/>
  <c r="T92" i="1"/>
  <c r="U92" i="1" s="1"/>
  <c r="S92" i="1" s="1"/>
  <c r="X93" i="1"/>
  <c r="AG92" i="1"/>
  <c r="W85" i="1"/>
  <c r="W79" i="1"/>
  <c r="AI67" i="1"/>
  <c r="AG66" i="1"/>
  <c r="T66" i="1"/>
  <c r="U66" i="1" s="1"/>
  <c r="S66" i="1" s="1"/>
  <c r="X66" i="1"/>
  <c r="AA50" i="1"/>
  <c r="W33" i="1"/>
  <c r="AA121" i="1"/>
  <c r="AA109" i="1"/>
  <c r="T106" i="1"/>
  <c r="T105" i="1"/>
  <c r="AA100" i="1"/>
  <c r="AA99" i="1"/>
  <c r="AA93" i="1"/>
  <c r="W93" i="1" s="1"/>
  <c r="T90" i="1"/>
  <c r="U90" i="1" s="1"/>
  <c r="S90" i="1" s="1"/>
  <c r="T89" i="1"/>
  <c r="AA81" i="1"/>
  <c r="T79" i="1"/>
  <c r="U79" i="1" s="1"/>
  <c r="S79" i="1" s="1"/>
  <c r="T75" i="1"/>
  <c r="U75" i="1" s="1"/>
  <c r="S75" i="1" s="1"/>
  <c r="T71" i="1"/>
  <c r="U71" i="1" s="1"/>
  <c r="S71" i="1" s="1"/>
  <c r="T67" i="1"/>
  <c r="U67" i="1" s="1"/>
  <c r="S67" i="1" s="1"/>
  <c r="T63" i="1"/>
  <c r="U63" i="1" s="1"/>
  <c r="S63" i="1" s="1"/>
  <c r="T59" i="1"/>
  <c r="U59" i="1" s="1"/>
  <c r="S59" i="1" s="1"/>
  <c r="X49" i="1"/>
  <c r="T45" i="1"/>
  <c r="U45" i="1" s="1"/>
  <c r="S45" i="1" s="1"/>
  <c r="X41" i="1"/>
  <c r="W39" i="1"/>
  <c r="AA38" i="1"/>
  <c r="X33" i="1"/>
  <c r="AA31" i="1"/>
  <c r="AA30" i="1"/>
  <c r="AA29" i="1"/>
  <c r="W29" i="1" s="1"/>
  <c r="T25" i="1"/>
  <c r="AA20" i="1"/>
  <c r="T20" i="1"/>
  <c r="T102" i="1"/>
  <c r="W96" i="1"/>
  <c r="T86" i="1"/>
  <c r="U86" i="1" s="1"/>
  <c r="S86" i="1" s="1"/>
  <c r="W73" i="1"/>
  <c r="W69" i="1"/>
  <c r="W65" i="1"/>
  <c r="W61" i="1"/>
  <c r="W57" i="1"/>
  <c r="W53" i="1"/>
  <c r="AA52" i="1"/>
  <c r="AA48" i="1"/>
  <c r="U44" i="1"/>
  <c r="S44" i="1" s="1"/>
  <c r="AA40" i="1"/>
  <c r="W40" i="1" s="1"/>
  <c r="U37" i="1"/>
  <c r="S37" i="1" s="1"/>
  <c r="U36" i="1"/>
  <c r="W32" i="1"/>
  <c r="U29" i="1"/>
  <c r="W27" i="1"/>
  <c r="W16" i="1"/>
  <c r="AA119" i="1"/>
  <c r="W119" i="1" s="1"/>
  <c r="AA117" i="1"/>
  <c r="T114" i="1"/>
  <c r="AA108" i="1"/>
  <c r="W108" i="1" s="1"/>
  <c r="AA107" i="1"/>
  <c r="X106" i="1"/>
  <c r="AG105" i="1"/>
  <c r="AA101" i="1"/>
  <c r="AG100" i="1"/>
  <c r="U100" i="1" s="1"/>
  <c r="S100" i="1" s="1"/>
  <c r="T98" i="1"/>
  <c r="AA92" i="1"/>
  <c r="AA91" i="1"/>
  <c r="X90" i="1"/>
  <c r="AG89" i="1"/>
  <c r="AA84" i="1"/>
  <c r="AG81" i="1"/>
  <c r="U81" i="1" s="1"/>
  <c r="AA78" i="1"/>
  <c r="W78" i="1" s="1"/>
  <c r="AA74" i="1"/>
  <c r="AA70" i="1"/>
  <c r="AA66" i="1"/>
  <c r="AA62" i="1"/>
  <c r="W62" i="1" s="1"/>
  <c r="AA58" i="1"/>
  <c r="U55" i="1"/>
  <c r="S55" i="1" s="1"/>
  <c r="AA54" i="1"/>
  <c r="AA43" i="1"/>
  <c r="AA42" i="1"/>
  <c r="AA35" i="1"/>
  <c r="W35" i="1" s="1"/>
  <c r="AA34" i="1"/>
  <c r="AG31" i="1"/>
  <c r="U31" i="1" s="1"/>
  <c r="S31" i="1" s="1"/>
  <c r="AA28" i="1"/>
  <c r="AG25" i="1"/>
  <c r="W25" i="1" s="1"/>
  <c r="AA23" i="1"/>
  <c r="AA22" i="1"/>
  <c r="AA21" i="1"/>
  <c r="W21" i="1" s="1"/>
  <c r="AG20" i="1"/>
  <c r="AI226" i="1"/>
  <c r="AI218" i="1"/>
  <c r="AI210" i="1"/>
  <c r="AI202" i="1"/>
  <c r="AI195" i="1"/>
  <c r="AI187" i="1"/>
  <c r="AI179" i="1"/>
  <c r="AI171" i="1"/>
  <c r="U224" i="1"/>
  <c r="S224" i="1" s="1"/>
  <c r="AI227" i="1"/>
  <c r="W206" i="1"/>
  <c r="U203" i="1"/>
  <c r="S203" i="1" s="1"/>
  <c r="W198" i="1"/>
  <c r="U196" i="1"/>
  <c r="S196" i="1" s="1"/>
  <c r="U188" i="1"/>
  <c r="W183" i="1"/>
  <c r="U180" i="1"/>
  <c r="S180" i="1" s="1"/>
  <c r="W175" i="1"/>
  <c r="U165" i="1"/>
  <c r="S165" i="1" s="1"/>
  <c r="AI214" i="1"/>
  <c r="AI206" i="1"/>
  <c r="AI198" i="1"/>
  <c r="AI191" i="1"/>
  <c r="AI183" i="1"/>
  <c r="AI175" i="1"/>
  <c r="AA224" i="1"/>
  <c r="W224" i="1" s="1"/>
  <c r="W223" i="1"/>
  <c r="W202" i="1"/>
  <c r="U199" i="1"/>
  <c r="S199" i="1" s="1"/>
  <c r="X223" i="1"/>
  <c r="T223" i="1"/>
  <c r="U223" i="1" s="1"/>
  <c r="S223" i="1" s="1"/>
  <c r="AI223" i="1"/>
  <c r="X206" i="1"/>
  <c r="T206" i="1"/>
  <c r="U206" i="1" s="1"/>
  <c r="S206" i="1" s="1"/>
  <c r="AI219" i="1"/>
  <c r="T202" i="1"/>
  <c r="U202" i="1" s="1"/>
  <c r="S202" i="1" s="1"/>
  <c r="T198" i="1"/>
  <c r="U198" i="1" s="1"/>
  <c r="S198" i="1" s="1"/>
  <c r="AI211" i="1"/>
  <c r="X195" i="1"/>
  <c r="T195" i="1"/>
  <c r="U195" i="1" s="1"/>
  <c r="S195" i="1" s="1"/>
  <c r="S192" i="1"/>
  <c r="X191" i="1"/>
  <c r="T191" i="1"/>
  <c r="U191" i="1" s="1"/>
  <c r="S191" i="1" s="1"/>
  <c r="AI203" i="1"/>
  <c r="S188" i="1"/>
  <c r="X187" i="1"/>
  <c r="T187" i="1"/>
  <c r="U187" i="1" s="1"/>
  <c r="S187" i="1" s="1"/>
  <c r="AI199" i="1"/>
  <c r="S184" i="1"/>
  <c r="X183" i="1"/>
  <c r="T183" i="1"/>
  <c r="U183" i="1" s="1"/>
  <c r="S183" i="1" s="1"/>
  <c r="AI196" i="1"/>
  <c r="X179" i="1"/>
  <c r="T179" i="1"/>
  <c r="U179" i="1" s="1"/>
  <c r="S179" i="1" s="1"/>
  <c r="AI192" i="1"/>
  <c r="X175" i="1"/>
  <c r="T175" i="1"/>
  <c r="U175" i="1" s="1"/>
  <c r="S175" i="1" s="1"/>
  <c r="AI188" i="1"/>
  <c r="X171" i="1"/>
  <c r="T171" i="1"/>
  <c r="U171" i="1" s="1"/>
  <c r="S171" i="1" s="1"/>
  <c r="AI184" i="1"/>
  <c r="T167" i="1"/>
  <c r="U167" i="1" s="1"/>
  <c r="S167" i="1" s="1"/>
  <c r="AI180" i="1"/>
  <c r="X164" i="1"/>
  <c r="T164" i="1"/>
  <c r="U164" i="1" s="1"/>
  <c r="S164" i="1" s="1"/>
  <c r="X229" i="1"/>
  <c r="T229" i="1"/>
  <c r="U229" i="1" s="1"/>
  <c r="S229" i="1" s="1"/>
  <c r="X219" i="1"/>
  <c r="T219" i="1"/>
  <c r="U219" i="1" s="1"/>
  <c r="S219" i="1" s="1"/>
  <c r="U211" i="1"/>
  <c r="S211" i="1" s="1"/>
  <c r="S210" i="1"/>
  <c r="AI163" i="1"/>
  <c r="AA158" i="1"/>
  <c r="W158" i="1" s="1"/>
  <c r="S150" i="1"/>
  <c r="AI150" i="1"/>
  <c r="T149" i="1"/>
  <c r="X149" i="1"/>
  <c r="AG149" i="1"/>
  <c r="AA142" i="1"/>
  <c r="W142" i="1" s="1"/>
  <c r="S134" i="1"/>
  <c r="AI134" i="1"/>
  <c r="T133" i="1"/>
  <c r="X133" i="1"/>
  <c r="AG133" i="1"/>
  <c r="T125" i="1"/>
  <c r="X125" i="1"/>
  <c r="AG125" i="1"/>
  <c r="W125" i="1" s="1"/>
  <c r="AI118" i="1"/>
  <c r="T117" i="1"/>
  <c r="X117" i="1"/>
  <c r="AG117" i="1"/>
  <c r="W117" i="1" s="1"/>
  <c r="U225" i="1"/>
  <c r="S225" i="1" s="1"/>
  <c r="U221" i="1"/>
  <c r="S221" i="1" s="1"/>
  <c r="U200" i="1"/>
  <c r="S200" i="1" s="1"/>
  <c r="U193" i="1"/>
  <c r="S193" i="1" s="1"/>
  <c r="U189" i="1"/>
  <c r="S189" i="1" s="1"/>
  <c r="U177" i="1"/>
  <c r="S177" i="1" s="1"/>
  <c r="U169" i="1"/>
  <c r="S169" i="1" s="1"/>
  <c r="U227" i="1"/>
  <c r="S227" i="1" s="1"/>
  <c r="U217" i="1"/>
  <c r="S217" i="1" s="1"/>
  <c r="AI166" i="1"/>
  <c r="T208" i="1"/>
  <c r="X208" i="1"/>
  <c r="AG208" i="1"/>
  <c r="AI208" i="1" s="1"/>
  <c r="T145" i="1"/>
  <c r="X145" i="1"/>
  <c r="AG145" i="1"/>
  <c r="AI130" i="1"/>
  <c r="T129" i="1"/>
  <c r="X129" i="1"/>
  <c r="AG129" i="1"/>
  <c r="T121" i="1"/>
  <c r="X121" i="1"/>
  <c r="AG121" i="1"/>
  <c r="W121" i="1" s="1"/>
  <c r="U106" i="1"/>
  <c r="S106" i="1" s="1"/>
  <c r="AI106" i="1"/>
  <c r="AI90" i="1"/>
  <c r="T212" i="1"/>
  <c r="X212" i="1"/>
  <c r="AI158" i="1"/>
  <c r="T157" i="1"/>
  <c r="X157" i="1"/>
  <c r="AG157" i="1"/>
  <c r="W157" i="1" s="1"/>
  <c r="AI142" i="1"/>
  <c r="T141" i="1"/>
  <c r="X141" i="1"/>
  <c r="AG141" i="1"/>
  <c r="AA118" i="1"/>
  <c r="W118" i="1" s="1"/>
  <c r="AI116" i="1"/>
  <c r="U116" i="1"/>
  <c r="S116" i="1" s="1"/>
  <c r="AI228" i="1"/>
  <c r="X224" i="1"/>
  <c r="AI224" i="1"/>
  <c r="X207" i="1"/>
  <c r="AI220" i="1"/>
  <c r="AI216" i="1"/>
  <c r="X192" i="1"/>
  <c r="X188" i="1"/>
  <c r="AI200" i="1"/>
  <c r="X184" i="1"/>
  <c r="X180" i="1"/>
  <c r="AI193" i="1"/>
  <c r="X176" i="1"/>
  <c r="AI189" i="1"/>
  <c r="X172" i="1"/>
  <c r="X165" i="1"/>
  <c r="AI177" i="1"/>
  <c r="X161" i="1"/>
  <c r="AI173" i="1"/>
  <c r="X220" i="1"/>
  <c r="AI169" i="1"/>
  <c r="X216" i="1"/>
  <c r="X215" i="1"/>
  <c r="W213" i="1"/>
  <c r="U213" i="1"/>
  <c r="S213" i="1" s="1"/>
  <c r="AG212" i="1"/>
  <c r="AI212" i="1" s="1"/>
  <c r="T209" i="1"/>
  <c r="U209" i="1" s="1"/>
  <c r="S209" i="1" s="1"/>
  <c r="X209" i="1"/>
  <c r="U158" i="1"/>
  <c r="S154" i="1"/>
  <c r="AI154" i="1"/>
  <c r="T153" i="1"/>
  <c r="X153" i="1"/>
  <c r="AG153" i="1"/>
  <c r="U142" i="1"/>
  <c r="S142" i="1" s="1"/>
  <c r="T137" i="1"/>
  <c r="X137" i="1"/>
  <c r="AG137" i="1"/>
  <c r="W137" i="1" s="1"/>
  <c r="AA122" i="1"/>
  <c r="U155" i="1"/>
  <c r="S155" i="1" s="1"/>
  <c r="U151" i="1"/>
  <c r="S151" i="1" s="1"/>
  <c r="U147" i="1"/>
  <c r="S147" i="1" s="1"/>
  <c r="U143" i="1"/>
  <c r="S143" i="1" s="1"/>
  <c r="X128" i="1"/>
  <c r="T128" i="1"/>
  <c r="U128" i="1" s="1"/>
  <c r="S128" i="1" s="1"/>
  <c r="U127" i="1"/>
  <c r="S127" i="1" s="1"/>
  <c r="X120" i="1"/>
  <c r="T120" i="1"/>
  <c r="U120" i="1" s="1"/>
  <c r="S120" i="1" s="1"/>
  <c r="U119" i="1"/>
  <c r="S119" i="1" s="1"/>
  <c r="U114" i="1"/>
  <c r="S114" i="1" s="1"/>
  <c r="AI113" i="1"/>
  <c r="AI110" i="1"/>
  <c r="W106" i="1"/>
  <c r="U94" i="1"/>
  <c r="S94" i="1" s="1"/>
  <c r="AI94" i="1"/>
  <c r="W90" i="1"/>
  <c r="X158" i="1"/>
  <c r="AI155" i="1"/>
  <c r="X154" i="1"/>
  <c r="AI151" i="1"/>
  <c r="X150" i="1"/>
  <c r="AI147" i="1"/>
  <c r="X146" i="1"/>
  <c r="AI143" i="1"/>
  <c r="X142" i="1"/>
  <c r="X138" i="1"/>
  <c r="AI135" i="1"/>
  <c r="X134" i="1"/>
  <c r="X130" i="1"/>
  <c r="AI127" i="1"/>
  <c r="X126" i="1"/>
  <c r="AI123" i="1"/>
  <c r="X122" i="1"/>
  <c r="AI119" i="1"/>
  <c r="X118" i="1"/>
  <c r="T115" i="1"/>
  <c r="U115" i="1" s="1"/>
  <c r="S115" i="1" s="1"/>
  <c r="X115" i="1"/>
  <c r="U102" i="1"/>
  <c r="S102" i="1" s="1"/>
  <c r="AI102" i="1"/>
  <c r="W98" i="1"/>
  <c r="AI86" i="1"/>
  <c r="W116" i="1"/>
  <c r="U98" i="1"/>
  <c r="S98" i="1" s="1"/>
  <c r="AI98" i="1"/>
  <c r="U104" i="1"/>
  <c r="S104" i="1" s="1"/>
  <c r="U96" i="1"/>
  <c r="S96" i="1" s="1"/>
  <c r="U88" i="1"/>
  <c r="S88" i="1" s="1"/>
  <c r="X84" i="1"/>
  <c r="AI78" i="1"/>
  <c r="AI66" i="1"/>
  <c r="AI62" i="1"/>
  <c r="AI54" i="1"/>
  <c r="X112" i="1"/>
  <c r="AG111" i="1"/>
  <c r="W111" i="1" s="1"/>
  <c r="X108" i="1"/>
  <c r="AG107" i="1"/>
  <c r="AI105" i="1"/>
  <c r="X104" i="1"/>
  <c r="AG103" i="1"/>
  <c r="W103" i="1" s="1"/>
  <c r="X100" i="1"/>
  <c r="AG99" i="1"/>
  <c r="AI97" i="1"/>
  <c r="X96" i="1"/>
  <c r="AG95" i="1"/>
  <c r="W95" i="1" s="1"/>
  <c r="AI93" i="1"/>
  <c r="X92" i="1"/>
  <c r="AG91" i="1"/>
  <c r="AI89" i="1"/>
  <c r="X88" i="1"/>
  <c r="AG87" i="1"/>
  <c r="W87" i="1" s="1"/>
  <c r="T85" i="1"/>
  <c r="U85" i="1" s="1"/>
  <c r="S85" i="1" s="1"/>
  <c r="X85" i="1"/>
  <c r="AI82" i="1"/>
  <c r="U82" i="1"/>
  <c r="S82" i="1" s="1"/>
  <c r="S81" i="1"/>
  <c r="AI81" i="1"/>
  <c r="AG80" i="1"/>
  <c r="T80" i="1"/>
  <c r="X80" i="1"/>
  <c r="X111" i="1"/>
  <c r="AI108" i="1"/>
  <c r="X107" i="1"/>
  <c r="AI104" i="1"/>
  <c r="X103" i="1"/>
  <c r="AI100" i="1"/>
  <c r="X99" i="1"/>
  <c r="AI96" i="1"/>
  <c r="X95" i="1"/>
  <c r="AI92" i="1"/>
  <c r="X91" i="1"/>
  <c r="AI88" i="1"/>
  <c r="X87" i="1"/>
  <c r="W84" i="1"/>
  <c r="T84" i="1"/>
  <c r="U84" i="1" s="1"/>
  <c r="S84" i="1" s="1"/>
  <c r="W76" i="1"/>
  <c r="W72" i="1"/>
  <c r="W68" i="1"/>
  <c r="W64" i="1"/>
  <c r="W60" i="1"/>
  <c r="W52" i="1"/>
  <c r="AI76" i="1"/>
  <c r="AI72" i="1"/>
  <c r="W70" i="1"/>
  <c r="AI68" i="1"/>
  <c r="W66" i="1"/>
  <c r="AI64" i="1"/>
  <c r="AI60" i="1"/>
  <c r="AI56" i="1"/>
  <c r="W54" i="1"/>
  <c r="AI52" i="1"/>
  <c r="AI77" i="1"/>
  <c r="X76" i="1"/>
  <c r="T76" i="1"/>
  <c r="U76" i="1" s="1"/>
  <c r="S76" i="1" s="1"/>
  <c r="X72" i="1"/>
  <c r="T72" i="1"/>
  <c r="U72" i="1" s="1"/>
  <c r="S72" i="1" s="1"/>
  <c r="AI69" i="1"/>
  <c r="S69" i="1"/>
  <c r="X68" i="1"/>
  <c r="T68" i="1"/>
  <c r="U68" i="1" s="1"/>
  <c r="S68" i="1" s="1"/>
  <c r="X64" i="1"/>
  <c r="T64" i="1"/>
  <c r="U64" i="1" s="1"/>
  <c r="S64" i="1" s="1"/>
  <c r="AI61" i="1"/>
  <c r="S61" i="1"/>
  <c r="X60" i="1"/>
  <c r="T60" i="1"/>
  <c r="U60" i="1" s="1"/>
  <c r="S60" i="1" s="1"/>
  <c r="X56" i="1"/>
  <c r="T56" i="1"/>
  <c r="U56" i="1" s="1"/>
  <c r="S56" i="1" s="1"/>
  <c r="AI53" i="1"/>
  <c r="S53" i="1"/>
  <c r="X52" i="1"/>
  <c r="T52" i="1"/>
  <c r="U52" i="1" s="1"/>
  <c r="S52" i="1" s="1"/>
  <c r="W47" i="1"/>
  <c r="U16" i="1"/>
  <c r="S16" i="1" s="1"/>
  <c r="X83" i="1"/>
  <c r="X79" i="1"/>
  <c r="X75" i="1"/>
  <c r="X71" i="1"/>
  <c r="X67" i="1"/>
  <c r="X63" i="1"/>
  <c r="X59" i="1"/>
  <c r="X55" i="1"/>
  <c r="T50" i="1"/>
  <c r="X50" i="1"/>
  <c r="AG50" i="1"/>
  <c r="AI47" i="1"/>
  <c r="X81" i="1"/>
  <c r="X77" i="1"/>
  <c r="X73" i="1"/>
  <c r="X69" i="1"/>
  <c r="X65" i="1"/>
  <c r="X61" i="1"/>
  <c r="X57" i="1"/>
  <c r="X53" i="1"/>
  <c r="T51" i="1"/>
  <c r="U51" i="1" s="1"/>
  <c r="S51" i="1" s="1"/>
  <c r="X51" i="1"/>
  <c r="U39" i="1"/>
  <c r="S39" i="1" s="1"/>
  <c r="U35" i="1"/>
  <c r="S35" i="1" s="1"/>
  <c r="S29" i="1"/>
  <c r="U27" i="1"/>
  <c r="S27" i="1" s="1"/>
  <c r="U19" i="1"/>
  <c r="S19" i="1" s="1"/>
  <c r="X16" i="1"/>
  <c r="AG15" i="1"/>
  <c r="W15" i="1" s="1"/>
  <c r="X47" i="1"/>
  <c r="AG46" i="1"/>
  <c r="AI44" i="1"/>
  <c r="X43" i="1"/>
  <c r="AG42" i="1"/>
  <c r="W42" i="1" s="1"/>
  <c r="AI40" i="1"/>
  <c r="X39" i="1"/>
  <c r="AG38" i="1"/>
  <c r="W38" i="1" s="1"/>
  <c r="AI36" i="1"/>
  <c r="S36" i="1"/>
  <c r="X35" i="1"/>
  <c r="AG34" i="1"/>
  <c r="W34" i="1" s="1"/>
  <c r="AI32" i="1"/>
  <c r="X31" i="1"/>
  <c r="AG30" i="1"/>
  <c r="AI28" i="1"/>
  <c r="X27" i="1"/>
  <c r="AG26" i="1"/>
  <c r="W26" i="1" s="1"/>
  <c r="X23" i="1"/>
  <c r="AG22" i="1"/>
  <c r="AI20" i="1"/>
  <c r="X19" i="1"/>
  <c r="AG18" i="1"/>
  <c r="W18" i="1" s="1"/>
  <c r="AI16" i="1"/>
  <c r="X15" i="1"/>
  <c r="AG14" i="1"/>
  <c r="W14" i="1" s="1"/>
  <c r="X46" i="1"/>
  <c r="AI43" i="1"/>
  <c r="X42" i="1"/>
  <c r="AI39" i="1"/>
  <c r="X38" i="1"/>
  <c r="AI35" i="1"/>
  <c r="X34" i="1"/>
  <c r="X30" i="1"/>
  <c r="AI27" i="1"/>
  <c r="X26" i="1"/>
  <c r="X22" i="1"/>
  <c r="AI19" i="1"/>
  <c r="X18" i="1"/>
  <c r="AC16" i="3"/>
  <c r="AC22" i="3"/>
  <c r="Y21" i="3"/>
  <c r="Y28" i="3"/>
  <c r="Y33" i="3"/>
  <c r="Y45" i="3"/>
  <c r="Y27" i="3"/>
  <c r="Y14" i="3"/>
  <c r="Y25" i="3"/>
  <c r="Y18" i="3"/>
  <c r="AD12" i="3"/>
  <c r="Y16" i="3"/>
  <c r="Y34" i="3"/>
  <c r="Y46" i="3"/>
  <c r="Y36" i="3"/>
  <c r="Y26" i="3"/>
  <c r="Y24" i="3"/>
  <c r="Y7" i="3"/>
  <c r="AD16" i="3"/>
  <c r="AD31" i="3"/>
  <c r="AD47" i="3"/>
  <c r="AD34" i="3"/>
  <c r="AD38" i="3"/>
  <c r="AD30" i="3"/>
  <c r="AD46" i="3"/>
  <c r="AD44" i="3"/>
  <c r="AD42" i="3"/>
  <c r="AD41" i="3"/>
  <c r="AD36" i="3"/>
  <c r="AD13" i="3"/>
  <c r="AD26" i="3"/>
  <c r="AD15" i="3"/>
  <c r="AD24" i="3"/>
  <c r="AD7" i="3"/>
  <c r="AD35" i="3"/>
  <c r="AD8" i="3"/>
  <c r="AD10" i="3"/>
  <c r="AD39" i="3"/>
  <c r="AD22" i="3"/>
  <c r="AD20" i="3"/>
  <c r="AD28" i="3"/>
  <c r="AD11" i="3"/>
  <c r="AD33" i="3"/>
  <c r="AD29" i="3"/>
  <c r="AD45" i="3"/>
  <c r="AD43" i="3"/>
  <c r="AD27" i="3"/>
  <c r="AD40" i="3"/>
  <c r="AD14" i="3"/>
  <c r="AD37" i="3"/>
  <c r="AD25" i="3"/>
  <c r="AD19" i="3"/>
  <c r="AD18" i="3"/>
  <c r="AD49" i="3"/>
  <c r="AD17" i="3"/>
  <c r="AD32" i="3"/>
  <c r="AD9" i="3"/>
  <c r="AD23" i="3"/>
  <c r="Y31" i="3"/>
  <c r="Y47" i="3"/>
  <c r="Y38" i="3"/>
  <c r="Y30" i="3"/>
  <c r="Y44" i="3"/>
  <c r="Y42" i="3"/>
  <c r="Y41" i="3"/>
  <c r="Y13" i="3"/>
  <c r="Y15" i="3"/>
  <c r="Y35" i="3"/>
  <c r="Y8" i="3"/>
  <c r="Y10" i="3"/>
  <c r="Y39" i="3"/>
  <c r="Y22" i="3"/>
  <c r="AI73" i="1" l="1"/>
  <c r="AI57" i="1"/>
  <c r="W99" i="1"/>
  <c r="AI74" i="1"/>
  <c r="U112" i="1"/>
  <c r="S112" i="1" s="1"/>
  <c r="AI162" i="1"/>
  <c r="W28" i="1"/>
  <c r="U89" i="1"/>
  <c r="S89" i="1" s="1"/>
  <c r="W181" i="1"/>
  <c r="U43" i="1"/>
  <c r="S43" i="1" s="1"/>
  <c r="U70" i="1"/>
  <c r="S70" i="1" s="1"/>
  <c r="W172" i="1"/>
  <c r="U204" i="1"/>
  <c r="S204" i="1" s="1"/>
  <c r="U77" i="1"/>
  <c r="S77" i="1" s="1"/>
  <c r="U173" i="1"/>
  <c r="S173" i="1" s="1"/>
  <c r="U47" i="1"/>
  <c r="S47" i="1" s="1"/>
  <c r="U58" i="1"/>
  <c r="S58" i="1" s="1"/>
  <c r="AI172" i="1"/>
  <c r="W23" i="1"/>
  <c r="W17" i="1"/>
  <c r="U138" i="1"/>
  <c r="S138" i="1" s="1"/>
  <c r="U54" i="1"/>
  <c r="S54" i="1" s="1"/>
  <c r="U62" i="1"/>
  <c r="S62" i="1" s="1"/>
  <c r="W161" i="1"/>
  <c r="U65" i="1"/>
  <c r="S65" i="1" s="1"/>
  <c r="AI31" i="1"/>
  <c r="W58" i="1"/>
  <c r="W74" i="1"/>
  <c r="AI181" i="1"/>
  <c r="W49" i="1"/>
  <c r="U23" i="1"/>
  <c r="S23" i="1" s="1"/>
  <c r="W138" i="1"/>
  <c r="W48" i="1"/>
  <c r="AI65" i="1"/>
  <c r="S101" i="1"/>
  <c r="U139" i="1"/>
  <c r="S139" i="1" s="1"/>
  <c r="AI204" i="1"/>
  <c r="AI122" i="1"/>
  <c r="U185" i="1"/>
  <c r="S185" i="1" s="1"/>
  <c r="S168" i="1"/>
  <c r="U207" i="1"/>
  <c r="S207" i="1" s="1"/>
  <c r="W101" i="1"/>
  <c r="W31" i="1"/>
  <c r="W220" i="1"/>
  <c r="AI33" i="1"/>
  <c r="W131" i="1"/>
  <c r="W168" i="1"/>
  <c r="U182" i="1"/>
  <c r="S182" i="1" s="1"/>
  <c r="W151" i="1"/>
  <c r="W182" i="1"/>
  <c r="W207" i="1"/>
  <c r="W215" i="1"/>
  <c r="AI101" i="1"/>
  <c r="S122" i="1"/>
  <c r="AI146" i="1"/>
  <c r="S220" i="1"/>
  <c r="U20" i="1"/>
  <c r="S20" i="1" s="1"/>
  <c r="U105" i="1"/>
  <c r="S105" i="1" s="1"/>
  <c r="U24" i="1"/>
  <c r="S24" i="1" s="1"/>
  <c r="AI83" i="1"/>
  <c r="U40" i="1"/>
  <c r="S40" i="1" s="1"/>
  <c r="AI48" i="1"/>
  <c r="W22" i="1"/>
  <c r="S48" i="1"/>
  <c r="W107" i="1"/>
  <c r="AI131" i="1"/>
  <c r="W122" i="1"/>
  <c r="S146" i="1"/>
  <c r="AI168" i="1"/>
  <c r="W177" i="1"/>
  <c r="U161" i="1"/>
  <c r="S161" i="1" s="1"/>
  <c r="W55" i="1"/>
  <c r="W132" i="1"/>
  <c r="W44" i="1"/>
  <c r="U159" i="1"/>
  <c r="S158" i="1" s="1"/>
  <c r="W159" i="1"/>
  <c r="U109" i="1"/>
  <c r="S109" i="1" s="1"/>
  <c r="W109" i="1"/>
  <c r="W105" i="1"/>
  <c r="W100" i="1"/>
  <c r="U97" i="1"/>
  <c r="S97" i="1" s="1"/>
  <c r="U130" i="1"/>
  <c r="S130" i="1" s="1"/>
  <c r="W160" i="1"/>
  <c r="W170" i="1"/>
  <c r="W92" i="1"/>
  <c r="W20" i="1"/>
  <c r="U32" i="1"/>
  <c r="S32" i="1" s="1"/>
  <c r="W43" i="1"/>
  <c r="W81" i="1"/>
  <c r="W97" i="1"/>
  <c r="U113" i="1"/>
  <c r="S113" i="1" s="1"/>
  <c r="U216" i="1"/>
  <c r="S216" i="1" s="1"/>
  <c r="W225" i="1"/>
  <c r="W89" i="1"/>
  <c r="W185" i="1"/>
  <c r="U201" i="1"/>
  <c r="S201" i="1" s="1"/>
  <c r="AI201" i="1"/>
  <c r="W201" i="1"/>
  <c r="U25" i="1"/>
  <c r="S25" i="1" s="1"/>
  <c r="AI25" i="1"/>
  <c r="U28" i="1"/>
  <c r="S28" i="1" s="1"/>
  <c r="U140" i="1"/>
  <c r="S140" i="1"/>
  <c r="AI140" i="1"/>
  <c r="U214" i="1"/>
  <c r="S214" i="1" s="1"/>
  <c r="U126" i="1"/>
  <c r="S126" i="1" s="1"/>
  <c r="U176" i="1"/>
  <c r="S176" i="1" s="1"/>
  <c r="U222" i="1"/>
  <c r="S222" i="1" s="1"/>
  <c r="W222" i="1"/>
  <c r="U17" i="1"/>
  <c r="S17" i="1" s="1"/>
  <c r="AI17" i="1"/>
  <c r="W127" i="1"/>
  <c r="W140" i="1"/>
  <c r="U156" i="1"/>
  <c r="S156" i="1" s="1"/>
  <c r="AI156" i="1"/>
  <c r="U190" i="1"/>
  <c r="S190" i="1" s="1"/>
  <c r="AI190" i="1"/>
  <c r="W204" i="1"/>
  <c r="U153" i="1"/>
  <c r="S153" i="1" s="1"/>
  <c r="AI153" i="1"/>
  <c r="W153" i="1"/>
  <c r="U145" i="1"/>
  <c r="S145" i="1" s="1"/>
  <c r="AI145" i="1"/>
  <c r="U125" i="1"/>
  <c r="S125" i="1" s="1"/>
  <c r="AI125" i="1"/>
  <c r="U149" i="1"/>
  <c r="S149" i="1"/>
  <c r="AI149" i="1"/>
  <c r="U50" i="1"/>
  <c r="S50" i="1" s="1"/>
  <c r="AI50" i="1"/>
  <c r="W50" i="1"/>
  <c r="AI15" i="1"/>
  <c r="U15" i="1"/>
  <c r="S15" i="1" s="1"/>
  <c r="U212" i="1"/>
  <c r="S212" i="1" s="1"/>
  <c r="AI165" i="1"/>
  <c r="U157" i="1"/>
  <c r="S157" i="1" s="1"/>
  <c r="AI157" i="1"/>
  <c r="U129" i="1"/>
  <c r="S129" i="1" s="1"/>
  <c r="AI129" i="1"/>
  <c r="U117" i="1"/>
  <c r="S117" i="1"/>
  <c r="AI117" i="1"/>
  <c r="W129" i="1"/>
  <c r="U80" i="1"/>
  <c r="S80" i="1"/>
  <c r="AI80" i="1"/>
  <c r="W80" i="1"/>
  <c r="U137" i="1"/>
  <c r="S137" i="1"/>
  <c r="AI137" i="1"/>
  <c r="W149" i="1"/>
  <c r="U141" i="1"/>
  <c r="S141" i="1"/>
  <c r="AI141" i="1"/>
  <c r="W145" i="1"/>
  <c r="W212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46" i="1"/>
  <c r="U46" i="1"/>
  <c r="S46" i="1" s="1"/>
  <c r="W30" i="1"/>
  <c r="W46" i="1"/>
  <c r="AI87" i="1"/>
  <c r="U87" i="1"/>
  <c r="S87" i="1" s="1"/>
  <c r="AI91" i="1"/>
  <c r="U91" i="1"/>
  <c r="S91" i="1" s="1"/>
  <c r="AI95" i="1"/>
  <c r="U95" i="1"/>
  <c r="S95" i="1" s="1"/>
  <c r="AI99" i="1"/>
  <c r="U99" i="1"/>
  <c r="S99" i="1" s="1"/>
  <c r="AI103" i="1"/>
  <c r="U103" i="1"/>
  <c r="S103" i="1" s="1"/>
  <c r="AI107" i="1"/>
  <c r="U107" i="1"/>
  <c r="S107" i="1" s="1"/>
  <c r="AI111" i="1"/>
  <c r="U111" i="1"/>
  <c r="S111" i="1" s="1"/>
  <c r="W91" i="1"/>
  <c r="U121" i="1"/>
  <c r="S121" i="1" s="1"/>
  <c r="AI121" i="1"/>
  <c r="W141" i="1"/>
  <c r="U208" i="1"/>
  <c r="S208" i="1" s="1"/>
  <c r="AI161" i="1"/>
  <c r="U133" i="1"/>
  <c r="S133" i="1" s="1"/>
  <c r="AI133" i="1"/>
  <c r="W208" i="1"/>
  <c r="M48" i="3"/>
  <c r="U48" i="3"/>
  <c r="V48" i="3"/>
  <c r="W48" i="3"/>
  <c r="X48" i="3"/>
  <c r="M28" i="5"/>
  <c r="T48" i="3" l="1"/>
  <c r="AD21" i="3"/>
  <c r="AC48" i="3"/>
  <c r="R48" i="3"/>
  <c r="S48" i="3"/>
  <c r="Y48" i="3"/>
  <c r="AD48" i="3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86" i="9" l="1"/>
  <c r="B87" i="9"/>
  <c r="C87" i="9" l="1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C78" i="9" l="1"/>
  <c r="C74" i="9"/>
  <c r="C70" i="9"/>
  <c r="C66" i="9"/>
  <c r="C62" i="9"/>
  <c r="C76" i="9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22" i="3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9" i="3" s="1"/>
  <c r="G33" i="4"/>
  <c r="N9" i="3" s="1"/>
  <c r="G34" i="4"/>
  <c r="G35" i="4"/>
  <c r="G36" i="4"/>
  <c r="G37" i="4"/>
  <c r="G38" i="4"/>
  <c r="G39" i="4"/>
  <c r="N10" i="3" s="1"/>
  <c r="G40" i="4"/>
  <c r="G41" i="4"/>
  <c r="G42" i="4"/>
  <c r="G43" i="4"/>
  <c r="G44" i="4"/>
  <c r="N32" i="3" s="1"/>
  <c r="G45" i="4"/>
  <c r="G46" i="4"/>
  <c r="G47" i="4"/>
  <c r="G48" i="4"/>
  <c r="G49" i="4"/>
  <c r="G50" i="4"/>
  <c r="G51" i="4"/>
  <c r="G52" i="4"/>
  <c r="G53" i="4"/>
  <c r="N17" i="3" s="1"/>
  <c r="G54" i="4"/>
  <c r="N8" i="3" s="1"/>
  <c r="G55" i="4"/>
  <c r="G56" i="4"/>
  <c r="G57" i="4"/>
  <c r="G58" i="4"/>
  <c r="G59" i="4"/>
  <c r="N35" i="3" s="1"/>
  <c r="G60" i="4"/>
  <c r="G61" i="4"/>
  <c r="G62" i="4"/>
  <c r="G63" i="4"/>
  <c r="G64" i="4"/>
  <c r="G65" i="4"/>
  <c r="N7" i="3" s="1"/>
  <c r="G66" i="4"/>
  <c r="G67" i="4"/>
  <c r="G68" i="4"/>
  <c r="N49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24" i="3" s="1"/>
  <c r="G86" i="4"/>
  <c r="G87" i="4"/>
  <c r="N18" i="3" s="1"/>
  <c r="G88" i="4"/>
  <c r="G89" i="4"/>
  <c r="N19" i="3" s="1"/>
  <c r="G90" i="4"/>
  <c r="G91" i="4"/>
  <c r="G92" i="4"/>
  <c r="G93" i="4"/>
  <c r="G94" i="4"/>
  <c r="G95" i="4"/>
  <c r="G96" i="4"/>
  <c r="G97" i="4"/>
  <c r="N15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25" i="3" s="1"/>
  <c r="G115" i="4"/>
  <c r="G116" i="4"/>
  <c r="G117" i="4"/>
  <c r="G118" i="4"/>
  <c r="G119" i="4"/>
  <c r="N26" i="3" s="1"/>
  <c r="G120" i="4"/>
  <c r="G121" i="4"/>
  <c r="G122" i="4"/>
  <c r="G123" i="4"/>
  <c r="G124" i="4"/>
  <c r="G125" i="4"/>
  <c r="N37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27" i="3" s="1"/>
  <c r="G160" i="4"/>
  <c r="N36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33" i="3" s="1"/>
  <c r="G205" i="4"/>
  <c r="G206" i="4"/>
  <c r="G207" i="4"/>
  <c r="G208" i="4"/>
  <c r="G209" i="4"/>
  <c r="G210" i="4"/>
  <c r="G211" i="4"/>
  <c r="G212" i="4"/>
  <c r="G213" i="4"/>
  <c r="N34" i="3" s="1"/>
  <c r="G214" i="4"/>
  <c r="N38" i="3" s="1"/>
  <c r="G215" i="4"/>
  <c r="N28" i="3" s="1"/>
  <c r="G216" i="4"/>
  <c r="N47" i="3" s="1"/>
  <c r="G217" i="4"/>
  <c r="G218" i="4"/>
  <c r="N11" i="3" s="1"/>
  <c r="G219" i="4"/>
  <c r="G220" i="4"/>
  <c r="N20" i="3" s="1"/>
  <c r="G221" i="4"/>
  <c r="G222" i="4"/>
  <c r="N31" i="3" s="1"/>
  <c r="G223" i="4"/>
  <c r="G224" i="4"/>
  <c r="G225" i="4"/>
  <c r="N21" i="3" s="1"/>
  <c r="G226" i="4"/>
  <c r="G227" i="4"/>
  <c r="G228" i="4"/>
  <c r="G229" i="4"/>
  <c r="N16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2" i="3" l="1"/>
  <c r="N43" i="3"/>
  <c r="N12" i="3"/>
  <c r="N23" i="3"/>
  <c r="N40" i="3"/>
  <c r="N41" i="3"/>
  <c r="N45" i="3"/>
  <c r="N46" i="3"/>
  <c r="N44" i="3"/>
  <c r="N29" i="3"/>
  <c r="N30" i="3"/>
  <c r="N14" i="3"/>
  <c r="N13" i="3"/>
  <c r="H6" i="6"/>
  <c r="H4" i="6"/>
  <c r="H5" i="6"/>
  <c r="N48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<sst xmlns="http://schemas.openxmlformats.org/spreadsheetml/2006/main" count="2681" uniqueCount="980">
  <si>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</si>
  <si>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</si>
  <si>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</si>
  <si>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</si>
  <si>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</si>
  <si>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</si>
  <si>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</si>
  <si>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</si>
  <si>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</si>
  <si>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</si>
  <si>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</si>
  <si>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</si>
  <si>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</si>
  <si>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</si>
  <si>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</si>
  <si>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</si>
  <si>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</si>
  <si>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</si>
  <si>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</si>
  <si>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</si>
  <si>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</si>
  <si>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</si>
  <si>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</si>
  <si>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</si>
  <si>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</si>
  <si>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</si>
  <si>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</si>
  <si>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</si>
  <si>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</si>
  <si>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</si>
  <si>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</si>
  <si>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</si>
  <si>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</si>
  <si>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</si>
  <si>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</si>
  <si>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</si>
  <si>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</si>
  <si>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</si>
  <si>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</si>
  <si>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</si>
  <si>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</si>
  <si>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</si>
  <si>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</si>
  <si>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</si>
  <si>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</si>
  <si>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</si>
  <si>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</si>
  <si>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</si>
  <si>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</si>
  <si>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</si>
  <si>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</si>
  <si>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</si>
  <si>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</si>
  <si>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</si>
  <si>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</si>
  <si>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</si>
  <si>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</si>
  <si>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</si>
  <si>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</si>
  <si>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</si>
  <si>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</si>
  <si>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</si>
  <si>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</si>
  <si>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</si>
  <si>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</si>
  <si>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</si>
  <si>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</si>
  <si>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</si>
  <si>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</si>
  <si>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</si>
  <si>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</si>
  <si>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</si>
  <si>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</si>
  <si>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</si>
  <si>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</si>
  <si>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</si>
  <si>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</si>
  <si>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</si>
  <si>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</si>
  <si>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</si>
  <si>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</si>
  <si>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</si>
  <si>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</si>
  <si>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</si>
  <si>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</si>
  <si>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</si>
  <si>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</si>
  <si>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</si>
  <si>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</si>
  <si>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</si>
  <si>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</si>
  <si>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</si>
  <si>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</si>
  <si>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</si>
  <si>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</si>
  <si>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</si>
  <si>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</si>
  <si>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</si>
  <si>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</si>
  <si>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</si>
  <si>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</si>
  <si>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</si>
  <si>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</si>
  <si>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</si>
  <si>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</si>
  <si>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</si>
  <si>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</si>
  <si>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</si>
  <si>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</si>
  <si>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</si>
  <si>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</si>
  <si>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</si>
  <si>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</si>
  <si>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</si>
  <si>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</si>
  <si>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</si>
  <si>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</si>
  <si>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</si>
  <si>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</si>
  <si>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</si>
  <si>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</si>
  <si>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</si>
  <si>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</si>
  <si>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</si>
  <si>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</si>
  <si>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</si>
  <si>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</si>
  <si>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</si>
  <si>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</si>
  <si>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</si>
  <si>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</si>
  <si>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</si>
  <si>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</si>
  <si>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</si>
  <si>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</si>
  <si>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</si>
  <si>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</si>
  <si>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</si>
  <si>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</si>
  <si>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</si>
  <si>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</si>
  <si>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</si>
  <si>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</si>
  <si>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</si>
  <si>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</si>
  <si>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</si>
  <si>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</si>
  <si>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</si>
  <si>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</si>
  <si>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</si>
  <si>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</si>
  <si>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</si>
  <si>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</si>
  <si>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</si>
  <si>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</si>
  <si>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</si>
  <si>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</si>
  <si>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</si>
  <si>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</si>
  <si>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</si>
  <si>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</si>
  <si>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</si>
  <si>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</si>
  <si>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</si>
  <si>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</si>
  <si>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</si>
  <si>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</si>
  <si>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</si>
  <si>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</si>
  <si>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</si>
  <si>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</si>
  <si>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</si>
  <si>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</si>
  <si>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</si>
  <si>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</si>
  <si>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</si>
  <si>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</si>
  <si>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</si>
  <si>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</si>
  <si>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</si>
  <si>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</si>
  <si>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</si>
  <si>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</si>
  <si>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</si>
  <si>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</si>
  <si>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</si>
  <si>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</si>
  <si>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</si>
  <si>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</si>
  <si>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</si>
  <si>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</si>
  <si>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</si>
  <si>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</si>
  <si>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</si>
  <si>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</si>
  <si>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</si>
  <si>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</si>
  <si>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</si>
  <si>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</si>
  <si>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</si>
  <si>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</si>
  <si>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</si>
  <si>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</si>
  <si>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</si>
  <si>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</si>
  <si>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</si>
  <si>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</si>
  <si>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</si>
  <si>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</si>
  <si>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</si>
  <si>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</si>
  <si>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</si>
  <si>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</si>
  <si>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</si>
  <si>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</si>
  <si>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</si>
  <si>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</si>
  <si>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</si>
  <si>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</si>
  <si>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</si>
  <si>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</si>
  <si>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</si>
  <si>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</si>
  <si>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</si>
  <si>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</si>
  <si>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</si>
  <si>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</si>
  <si>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</si>
  <si>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</si>
  <si>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</si>
  <si>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</si>
  <si>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</si>
  <si>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</si>
  <si>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</si>
  <si>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</si>
  <si>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</si>
  <si>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</si>
  <si>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</si>
  <si>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</si>
  <si>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</si>
  <si>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</si>
  <si>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</si>
  <si>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</si>
  <si>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</si>
  <si>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</si>
  <si>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</si>
  <si>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</si>
  <si>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</si>
  <si>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</si>
  <si>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</si>
  <si>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</si>
  <si>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</si>
  <si>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</si>
  <si>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</si>
  <si>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</si>
  <si>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</si>
  <si>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</si>
  <si>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</si>
  <si>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</si>
  <si>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</si>
  <si>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</si>
  <si>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</si>
  <si>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</si>
  <si>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</si>
  <si>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</si>
  <si>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</si>
  <si>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</si>
  <si>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</si>
  <si>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</si>
  <si>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</si>
  <si>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</si>
  <si>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</si>
  <si>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</si>
  <si>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</si>
  <si>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</si>
  <si>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</si>
  <si>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</si>
  <si>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</si>
  <si>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</si>
  <si>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</si>
  <si>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</si>
  <si>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</si>
  <si>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</si>
  <si>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SMITH</t>
  </si>
  <si>
    <t>NEWELL</t>
  </si>
  <si>
    <t>204:449</t>
  </si>
  <si>
    <t>204:469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</si>
  <si>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</si>
  <si>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</si>
  <si>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</si>
  <si>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</si>
  <si>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</si>
  <si>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</si>
  <si>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</si>
  <si>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</si>
  <si>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</si>
  <si>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</si>
  <si>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</si>
  <si>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</si>
  <si>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</si>
  <si>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</si>
  <si>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</si>
  <si>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</si>
  <si>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</si>
  <si>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</si>
  <si>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</si>
  <si>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</si>
  <si>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</si>
  <si>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</si>
  <si>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</si>
  <si>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</si>
  <si>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</si>
  <si>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204:232981</t>
  </si>
  <si>
    <t>204:433</t>
  </si>
  <si>
    <t>204:745</t>
  </si>
  <si>
    <t>204:232984</t>
  </si>
  <si>
    <t>204:170</t>
  </si>
  <si>
    <t>204:473</t>
  </si>
  <si>
    <t>204:233301</t>
  </si>
  <si>
    <t>204:233285</t>
  </si>
  <si>
    <t>204:233297</t>
  </si>
  <si>
    <t>300:23302</t>
  </si>
  <si>
    <t>rtdc.l.rtdc.4019:itc</t>
  </si>
  <si>
    <t>STARKS</t>
  </si>
  <si>
    <t>ANGELINA</t>
  </si>
  <si>
    <t>SIMMONS</t>
  </si>
  <si>
    <t>SHYHESHA</t>
  </si>
  <si>
    <t>rtdc.l.rtdc.4020:itc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</si>
  <si>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</si>
  <si>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</si>
  <si>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</si>
  <si>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</si>
  <si>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</si>
  <si>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</si>
  <si>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</si>
  <si>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</si>
  <si>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partly-cloudy-day</t>
  </si>
  <si>
    <t>Mostly Cloudy</t>
  </si>
  <si>
    <t>204:748</t>
  </si>
  <si>
    <t>204:233312</t>
  </si>
  <si>
    <t>204:233293</t>
  </si>
  <si>
    <t>204:233288</t>
  </si>
  <si>
    <t>204:232959</t>
  </si>
  <si>
    <t>204:232991</t>
  </si>
  <si>
    <t>204:233300</t>
  </si>
  <si>
    <t>204:233325</t>
  </si>
  <si>
    <t>204:152</t>
  </si>
  <si>
    <t>204:232967</t>
  </si>
  <si>
    <t>204:232955</t>
  </si>
  <si>
    <t>204:232975</t>
  </si>
  <si>
    <t>204:233002</t>
  </si>
  <si>
    <t>204:232969</t>
  </si>
  <si>
    <t>204:232979</t>
  </si>
  <si>
    <t>204:232980</t>
  </si>
  <si>
    <t>204:232983</t>
  </si>
  <si>
    <t>204:232982</t>
  </si>
  <si>
    <t>204:466</t>
  </si>
  <si>
    <t>204:491</t>
  </si>
  <si>
    <t>204:165</t>
  </si>
  <si>
    <t>300:58609</t>
  </si>
  <si>
    <t>300:58608</t>
  </si>
  <si>
    <t>204:971</t>
  </si>
  <si>
    <t>300:58922</t>
  </si>
  <si>
    <t>300:58604</t>
  </si>
  <si>
    <t>ISHMAEL</t>
  </si>
  <si>
    <t>JOSEPH</t>
  </si>
  <si>
    <t>GEBRETEKLE</t>
  </si>
  <si>
    <t>DAGNEW</t>
  </si>
  <si>
    <t>BONDS</t>
  </si>
  <si>
    <t>REYNALDO</t>
  </si>
  <si>
    <t>HELVIE</t>
  </si>
  <si>
    <t>ADAM</t>
  </si>
  <si>
    <t>BRANNON</t>
  </si>
  <si>
    <t>JEFFREY</t>
  </si>
  <si>
    <t>BRUDER</t>
  </si>
  <si>
    <t>RICHARD</t>
  </si>
  <si>
    <t>HILLS</t>
  </si>
  <si>
    <t>DUSTIN</t>
  </si>
  <si>
    <t>BROWN</t>
  </si>
  <si>
    <t>JACOB</t>
  </si>
  <si>
    <t>rtdc.l.rtdc.4029:itc</t>
  </si>
  <si>
    <t>204:233319</t>
  </si>
  <si>
    <t>204:781</t>
  </si>
  <si>
    <t>204:158</t>
  </si>
  <si>
    <t>204:475</t>
  </si>
  <si>
    <t>204:232966</t>
  </si>
  <si>
    <t>204:232998</t>
  </si>
  <si>
    <t>204:233304</t>
  </si>
  <si>
    <t>204:233303</t>
  </si>
  <si>
    <t>204:232987</t>
  </si>
  <si>
    <t>204:141</t>
  </si>
  <si>
    <t>204:233307</t>
  </si>
  <si>
    <t>204:233314</t>
  </si>
  <si>
    <t>204:233276</t>
  </si>
  <si>
    <t>204:233282</t>
  </si>
  <si>
    <t>204:233272</t>
  </si>
  <si>
    <t>204:233027</t>
  </si>
  <si>
    <t>204:233338</t>
  </si>
  <si>
    <t>204:233329</t>
  </si>
  <si>
    <t>204:233011</t>
  </si>
  <si>
    <t>300:23310</t>
  </si>
  <si>
    <t>204:715</t>
  </si>
  <si>
    <t>300:58583</t>
  </si>
  <si>
    <t>204:722</t>
  </si>
  <si>
    <t>300:58594</t>
  </si>
  <si>
    <t>204:976</t>
  </si>
  <si>
    <t>204:958</t>
  </si>
  <si>
    <t>204:965</t>
  </si>
  <si>
    <t>300:58935</t>
  </si>
  <si>
    <t>204:694</t>
  </si>
  <si>
    <t>300:58651</t>
  </si>
  <si>
    <t>204:986</t>
  </si>
  <si>
    <t>204:981</t>
  </si>
  <si>
    <t>204:663</t>
  </si>
  <si>
    <t>300:58617</t>
  </si>
  <si>
    <t>204:978</t>
  </si>
  <si>
    <t>300:58963</t>
  </si>
  <si>
    <t>300:28789</t>
  </si>
  <si>
    <t>300:58643</t>
  </si>
  <si>
    <t>Cancelled</t>
  </si>
  <si>
    <t>rtdc.l.rtdc.4008:itc</t>
  </si>
  <si>
    <t>310-23</t>
  </si>
  <si>
    <t>104-23</t>
  </si>
  <si>
    <t>102-23</t>
  </si>
  <si>
    <t>801-23</t>
  </si>
  <si>
    <t>112-23</t>
  </si>
  <si>
    <t>121-23</t>
  </si>
  <si>
    <t>rtdc.l.rtdc.4025:itc</t>
  </si>
  <si>
    <t>125-23</t>
  </si>
  <si>
    <t>131-23</t>
  </si>
  <si>
    <t>124-23</t>
  </si>
  <si>
    <t>808-23</t>
  </si>
  <si>
    <t>903-23</t>
  </si>
  <si>
    <t>SWITCH UNKNOWN</t>
  </si>
  <si>
    <t>Track device (7)</t>
  </si>
  <si>
    <t>132-23</t>
  </si>
  <si>
    <t>148-23</t>
  </si>
  <si>
    <t>146-23</t>
  </si>
  <si>
    <t>150-23</t>
  </si>
  <si>
    <t>156-23</t>
  </si>
  <si>
    <t>166-23</t>
  </si>
  <si>
    <t>170-23</t>
  </si>
  <si>
    <t>822-23</t>
  </si>
  <si>
    <t>197-23</t>
  </si>
  <si>
    <t>830-23</t>
  </si>
  <si>
    <t>831-23</t>
  </si>
  <si>
    <t>198-23</t>
  </si>
  <si>
    <t>835-23</t>
  </si>
  <si>
    <t>839-23</t>
  </si>
  <si>
    <t>220-23</t>
  </si>
  <si>
    <t>227-23</t>
  </si>
  <si>
    <t>844-23</t>
  </si>
  <si>
    <t>232-23</t>
  </si>
  <si>
    <t>233-23</t>
  </si>
  <si>
    <t>rtdc.l.rtdc.4026:itc</t>
  </si>
  <si>
    <t>230-23</t>
  </si>
  <si>
    <t>847-23</t>
  </si>
  <si>
    <t>234-23</t>
  </si>
  <si>
    <t>236-23</t>
  </si>
  <si>
    <t>238-23</t>
  </si>
  <si>
    <t>242-23</t>
  </si>
  <si>
    <t>242-22</t>
  </si>
  <si>
    <t>244-22</t>
  </si>
  <si>
    <t>311-22</t>
  </si>
  <si>
    <t>313-22</t>
  </si>
  <si>
    <t>315-22</t>
  </si>
  <si>
    <t>302-23</t>
  </si>
  <si>
    <t>101-23</t>
  </si>
  <si>
    <t>304-23</t>
  </si>
  <si>
    <t>WENDY</t>
  </si>
  <si>
    <t>103-23</t>
  </si>
  <si>
    <t>306-23</t>
  </si>
  <si>
    <t>ROBINSON</t>
  </si>
  <si>
    <t>KADDIBA</t>
  </si>
  <si>
    <t>105-23</t>
  </si>
  <si>
    <t>308-23</t>
  </si>
  <si>
    <t>107-23</t>
  </si>
  <si>
    <t>rtdc.l.rtdc.4007:itc</t>
  </si>
  <si>
    <t>109-23</t>
  </si>
  <si>
    <t>901-23</t>
  </si>
  <si>
    <t>113-23</t>
  </si>
  <si>
    <t>111-23</t>
  </si>
  <si>
    <t>106-23</t>
  </si>
  <si>
    <t>800-23</t>
  </si>
  <si>
    <t>108-23</t>
  </si>
  <si>
    <t>115-23</t>
  </si>
  <si>
    <t>SIMONEAUX</t>
  </si>
  <si>
    <t>TERA</t>
  </si>
  <si>
    <t>110-23</t>
  </si>
  <si>
    <t>117-23</t>
  </si>
  <si>
    <t>902-23</t>
  </si>
  <si>
    <t>SHOOK</t>
  </si>
  <si>
    <t>119-23</t>
  </si>
  <si>
    <t>114-23</t>
  </si>
  <si>
    <t>803-23</t>
  </si>
  <si>
    <t>802-23</t>
  </si>
  <si>
    <t>123-23</t>
  </si>
  <si>
    <t>116-23</t>
  </si>
  <si>
    <t>118-23</t>
  </si>
  <si>
    <t>804-23</t>
  </si>
  <si>
    <t>120-23</t>
  </si>
  <si>
    <t>805-23</t>
  </si>
  <si>
    <t>127-23</t>
  </si>
  <si>
    <t>807-23</t>
  </si>
  <si>
    <t>122-23</t>
  </si>
  <si>
    <t>129-23</t>
  </si>
  <si>
    <t>806-23</t>
  </si>
  <si>
    <t>809-23</t>
  </si>
  <si>
    <t>126-23</t>
  </si>
  <si>
    <t>133-23</t>
  </si>
  <si>
    <t>128-23</t>
  </si>
  <si>
    <t>135-23</t>
  </si>
  <si>
    <t>130-23</t>
  </si>
  <si>
    <t>810-23</t>
  </si>
  <si>
    <t>137-23</t>
  </si>
  <si>
    <t>CUSHING</t>
  </si>
  <si>
    <t>HARRY</t>
  </si>
  <si>
    <t>139-23</t>
  </si>
  <si>
    <t>SANTIZO</t>
  </si>
  <si>
    <t>D. EDY</t>
  </si>
  <si>
    <t>811-23</t>
  </si>
  <si>
    <t>134-23</t>
  </si>
  <si>
    <t>141-23</t>
  </si>
  <si>
    <t>812-23</t>
  </si>
  <si>
    <t>136-23</t>
  </si>
  <si>
    <t>143-23</t>
  </si>
  <si>
    <t>138-23</t>
  </si>
  <si>
    <t>813-23</t>
  </si>
  <si>
    <t>140-23</t>
  </si>
  <si>
    <t>145-23</t>
  </si>
  <si>
    <t>147-23</t>
  </si>
  <si>
    <t>142-23</t>
  </si>
  <si>
    <t>149-23</t>
  </si>
  <si>
    <t>814-23</t>
  </si>
  <si>
    <t>144-23</t>
  </si>
  <si>
    <t>151-23</t>
  </si>
  <si>
    <t>815-23</t>
  </si>
  <si>
    <t>153-23</t>
  </si>
  <si>
    <t>155-23</t>
  </si>
  <si>
    <t>816-23</t>
  </si>
  <si>
    <t>157-23</t>
  </si>
  <si>
    <t>152-23</t>
  </si>
  <si>
    <t>SAFIEF</t>
  </si>
  <si>
    <t>AEIMEN</t>
  </si>
  <si>
    <t>159-23</t>
  </si>
  <si>
    <t>STEWART</t>
  </si>
  <si>
    <t>817-23</t>
  </si>
  <si>
    <t>154-23</t>
  </si>
  <si>
    <t>161-23</t>
  </si>
  <si>
    <t>DE LA ROSA</t>
  </si>
  <si>
    <t>ALEX</t>
  </si>
  <si>
    <t>163-23</t>
  </si>
  <si>
    <t>rtdc.l.rtdc.4054:itc</t>
  </si>
  <si>
    <t>50-23</t>
  </si>
  <si>
    <t>158-23</t>
  </si>
  <si>
    <t>818-23</t>
  </si>
  <si>
    <t>165-23</t>
  </si>
  <si>
    <t>160-23</t>
  </si>
  <si>
    <t>167-23</t>
  </si>
  <si>
    <t>819-23</t>
  </si>
  <si>
    <t>162-23</t>
  </si>
  <si>
    <t>rtdc.l.rtdc.4053:itc</t>
  </si>
  <si>
    <t>51-23</t>
  </si>
  <si>
    <t>STRICKLAND</t>
  </si>
  <si>
    <t>EVAN</t>
  </si>
  <si>
    <t>164-23</t>
  </si>
  <si>
    <t>169-23</t>
  </si>
  <si>
    <t>KILLION</t>
  </si>
  <si>
    <t>171-23</t>
  </si>
  <si>
    <t>173-23</t>
  </si>
  <si>
    <t>820-23</t>
  </si>
  <si>
    <t>168-23</t>
  </si>
  <si>
    <t>175-23</t>
  </si>
  <si>
    <t>821-23</t>
  </si>
  <si>
    <t>177-23</t>
  </si>
  <si>
    <t>172-23</t>
  </si>
  <si>
    <t>179-23</t>
  </si>
  <si>
    <t>174-23</t>
  </si>
  <si>
    <t>181-23</t>
  </si>
  <si>
    <t>176-23</t>
  </si>
  <si>
    <t>183-23</t>
  </si>
  <si>
    <t>178-23</t>
  </si>
  <si>
    <t>185-23</t>
  </si>
  <si>
    <t>823-23</t>
  </si>
  <si>
    <t>180-23</t>
  </si>
  <si>
    <t>187-23</t>
  </si>
  <si>
    <t>182-23</t>
  </si>
  <si>
    <t>189-23</t>
  </si>
  <si>
    <t>824-23</t>
  </si>
  <si>
    <t>184-23</t>
  </si>
  <si>
    <t>191-23</t>
  </si>
  <si>
    <t>186-23</t>
  </si>
  <si>
    <t>193-23</t>
  </si>
  <si>
    <t>825-23</t>
  </si>
  <si>
    <t>188-23</t>
  </si>
  <si>
    <t>195-23</t>
  </si>
  <si>
    <t>LEVERE</t>
  </si>
  <si>
    <t>CRAIG</t>
  </si>
  <si>
    <t>904-23</t>
  </si>
  <si>
    <t>190-23</t>
  </si>
  <si>
    <t>826-23</t>
  </si>
  <si>
    <t>827-23</t>
  </si>
  <si>
    <t>192-23</t>
  </si>
  <si>
    <t>199-23</t>
  </si>
  <si>
    <t>DELGADO</t>
  </si>
  <si>
    <t>DIANAH</t>
  </si>
  <si>
    <t>194-23</t>
  </si>
  <si>
    <t>201-23</t>
  </si>
  <si>
    <t>829-23</t>
  </si>
  <si>
    <t>828-23</t>
  </si>
  <si>
    <t>196-23</t>
  </si>
  <si>
    <t>203-23</t>
  </si>
  <si>
    <t>205-23</t>
  </si>
  <si>
    <t>200-23</t>
  </si>
  <si>
    <t>207-23</t>
  </si>
  <si>
    <t>202-23</t>
  </si>
  <si>
    <t>832-23</t>
  </si>
  <si>
    <t>209-23</t>
  </si>
  <si>
    <t>833-23</t>
  </si>
  <si>
    <t>204-23</t>
  </si>
  <si>
    <t>211-23</t>
  </si>
  <si>
    <t>206-23</t>
  </si>
  <si>
    <t>75-23</t>
  </si>
  <si>
    <t>ARVIDSON</t>
  </si>
  <si>
    <t>DANIEL</t>
  </si>
  <si>
    <t>834-23</t>
  </si>
  <si>
    <t>213-23</t>
  </si>
  <si>
    <t>208-23</t>
  </si>
  <si>
    <t>215-23</t>
  </si>
  <si>
    <t>70-23</t>
  </si>
  <si>
    <t>210-23</t>
  </si>
  <si>
    <t>836-23</t>
  </si>
  <si>
    <t>217-23</t>
  </si>
  <si>
    <t>837-23</t>
  </si>
  <si>
    <t>212-23</t>
  </si>
  <si>
    <t>219-23</t>
  </si>
  <si>
    <t>214-23</t>
  </si>
  <si>
    <t>71-23</t>
  </si>
  <si>
    <t>838-23</t>
  </si>
  <si>
    <t>303-23</t>
  </si>
  <si>
    <t>216-23</t>
  </si>
  <si>
    <t>221-23</t>
  </si>
  <si>
    <t>218-23</t>
  </si>
  <si>
    <t>906-23</t>
  </si>
  <si>
    <t>305-23</t>
  </si>
  <si>
    <t>841-23</t>
  </si>
  <si>
    <t>223-23</t>
  </si>
  <si>
    <t>307-23</t>
  </si>
  <si>
    <t>840-23</t>
  </si>
  <si>
    <t>222-23</t>
  </si>
  <si>
    <t>225-23</t>
  </si>
  <si>
    <t>843-23</t>
  </si>
  <si>
    <t>224-23</t>
  </si>
  <si>
    <t>842-23</t>
  </si>
  <si>
    <t>229-23</t>
  </si>
  <si>
    <t>226-23</t>
  </si>
  <si>
    <t>845-23</t>
  </si>
  <si>
    <t>228-23</t>
  </si>
  <si>
    <t>231-23</t>
  </si>
  <si>
    <t>235-23</t>
  </si>
  <si>
    <t>908-23</t>
  </si>
  <si>
    <t>237-23</t>
  </si>
  <si>
    <t>239-23</t>
  </si>
  <si>
    <t>241-23</t>
  </si>
  <si>
    <t>243-23</t>
  </si>
  <si>
    <t>240-23</t>
  </si>
  <si>
    <t>245-23</t>
  </si>
  <si>
    <t>244-23</t>
  </si>
  <si>
    <t>309-23</t>
  </si>
  <si>
    <t>311-23</t>
  </si>
  <si>
    <t>246-23</t>
  </si>
  <si>
    <t>313-23</t>
  </si>
  <si>
    <t>315-23</t>
  </si>
  <si>
    <t>precipAccumulation</t>
  </si>
  <si>
    <t>precipType</t>
  </si>
  <si>
    <t>snow</t>
  </si>
  <si>
    <t>Flurries</t>
  </si>
  <si>
    <t>clear-day</t>
  </si>
  <si>
    <t>Clear</t>
  </si>
  <si>
    <t>clear-night</t>
  </si>
  <si>
    <t>204:752</t>
  </si>
  <si>
    <t>204:232666</t>
  </si>
  <si>
    <t>204:757</t>
  </si>
  <si>
    <t>204:232687</t>
  </si>
  <si>
    <t>204:673</t>
  </si>
  <si>
    <t>204:233406</t>
  </si>
  <si>
    <t>204:232775</t>
  </si>
  <si>
    <t>204:232961</t>
  </si>
  <si>
    <t>204:480</t>
  </si>
  <si>
    <t>204:233004</t>
  </si>
  <si>
    <t>204:232971</t>
  </si>
  <si>
    <t>204:1175</t>
  </si>
  <si>
    <t>204:761</t>
  </si>
  <si>
    <t>204:233334</t>
  </si>
  <si>
    <t>204:427</t>
  </si>
  <si>
    <t>204:233008</t>
  </si>
  <si>
    <t>204:233330</t>
  </si>
  <si>
    <t>204:233005</t>
  </si>
  <si>
    <t>204:233315</t>
  </si>
  <si>
    <t>204:233342</t>
  </si>
  <si>
    <t>204:457</t>
  </si>
  <si>
    <t>204:233323</t>
  </si>
  <si>
    <t>204:232964</t>
  </si>
  <si>
    <t>204:233291</t>
  </si>
  <si>
    <t>204:61</t>
  </si>
  <si>
    <t>204:233021</t>
  </si>
  <si>
    <t>204:232</t>
  </si>
  <si>
    <t>204:233007</t>
  </si>
  <si>
    <t>204:136</t>
  </si>
  <si>
    <t>204:369</t>
  </si>
  <si>
    <t>204:232976</t>
  </si>
  <si>
    <t>204:156</t>
  </si>
  <si>
    <t>204:537</t>
  </si>
  <si>
    <t>204:233317</t>
  </si>
  <si>
    <t>204:233284</t>
  </si>
  <si>
    <t>204:232957</t>
  </si>
  <si>
    <t>204:180</t>
  </si>
  <si>
    <t>204:232965</t>
  </si>
  <si>
    <t>204:233280</t>
  </si>
  <si>
    <t>204:435</t>
  </si>
  <si>
    <t>204:478</t>
  </si>
  <si>
    <t>204:283</t>
  </si>
  <si>
    <t>204:36973</t>
  </si>
  <si>
    <t>204:64682</t>
  </si>
  <si>
    <t>204:189</t>
  </si>
  <si>
    <t>204:606</t>
  </si>
  <si>
    <t>204:233305</t>
  </si>
  <si>
    <t>204:489</t>
  </si>
  <si>
    <t>204:233383</t>
  </si>
  <si>
    <t>204:233076</t>
  </si>
  <si>
    <t>204:956</t>
  </si>
  <si>
    <t>204:233051</t>
  </si>
  <si>
    <t>204:127</t>
  </si>
  <si>
    <t>204:233359</t>
  </si>
  <si>
    <t>204:233030</t>
  </si>
  <si>
    <t>204:214</t>
  </si>
  <si>
    <t>204:437</t>
  </si>
  <si>
    <t>204:233378</t>
  </si>
  <si>
    <t>204:233086</t>
  </si>
  <si>
    <t>204:233364</t>
  </si>
  <si>
    <t>204:233053</t>
  </si>
  <si>
    <t>204:882</t>
  </si>
  <si>
    <t>204:526</t>
  </si>
  <si>
    <t>204:233311</t>
  </si>
  <si>
    <t>204:2070</t>
  </si>
  <si>
    <t>204:169</t>
  </si>
  <si>
    <t>204:233349</t>
  </si>
  <si>
    <t>204:233028</t>
  </si>
  <si>
    <t>204:125</t>
  </si>
  <si>
    <t>204:37194</t>
  </si>
  <si>
    <t>204:16036</t>
  </si>
  <si>
    <t>204:178</t>
  </si>
  <si>
    <t>300:22726</t>
  </si>
  <si>
    <t>300:23295</t>
  </si>
  <si>
    <t>300:23224</t>
  </si>
  <si>
    <t>204:134</t>
  </si>
  <si>
    <t>300:23222</t>
  </si>
  <si>
    <t>204:67</t>
  </si>
  <si>
    <t>300:23731</t>
  </si>
  <si>
    <t>300:23097</t>
  </si>
  <si>
    <t>300:23142</t>
  </si>
  <si>
    <t>204:429</t>
  </si>
  <si>
    <t>300:23308</t>
  </si>
  <si>
    <t>204:402</t>
  </si>
  <si>
    <t>300:23316</t>
  </si>
  <si>
    <t>300:23306</t>
  </si>
  <si>
    <t>300:21829</t>
  </si>
  <si>
    <t>204:140</t>
  </si>
  <si>
    <t>300:23167</t>
  </si>
  <si>
    <t>204:366</t>
  </si>
  <si>
    <t>300:23304</t>
  </si>
  <si>
    <t>300:58679</t>
  </si>
  <si>
    <t>204:712</t>
  </si>
  <si>
    <t>204:1000</t>
  </si>
  <si>
    <t>300:58990</t>
  </si>
  <si>
    <t>300:58668</t>
  </si>
  <si>
    <t>204:698</t>
  </si>
  <si>
    <t>204:1020</t>
  </si>
  <si>
    <t>300:58931</t>
  </si>
  <si>
    <t>300:58602</t>
  </si>
  <si>
    <t>204:740</t>
  </si>
  <si>
    <t>204:988</t>
  </si>
  <si>
    <t>300:58999</t>
  </si>
  <si>
    <t>300:58683</t>
  </si>
  <si>
    <t>204:1030</t>
  </si>
  <si>
    <t>300:58600</t>
  </si>
  <si>
    <t>204:157</t>
  </si>
  <si>
    <t>300:58975</t>
  </si>
  <si>
    <t>300:58662</t>
  </si>
  <si>
    <t>204:734</t>
  </si>
  <si>
    <t>204:1025</t>
  </si>
  <si>
    <t>300:58992</t>
  </si>
  <si>
    <t>300:58672</t>
  </si>
  <si>
    <t>204:1027</t>
  </si>
  <si>
    <t>300:58994</t>
  </si>
  <si>
    <t>300:58678</t>
  </si>
  <si>
    <t>204:1014</t>
  </si>
  <si>
    <t>300:58997</t>
  </si>
  <si>
    <t>300:58685</t>
  </si>
  <si>
    <t>204:1021</t>
  </si>
  <si>
    <t>300:58677</t>
  </si>
  <si>
    <t>204:747</t>
  </si>
  <si>
    <t>204:1035</t>
  </si>
  <si>
    <t>300:58704</t>
  </si>
  <si>
    <t>204:1041</t>
  </si>
  <si>
    <t>300:58628</t>
  </si>
  <si>
    <t>204:1032</t>
  </si>
  <si>
    <t>300:58918</t>
  </si>
  <si>
    <t>204:701</t>
  </si>
  <si>
    <t>300:58912</t>
  </si>
  <si>
    <t>300:58592</t>
  </si>
  <si>
    <t>204:713</t>
  </si>
  <si>
    <t>204:983</t>
  </si>
  <si>
    <t>300:58905</t>
  </si>
  <si>
    <t>204:696</t>
  </si>
  <si>
    <t>300:58941</t>
  </si>
  <si>
    <t>300:58626</t>
  </si>
  <si>
    <t>204:691</t>
  </si>
  <si>
    <t>204:675</t>
  </si>
  <si>
    <t>300:58909</t>
  </si>
  <si>
    <t>204:974</t>
  </si>
  <si>
    <t>204:992</t>
  </si>
  <si>
    <t>300:58903</t>
  </si>
  <si>
    <t>204:950</t>
  </si>
  <si>
    <t>300:29945</t>
  </si>
  <si>
    <t>300:58995</t>
  </si>
  <si>
    <t>300:22635</t>
  </si>
  <si>
    <t>204:468</t>
  </si>
  <si>
    <t>204:1683</t>
  </si>
  <si>
    <t>300:23368</t>
  </si>
  <si>
    <t>204:685</t>
  </si>
  <si>
    <t>300:58581</t>
  </si>
  <si>
    <t>300:58589</t>
  </si>
  <si>
    <t>300:21708</t>
  </si>
  <si>
    <t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t>
  </si>
  <si>
    <t>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 &amp; 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</t>
  </si>
  <si>
    <t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t>
  </si>
  <si>
    <t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t>
  </si>
  <si>
    <t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t>
  </si>
  <si>
    <t>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 &amp; 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</t>
  </si>
  <si>
    <t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t>
  </si>
  <si>
    <t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t>
  </si>
  <si>
    <t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t>
  </si>
  <si>
    <t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t>
  </si>
  <si>
    <t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t>
  </si>
  <si>
    <t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t>
  </si>
  <si>
    <t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t>
  </si>
  <si>
    <t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t>
  </si>
  <si>
    <t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t>
  </si>
  <si>
    <t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t>
  </si>
  <si>
    <t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t>
  </si>
  <si>
    <t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t>
  </si>
  <si>
    <t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t>
  </si>
  <si>
    <t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t>
  </si>
  <si>
    <t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t>
  </si>
  <si>
    <t>http://stevetu21.github.io/eaglep3/load_kml.html?kml=http://rtdc.gmaps-snips.s3.amazonaws.com/3e7ece43-0a08-4e10-83ff-d2120d397638.kml</t>
  </si>
  <si>
    <t>Wi-MAX data drop</t>
  </si>
  <si>
    <t>Early arrival</t>
  </si>
  <si>
    <t>ATC Issue (Hard zero)</t>
  </si>
  <si>
    <t>Onboard in-route falure</t>
  </si>
  <si>
    <t>Pena 4S STOP</t>
  </si>
  <si>
    <t>4015,inf,,,0:00:40.030370,2016-12-24 01:30:35.840981-07:00,,47a6ddf7-4c1d-46dd-b761-b4a81a35a923,"!(tcp contains ""compass"") &amp;&amp; (frame.time &gt;= ""2016-12-24 01:29:45.840981"") &amp;&amp; (frame.time &lt;= ""2016-12-24 01:32:05.871351"") &amp;&amp; (ip.host==10.40.15.202) &amp;&amp; !icmp",,,2016-12-24 01:31:15.871351-07:00</t>
  </si>
  <si>
    <t>Early arrival (41st)</t>
  </si>
  <si>
    <t>Poor GPS under I-25</t>
  </si>
  <si>
    <t>SYS :2016/12/23 11:34:02.972:ENFORCEMENT:Predictive Enforcement Action:  Target Number: 00006017  Target Speed:   0.0  Current Speed:   7.7</t>
  </si>
  <si>
    <t>SYS :2016/12/23 11:34:03.470:ENFORCEMENT:Predictive Enforcement Action:  Target Number: 00006017  Target Speed:   0.0  Current Speed:   7.9</t>
  </si>
  <si>
    <t>SYS :2016/12/23 11:34:03.842:ENFORCEMENT:Predictive Enforcement Action:  Target Number: 00006017  Target Speed:   0.0  Current Speed:   7.9</t>
  </si>
  <si>
    <t>SYS :2016/12/23 11:41:31.105:ENFORCEMENT:Reactive Enforcement Action:  Target Number: 0001002E  Target Speed:  15.0  Current Speed:  20.0</t>
  </si>
  <si>
    <t>SYS :2016/12/23 11:41:31.341:ENFORCEMENT:Reactive Enforcement Action:  Target Number: 0001002E  Target Speed:  15.0  Current Speed:  20.0</t>
  </si>
  <si>
    <t>SYS :2016/12/23 11:41:31.935:ENFORCEMENT:Reactive Enforcement Action:  Target Number: 0001001C  Target Speed:  15.0  Current Speed:  20.0</t>
  </si>
  <si>
    <t>SYS :2016/12/23 11:52:00.189:ENFORCEMENT:Predictive Enforcement Action:  Target Number: 00001004  Target Speed:   0.0  Current Speed:   3.6</t>
  </si>
  <si>
    <t>SYS :2016/12/23 11:52:00.571:ENFORCEMENT:Predictive Enforcement Action:  Target Number: 00001004  Target Speed:   0.0  Current Speed:   3.6</t>
  </si>
  <si>
    <t>SYS :2016/12/23 12:23:00.317:ENFORCEMENT:Predictive Enforcement Action:  Target Number: 00001006  Target Speed:   0.0  Current Speed:   7.2</t>
  </si>
  <si>
    <t>SYS :2016/12/23 13:04:27.274:ENFORCEMENT:Predictive Enforcement Action:  Target Number: 00001004  Target Speed:   0.0  Current Speed:   2.5</t>
  </si>
  <si>
    <t>SYS :2016/12/23 13:04:29.072:ENFORCEMENT:Predictive Enforcement Action:  Target Number: 00001004  Target Speed:   0.0  Current Speed:   1.8</t>
  </si>
  <si>
    <t>SYS :2016/12/23 13:06:48.944:ENFORCEMENT:Predictive Enforcement Action:  Target Number: 0000101A  Target Speed:   0.0  Current Speed:   5.1</t>
  </si>
  <si>
    <t>SYS :2016/12/23 13:13:38.113:ENFORCEMENT:Reactive Enforcement Action:  Target Number: 000170F5  Target Speed:   0.0  Current Speed:  70.0</t>
  </si>
  <si>
    <t>SYS :2016/12/23 13:20:48.094:ENFORCEMENT:Reactive Enforcement Action:  Target Number: 00010030  Target Speed:  30.0  Current Speed:  35.1</t>
  </si>
  <si>
    <t>SYS :2016/12/23 13:20:49.039:ENFORCEMENT:Reactive Enforcement Action:  Target Number: 00010031  Target Speed:  30.0  Current Speed:  35.1</t>
  </si>
  <si>
    <t>SYS :2016/12/23 13:20:49.300:ENFORCEMENT:Reactive Enforcement Action:  Target Number: 00010031  Target Speed:  30.0  Current Speed:  35.1</t>
  </si>
  <si>
    <t>SYS :2016/12/23 14:20:47.256:ENFORCEMENT:Predictive Enforcement Action:  Target Number: 00001002  Target Speed:   0.0  Current Speed:   5.6</t>
  </si>
  <si>
    <t>SYS :2016/12/23 14:37:31.254:ENFORCEMENT:Predictive Enforcement Action:  Target Number: 00017021  Target Speed:   0.0  Current Speed:  17.5</t>
  </si>
  <si>
    <t>SYS :2016/12/23 14:37:32.221:ENFORCEMENT:Predictive Enforcement Action:  Target Number: 00017021  Target Speed:   0.0  Current Speed:  17.5</t>
  </si>
  <si>
    <t>SYS :2016/12/23 14:37:32.594:ENFORCEMENT:Predictive Enforcement Action:  Target Number: 0001700F  Target Speed:   0.0  Current Speed:  17.5</t>
  </si>
  <si>
    <t>SYS :2016/12/23 14:47:58.848:ENFORCEMENT:Predictive Enforcement Action:  Target Number: 0000A003  Target Speed:  10.0  Current Speed:  47.4</t>
  </si>
  <si>
    <t>SYS :2016/12/23 14:47:59.476:ENFORCEMENT:Predictive Enforcement Action:  Target Number: 0000A003  Target Speed:  10.0  Current Speed:  46.8</t>
  </si>
  <si>
    <t>SYS :2016/12/23 14:47:59.963:ENFORCEMENT:Predictive Enforcement Action:  Target Number: 0000A003  Target Speed:  10.0  Current Speed:  46.8</t>
  </si>
  <si>
    <t>SYS :2016/12/23 14:53:15.418:ENFORCEMENT:Predictive Enforcement Action:  Target Number: 00017006  Target Speed:   0.0  Current Speed:  35.0</t>
  </si>
  <si>
    <t>SYS :2016/12/23 14:53:16.126:ENFORCEMENT:Predictive Enforcement Action:  Target Number: 00017006  Target Speed:   0.0  Current Speed:  33.9</t>
  </si>
  <si>
    <t>SYS :2016/12/23 14:53:16.567:ENFORCEMENT:Predictive Enforcement Action:  Target Number: 00017001  Target Speed:   0.0  Current Speed:  32.6</t>
  </si>
  <si>
    <t>SYS :2016/12/23 15:57:55.921:ENFORCEMENT:Reactive Enforcement Action:  Target Number: 00017049  Target Speed:   0.0  Current Speed:  12.1</t>
  </si>
  <si>
    <t>SYS :2016/12/23 15:57:56.324:ENFORCEMENT:Reactive Enforcement Action:  Target Number: 0001704B  Target Speed:   0.0  Current Speed:  11.5</t>
  </si>
  <si>
    <t>SYS :2016/12/23 15:57:57.092:ENFORCEMENT:Reactive Enforcement Action:  Target Number: 0001704B  Target Speed:   0.0  Current Speed:  11.5</t>
  </si>
  <si>
    <t>SYS :2016/12/23 17:47:35.775:ENFORCEMENT:Predictive Enforcement Action:  Target Number: 0000A019  Target Speed:  10.0  Current Speed:  67.9</t>
  </si>
  <si>
    <t>SYS :2016/12/23 17:47:35.996:ENFORCEMENT:Predictive Enforcement Action:  Target Number: 0000A019  Target Speed:  10.0  Current Speed:  67.9</t>
  </si>
  <si>
    <t>SYS :2016/12/23 17:47:36.209:ENFORCEMENT:Predictive Enforcement Action:  Target Number: 0000A019  Target Speed:  10.0  Current Speed:  67.9</t>
  </si>
  <si>
    <t>SYS :2016/12/23 17:50:19.320:ENFORCEMENT:Predictive Enforcement Action:  Target Number: 0000100C  Target Speed:   0.0  Current Speed:   8.5</t>
  </si>
  <si>
    <t>SYS :2016/12/23 17:50:19.910:ENFORCEMENT:Predictive Enforcement Action:  Target Number: 0000100B  Target Speed:   0.0  Current Speed:   8.4</t>
  </si>
  <si>
    <t>SYS :2016/12/23 17:50:20.090:ENFORCEMENT:Predictive Enforcement Action:  Target Number: 0000100C  Target Speed:   0.0  Current Speed:   8.4</t>
  </si>
  <si>
    <t>SYS :2016/12/23 18:03:50.133:ENFORCEMENT:Predictive Enforcement Action:  Target Number: 0000A00E  Target Speed:  10.0  Current Speed:  34.0</t>
  </si>
  <si>
    <t>SYS :2016/12/23 18:03:50.967:ENFORCEMENT:Predictive Enforcement Action:  Target Number: 0000A00E  Target Speed:  10.0  Current Speed:  33.4</t>
  </si>
  <si>
    <t>SYS :2016/12/23 18:31:32.206:ENFORCEMENT:Predictive Enforcement Action:  Target Number: 0000614B  Target Speed:   0.0  Current Speed:  39.4</t>
  </si>
  <si>
    <t>SYS :2016/12/23 18:31:32.587:ENFORCEMENT:Predictive Enforcement Action:  Target Number: 00006143  Target Speed:   0.0  Current Speed:  38.9</t>
  </si>
  <si>
    <t>SYS :2016/12/23 18:31:32.926:ENFORCEMENT:Predictive Enforcement Action:  Target Number: 00006150  Target Speed:   0.0  Current Speed:  39.4</t>
  </si>
  <si>
    <t>SYS :2016/12/23 20:26:18.834:ENFORCEMENT:Predictive Enforcement Action:  Target Number: 0000100E  Target Speed:   0.0  Current Speed:   5.1</t>
  </si>
  <si>
    <t>SYS :2016/12/23 20:26:18.945:ENFORCEMENT:Predictive Enforcement Action:  Target Number: 0000100E  Target Speed:   0.0  Current Speed:   5.1</t>
  </si>
  <si>
    <t>SYS :2016/12/23 20:26:19.441:ENFORCEMENT:Predictive Enforcement Action:  Target Number: 0000100E  Target Speed:   0.0  Current Speed:   5.1</t>
  </si>
  <si>
    <t>SYS :2016/12/23 20:52:24.185:ENFORCEMENT:Predictive Enforcement Action:  Target Number: 0000100F  Target Speed:   0.0  Current Speed:   3.7</t>
  </si>
  <si>
    <t>SYS :2016/12/23 20:52:24.577:ENFORCEMENT:Predictive Enforcement Action:  Target Number: 0000100F  Target Speed:   0.0  Current Speed:   3.7</t>
  </si>
  <si>
    <t>SYS :2016/12/23 20:55:58.713:ENFORCEMENT:Predictive Enforcement Action:  Target Number: 00001023  Target Speed:   0.0  Current Speed:   5.0</t>
  </si>
  <si>
    <t>SYS :2016/12/23 20:55:58.884:ENFORCEMENT:Predictive Enforcement Action:  Target Number: 00001024  Target Speed:   0.0  Current Speed:   5.1</t>
  </si>
  <si>
    <t>SYS :2016/12/23 20:55:58.995:ENFORCEMENT:Predictive Enforcement Action:  Target Number: 00001024  Target Speed:   0.0  Current Speed:   5.0</t>
  </si>
  <si>
    <t>SYS :2016/12/23 22:54:07.463:ENFORCEMENT:Predictive Enforcement Action:  Target Number: 000061C0  Target Speed:   0.0  Current Speed:  46.9</t>
  </si>
  <si>
    <t>SYS :2016/12/23 22:54:07.606:ENFORCEMENT:Predictive Enforcement Action:  Target Number: 000061A5  Target Speed:   0.0  Current Speed:  46.9</t>
  </si>
  <si>
    <t>SYS :2016/12/23 22:54:07.860:ENFORCEMENT:Predictive Enforcement Action:  Target Number: 000061AD  Target Speed:   0.0  Current Speed:  46.9</t>
  </si>
  <si>
    <t>SYS :2016/12/23 22:54:52.446:ENFORCEMENT:Reactive Enforcement Action:  Target Number: 000061C0  Target Speed:   0.0  Current Speed:   1.3</t>
  </si>
  <si>
    <t>SYS :2016/12/23 22:54:52.584:ENFORCEMENT:Reactive Enforcement Action:  Target Number: 000061A5  Target Speed:   0.0  Current Speed:   1.3</t>
  </si>
  <si>
    <t>SYS :2016/12/23 22:54:52.844:ENFORCEMENT:Reactive Enforcement Action:  Target Number: 000061AD  Target Speed:   0.0  Current Speed:   1.3</t>
  </si>
  <si>
    <t>SYS :2016/12/23 23:52:18.709:ENFORCEMENT:Reactive Enforcement Action:  Target Number: 000061E2  Target Speed:   0.0  Current Speed:   7.2</t>
  </si>
  <si>
    <t>SYS :2016/12/23 23:52:18.907:ENFORCEMENT:Predictive Enforcement Action:  Target Number: 00006128  Target Speed:   0.0  Current Speed:   7.5</t>
  </si>
  <si>
    <t>SYS :2016/12/23 23:52:18.994:ENFORCEMENT:Reactive Enforcement Action:  Target Number: 00006125  Target Speed:   0.0  Current Speed:   7.2</t>
  </si>
  <si>
    <t>SYS :2016/12/24 00:06:31.467:ENFORCEMENT:Predictive Enforcement Action:  Target Number: 0000100F  Target Speed:   0.0  Current Speed:   4.9</t>
  </si>
  <si>
    <t>SYS :2016/12/24 00:06:31.776:ENFORCEMENT:Predictive Enforcement Action:  Target Number: 0000100A  Target Speed:   0.0  Current Speed:   4.9</t>
  </si>
  <si>
    <t>SYS :2016/12/24 00:06:32.434:ENFORCEMENT:Predictive Enforcement Action:  Target Number: 0000100F  Target Speed:   0.0  Current Speed:   4.9</t>
  </si>
  <si>
    <t>SYS :2016/12/24 00:07:09.774:ENFORCEMENT:Predictive Enforcement Action:  Target Number: 0000100A  Target Speed:   0.0  Current Speed:   2.2</t>
  </si>
  <si>
    <t>SYS :2016/12/24 00:07:10.432:ENFORCEMENT:Predictive Enforcement Action:  Target Number: 0000100F  Target Speed:   0.0  Current Speed:   2.2</t>
  </si>
  <si>
    <t>SYS :2016/12/24 00:07:10.471:ENFORCEMENT:Predictive Enforcement Action:  Target Number: 0000100F  Target Speed:   0.0  Current Speed:   2.0</t>
  </si>
  <si>
    <t>SYS :2016/12/24 00:21:10.572:ENFORCEMENT:Predictive Enforcement Action:  Target Number: 00001014  Target Speed:   0.0  Current Speed:   4.0</t>
  </si>
  <si>
    <t>SYS :2016/12/24 00:21:11.192:ENFORCEMENT:Predictive Enforcement Action:  Target Number: 00001014  Target Speed:   0.0  Current Speed:   4.0</t>
  </si>
  <si>
    <t>SYS :2016/12/24 01:05:47.438:ENFORCEMENT:Predictive Enforcement Action:  Target Number: 00001012  Target Speed:   0.0  Current Speed:   7.2</t>
  </si>
  <si>
    <t>SYS :2016/12/24 01:05:47.467:ENFORCEMENT:Predictive Enforcement Action:  Target Number: 00001012  Target Speed:   0.0  Current Speed:   7.0</t>
  </si>
  <si>
    <t>SYS :2016/12/24 01:05:47.780:ENFORCEMENT:Predictive Enforcement Action:  Target Number: 0000100D  Target Speed:   0.0  Current Speed:   7.0</t>
  </si>
  <si>
    <t>SYS :2016/12/24 01:06:30.435:ENFORCEMENT:Predictive Enforcement Action:  Target Number: 00001012  Target Speed:   0.0  Current Speed:   3.5</t>
  </si>
  <si>
    <t>SYS :2016/12/24 01:06:30.468:ENFORCEMENT:Predictive Enforcement Action:  Target Number: 00001012  Target Speed:   0.0  Current Speed:   3.4</t>
  </si>
  <si>
    <t>SYS :2016/12/24 01:06:30.774:ENFORCEMENT:Predictive Enforcement Action:  Target Number: 0000100D  Target Speed:   0.0  Current Speed:   3.4</t>
  </si>
  <si>
    <t>SYS :2016/12/24 02:06:18.435:ENFORCEMENT:Predictive Enforcement Action:  Target Number: 00001016  Target Speed:   0.0  Current Speed:   5.3</t>
  </si>
  <si>
    <t>SYS :2016/12/24 02:06:18.478:ENFORCEMENT:Predictive Enforcement Action:  Target Number: 00001016  Target Speed:   0.0  Current Speed:   5.3</t>
  </si>
  <si>
    <t>SYS :2016/12/24 02:06:18.773:ENFORCEMENT:Predictive Enforcement Action:  Target Number: 00001011  Target Speed:   0.0  Current Speed:   5.3</t>
  </si>
  <si>
    <t>SYS :2016/12/24 02:06:58.433:ENFORCEMENT:Predictive Enforcement Action:  Target Number: 00001016  Target Speed:   0.0  Current Speed:   4.7</t>
  </si>
  <si>
    <t>SYS :2016/12/24 02:06:58.472:ENFORCEMENT:Predictive Enforcement Action:  Target Number: 00001016  Target Speed:   0.0  Current Speed:   4.7</t>
  </si>
  <si>
    <t>SYS :2016/12/24 02:06:58.774:ENFORCEMENT:Predictive Enforcement Action:  Target Number: 00001011  Target Speed:   0.0  Current Speed:   4.7</t>
  </si>
  <si>
    <t>SYS :2016/12/24 02:07:30.432:ENFORCEMENT:Predictive Enforcement Action:  Target Number: 00001016  Target Speed:   0.0  Current Speed:   3.0</t>
  </si>
  <si>
    <t>SYS :2016/12/24 02:07:30.470:ENFORCEMENT:Predictive Enforcement Action:  Target Number: 00001016  Target Speed:   0.0  Current Speed:   3.0</t>
  </si>
  <si>
    <t>SYS :2016/12/24 02:07:30.773:ENFORCEMENT:Predictive Enforcement Action:  Target Number: 00001011  Target Speed:   0.0  Current Speed:   3.0</t>
  </si>
  <si>
    <t>SYS :2016/12/24 03:07:18.946:ENFORCEMENT:Predictive Enforcement Action:  Target Number: 00001032  Target Speed:   0.0  Current Speed:   9.0</t>
  </si>
  <si>
    <t>SYS :2016/12/24 03:07:19.125:ENFORCEMENT:Predictive Enforcement Action:  Target Number: 00001032  Target Speed:   0.0  Current Speed:   9.0</t>
  </si>
  <si>
    <t>SYS :2016/12/24 03:08:07.944:ENFORCEMENT:Predictive Enforcement Action:  Target Number: 00001032  Target Speed:   0.0  Current Speed:   4.1</t>
  </si>
  <si>
    <t>SYS :2016/12/24 03:08:08.123:ENFORCEMENT:Predictive Enforcement Action:  Target Number: 00001032  Target Speed:   0.0  Current Speed:   4.1</t>
  </si>
  <si>
    <t>SYS :2016/12/24 04:05:57.006:ENFORCEMENT:Predictive Enforcement Action:  Target Number: 00001002  Target Speed:   0.0  Current Speed:  10.1</t>
  </si>
  <si>
    <t>SYS :2016/12/24 04:05:57.046:ENFORCEMENT:Predictive Enforcement Action:  Target Number: 00001002  Target Speed:   0.0  Current Speed:  10.1</t>
  </si>
  <si>
    <t>SYS :2016/12/24 04:05:57.988:ENFORCEMENT:Predictive Enforcement Action:  Target Number: 00001002  Target Speed:   0.0  Current Speed:   9.4</t>
  </si>
  <si>
    <t>SYS :2016/12/24 04:59:04.989:ENFORCEMENT:Predictive Enforcement Action:  Target Number: 00001046  Target Speed:   0.0  Current Speed:   2.6</t>
  </si>
  <si>
    <t>SYS :2016/12/24 04:59:05.214:ENFORCEMENT:Predictive Enforcement Action:  Target Number: 00001005  Target Speed:   0.0  Current Speed:   2.6</t>
  </si>
  <si>
    <t>SYS :2016/12/24 04:59:05.530:ENFORCEMENT:Predictive Enforcement Action:  Target Number: 00001002  Target Speed:   0.0  Current Speed:   2.6</t>
  </si>
  <si>
    <t>SYS :2016/12/24 05:28:15.488:ENFORCEMENT:Predictive Enforcement Action:  Target Number: 0001016C  Target Speed:  15.0  Current Speed:  20.1</t>
  </si>
  <si>
    <t>SYS :2016/12/24 05:28:16.002:ENFORCEMENT:Predictive Enforcement Action:  Target Number: 0001016D  Target Speed:  15.0  Current Speed:  20.1</t>
  </si>
  <si>
    <t>SYS :2016/12/24 05:28:16.547:ENFORCEMENT:Predictive Enforcement Action:  Target Number: 0001016C  Target Speed:  15.0  Current Speed:  20.1</t>
  </si>
  <si>
    <t>SYS :2016/12/24 05:35:02.302:ENFORCEMENT:Predictive Enforcement Action:  Target Number: 0000104C  Target Speed:   0.0  Current Speed:   4.8</t>
  </si>
  <si>
    <t>SYS :2016/12/24 05:35:03.031:ENFORCEMENT:Predictive Enforcement Action:  Target Number: 0000104C  Target Speed:   0.0  Current Speed:   4.4</t>
  </si>
  <si>
    <t>SYS :2016/12/24 05:36:37.324:ENFORCEMENT:Predictive Enforcement Action:  Target Number: 0000101D  Target Speed:   0.0  Current Speed:   6.3</t>
  </si>
  <si>
    <t>SYS :2016/12/24 05:36:38.574:ENFORCEMENT:Predictive Enforcement Action:  Target Number: 00001019  Target Speed:   0.0  Current Speed:   6.5</t>
  </si>
  <si>
    <t>SYS :2016/12/24 05:36:39.235:ENFORCEMENT:Predictive Enforcement Action:  Target Number: 00001019  Target Speed:   0.0  Current Speed:   6.4</t>
  </si>
  <si>
    <t>SYS :2016/12/24 05:36:39.569:ENFORCEMENT:Predictive Enforcement Action:  Target Number: 0000101D  Target Speed:   0.0  Current Speed:   5.9</t>
  </si>
  <si>
    <t>SYS :2016/12/24 06:18:35.779:ENFORCEMENT:Predictive Enforcement Action:  Target Number: 0000A020  Target Speed:  10.0  Current Speed:  33.8</t>
  </si>
  <si>
    <t>SYS :2016/12/24 06:18:35.988:ENFORCEMENT:Predictive Enforcement Action:  Target Number: 0000A020  Target Speed:  10.0  Current Speed:  33.8</t>
  </si>
  <si>
    <t>SYS :2016/12/24 07:06:33.746:ENFORCEMENT:Predictive Enforcement Action:  Target Number: 00001006  Target Speed:   0.0  Current Speed:   1.8</t>
  </si>
  <si>
    <t>SYS :2016/12/24 07:06:34.755:ENFORCEMENT:Predictive Enforcement Action:  Target Number: 00001006  Target Speed:   0.0  Current Speed:   1.8</t>
  </si>
  <si>
    <t>SYS :2016/12/24 07:06:35.193:ENFORCEMENT:Predictive Enforcement Action:  Target Number: 00001006  Target Speed:   0.0  Current Speed:   1.8</t>
  </si>
  <si>
    <t>SYS :2016/12/24 07:19:53.585:ENFORCEMENT:Predictive Enforcement Action:  Target Number: 0000A00C  Target Speed:  10.0  Current Speed:  32.1</t>
  </si>
  <si>
    <t>SYS :2016/12/24 07:19:55.246:ENFORCEMENT:Predictive Enforcement Action:  Target Number: 0000A00C  Target Speed:  10.0  Current Speed:  30.8</t>
  </si>
  <si>
    <t>SYS :2016/12/24 07:19:55.816:ENFORCEMENT:Predictive Enforcement Action:  Target Number: 0000A00C  Target Speed:  10.0  Current Speed:  30.8</t>
  </si>
  <si>
    <t>SYS :2016/12/24 07:37:30.575:ENFORCEMENT:Predictive Enforcement Action:  Target Number: 0000101C  Target Speed:   0.0  Current Speed:   6.2</t>
  </si>
  <si>
    <t>SYS :2016/12/24 08:30:54.004:ENFORCEMENT:Reactive Enforcement Action:  Target Number: 00004352  Target Speed:   0.0  Current Speed:  59.7</t>
  </si>
  <si>
    <t>SYS :2016/12/24 08:30:54.766:ENFORCEMENT:Reactive Enforcement Action:  Target Number: 00004352  Target Speed:   0.0  Current Speed:  59.8</t>
  </si>
  <si>
    <t>SYS :2016/12/24 08:31:40.953:ENFORCEMENT:Predictive Enforcement Action:  Target Number: 0000651E  Target Speed:   0.0  Current Speed:  35.9</t>
  </si>
  <si>
    <t>Banner without braking</t>
  </si>
  <si>
    <t>Early arrival, banner without braking</t>
  </si>
  <si>
    <t>Delayed due to going active too close to Westminster 4S</t>
  </si>
  <si>
    <t>NW0347RH 34-2T 2N was at RESTRICTING</t>
  </si>
  <si>
    <t>Starting at 07:04, until 07:30 or even later, NW0347RH 34-2T 2N was at RESTRICTING. This seems unusual, do logs tell us anything of note?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</si>
</sst>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9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Alignment="1"/>
    <xf numFmtId="169" fontId="0" fillId="0" borderId="0" xfId="0" applyNumberFormat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3e7ece43-0a08-4e10-83ff-d2120d39763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topLeftCell="A33" zoomScaleNormal="100" workbookViewId="0">
      <selection activeCell="AF43" sqref="AF4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81" customWidth="1"/>
    <col min="22" max="22" width="5.7109375" style="96" customWidth="1"/>
    <col min="23" max="23" width="3.85546875" style="20" customWidth="1"/>
    <col min="24" max="24" width="6.5703125" style="187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77"/>
      <c r="V1" s="40"/>
      <c r="W1" s="41"/>
      <c r="X1" s="181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42727</v>
      </c>
      <c r="S2" s="72"/>
      <c r="T2" s="73"/>
      <c r="U2" s="178"/>
      <c r="V2" s="94" t="s">
        <v>8</v>
      </c>
      <c r="W2" s="75"/>
      <c r="X2" s="184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9"/>
      <c r="V3" s="42" t="s">
        <v>11</v>
      </c>
      <c r="W3" s="43" t="s">
        <v>12</v>
      </c>
      <c r="X3" s="185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80"/>
      <c r="V4" s="45" t="s">
        <v>15</v>
      </c>
      <c r="W4" s="43" t="s">
        <v>15</v>
      </c>
      <c r="X4" s="185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COUNTIFS($N$13:$N$9361,"&gt;0",$AG$13:$AG$9361,I1)</f>
        <v>144</v>
      </c>
      <c r="K5" s="44"/>
      <c r="L5" s="44"/>
      <c r="M5" s="45">
        <f>AVERAGEIFS($N$13:$N$9361,$AG$13:$AG$9361,I1)</f>
        <v>38.115972222294658</v>
      </c>
      <c r="N5" s="43">
        <f t="array" ref="N5">MIN(IF($AG$13:$AG$9361=I1,IF(ISNUMBER($N$13:$N$9361),IF($N$13:$N$9361&gt;0,$N$13:$N$9361))))</f>
        <v>34.016666666138917</v>
      </c>
      <c r="O5" s="3">
        <f t="array" ref="O5">MAX(IF($AG$13:$AG$9361=I1,IF(ISNUMBER($N$13:$N$9361),IF($N$13:$N$9361&gt;0,$N$13:$N$9361))))</f>
        <v>50.716666672378778</v>
      </c>
      <c r="P5" s="2"/>
      <c r="R5" s="80" t="s">
        <v>17</v>
      </c>
      <c r="S5" s="55">
        <f>COUNTIFS($N$13:$N$9361,"&gt;0",$AG$13:$AG$9361,R1)</f>
        <v>46</v>
      </c>
      <c r="T5" s="44"/>
      <c r="U5" s="180"/>
      <c r="V5" s="45">
        <f>AVERAGEIFS($N$13:$N$9361,$AG$13:$AG$9361,R1)</f>
        <v>15.90036231809316</v>
      </c>
      <c r="W5" s="43">
        <f t="array" ref="W5">MIN(IF($AG$13:$AG$9361=R1,IF(ISNUMBER($N$13:$N$9361),IF($N$13:$N$9361&gt;0,$N$13:$N$9361))))</f>
        <v>13.16666666418314</v>
      </c>
      <c r="X5" s="185">
        <f t="array" ref="X5">MAX(IF($AG$13:$AG$9361=R1,IF(ISNUMBER($N$13:$N$9361),IF($N$13:$N$9361&gt;0,$N$13:$N$9361))))</f>
        <v>21.000000005587935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80"/>
      <c r="V6" s="45">
        <f>IFERROR(AVERAGE($O$13:$O$143),0)</f>
        <v>0</v>
      </c>
      <c r="W6" s="43">
        <f>MIN($O$13:$O$143)</f>
        <v>0</v>
      </c>
      <c r="X6" s="185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COUNTIFS($P$13:$P$9361,"&gt;0",$AG$13:$AG$9361,I1)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COUNTIFS($P$13:$P$9361,"&gt;0",$AG$13:$AG$9361,R1)</f>
        <v>1</v>
      </c>
      <c r="T7" s="44"/>
      <c r="U7" s="180"/>
      <c r="V7" s="45" t="s">
        <v>15</v>
      </c>
      <c r="W7" s="43" t="s">
        <v>15</v>
      </c>
      <c r="X7" s="185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144</v>
      </c>
      <c r="K8" s="44"/>
      <c r="L8" s="44"/>
      <c r="M8" s="45">
        <f>M5</f>
        <v>38.115972222294658</v>
      </c>
      <c r="N8" s="43">
        <f>N5</f>
        <v>34.016666666138917</v>
      </c>
      <c r="O8" s="3">
        <f>O5</f>
        <v>50.716666672378778</v>
      </c>
      <c r="P8" s="2"/>
      <c r="R8" s="80" t="s">
        <v>16</v>
      </c>
      <c r="S8" s="55">
        <f>S5</f>
        <v>46</v>
      </c>
      <c r="T8" s="44"/>
      <c r="U8" s="180"/>
      <c r="V8" s="45">
        <f>V5</f>
        <v>15.90036231809316</v>
      </c>
      <c r="W8" s="43">
        <f>W5</f>
        <v>13.16666666418314</v>
      </c>
      <c r="X8" s="185">
        <f>X5</f>
        <v>21.000000005587935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0.98630136986301364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77"/>
      <c r="V9" s="83"/>
      <c r="W9" s="41"/>
      <c r="X9" s="186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81"/>
      <c r="V10" s="95"/>
      <c r="W10" s="20"/>
      <c r="X10" s="187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- 2016-12-23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69">
        <f>AVERAGE(S13:S102)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82" t="s">
        <v>65</v>
      </c>
      <c r="V12" s="97" t="s">
        <v>45</v>
      </c>
      <c r="W12" s="51" t="s">
        <v>23</v>
      </c>
      <c r="X12" s="188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467</v>
      </c>
      <c r="B13" s="7">
        <v>4044</v>
      </c>
      <c r="C13" s="22" t="s">
        <v>205</v>
      </c>
      <c r="D13" s="22" t="s">
        <v>680</v>
      </c>
      <c r="E13" s="13">
        <v>42727.125104166669</v>
      </c>
      <c r="F13" s="13">
        <v>42727.135682870372</v>
      </c>
      <c r="G13" s="7">
        <v>1</v>
      </c>
      <c r="H13" s="22" t="s">
        <v>319</v>
      </c>
      <c r="I13" s="13">
        <v>42727.161273148151</v>
      </c>
      <c r="J13" s="7">
        <v>0</v>
      </c>
      <c r="K13" s="109" t="str">
        <f t="shared" ref="K13:K76" si="0">IF(ISEVEN(B13),(B13-1)&amp;"/"&amp;B13,B13&amp;"/"&amp;(B13+1))</f>
        <v>4043/4044</v>
      </c>
      <c r="L13" s="22" t="str">
        <f>VLOOKUP(A13,'Trips&amp;Operators'!$C$1:$G$99999,5,FALSE)</f>
        <v>ISHMAEL JOSEPH</v>
      </c>
      <c r="M13" s="6">
        <f t="shared" ref="M13:M76" si="1">I13-F13</f>
        <v>2.5590277778974269E-2</v>
      </c>
      <c r="N13" s="7">
        <f t="shared" ref="N13:N76" si="2">24*60*SUM($M13:$M13)</f>
        <v>36.850000001722947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8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https://search-rtdc-monitor-bjffxe2xuh6vdkpspy63sjmuny.us-east-1.es.amazonaws.com/_plugin/kibana/#/discover/Steve-Slow-Train-Analysis-(2080s-and-2083s)?_g=(refreshInterval:(display:Off,section:0,value:0),time:(from:'2016-12-23 02:00:09-700',mode:absolute,to:'2016-12-23 04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89" t="e">
        <f t="shared" ref="X13:X76" si="7">VALUE(LEFT(AD13,4))-VALUE(LEFT(AD12,4))</f>
        <v>#VALUE!</v>
      </c>
      <c r="Y13" s="67">
        <f t="shared" ref="Y13:Y76" si="8">RIGHT(D13,LEN(D13)-4)/10000</f>
        <v>7.5200000000000003E-2</v>
      </c>
      <c r="Z13" s="67">
        <f t="shared" ref="Z13:Z76" si="9">RIGHT(H13,LEN(H13)-4)/10000</f>
        <v>23.328499999999998</v>
      </c>
      <c r="AA13" s="67">
        <f t="shared" ref="AA13:AA76" si="10">ABS(Z13-Y13)</f>
        <v>23.253299999999999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0101-23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 &amp; 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/stypes="app*4044*20161223*"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4044 --swversion DE.1.0.8.0 --startMP 204:752 --initTime 2016-12-23T03:00:09 --startdatetime 2016-12-23T03:15:23 --delay 1 --endMP 204:233285 --enddatetime 2016-12-23T03:52:14 --enforcementcount 0 &gt;&gt;C:\Users\stu\Documents\GitHub\eaglep3-reporting\EC\2016-12-23-refined-times.txt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{"issue":{"subject":"","project_id":79,"tracker_id":40,"status_id":1,"priority_id":2,"assigned_to_id":23,"start_date":"2016-12-23","description":"","custom_fields":[{"id":1,"name":"Subdivision","value":"EC"},{"id":4,"name":"Milepost","value":"23.3285"},{"id":17,"name":"Train ID","value":"101-23"},{"id":16,"name":"Locomotive ID","value":"4044"},{"id":130,"name":"Impact","value":""},{"id":150,"name":"Time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423</v>
      </c>
      <c r="B14" s="7">
        <v>4041</v>
      </c>
      <c r="C14" s="22" t="s">
        <v>205</v>
      </c>
      <c r="D14" s="22" t="s">
        <v>681</v>
      </c>
      <c r="E14" s="13">
        <v>42727.163784722223</v>
      </c>
      <c r="F14" s="13">
        <v>42727.174571759257</v>
      </c>
      <c r="G14" s="7">
        <v>1</v>
      </c>
      <c r="H14" s="22" t="s">
        <v>224</v>
      </c>
      <c r="I14" s="13">
        <v>42727.2028125</v>
      </c>
      <c r="J14" s="7">
        <v>0</v>
      </c>
      <c r="K14" s="109" t="str">
        <f t="shared" si="0"/>
        <v>4041/4042</v>
      </c>
      <c r="L14" s="22" t="str">
        <f>VLOOKUP(A14,'Trips&amp;Operators'!$C$1:$G$99999,5,FALSE)</f>
        <v>ISHMAEL JOSEPH</v>
      </c>
      <c r="M14" s="6">
        <f t="shared" si="1"/>
        <v>2.8240740743058268E-2</v>
      </c>
      <c r="N14" s="7">
        <f t="shared" si="2"/>
        <v>40.666666670003906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8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02:55:51-700',mode:absolute,to:'2016-12-23 05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" s="52" t="str">
        <f t="shared" si="6"/>
        <v>N</v>
      </c>
      <c r="X14" s="189">
        <f t="shared" si="7"/>
        <v>1</v>
      </c>
      <c r="Y14" s="67">
        <f t="shared" si="8"/>
        <v>23.2666</v>
      </c>
      <c r="Z14" s="67">
        <f t="shared" si="9"/>
        <v>1.54E-2</v>
      </c>
      <c r="AA14" s="67">
        <f t="shared" si="10"/>
        <v>23.251200000000001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0102-23</v>
      </c>
      <c r="AE14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14" s="88" t="str">
        <f t="shared" si="13"/>
        <v>"C:\Program Files (x86)\AstroGrep\AstroGrep.exe" /spath="%USERPROFILE%\AppData\Local\Temp\OnboardLogs" /stypes="app*4041*20161223*"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4041 --swversion DE.1.0.8.0 --startMP 204:232666 --initTime 2016-12-23T03:55:51 --startdatetime 2016-12-23T04:11:23 --delay 1 --endMP 204:154 --enddatetime 2016-12-23T04:52:03 --enforcementcount 0 &gt;&gt;C:\Users\stu\Documents\GitHub\eaglep3-reporting\EC\2016-12-23-refined-times.txt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ID","value":"102-23"},{"id":16,"name":"Locomotive ID","value":"4041"},{"id":130,"name":"Impact","value":""},{"id":150,"name":"Time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470</v>
      </c>
      <c r="B15" s="7">
        <v>4031</v>
      </c>
      <c r="C15" s="22" t="s">
        <v>205</v>
      </c>
      <c r="D15" s="22" t="s">
        <v>682</v>
      </c>
      <c r="E15" s="13">
        <v>42727.15053240741</v>
      </c>
      <c r="F15" s="13">
        <v>42727.156481481485</v>
      </c>
      <c r="G15" s="7">
        <v>2</v>
      </c>
      <c r="H15" s="22" t="s">
        <v>398</v>
      </c>
      <c r="I15" s="13">
        <v>42727.181261574071</v>
      </c>
      <c r="J15" s="7">
        <v>0</v>
      </c>
      <c r="K15" s="109" t="str">
        <f t="shared" si="0"/>
        <v>4031/4032</v>
      </c>
      <c r="L15" s="22" t="str">
        <f>VLOOKUP(A15,'Trips&amp;Operators'!$C$1:$G$99999,5,FALSE)</f>
        <v>DAVIS WENDY</v>
      </c>
      <c r="M15" s="6">
        <f t="shared" si="1"/>
        <v>2.4780092586297542E-2</v>
      </c>
      <c r="N15" s="7">
        <f t="shared" si="2"/>
        <v>35.68333332426846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8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02:36:46-700',mode:absolute,to:'2016-12-23 05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89">
        <f t="shared" si="7"/>
        <v>1</v>
      </c>
      <c r="Y15" s="67">
        <f t="shared" si="8"/>
        <v>7.5700000000000003E-2</v>
      </c>
      <c r="Z15" s="67">
        <f t="shared" si="9"/>
        <v>23.332899999999999</v>
      </c>
      <c r="AA15" s="67">
        <f t="shared" si="10"/>
        <v>23.257199999999997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0103-23</v>
      </c>
      <c r="AE15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5" s="88" t="str">
        <f t="shared" si="13"/>
        <v>"C:\Program Files (x86)\AstroGrep\AstroGrep.exe" /spath="%USERPROFILE%\AppData\Local\Temp\OnboardLogs" /stypes="app*4031*20161223*"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103-23 --locoid 4031 --swversion DE.1.0.8.0 --startMP 204:757 --initTime 2016-12-23T03:36:46 --startdatetime 2016-12-23T03:45:20 --delay 2 --endMP 204:233329 --enddatetime 2016-12-23T04:21:01 --enforcementcount 0 &gt;&gt;C:\Users\stu\Documents\GitHub\eaglep3-reporting\EC\2016-12-23-refined-times.txt</v>
      </c>
      <c r="AI1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{"issue":{"subject":"","project_id":79,"tracker_id":40,"status_id":1,"priority_id":2,"assigned_to_id":23,"start_date":"2016-12-23","description":"","custom_fields":[{"id":1,"name":"Subdivision","value":"EC"},{"id":4,"name":"Milepost","value":"23.3329"},{"id":17,"name":"Train ID","value":"103-23"},{"id":16,"name":"Locomotive ID","value":"4031"},{"id":130,"name":"Impact","value":""},{"id":150,"name":"Time of Event (Mountain Time)","value":"04:21:01"},{"id":151,"name":"Denver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422</v>
      </c>
      <c r="B16" s="7">
        <v>4012</v>
      </c>
      <c r="C16" s="22" t="s">
        <v>205</v>
      </c>
      <c r="D16" s="22" t="s">
        <v>683</v>
      </c>
      <c r="E16" s="13">
        <v>42727.191550925927</v>
      </c>
      <c r="F16" s="13">
        <v>42727.195335648146</v>
      </c>
      <c r="G16" s="7">
        <v>1</v>
      </c>
      <c r="H16" s="22" t="s">
        <v>262</v>
      </c>
      <c r="I16" s="13">
        <v>42727.22446759259</v>
      </c>
      <c r="J16" s="7">
        <v>0</v>
      </c>
      <c r="K16" s="109" t="str">
        <f t="shared" si="0"/>
        <v>4011/4012</v>
      </c>
      <c r="L16" s="22" t="str">
        <f>VLOOKUP(A16,'Trips&amp;Operators'!$C$1:$G$99999,5,FALSE)</f>
        <v>DAVIS WENDY</v>
      </c>
      <c r="M16" s="6">
        <f t="shared" si="1"/>
        <v>2.9131944444088731E-2</v>
      </c>
      <c r="N16" s="7">
        <f t="shared" si="2"/>
        <v>41.949999999487773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8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03:35:50-700',mode:absolute,to:'2016-12-23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" s="52" t="str">
        <f t="shared" si="6"/>
        <v>N</v>
      </c>
      <c r="X16" s="189">
        <f t="shared" si="7"/>
        <v>1</v>
      </c>
      <c r="Y16" s="67">
        <f t="shared" si="8"/>
        <v>23.268699999999999</v>
      </c>
      <c r="Z16" s="67">
        <f t="shared" si="9"/>
        <v>1.3899999999999999E-2</v>
      </c>
      <c r="AA16" s="67">
        <f t="shared" si="10"/>
        <v>23.254799999999999</v>
      </c>
      <c r="AB16" s="64" t="str">
        <f>VLOOKUP(A16,Enforcements!$C$7:$K$19,8,0)</f>
        <v>Speed (6)</v>
      </c>
      <c r="AC16" s="60" t="str">
        <f>VLOOKUP(A16,Enforcements!$C$7:$E$19,3,0)</f>
        <v>PERMANENT SPEED RESTRICTION</v>
      </c>
      <c r="AD16" s="61" t="str">
        <f t="shared" si="11"/>
        <v>0104-23</v>
      </c>
      <c r="AE16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6" s="88" t="str">
        <f t="shared" si="13"/>
        <v>"C:\Program Files (x86)\AstroGrep\AstroGrep.exe" /spath="%USERPROFILE%\AppData\Local\Temp\OnboardLogs" /stypes="app*4012*20161223*"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104-23 --locoid 4012 --swversion DE.1.0.8.0 --startMP 204:232687 --initTime 2016-12-23T04:35:50 --startdatetime 2016-12-23T04:41:17 --delay 1 --endMP 204:139 --enddatetime 2016-12-23T05:23:14 --enforcementcount 0 &gt;&gt;C:\Users\stu\Documents\GitHub\eaglep3-reporting\EC\2016-12-23-refined-times.txt</v>
      </c>
      <c r="AI1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ID","value":"104-23"},{"id":16,"name":"Locomotive ID","value":"4012"},{"id":130,"name":"Impact","value":""},{"id":150,"name":"Time of Event (Mountain Time)","value":"05:23:14"},{"id":151,"name":"Denver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474</v>
      </c>
      <c r="B17" s="7">
        <v>4016</v>
      </c>
      <c r="C17" s="22" t="s">
        <v>205</v>
      </c>
      <c r="D17" s="22" t="s">
        <v>684</v>
      </c>
      <c r="E17" s="13">
        <v>42727.170787037037</v>
      </c>
      <c r="F17" s="13">
        <v>42727.177268518521</v>
      </c>
      <c r="G17" s="7">
        <v>1</v>
      </c>
      <c r="H17" s="22" t="s">
        <v>685</v>
      </c>
      <c r="I17" s="13">
        <v>42727.202789351853</v>
      </c>
      <c r="J17" s="7">
        <v>0</v>
      </c>
      <c r="K17" s="109" t="str">
        <f t="shared" si="0"/>
        <v>4015/4016</v>
      </c>
      <c r="L17" s="22" t="str">
        <f>VLOOKUP(A17,'Trips&amp;Operators'!$C$1:$G$99999,5,FALSE)</f>
        <v>ROBINSON KADDIBA</v>
      </c>
      <c r="M17" s="6">
        <f t="shared" si="1"/>
        <v>2.5520833332848269E-2</v>
      </c>
      <c r="N17" s="7">
        <f t="shared" si="2"/>
        <v>36.749999999301508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8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03:05:56-700',mode:absolute,to:'2016-12-23 05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7" s="52" t="str">
        <f t="shared" si="6"/>
        <v>N</v>
      </c>
      <c r="X17" s="189">
        <f t="shared" si="7"/>
        <v>1</v>
      </c>
      <c r="Y17" s="67">
        <f t="shared" si="8"/>
        <v>6.7299999999999999E-2</v>
      </c>
      <c r="Z17" s="67">
        <f t="shared" si="9"/>
        <v>23.340599999999998</v>
      </c>
      <c r="AA17" s="67">
        <f t="shared" si="10"/>
        <v>23.273299999999999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0105-23</v>
      </c>
      <c r="AE17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7" s="88" t="str">
        <f t="shared" si="13"/>
        <v>"C:\Program Files (x86)\AstroGrep\AstroGrep.exe" /spath="%USERPROFILE%\AppData\Local\Temp\OnboardLogs" /stypes="app*4016*20161223*"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105-23 --locoid 4016 --swversion DE.1.0.8.0 --startMP 204:673 --initTime 2016-12-23T04:05:56 --startdatetime 2016-12-23T04:15:16 --delay 1 --endMP 204:233406 --enddatetime 2016-12-23T04:52:01 --enforcementcount 0 &gt;&gt;C:\Users\stu\Documents\GitHub\eaglep3-reporting\EC\2016-12-23-refined-times.txt</v>
      </c>
      <c r="AI1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{"issue":{"subject":"","project_id":79,"tracker_id":40,"status_id":1,"priority_id":2,"assigned_to_id":23,"start_date":"2016-12-23","description":"","custom_fields":[{"id":1,"name":"Subdivision","value":"EC"},{"id":4,"name":"Milepost","value":"23.3406"},{"id":17,"name":"Train ID","value":"105-23"},{"id":16,"name":"Locomotive ID","value":"4016"},{"id":130,"name":"Impact","value":""},{"id":150,"name":"Time of Event (Mountain Time)","value":"04:52:01"},{"id":151,"name":"Denver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482</v>
      </c>
      <c r="B18" s="7">
        <v>4026</v>
      </c>
      <c r="C18" s="22" t="s">
        <v>205</v>
      </c>
      <c r="D18" s="22" t="s">
        <v>686</v>
      </c>
      <c r="E18" s="13">
        <v>42727.209675925929</v>
      </c>
      <c r="F18" s="13">
        <v>42727.216145833336</v>
      </c>
      <c r="G18" s="7">
        <v>1</v>
      </c>
      <c r="H18" s="22" t="s">
        <v>261</v>
      </c>
      <c r="I18" s="13">
        <v>42727.244259259256</v>
      </c>
      <c r="J18" s="7">
        <v>0</v>
      </c>
      <c r="K18" s="109" t="str">
        <f t="shared" si="0"/>
        <v>4025/4026</v>
      </c>
      <c r="L18" s="22" t="str">
        <f>VLOOKUP(A18,'Trips&amp;Operators'!$C$1:$G$99999,5,FALSE)</f>
        <v>ROBINSON KADDIBA</v>
      </c>
      <c r="M18" s="6">
        <f t="shared" si="1"/>
        <v>2.8113425920309965E-2</v>
      </c>
      <c r="N18" s="7">
        <f t="shared" si="2"/>
        <v>40.483333325246349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8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04:01:56-700',mode:absolute,to:'2016-12-23 06:51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6"/>
        <v>N</v>
      </c>
      <c r="X18" s="189">
        <f t="shared" si="7"/>
        <v>1</v>
      </c>
      <c r="Y18" s="67">
        <f t="shared" si="8"/>
        <v>23.2775</v>
      </c>
      <c r="Z18" s="67">
        <f t="shared" si="9"/>
        <v>1.47E-2</v>
      </c>
      <c r="AA18" s="67">
        <f t="shared" si="10"/>
        <v>23.262799999999999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0106-23</v>
      </c>
      <c r="AE18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8" s="88" t="str">
        <f t="shared" si="13"/>
        <v>"C:\Program Files (x86)\AstroGrep\AstroGrep.exe" /spath="%USERPROFILE%\AppData\Local\Temp\OnboardLogs" /stypes="app*4026*20161223*"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106-23 --locoid 4026 --swversion DE.1.0.8.0 --startMP 204:232775 --initTime 2016-12-23T05:01:56 --startdatetime 2016-12-23T05:11:15 --delay 1 --endMP 204:147 --enddatetime 2016-12-23T05:51:44 --enforcementcount 0 &gt;&gt;C:\Users\stu\Documents\GitHub\eaglep3-reporting\EC\2016-12-23-refined-times.txt</v>
      </c>
      <c r="AI1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{"issue":{"subject":"","project_id":79,"tracker_id":40,"status_id":1,"priority_id":2,"assigned_to_id":23,"start_date":"2016-12-23","description":"","custom_fields":[{"id":1,"name":"Subdivision","value":"EC"},{"id":4,"name":"Milepost","value":"0.0147"},{"id":17,"name":"Train ID","value":"106-23"},{"id":16,"name":"Locomotive ID","value":"4026"},{"id":130,"name":"Impact","value":""},{"id":150,"name":"Time of Event (Mountain Time)","value":"05:51:44"},{"id":151,"name":"Denver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476</v>
      </c>
      <c r="B19" s="7">
        <v>4051</v>
      </c>
      <c r="C19" s="22" t="s">
        <v>205</v>
      </c>
      <c r="D19" s="22" t="s">
        <v>194</v>
      </c>
      <c r="E19" s="13">
        <v>42727.185289351852</v>
      </c>
      <c r="F19" s="13">
        <v>42727.187696759262</v>
      </c>
      <c r="G19" s="7">
        <v>1</v>
      </c>
      <c r="H19" s="22" t="s">
        <v>318</v>
      </c>
      <c r="I19" s="13">
        <v>42727.213784722226</v>
      </c>
      <c r="J19" s="7">
        <v>0</v>
      </c>
      <c r="K19" s="109" t="str">
        <f t="shared" si="0"/>
        <v>4051/4052</v>
      </c>
      <c r="L19" s="22" t="str">
        <f>VLOOKUP(A19,'Trips&amp;Operators'!$C$1:$G$99999,5,FALSE)</f>
        <v>STARKS ANGELINA</v>
      </c>
      <c r="M19" s="6">
        <f t="shared" si="1"/>
        <v>2.6087962964083999E-2</v>
      </c>
      <c r="N19" s="7">
        <f t="shared" si="2"/>
        <v>37.566666668280959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8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03:26:49-700',mode:absolute,to:'2016-12-23 06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9" s="52" t="str">
        <f t="shared" si="6"/>
        <v>N</v>
      </c>
      <c r="X19" s="189">
        <f t="shared" si="7"/>
        <v>1</v>
      </c>
      <c r="Y19" s="67">
        <f t="shared" si="8"/>
        <v>4.5100000000000001E-2</v>
      </c>
      <c r="Z19" s="67">
        <f t="shared" si="9"/>
        <v>23.330100000000002</v>
      </c>
      <c r="AA19" s="67">
        <f t="shared" si="10"/>
        <v>23.285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0107-23</v>
      </c>
      <c r="AE19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9" s="88" t="str">
        <f t="shared" si="13"/>
        <v>"C:\Program Files (x86)\AstroGrep\AstroGrep.exe" /spath="%USERPROFILE%\AppData\Local\Temp\OnboardLogs" /stypes="app*4051*20161223*"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107-23 --locoid 4051 --swversion DE.1.0.8.0 --startMP 204:451 --initTime 2016-12-23T04:26:49 --startdatetime 2016-12-23T04:30:17 --delay 1 --endMP 204:233301 --enddatetime 2016-12-23T05:07:51 --enforcementcount 0 &gt;&gt;C:\Users\stu\Documents\GitHub\eaglep3-reporting\EC\2016-12-23-refined-times.txt</v>
      </c>
      <c r="AI1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ID","value":"107-23"},{"id":16,"name":"Locomotive ID","value":"4051"},{"id":130,"name":"Impact","value":""},{"id":150,"name":"Time of Event (Mountain Time)","value":"05:07:51"},{"id":151,"name":"Denver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484</v>
      </c>
      <c r="B20" s="7">
        <v>4052</v>
      </c>
      <c r="C20" s="22" t="s">
        <v>205</v>
      </c>
      <c r="D20" s="22" t="s">
        <v>687</v>
      </c>
      <c r="E20" s="13">
        <v>42727.215590277781</v>
      </c>
      <c r="F20" s="13">
        <v>42727.2265625</v>
      </c>
      <c r="G20" s="7">
        <v>1</v>
      </c>
      <c r="H20" s="22" t="s">
        <v>262</v>
      </c>
      <c r="I20" s="13">
        <v>42727.254837962966</v>
      </c>
      <c r="J20" s="7">
        <v>0</v>
      </c>
      <c r="K20" s="109" t="str">
        <f t="shared" si="0"/>
        <v>4051/4052</v>
      </c>
      <c r="L20" s="22" t="str">
        <f>VLOOKUP(A20,'Trips&amp;Operators'!$C$1:$G$99999,5,FALSE)</f>
        <v>STARKS ANGELINA</v>
      </c>
      <c r="M20" s="6">
        <f t="shared" si="1"/>
        <v>2.8275462966121268E-2</v>
      </c>
      <c r="N20" s="7">
        <f t="shared" si="2"/>
        <v>40.716666671214625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8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04:10:27-700',mode:absolute,to:'2016-12-23 07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" s="52" t="str">
        <f t="shared" si="6"/>
        <v>N</v>
      </c>
      <c r="X20" s="189">
        <f t="shared" si="7"/>
        <v>1</v>
      </c>
      <c r="Y20" s="67">
        <f t="shared" si="8"/>
        <v>23.296099999999999</v>
      </c>
      <c r="Z20" s="67">
        <f t="shared" si="9"/>
        <v>1.3899999999999999E-2</v>
      </c>
      <c r="AA20" s="67">
        <f t="shared" si="10"/>
        <v>23.2822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0108-23</v>
      </c>
      <c r="AE20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20" s="88" t="str">
        <f t="shared" si="13"/>
        <v>"C:\Program Files (x86)\AstroGrep\AstroGrep.exe" /spath="%USERPROFILE%\AppData\Local\Temp\OnboardLogs" /stypes="app*4052*20161223*"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108-23 --locoid 4052 --swversion DE.1.0.8.0 --startMP 204:232961 --initTime 2016-12-23T05:10:27 --startdatetime 2016-12-23T05:26:15 --delay 1 --endMP 204:139 --enddatetime 2016-12-23T06:06:58 --enforcementcount 0 &gt;&gt;C:\Users\stu\Documents\GitHub\eaglep3-reporting\EC\2016-12-23-refined-times.txt</v>
      </c>
      <c r="AI2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ID","value":"108-23"},{"id":16,"name":"Locomotive ID","value":"4052"},{"id":130,"name":"Impact","value":""},{"id":150,"name":"Time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478</v>
      </c>
      <c r="B21" s="7">
        <v>4007</v>
      </c>
      <c r="C21" s="22" t="s">
        <v>205</v>
      </c>
      <c r="D21" s="22" t="s">
        <v>688</v>
      </c>
      <c r="E21" s="13">
        <v>42727.195914351854</v>
      </c>
      <c r="F21" s="13">
        <v>42727.198807870373</v>
      </c>
      <c r="G21" s="7">
        <v>1</v>
      </c>
      <c r="H21" s="22" t="s">
        <v>392</v>
      </c>
      <c r="I21" s="13">
        <v>42727.223703703705</v>
      </c>
      <c r="J21" s="7">
        <v>0</v>
      </c>
      <c r="K21" s="109" t="str">
        <f t="shared" si="0"/>
        <v>4007/4008</v>
      </c>
      <c r="L21" s="22" t="str">
        <f>VLOOKUP(A21,'Trips&amp;Operators'!$C$1:$G$99999,5,FALSE)</f>
        <v>DUNCAN SHEILA</v>
      </c>
      <c r="M21" s="6">
        <f t="shared" si="1"/>
        <v>2.4895833332266193E-2</v>
      </c>
      <c r="N21" s="7">
        <f t="shared" si="2"/>
        <v>35.849999998463318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8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03:42:07-700',mode:absolute,to:'2016-12-23 06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2" t="str">
        <f t="shared" si="6"/>
        <v>N</v>
      </c>
      <c r="X21" s="189">
        <f t="shared" si="7"/>
        <v>1</v>
      </c>
      <c r="Y21" s="67">
        <f t="shared" si="8"/>
        <v>4.8000000000000001E-2</v>
      </c>
      <c r="Z21" s="67">
        <f t="shared" si="9"/>
        <v>23.331399999999999</v>
      </c>
      <c r="AA21" s="67">
        <f t="shared" si="10"/>
        <v>23.2834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0109-23</v>
      </c>
      <c r="AE21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21" s="88" t="str">
        <f t="shared" si="13"/>
        <v>"C:\Program Files (x86)\AstroGrep\AstroGrep.exe" /spath="%USERPROFILE%\AppData\Local\Temp\OnboardLogs" /stypes="app*4007*20161223*"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109-23 --locoid 4007 --swversion DE.1.0.8.0 --startMP 204:480 --initTime 2016-12-23T04:42:07 --startdatetime 2016-12-23T04:46:17 --delay 1 --endMP 204:233314 --enddatetime 2016-12-23T05:22:08 --enforcementcount 0 &gt;&gt;C:\Users\stu\Documents\GitHub\eaglep3-reporting\EC\2016-12-23-refined-times.txt</v>
      </c>
      <c r="AI2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ID","value":"109-23"},{"id":16,"name":"Locomotive ID","value":"4007"},{"id":130,"name":"Impact","value":""},{"id":150,"name":"Time of Event (Mountain Time)","value":"05:22:08"},{"id":151,"name":"Denver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488</v>
      </c>
      <c r="B22" s="7">
        <v>4008</v>
      </c>
      <c r="C22" s="22" t="s">
        <v>205</v>
      </c>
      <c r="D22" s="22" t="s">
        <v>689</v>
      </c>
      <c r="E22" s="13">
        <v>42727.229560185187</v>
      </c>
      <c r="F22" s="13">
        <v>42727.23704861111</v>
      </c>
      <c r="G22" s="7">
        <v>2</v>
      </c>
      <c r="H22" s="22" t="s">
        <v>262</v>
      </c>
      <c r="I22" s="13">
        <v>42727.26390046296</v>
      </c>
      <c r="J22" s="7">
        <v>0</v>
      </c>
      <c r="K22" s="109" t="str">
        <f t="shared" si="0"/>
        <v>4007/4008</v>
      </c>
      <c r="L22" s="22" t="str">
        <f>VLOOKUP(A22,'Trips&amp;Operators'!$C$1:$G$99999,5,FALSE)</f>
        <v>DUNCAN SHEILA</v>
      </c>
      <c r="M22" s="6">
        <f t="shared" si="1"/>
        <v>2.6851851849642117E-2</v>
      </c>
      <c r="N22" s="7">
        <f t="shared" si="2"/>
        <v>38.666666663484648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8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04:30:34-700',mode:absolute,to:'2016-12-23 07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52" t="str">
        <f t="shared" si="6"/>
        <v>N</v>
      </c>
      <c r="X22" s="189">
        <f t="shared" si="7"/>
        <v>1</v>
      </c>
      <c r="Y22" s="67">
        <f t="shared" si="8"/>
        <v>23.3004</v>
      </c>
      <c r="Z22" s="67">
        <f t="shared" si="9"/>
        <v>1.3899999999999999E-2</v>
      </c>
      <c r="AA22" s="67">
        <f t="shared" si="10"/>
        <v>23.2865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0110-23</v>
      </c>
      <c r="AE22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22" s="88" t="str">
        <f t="shared" si="13"/>
        <v>"C:\Program Files (x86)\AstroGrep\AstroGrep.exe" /spath="%USERPROFILE%\AppData\Local\Temp\OnboardLogs" /stypes="app*4008*20161223*"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110-23 --locoid 4008 --swversion DE.1.0.8.0 --startMP 204:233004 --initTime 2016-12-23T05:30:34 --startdatetime 2016-12-23T05:41:21 --delay 2 --endMP 204:139 --enddatetime 2016-12-23T06:20:01 --enforcementcount 0 &gt;&gt;C:\Users\stu\Documents\GitHub\eaglep3-reporting\EC\2016-12-23-refined-times.txt</v>
      </c>
      <c r="AI2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ID","value":"110-23"},{"id":16,"name":"Locomotive ID","value":"4008"},{"id":130,"name":"Impact","value":""},{"id":150,"name":"Time of Event (Mountain Time)","value":"06:20:01"},{"id":151,"name":"Denver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481</v>
      </c>
      <c r="B23" s="7">
        <v>4044</v>
      </c>
      <c r="C23" s="22" t="s">
        <v>205</v>
      </c>
      <c r="D23" s="22" t="s">
        <v>382</v>
      </c>
      <c r="E23" s="13">
        <v>42727.208506944444</v>
      </c>
      <c r="F23" s="13">
        <v>42727.210451388892</v>
      </c>
      <c r="G23" s="7">
        <v>1</v>
      </c>
      <c r="H23" s="22" t="s">
        <v>395</v>
      </c>
      <c r="I23" s="13">
        <v>42727.234699074077</v>
      </c>
      <c r="J23" s="7">
        <v>0</v>
      </c>
      <c r="K23" s="109" t="str">
        <f t="shared" si="0"/>
        <v>4043/4044</v>
      </c>
      <c r="L23" s="22" t="str">
        <f>VLOOKUP(A23,'Trips&amp;Operators'!$C$1:$G$99999,5,FALSE)</f>
        <v>BONDS REYNALDO</v>
      </c>
      <c r="M23" s="6">
        <f t="shared" si="1"/>
        <v>2.4247685185400769E-2</v>
      </c>
      <c r="N23" s="7">
        <f t="shared" si="2"/>
        <v>34.916666666977108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8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04:00:15-700',mode:absolute,to:'2016-12-23 06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89">
        <f t="shared" si="7"/>
        <v>1</v>
      </c>
      <c r="Y23" s="67">
        <f t="shared" si="8"/>
        <v>7.8100000000000003E-2</v>
      </c>
      <c r="Z23" s="67">
        <f t="shared" si="9"/>
        <v>23.327200000000001</v>
      </c>
      <c r="AA23" s="67">
        <f t="shared" si="10"/>
        <v>23.249100000000002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0111-23</v>
      </c>
      <c r="AE23" s="91" t="str">
        <f t="shared" si="12"/>
        <v>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 &amp; 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</v>
      </c>
      <c r="AF23" s="88" t="str">
        <f t="shared" si="13"/>
        <v>"C:\Program Files (x86)\AstroGrep\AstroGrep.exe" /spath="%USERPROFILE%\AppData\Local\Temp\OnboardLogs" /stypes="app*4044*20161223*"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111-23 --locoid 4044 --swversion DE.1.0.8.0 --startMP 204:781 --initTime 2016-12-23T05:00:15 --startdatetime 2016-12-23T05:03:03 --delay 1 --endMP 204:233272 --enddatetime 2016-12-23T05:37:58 --enforcementcount 0 &gt;&gt;C:\Users\stu\Documents\GitHub\eaglep3-reporting\EC\2016-12-23-refined-times.txt</v>
      </c>
      <c r="AI2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{"issue":{"subject":"","project_id":79,"tracker_id":40,"status_id":1,"priority_id":2,"assigned_to_id":23,"start_date":"2016-12-23","description":"","custom_fields":[{"id":1,"name":"Subdivision","value":"EC"},{"id":4,"name":"Milepost","value":"23.3272"},{"id":17,"name":"Train ID","value":"111-23"},{"id":16,"name":"Locomotive ID","value":"4044"},{"id":130,"name":"Impact","value":""},{"id":150,"name":"Time of Event (Mountain Time)","value":"05:37:58"},{"id":151,"name":"Denver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425</v>
      </c>
      <c r="B24" s="7">
        <v>4043</v>
      </c>
      <c r="C24" s="22" t="s">
        <v>205</v>
      </c>
      <c r="D24" s="22" t="s">
        <v>690</v>
      </c>
      <c r="E24" s="13">
        <v>42727.239085648151</v>
      </c>
      <c r="F24" s="13">
        <v>42727.247372685182</v>
      </c>
      <c r="G24" s="7">
        <v>1</v>
      </c>
      <c r="H24" s="22" t="s">
        <v>691</v>
      </c>
      <c r="I24" s="13">
        <v>42727.275219907409</v>
      </c>
      <c r="J24" s="7">
        <v>0</v>
      </c>
      <c r="K24" s="109" t="str">
        <f t="shared" si="0"/>
        <v>4043/4044</v>
      </c>
      <c r="L24" s="22" t="str">
        <f>VLOOKUP(A24,'Trips&amp;Operators'!$C$1:$G$99999,5,FALSE)</f>
        <v>BONDS REYNALDO</v>
      </c>
      <c r="M24" s="6">
        <f t="shared" si="1"/>
        <v>2.7847222227137536E-2</v>
      </c>
      <c r="N24" s="7">
        <f t="shared" si="2"/>
        <v>40.100000007078052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8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04:44:17-700',mode:absolute,to:'2016-12-23 07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89">
        <f t="shared" si="7"/>
        <v>1</v>
      </c>
      <c r="Y24" s="67">
        <f t="shared" si="8"/>
        <v>23.2971</v>
      </c>
      <c r="Z24" s="67">
        <f t="shared" si="9"/>
        <v>0.11749999999999999</v>
      </c>
      <c r="AA24" s="67">
        <f t="shared" si="10"/>
        <v>23.179600000000001</v>
      </c>
      <c r="AB24" s="64" t="str">
        <f>VLOOKUP(A24,Enforcements!$C$7:$K$19,8,0)</f>
        <v>Bulletin (2)</v>
      </c>
      <c r="AC24" s="60" t="str">
        <f>VLOOKUP(A24,Enforcements!$C$7:$E$19,3,0)</f>
        <v>GRADE CROSSING</v>
      </c>
      <c r="AD24" s="61" t="str">
        <f t="shared" si="11"/>
        <v>0112-23</v>
      </c>
      <c r="AE24" s="91" t="str">
        <f t="shared" si="12"/>
        <v>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 &amp; 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</v>
      </c>
      <c r="AF24" s="88" t="str">
        <f t="shared" si="13"/>
        <v>"C:\Program Files (x86)\AstroGrep\AstroGrep.exe" /spath="%USERPROFILE%\AppData\Local\Temp\OnboardLogs" /stypes="app*4043*20161223*"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112-23 --locoid 4043 --swversion DE.1.0.8.0 --startMP 204:232971 --initTime 2016-12-23T05:44:17 --startdatetime 2016-12-23T05:56:13 --delay 1 --endMP 204:1175 --enddatetime 2016-12-23T06:36:19 --enforcementcount 0 &gt;&gt;C:\Users\stu\Documents\GitHub\eaglep3-reporting\EC\2016-12-23-refined-times.txt</v>
      </c>
      <c r="AI2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{"issue":{"subject":"","project_id":79,"tracker_id":40,"status_id":1,"priority_id":2,"assigned_to_id":23,"start_date":"2016-12-23","description":"","custom_fields":[{"id":1,"name":"Subdivision","value":"EC"},{"id":4,"name":"Milepost","value":"0.1175"},{"id":17,"name":"Train ID","value":"112-23"},{"id":16,"name":"Locomotive ID","value":"4043"},{"id":130,"name":"Impact","value":""},{"id":150,"name":"Time of Event (Mountain Time)","value":"06:36:19"},{"id":151,"name":"Denver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480</v>
      </c>
      <c r="B25" s="7">
        <v>4042</v>
      </c>
      <c r="C25" s="22" t="s">
        <v>205</v>
      </c>
      <c r="D25" s="22" t="s">
        <v>255</v>
      </c>
      <c r="E25" s="13">
        <v>42727.206192129626</v>
      </c>
      <c r="F25" s="13">
        <v>42727.218993055554</v>
      </c>
      <c r="G25" s="7">
        <v>1</v>
      </c>
      <c r="H25" s="22" t="s">
        <v>281</v>
      </c>
      <c r="I25" s="13">
        <v>42727.24359953704</v>
      </c>
      <c r="J25" s="7">
        <v>0</v>
      </c>
      <c r="K25" s="109" t="str">
        <f t="shared" si="0"/>
        <v>4041/4042</v>
      </c>
      <c r="L25" s="22" t="str">
        <f>VLOOKUP(A25,'Trips&amp;Operators'!$C$1:$G$99999,5,FALSE)</f>
        <v>ISHMAEL JOSEPH</v>
      </c>
      <c r="M25" s="6">
        <f t="shared" si="1"/>
        <v>2.4606481485534459E-2</v>
      </c>
      <c r="N25" s="7">
        <f t="shared" si="2"/>
        <v>35.433333339169621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8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03:56:55-700',mode:absolute,to:'2016-12-23 06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5" s="52" t="str">
        <f t="shared" si="6"/>
        <v>N</v>
      </c>
      <c r="X25" s="189">
        <f t="shared" si="7"/>
        <v>1</v>
      </c>
      <c r="Y25" s="67">
        <f t="shared" si="8"/>
        <v>4.53E-2</v>
      </c>
      <c r="Z25" s="67">
        <f t="shared" si="9"/>
        <v>23.329799999999999</v>
      </c>
      <c r="AA25" s="67">
        <f t="shared" si="10"/>
        <v>23.284499999999998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0113-23</v>
      </c>
      <c r="AE25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25" s="88" t="str">
        <f t="shared" si="13"/>
        <v>"C:\Program Files (x86)\AstroGrep\AstroGrep.exe" /spath="%USERPROFILE%\AppData\Local\Temp\OnboardLogs" /stypes="app*4042*20161223*"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113-23 --locoid 4042 --swversion DE.1.0.8.0 --startMP 204:453 --initTime 2016-12-23T04:56:55 --startdatetime 2016-12-23T05:15:21 --delay 1 --endMP 204:233298 --enddatetime 2016-12-23T05:50:47 --enforcementcount 0 &gt;&gt;C:\Users\stu\Documents\GitHub\eaglep3-reporting\EC\2016-12-23-refined-times.txt</v>
      </c>
      <c r="AI2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{"issue":{"subject":"","project_id":79,"tracker_id":40,"status_id":1,"priority_id":2,"assigned_to_id":23,"start_date":"2016-12-23","description":"","custom_fields":[{"id":1,"name":"Subdivision","value":"EC"},{"id":4,"name":"Milepost","value":"23.3298"},{"id":17,"name":"Train ID","value":"113-23"},{"id":16,"name":"Locomotive ID","value":"4042"},{"id":130,"name":"Impact","value":""},{"id":150,"name":"Time of Event (Mountain Time)","value":"05:50:47"},{"id":151,"name":"Denver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493</v>
      </c>
      <c r="B26" s="7">
        <v>4041</v>
      </c>
      <c r="C26" s="22" t="s">
        <v>205</v>
      </c>
      <c r="D26" s="22" t="s">
        <v>354</v>
      </c>
      <c r="E26" s="13">
        <v>42727.250868055555</v>
      </c>
      <c r="F26" s="13">
        <v>42727.257893518516</v>
      </c>
      <c r="G26" s="7">
        <v>1</v>
      </c>
      <c r="H26" s="22" t="s">
        <v>191</v>
      </c>
      <c r="I26" s="13">
        <v>42727.285590277781</v>
      </c>
      <c r="J26" s="7">
        <v>0</v>
      </c>
      <c r="K26" s="109" t="str">
        <f t="shared" si="0"/>
        <v>4041/4042</v>
      </c>
      <c r="L26" s="22" t="str">
        <f>VLOOKUP(A26,'Trips&amp;Operators'!$C$1:$G$99999,5,FALSE)</f>
        <v>ISHMAEL JOSEPH</v>
      </c>
      <c r="M26" s="6">
        <f t="shared" si="1"/>
        <v>2.7696759265381843E-2</v>
      </c>
      <c r="N26" s="7">
        <f t="shared" si="2"/>
        <v>39.883333342149854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8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05:01:15-700',mode:absolute,to:'2016-12-23 07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6" s="52" t="str">
        <f t="shared" si="6"/>
        <v>N</v>
      </c>
      <c r="X26" s="189">
        <f t="shared" si="7"/>
        <v>1</v>
      </c>
      <c r="Y26" s="67">
        <f t="shared" si="8"/>
        <v>23.298300000000001</v>
      </c>
      <c r="Z26" s="67">
        <f t="shared" si="9"/>
        <v>1.49E-2</v>
      </c>
      <c r="AA26" s="67">
        <f t="shared" si="10"/>
        <v>23.2834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0114-23</v>
      </c>
      <c r="AE26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26" s="88" t="str">
        <f t="shared" si="13"/>
        <v>"C:\Program Files (x86)\AstroGrep\AstroGrep.exe" /spath="%USERPROFILE%\AppData\Local\Temp\OnboardLogs" /stypes="app*4041*20161223*"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114-23 --locoid 4041 --swversion DE.1.0.8.0 --startMP 204:232983 --initTime 2016-12-23T06:01:15 --startdatetime 2016-12-23T06:11:22 --delay 1 --endMP 204:149 --enddatetime 2016-12-23T06:51:15 --enforcementcount 0 &gt;&gt;C:\Users\stu\Documents\GitHub\eaglep3-reporting\EC\2016-12-23-refined-times.txt</v>
      </c>
      <c r="AI2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ID","value":"114-23"},{"id":16,"name":"Locomotive ID","value":"4041"},{"id":130,"name":"Impact","value":""},{"id":150,"name":"Time of Event (Mountain Time)","value":"06:51:15"},{"id":151,"name":"Denver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485</v>
      </c>
      <c r="B27" s="7">
        <v>4031</v>
      </c>
      <c r="C27" s="22" t="s">
        <v>205</v>
      </c>
      <c r="D27" s="22" t="s">
        <v>692</v>
      </c>
      <c r="E27" s="13">
        <v>42727.227569444447</v>
      </c>
      <c r="F27" s="13">
        <v>42727.229375000003</v>
      </c>
      <c r="G27" s="7">
        <v>1</v>
      </c>
      <c r="H27" s="22" t="s">
        <v>693</v>
      </c>
      <c r="I27" s="13">
        <v>42727.25340277778</v>
      </c>
      <c r="J27" s="7">
        <v>0</v>
      </c>
      <c r="K27" s="109" t="str">
        <f t="shared" si="0"/>
        <v>4031/4032</v>
      </c>
      <c r="L27" s="22" t="str">
        <f>VLOOKUP(A27,'Trips&amp;Operators'!$C$1:$G$99999,5,FALSE)</f>
        <v>SIMONEAUX TERA</v>
      </c>
      <c r="M27" s="6">
        <f t="shared" si="1"/>
        <v>2.4027777777519077E-2</v>
      </c>
      <c r="N27" s="7">
        <f t="shared" si="2"/>
        <v>34.599999999627471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8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04:27:42-700',mode:absolute,to:'2016-12-23 07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89">
        <f t="shared" si="7"/>
        <v>1</v>
      </c>
      <c r="Y27" s="67">
        <f t="shared" si="8"/>
        <v>7.6100000000000001E-2</v>
      </c>
      <c r="Z27" s="67">
        <f t="shared" si="9"/>
        <v>23.333400000000001</v>
      </c>
      <c r="AA27" s="67">
        <f t="shared" si="10"/>
        <v>23.257300000000001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0115-23</v>
      </c>
      <c r="AE27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27" s="88" t="str">
        <f t="shared" si="13"/>
        <v>"C:\Program Files (x86)\AstroGrep\AstroGrep.exe" /spath="%USERPROFILE%\AppData\Local\Temp\OnboardLogs" /stypes="app*4031*20161223*"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115-23 --locoid 4031 --swversion DE.1.0.8.0 --startMP 204:761 --initTime 2016-12-23T05:27:42 --startdatetime 2016-12-23T05:30:18 --delay 1 --endMP 204:233334 --enddatetime 2016-12-23T06:04:54 --enforcementcount 0 &gt;&gt;C:\Users\stu\Documents\GitHub\eaglep3-reporting\EC\2016-12-23-refined-times.txt</v>
      </c>
      <c r="AI2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{"issue":{"subject":"","project_id":79,"tracker_id":40,"status_id":1,"priority_id":2,"assigned_to_id":23,"start_date":"2016-12-23","description":"","custom_fields":[{"id":1,"name":"Subdivision","value":"EC"},{"id":4,"name":"Milepost","value":"23.3334"},{"id":17,"name":"Train ID","value":"115-23"},{"id":16,"name":"Locomotive ID","value":"4031"},{"id":130,"name":"Impact","value":""},{"id":150,"name":"Time of Event (Mountain Time)","value":"06:04:54"},{"id":151,"name":"Denver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497</v>
      </c>
      <c r="B28" s="7">
        <v>4032</v>
      </c>
      <c r="C28" s="22" t="s">
        <v>205</v>
      </c>
      <c r="D28" s="22" t="s">
        <v>347</v>
      </c>
      <c r="E28" s="13">
        <v>42727.266504629632</v>
      </c>
      <c r="F28" s="13">
        <v>42727.268495370372</v>
      </c>
      <c r="G28" s="7">
        <v>1</v>
      </c>
      <c r="H28" s="22" t="s">
        <v>224</v>
      </c>
      <c r="I28" s="13">
        <v>42727.294918981483</v>
      </c>
      <c r="J28" s="7">
        <v>0</v>
      </c>
      <c r="K28" s="109" t="str">
        <f t="shared" si="0"/>
        <v>4031/4032</v>
      </c>
      <c r="L28" s="22" t="str">
        <f>VLOOKUP(A28,'Trips&amp;Operators'!$C$1:$G$99999,5,FALSE)</f>
        <v>SIMONEAUX TERA</v>
      </c>
      <c r="M28" s="6">
        <f t="shared" si="1"/>
        <v>2.6423611110658385E-2</v>
      </c>
      <c r="N28" s="7">
        <f t="shared" si="2"/>
        <v>38.049999999348074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8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05:23:46-700',mode:absolute,to:'2016-12-23 08:04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N</v>
      </c>
      <c r="X28" s="189">
        <f t="shared" si="7"/>
        <v>1</v>
      </c>
      <c r="Y28" s="67">
        <f t="shared" si="8"/>
        <v>23.296700000000001</v>
      </c>
      <c r="Z28" s="67">
        <f t="shared" si="9"/>
        <v>1.54E-2</v>
      </c>
      <c r="AA28" s="67">
        <f t="shared" si="10"/>
        <v>23.281300000000002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0116-23</v>
      </c>
      <c r="AE28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28" s="88" t="str">
        <f t="shared" si="13"/>
        <v>"C:\Program Files (x86)\AstroGrep\AstroGrep.exe" /spath="%USERPROFILE%\AppData\Local\Temp\OnboardLogs" /stypes="app*4032*20161223*"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116-23 --locoid 4032 --swversion DE.1.0.8.0 --startMP 204:232967 --initTime 2016-12-23T06:23:46 --startdatetime 2016-12-23T06:26:38 --delay 1 --endMP 204:154 --enddatetime 2016-12-23T07:04:41 --enforcementcount 0 &gt;&gt;C:\Users\stu\Documents\GitHub\eaglep3-reporting\EC\2016-12-23-refined-times.txt</v>
      </c>
      <c r="AI2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ID","value":"116-23"},{"id":16,"name":"Locomotive ID","value":"4032"},{"id":130,"name":"Impact","value":""},{"id":150,"name":"Time of Event (Mountain Time)","value":"07:04:41"},{"id":151,"name":"Denver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489</v>
      </c>
      <c r="B29" s="7">
        <v>4011</v>
      </c>
      <c r="C29" s="22" t="s">
        <v>205</v>
      </c>
      <c r="D29" s="22" t="s">
        <v>694</v>
      </c>
      <c r="E29" s="13">
        <v>42727.230034722219</v>
      </c>
      <c r="F29" s="13">
        <v>42727.239791666667</v>
      </c>
      <c r="G29" s="7">
        <v>1</v>
      </c>
      <c r="H29" s="22" t="s">
        <v>345</v>
      </c>
      <c r="I29" s="13">
        <v>42727.264884259261</v>
      </c>
      <c r="J29" s="7">
        <v>0</v>
      </c>
      <c r="K29" s="109" t="str">
        <f t="shared" si="0"/>
        <v>4011/4012</v>
      </c>
      <c r="L29" s="22" t="str">
        <f>VLOOKUP(A29,'Trips&amp;Operators'!$C$1:$G$99999,5,FALSE)</f>
        <v>DAVIS WENDY</v>
      </c>
      <c r="M29" s="6">
        <f t="shared" si="1"/>
        <v>2.5092592593864538E-2</v>
      </c>
      <c r="N29" s="7">
        <f t="shared" si="2"/>
        <v>36.133333335164934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8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04:31:15-700',mode:absolute,to:'2016-12-23 07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9" s="52" t="str">
        <f t="shared" si="6"/>
        <v>N</v>
      </c>
      <c r="X29" s="189">
        <f t="shared" si="7"/>
        <v>1</v>
      </c>
      <c r="Y29" s="67">
        <f t="shared" si="8"/>
        <v>4.2700000000000002E-2</v>
      </c>
      <c r="Z29" s="67">
        <f t="shared" si="9"/>
        <v>23.3325</v>
      </c>
      <c r="AA29" s="67">
        <f t="shared" si="10"/>
        <v>23.2898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0117-23</v>
      </c>
      <c r="AE29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29" s="88" t="str">
        <f t="shared" si="13"/>
        <v>"C:\Program Files (x86)\AstroGrep\AstroGrep.exe" /spath="%USERPROFILE%\AppData\Local\Temp\OnboardLogs" /stypes="app*4011*20161223*"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117-23 --locoid 4011 --swversion DE.1.0.8.0 --startMP 204:427 --initTime 2016-12-23T05:31:15 --startdatetime 2016-12-23T05:45:18 --delay 1 --endMP 204:233325 --enddatetime 2016-12-23T06:21:26 --enforcementcount 0 &gt;&gt;C:\Users\stu\Documents\GitHub\eaglep3-reporting\EC\2016-12-23-refined-times.txt</v>
      </c>
      <c r="AI2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{"issue":{"subject":"","project_id":79,"tracker_id":40,"status_id":1,"priority_id":2,"assigned_to_id":23,"start_date":"2016-12-23","description":"","custom_fields":[{"id":1,"name":"Subdivision","value":"EC"},{"id":4,"name":"Milepost","value":"23.3325"},{"id":17,"name":"Train ID","value":"117-23"},{"id":16,"name":"Locomotive ID","value":"4011"},{"id":130,"name":"Impact","value":""},{"id":150,"name":"Time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498</v>
      </c>
      <c r="B30" s="7">
        <v>4012</v>
      </c>
      <c r="C30" s="22" t="s">
        <v>205</v>
      </c>
      <c r="D30" s="22" t="s">
        <v>695</v>
      </c>
      <c r="E30" s="13">
        <v>42727.272812499999</v>
      </c>
      <c r="F30" s="13">
        <v>42727.278622685182</v>
      </c>
      <c r="G30" s="7">
        <v>1</v>
      </c>
      <c r="H30" s="22" t="s">
        <v>191</v>
      </c>
      <c r="I30" s="13">
        <v>42727.307187500002</v>
      </c>
      <c r="J30" s="7">
        <v>0</v>
      </c>
      <c r="K30" s="109" t="str">
        <f t="shared" si="0"/>
        <v>4011/4012</v>
      </c>
      <c r="L30" s="22" t="str">
        <f>VLOOKUP(A30,'Trips&amp;Operators'!$C$1:$G$99999,5,FALSE)</f>
        <v>DAVIS WENDY</v>
      </c>
      <c r="M30" s="6">
        <f t="shared" si="1"/>
        <v>2.8564814820128959E-2</v>
      </c>
      <c r="N30" s="7">
        <f t="shared" si="2"/>
        <v>41.1333333409857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8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05:32:51-700',mode:absolute,to:'2016-12-23 08:22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0" s="52" t="str">
        <f t="shared" si="6"/>
        <v>N</v>
      </c>
      <c r="X30" s="189">
        <f t="shared" si="7"/>
        <v>1</v>
      </c>
      <c r="Y30" s="67">
        <f t="shared" si="8"/>
        <v>23.300799999999999</v>
      </c>
      <c r="Z30" s="67">
        <f t="shared" si="9"/>
        <v>1.49E-2</v>
      </c>
      <c r="AA30" s="67">
        <f t="shared" si="10"/>
        <v>23.285899999999998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0118-23</v>
      </c>
      <c r="AE30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30" s="88" t="str">
        <f t="shared" si="13"/>
        <v>"C:\Program Files (x86)\AstroGrep\AstroGrep.exe" /spath="%USERPROFILE%\AppData\Local\Temp\OnboardLogs" /stypes="app*4012*20161223*"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118-23 --locoid 4012 --swversion DE.1.0.8.0 --startMP 204:233008 --initTime 2016-12-23T06:32:51 --startdatetime 2016-12-23T06:41:13 --delay 1 --endMP 204:149 --enddatetime 2016-12-23T07:22:21 --enforcementcount 0 &gt;&gt;C:\Users\stu\Documents\GitHub\eaglep3-reporting\EC\2016-12-23-refined-times.txt</v>
      </c>
      <c r="AI3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ID","value":"118-23"},{"id":16,"name":"Locomotive ID","value":"4012"},{"id":130,"name":"Impact","value":""},{"id":150,"name":"Time of Event (Mountain Time)","value":"07:22:21"},{"id":151,"name":"Denver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492</v>
      </c>
      <c r="B31" s="7">
        <v>4016</v>
      </c>
      <c r="C31" s="22" t="s">
        <v>205</v>
      </c>
      <c r="D31" s="22" t="s">
        <v>338</v>
      </c>
      <c r="E31" s="13">
        <v>42727.24858796296</v>
      </c>
      <c r="F31" s="13">
        <v>42727.250254629631</v>
      </c>
      <c r="G31" s="7">
        <v>1</v>
      </c>
      <c r="H31" s="22" t="s">
        <v>696</v>
      </c>
      <c r="I31" s="13">
        <v>42727.274953703702</v>
      </c>
      <c r="J31" s="7">
        <v>0</v>
      </c>
      <c r="K31" s="109" t="str">
        <f t="shared" si="0"/>
        <v>4015/4016</v>
      </c>
      <c r="L31" s="22" t="str">
        <f>VLOOKUP(A31,'Trips&amp;Operators'!$C$1:$G$99999,5,FALSE)</f>
        <v>ROBINSON KADDIBA</v>
      </c>
      <c r="M31" s="6">
        <f t="shared" si="1"/>
        <v>2.4699074070667848E-2</v>
      </c>
      <c r="N31" s="7">
        <f t="shared" si="2"/>
        <v>35.566666661761701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8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04:57:58-700',mode:absolute,to:'2016-12-23 07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1" s="52" t="str">
        <f t="shared" si="6"/>
        <v>N</v>
      </c>
      <c r="X31" s="189">
        <f t="shared" si="7"/>
        <v>1</v>
      </c>
      <c r="Y31" s="67">
        <f t="shared" si="8"/>
        <v>7.4800000000000005E-2</v>
      </c>
      <c r="Z31" s="67">
        <f t="shared" si="9"/>
        <v>23.332999999999998</v>
      </c>
      <c r="AA31" s="67">
        <f t="shared" si="10"/>
        <v>23.258199999999999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0119-23</v>
      </c>
      <c r="AE31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31" s="88" t="str">
        <f t="shared" si="13"/>
        <v>"C:\Program Files (x86)\AstroGrep\AstroGrep.exe" /spath="%USERPROFILE%\AppData\Local\Temp\OnboardLogs" /stypes="app*4016*20161223*"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119-23 --locoid 4016 --swversion DE.1.0.8.0 --startMP 204:748 --initTime 2016-12-23T05:57:58 --startdatetime 2016-12-23T06:00:22 --delay 1 --endMP 204:233330 --enddatetime 2016-12-23T06:35:56 --enforcementcount 0 &gt;&gt;C:\Users\stu\Documents\GitHub\eaglep3-reporting\EC\2016-12-23-refined-times.txt</v>
      </c>
      <c r="AI3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{"issue":{"subject":"","project_id":79,"tracker_id":40,"status_id":1,"priority_id":2,"assigned_to_id":23,"start_date":"2016-12-23","description":"","custom_fields":[{"id":1,"name":"Subdivision","value":"EC"},{"id":4,"name":"Milepost","value":"23.333"},{"id":17,"name":"Train ID","value":"119-23"},{"id":16,"name":"Locomotive ID","value":"4016"},{"id":130,"name":"Impact","value":""},{"id":150,"name":"Time of Event (Mountain Time)","value":"06:35:56"},{"id":151,"name":"Denver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500</v>
      </c>
      <c r="B32" s="7">
        <v>4015</v>
      </c>
      <c r="C32" s="22" t="s">
        <v>205</v>
      </c>
      <c r="D32" s="22" t="s">
        <v>697</v>
      </c>
      <c r="E32" s="13">
        <v>42727.281724537039</v>
      </c>
      <c r="F32" s="13">
        <v>42727.289085648146</v>
      </c>
      <c r="G32" s="7">
        <v>2</v>
      </c>
      <c r="H32" s="22" t="s">
        <v>192</v>
      </c>
      <c r="I32" s="13">
        <v>42727.315752314818</v>
      </c>
      <c r="J32" s="7">
        <v>0</v>
      </c>
      <c r="K32" s="109" t="str">
        <f t="shared" si="0"/>
        <v>4015/4016</v>
      </c>
      <c r="L32" s="22" t="str">
        <f>VLOOKUP(A32,'Trips&amp;Operators'!$C$1:$G$99999,5,FALSE)</f>
        <v>ROBINSON KADDIBA</v>
      </c>
      <c r="M32" s="6">
        <f t="shared" si="1"/>
        <v>2.6666666672099382E-2</v>
      </c>
      <c r="N32" s="7">
        <f t="shared" si="2"/>
        <v>38.40000000782311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8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05:45:41-700',mode:absolute,to:'2016-12-23 08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2" s="52" t="str">
        <f t="shared" si="6"/>
        <v>N</v>
      </c>
      <c r="X32" s="189">
        <f t="shared" si="7"/>
        <v>1</v>
      </c>
      <c r="Y32" s="67">
        <f t="shared" si="8"/>
        <v>23.3005</v>
      </c>
      <c r="Z32" s="67">
        <f t="shared" si="9"/>
        <v>1.43E-2</v>
      </c>
      <c r="AA32" s="67">
        <f t="shared" si="10"/>
        <v>23.286200000000001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0120-23</v>
      </c>
      <c r="AE32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32" s="88" t="str">
        <f t="shared" si="13"/>
        <v>"C:\Program Files (x86)\AstroGrep\AstroGrep.exe" /spath="%USERPROFILE%\AppData\Local\Temp\OnboardLogs" /stypes="app*4015*20161223*"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120-23 --locoid 4015 --swversion DE.1.0.8.0 --startMP 204:233005 --initTime 2016-12-23T06:45:41 --startdatetime 2016-12-23T06:56:17 --delay 2 --endMP 204:143 --enddatetime 2016-12-23T07:34:41 --enforcementcount 0 &gt;&gt;C:\Users\stu\Documents\GitHub\eaglep3-reporting\EC\2016-12-23-refined-times.txt</v>
      </c>
      <c r="AI3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ID","value":"120-23"},{"id":16,"name":"Locomotive ID","value":"4015"},{"id":130,"name":"Impact","value":""},{"id":150,"name":"Time of Event (Mountain Time)","value":"07:34:41"},{"id":151,"name":"Denver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426</v>
      </c>
      <c r="B33" s="7">
        <v>4051</v>
      </c>
      <c r="C33" s="22" t="s">
        <v>205</v>
      </c>
      <c r="D33" s="22" t="s">
        <v>256</v>
      </c>
      <c r="E33" s="13">
        <v>42727.257696759261</v>
      </c>
      <c r="F33" s="13">
        <v>42727.260694444441</v>
      </c>
      <c r="G33" s="7">
        <v>1</v>
      </c>
      <c r="H33" s="22" t="s">
        <v>698</v>
      </c>
      <c r="I33" s="13">
        <v>42727.286064814813</v>
      </c>
      <c r="J33" s="7">
        <v>0</v>
      </c>
      <c r="K33" s="109" t="str">
        <f t="shared" si="0"/>
        <v>4051/4052</v>
      </c>
      <c r="L33" s="22" t="str">
        <f>VLOOKUP(A33,'Trips&amp;Operators'!$C$1:$G$99999,5,FALSE)</f>
        <v>STARKS ANGELINA</v>
      </c>
      <c r="M33" s="6">
        <f t="shared" si="1"/>
        <v>2.5370370371092577E-2</v>
      </c>
      <c r="N33" s="7">
        <f t="shared" si="2"/>
        <v>36.53333333437331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8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05:11:05-700',mode:absolute,to:'2016-12-23 07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3" s="52" t="str">
        <f t="shared" si="6"/>
        <v>N</v>
      </c>
      <c r="X33" s="189">
        <f t="shared" si="7"/>
        <v>1</v>
      </c>
      <c r="Y33" s="67">
        <f t="shared" si="8"/>
        <v>4.6399999999999997E-2</v>
      </c>
      <c r="Z33" s="67">
        <f t="shared" si="9"/>
        <v>23.331499999999998</v>
      </c>
      <c r="AA33" s="67">
        <f t="shared" si="10"/>
        <v>23.2851</v>
      </c>
      <c r="AB33" s="64" t="str">
        <f>VLOOKUP(A33,Enforcements!$C$7:$K$19,8,0)</f>
        <v>Speed (6)</v>
      </c>
      <c r="AC33" s="60" t="str">
        <f>VLOOKUP(A33,Enforcements!$C$7:$E$19,3,0)</f>
        <v>PERMANENT SPEED RESTRICTION</v>
      </c>
      <c r="AD33" s="61" t="str">
        <f t="shared" si="11"/>
        <v>0121-23</v>
      </c>
      <c r="AE33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33" s="88" t="str">
        <f t="shared" si="13"/>
        <v>"C:\Program Files (x86)\AstroGrep\AstroGrep.exe" /spath="%USERPROFILE%\AppData\Local\Temp\OnboardLogs" /stypes="app*4051*20161223*"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121-23 --locoid 4051 --swversion DE.1.0.8.0 --startMP 204:464 --initTime 2016-12-23T06:11:05 --startdatetime 2016-12-23T06:15:24 --delay 1 --endMP 204:233315 --enddatetime 2016-12-23T06:51:56 --enforcementcount 0 &gt;&gt;C:\Users\stu\Documents\GitHub\eaglep3-reporting\EC\2016-12-23-refined-times.txt</v>
      </c>
      <c r="AI3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ID","value":"121-23"},{"id":16,"name":"Locomotive ID","value":"4051"},{"id":130,"name":"Impact","value":""},{"id":150,"name":"Time of Event (Mountain Time)","value":"06:51:56"},{"id":151,"name":"Denver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504</v>
      </c>
      <c r="B34" s="7">
        <v>4052</v>
      </c>
      <c r="C34" s="22" t="s">
        <v>205</v>
      </c>
      <c r="D34" s="22" t="s">
        <v>257</v>
      </c>
      <c r="E34" s="13">
        <v>42727.29587962963</v>
      </c>
      <c r="F34" s="13">
        <v>42727.29959490741</v>
      </c>
      <c r="G34" s="7">
        <v>1</v>
      </c>
      <c r="H34" s="22" t="s">
        <v>192</v>
      </c>
      <c r="I34" s="13">
        <v>42727.326643518521</v>
      </c>
      <c r="J34" s="7">
        <v>0</v>
      </c>
      <c r="K34" s="109" t="str">
        <f t="shared" si="0"/>
        <v>4051/4052</v>
      </c>
      <c r="L34" s="22" t="str">
        <f>VLOOKUP(A34,'Trips&amp;Operators'!$C$1:$G$99999,5,FALSE)</f>
        <v>STARKS ANGELINA</v>
      </c>
      <c r="M34" s="6">
        <f t="shared" si="1"/>
        <v>2.7048611111240461E-2</v>
      </c>
      <c r="N34" s="7">
        <f t="shared" si="2"/>
        <v>38.950000000186265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8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06:06:04-700',mode:absolute,to:'2016-12-23 08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4" s="52" t="str">
        <f t="shared" si="6"/>
        <v>N</v>
      </c>
      <c r="X34" s="189">
        <f t="shared" si="7"/>
        <v>1</v>
      </c>
      <c r="Y34" s="67">
        <f t="shared" si="8"/>
        <v>23.299399999999999</v>
      </c>
      <c r="Z34" s="67">
        <f t="shared" si="9"/>
        <v>1.43E-2</v>
      </c>
      <c r="AA34" s="67">
        <f t="shared" si="10"/>
        <v>23.2851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0122-23</v>
      </c>
      <c r="AE34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34" s="88" t="str">
        <f t="shared" si="13"/>
        <v>"C:\Program Files (x86)\AstroGrep\AstroGrep.exe" /spath="%USERPROFILE%\AppData\Local\Temp\OnboardLogs" /stypes="app*4052*20161223*"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122-23 --locoid 4052 --swversion DE.1.0.8.0 --startMP 204:232994 --initTime 2016-12-23T07:06:04 --startdatetime 2016-12-23T07:11:25 --delay 1 --endMP 204:143 --enddatetime 2016-12-23T07:50:22 --enforcementcount 0 &gt;&gt;C:\Users\stu\Documents\GitHub\eaglep3-reporting\EC\2016-12-23-refined-times.txt</v>
      </c>
      <c r="AI3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ID","value":"122-23"},{"id":16,"name":"Locomotive ID","value":"4052"},{"id":130,"name":"Impact","value":""},{"id":150,"name":"Time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496</v>
      </c>
      <c r="B35" s="7">
        <v>4007</v>
      </c>
      <c r="C35" s="22" t="s">
        <v>205</v>
      </c>
      <c r="D35" s="22" t="s">
        <v>265</v>
      </c>
      <c r="E35" s="13">
        <v>42727.266273148147</v>
      </c>
      <c r="F35" s="13">
        <v>42727.271111111113</v>
      </c>
      <c r="G35" s="7">
        <v>1</v>
      </c>
      <c r="H35" s="22" t="s">
        <v>341</v>
      </c>
      <c r="I35" s="13">
        <v>42727.296134259261</v>
      </c>
      <c r="J35" s="7">
        <v>0</v>
      </c>
      <c r="K35" s="109" t="str">
        <f t="shared" si="0"/>
        <v>4007/4008</v>
      </c>
      <c r="L35" s="22" t="str">
        <f>VLOOKUP(A35,'Trips&amp;Operators'!$C$1:$G$99999,5,FALSE)</f>
        <v>DUNCAN SHEILA</v>
      </c>
      <c r="M35" s="6">
        <f t="shared" si="1"/>
        <v>2.5023148147738539E-2</v>
      </c>
      <c r="N35" s="7">
        <f t="shared" si="2"/>
        <v>36.033333332743496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8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05:23:26-700',mode:absolute,to:'2016-12-23 08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 t="shared" si="6"/>
        <v>N</v>
      </c>
      <c r="X35" s="189">
        <f t="shared" si="7"/>
        <v>1</v>
      </c>
      <c r="Y35" s="67">
        <f t="shared" si="8"/>
        <v>4.6699999999999998E-2</v>
      </c>
      <c r="Z35" s="67">
        <f t="shared" si="9"/>
        <v>23.328800000000001</v>
      </c>
      <c r="AA35" s="67">
        <f t="shared" si="10"/>
        <v>23.2821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0123-23</v>
      </c>
      <c r="AE35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35" s="88" t="str">
        <f t="shared" si="13"/>
        <v>"C:\Program Files (x86)\AstroGrep\AstroGrep.exe" /spath="%USERPROFILE%\AppData\Local\Temp\OnboardLogs" /stypes="app*4007*20161223*"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123-23 --locoid 4007 --swversion DE.1.0.8.0 --startMP 204:467 --initTime 2016-12-23T06:23:26 --startdatetime 2016-12-23T06:30:24 --delay 1 --endMP 204:233288 --enddatetime 2016-12-23T07:06:26 --enforcementcount 0 &gt;&gt;C:\Users\stu\Documents\GitHub\eaglep3-reporting\EC\2016-12-23-refined-times.txt</v>
      </c>
      <c r="AI3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{"issue":{"subject":"","project_id":79,"tracker_id":40,"status_id":1,"priority_id":2,"assigned_to_id":23,"start_date":"2016-12-23","description":"","custom_fields":[{"id":1,"name":"Subdivision","value":"EC"},{"id":4,"name":"Milepost","value":"23.3288"},{"id":17,"name":"Train ID","value":"123-23"},{"id":16,"name":"Locomotive ID","value":"4007"},{"id":130,"name":"Impact","value":""},{"id":150,"name":"Time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430</v>
      </c>
      <c r="B36" s="7">
        <v>4008</v>
      </c>
      <c r="C36" s="22" t="s">
        <v>205</v>
      </c>
      <c r="D36" s="22" t="s">
        <v>690</v>
      </c>
      <c r="E36" s="13">
        <v>42727.302395833336</v>
      </c>
      <c r="F36" s="13">
        <v>42727.31</v>
      </c>
      <c r="G36" s="7">
        <v>2</v>
      </c>
      <c r="H36" s="22" t="s">
        <v>191</v>
      </c>
      <c r="I36" s="13">
        <v>42727.337546296294</v>
      </c>
      <c r="J36" s="7">
        <v>0</v>
      </c>
      <c r="K36" s="109" t="str">
        <f t="shared" si="0"/>
        <v>4007/4008</v>
      </c>
      <c r="L36" s="22" t="str">
        <f>VLOOKUP(A36,'Trips&amp;Operators'!$C$1:$G$99999,5,FALSE)</f>
        <v>DUNCAN SHEILA</v>
      </c>
      <c r="M36" s="6">
        <f t="shared" si="1"/>
        <v>2.7546296296350192E-2</v>
      </c>
      <c r="N36" s="7">
        <f t="shared" si="2"/>
        <v>39.666666666744277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8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06:15:27-700',mode:absolute,to:'2016-12-23 09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52" t="str">
        <f t="shared" si="6"/>
        <v>N</v>
      </c>
      <c r="X36" s="189">
        <f t="shared" si="7"/>
        <v>1</v>
      </c>
      <c r="Y36" s="67">
        <f t="shared" si="8"/>
        <v>23.2971</v>
      </c>
      <c r="Z36" s="67">
        <f t="shared" si="9"/>
        <v>1.49E-2</v>
      </c>
      <c r="AA36" s="67">
        <f t="shared" si="10"/>
        <v>23.2822</v>
      </c>
      <c r="AB36" s="64" t="str">
        <f>VLOOKUP(A36,Enforcements!$C$7:$K$19,8,0)</f>
        <v>Bulletin (2)</v>
      </c>
      <c r="AC36" s="60" t="str">
        <f>VLOOKUP(A36,Enforcements!$C$7:$E$19,3,0)</f>
        <v>TEMPORARY SPEED RESTRICTION</v>
      </c>
      <c r="AD36" s="61" t="str">
        <f t="shared" si="11"/>
        <v>0124-23</v>
      </c>
      <c r="AE36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36" s="88" t="str">
        <f t="shared" si="13"/>
        <v>"C:\Program Files (x86)\AstroGrep\AstroGrep.exe" /spath="%USERPROFILE%\AppData\Local\Temp\OnboardLogs" /stypes="app*4008*20161223*"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124-23 --locoid 4008 --swversion DE.1.0.8.0 --startMP 204:232971 --initTime 2016-12-23T07:15:27 --startdatetime 2016-12-23T07:26:24 --delay 2 --endMP 204:149 --enddatetime 2016-12-23T08:06:04 --enforcementcount 0 &gt;&gt;C:\Users\stu\Documents\GitHub\eaglep3-reporting\EC\2016-12-23-refined-times.txt</v>
      </c>
      <c r="AI3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ID","value":"124-23"},{"id":16,"name":"Locomotive ID","value":"4008"},{"id":130,"name":"Impact","value":""},{"id":150,"name":"Time of Event (Mountain Time)","value":"08:06:04"},{"id":151,"name":"Denver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428</v>
      </c>
      <c r="B37" s="7">
        <v>4025</v>
      </c>
      <c r="C37" s="22" t="s">
        <v>205</v>
      </c>
      <c r="D37" s="22" t="s">
        <v>228</v>
      </c>
      <c r="E37" s="13">
        <v>42727.28</v>
      </c>
      <c r="F37" s="13">
        <v>42727.281435185185</v>
      </c>
      <c r="G37" s="7">
        <v>1</v>
      </c>
      <c r="H37" s="22" t="s">
        <v>699</v>
      </c>
      <c r="I37" s="13">
        <v>42727.306180555555</v>
      </c>
      <c r="J37" s="7">
        <v>0</v>
      </c>
      <c r="K37" s="109" t="str">
        <f t="shared" si="0"/>
        <v>4025/4026</v>
      </c>
      <c r="L37" s="22" t="str">
        <f>VLOOKUP(A37,'Trips&amp;Operators'!$C$1:$G$99999,5,FALSE)</f>
        <v>BONDS REYNALDO</v>
      </c>
      <c r="M37" s="6">
        <f t="shared" si="1"/>
        <v>2.47453703705105E-2</v>
      </c>
      <c r="N37" s="7">
        <f t="shared" si="2"/>
        <v>35.63333333353512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8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05:43:12-700',mode:absolute,to:'2016-12-23 08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89">
        <f t="shared" si="7"/>
        <v>1</v>
      </c>
      <c r="Y37" s="67">
        <f t="shared" si="8"/>
        <v>4.5499999999999999E-2</v>
      </c>
      <c r="Z37" s="67">
        <f t="shared" si="9"/>
        <v>23.334199999999999</v>
      </c>
      <c r="AA37" s="67">
        <f t="shared" si="10"/>
        <v>23.288699999999999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0125-23</v>
      </c>
      <c r="AE37" s="91" t="str">
        <f t="shared" si="12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37" s="88" t="str">
        <f t="shared" si="13"/>
        <v>"C:\Program Files (x86)\AstroGrep\AstroGrep.exe" /spath="%USERPROFILE%\AppData\Local\Temp\OnboardLogs" /stypes="app*4025*20161223*"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125-23 --locoid 4025 --swversion DE.1.0.8.0 --startMP 204:455 --initTime 2016-12-23T06:43:12 --startdatetime 2016-12-23T06:45:16 --delay 1 --endMP 204:233342 --enddatetime 2016-12-23T07:20:54 --enforcementcount 0 &gt;&gt;C:\Users\stu\Documents\GitHub\eaglep3-reporting\EC\2016-12-23-refined-times.txt</v>
      </c>
      <c r="AI3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{"issue":{"subject":"","project_id":79,"tracker_id":40,"status_id":1,"priority_id":2,"assigned_to_id":23,"start_date":"2016-12-23","description":"","custom_fields":[{"id":1,"name":"Subdivision","value":"EC"},{"id":4,"name":"Milepost","value":"23.3342"},{"id":17,"name":"Train ID","value":"125-23"},{"id":16,"name":"Locomotive ID","value":"4025"},{"id":130,"name":"Impact","value":""},{"id":150,"name":"Time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508</v>
      </c>
      <c r="B38" s="7">
        <v>4026</v>
      </c>
      <c r="C38" s="22" t="s">
        <v>205</v>
      </c>
      <c r="D38" s="22" t="s">
        <v>389</v>
      </c>
      <c r="E38" s="13">
        <v>42727.313217592593</v>
      </c>
      <c r="F38" s="13">
        <v>42727.320335648146</v>
      </c>
      <c r="G38" s="7">
        <v>1</v>
      </c>
      <c r="H38" s="22" t="s">
        <v>191</v>
      </c>
      <c r="I38" s="13">
        <v>42727.347777777781</v>
      </c>
      <c r="J38" s="7">
        <v>0</v>
      </c>
      <c r="K38" s="109" t="str">
        <f t="shared" si="0"/>
        <v>4025/4026</v>
      </c>
      <c r="L38" s="22" t="str">
        <f>VLOOKUP(A38,'Trips&amp;Operators'!$C$1:$G$99999,5,FALSE)</f>
        <v>BONDS REYNALDO</v>
      </c>
      <c r="M38" s="6">
        <f t="shared" si="1"/>
        <v>2.7442129634437151E-2</v>
      </c>
      <c r="N38" s="7">
        <f t="shared" si="2"/>
        <v>39.516666673589498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8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06:31:02-700',mode:absolute,to:'2016-12-23 09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89">
        <f t="shared" si="7"/>
        <v>1</v>
      </c>
      <c r="Y38" s="67">
        <f t="shared" si="8"/>
        <v>23.2987</v>
      </c>
      <c r="Z38" s="67">
        <f t="shared" si="9"/>
        <v>1.49E-2</v>
      </c>
      <c r="AA38" s="67">
        <f t="shared" si="10"/>
        <v>23.283799999999999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0126-23</v>
      </c>
      <c r="AE38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38" s="88" t="str">
        <f t="shared" si="13"/>
        <v>"C:\Program Files (x86)\AstroGrep\AstroGrep.exe" /spath="%USERPROFILE%\AppData\Local\Temp\OnboardLogs" /stypes="app*4026*20161223*"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126-23 --locoid 4026 --swversion DE.1.0.8.0 --startMP 204:232987 --initTime 2016-12-23T07:31:02 --startdatetime 2016-12-23T07:41:17 --delay 1 --endMP 204:149 --enddatetime 2016-12-23T08:20:48 --enforcementcount 0 &gt;&gt;C:\Users\stu\Documents\GitHub\eaglep3-reporting\EC\2016-12-23-refined-times.txt</v>
      </c>
      <c r="AI3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ID","value":"126-23"},{"id":16,"name":"Locomotive ID","value":"4026"},{"id":130,"name":"Impact","value":""},{"id":150,"name":"Time of Event (Mountain Time)","value":"08:20:48"},{"id":151,"name":"Denver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502</v>
      </c>
      <c r="B39" s="7">
        <v>4042</v>
      </c>
      <c r="C39" s="22" t="s">
        <v>205</v>
      </c>
      <c r="D39" s="22" t="s">
        <v>700</v>
      </c>
      <c r="E39" s="13">
        <v>42727.286863425928</v>
      </c>
      <c r="F39" s="13">
        <v>42727.292141203703</v>
      </c>
      <c r="G39" s="7">
        <v>1</v>
      </c>
      <c r="H39" s="22" t="s">
        <v>388</v>
      </c>
      <c r="I39" s="13">
        <v>42727.316342592596</v>
      </c>
      <c r="J39" s="7">
        <v>0</v>
      </c>
      <c r="K39" s="109" t="str">
        <f t="shared" si="0"/>
        <v>4041/4042</v>
      </c>
      <c r="L39" s="22" t="str">
        <f>VLOOKUP(A39,'Trips&amp;Operators'!$C$1:$G$99999,5,FALSE)</f>
        <v>ISHMAEL JOSEPH</v>
      </c>
      <c r="M39" s="6">
        <f t="shared" si="1"/>
        <v>2.4201388892834075E-2</v>
      </c>
      <c r="N39" s="7">
        <f t="shared" si="2"/>
        <v>34.850000005681068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8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05:53:05-700',mode:absolute,to:'2016-12-23 08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9" s="52" t="str">
        <f t="shared" si="6"/>
        <v>N</v>
      </c>
      <c r="X39" s="189">
        <f t="shared" si="7"/>
        <v>1</v>
      </c>
      <c r="Y39" s="67">
        <f t="shared" si="8"/>
        <v>4.5699999999999998E-2</v>
      </c>
      <c r="Z39" s="67">
        <f t="shared" si="9"/>
        <v>23.330300000000001</v>
      </c>
      <c r="AA39" s="67">
        <f t="shared" si="10"/>
        <v>23.284600000000001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0127-23</v>
      </c>
      <c r="AE39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39" s="88" t="str">
        <f t="shared" si="13"/>
        <v>"C:\Program Files (x86)\AstroGrep\AstroGrep.exe" /spath="%USERPROFILE%\AppData\Local\Temp\OnboardLogs" /stypes="app*4042*20161223*"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127-23 --locoid 4042 --swversion DE.1.0.8.0 --startMP 204:457 --initTime 2016-12-23T06:53:05 --startdatetime 2016-12-23T07:00:41 --delay 1 --endMP 204:233303 --enddatetime 2016-12-23T07:35:32 --enforcementcount 0 &gt;&gt;C:\Users\stu\Documents\GitHub\eaglep3-reporting\EC\2016-12-23-refined-times.txt</v>
      </c>
      <c r="AI3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{"issue":{"subject":"","project_id":79,"tracker_id":40,"status_id":1,"priority_id":2,"assigned_to_id":23,"start_date":"2016-12-23","description":"","custom_fields":[{"id":1,"name":"Subdivision","value":"EC"},{"id":4,"name":"Milepost","value":"23.3303"},{"id":17,"name":"Train ID","value":"127-23"},{"id":16,"name":"Locomotive ID","value":"4042"},{"id":130,"name":"Impact","value":""},{"id":150,"name":"Time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510</v>
      </c>
      <c r="B40" s="7">
        <v>4041</v>
      </c>
      <c r="C40" s="22" t="s">
        <v>205</v>
      </c>
      <c r="D40" s="22" t="s">
        <v>315</v>
      </c>
      <c r="E40" s="13">
        <v>42727.320150462961</v>
      </c>
      <c r="F40" s="13">
        <v>42727.330833333333</v>
      </c>
      <c r="G40" s="7">
        <v>1</v>
      </c>
      <c r="H40" s="22" t="s">
        <v>234</v>
      </c>
      <c r="I40" s="13">
        <v>42727.357372685183</v>
      </c>
      <c r="J40" s="7">
        <v>0</v>
      </c>
      <c r="K40" s="109" t="str">
        <f t="shared" si="0"/>
        <v>4041/4042</v>
      </c>
      <c r="L40" s="22" t="str">
        <f>VLOOKUP(A40,'Trips&amp;Operators'!$C$1:$G$99999,5,FALSE)</f>
        <v>ISHMAEL JOSEPH</v>
      </c>
      <c r="M40" s="6">
        <f t="shared" si="1"/>
        <v>2.6539351849351078E-2</v>
      </c>
      <c r="N40" s="7">
        <f t="shared" si="2"/>
        <v>38.216666663065553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8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06:41:01-700',mode:absolute,to:'2016-12-23 09:34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0" s="52" t="str">
        <f t="shared" si="6"/>
        <v>N</v>
      </c>
      <c r="X40" s="189">
        <f t="shared" si="7"/>
        <v>1</v>
      </c>
      <c r="Y40" s="67">
        <f t="shared" si="8"/>
        <v>23.298400000000001</v>
      </c>
      <c r="Z40" s="67">
        <f t="shared" si="9"/>
        <v>1.4500000000000001E-2</v>
      </c>
      <c r="AA40" s="67">
        <f t="shared" si="10"/>
        <v>23.283899999999999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0128-23</v>
      </c>
      <c r="AE40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40" s="88" t="str">
        <f t="shared" si="13"/>
        <v>"C:\Program Files (x86)\AstroGrep\AstroGrep.exe" /spath="%USERPROFILE%\AppData\Local\Temp\OnboardLogs" /stypes="app*4041*20161223*"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128-23 --locoid 4041 --swversion DE.1.0.8.0 --startMP 204:232984 --initTime 2016-12-23T07:41:01 --startdatetime 2016-12-23T07:56:24 --delay 1 --endMP 204:145 --enddatetime 2016-12-23T08:34:37 --enforcementcount 0 &gt;&gt;C:\Users\stu\Documents\GitHub\eaglep3-reporting\EC\2016-12-23-refined-times.txt</v>
      </c>
      <c r="AI4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{"issue":{"subject":"","project_id":79,"tracker_id":40,"status_id":1,"priority_id":2,"assigned_to_id":23,"start_date":"2016-12-23","description":"","custom_fields":[{"id":1,"name":"Subdivision","value":"EC"},{"id":4,"name":"Milepost","value":"0.0145"},{"id":17,"name":"Train ID","value":"128-23"},{"id":16,"name":"Locomotive ID","value":"4041"},{"id":130,"name":"Impact","value":""},{"id":150,"name":"Time of Event (Mountain Time)","value":"08:34:37"},{"id":151,"name":"Denver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505</v>
      </c>
      <c r="B41" s="7">
        <v>4031</v>
      </c>
      <c r="C41" s="22" t="s">
        <v>205</v>
      </c>
      <c r="D41" s="22" t="s">
        <v>256</v>
      </c>
      <c r="E41" s="13">
        <v>42727.296539351853</v>
      </c>
      <c r="F41" s="13">
        <v>42727.302569444444</v>
      </c>
      <c r="G41" s="7">
        <v>2</v>
      </c>
      <c r="H41" s="22" t="s">
        <v>387</v>
      </c>
      <c r="I41" s="13">
        <v>42727.328067129631</v>
      </c>
      <c r="J41" s="7">
        <v>0</v>
      </c>
      <c r="K41" s="109" t="str">
        <f t="shared" si="0"/>
        <v>4031/4032</v>
      </c>
      <c r="L41" s="22" t="str">
        <f>VLOOKUP(A41,'Trips&amp;Operators'!$C$1:$G$99999,5,FALSE)</f>
        <v>SIMONEAUX TERA</v>
      </c>
      <c r="M41" s="6">
        <f t="shared" si="1"/>
        <v>2.5497685186564922E-2</v>
      </c>
      <c r="N41" s="7">
        <f t="shared" si="2"/>
        <v>36.716666668653488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8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06:07:01-700',mode:absolute,to:'2016-12-23 08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 t="shared" si="6"/>
        <v>N</v>
      </c>
      <c r="X41" s="189">
        <f t="shared" si="7"/>
        <v>1</v>
      </c>
      <c r="Y41" s="67">
        <f t="shared" si="8"/>
        <v>4.6399999999999997E-2</v>
      </c>
      <c r="Z41" s="67">
        <f t="shared" si="9"/>
        <v>23.330400000000001</v>
      </c>
      <c r="AA41" s="67">
        <f t="shared" si="10"/>
        <v>23.284000000000002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0129-23</v>
      </c>
      <c r="AE41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41" s="88" t="str">
        <f t="shared" si="13"/>
        <v>"C:\Program Files (x86)\AstroGrep\AstroGrep.exe" /spath="%USERPROFILE%\AppData\Local\Temp\OnboardLogs" /stypes="app*4031*20161223*"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129-23 --locoid 4031 --swversion DE.1.0.8.0 --startMP 204:464 --initTime 2016-12-23T07:07:01 --startdatetime 2016-12-23T07:15:42 --delay 2 --endMP 204:233304 --enddatetime 2016-12-23T07:52:25 --enforcementcount 0 &gt;&gt;C:\Users\stu\Documents\GitHub\eaglep3-reporting\EC\2016-12-23-refined-times.txt</v>
      </c>
      <c r="AI4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{"issue":{"subject":"","project_id":79,"tracker_id":40,"status_id":1,"priority_id":2,"assigned_to_id":23,"start_date":"2016-12-23","description":"","custom_fields":[{"id":1,"name":"Subdivision","value":"EC"},{"id":4,"name":"Milepost","value":"23.3304"},{"id":17,"name":"Train ID","value":"129-23"},{"id":16,"name":"Locomotive ID","value":"4031"},{"id":130,"name":"Impact","value":""},{"id":150,"name":"Time of Event (Mountain Time)","value":"07:52:25"},{"id":151,"name":"Denver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512</v>
      </c>
      <c r="B42" s="7">
        <v>4032</v>
      </c>
      <c r="C42" s="22" t="s">
        <v>205</v>
      </c>
      <c r="D42" s="22" t="s">
        <v>277</v>
      </c>
      <c r="E42" s="13">
        <v>42727.336111111108</v>
      </c>
      <c r="F42" s="13">
        <v>42727.341261574074</v>
      </c>
      <c r="G42" s="7">
        <v>1</v>
      </c>
      <c r="H42" s="22" t="s">
        <v>267</v>
      </c>
      <c r="I42" s="13">
        <v>42727.368750000001</v>
      </c>
      <c r="J42" s="7">
        <v>0</v>
      </c>
      <c r="K42" s="109" t="str">
        <f t="shared" si="0"/>
        <v>4031/4032</v>
      </c>
      <c r="L42" s="22" t="str">
        <f>VLOOKUP(A42,'Trips&amp;Operators'!$C$1:$G$99999,5,FALSE)</f>
        <v>SIMONEAUX TERA</v>
      </c>
      <c r="M42" s="6">
        <f t="shared" si="1"/>
        <v>2.7488425927003846E-2</v>
      </c>
      <c r="N42" s="7">
        <f t="shared" si="2"/>
        <v>39.583333334885538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8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07:04:00-700',mode:absolute,to:'2016-12-23 09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 t="shared" si="6"/>
        <v>N</v>
      </c>
      <c r="X42" s="189">
        <f t="shared" si="7"/>
        <v>1</v>
      </c>
      <c r="Y42" s="67">
        <f t="shared" si="8"/>
        <v>23.3</v>
      </c>
      <c r="Z42" s="67">
        <f t="shared" si="9"/>
        <v>1.61E-2</v>
      </c>
      <c r="AA42" s="67">
        <f t="shared" si="10"/>
        <v>23.283899999999999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0130-23</v>
      </c>
      <c r="AE42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42" s="88" t="str">
        <f t="shared" si="13"/>
        <v>"C:\Program Files (x86)\AstroGrep\AstroGrep.exe" /spath="%USERPROFILE%\AppData\Local\Temp\OnboardLogs" /stypes="app*4032*20161223*"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130-23 --locoid 4032 --swversion DE.1.0.8.0 --startMP 204:233000 --initTime 2016-12-23T08:04:00 --startdatetime 2016-12-23T08:11:25 --delay 1 --endMP 204:161 --enddatetime 2016-12-23T08:51:00 --enforcementcount 0 &gt;&gt;C:\Users\stu\Documents\GitHub\eaglep3-reporting\EC\2016-12-23-refined-times.txt</v>
      </c>
      <c r="AI4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ID","value":"130-23"},{"id":16,"name":"Locomotive ID","value":"4032"},{"id":130,"name":"Impact","value":""},{"id":150,"name":"Time of Event (Mountain Time)","value":"08:51:00"},{"id":151,"name":"Denver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429</v>
      </c>
      <c r="B43" s="7">
        <v>4011</v>
      </c>
      <c r="C43" s="22" t="s">
        <v>205</v>
      </c>
      <c r="D43" s="22" t="s">
        <v>700</v>
      </c>
      <c r="E43" s="13">
        <v>42727.309074074074</v>
      </c>
      <c r="F43" s="13">
        <v>42727.312662037039</v>
      </c>
      <c r="G43" s="7">
        <v>3</v>
      </c>
      <c r="H43" s="22" t="s">
        <v>392</v>
      </c>
      <c r="I43" s="13">
        <v>42727.337812500002</v>
      </c>
      <c r="J43" s="7">
        <v>0</v>
      </c>
      <c r="K43" s="109" t="str">
        <f t="shared" si="0"/>
        <v>4011/4012</v>
      </c>
      <c r="L43" s="22" t="str">
        <f>VLOOKUP(A43,'Trips&amp;Operators'!$C$1:$G$99999,5,FALSE)</f>
        <v>DAVIS WENDY</v>
      </c>
      <c r="M43" s="6">
        <f t="shared" si="1"/>
        <v>2.5150462963210884E-2</v>
      </c>
      <c r="N43" s="7">
        <f t="shared" si="2"/>
        <v>36.216666667023674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8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06:25:04-700',mode:absolute,to:'2016-12-23 09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3" s="52" t="str">
        <f t="shared" si="6"/>
        <v>N</v>
      </c>
      <c r="X43" s="189">
        <f t="shared" si="7"/>
        <v>1</v>
      </c>
      <c r="Y43" s="67">
        <f t="shared" si="8"/>
        <v>4.5699999999999998E-2</v>
      </c>
      <c r="Z43" s="67">
        <f t="shared" si="9"/>
        <v>23.331399999999999</v>
      </c>
      <c r="AA43" s="67">
        <f t="shared" si="10"/>
        <v>23.285699999999999</v>
      </c>
      <c r="AB43" s="64" t="str">
        <f>VLOOKUP(A43,Enforcements!$C$7:$K$19,8,0)</f>
        <v>Bulletin (2)</v>
      </c>
      <c r="AC43" s="60" t="str">
        <f>VLOOKUP(A43,Enforcements!$C$7:$E$19,3,0)</f>
        <v>GRADE CROSSING</v>
      </c>
      <c r="AD43" s="61" t="str">
        <f t="shared" si="11"/>
        <v>0131-23</v>
      </c>
      <c r="AE43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43" s="88" t="str">
        <f t="shared" si="13"/>
        <v>"C:\Program Files (x86)\AstroGrep\AstroGrep.exe" /spath="%USERPROFILE%\AppData\Local\Temp\OnboardLogs" /stypes="app*4011*20161223*"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131-23 --locoid 4011 --swversion DE.1.0.8.0 --startMP 204:457 --initTime 2016-12-23T07:25:04 --startdatetime 2016-12-23T07:30:14 --delay 3 --endMP 204:233314 --enddatetime 2016-12-23T08:06:27 --enforcementcount 0 &gt;&gt;C:\Users\stu\Documents\GitHub\eaglep3-reporting\EC\2016-12-23-refined-times.txt</v>
      </c>
      <c r="AI4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ID","value":"131-23"},{"id":16,"name":"Locomotive ID","value":"4011"},{"id":130,"name":"Impact","value":""},{"id":150,"name":"Time of Event (Mountain Time)","value":"08:06:27"},{"id":151,"name":"Denver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435</v>
      </c>
      <c r="B44" s="7">
        <v>4012</v>
      </c>
      <c r="C44" s="22" t="s">
        <v>205</v>
      </c>
      <c r="D44" s="22" t="s">
        <v>290</v>
      </c>
      <c r="E44" s="13">
        <v>42727.347592592596</v>
      </c>
      <c r="F44" s="13">
        <v>42727.351539351854</v>
      </c>
      <c r="G44" s="7">
        <v>1</v>
      </c>
      <c r="H44" s="22" t="s">
        <v>390</v>
      </c>
      <c r="I44" s="13">
        <v>42727.379351851851</v>
      </c>
      <c r="J44" s="7">
        <v>0</v>
      </c>
      <c r="K44" s="109" t="str">
        <f t="shared" si="0"/>
        <v>4011/4012</v>
      </c>
      <c r="L44" s="22" t="str">
        <f>VLOOKUP(A44,'Trips&amp;Operators'!$C$1:$G$99999,5,FALSE)</f>
        <v>DAVIS WENDY</v>
      </c>
      <c r="M44" s="6">
        <f t="shared" si="1"/>
        <v>2.7812499996798579E-2</v>
      </c>
      <c r="N44" s="7">
        <f t="shared" si="2"/>
        <v>40.049999995389953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8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07:20:32-700',mode:absolute,to:'2016-12-23 10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4" s="52" t="str">
        <f t="shared" si="6"/>
        <v>N</v>
      </c>
      <c r="X44" s="189">
        <f t="shared" si="7"/>
        <v>1</v>
      </c>
      <c r="Y44" s="67">
        <f t="shared" si="8"/>
        <v>23.2973</v>
      </c>
      <c r="Z44" s="67">
        <f t="shared" si="9"/>
        <v>1.41E-2</v>
      </c>
      <c r="AA44" s="67">
        <f t="shared" si="10"/>
        <v>23.283200000000001</v>
      </c>
      <c r="AB44" s="64" t="str">
        <f>VLOOKUP(A44,Enforcements!$C$7:$K$19,8,0)</f>
        <v>Bulletin (2)</v>
      </c>
      <c r="AC44" s="60" t="str">
        <f>VLOOKUP(A44,Enforcements!$C$7:$E$19,3,0)</f>
        <v>GRADE CROSSING</v>
      </c>
      <c r="AD44" s="61" t="str">
        <f t="shared" si="11"/>
        <v>0132-23</v>
      </c>
      <c r="AE44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44" s="88" t="str">
        <f t="shared" si="13"/>
        <v>"C:\Program Files (x86)\AstroGrep\AstroGrep.exe" /spath="%USERPROFILE%\AppData\Local\Temp\OnboardLogs" /stypes="app*4012*20161223*"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132-23 --locoid 4012 --swversion DE.1.0.8.0 --startMP 204:232973 --initTime 2016-12-23T08:20:32 --startdatetime 2016-12-23T08:26:13 --delay 1 --endMP 204:141 --enddatetime 2016-12-23T09:06:16 --enforcementcount 0 &gt;&gt;C:\Users\stu\Documents\GitHub\eaglep3-reporting\EC\2016-12-23-refined-times.txt</v>
      </c>
      <c r="AI4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{"issue":{"subject":"","project_id":79,"tracker_id":40,"status_id":1,"priority_id":2,"assigned_to_id":23,"start_date":"2016-12-23","description":"","custom_fields":[{"id":1,"name":"Subdivision","value":"EC"},{"id":4,"name":"Milepost","value":"0.0141"},{"id":17,"name":"Train ID","value":"132-23"},{"id":16,"name":"Locomotive ID","value":"4012"},{"id":130,"name":"Impact","value":""},{"id":150,"name":"Time of Event (Mountain Time)","value":"09:06:16"},{"id":151,"name":"Denver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509</v>
      </c>
      <c r="B45" s="7">
        <v>4016</v>
      </c>
      <c r="C45" s="22" t="s">
        <v>205</v>
      </c>
      <c r="D45" s="22" t="s">
        <v>255</v>
      </c>
      <c r="E45" s="13">
        <v>42727.318252314813</v>
      </c>
      <c r="F45" s="13">
        <v>42727.323125000003</v>
      </c>
      <c r="G45" s="7">
        <v>1</v>
      </c>
      <c r="H45" s="22" t="s">
        <v>701</v>
      </c>
      <c r="I45" s="13">
        <v>42727.347766203704</v>
      </c>
      <c r="J45" s="7">
        <v>0</v>
      </c>
      <c r="K45" s="109" t="str">
        <f t="shared" si="0"/>
        <v>4015/4016</v>
      </c>
      <c r="L45" s="22" t="str">
        <f>VLOOKUP(A45,'Trips&amp;Operators'!$C$1:$G$99999,5,FALSE)</f>
        <v>ROBINSON KADDIBA</v>
      </c>
      <c r="M45" s="6">
        <f t="shared" si="1"/>
        <v>2.4641203701321501E-2</v>
      </c>
      <c r="N45" s="7">
        <f t="shared" si="2"/>
        <v>35.483333329902962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8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06:38:17-700',mode:absolute,to:'2016-12-23 09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5" s="52" t="str">
        <f t="shared" si="6"/>
        <v>N</v>
      </c>
      <c r="X45" s="189">
        <f t="shared" si="7"/>
        <v>1</v>
      </c>
      <c r="Y45" s="67">
        <f t="shared" si="8"/>
        <v>4.53E-2</v>
      </c>
      <c r="Z45" s="67">
        <f t="shared" si="9"/>
        <v>23.3323</v>
      </c>
      <c r="AA45" s="67">
        <f t="shared" si="10"/>
        <v>23.286999999999999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0133-23</v>
      </c>
      <c r="AE45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45" s="88" t="str">
        <f t="shared" si="13"/>
        <v>"C:\Program Files (x86)\AstroGrep\AstroGrep.exe" /spath="%USERPROFILE%\AppData\Local\Temp\OnboardLogs" /stypes="app*4016*20161223*"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133-23 --locoid 4016 --swversion DE.1.0.8.0 --startMP 204:453 --initTime 2016-12-23T07:38:17 --startdatetime 2016-12-23T07:45:18 --delay 1 --endMP 204:233323 --enddatetime 2016-12-23T08:20:47 --enforcementcount 0 &gt;&gt;C:\Users\stu\Documents\GitHub\eaglep3-reporting\EC\2016-12-23-refined-times.txt</v>
      </c>
      <c r="AI4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{"issue":{"subject":"","project_id":79,"tracker_id":40,"status_id":1,"priority_id":2,"assigned_to_id":23,"start_date":"2016-12-23","description":"","custom_fields":[{"id":1,"name":"Subdivision","value":"EC"},{"id":4,"name":"Milepost","value":"23.3323"},{"id":17,"name":"Train ID","value":"133-23"},{"id":16,"name":"Locomotive ID","value":"4016"},{"id":130,"name":"Impact","value":""},{"id":150,"name":"Time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521</v>
      </c>
      <c r="B46" s="7">
        <v>4015</v>
      </c>
      <c r="C46" s="22" t="s">
        <v>205</v>
      </c>
      <c r="D46" s="22" t="s">
        <v>399</v>
      </c>
      <c r="E46" s="13">
        <v>42727.354733796295</v>
      </c>
      <c r="F46" s="13">
        <v>42727.361967592595</v>
      </c>
      <c r="G46" s="7">
        <v>1</v>
      </c>
      <c r="H46" s="22" t="s">
        <v>191</v>
      </c>
      <c r="I46" s="13">
        <v>42727.388819444444</v>
      </c>
      <c r="J46" s="7">
        <v>0</v>
      </c>
      <c r="K46" s="109" t="str">
        <f t="shared" si="0"/>
        <v>4015/4016</v>
      </c>
      <c r="L46" s="22" t="str">
        <f>VLOOKUP(A46,'Trips&amp;Operators'!$C$1:$G$99999,5,FALSE)</f>
        <v>ROBINSON KADDIBA</v>
      </c>
      <c r="M46" s="6">
        <f t="shared" si="1"/>
        <v>2.6851851849642117E-2</v>
      </c>
      <c r="N46" s="7">
        <f t="shared" si="2"/>
        <v>38.666666663484648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8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07:30:49-700',mode:absolute,to:'2016-12-23 10:19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6" s="52" t="str">
        <f t="shared" si="6"/>
        <v>N</v>
      </c>
      <c r="X46" s="189">
        <f t="shared" si="7"/>
        <v>1</v>
      </c>
      <c r="Y46" s="67">
        <f t="shared" si="8"/>
        <v>23.301100000000002</v>
      </c>
      <c r="Z46" s="67">
        <f t="shared" si="9"/>
        <v>1.49E-2</v>
      </c>
      <c r="AA46" s="67">
        <f t="shared" si="10"/>
        <v>23.286200000000001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0134-23</v>
      </c>
      <c r="AE46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46" s="88" t="str">
        <f t="shared" si="13"/>
        <v>"C:\Program Files (x86)\AstroGrep\AstroGrep.exe" /spath="%USERPROFILE%\AppData\Local\Temp\OnboardLogs" /stypes="app*4015*20161223*"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134-23 --locoid 4015 --swversion DE.1.0.8.0 --startMP 204:233011 --initTime 2016-12-23T08:30:49 --startdatetime 2016-12-23T08:41:14 --delay 1 --endMP 204:149 --enddatetime 2016-12-23T09:19:54 --enforcementcount 0 &gt;&gt;C:\Users\stu\Documents\GitHub\eaglep3-reporting\EC\2016-12-23-refined-times.txt</v>
      </c>
      <c r="AI4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ID","value":"134-23"},{"id":16,"name":"Locomotive ID","value":"4015"},{"id":130,"name":"Impact","value":""},{"id":150,"name":"Time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511</v>
      </c>
      <c r="B47" s="7">
        <v>4051</v>
      </c>
      <c r="C47" s="22" t="s">
        <v>205</v>
      </c>
      <c r="D47" s="22" t="s">
        <v>356</v>
      </c>
      <c r="E47" s="13">
        <v>42727.329351851855</v>
      </c>
      <c r="F47" s="13">
        <v>42727.333587962959</v>
      </c>
      <c r="G47" s="7">
        <v>1</v>
      </c>
      <c r="H47" s="22" t="s">
        <v>388</v>
      </c>
      <c r="I47" s="13">
        <v>42727.358900462961</v>
      </c>
      <c r="J47" s="7">
        <v>0</v>
      </c>
      <c r="K47" s="109" t="str">
        <f t="shared" si="0"/>
        <v>4051/4052</v>
      </c>
      <c r="L47" s="22" t="str">
        <f>VLOOKUP(A47,'Trips&amp;Operators'!$C$1:$G$99999,5,FALSE)</f>
        <v>STARKS ANGELINA</v>
      </c>
      <c r="M47" s="6">
        <f t="shared" si="1"/>
        <v>2.531250000174623E-2</v>
      </c>
      <c r="N47" s="7">
        <f t="shared" si="2"/>
        <v>36.450000002514571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8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06:54:16-700',mode:absolute,to:'2016-12-23 09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7" s="52" t="str">
        <f t="shared" si="6"/>
        <v>N</v>
      </c>
      <c r="X47" s="189">
        <f t="shared" si="7"/>
        <v>1</v>
      </c>
      <c r="Y47" s="67">
        <f t="shared" si="8"/>
        <v>4.6600000000000003E-2</v>
      </c>
      <c r="Z47" s="67">
        <f t="shared" si="9"/>
        <v>23.330300000000001</v>
      </c>
      <c r="AA47" s="67">
        <f t="shared" si="10"/>
        <v>23.2837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0135-23</v>
      </c>
      <c r="AE47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47" s="88" t="str">
        <f t="shared" si="13"/>
        <v>"C:\Program Files (x86)\AstroGrep\AstroGrep.exe" /spath="%USERPROFILE%\AppData\Local\Temp\OnboardLogs" /stypes="app*4051*20161223*"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135-23 --locoid 4051 --swversion DE.1.0.8.0 --startMP 204:466 --initTime 2016-12-23T07:54:16 --startdatetime 2016-12-23T08:00:22 --delay 1 --endMP 204:233303 --enddatetime 2016-12-23T08:36:49 --enforcementcount 0 &gt;&gt;C:\Users\stu\Documents\GitHub\eaglep3-reporting\EC\2016-12-23-refined-times.txt</v>
      </c>
      <c r="AI4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{"issue":{"subject":"","project_id":79,"tracker_id":40,"status_id":1,"priority_id":2,"assigned_to_id":23,"start_date":"2016-12-23","description":"","custom_fields":[{"id":1,"name":"Subdivision","value":"EC"},{"id":4,"name":"Milepost","value":"23.3303"},{"id":17,"name":"Train ID","value":"135-23"},{"id":16,"name":"Locomotive ID","value":"4051"},{"id":130,"name":"Impact","value":""},{"id":150,"name":"Time of Event (Mountain Time)","value":"08:36:49"},{"id":151,"name":"Denver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524</v>
      </c>
      <c r="B48" s="7">
        <v>4052</v>
      </c>
      <c r="C48" s="22" t="s">
        <v>205</v>
      </c>
      <c r="D48" s="22" t="s">
        <v>278</v>
      </c>
      <c r="E48" s="13">
        <v>42727.37027777778</v>
      </c>
      <c r="F48" s="13">
        <v>42727.372407407405</v>
      </c>
      <c r="G48" s="7">
        <v>1</v>
      </c>
      <c r="H48" s="22" t="s">
        <v>383</v>
      </c>
      <c r="I48" s="13">
        <v>42727.399421296293</v>
      </c>
      <c r="J48" s="7">
        <v>0</v>
      </c>
      <c r="K48" s="109" t="str">
        <f t="shared" si="0"/>
        <v>4051/4052</v>
      </c>
      <c r="L48" s="22" t="str">
        <f>VLOOKUP(A48,'Trips&amp;Operators'!$C$1:$G$99999,5,FALSE)</f>
        <v>STARKS ANGELINA</v>
      </c>
      <c r="M48" s="6">
        <f t="shared" si="1"/>
        <v>2.7013888888177462E-2</v>
      </c>
      <c r="N48" s="7">
        <f t="shared" si="2"/>
        <v>38.899999998975545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8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07:53:12-700',mode:absolute,to:'2016-12-23 10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8" s="52" t="str">
        <f t="shared" si="6"/>
        <v>N</v>
      </c>
      <c r="X48" s="189">
        <f t="shared" si="7"/>
        <v>1</v>
      </c>
      <c r="Y48" s="67">
        <f t="shared" si="8"/>
        <v>23.2986</v>
      </c>
      <c r="Z48" s="67">
        <f t="shared" si="9"/>
        <v>1.5800000000000002E-2</v>
      </c>
      <c r="AA48" s="67">
        <f t="shared" si="10"/>
        <v>23.282800000000002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0136-23</v>
      </c>
      <c r="AE48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48" s="88" t="str">
        <f t="shared" si="13"/>
        <v>"C:\Program Files (x86)\AstroGrep\AstroGrep.exe" /spath="%USERPROFILE%\AppData\Local\Temp\OnboardLogs" /stypes="app*4052*20161223*"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136-23 --locoid 4052 --swversion DE.1.0.8.0 --startMP 204:232986 --initTime 2016-12-23T08:53:12 --startdatetime 2016-12-23T08:56:16 --delay 1 --endMP 204:158 --enddatetime 2016-12-23T09:35:10 --enforcementcount 0 &gt;&gt;C:\Users\stu\Documents\GitHub\eaglep3-reporting\EC\2016-12-23-refined-times.txt</v>
      </c>
      <c r="AI4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{"issue":{"subject":"","project_id":79,"tracker_id":40,"status_id":1,"priority_id":2,"assigned_to_id":23,"start_date":"2016-12-23","description":"","custom_fields":[{"id":1,"name":"Subdivision","value":"EC"},{"id":4,"name":"Milepost","value":"0.0158"},{"id":17,"name":"Train ID","value":"136-23"},{"id":16,"name":"Locomotive ID","value":"4052"},{"id":130,"name":"Impact","value":""},{"id":150,"name":"Time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514</v>
      </c>
      <c r="B49" s="7">
        <v>4007</v>
      </c>
      <c r="C49" s="22" t="s">
        <v>205</v>
      </c>
      <c r="D49" s="22" t="s">
        <v>265</v>
      </c>
      <c r="E49" s="13">
        <v>42727.341365740744</v>
      </c>
      <c r="F49" s="13">
        <v>42727.344212962962</v>
      </c>
      <c r="G49" s="7">
        <v>4</v>
      </c>
      <c r="H49" s="22" t="s">
        <v>276</v>
      </c>
      <c r="I49" s="13">
        <v>42727.370370370372</v>
      </c>
      <c r="J49" s="7">
        <v>0</v>
      </c>
      <c r="K49" s="109" t="str">
        <f t="shared" si="0"/>
        <v>4007/4008</v>
      </c>
      <c r="L49" s="22" t="str">
        <f>VLOOKUP(A49,'Trips&amp;Operators'!$C$1:$G$99999,5,FALSE)</f>
        <v>CUSHING HARRY</v>
      </c>
      <c r="M49" s="6">
        <f t="shared" si="1"/>
        <v>2.6157407410209998E-2</v>
      </c>
      <c r="N49" s="7">
        <f t="shared" si="2"/>
        <v>37.666666670702398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8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07:11:34-700',mode:absolute,to:'2016-12-23 09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9" s="52" t="str">
        <f t="shared" si="6"/>
        <v>N</v>
      </c>
      <c r="X49" s="189">
        <f t="shared" si="7"/>
        <v>1</v>
      </c>
      <c r="Y49" s="67">
        <f t="shared" si="8"/>
        <v>4.6699999999999998E-2</v>
      </c>
      <c r="Z49" s="67">
        <f t="shared" si="9"/>
        <v>23.328900000000001</v>
      </c>
      <c r="AA49" s="67">
        <f t="shared" si="10"/>
        <v>23.2822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0137-23</v>
      </c>
      <c r="AE49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49" s="88" t="str">
        <f t="shared" si="13"/>
        <v>"C:\Program Files (x86)\AstroGrep\AstroGrep.exe" /spath="%USERPROFILE%\AppData\Local\Temp\OnboardLogs" /stypes="app*4007*20161223*"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137-23 --locoid 4007 --swversion DE.1.0.8.0 --startMP 204:467 --initTime 2016-12-23T08:11:34 --startdatetime 2016-12-23T08:15:40 --delay 4 --endMP 204:233289 --enddatetime 2016-12-23T08:53:20 --enforcementcount 0 &gt;&gt;C:\Users\stu\Documents\GitHub\eaglep3-reporting\EC\2016-12-23-refined-times.txt</v>
      </c>
      <c r="AI4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{"issue":{"subject":"","project_id":79,"tracker_id":40,"status_id":1,"priority_id":2,"assigned_to_id":23,"start_date":"2016-12-23","description":"","custom_fields":[{"id":1,"name":"Subdivision","value":"EC"},{"id":4,"name":"Milepost","value":"23.3289"},{"id":17,"name":"Train ID","value":"137-23"},{"id":16,"name":"Locomotive ID","value":"4007"},{"id":130,"name":"Impact","value":""},{"id":150,"name":"Time of Event (Mountain Time)","value":"08:53:20"},{"id":151,"name":"Denver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526</v>
      </c>
      <c r="B50" s="7">
        <v>4008</v>
      </c>
      <c r="C50" s="22" t="s">
        <v>205</v>
      </c>
      <c r="D50" s="22" t="s">
        <v>702</v>
      </c>
      <c r="E50" s="13">
        <v>42727.37672453704</v>
      </c>
      <c r="F50" s="13">
        <v>42727.382881944446</v>
      </c>
      <c r="G50" s="7">
        <v>1</v>
      </c>
      <c r="H50" s="22" t="s">
        <v>267</v>
      </c>
      <c r="I50" s="13">
        <v>42727.410601851851</v>
      </c>
      <c r="J50" s="7">
        <v>0</v>
      </c>
      <c r="K50" s="109" t="str">
        <f t="shared" si="0"/>
        <v>4007/4008</v>
      </c>
      <c r="L50" s="22" t="str">
        <f>VLOOKUP(A50,'Trips&amp;Operators'!$C$1:$G$99999,5,FALSE)</f>
        <v>CUSHING HARRY</v>
      </c>
      <c r="M50" s="6">
        <f t="shared" si="1"/>
        <v>2.7719907404389232E-2</v>
      </c>
      <c r="N50" s="7">
        <f t="shared" si="2"/>
        <v>39.916666662320495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8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08:02:29-700',mode:absolute,to:'2016-12-23 10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0" s="52" t="str">
        <f t="shared" si="6"/>
        <v>N</v>
      </c>
      <c r="X50" s="189">
        <f t="shared" si="7"/>
        <v>1</v>
      </c>
      <c r="Y50" s="67">
        <f t="shared" si="8"/>
        <v>23.296399999999998</v>
      </c>
      <c r="Z50" s="67">
        <f t="shared" si="9"/>
        <v>1.61E-2</v>
      </c>
      <c r="AA50" s="67">
        <f t="shared" si="10"/>
        <v>23.280299999999997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0138-23</v>
      </c>
      <c r="AE50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50" s="88" t="str">
        <f t="shared" si="13"/>
        <v>"C:\Program Files (x86)\AstroGrep\AstroGrep.exe" /spath="%USERPROFILE%\AppData\Local\Temp\OnboardLogs" /stypes="app*4008*20161223*"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138-23 --locoid 4008 --swversion DE.1.0.8.0 --startMP 204:232964 --initTime 2016-12-23T09:02:29 --startdatetime 2016-12-23T09:11:21 --delay 1 --endMP 204:161 --enddatetime 2016-12-23T09:51:16 --enforcementcount 0 &gt;&gt;C:\Users\stu\Documents\GitHub\eaglep3-reporting\EC\2016-12-23-refined-times.txt</v>
      </c>
      <c r="AI5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ID","value":"138-23"},{"id":16,"name":"Locomotive ID","value":"4008"},{"id":130,"name":"Impact","value":""},{"id":150,"name":"Time of Event (Mountain Time)","value":"09:51:16"},{"id":151,"name":"Denver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517</v>
      </c>
      <c r="B51" s="7">
        <v>4025</v>
      </c>
      <c r="C51" s="22" t="s">
        <v>205</v>
      </c>
      <c r="D51" s="22" t="s">
        <v>255</v>
      </c>
      <c r="E51" s="13">
        <v>42727.350613425922</v>
      </c>
      <c r="F51" s="13">
        <v>42727.354675925926</v>
      </c>
      <c r="G51" s="7">
        <v>1</v>
      </c>
      <c r="H51" s="22" t="s">
        <v>703</v>
      </c>
      <c r="I51" s="13">
        <v>42727.378738425927</v>
      </c>
      <c r="J51" s="7">
        <v>0</v>
      </c>
      <c r="K51" s="109" t="str">
        <f t="shared" si="0"/>
        <v>4025/4026</v>
      </c>
      <c r="L51" s="22" t="str">
        <f>VLOOKUP(A51,'Trips&amp;Operators'!$C$1:$G$99999,5,FALSE)</f>
        <v>SANTIZO D. EDY</v>
      </c>
      <c r="M51" s="6">
        <f t="shared" si="1"/>
        <v>2.4062500000582077E-2</v>
      </c>
      <c r="N51" s="7">
        <f t="shared" si="2"/>
        <v>34.65000000083819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8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07:24:53-700',mode:absolute,to:'2016-12-23 10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6"/>
        <v>N</v>
      </c>
      <c r="X51" s="189">
        <f t="shared" si="7"/>
        <v>1</v>
      </c>
      <c r="Y51" s="67">
        <f t="shared" si="8"/>
        <v>4.53E-2</v>
      </c>
      <c r="Z51" s="67">
        <f t="shared" si="9"/>
        <v>23.3291</v>
      </c>
      <c r="AA51" s="67">
        <f t="shared" si="10"/>
        <v>23.283799999999999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0139-23</v>
      </c>
      <c r="AE51" s="91" t="str">
        <f t="shared" si="12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51" s="88" t="str">
        <f t="shared" si="13"/>
        <v>"C:\Program Files (x86)\AstroGrep\AstroGrep.exe" /spath="%USERPROFILE%\AppData\Local\Temp\OnboardLogs" /stypes="app*4025*20161223*"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139-23 --locoid 4025 --swversion DE.1.0.8.0 --startMP 204:453 --initTime 2016-12-23T08:24:53 --startdatetime 2016-12-23T08:30:44 --delay 1 --endMP 204:233291 --enddatetime 2016-12-23T09:05:23 --enforcementcount 0 &gt;&gt;C:\Users\stu\Documents\GitHub\eaglep3-reporting\EC\2016-12-23-refined-times.txt</v>
      </c>
      <c r="AI5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{"issue":{"subject":"","project_id":79,"tracker_id":40,"status_id":1,"priority_id":2,"assigned_to_id":23,"start_date":"2016-12-23","description":"","custom_fields":[{"id":1,"name":"Subdivision","value":"EC"},{"id":4,"name":"Milepost","value":"23.3291"},{"id":17,"name":"Train ID","value":"139-23"},{"id":16,"name":"Locomotive ID","value":"4025"},{"id":130,"name":"Impact","value":""},{"id":150,"name":"Time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528</v>
      </c>
      <c r="B52" s="7">
        <v>4026</v>
      </c>
      <c r="C52" s="22" t="s">
        <v>205</v>
      </c>
      <c r="D52" s="22" t="s">
        <v>291</v>
      </c>
      <c r="E52" s="13">
        <v>42727.380057870374</v>
      </c>
      <c r="F52" s="13">
        <v>42727.393252314818</v>
      </c>
      <c r="G52" s="7">
        <v>1</v>
      </c>
      <c r="H52" s="22" t="s">
        <v>704</v>
      </c>
      <c r="I52" s="13">
        <v>42727.420370370368</v>
      </c>
      <c r="J52" s="7">
        <v>0</v>
      </c>
      <c r="K52" s="109" t="str">
        <f t="shared" si="0"/>
        <v>4025/4026</v>
      </c>
      <c r="L52" s="22" t="str">
        <f>VLOOKUP(A52,'Trips&amp;Operators'!$C$1:$G$99999,5,FALSE)</f>
        <v>SANTIZO D. EDY</v>
      </c>
      <c r="M52" s="6">
        <f t="shared" si="1"/>
        <v>2.7118055550090503E-2</v>
      </c>
      <c r="N52" s="7">
        <f t="shared" si="2"/>
        <v>39.049999992130324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8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08:07:17-700',mode:absolute,to:'2016-12-23 11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6"/>
        <v>N</v>
      </c>
      <c r="X52" s="189">
        <f t="shared" si="7"/>
        <v>1</v>
      </c>
      <c r="Y52" s="67">
        <f t="shared" si="8"/>
        <v>23.297799999999999</v>
      </c>
      <c r="Z52" s="67">
        <f t="shared" si="9"/>
        <v>6.1000000000000004E-3</v>
      </c>
      <c r="AA52" s="67">
        <f t="shared" si="10"/>
        <v>23.291699999999999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0140-23</v>
      </c>
      <c r="AE52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52" s="88" t="str">
        <f t="shared" si="13"/>
        <v>"C:\Program Files (x86)\AstroGrep\AstroGrep.exe" /spath="%USERPROFILE%\AppData\Local\Temp\OnboardLogs" /stypes="app*4026*20161223*"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140-23 --locoid 4026 --swversion DE.1.0.8.0 --startMP 204:232978 --initTime 2016-12-23T09:07:17 --startdatetime 2016-12-23T09:26:17 --delay 1 --endMP 204:61 --enddatetime 2016-12-23T10:05:20 --enforcementcount 0 &gt;&gt;C:\Users\stu\Documents\GitHub\eaglep3-reporting\EC\2016-12-23-refined-times.txt</v>
      </c>
      <c r="AI5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{"issue":{"subject":"","project_id":79,"tracker_id":40,"status_id":1,"priority_id":2,"assigned_to_id":23,"start_date":"2016-12-23","description":"","custom_fields":[{"id":1,"name":"Subdivision","value":"EC"},{"id":4,"name":"Milepost","value":"0.0061"},{"id":17,"name":"Train ID","value":"140-23"},{"id":16,"name":"Locomotive ID","value":"4026"},{"id":130,"name":"Impact","value":""},{"id":150,"name":"Time of Event (Mountain Time)","value":"10:05:20"},{"id":151,"name":"Denver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522</v>
      </c>
      <c r="B53" s="7">
        <v>4042</v>
      </c>
      <c r="C53" s="22" t="s">
        <v>205</v>
      </c>
      <c r="D53" s="22" t="s">
        <v>286</v>
      </c>
      <c r="E53" s="13">
        <v>42727.358981481484</v>
      </c>
      <c r="F53" s="13">
        <v>42727.364849537036</v>
      </c>
      <c r="G53" s="7">
        <v>1</v>
      </c>
      <c r="H53" s="22" t="s">
        <v>701</v>
      </c>
      <c r="I53" s="13">
        <v>42727.389120370368</v>
      </c>
      <c r="J53" s="7">
        <v>0</v>
      </c>
      <c r="K53" s="109" t="str">
        <f t="shared" si="0"/>
        <v>4041/4042</v>
      </c>
      <c r="L53" s="22" t="str">
        <f>VLOOKUP(A53,'Trips&amp;Operators'!$C$1:$G$99999,5,FALSE)</f>
        <v>ISHMAEL JOSEPH</v>
      </c>
      <c r="M53" s="6">
        <f t="shared" si="1"/>
        <v>2.4270833331684116E-2</v>
      </c>
      <c r="N53" s="7">
        <f t="shared" si="2"/>
        <v>34.949999997625127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8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07:36:56-700',mode:absolute,to:'2016-12-23 10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3" s="52" t="str">
        <f t="shared" si="6"/>
        <v>N</v>
      </c>
      <c r="X53" s="189">
        <f t="shared" si="7"/>
        <v>1</v>
      </c>
      <c r="Y53" s="67">
        <f t="shared" si="8"/>
        <v>4.6899999999999997E-2</v>
      </c>
      <c r="Z53" s="67">
        <f t="shared" si="9"/>
        <v>23.3323</v>
      </c>
      <c r="AA53" s="67">
        <f t="shared" si="10"/>
        <v>23.285399999999999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0141-23</v>
      </c>
      <c r="AE53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53" s="88" t="str">
        <f t="shared" si="13"/>
        <v>"C:\Program Files (x86)\AstroGrep\AstroGrep.exe" /spath="%USERPROFILE%\AppData\Local\Temp\OnboardLogs" /stypes="app*4042*20161223*"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141-23 --locoid 4042 --swversion DE.1.0.8.0 --startMP 204:469 --initTime 2016-12-23T08:36:56 --startdatetime 2016-12-23T08:45:23 --delay 1 --endMP 204:233323 --enddatetime 2016-12-23T09:20:20 --enforcementcount 0 &gt;&gt;C:\Users\stu\Documents\GitHub\eaglep3-reporting\EC\2016-12-23-refined-times.txt</v>
      </c>
      <c r="AI5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{"issue":{"subject":"","project_id":79,"tracker_id":40,"status_id":1,"priority_id":2,"assigned_to_id":23,"start_date":"2016-12-23","description":"","custom_fields":[{"id":1,"name":"Subdivision","value":"EC"},{"id":4,"name":"Milepost","value":"23.3323"},{"id":17,"name":"Train ID","value":"141-23"},{"id":16,"name":"Locomotive ID","value":"4042"},{"id":130,"name":"Impact","value":""},{"id":150,"name":"Time of Event (Mountain Time)","value":"09:20:20"},{"id":151,"name":"Denver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4041</v>
      </c>
      <c r="C54" s="22" t="s">
        <v>205</v>
      </c>
      <c r="D54" s="22" t="s">
        <v>277</v>
      </c>
      <c r="E54" s="13">
        <v>42727.3984837963</v>
      </c>
      <c r="F54" s="13">
        <v>42727.403726851851</v>
      </c>
      <c r="G54" s="7">
        <v>1</v>
      </c>
      <c r="H54" s="22" t="s">
        <v>390</v>
      </c>
      <c r="I54" s="13">
        <v>42727.430439814816</v>
      </c>
      <c r="J54" s="7">
        <v>0</v>
      </c>
      <c r="K54" s="109" t="str">
        <f t="shared" si="0"/>
        <v>4041/4042</v>
      </c>
      <c r="L54" s="22" t="str">
        <f>VLOOKUP(A54,'Trips&amp;Operators'!$C$1:$G$99999,5,FALSE)</f>
        <v>ISHMAEL JOSEPH</v>
      </c>
      <c r="M54" s="6">
        <f t="shared" si="1"/>
        <v>2.6712962964666076E-2</v>
      </c>
      <c r="N54" s="7">
        <f t="shared" si="2"/>
        <v>38.466666669119149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8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08:33:49-700',mode:absolute,to:'2016-12-23 11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4" s="52" t="str">
        <f t="shared" si="6"/>
        <v>N</v>
      </c>
      <c r="X54" s="189">
        <f t="shared" si="7"/>
        <v>1</v>
      </c>
      <c r="Y54" s="67">
        <f t="shared" si="8"/>
        <v>23.3</v>
      </c>
      <c r="Z54" s="67">
        <f t="shared" si="9"/>
        <v>1.41E-2</v>
      </c>
      <c r="AA54" s="67">
        <f t="shared" si="10"/>
        <v>23.285900000000002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0142-23</v>
      </c>
      <c r="AE54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54" s="88" t="str">
        <f t="shared" si="13"/>
        <v>"C:\Program Files (x86)\AstroGrep\AstroGrep.exe" /spath="%USERPROFILE%\AppData\Local\Temp\OnboardLogs" /stypes="app*4041*20161223*"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142-23 --locoid 4041 --swversion DE.1.0.8.0 --startMP 204:233000 --initTime 2016-12-23T09:33:49 --startdatetime 2016-12-23T09:41:22 --delay 1 --endMP 204:141 --enddatetime 2016-12-23T10:19:50 --enforcementcount 0 &gt;&gt;C:\Users\stu\Documents\GitHub\eaglep3-reporting\EC\2016-12-23-refined-times.txt</v>
      </c>
      <c r="AI5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{"issue":{"subject":"","project_id":79,"tracker_id":40,"status_id":1,"priority_id":2,"assigned_to_id":23,"start_date":"2016-12-23","description":"","custom_fields":[{"id":1,"name":"Subdivision","value":"EC"},{"id":4,"name":"Milepost","value":"0.0141"},{"id":17,"name":"Train ID","value":"142-23"},{"id":16,"name":"Locomotive ID","value":"4041"},{"id":130,"name":"Impact","value":""},{"id":150,"name":"Time of Event (Mountain Time)","value":"10:19:50"},{"id":151,"name":"Denver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525</v>
      </c>
      <c r="B55" s="7">
        <v>4031</v>
      </c>
      <c r="C55" s="22" t="s">
        <v>205</v>
      </c>
      <c r="D55" s="22" t="s">
        <v>269</v>
      </c>
      <c r="E55" s="13">
        <v>42727.370729166665</v>
      </c>
      <c r="F55" s="13">
        <v>42727.375555555554</v>
      </c>
      <c r="G55" s="7">
        <v>1</v>
      </c>
      <c r="H55" s="22" t="s">
        <v>340</v>
      </c>
      <c r="I55" s="13">
        <v>42727.399537037039</v>
      </c>
      <c r="J55" s="7">
        <v>0</v>
      </c>
      <c r="K55" s="109" t="str">
        <f t="shared" si="0"/>
        <v>4031/4032</v>
      </c>
      <c r="L55" s="22" t="str">
        <f>VLOOKUP(A55,'Trips&amp;Operators'!$C$1:$G$99999,5,FALSE)</f>
        <v>SIMONEAUX TERA</v>
      </c>
      <c r="M55" s="6">
        <f t="shared" si="1"/>
        <v>2.3981481484952383E-2</v>
      </c>
      <c r="N55" s="7">
        <f t="shared" si="2"/>
        <v>34.533333338331431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8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07:53:51-700',mode:absolute,to:'2016-12-23 10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5" s="52" t="str">
        <f t="shared" si="6"/>
        <v>N</v>
      </c>
      <c r="X55" s="189">
        <f t="shared" si="7"/>
        <v>1</v>
      </c>
      <c r="Y55" s="67">
        <f t="shared" si="8"/>
        <v>4.6199999999999998E-2</v>
      </c>
      <c r="Z55" s="67">
        <f t="shared" si="9"/>
        <v>23.3293</v>
      </c>
      <c r="AA55" s="67">
        <f t="shared" si="10"/>
        <v>23.283100000000001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0143-23</v>
      </c>
      <c r="AE55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55" s="88" t="str">
        <f t="shared" si="13"/>
        <v>"C:\Program Files (x86)\AstroGrep\AstroGrep.exe" /spath="%USERPROFILE%\AppData\Local\Temp\OnboardLogs" /stypes="app*4031*20161223*"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143-23 --locoid 4031 --swversion DE.1.0.8.0 --startMP 204:462 --initTime 2016-12-23T08:53:51 --startdatetime 2016-12-23T09:00:48 --delay 1 --endMP 204:233293 --enddatetime 2016-12-23T09:35:20 --enforcementcount 0 &gt;&gt;C:\Users\stu\Documents\GitHub\eaglep3-reporting\EC\2016-12-23-refined-times.txt</v>
      </c>
      <c r="AI5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ID","value":"143-23"},{"id":16,"name":"Locomotive ID","value":"4031"},{"id":130,"name":"Impact","value":""},{"id":150,"name":"Time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534</v>
      </c>
      <c r="B56" s="7">
        <v>4032</v>
      </c>
      <c r="C56" s="22" t="s">
        <v>205</v>
      </c>
      <c r="D56" s="22" t="s">
        <v>278</v>
      </c>
      <c r="E56" s="13">
        <v>42727.408043981479</v>
      </c>
      <c r="F56" s="13">
        <v>42727.415127314816</v>
      </c>
      <c r="G56" s="7">
        <v>1</v>
      </c>
      <c r="H56" s="22" t="s">
        <v>274</v>
      </c>
      <c r="I56" s="13">
        <v>42727.44326388889</v>
      </c>
      <c r="J56" s="7">
        <v>0</v>
      </c>
      <c r="K56" s="109" t="str">
        <f t="shared" si="0"/>
        <v>4031/4032</v>
      </c>
      <c r="L56" s="22" t="str">
        <f>VLOOKUP(A56,'Trips&amp;Operators'!$C$1:$G$99999,5,FALSE)</f>
        <v>SIMONEAUX TERA</v>
      </c>
      <c r="M56" s="6">
        <f t="shared" si="1"/>
        <v>2.8136574073869269E-2</v>
      </c>
      <c r="N56" s="7">
        <f t="shared" si="2"/>
        <v>40.516666666371748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8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08:47:35-700',mode:absolute,to:'2016-12-23 11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6" s="52" t="str">
        <f t="shared" si="6"/>
        <v>N</v>
      </c>
      <c r="X56" s="189">
        <f t="shared" si="7"/>
        <v>1</v>
      </c>
      <c r="Y56" s="67">
        <f t="shared" si="8"/>
        <v>23.2986</v>
      </c>
      <c r="Z56" s="67">
        <f t="shared" si="9"/>
        <v>1.38E-2</v>
      </c>
      <c r="AA56" s="67">
        <f t="shared" si="10"/>
        <v>23.284800000000001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0144-23</v>
      </c>
      <c r="AE56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56" s="88" t="str">
        <f t="shared" si="13"/>
        <v>"C:\Program Files (x86)\AstroGrep\AstroGrep.exe" /spath="%USERPROFILE%\AppData\Local\Temp\OnboardLogs" /stypes="app*4032*20161223*"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144-23 --locoid 4032 --swversion DE.1.0.8.0 --startMP 204:232986 --initTime 2016-12-23T09:47:35 --startdatetime 2016-12-23T09:57:47 --delay 1 --endMP 204:138 --enddatetime 2016-12-23T10:38:18 --enforcementcount 0 &gt;&gt;C:\Users\stu\Documents\GitHub\eaglep3-reporting\EC\2016-12-23-refined-times.txt</v>
      </c>
      <c r="AI5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{"issue":{"subject":"","project_id":79,"tracker_id":40,"status_id":1,"priority_id":2,"assigned_to_id":23,"start_date":"2016-12-23","description":"","custom_fields":[{"id":1,"name":"Subdivision","value":"EC"},{"id":4,"name":"Milepost","value":"0.0138"},{"id":17,"name":"Train ID","value":"144-23"},{"id":16,"name":"Locomotive ID","value":"4032"},{"id":130,"name":"Impact","value":""},{"id":150,"name":"Time of Event (Mountain Time)","value":"10:38:18"},{"id":151,"name":"Denver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529</v>
      </c>
      <c r="B57" s="7">
        <v>4011</v>
      </c>
      <c r="C57" s="22" t="s">
        <v>205</v>
      </c>
      <c r="D57" s="22" t="s">
        <v>285</v>
      </c>
      <c r="E57" s="13">
        <v>42727.380335648151</v>
      </c>
      <c r="F57" s="13">
        <v>42727.385578703703</v>
      </c>
      <c r="G57" s="7">
        <v>1</v>
      </c>
      <c r="H57" s="22" t="s">
        <v>381</v>
      </c>
      <c r="I57" s="13">
        <v>42727.410138888888</v>
      </c>
      <c r="J57" s="7">
        <v>0</v>
      </c>
      <c r="K57" s="109" t="str">
        <f t="shared" si="0"/>
        <v>4011/4012</v>
      </c>
      <c r="L57" s="22" t="str">
        <f>VLOOKUP(A57,'Trips&amp;Operators'!$C$1:$G$99999,5,FALSE)</f>
        <v>DAVIS WENDY</v>
      </c>
      <c r="M57" s="6">
        <f t="shared" si="1"/>
        <v>2.4560185185691807E-2</v>
      </c>
      <c r="N57" s="7">
        <f t="shared" si="2"/>
        <v>35.366666667396203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8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08:07:41-700',mode:absolute,to:'2016-12-23 10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7" s="52" t="str">
        <f t="shared" si="6"/>
        <v>N</v>
      </c>
      <c r="X57" s="189">
        <f t="shared" si="7"/>
        <v>1</v>
      </c>
      <c r="Y57" s="67">
        <f t="shared" si="8"/>
        <v>4.4900000000000002E-2</v>
      </c>
      <c r="Z57" s="67">
        <f t="shared" si="9"/>
        <v>23.331900000000001</v>
      </c>
      <c r="AA57" s="67">
        <f t="shared" si="10"/>
        <v>23.287000000000003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0145-23</v>
      </c>
      <c r="AE57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57" s="88" t="str">
        <f t="shared" si="13"/>
        <v>"C:\Program Files (x86)\AstroGrep\AstroGrep.exe" /spath="%USERPROFILE%\AppData\Local\Temp\OnboardLogs" /stypes="app*4011*20161223*"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145-23 --locoid 4011 --swversion DE.1.0.8.0 --startMP 204:449 --initTime 2016-12-23T09:07:41 --startdatetime 2016-12-23T09:15:14 --delay 1 --endMP 204:233319 --enddatetime 2016-12-23T09:50:36 --enforcementcount 0 &gt;&gt;C:\Users\stu\Documents\GitHub\eaglep3-reporting\EC\2016-12-23-refined-times.txt</v>
      </c>
      <c r="AI5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{"issue":{"subject":"","project_id":79,"tracker_id":40,"status_id":1,"priority_id":2,"assigned_to_id":23,"start_date":"2016-12-23","description":"","custom_fields":[{"id":1,"name":"Subdivision","value":"EC"},{"id":4,"name":"Milepost","value":"23.3319"},{"id":17,"name":"Train ID","value":"145-23"},{"id":16,"name":"Locomotive ID","value":"4011"},{"id":130,"name":"Impact","value":""},{"id":150,"name":"Time of Event (Mountain Time)","value":"09:50:36"},{"id":151,"name":"Denver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437</v>
      </c>
      <c r="B58" s="7">
        <v>4012</v>
      </c>
      <c r="C58" s="22" t="s">
        <v>205</v>
      </c>
      <c r="D58" s="22" t="s">
        <v>705</v>
      </c>
      <c r="E58" s="13">
        <v>42727.41951388889</v>
      </c>
      <c r="F58" s="13">
        <v>42727.424513888887</v>
      </c>
      <c r="G58" s="7">
        <v>1</v>
      </c>
      <c r="H58" s="22" t="s">
        <v>706</v>
      </c>
      <c r="I58" s="13">
        <v>42727.451689814814</v>
      </c>
      <c r="J58" s="7">
        <v>0</v>
      </c>
      <c r="K58" s="109" t="str">
        <f t="shared" si="0"/>
        <v>4011/4012</v>
      </c>
      <c r="L58" s="22" t="str">
        <f>VLOOKUP(A58,'Trips&amp;Operators'!$C$1:$G$99999,5,FALSE)</f>
        <v>DAVIS WENDY</v>
      </c>
      <c r="M58" s="6">
        <f t="shared" si="1"/>
        <v>2.7175925926712807E-2</v>
      </c>
      <c r="N58" s="7">
        <f t="shared" si="2"/>
        <v>39.133333334466442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8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09:04:06-700',mode:absolute,to:'2016-12-23 11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8" s="52" t="str">
        <f t="shared" si="6"/>
        <v>N</v>
      </c>
      <c r="X58" s="189">
        <f t="shared" si="7"/>
        <v>1</v>
      </c>
      <c r="Y58" s="67">
        <f t="shared" si="8"/>
        <v>23.302099999999999</v>
      </c>
      <c r="Z58" s="67">
        <f t="shared" si="9"/>
        <v>2.3199999999999998E-2</v>
      </c>
      <c r="AA58" s="67">
        <f t="shared" si="10"/>
        <v>23.2789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0146-23</v>
      </c>
      <c r="AE58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58" s="88" t="str">
        <f t="shared" si="13"/>
        <v>"C:\Program Files (x86)\AstroGrep\AstroGrep.exe" /spath="%USERPROFILE%\AppData\Local\Temp\OnboardLogs" /stypes="app*4012*20161223*"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146-23 --locoid 4012 --swversion DE.1.0.8.0 --startMP 204:233021 --initTime 2016-12-23T10:04:06 --startdatetime 2016-12-23T10:11:18 --delay 1 --endMP 204:232 --enddatetime 2016-12-23T10:50:26 --enforcementcount 0 &gt;&gt;C:\Users\stu\Documents\GitHub\eaglep3-reporting\EC\2016-12-23-refined-times.txt</v>
      </c>
      <c r="AI5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{"issue":{"subject":"","project_id":79,"tracker_id":40,"status_id":1,"priority_id":2,"assigned_to_id":23,"start_date":"2016-12-23","description":"","custom_fields":[{"id":1,"name":"Subdivision","value":"EC"},{"id":4,"name":"Milepost","value":"0.0232"},{"id":17,"name":"Train ID","value":"146-23"},{"id":16,"name":"Locomotive ID","value":"4012"},{"id":130,"name":"Impact","value":""},{"id":150,"name":"Time of Event (Mountain Time)","value":"10:50:26"},{"id":151,"name":"Denver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530</v>
      </c>
      <c r="B59" s="7">
        <v>4016</v>
      </c>
      <c r="C59" s="22" t="s">
        <v>205</v>
      </c>
      <c r="D59" s="22" t="s">
        <v>688</v>
      </c>
      <c r="E59" s="13">
        <v>42727.391909722224</v>
      </c>
      <c r="F59" s="13">
        <v>42727.396018518521</v>
      </c>
      <c r="G59" s="7">
        <v>1</v>
      </c>
      <c r="H59" s="22" t="s">
        <v>391</v>
      </c>
      <c r="I59" s="13">
        <v>42727.420601851853</v>
      </c>
      <c r="J59" s="7">
        <v>0</v>
      </c>
      <c r="K59" s="109" t="str">
        <f t="shared" si="0"/>
        <v>4015/4016</v>
      </c>
      <c r="L59" s="22" t="str">
        <f>VLOOKUP(A59,'Trips&amp;Operators'!$C$1:$G$99999,5,FALSE)</f>
        <v>ROBINSON KADDIBA</v>
      </c>
      <c r="M59" s="6">
        <f t="shared" si="1"/>
        <v>2.4583333331975155E-2</v>
      </c>
      <c r="N59" s="7">
        <f t="shared" si="2"/>
        <v>35.399999998044223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8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08:24:21-700',mode:absolute,to:'2016-12-23 11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9" s="52" t="str">
        <f t="shared" si="6"/>
        <v>N</v>
      </c>
      <c r="X59" s="189">
        <f t="shared" si="7"/>
        <v>1</v>
      </c>
      <c r="Y59" s="67">
        <f t="shared" si="8"/>
        <v>4.8000000000000001E-2</v>
      </c>
      <c r="Z59" s="67">
        <f t="shared" si="9"/>
        <v>23.3307</v>
      </c>
      <c r="AA59" s="67">
        <f t="shared" si="10"/>
        <v>23.282700000000002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0147-23</v>
      </c>
      <c r="AE59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59" s="88" t="str">
        <f t="shared" si="13"/>
        <v>"C:\Program Files (x86)\AstroGrep\AstroGrep.exe" /spath="%USERPROFILE%\AppData\Local\Temp\OnboardLogs" /stypes="app*4016*20161223*"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147-23 --locoid 4016 --swversion DE.1.0.8.0 --startMP 204:480 --initTime 2016-12-23T09:24:21 --startdatetime 2016-12-23T09:30:16 --delay 1 --endMP 204:233307 --enddatetime 2016-12-23T10:05:40 --enforcementcount 0 &gt;&gt;C:\Users\stu\Documents\GitHub\eaglep3-reporting\EC\2016-12-23-refined-times.txt</v>
      </c>
      <c r="AI5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{"issue":{"subject":"","project_id":79,"tracker_id":40,"status_id":1,"priority_id":2,"assigned_to_id":23,"start_date":"2016-12-23","description":"","custom_fields":[{"id":1,"name":"Subdivision","value":"EC"},{"id":4,"name":"Milepost","value":"23.3307"},{"id":17,"name":"Train ID","value":"147-23"},{"id":16,"name":"Locomotive ID","value":"4016"},{"id":130,"name":"Impact","value":""},{"id":150,"name":"Time of Event (Mountain Time)","value":"10:05:40"},{"id":151,"name":"Denver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436</v>
      </c>
      <c r="B60" s="7">
        <v>4015</v>
      </c>
      <c r="C60" s="22" t="s">
        <v>205</v>
      </c>
      <c r="D60" s="22" t="s">
        <v>707</v>
      </c>
      <c r="E60" s="13">
        <v>42727.431747685187</v>
      </c>
      <c r="F60" s="13">
        <v>42727.434884259259</v>
      </c>
      <c r="G60" s="7">
        <v>1</v>
      </c>
      <c r="H60" s="22" t="s">
        <v>192</v>
      </c>
      <c r="I60" s="13">
        <v>42727.462094907409</v>
      </c>
      <c r="J60" s="7">
        <v>0</v>
      </c>
      <c r="K60" s="109" t="str">
        <f t="shared" si="0"/>
        <v>4015/4016</v>
      </c>
      <c r="L60" s="22" t="str">
        <f>VLOOKUP(A60,'Trips&amp;Operators'!$C$1:$G$99999,5,FALSE)</f>
        <v>ROBINSON KADDIBA</v>
      </c>
      <c r="M60" s="6">
        <f t="shared" si="1"/>
        <v>2.7210648149775807E-2</v>
      </c>
      <c r="N60" s="7">
        <f t="shared" si="2"/>
        <v>39.183333335677162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8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09:21:43-700',mode:absolute,to:'2016-12-23 12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0" s="52" t="str">
        <f t="shared" si="6"/>
        <v>N</v>
      </c>
      <c r="X60" s="189">
        <f t="shared" si="7"/>
        <v>1</v>
      </c>
      <c r="Y60" s="67">
        <f t="shared" si="8"/>
        <v>23.300699999999999</v>
      </c>
      <c r="Z60" s="67">
        <f t="shared" si="9"/>
        <v>1.43E-2</v>
      </c>
      <c r="AA60" s="67">
        <f t="shared" si="10"/>
        <v>23.2864</v>
      </c>
      <c r="AB60" s="64" t="str">
        <f>VLOOKUP(A60,Enforcements!$C$7:$K$19,8,0)</f>
        <v>Bulletin (2)</v>
      </c>
      <c r="AC60" s="60" t="str">
        <f>VLOOKUP(A60,Enforcements!$C$7:$E$19,3,0)</f>
        <v>TEMPORARY SPEED RESTRICTION</v>
      </c>
      <c r="AD60" s="61" t="str">
        <f t="shared" si="11"/>
        <v>0148-23</v>
      </c>
      <c r="AE60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60" s="88" t="str">
        <f t="shared" si="13"/>
        <v>"C:\Program Files (x86)\AstroGrep\AstroGrep.exe" /spath="%USERPROFILE%\AppData\Local\Temp\OnboardLogs" /stypes="app*4015*20161223*"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148-23 --locoid 4015 --swversion DE.1.0.8.0 --startMP 204:233007 --initTime 2016-12-23T10:21:43 --startdatetime 2016-12-23T10:26:14 --delay 1 --endMP 204:143 --enddatetime 2016-12-23T11:05:25 --enforcementcount 0 &gt;&gt;C:\Users\stu\Documents\GitHub\eaglep3-reporting\EC\2016-12-23-refined-times.txt</v>
      </c>
      <c r="AI6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ID","value":"148-23"},{"id":16,"name":"Locomotive ID","value":"4015"},{"id":130,"name":"Impact","value":""},{"id":150,"name":"Time of Event (Mountain Time)","value":"11:05:25"},{"id":151,"name":"Denver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532</v>
      </c>
      <c r="B61" s="7">
        <v>4051</v>
      </c>
      <c r="C61" s="22" t="s">
        <v>205</v>
      </c>
      <c r="D61" s="22" t="s">
        <v>255</v>
      </c>
      <c r="E61" s="13">
        <v>42727.401516203703</v>
      </c>
      <c r="F61" s="13">
        <v>42727.406493055554</v>
      </c>
      <c r="G61" s="7">
        <v>0</v>
      </c>
      <c r="H61" s="22" t="s">
        <v>344</v>
      </c>
      <c r="I61" s="13">
        <v>42727.430995370371</v>
      </c>
      <c r="J61" s="7">
        <v>0</v>
      </c>
      <c r="K61" s="109" t="str">
        <f t="shared" si="0"/>
        <v>4051/4052</v>
      </c>
      <c r="L61" s="22" t="str">
        <f>VLOOKUP(A61,'Trips&amp;Operators'!$C$1:$G$99999,5,FALSE)</f>
        <v>STARKS ANGELINA</v>
      </c>
      <c r="M61" s="6">
        <f t="shared" si="1"/>
        <v>2.4502314816345461E-2</v>
      </c>
      <c r="N61" s="7">
        <f t="shared" si="2"/>
        <v>35.283333335537463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8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08:38:11-700',mode:absolute,to:'2016-12-23 11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1" s="52" t="str">
        <f t="shared" si="6"/>
        <v>N</v>
      </c>
      <c r="X61" s="189">
        <f t="shared" si="7"/>
        <v>1</v>
      </c>
      <c r="Y61" s="67">
        <f t="shared" si="8"/>
        <v>4.53E-2</v>
      </c>
      <c r="Z61" s="67">
        <f t="shared" si="9"/>
        <v>23.33</v>
      </c>
      <c r="AA61" s="67">
        <f t="shared" si="10"/>
        <v>23.284699999999997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0149-23</v>
      </c>
      <c r="AE61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61" s="88" t="str">
        <f t="shared" si="13"/>
        <v>"C:\Program Files (x86)\AstroGrep\AstroGrep.exe" /spath="%USERPROFILE%\AppData\Local\Temp\OnboardLogs" /stypes="app*4051*20161223*"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149-23 --locoid 4051 --swversion DE.1.0.8.0 --startMP 204:453 --initTime 2016-12-23T09:38:11 --startdatetime 2016-12-23T09:45:21 --delay 0 --endMP 204:233300 --enddatetime 2016-12-23T10:20:38 --enforcementcount 0 &gt;&gt;C:\Users\stu\Documents\GitHub\eaglep3-reporting\EC\2016-12-23-refined-times.txt</v>
      </c>
      <c r="AI6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{"issue":{"subject":"","project_id":79,"tracker_id":40,"status_id":1,"priority_id":2,"assigned_to_id":23,"start_date":"2016-12-23","description":"","custom_fields":[{"id":1,"name":"Subdivision","value":"EC"},{"id":4,"name":"Milepost","value":"23.33"},{"id":17,"name":"Train ID","value":"149-23"},{"id":16,"name":"Locomotive ID","value":"4051"},{"id":130,"name":"Impact","value":""},{"id":150,"name":"Time of Event (Mountain Time)","value":"10:20:38"},{"id":151,"name":"Denver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438</v>
      </c>
      <c r="B62" s="7">
        <v>4052</v>
      </c>
      <c r="C62" s="22" t="s">
        <v>205</v>
      </c>
      <c r="D62" s="22" t="s">
        <v>312</v>
      </c>
      <c r="E62" s="13">
        <v>42727.442708333336</v>
      </c>
      <c r="F62" s="13">
        <v>42727.445486111108</v>
      </c>
      <c r="G62" s="7">
        <v>1</v>
      </c>
      <c r="H62" s="22" t="s">
        <v>192</v>
      </c>
      <c r="I62" s="13">
        <v>42727.473877314813</v>
      </c>
      <c r="J62" s="7">
        <v>0</v>
      </c>
      <c r="K62" s="109" t="str">
        <f t="shared" si="0"/>
        <v>4051/4052</v>
      </c>
      <c r="L62" s="22" t="str">
        <f>VLOOKUP(A62,'Trips&amp;Operators'!$C$1:$G$99999,5,FALSE)</f>
        <v>STARKS ANGELINA</v>
      </c>
      <c r="M62" s="6">
        <f t="shared" si="1"/>
        <v>2.8391203704813961E-2</v>
      </c>
      <c r="N62" s="7">
        <f t="shared" si="2"/>
        <v>40.883333334932104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8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09:37:30-700',mode:absolute,to:'2016-12-23 12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2" s="52" t="str">
        <f t="shared" si="6"/>
        <v>N</v>
      </c>
      <c r="X62" s="189">
        <f t="shared" si="7"/>
        <v>1</v>
      </c>
      <c r="Y62" s="67">
        <f t="shared" si="8"/>
        <v>23.298100000000002</v>
      </c>
      <c r="Z62" s="67">
        <f t="shared" si="9"/>
        <v>1.43E-2</v>
      </c>
      <c r="AA62" s="67">
        <f t="shared" si="10"/>
        <v>23.283800000000003</v>
      </c>
      <c r="AB62" s="64" t="str">
        <f>VLOOKUP(A62,Enforcements!$C$7:$K$19,8,0)</f>
        <v>Bulletin (2)</v>
      </c>
      <c r="AC62" s="60" t="str">
        <f>VLOOKUP(A62,Enforcements!$C$7:$E$19,3,0)</f>
        <v>TEMPORARY SPEED RESTRICTION</v>
      </c>
      <c r="AD62" s="61" t="str">
        <f t="shared" si="11"/>
        <v>0150-23</v>
      </c>
      <c r="AE62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62" s="88" t="str">
        <f t="shared" si="13"/>
        <v>"C:\Program Files (x86)\AstroGrep\AstroGrep.exe" /spath="%USERPROFILE%\AppData\Local\Temp\OnboardLogs" /stypes="app*4052*20161223*"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150-23 --locoid 4052 --swversion DE.1.0.8.0 --startMP 204:232981 --initTime 2016-12-23T10:37:30 --startdatetime 2016-12-23T10:41:30 --delay 1 --endMP 204:143 --enddatetime 2016-12-23T11:22:23 --enforcementcount 0 &gt;&gt;C:\Users\stu\Documents\GitHub\eaglep3-reporting\EC\2016-12-23-refined-times.txt</v>
      </c>
      <c r="AI6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ID","value":"150-23"},{"id":16,"name":"Locomotive ID","value":"4052"},{"id":130,"name":"Impact","value":""},{"id":150,"name":"Time of Event (Mountain Time)","value":"11:22:23"},{"id":151,"name":"Denver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535</v>
      </c>
      <c r="B63" s="7">
        <v>4007</v>
      </c>
      <c r="C63" s="22" t="s">
        <v>205</v>
      </c>
      <c r="D63" s="22" t="s">
        <v>700</v>
      </c>
      <c r="E63" s="13">
        <v>42727.414942129632</v>
      </c>
      <c r="F63" s="13">
        <v>42727.416990740741</v>
      </c>
      <c r="G63" s="7">
        <v>1</v>
      </c>
      <c r="H63" s="22" t="s">
        <v>340</v>
      </c>
      <c r="I63" s="13">
        <v>42727.441620370373</v>
      </c>
      <c r="J63" s="7">
        <v>0</v>
      </c>
      <c r="K63" s="109" t="str">
        <f t="shared" si="0"/>
        <v>4007/4008</v>
      </c>
      <c r="L63" s="22" t="str">
        <f>VLOOKUP(A63,'Trips&amp;Operators'!$C$1:$G$99999,5,FALSE)</f>
        <v>DUNCAN SHEILA</v>
      </c>
      <c r="M63" s="6">
        <f t="shared" si="1"/>
        <v>2.4629629631817807E-2</v>
      </c>
      <c r="N63" s="7">
        <f t="shared" si="2"/>
        <v>35.466666669817641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8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08:57:31-700',mode:absolute,to:'2016-12-23 11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3" s="52" t="str">
        <f t="shared" si="6"/>
        <v>N</v>
      </c>
      <c r="X63" s="189">
        <f t="shared" si="7"/>
        <v>1</v>
      </c>
      <c r="Y63" s="67">
        <f t="shared" si="8"/>
        <v>4.5699999999999998E-2</v>
      </c>
      <c r="Z63" s="67">
        <f t="shared" si="9"/>
        <v>23.3293</v>
      </c>
      <c r="AA63" s="67">
        <f t="shared" si="10"/>
        <v>23.2836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0151-23</v>
      </c>
      <c r="AE63" s="91" t="str">
        <f t="shared" si="12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63" s="88" t="str">
        <f t="shared" si="13"/>
        <v>"C:\Program Files (x86)\AstroGrep\AstroGrep.exe" /spath="%USERPROFILE%\AppData\Local\Temp\OnboardLogs" /stypes="app*4007*20161223*"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151-23 --locoid 4007 --swversion DE.1.0.8.0 --startMP 204:457 --initTime 2016-12-23T09:57:31 --startdatetime 2016-12-23T10:00:28 --delay 1 --endMP 204:233293 --enddatetime 2016-12-23T10:35:56 --enforcementcount 0 &gt;&gt;C:\Users\stu\Documents\GitHub\eaglep3-reporting\EC\2016-12-23-refined-times.txt</v>
      </c>
      <c r="AI6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ID","value":"151-23"},{"id":16,"name":"Locomotive ID","value":"4007"},{"id":130,"name":"Impact","value":""},{"id":150,"name":"Time of Event (Mountain Time)","value":"10:35:56"},{"id":151,"name":"Denver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541</v>
      </c>
      <c r="B64" s="7">
        <v>4008</v>
      </c>
      <c r="C64" s="22" t="s">
        <v>205</v>
      </c>
      <c r="D64" s="22" t="s">
        <v>347</v>
      </c>
      <c r="E64" s="13">
        <v>42727.449097222219</v>
      </c>
      <c r="F64" s="13">
        <v>42727.455810185187</v>
      </c>
      <c r="G64" s="7">
        <v>2</v>
      </c>
      <c r="H64" s="22" t="s">
        <v>708</v>
      </c>
      <c r="I64" s="13">
        <v>42727.483124999999</v>
      </c>
      <c r="J64" s="7">
        <v>0</v>
      </c>
      <c r="K64" s="109" t="str">
        <f t="shared" si="0"/>
        <v>4007/4008</v>
      </c>
      <c r="L64" s="22" t="str">
        <f>VLOOKUP(A64,'Trips&amp;Operators'!$C$1:$G$99999,5,FALSE)</f>
        <v>SAFIEF AEIMEN</v>
      </c>
      <c r="M64" s="6">
        <f t="shared" si="1"/>
        <v>2.7314814811688848E-2</v>
      </c>
      <c r="N64" s="7">
        <f t="shared" si="2"/>
        <v>39.333333328831941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8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09:46:42-700',mode:absolute,to:'2016-12-23 12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4" s="52" t="str">
        <f t="shared" si="6"/>
        <v>N</v>
      </c>
      <c r="X64" s="189">
        <f t="shared" si="7"/>
        <v>1</v>
      </c>
      <c r="Y64" s="67">
        <f t="shared" si="8"/>
        <v>23.296700000000001</v>
      </c>
      <c r="Z64" s="67">
        <f t="shared" si="9"/>
        <v>1.3599999999999999E-2</v>
      </c>
      <c r="AA64" s="67">
        <f t="shared" si="10"/>
        <v>23.283100000000001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0152-23</v>
      </c>
      <c r="AE64" s="91" t="str">
        <f t="shared" si="12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64" s="88" t="str">
        <f t="shared" si="13"/>
        <v>"C:\Program Files (x86)\AstroGrep\AstroGrep.exe" /spath="%USERPROFILE%\AppData\Local\Temp\OnboardLogs" /stypes="app*4008*20161223*"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152-23 --locoid 4008 --swversion DE.1.0.8.0 --startMP 204:232967 --initTime 2016-12-23T10:46:42 --startdatetime 2016-12-23T10:56:22 --delay 2 --endMP 204:136 --enddatetime 2016-12-23T11:35:42 --enforcementcount 0 &gt;&gt;C:\Users\stu\Documents\GitHub\eaglep3-reporting\EC\2016-12-23-refined-times.txt</v>
      </c>
      <c r="AI6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{"issue":{"subject":"","project_id":79,"tracker_id":40,"status_id":1,"priority_id":2,"assigned_to_id":23,"start_date":"2016-12-23","description":"","custom_fields":[{"id":1,"name":"Subdivision","value":"EC"},{"id":4,"name":"Milepost","value":"0.0136"},{"id":17,"name":"Train ID","value":"152-23"},{"id":16,"name":"Locomotive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537</v>
      </c>
      <c r="B65" s="7">
        <v>4025</v>
      </c>
      <c r="C65" s="22" t="s">
        <v>205</v>
      </c>
      <c r="D65" s="22" t="s">
        <v>709</v>
      </c>
      <c r="E65" s="13">
        <v>42727.422233796293</v>
      </c>
      <c r="F65" s="13">
        <v>42727.42732638889</v>
      </c>
      <c r="G65" s="7">
        <v>1</v>
      </c>
      <c r="H65" s="22" t="s">
        <v>339</v>
      </c>
      <c r="I65" s="13">
        <v>42727.45208333333</v>
      </c>
      <c r="J65" s="7">
        <v>0</v>
      </c>
      <c r="K65" s="109" t="str">
        <f t="shared" si="0"/>
        <v>4025/4026</v>
      </c>
      <c r="L65" s="22" t="str">
        <f>VLOOKUP(A65,'Trips&amp;Operators'!$C$1:$G$99999,5,FALSE)</f>
        <v>BONDS REYNALDO</v>
      </c>
      <c r="M65" s="6">
        <f t="shared" si="1"/>
        <v>2.4756944440014195E-2</v>
      </c>
      <c r="N65" s="7">
        <f t="shared" si="2"/>
        <v>35.64999999362044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8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09:08:01-700',mode:absolute,to:'2016-12-23 11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6"/>
        <v>N</v>
      </c>
      <c r="X65" s="189">
        <f t="shared" si="7"/>
        <v>1</v>
      </c>
      <c r="Y65" s="67">
        <f t="shared" si="8"/>
        <v>3.6900000000000002E-2</v>
      </c>
      <c r="Z65" s="67">
        <f t="shared" si="9"/>
        <v>23.331199999999999</v>
      </c>
      <c r="AA65" s="67">
        <f t="shared" si="10"/>
        <v>23.2943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0153-23</v>
      </c>
      <c r="AE65" s="91" t="str">
        <f t="shared" si="12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65" s="88" t="str">
        <f t="shared" si="13"/>
        <v>"C:\Program Files (x86)\AstroGrep\AstroGrep.exe" /spath="%USERPROFILE%\AppData\Local\Temp\OnboardLogs" /stypes="app*4025*20161223*"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153-23 --locoid 4025 --swversion DE.1.0.8.0 --startMP 204:369 --initTime 2016-12-23T10:08:01 --startdatetime 2016-12-23T10:15:21 --delay 1 --endMP 204:233312 --enddatetime 2016-12-23T10:51:00 --enforcementcount 0 &gt;&gt;C:\Users\stu\Documents\GitHub\eaglep3-reporting\EC\2016-12-23-refined-times.txt</v>
      </c>
      <c r="AI6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{"issue":{"subject":"","project_id":79,"tracker_id":40,"status_id":1,"priority_id":2,"assigned_to_id":23,"start_date":"2016-12-23","description":"","custom_fields":[{"id":1,"name":"Subdivision","value":"EC"},{"id":4,"name":"Milepost","value":"23.3312"},{"id":17,"name":"Train ID","value":"153-23"},{"id":16,"name":"Locomotive ID","value":"4025"},{"id":130,"name":"Impact","value":""},{"id":150,"name":"Time of Event (Mountain Time)","value":"10:51:00"},{"id":151,"name":"Denver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547</v>
      </c>
      <c r="B66" s="7">
        <v>4026</v>
      </c>
      <c r="C66" s="22" t="s">
        <v>205</v>
      </c>
      <c r="D66" s="22" t="s">
        <v>257</v>
      </c>
      <c r="E66" s="13">
        <v>42727.461423611108</v>
      </c>
      <c r="F66" s="13">
        <v>42727.466458333336</v>
      </c>
      <c r="G66" s="7">
        <v>1</v>
      </c>
      <c r="H66" s="22" t="s">
        <v>244</v>
      </c>
      <c r="I66" s="13">
        <v>42727.493657407409</v>
      </c>
      <c r="J66" s="7">
        <v>0</v>
      </c>
      <c r="K66" s="109" t="str">
        <f t="shared" si="0"/>
        <v>4025/4026</v>
      </c>
      <c r="L66" s="22" t="str">
        <f>VLOOKUP(A66,'Trips&amp;Operators'!$C$1:$G$99999,5,FALSE)</f>
        <v>BONDS REYNALDO</v>
      </c>
      <c r="M66" s="6">
        <f t="shared" si="1"/>
        <v>2.7199074072996154E-2</v>
      </c>
      <c r="N66" s="7">
        <f t="shared" si="2"/>
        <v>39.166666665114462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8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10:04:27-700',mode:absolute,to:'2016-12-23 12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6"/>
        <v>N</v>
      </c>
      <c r="X66" s="189">
        <f t="shared" si="7"/>
        <v>1</v>
      </c>
      <c r="Y66" s="67">
        <f t="shared" si="8"/>
        <v>23.299399999999999</v>
      </c>
      <c r="Z66" s="67">
        <f t="shared" si="9"/>
        <v>1.6299999999999999E-2</v>
      </c>
      <c r="AA66" s="67">
        <f t="shared" si="10"/>
        <v>23.283099999999997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0154-23</v>
      </c>
      <c r="AE66" s="91" t="str">
        <f t="shared" si="12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66" s="88" t="str">
        <f t="shared" si="13"/>
        <v>"C:\Program Files (x86)\AstroGrep\AstroGrep.exe" /spath="%USERPROFILE%\AppData\Local\Temp\OnboardLogs" /stypes="app*4026*20161223*"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154-23 --locoid 4026 --swversion DE.1.0.8.0 --startMP 204:232994 --initTime 2016-12-23T11:04:27 --startdatetime 2016-12-23T11:11:42 --delay 1 --endMP 204:163 --enddatetime 2016-12-23T11:50:52 --enforcementcount 0 &gt;&gt;C:\Users\stu\Documents\GitHub\eaglep3-reporting\EC\2016-12-23-refined-times.txt</v>
      </c>
      <c r="AI6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{"issue":{"subject":"","project_id":79,"tracker_id":40,"status_id":1,"priority_id":2,"assigned_to_id":23,"start_date":"2016-12-23","description":"","custom_fields":[{"id":1,"name":"Subdivision","value":"EC"},{"id":4,"name":"Milepost","value":"0.0163"},{"id":17,"name":"Train ID","value":"154-23"},{"id":16,"name":"Locomotive ID","value":"4026"},{"id":130,"name":"Impact","value":""},{"id":150,"name":"Time of Event (Mountain Time)","value":"11:50:52"},{"id":151,"name":"Denver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538</v>
      </c>
      <c r="B67" s="7">
        <v>4042</v>
      </c>
      <c r="C67" s="22" t="s">
        <v>205</v>
      </c>
      <c r="D67" s="22" t="s">
        <v>242</v>
      </c>
      <c r="E67" s="13">
        <v>42727.433368055557</v>
      </c>
      <c r="F67" s="13">
        <v>42727.437789351854</v>
      </c>
      <c r="G67" s="7">
        <v>6</v>
      </c>
      <c r="H67" s="22" t="s">
        <v>318</v>
      </c>
      <c r="I67" s="13">
        <v>42727.461851851855</v>
      </c>
      <c r="J67" s="7">
        <v>0</v>
      </c>
      <c r="K67" s="109" t="str">
        <f t="shared" si="0"/>
        <v>4041/4042</v>
      </c>
      <c r="L67" s="22" t="str">
        <f>VLOOKUP(A67,'Trips&amp;Operators'!$C$1:$G$99999,5,FALSE)</f>
        <v>GEBRETEKLE DAGNEW</v>
      </c>
      <c r="M67" s="6">
        <f t="shared" si="1"/>
        <v>2.4062500000582077E-2</v>
      </c>
      <c r="N67" s="7">
        <f t="shared" si="2"/>
        <v>34.65000000083819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8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09:24:03-700',mode:absolute,to:'2016-12-23 12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7" s="52" t="str">
        <f t="shared" si="6"/>
        <v>N</v>
      </c>
      <c r="X67" s="189">
        <f t="shared" si="7"/>
        <v>1</v>
      </c>
      <c r="Y67" s="67">
        <f t="shared" si="8"/>
        <v>4.58E-2</v>
      </c>
      <c r="Z67" s="67">
        <f t="shared" si="9"/>
        <v>23.330100000000002</v>
      </c>
      <c r="AA67" s="67">
        <f t="shared" si="10"/>
        <v>23.284300000000002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0155-23</v>
      </c>
      <c r="AE67" s="91" t="str">
        <f t="shared" si="12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67" s="88" t="str">
        <f t="shared" si="13"/>
        <v>"C:\Program Files (x86)\AstroGrep\AstroGrep.exe" /spath="%USERPROFILE%\AppData\Local\Temp\OnboardLogs" /stypes="app*4042*20161223*"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155-23 --locoid 4042 --swversion DE.1.0.8.0 --startMP 204:458 --initTime 2016-12-23T10:24:03 --startdatetime 2016-12-23T10:30:25 --delay 6 --endMP 204:233301 --enddatetime 2016-12-23T11:05:04 --enforcementcount 0 &gt;&gt;C:\Users\stu\Documents\GitHub\eaglep3-reporting\EC\2016-12-23-refined-times.txt</v>
      </c>
      <c r="AI6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ID","value":"155-23"},{"id":16,"name":"Locomotive ID","value":"4042"},{"id":130,"name":"Impact","value":""},{"id":150,"name":"Time of Event (Mountain Time)","value":"11:05:04"},{"id":151,"name":"Denver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439</v>
      </c>
      <c r="B68" s="7">
        <v>4041</v>
      </c>
      <c r="C68" s="22" t="s">
        <v>205</v>
      </c>
      <c r="D68" s="22" t="s">
        <v>347</v>
      </c>
      <c r="E68" s="13">
        <v>42727.467152777775</v>
      </c>
      <c r="F68" s="13">
        <v>42727.476585648146</v>
      </c>
      <c r="G68" s="7">
        <v>1</v>
      </c>
      <c r="H68" s="22" t="s">
        <v>267</v>
      </c>
      <c r="I68" s="13">
        <v>42727.511805555558</v>
      </c>
      <c r="J68" s="7">
        <v>0</v>
      </c>
      <c r="K68" s="109" t="str">
        <f t="shared" si="0"/>
        <v>4041/4042</v>
      </c>
      <c r="L68" s="22" t="str">
        <f>VLOOKUP(A68,'Trips&amp;Operators'!$C$1:$G$99999,5,FALSE)</f>
        <v>GEBRETEKLE DAGNEW</v>
      </c>
      <c r="M68" s="6">
        <f t="shared" si="1"/>
        <v>3.5219907411374152E-2</v>
      </c>
      <c r="N68" s="7">
        <f t="shared" si="2"/>
        <v>50.716666672378778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8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10:12:42-700',mode:absolute,to:'2016-12-23 13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8" s="52" t="str">
        <f t="shared" si="6"/>
        <v>N</v>
      </c>
      <c r="X68" s="189">
        <f t="shared" si="7"/>
        <v>1</v>
      </c>
      <c r="Y68" s="67">
        <f t="shared" si="8"/>
        <v>23.296700000000001</v>
      </c>
      <c r="Z68" s="67">
        <f t="shared" si="9"/>
        <v>1.61E-2</v>
      </c>
      <c r="AA68" s="67">
        <f t="shared" si="10"/>
        <v>23.2806</v>
      </c>
      <c r="AB68" s="64" t="str">
        <f>VLOOKUP(A68,Enforcements!$C$7:$K$19,8,0)</f>
        <v>Signal based authority (5)</v>
      </c>
      <c r="AC68" s="60" t="str">
        <f>VLOOKUP(A68,Enforcements!$C$7:$E$19,3,0)</f>
        <v>SIGNAL</v>
      </c>
      <c r="AD68" s="61" t="str">
        <f t="shared" si="11"/>
        <v>0156-23</v>
      </c>
      <c r="AE68" s="91" t="str">
        <f t="shared" si="12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68" s="88" t="str">
        <f t="shared" si="13"/>
        <v>"C:\Program Files (x86)\AstroGrep\AstroGrep.exe" /spath="%USERPROFILE%\AppData\Local\Temp\OnboardLogs" /stypes="app*4041*20161223*"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156-23 --locoid 4041 --swversion DE.1.0.8.0 --startMP 204:232967 --initTime 2016-12-23T11:12:42 --startdatetime 2016-12-23T11:26:17 --delay 1 --endMP 204:161 --enddatetime 2016-12-23T12:17:00 --enforcementcount 0 &gt;&gt;C:\Users\stu\Documents\GitHub\eaglep3-reporting\EC\2016-12-23-refined-times.txt</v>
      </c>
      <c r="AI68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ID","value":"156-23"},{"id":16,"name":"Locomotive ID","value":"4041"},{"id":130,"name":"Impact","value":""},{"id":150,"name":"Time of Event (Mountain Time)","value":"12:17:00"},{"id":151,"name":"Denver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540</v>
      </c>
      <c r="B69" s="7">
        <v>4031</v>
      </c>
      <c r="C69" s="22" t="s">
        <v>205</v>
      </c>
      <c r="D69" s="22" t="s">
        <v>269</v>
      </c>
      <c r="E69" s="13">
        <v>42727.445370370369</v>
      </c>
      <c r="F69" s="13">
        <v>42727.448541666665</v>
      </c>
      <c r="G69" s="7">
        <v>1</v>
      </c>
      <c r="H69" s="22" t="s">
        <v>340</v>
      </c>
      <c r="I69" s="13">
        <v>42727.474328703705</v>
      </c>
      <c r="J69" s="7">
        <v>0</v>
      </c>
      <c r="K69" s="109" t="str">
        <f t="shared" si="0"/>
        <v>4031/4032</v>
      </c>
      <c r="L69" s="22" t="str">
        <f>VLOOKUP(A69,'Trips&amp;Operators'!$C$1:$G$99999,5,FALSE)</f>
        <v>SIMONEAUX TERA</v>
      </c>
      <c r="M69" s="6">
        <f t="shared" si="1"/>
        <v>2.5787037040572613E-2</v>
      </c>
      <c r="N69" s="7">
        <f t="shared" si="2"/>
        <v>37.133333338424563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8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09:41:20-700',mode:absolute,to:'2016-12-23 12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9" s="52" t="str">
        <f t="shared" si="6"/>
        <v>N</v>
      </c>
      <c r="X69" s="189">
        <f t="shared" si="7"/>
        <v>1</v>
      </c>
      <c r="Y69" s="67">
        <f t="shared" si="8"/>
        <v>4.6199999999999998E-2</v>
      </c>
      <c r="Z69" s="67">
        <f t="shared" si="9"/>
        <v>23.3293</v>
      </c>
      <c r="AA69" s="67">
        <f t="shared" si="10"/>
        <v>23.283100000000001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0157-23</v>
      </c>
      <c r="AE69" s="91" t="str">
        <f t="shared" si="12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69" s="88" t="str">
        <f t="shared" si="13"/>
        <v>"C:\Program Files (x86)\AstroGrep\AstroGrep.exe" /spath="%USERPROFILE%\AppData\Local\Temp\OnboardLogs" /stypes="app*4031*20161223*"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157-23 --locoid 4031 --swversion DE.1.0.8.0 --startMP 204:462 --initTime 2016-12-23T10:41:20 --startdatetime 2016-12-23T10:45:54 --delay 1 --endMP 204:233293 --enddatetime 2016-12-23T11:23:02 --enforcementcount 0 &gt;&gt;C:\Users\stu\Documents\GitHub\eaglep3-reporting\EC\2016-12-23-refined-times.txt</v>
      </c>
      <c r="AI69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ID","value":"157-23"},{"id":16,"name":"Locomotive ID","value":"4031"},{"id":130,"name":"Impact","value":""},{"id":150,"name":"Time of Event (Mountain Time)","value":"11:23:02"},{"id":151,"name":"Denver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554</v>
      </c>
      <c r="B70" s="7">
        <v>4032</v>
      </c>
      <c r="C70" s="22" t="s">
        <v>205</v>
      </c>
      <c r="D70" s="22" t="s">
        <v>710</v>
      </c>
      <c r="E70" s="13">
        <v>42727.481134259258</v>
      </c>
      <c r="F70" s="13">
        <v>42727.48709490741</v>
      </c>
      <c r="G70" s="7">
        <v>1</v>
      </c>
      <c r="H70" s="22" t="s">
        <v>711</v>
      </c>
      <c r="I70" s="13">
        <v>42727.518055555556</v>
      </c>
      <c r="J70" s="7">
        <v>0</v>
      </c>
      <c r="K70" s="109" t="str">
        <f t="shared" si="0"/>
        <v>4031/4032</v>
      </c>
      <c r="L70" s="22" t="str">
        <f>VLOOKUP(A70,'Trips&amp;Operators'!$C$1:$G$99999,5,FALSE)</f>
        <v>SIMONEAUX TERA</v>
      </c>
      <c r="M70" s="6">
        <f t="shared" si="1"/>
        <v>3.0960648145992309E-2</v>
      </c>
      <c r="N70" s="7">
        <f t="shared" si="2"/>
        <v>44.583333330228925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8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10:32:50-700',mode:absolute,to:'2016-12-23 13:26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0" s="52" t="str">
        <f t="shared" si="6"/>
        <v>N</v>
      </c>
      <c r="X70" s="189">
        <f t="shared" si="7"/>
        <v>1</v>
      </c>
      <c r="Y70" s="67">
        <f t="shared" si="8"/>
        <v>23.297599999999999</v>
      </c>
      <c r="Z70" s="67">
        <f t="shared" si="9"/>
        <v>1.5599999999999999E-2</v>
      </c>
      <c r="AA70" s="67">
        <f t="shared" si="10"/>
        <v>23.282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0158-23</v>
      </c>
      <c r="AE70" s="91" t="str">
        <f t="shared" si="12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70" s="88" t="str">
        <f t="shared" si="13"/>
        <v>"C:\Program Files (x86)\AstroGrep\AstroGrep.exe" /spath="%USERPROFILE%\AppData\Local\Temp\OnboardLogs" /stypes="app*4032*20161223*"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158-23 --locoid 4032 --swversion DE.1.0.8.0 --startMP 204:232976 --initTime 2016-12-23T11:32:50 --startdatetime 2016-12-23T11:41:25 --delay 1 --endMP 204:156 --enddatetime 2016-12-23T12:26:00 --enforcementcount 0 &gt;&gt;C:\Users\stu\Documents\GitHub\eaglep3-reporting\EC\2016-12-23-refined-times.txt</v>
      </c>
      <c r="AI70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ID","value":"158-23"},{"id":16,"name":"Locomotive ID","value":"4032"},{"id":130,"name":"Impact","value":""},{"id":150,"name":"Time of Event (Mountain Time)","value":"12:26:00"},{"id":151,"name":"Denver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544</v>
      </c>
      <c r="B71" s="7">
        <v>4011</v>
      </c>
      <c r="C71" s="22" t="s">
        <v>205</v>
      </c>
      <c r="D71" s="22" t="s">
        <v>712</v>
      </c>
      <c r="E71" s="13">
        <v>42727.45480324074</v>
      </c>
      <c r="F71" s="13">
        <v>42727.458738425928</v>
      </c>
      <c r="G71" s="7">
        <v>2</v>
      </c>
      <c r="H71" s="22" t="s">
        <v>339</v>
      </c>
      <c r="I71" s="13">
        <v>42727.484178240738</v>
      </c>
      <c r="J71" s="7">
        <v>0</v>
      </c>
      <c r="K71" s="109" t="str">
        <f t="shared" si="0"/>
        <v>4011/4012</v>
      </c>
      <c r="L71" s="22" t="str">
        <f>VLOOKUP(A71,'Trips&amp;Operators'!$C$1:$G$99999,5,FALSE)</f>
        <v>STEWART MICHAEL</v>
      </c>
      <c r="M71" s="6">
        <f t="shared" si="1"/>
        <v>2.5439814809942618E-2</v>
      </c>
      <c r="N71" s="7">
        <f t="shared" si="2"/>
        <v>36.63333332631737</v>
      </c>
      <c r="O71" s="7"/>
      <c r="P71" s="7"/>
      <c r="Q71" s="23"/>
      <c r="R71" s="23"/>
      <c r="S71" s="35">
        <f t="shared" si="3"/>
        <v>1</v>
      </c>
      <c r="T71" s="50" t="str">
        <f t="shared" si="4"/>
        <v>NorthBound</v>
      </c>
      <c r="U71" s="18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09:54:55-700',mode:absolute,to:'2016-12-23 12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1" s="52" t="str">
        <f t="shared" si="6"/>
        <v>N</v>
      </c>
      <c r="X71" s="189">
        <f t="shared" si="7"/>
        <v>1</v>
      </c>
      <c r="Y71" s="67">
        <f t="shared" si="8"/>
        <v>5.3699999999999998E-2</v>
      </c>
      <c r="Z71" s="67">
        <f t="shared" si="9"/>
        <v>23.331199999999999</v>
      </c>
      <c r="AA71" s="67">
        <f t="shared" si="10"/>
        <v>23.2775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0159-23</v>
      </c>
      <c r="AE71" s="91" t="str">
        <f t="shared" si="12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71" s="88" t="str">
        <f t="shared" si="13"/>
        <v>"C:\Program Files (x86)\AstroGrep\AstroGrep.exe" /spath="%USERPROFILE%\AppData\Local\Temp\OnboardLogs" /stypes="app*4011*20161223*"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159-23 --locoid 4011 --swversion DE.1.0.8.0 --startMP 204:537 --initTime 2016-12-23T10:54:55 --startdatetime 2016-12-23T11:00:35 --delay 2 --endMP 204:233312 --enddatetime 2016-12-23T11:37:13 --enforcementcount 0 &gt;&gt;C:\Users\stu\Documents\GitHub\eaglep3-reporting\EC\2016-12-23-refined-times.txt</v>
      </c>
      <c r="AI71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{"issue":{"subject":"","project_id":79,"tracker_id":40,"status_id":1,"priority_id":2,"assigned_to_id":23,"start_date":"2016-12-23","description":"","custom_fields":[{"id":1,"name":"Subdivision","value":"EC"},{"id":4,"name":"Milepost","value":"23.3312"},{"id":17,"name":"Train ID","value":"159-23"},{"id":16,"name":"Locomotive ID","value":"4011"},{"id":130,"name":"Impact","value":""},{"id":150,"name":"Time of Event (Mountain Time)","value":"11:37:13"},{"id":151,"name":"Denver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557</v>
      </c>
      <c r="B72" s="7">
        <v>4012</v>
      </c>
      <c r="C72" s="22" t="s">
        <v>205</v>
      </c>
      <c r="D72" s="22" t="s">
        <v>266</v>
      </c>
      <c r="E72" s="13">
        <v>42727.493842592594</v>
      </c>
      <c r="F72" s="13">
        <v>42727.497511574074</v>
      </c>
      <c r="G72" s="7">
        <v>2</v>
      </c>
      <c r="H72" s="22" t="s">
        <v>711</v>
      </c>
      <c r="I72" s="13">
        <v>42727.527997685182</v>
      </c>
      <c r="J72" s="7">
        <v>0</v>
      </c>
      <c r="K72" s="109" t="str">
        <f t="shared" si="0"/>
        <v>4011/4012</v>
      </c>
      <c r="L72" s="22" t="str">
        <f>VLOOKUP(A72,'Trips&amp;Operators'!$C$1:$G$99999,5,FALSE)</f>
        <v>STEWART MICHAEL</v>
      </c>
      <c r="M72" s="6">
        <f t="shared" si="1"/>
        <v>3.0486111107165925E-2</v>
      </c>
      <c r="N72" s="7">
        <f t="shared" si="2"/>
        <v>43.899999994318932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8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10:51:08-700',mode:absolute,to:'2016-12-23 13:40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2" s="52" t="str">
        <f t="shared" si="6"/>
        <v>N</v>
      </c>
      <c r="X72" s="189">
        <f t="shared" si="7"/>
        <v>1</v>
      </c>
      <c r="Y72" s="67">
        <f t="shared" si="8"/>
        <v>23.297699999999999</v>
      </c>
      <c r="Z72" s="67">
        <f t="shared" si="9"/>
        <v>1.5599999999999999E-2</v>
      </c>
      <c r="AA72" s="67">
        <f t="shared" si="10"/>
        <v>23.2821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0160-23</v>
      </c>
      <c r="AE72" s="91" t="str">
        <f t="shared" si="12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72" s="88" t="str">
        <f t="shared" si="13"/>
        <v>"C:\Program Files (x86)\AstroGrep\AstroGrep.exe" /spath="%USERPROFILE%\AppData\Local\Temp\OnboardLogs" /stypes="app*4012*20161223*"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160-23 --locoid 4012 --swversion DE.1.0.8.0 --startMP 204:232977 --initTime 2016-12-23T11:51:08 --startdatetime 2016-12-23T11:56:25 --delay 2 --endMP 204:156 --enddatetime 2016-12-23T12:40:19 --enforcementcount 0 &gt;&gt;C:\Users\stu\Documents\GitHub\eaglep3-reporting\EC\2016-12-23-refined-times.txt</v>
      </c>
      <c r="AI72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ID","value":"160-23"},{"id":16,"name":"Locomotive ID","value":"4012"},{"id":130,"name":"Impact","value":""},{"id":150,"name":"Time of Event (Mountain Time)","value":"12:40:19"},{"id":151,"name":"Denver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548</v>
      </c>
      <c r="B73" s="7">
        <v>4016</v>
      </c>
      <c r="C73" s="22" t="s">
        <v>205</v>
      </c>
      <c r="D73" s="22" t="s">
        <v>228</v>
      </c>
      <c r="E73" s="13">
        <v>42727.464189814818</v>
      </c>
      <c r="F73" s="13">
        <v>42727.468958333331</v>
      </c>
      <c r="G73" s="7">
        <v>2</v>
      </c>
      <c r="H73" s="22" t="s">
        <v>713</v>
      </c>
      <c r="I73" s="13">
        <v>42727.493356481478</v>
      </c>
      <c r="J73" s="7">
        <v>0</v>
      </c>
      <c r="K73" s="109" t="str">
        <f t="shared" si="0"/>
        <v>4015/4016</v>
      </c>
      <c r="L73" s="22" t="str">
        <f>VLOOKUP(A73,'Trips&amp;Operators'!$C$1:$G$99999,5,FALSE)</f>
        <v>DE LA ROSA ALEX</v>
      </c>
      <c r="M73" s="6">
        <f t="shared" si="1"/>
        <v>2.4398148147156462E-2</v>
      </c>
      <c r="N73" s="7">
        <f t="shared" si="2"/>
        <v>35.133333331905305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8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10:08:26-700',mode:absolute,to:'2016-12-23 12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3" s="52" t="str">
        <f t="shared" si="6"/>
        <v>N</v>
      </c>
      <c r="X73" s="189">
        <f t="shared" si="7"/>
        <v>1</v>
      </c>
      <c r="Y73" s="67">
        <f t="shared" si="8"/>
        <v>4.5499999999999999E-2</v>
      </c>
      <c r="Z73" s="67">
        <f t="shared" si="9"/>
        <v>23.331700000000001</v>
      </c>
      <c r="AA73" s="67">
        <f t="shared" si="10"/>
        <v>23.286200000000001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0161-23</v>
      </c>
      <c r="AE73" s="91" t="str">
        <f t="shared" si="12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73" s="88" t="str">
        <f t="shared" si="13"/>
        <v>"C:\Program Files (x86)\AstroGrep\AstroGrep.exe" /spath="%USERPROFILE%\AppData\Local\Temp\OnboardLogs" /stypes="app*4016*20161223*"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161-23 --locoid 4016 --swversion DE.1.0.8.0 --startMP 204:455 --initTime 2016-12-23T11:08:26 --startdatetime 2016-12-23T11:15:18 --delay 2 --endMP 204:233317 --enddatetime 2016-12-23T11:50:26 --enforcementcount 0 &gt;&gt;C:\Users\stu\Documents\GitHub\eaglep3-reporting\EC\2016-12-23-refined-times.txt</v>
      </c>
      <c r="AI73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{"issue":{"subject":"","project_id":79,"tracker_id":40,"status_id":1,"priority_id":2,"assigned_to_id":23,"start_date":"2016-12-23","description":"","custom_fields":[{"id":1,"name":"Subdivision","value":"EC"},{"id":4,"name":"Milepost","value":"23.3317"},{"id":17,"name":"Train ID","value":"161-23"},{"id":16,"name":"Locomotive ID","value":"4016"},{"id":130,"name":"Impact","value":""},{"id":150,"name":"Time of Event (Mountain Time)","value":"11:50:26"},{"id":151,"name":"Denver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560</v>
      </c>
      <c r="B74" s="7">
        <v>4015</v>
      </c>
      <c r="C74" s="22" t="s">
        <v>205</v>
      </c>
      <c r="D74" s="22" t="s">
        <v>270</v>
      </c>
      <c r="E74" s="13">
        <v>42727.505578703705</v>
      </c>
      <c r="F74" s="13">
        <v>42727.507986111108</v>
      </c>
      <c r="G74" s="7">
        <v>1</v>
      </c>
      <c r="H74" s="22" t="s">
        <v>261</v>
      </c>
      <c r="I74" s="13">
        <v>42727.536597222221</v>
      </c>
      <c r="J74" s="7">
        <v>0</v>
      </c>
      <c r="K74" s="109" t="str">
        <f t="shared" si="0"/>
        <v>4015/4016</v>
      </c>
      <c r="L74" s="22" t="str">
        <f>VLOOKUP(A74,'Trips&amp;Operators'!$C$1:$G$99999,5,FALSE)</f>
        <v>DE LA ROSA ALEX</v>
      </c>
      <c r="M74" s="6">
        <f t="shared" si="1"/>
        <v>2.8611111112695653E-2</v>
      </c>
      <c r="N74" s="7">
        <f t="shared" si="2"/>
        <v>41.20000000228174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8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11:08:02-700',mode:absolute,to:'2016-12-23 13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4" s="52" t="str">
        <f t="shared" si="6"/>
        <v>N</v>
      </c>
      <c r="X74" s="189">
        <f t="shared" si="7"/>
        <v>1</v>
      </c>
      <c r="Y74" s="67">
        <f t="shared" si="8"/>
        <v>23.299299999999999</v>
      </c>
      <c r="Z74" s="67">
        <f t="shared" si="9"/>
        <v>1.47E-2</v>
      </c>
      <c r="AA74" s="67">
        <f t="shared" si="10"/>
        <v>23.284599999999998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0162-23</v>
      </c>
      <c r="AE74" s="91" t="str">
        <f t="shared" si="12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74" s="88" t="str">
        <f t="shared" si="13"/>
        <v>"C:\Program Files (x86)\AstroGrep\AstroGrep.exe" /spath="%USERPROFILE%\AppData\Local\Temp\OnboardLogs" /stypes="app*4015*20161223*"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162-23 --locoid 4015 --swversion DE.1.0.8.0 --startMP 204:232993 --initTime 2016-12-23T12:08:02 --startdatetime 2016-12-23T12:11:30 --delay 1 --endMP 204:147 --enddatetime 2016-12-23T12:52:42 --enforcementcount 0 &gt;&gt;C:\Users\stu\Documents\GitHub\eaglep3-reporting\EC\2016-12-23-refined-times.txt</v>
      </c>
      <c r="AI74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{"issue":{"subject":"","project_id":79,"tracker_id":40,"status_id":1,"priority_id":2,"assigned_to_id":23,"start_date":"2016-12-23","description":"","custom_fields":[{"id":1,"name":"Subdivision","value":"EC"},{"id":4,"name":"Milepost","value":"0.0147"},{"id":17,"name":"Train ID","value":"162-23"},{"id":16,"name":"Locomotive ID","value":"4015"},{"id":130,"name":"Impact","value":""},{"id":150,"name":"Time of Event (Mountain Time)","value":"12:52:42"},{"id":151,"name":"Denver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551</v>
      </c>
      <c r="B75" s="7">
        <v>4051</v>
      </c>
      <c r="C75" s="22" t="s">
        <v>205</v>
      </c>
      <c r="D75" s="22" t="s">
        <v>255</v>
      </c>
      <c r="E75" s="13">
        <v>42727.476597222223</v>
      </c>
      <c r="F75" s="13">
        <v>42727.479351851849</v>
      </c>
      <c r="G75" s="7">
        <v>1</v>
      </c>
      <c r="H75" s="22" t="s">
        <v>714</v>
      </c>
      <c r="I75" s="13">
        <v>42727.505914351852</v>
      </c>
      <c r="J75" s="7">
        <v>0</v>
      </c>
      <c r="K75" s="109" t="str">
        <f t="shared" si="0"/>
        <v>4051/4052</v>
      </c>
      <c r="L75" s="22" t="str">
        <f>VLOOKUP(A75,'Trips&amp;Operators'!$C$1:$G$99999,5,FALSE)</f>
        <v>CLARK KATHLEEN</v>
      </c>
      <c r="M75" s="6">
        <f t="shared" si="1"/>
        <v>2.6562500002910383E-2</v>
      </c>
      <c r="N75" s="7">
        <f t="shared" si="2"/>
        <v>38.250000004190952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8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10:26:18-700',mode:absolute,to:'2016-12-23 13:08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5" s="52" t="str">
        <f t="shared" si="6"/>
        <v>N</v>
      </c>
      <c r="X75" s="189">
        <f t="shared" si="7"/>
        <v>1</v>
      </c>
      <c r="Y75" s="67">
        <f t="shared" si="8"/>
        <v>4.53E-2</v>
      </c>
      <c r="Z75" s="67">
        <f t="shared" si="9"/>
        <v>23.328399999999998</v>
      </c>
      <c r="AA75" s="67">
        <f t="shared" si="10"/>
        <v>23.283099999999997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0163-23</v>
      </c>
      <c r="AE75" s="91" t="str">
        <f t="shared" si="12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75" s="88" t="str">
        <f t="shared" si="13"/>
        <v>"C:\Program Files (x86)\AstroGrep\AstroGrep.exe" /spath="%USERPROFILE%\AppData\Local\Temp\OnboardLogs" /stypes="app*4051*20161223*"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163-23 --locoid 4051 --swversion DE.1.0.8.0 --startMP 204:453 --initTime 2016-12-23T11:26:18 --startdatetime 2016-12-23T11:30:16 --delay 1 --endMP 204:233284 --enddatetime 2016-12-23T12:08:31 --enforcementcount 0 &gt;&gt;C:\Users\stu\Documents\GitHub\eaglep3-reporting\EC\2016-12-23-refined-times.txt</v>
      </c>
      <c r="AI75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{"issue":{"subject":"","project_id":79,"tracker_id":40,"status_id":1,"priority_id":2,"assigned_to_id":23,"start_date":"2016-12-23","description":"","custom_fields":[{"id":1,"name":"Subdivision","value":"EC"},{"id":4,"name":"Milepost","value":"23.3284"},{"id":17,"name":"Train ID","value":"163-23"},{"id":16,"name":"Locomotive ID","value":"4051"},{"id":130,"name":"Impact","value":""},{"id":150,"name":"Time of Event (Mountain Time)","value":"12:08:31"},{"id":151,"name":"Denver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565</v>
      </c>
      <c r="B76" s="7">
        <v>4052</v>
      </c>
      <c r="C76" s="22" t="s">
        <v>205</v>
      </c>
      <c r="D76" s="22" t="s">
        <v>715</v>
      </c>
      <c r="E76" s="13">
        <v>42727.512939814813</v>
      </c>
      <c r="F76" s="13">
        <v>42727.518437500003</v>
      </c>
      <c r="G76" s="7">
        <v>1</v>
      </c>
      <c r="H76" s="22" t="s">
        <v>716</v>
      </c>
      <c r="I76" s="13">
        <v>42727.550439814811</v>
      </c>
      <c r="J76" s="7">
        <v>0</v>
      </c>
      <c r="K76" s="109" t="str">
        <f t="shared" si="0"/>
        <v>4051/4052</v>
      </c>
      <c r="L76" s="22" t="str">
        <f>VLOOKUP(A76,'Trips&amp;Operators'!$C$1:$G$99999,5,FALSE)</f>
        <v>CLARK KATHLEEN</v>
      </c>
      <c r="M76" s="6">
        <f t="shared" si="1"/>
        <v>3.2002314808778465E-2</v>
      </c>
      <c r="N76" s="7">
        <f t="shared" si="2"/>
        <v>46.083333324640989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8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https://search-rtdc-monitor-bjffxe2xuh6vdkpspy63sjmuny.us-east-1.es.amazonaws.com/_plugin/kibana/#/discover/Steve-Slow-Train-Analysis-(2080s-and-2083s)?_g=(refreshInterval:(display:Off,section:0,value:0),time:(from:'2016-12-23 11:18:38-700',mode:absolute,to:'2016-12-23 14:12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6" s="52" t="str">
        <f t="shared" si="6"/>
        <v>N</v>
      </c>
      <c r="X76" s="189">
        <f t="shared" si="7"/>
        <v>1</v>
      </c>
      <c r="Y76" s="67">
        <f t="shared" si="8"/>
        <v>23.2957</v>
      </c>
      <c r="Z76" s="67">
        <f t="shared" si="9"/>
        <v>1.7999999999999999E-2</v>
      </c>
      <c r="AA76" s="67">
        <f t="shared" si="10"/>
        <v>23.277699999999999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0164-23</v>
      </c>
      <c r="AE76" s="91" t="str">
        <f t="shared" si="12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76" s="88" t="str">
        <f t="shared" si="13"/>
        <v>"C:\Program Files (x86)\AstroGrep\AstroGrep.exe" /spath="%USERPROFILE%\AppData\Local\Temp\OnboardLogs" /stypes="app*4052*20161223*"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164-23 --locoid 4052 --swversion DE.1.0.8.0 --startMP 204:232957 --initTime 2016-12-23T12:18:38 --startdatetime 2016-12-23T12:26:33 --delay 1 --endMP 204:180 --enddatetime 2016-12-23T13:12:38 --enforcementcount 0 &gt;&gt;C:\Users\stu\Documents\GitHub\eaglep3-reporting\EC\2016-12-23-refined-times.txt</v>
      </c>
      <c r="AI76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{"issue":{"subject":"","project_id":79,"tracker_id":40,"status_id":1,"priority_id":2,"assigned_to_id":23,"start_date":"2016-12-23","description":"","custom_fields":[{"id":1,"name":"Subdivision","value":"EC"},{"id":4,"name":"Milepost","value":"0.018"},{"id":17,"name":"Train ID","value":"164-23"},{"id":16,"name":"Locomotive ID","value":"4052"},{"id":130,"name":"Impact","value":""},{"id":150,"name":"Time of Event (Mountain Time)","value":"13:12:38"},{"id":151,"name":"Denver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556</v>
      </c>
      <c r="B77" s="7">
        <v>4007</v>
      </c>
      <c r="C77" s="22" t="s">
        <v>205</v>
      </c>
      <c r="D77" s="22" t="s">
        <v>285</v>
      </c>
      <c r="E77" s="13">
        <v>42727.48673611111</v>
      </c>
      <c r="F77" s="13">
        <v>42727.489861111113</v>
      </c>
      <c r="G77" s="7">
        <v>2</v>
      </c>
      <c r="H77" s="22" t="s">
        <v>698</v>
      </c>
      <c r="I77" s="13">
        <v>42727.517152777778</v>
      </c>
      <c r="J77" s="7">
        <v>0</v>
      </c>
      <c r="K77" s="109" t="str">
        <f t="shared" ref="K77:K140" si="19">IF(ISEVEN(B77),(B77-1)&amp;"/"&amp;B77,B77&amp;"/"&amp;(B77+1))</f>
        <v>4007/4008</v>
      </c>
      <c r="L77" s="22" t="str">
        <f>VLOOKUP(A77,'Trips&amp;Operators'!$C$1:$G$99999,5,FALSE)</f>
        <v>BRUDER RICHARD</v>
      </c>
      <c r="M77" s="6">
        <f t="shared" ref="M77:M140" si="20">I77-F77</f>
        <v>2.7291666665405501E-2</v>
      </c>
      <c r="N77" s="7">
        <f t="shared" ref="N77:N140" si="21">24*60*SUM($M77:$M77)</f>
        <v>39.299999998183921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NorthBound</v>
      </c>
      <c r="U77" s="18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https://search-rtdc-monitor-bjffxe2xuh6vdkpspy63sjmuny.us-east-1.es.amazonaws.com/_plugin/kibana/#/discover/Steve-Slow-Train-Analysis-(2080s-and-2083s)?_g=(refreshInterval:(display:Off,section:0,value:0),time:(from:'2016-12-23 10:40:54-700',mode:absolute,to:'2016-12-23 13:24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7" s="52" t="str">
        <f t="shared" ref="W77:W140" si="25">IF(AA77&lt;IF(AG77="EC",23,5.65),"Y","N")</f>
        <v>N</v>
      </c>
      <c r="X77" s="189">
        <f t="shared" ref="X77:X140" si="26">VALUE(LEFT(AD77,4))-VALUE(LEFT(AD76,4))</f>
        <v>1</v>
      </c>
      <c r="Y77" s="67">
        <f t="shared" ref="Y77:Y140" si="27">RIGHT(D77,LEN(D77)-4)/10000</f>
        <v>4.4900000000000002E-2</v>
      </c>
      <c r="Z77" s="67">
        <f t="shared" ref="Z77:Z140" si="28">RIGHT(H77,LEN(H77)-4)/10000</f>
        <v>23.331499999999998</v>
      </c>
      <c r="AA77" s="67">
        <f t="shared" ref="AA77:AA140" si="29">ABS(Z77-Y77)</f>
        <v>23.2866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0">IF(LEN(A77)=6,"0"&amp;A77,A77)</f>
        <v>0165-23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/stypes="app*4007*20161223*" /stext=" 19:.+((SYSTEM_STATE.+slice.+state.+changed )|(ment ac)|(multiple cpu faults)|(system.+state.+changed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165-23 --locoid 4007 --swversion DE.1.0.8.0 --startMP 204:449 --initTime 2016-12-23T11:40:54 --startdatetime 2016-12-23T11:45:24 --delay 2 --endMP 204:233315 --enddatetime 2016-12-23T12:24:42 --enforcementcount 0 &gt;&gt;C:\Users\stu\Documents\GitHub\eaglep3-reporting\EC\2016-12-23-refined-times.txt</v>
      </c>
      <c r="AI77" s="119" t="str">
        <f t="shared" si="18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ID","value":"165-23"},{"id":16,"name":"Locomotive ID","value":"4007"},{"id":130,"name":"Impact","value":""},{"id":150,"name":"Time of Event (Mountain Time)","value":"12:24:42"},{"id":151,"name":"Denver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440</v>
      </c>
      <c r="B78" s="7">
        <v>4008</v>
      </c>
      <c r="C78" s="22" t="s">
        <v>205</v>
      </c>
      <c r="D78" s="22" t="s">
        <v>350</v>
      </c>
      <c r="E78" s="13">
        <v>42727.524733796294</v>
      </c>
      <c r="F78" s="13">
        <v>42727.528634259259</v>
      </c>
      <c r="G78" s="7">
        <v>1</v>
      </c>
      <c r="H78" s="22" t="s">
        <v>346</v>
      </c>
      <c r="I78" s="13">
        <v>42727.56</v>
      </c>
      <c r="J78" s="7">
        <v>0</v>
      </c>
      <c r="K78" s="109" t="str">
        <f t="shared" si="19"/>
        <v>4007/4008</v>
      </c>
      <c r="L78" s="22" t="str">
        <f>VLOOKUP(A78,'Trips&amp;Operators'!$C$1:$G$99999,5,FALSE)</f>
        <v>BRUDER RICHARD</v>
      </c>
      <c r="M78" s="6">
        <f t="shared" si="20"/>
        <v>3.1365740738692693E-2</v>
      </c>
      <c r="N78" s="7">
        <f t="shared" si="21"/>
        <v>45.166666663717479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8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11:35:37-700',mode:absolute,to:'2016-12-23 14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8" s="52" t="str">
        <f t="shared" si="25"/>
        <v>N</v>
      </c>
      <c r="X78" s="189">
        <f t="shared" si="26"/>
        <v>1</v>
      </c>
      <c r="Y78" s="67">
        <f t="shared" si="27"/>
        <v>23.3002</v>
      </c>
      <c r="Z78" s="67">
        <f t="shared" si="28"/>
        <v>1.52E-2</v>
      </c>
      <c r="AA78" s="67">
        <f t="shared" si="29"/>
        <v>23.285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0"/>
        <v>0166-23</v>
      </c>
      <c r="AE78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78" s="88" t="str">
        <f t="shared" si="32"/>
        <v>"C:\Program Files (x86)\AstroGrep\AstroGrep.exe" /spath="%USERPROFILE%\AppData\Local\Temp\OnboardLogs" /stypes="app*4008*20161223*" /stext=" 20:.+((SYSTEM_STATE.+slice.+state.+changed )|(ment ac)|(multiple cpu faults)|(system.+state.+changed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4008 --swversion DE.1.0.8.0 --startMP 204:233002 --initTime 2016-12-23T12:35:37 --startdatetime 2016-12-23T12:41:14 --delay 1 --endMP 204:152 --enddatetime 2016-12-23T13:26:24 --enforcementcount 0 &gt;&gt;C:\Users\stu\Documents\GitHub\eaglep3-reporting\EC\2016-12-23-refined-times.txt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{"issue":{"subject":"","project_id":79,"tracker_id":40,"status_id":1,"priority_id":2,"assigned_to_id":23,"start_date":"2016-12-23","description":"","custom_fields":[{"id":1,"name":"Subdivision","value":"EC"},{"id":4,"name":"Milepost","value":"0.0152"},{"id":17,"name":"Train ID","value":"166-23"},{"id":16,"name":"Locomotive ID","value":"4008"},{"id":130,"name":"Impact","value":""},{"id":150,"name":"Time of Event (Mountain Time)","value":"13:26:24"},{"id":151,"name":"Denver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4025</v>
      </c>
      <c r="C79" s="22" t="s">
        <v>205</v>
      </c>
      <c r="D79" s="22" t="s">
        <v>275</v>
      </c>
      <c r="E79" s="13">
        <v>42727.495567129627</v>
      </c>
      <c r="F79" s="13">
        <v>42727.501238425924</v>
      </c>
      <c r="G79" s="7">
        <v>1</v>
      </c>
      <c r="H79" s="22" t="s">
        <v>341</v>
      </c>
      <c r="I79" s="13">
        <v>42727.527118055557</v>
      </c>
      <c r="J79" s="7">
        <v>0</v>
      </c>
      <c r="K79" s="109" t="str">
        <f t="shared" si="19"/>
        <v>4025/4026</v>
      </c>
      <c r="L79" s="22" t="str">
        <f>VLOOKUP(A79,'Trips&amp;Operators'!$C$1:$G$99999,5,FALSE)</f>
        <v>HELVIE ADAM</v>
      </c>
      <c r="M79" s="6">
        <f t="shared" si="20"/>
        <v>2.587962963298196E-2</v>
      </c>
      <c r="N79" s="7">
        <f t="shared" si="21"/>
        <v>37.266666671494022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8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10:53:37-700',mode:absolute,to:'2016-12-23 13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25"/>
        <v>N</v>
      </c>
      <c r="X79" s="189">
        <f t="shared" si="26"/>
        <v>1</v>
      </c>
      <c r="Y79" s="67">
        <f t="shared" si="27"/>
        <v>4.7699999999999999E-2</v>
      </c>
      <c r="Z79" s="67">
        <f t="shared" si="28"/>
        <v>23.328800000000001</v>
      </c>
      <c r="AA79" s="67">
        <f t="shared" si="29"/>
        <v>23.281100000000002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0"/>
        <v>0167-23</v>
      </c>
      <c r="AE79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79" s="88" t="str">
        <f t="shared" si="32"/>
        <v>"C:\Program Files (x86)\AstroGrep\AstroGrep.exe" /spath="%USERPROFILE%\AppData\Local\Temp\OnboardLogs" /stypes="app*4025*20161223*" /stext=" 19:.+((SYSTEM_STATE.+slice.+state.+changed )|(ment ac)|(multiple cpu faults)|(system.+state.+changed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167-23 --locoid 4025 --swversion DE.1.0.8.0 --startMP 204:477 --initTime 2016-12-23T11:53:37 --startdatetime 2016-12-23T12:01:47 --delay 1 --endMP 204:233288 --enddatetime 2016-12-23T12:39:03 --enforcementcount 0 &gt;&gt;C:\Users\stu\Documents\GitHub\eaglep3-reporting\EC\2016-12-23-refined-times.txt</v>
      </c>
      <c r="AI7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{"issue":{"subject":"","project_id":79,"tracker_id":40,"status_id":1,"priority_id":2,"assigned_to_id":23,"start_date":"2016-12-23","description":"","custom_fields":[{"id":1,"name":"Subdivision","value":"EC"},{"id":4,"name":"Milepost","value":"23.3288"},{"id":17,"name":"Train ID","value":"167-23"},{"id":16,"name":"Locomotive ID","value":"4025"},{"id":130,"name":"Impact","value":""},{"id":150,"name":"Time of Event (Mountain Time)","value":"12:39:03"},{"id":151,"name":"Denver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571</v>
      </c>
      <c r="B80" s="7">
        <v>4026</v>
      </c>
      <c r="C80" s="22" t="s">
        <v>205</v>
      </c>
      <c r="D80" s="22" t="s">
        <v>717</v>
      </c>
      <c r="E80" s="13">
        <v>42727.536759259259</v>
      </c>
      <c r="F80" s="13">
        <v>42727.539386574077</v>
      </c>
      <c r="G80" s="7">
        <v>1</v>
      </c>
      <c r="H80" s="22" t="s">
        <v>268</v>
      </c>
      <c r="I80" s="13">
        <v>42727.566342592596</v>
      </c>
      <c r="J80" s="7">
        <v>0</v>
      </c>
      <c r="K80" s="109" t="str">
        <f t="shared" si="19"/>
        <v>4025/4026</v>
      </c>
      <c r="L80" s="22" t="str">
        <f>VLOOKUP(A80,'Trips&amp;Operators'!$C$1:$G$99999,5,FALSE)</f>
        <v>HELVIE ADAM</v>
      </c>
      <c r="M80" s="6">
        <f t="shared" si="20"/>
        <v>2.6956018518831115E-2</v>
      </c>
      <c r="N80" s="7">
        <f t="shared" si="21"/>
        <v>38.816666667116806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8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11:52:56-700',mode:absolute,to:'2016-12-23 14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25"/>
        <v>N</v>
      </c>
      <c r="X80" s="189">
        <f t="shared" si="26"/>
        <v>1</v>
      </c>
      <c r="Y80" s="67">
        <f t="shared" si="27"/>
        <v>23.296500000000002</v>
      </c>
      <c r="Z80" s="67">
        <f t="shared" si="28"/>
        <v>1.6E-2</v>
      </c>
      <c r="AA80" s="67">
        <f t="shared" si="29"/>
        <v>23.280500000000004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0"/>
        <v>0168-23</v>
      </c>
      <c r="AE80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80" s="88" t="str">
        <f t="shared" si="32"/>
        <v>"C:\Program Files (x86)\AstroGrep\AstroGrep.exe" /spath="%USERPROFILE%\AppData\Local\Temp\OnboardLogs" /stypes="app*4026*20161223*" /stext=" 20:.+((SYSTEM_STATE.+slice.+state.+changed )|(ment ac)|(multiple cpu faults)|(system.+state.+changed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168-23 --locoid 4026 --swversion DE.1.0.8.0 --startMP 204:232965 --initTime 2016-12-23T12:52:56 --startdatetime 2016-12-23T12:56:43 --delay 1 --endMP 204:160 --enddatetime 2016-12-23T13:35:32 --enforcementcount 0 &gt;&gt;C:\Users\stu\Documents\GitHub\eaglep3-reporting\EC\2016-12-23-refined-times.txt</v>
      </c>
      <c r="AI8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{"issue":{"subject":"","project_id":79,"tracker_id":40,"status_id":1,"priority_id":2,"assigned_to_id":23,"start_date":"2016-12-23","description":"","custom_fields":[{"id":1,"name":"Subdivision","value":"EC"},{"id":4,"name":"Milepost","value":"0.016"},{"id":17,"name":"Train ID","value":"168-23"},{"id":16,"name":"Locomotive ID","value":"4026"},{"id":130,"name":"Impact","value":""},{"id":150,"name":"Time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566</v>
      </c>
      <c r="B81" s="7">
        <v>4042</v>
      </c>
      <c r="C81" s="22" t="s">
        <v>205</v>
      </c>
      <c r="D81" s="22" t="s">
        <v>279</v>
      </c>
      <c r="E81" s="13">
        <v>42727.513043981482</v>
      </c>
      <c r="F81" s="13">
        <v>42727.514884259261</v>
      </c>
      <c r="G81" s="7">
        <v>1</v>
      </c>
      <c r="H81" s="22" t="s">
        <v>718</v>
      </c>
      <c r="I81" s="13">
        <v>42727.542685185188</v>
      </c>
      <c r="J81" s="7">
        <v>0</v>
      </c>
      <c r="K81" s="109" t="str">
        <f t="shared" si="19"/>
        <v>4041/4042</v>
      </c>
      <c r="L81" s="22" t="str">
        <f>VLOOKUP(A81,'Trips&amp;Operators'!$C$1:$G$99999,5,FALSE)</f>
        <v>KILLION DAVID</v>
      </c>
      <c r="M81" s="6">
        <f t="shared" si="20"/>
        <v>2.7800925927294884E-2</v>
      </c>
      <c r="N81" s="7">
        <f t="shared" si="21"/>
        <v>40.033333335304633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8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11:18:47-700',mode:absolute,to:'2016-12-23 14:01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1" s="52" t="str">
        <f t="shared" si="25"/>
        <v>N</v>
      </c>
      <c r="X81" s="189">
        <f t="shared" si="26"/>
        <v>1</v>
      </c>
      <c r="Y81" s="67">
        <f t="shared" si="27"/>
        <v>4.3999999999999997E-2</v>
      </c>
      <c r="Z81" s="67">
        <f t="shared" si="28"/>
        <v>23.327999999999999</v>
      </c>
      <c r="AA81" s="67">
        <f t="shared" si="29"/>
        <v>23.283999999999999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0"/>
        <v>0169-23</v>
      </c>
      <c r="AE81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81" s="88" t="str">
        <f t="shared" si="32"/>
        <v>"C:\Program Files (x86)\AstroGrep\AstroGrep.exe" /spath="%USERPROFILE%\AppData\Local\Temp\OnboardLogs" /stypes="app*4042*20161223*" /stext=" 20:.+((SYSTEM_STATE.+slice.+state.+changed )|(ment ac)|(multiple cpu faults)|(system.+state.+changed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169-23 --locoid 4042 --swversion DE.1.0.8.0 --startMP 204:440 --initTime 2016-12-23T12:18:47 --startdatetime 2016-12-23T12:21:26 --delay 1 --endMP 204:233280 --enddatetime 2016-12-23T13:01:28 --enforcementcount 0 &gt;&gt;C:\Users\stu\Documents\GitHub\eaglep3-reporting\EC\2016-12-23-refined-times.txt</v>
      </c>
      <c r="AI8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{"issue":{"subject":"","project_id":79,"tracker_id":40,"status_id":1,"priority_id":2,"assigned_to_id":23,"start_date":"2016-12-23","description":"","custom_fields":[{"id":1,"name":"Subdivision","value":"EC"},{"id":4,"name":"Milepost","value":"23.328"},{"id":17,"name":"Train ID","value":"169-23"},{"id":16,"name":"Locomotive ID","value":"4042"},{"id":130,"name":"Impact","value":""},{"id":150,"name":"Time of Event (Mountain Time)","value":"13:01:28"},{"id":151,"name":"Denver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441</v>
      </c>
      <c r="B82" s="7">
        <v>4041</v>
      </c>
      <c r="C82" s="22" t="s">
        <v>205</v>
      </c>
      <c r="D82" s="22" t="s">
        <v>342</v>
      </c>
      <c r="E82" s="13">
        <v>42727.546481481484</v>
      </c>
      <c r="F82" s="13">
        <v>42727.549780092595</v>
      </c>
      <c r="G82" s="7">
        <v>1</v>
      </c>
      <c r="H82" s="22" t="s">
        <v>191</v>
      </c>
      <c r="I82" s="13">
        <v>42727.578090277777</v>
      </c>
      <c r="J82" s="7">
        <v>0</v>
      </c>
      <c r="K82" s="109" t="str">
        <f t="shared" si="19"/>
        <v>4041/4042</v>
      </c>
      <c r="L82" s="22" t="str">
        <f>VLOOKUP(A82,'Trips&amp;Operators'!$C$1:$G$99999,5,FALSE)</f>
        <v>KILLION DAVID</v>
      </c>
      <c r="M82" s="6">
        <f t="shared" si="20"/>
        <v>2.8310185181908309E-2</v>
      </c>
      <c r="N82" s="7">
        <f t="shared" si="21"/>
        <v>40.766666661947966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8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12:06:56-700',mode:absolute,to:'2016-12-23 14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2" s="52" t="str">
        <f t="shared" si="25"/>
        <v>N</v>
      </c>
      <c r="X82" s="189">
        <f t="shared" si="26"/>
        <v>1</v>
      </c>
      <c r="Y82" s="67">
        <f t="shared" si="27"/>
        <v>23.2959</v>
      </c>
      <c r="Z82" s="67">
        <f t="shared" si="28"/>
        <v>1.49E-2</v>
      </c>
      <c r="AA82" s="67">
        <f t="shared" si="29"/>
        <v>23.280999999999999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0"/>
        <v>0170-23</v>
      </c>
      <c r="AE82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82" s="88" t="str">
        <f t="shared" si="32"/>
        <v>"C:\Program Files (x86)\AstroGrep\AstroGrep.exe" /spath="%USERPROFILE%\AppData\Local\Temp\OnboardLogs" /stypes="app*4041*20161223*" /stext=" 20:.+((SYSTEM_STATE.+slice.+state.+changed )|(ment ac)|(multiple cpu faults)|(system.+state.+changed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170-23 --locoid 4041 --swversion DE.1.0.8.0 --startMP 204:232959 --initTime 2016-12-23T13:06:56 --startdatetime 2016-12-23T13:11:41 --delay 1 --endMP 204:149 --enddatetime 2016-12-23T13:52:27 --enforcementcount 0 &gt;&gt;C:\Users\stu\Documents\GitHub\eaglep3-reporting\EC\2016-12-23-refined-times.txt</v>
      </c>
      <c r="AI8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ID","value":"170-23"},{"id":16,"name":"Locomotive ID","value":"4041"},{"id":130,"name":"Impact","value":""},{"id":150,"name":"Time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568</v>
      </c>
      <c r="B83" s="7">
        <v>4031</v>
      </c>
      <c r="C83" s="22" t="s">
        <v>205</v>
      </c>
      <c r="D83" s="22" t="s">
        <v>194</v>
      </c>
      <c r="E83" s="13">
        <v>42727.52138888889</v>
      </c>
      <c r="F83" s="13">
        <v>42727.522974537038</v>
      </c>
      <c r="G83" s="7">
        <v>1</v>
      </c>
      <c r="H83" s="22" t="s">
        <v>318</v>
      </c>
      <c r="I83" s="13">
        <v>42727.547349537039</v>
      </c>
      <c r="J83" s="7">
        <v>0</v>
      </c>
      <c r="K83" s="109" t="str">
        <f t="shared" si="19"/>
        <v>4031/4032</v>
      </c>
      <c r="L83" s="22" t="str">
        <f>VLOOKUP(A83,'Trips&amp;Operators'!$C$1:$G$99999,5,FALSE)</f>
        <v>BRANNON JEFFREY</v>
      </c>
      <c r="M83" s="6">
        <f t="shared" si="20"/>
        <v>2.4375000000873115E-2</v>
      </c>
      <c r="N83" s="7">
        <f t="shared" si="21"/>
        <v>35.100000001257285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8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11:30:48-700',mode:absolute,to:'2016-12-23 14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3" s="52" t="str">
        <f t="shared" si="25"/>
        <v>N</v>
      </c>
      <c r="X83" s="189">
        <f t="shared" si="26"/>
        <v>1</v>
      </c>
      <c r="Y83" s="67">
        <f t="shared" si="27"/>
        <v>4.5100000000000001E-2</v>
      </c>
      <c r="Z83" s="67">
        <f t="shared" si="28"/>
        <v>23.330100000000002</v>
      </c>
      <c r="AA83" s="67">
        <f t="shared" si="29"/>
        <v>23.285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0"/>
        <v>0171-23</v>
      </c>
      <c r="AE83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83" s="88" t="str">
        <f t="shared" si="32"/>
        <v>"C:\Program Files (x86)\AstroGrep\AstroGrep.exe" /spath="%USERPROFILE%\AppData\Local\Temp\OnboardLogs" /stypes="app*4031*20161223*" /stext=" 20:.+((SYSTEM_STATE.+slice.+state.+changed )|(ment ac)|(multiple cpu faults)|(system.+state.+changed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171-23 --locoid 4031 --swversion DE.1.0.8.0 --startMP 204:451 --initTime 2016-12-23T12:30:48 --startdatetime 2016-12-23T12:33:05 --delay 1 --endMP 204:233301 --enddatetime 2016-12-23T13:08:11 --enforcementcount 0 &gt;&gt;C:\Users\stu\Documents\GitHub\eaglep3-reporting\EC\2016-12-23-refined-times.txt</v>
      </c>
      <c r="AI8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ID","value":"171-23"},{"id":16,"name":"Locomotive ID","value":"4031"},{"id":130,"name":"Impact","value":""},{"id":150,"name":"Time of Event (Mountain Time)","value":"13:08:11"},{"id":151,"name":"Denver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575</v>
      </c>
      <c r="B84" s="7">
        <v>4032</v>
      </c>
      <c r="C84" s="22" t="s">
        <v>205</v>
      </c>
      <c r="D84" s="22" t="s">
        <v>315</v>
      </c>
      <c r="E84" s="13">
        <v>42727.557581018518</v>
      </c>
      <c r="F84" s="13">
        <v>42727.560057870367</v>
      </c>
      <c r="G84" s="7">
        <v>1</v>
      </c>
      <c r="H84" s="22" t="s">
        <v>234</v>
      </c>
      <c r="I84" s="13">
        <v>42727.58761574074</v>
      </c>
      <c r="J84" s="7">
        <v>0</v>
      </c>
      <c r="K84" s="109" t="str">
        <f t="shared" si="19"/>
        <v>4031/4032</v>
      </c>
      <c r="L84" s="22" t="str">
        <f>VLOOKUP(A84,'Trips&amp;Operators'!$C$1:$G$99999,5,FALSE)</f>
        <v>BRANNON JEFFREY</v>
      </c>
      <c r="M84" s="6">
        <f t="shared" si="20"/>
        <v>2.7557870373129845E-2</v>
      </c>
      <c r="N84" s="7">
        <f t="shared" si="21"/>
        <v>39.683333337306976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8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12:22:55-700',mode:absolute,to:'2016-12-23 15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4" s="52" t="str">
        <f t="shared" si="25"/>
        <v>N</v>
      </c>
      <c r="X84" s="189">
        <f t="shared" si="26"/>
        <v>1</v>
      </c>
      <c r="Y84" s="67">
        <f t="shared" si="27"/>
        <v>23.298400000000001</v>
      </c>
      <c r="Z84" s="67">
        <f t="shared" si="28"/>
        <v>1.4500000000000001E-2</v>
      </c>
      <c r="AA84" s="67">
        <f t="shared" si="29"/>
        <v>23.283899999999999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0"/>
        <v>0172-23</v>
      </c>
      <c r="AE84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84" s="88" t="str">
        <f t="shared" si="32"/>
        <v>"C:\Program Files (x86)\AstroGrep\AstroGrep.exe" /spath="%USERPROFILE%\AppData\Local\Temp\OnboardLogs" /stypes="app*4032*20161223*" /stext=" 21:.+((SYSTEM_STATE.+slice.+state.+changed )|(ment ac)|(multiple cpu faults)|(system.+state.+changed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172-23 --locoid 4032 --swversion DE.1.0.8.0 --startMP 204:232984 --initTime 2016-12-23T13:22:55 --startdatetime 2016-12-23T13:26:29 --delay 1 --endMP 204:145 --enddatetime 2016-12-23T14:06:10 --enforcementcount 0 &gt;&gt;C:\Users\stu\Documents\GitHub\eaglep3-reporting\EC\2016-12-23-refined-times.txt</v>
      </c>
      <c r="AI8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{"issue":{"subject":"","project_id":79,"tracker_id":40,"status_id":1,"priority_id":2,"assigned_to_id":23,"start_date":"2016-12-23","description":"","custom_fields":[{"id":1,"name":"Subdivision","value":"EC"},{"id":4,"name":"Milepost","value":"0.0145"},{"id":17,"name":"Train ID","value":"172-23"},{"id":16,"name":"Locomotive ID","value":"4032"},{"id":130,"name":"Impact","value":""},{"id":150,"name":"Time of Event (Mountain Time)","value":"14:06:10"},{"id":151,"name":"Denver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569</v>
      </c>
      <c r="B85" s="7">
        <v>4011</v>
      </c>
      <c r="C85" s="22" t="s">
        <v>205</v>
      </c>
      <c r="D85" s="22" t="s">
        <v>193</v>
      </c>
      <c r="E85" s="13">
        <v>42727.530092592591</v>
      </c>
      <c r="F85" s="13">
        <v>42727.53197916667</v>
      </c>
      <c r="G85" s="7">
        <v>1</v>
      </c>
      <c r="H85" s="22" t="s">
        <v>345</v>
      </c>
      <c r="I85" s="13">
        <v>42727.557453703703</v>
      </c>
      <c r="J85" s="7">
        <v>0</v>
      </c>
      <c r="K85" s="109" t="str">
        <f t="shared" si="19"/>
        <v>4011/4012</v>
      </c>
      <c r="L85" s="22" t="str">
        <f>VLOOKUP(A85,'Trips&amp;Operators'!$C$1:$G$99999,5,FALSE)</f>
        <v>STEWART MICHAEL</v>
      </c>
      <c r="M85" s="6">
        <f t="shared" si="20"/>
        <v>2.5474537033005618E-2</v>
      </c>
      <c r="N85" s="7">
        <f t="shared" si="21"/>
        <v>36.683333327528089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8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11:43:20-700',mode:absolute,to:'2016-12-23 14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5" s="52" t="str">
        <f t="shared" si="25"/>
        <v>N</v>
      </c>
      <c r="X85" s="189">
        <f t="shared" si="26"/>
        <v>1</v>
      </c>
      <c r="Y85" s="67">
        <f t="shared" si="27"/>
        <v>4.4699999999999997E-2</v>
      </c>
      <c r="Z85" s="67">
        <f t="shared" si="28"/>
        <v>23.3325</v>
      </c>
      <c r="AA85" s="67">
        <f t="shared" si="29"/>
        <v>23.287800000000001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0"/>
        <v>0173-23</v>
      </c>
      <c r="AE85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85" s="88" t="str">
        <f t="shared" si="32"/>
        <v>"C:\Program Files (x86)\AstroGrep\AstroGrep.exe" /spath="%USERPROFILE%\AppData\Local\Temp\OnboardLogs" /stypes="app*4011*20161223*" /stext=" 20:.+((SYSTEM_STATE.+slice.+state.+changed )|(ment ac)|(multiple cpu faults)|(system.+state.+changed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173-23 --locoid 4011 --swversion DE.1.0.8.0 --startMP 204:447 --initTime 2016-12-23T12:43:20 --startdatetime 2016-12-23T12:46:03 --delay 1 --endMP 204:233325 --enddatetime 2016-12-23T13:22:44 --enforcementcount 0 &gt;&gt;C:\Users\stu\Documents\GitHub\eaglep3-reporting\EC\2016-12-23-refined-times.txt</v>
      </c>
      <c r="AI8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{"issue":{"subject":"","project_id":79,"tracker_id":40,"status_id":1,"priority_id":2,"assigned_to_id":23,"start_date":"2016-12-23","description":"","custom_fields":[{"id":1,"name":"Subdivision","value":"EC"},{"id":4,"name":"Milepost","value":"23.3325"},{"id":17,"name":"Train ID","value":"173-23"},{"id":16,"name":"Locomotive ID","value":"4011"},{"id":130,"name":"Impact","value":""},{"id":150,"name":"Time of Event (Mountain Time)","value":"13:22:44"},{"id":151,"name":"Denver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577</v>
      </c>
      <c r="B86" s="7">
        <v>4012</v>
      </c>
      <c r="C86" s="22" t="s">
        <v>205</v>
      </c>
      <c r="D86" s="22" t="s">
        <v>352</v>
      </c>
      <c r="E86" s="13">
        <v>42727.567418981482</v>
      </c>
      <c r="F86" s="13">
        <v>42727.570694444446</v>
      </c>
      <c r="G86" s="7">
        <v>1</v>
      </c>
      <c r="H86" s="22" t="s">
        <v>234</v>
      </c>
      <c r="I86" s="13">
        <v>42727.59888888889</v>
      </c>
      <c r="J86" s="7">
        <v>0</v>
      </c>
      <c r="K86" s="109" t="str">
        <f t="shared" si="19"/>
        <v>4011/4012</v>
      </c>
      <c r="L86" s="22" t="str">
        <f>VLOOKUP(A86,'Trips&amp;Operators'!$C$1:$G$99999,5,FALSE)</f>
        <v>STEWART MICHAEL</v>
      </c>
      <c r="M86" s="6">
        <f t="shared" si="20"/>
        <v>2.8194444443215616E-2</v>
      </c>
      <c r="N86" s="7">
        <f t="shared" si="21"/>
        <v>40.599999998230487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8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12:37:05-700',mode:absolute,to:'2016-12-23 15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6" s="52" t="str">
        <f t="shared" si="25"/>
        <v>N</v>
      </c>
      <c r="X86" s="189">
        <f t="shared" si="26"/>
        <v>1</v>
      </c>
      <c r="Y86" s="67">
        <f t="shared" si="27"/>
        <v>23.297899999999998</v>
      </c>
      <c r="Z86" s="67">
        <f t="shared" si="28"/>
        <v>1.4500000000000001E-2</v>
      </c>
      <c r="AA86" s="67">
        <f t="shared" si="29"/>
        <v>23.283399999999997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0"/>
        <v>0174-23</v>
      </c>
      <c r="AE86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86" s="88" t="str">
        <f t="shared" si="32"/>
        <v>"C:\Program Files (x86)\AstroGrep\AstroGrep.exe" /spath="%USERPROFILE%\AppData\Local\Temp\OnboardLogs" /stypes="app*4012*20161223*" /stext=" 21:.+((SYSTEM_STATE.+slice.+state.+changed )|(ment ac)|(multiple cpu faults)|(system.+state.+changed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174-23 --locoid 4012 --swversion DE.1.0.8.0 --startMP 204:232979 --initTime 2016-12-23T13:37:05 --startdatetime 2016-12-23T13:41:48 --delay 1 --endMP 204:145 --enddatetime 2016-12-23T14:22:24 --enforcementcount 0 &gt;&gt;C:\Users\stu\Documents\GitHub\eaglep3-reporting\EC\2016-12-23-refined-times.txt</v>
      </c>
      <c r="AI8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{"issue":{"subject":"","project_id":79,"tracker_id":40,"status_id":1,"priority_id":2,"assigned_to_id":23,"start_date":"2016-12-23","description":"","custom_fields":[{"id":1,"name":"Subdivision","value":"EC"},{"id":4,"name":"Milepost","value":"0.0145"},{"id":17,"name":"Train ID","value":"174-23"},{"id":16,"name":"Locomotive ID","value":"4012"},{"id":130,"name":"Impact","value":""},{"id":150,"name":"Time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572</v>
      </c>
      <c r="B87" s="7">
        <v>4016</v>
      </c>
      <c r="C87" s="22" t="s">
        <v>205</v>
      </c>
      <c r="D87" s="22" t="s">
        <v>255</v>
      </c>
      <c r="E87" s="13">
        <v>42727.538541666669</v>
      </c>
      <c r="F87" s="13">
        <v>42727.541875000003</v>
      </c>
      <c r="G87" s="7">
        <v>1</v>
      </c>
      <c r="H87" s="22" t="s">
        <v>320</v>
      </c>
      <c r="I87" s="13">
        <v>42727.566041666665</v>
      </c>
      <c r="J87" s="7">
        <v>0</v>
      </c>
      <c r="K87" s="109" t="str">
        <f t="shared" si="19"/>
        <v>4015/4016</v>
      </c>
      <c r="L87" s="22" t="str">
        <f>VLOOKUP(A87,'Trips&amp;Operators'!$C$1:$G$99999,5,FALSE)</f>
        <v>DE LA ROSA ALEX</v>
      </c>
      <c r="M87" s="6">
        <f t="shared" si="20"/>
        <v>2.4166666662495118E-2</v>
      </c>
      <c r="N87" s="7">
        <f t="shared" si="21"/>
        <v>34.799999993992969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8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11:55:30-700',mode:absolute,to:'2016-12-23 14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7" s="52" t="str">
        <f t="shared" si="25"/>
        <v>N</v>
      </c>
      <c r="X87" s="189">
        <f t="shared" si="26"/>
        <v>1</v>
      </c>
      <c r="Y87" s="67">
        <f t="shared" si="27"/>
        <v>4.53E-2</v>
      </c>
      <c r="Z87" s="67">
        <f t="shared" si="28"/>
        <v>23.329699999999999</v>
      </c>
      <c r="AA87" s="67">
        <f t="shared" si="29"/>
        <v>23.284399999999998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0"/>
        <v>0175-23</v>
      </c>
      <c r="AE87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87" s="88" t="str">
        <f t="shared" si="32"/>
        <v>"C:\Program Files (x86)\AstroGrep\AstroGrep.exe" /spath="%USERPROFILE%\AppData\Local\Temp\OnboardLogs" /stypes="app*4016*20161223*" /stext=" 20:.+((SYSTEM_STATE.+slice.+state.+changed )|(ment ac)|(multiple cpu faults)|(system.+state.+changed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175-23 --locoid 4016 --swversion DE.1.0.8.0 --startMP 204:453 --initTime 2016-12-23T12:55:30 --startdatetime 2016-12-23T13:00:18 --delay 1 --endMP 204:233297 --enddatetime 2016-12-23T13:35:06 --enforcementcount 0 &gt;&gt;C:\Users\stu\Documents\GitHub\eaglep3-reporting\EC\2016-12-23-refined-times.txt</v>
      </c>
      <c r="AI8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{"issue":{"subject":"","project_id":79,"tracker_id":40,"status_id":1,"priority_id":2,"assigned_to_id":23,"start_date":"2016-12-23","description":"","custom_fields":[{"id":1,"name":"Subdivision","value":"EC"},{"id":4,"name":"Milepost","value":"23.3297"},{"id":17,"name":"Train ID","value":"175-23"},{"id":16,"name":"Locomotive ID","value":"4016"},{"id":130,"name":"Impact","value":""},{"id":150,"name":"Time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579</v>
      </c>
      <c r="B88" s="7">
        <v>4015</v>
      </c>
      <c r="C88" s="22" t="s">
        <v>205</v>
      </c>
      <c r="D88" s="22" t="s">
        <v>266</v>
      </c>
      <c r="E88" s="13">
        <v>42727.576898148145</v>
      </c>
      <c r="F88" s="13">
        <v>42727.580729166664</v>
      </c>
      <c r="G88" s="7">
        <v>1</v>
      </c>
      <c r="H88" s="22" t="s">
        <v>224</v>
      </c>
      <c r="I88" s="13">
        <v>42727.608194444445</v>
      </c>
      <c r="J88" s="7">
        <v>0</v>
      </c>
      <c r="K88" s="109" t="str">
        <f t="shared" si="19"/>
        <v>4015/4016</v>
      </c>
      <c r="L88" s="22" t="str">
        <f>VLOOKUP(A88,'Trips&amp;Operators'!$C$1:$G$99999,5,FALSE)</f>
        <v>DE LA ROSA ALEX</v>
      </c>
      <c r="M88" s="6">
        <f t="shared" si="20"/>
        <v>2.7465277780720498E-2</v>
      </c>
      <c r="N88" s="7">
        <f t="shared" si="21"/>
        <v>39.550000004237518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8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12:50:44-700',mode:absolute,to:'2016-12-23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8" s="52" t="str">
        <f t="shared" si="25"/>
        <v>N</v>
      </c>
      <c r="X88" s="189">
        <f t="shared" si="26"/>
        <v>1</v>
      </c>
      <c r="Y88" s="67">
        <f t="shared" si="27"/>
        <v>23.297699999999999</v>
      </c>
      <c r="Z88" s="67">
        <f t="shared" si="28"/>
        <v>1.54E-2</v>
      </c>
      <c r="AA88" s="67">
        <f t="shared" si="29"/>
        <v>23.282299999999999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0"/>
        <v>0176-23</v>
      </c>
      <c r="AE88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88" s="88" t="str">
        <f t="shared" si="32"/>
        <v>"C:\Program Files (x86)\AstroGrep\AstroGrep.exe" /spath="%USERPROFILE%\AppData\Local\Temp\OnboardLogs" /stypes="app*4015*20161223*" /stext=" 21:.+((SYSTEM_STATE.+slice.+state.+changed )|(ment ac)|(multiple cpu faults)|(system.+state.+changed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176-23 --locoid 4015 --swversion DE.1.0.8.0 --startMP 204:232977 --initTime 2016-12-23T13:50:44 --startdatetime 2016-12-23T13:56:15 --delay 1 --endMP 204:154 --enddatetime 2016-12-23T14:35:48 --enforcementcount 0 &gt;&gt;C:\Users\stu\Documents\GitHub\eaglep3-reporting\EC\2016-12-23-refined-times.txt</v>
      </c>
      <c r="AI8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ID","value":"176-23"},{"id":16,"name":"Locomotive ID","value":"4015"},{"id":130,"name":"Impact","value":""},{"id":150,"name":"Time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574</v>
      </c>
      <c r="B89" s="7">
        <v>4051</v>
      </c>
      <c r="C89" s="22" t="s">
        <v>205</v>
      </c>
      <c r="D89" s="22" t="s">
        <v>384</v>
      </c>
      <c r="E89" s="13">
        <v>42727.551990740743</v>
      </c>
      <c r="F89" s="13">
        <v>42727.553564814814</v>
      </c>
      <c r="G89" s="7">
        <v>1</v>
      </c>
      <c r="H89" s="22" t="s">
        <v>344</v>
      </c>
      <c r="I89" s="13">
        <v>42727.580185185187</v>
      </c>
      <c r="J89" s="7">
        <v>0</v>
      </c>
      <c r="K89" s="109" t="str">
        <f t="shared" si="19"/>
        <v>4051/4052</v>
      </c>
      <c r="L89" s="22" t="str">
        <f>VLOOKUP(A89,'Trips&amp;Operators'!$C$1:$G$99999,5,FALSE)</f>
        <v>CLARK KATHLEEN</v>
      </c>
      <c r="M89" s="6">
        <f t="shared" si="20"/>
        <v>2.662037037225673E-2</v>
      </c>
      <c r="N89" s="7">
        <f t="shared" si="21"/>
        <v>38.333333336049691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8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12:14:52-700',mode:absolute,to:'2016-12-23 14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9" s="52" t="str">
        <f t="shared" si="25"/>
        <v>N</v>
      </c>
      <c r="X89" s="189">
        <f t="shared" si="26"/>
        <v>1</v>
      </c>
      <c r="Y89" s="67">
        <f t="shared" si="27"/>
        <v>4.7500000000000001E-2</v>
      </c>
      <c r="Z89" s="67">
        <f t="shared" si="28"/>
        <v>23.33</v>
      </c>
      <c r="AA89" s="67">
        <f t="shared" si="29"/>
        <v>23.282499999999999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0"/>
        <v>0177-23</v>
      </c>
      <c r="AE89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89" s="88" t="str">
        <f t="shared" si="32"/>
        <v>"C:\Program Files (x86)\AstroGrep\AstroGrep.exe" /spath="%USERPROFILE%\AppData\Local\Temp\OnboardLogs" /stypes="app*4051*20161223*" /stext=" 20:.+((SYSTEM_STATE.+slice.+state.+changed )|(ment ac)|(multiple cpu faults)|(system.+state.+changed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177-23 --locoid 4051 --swversion DE.1.0.8.0 --startMP 204:475 --initTime 2016-12-23T13:14:52 --startdatetime 2016-12-23T13:17:08 --delay 1 --endMP 204:233300 --enddatetime 2016-12-23T13:55:28 --enforcementcount 0 &gt;&gt;C:\Users\stu\Documents\GitHub\eaglep3-reporting\EC\2016-12-23-refined-times.txt</v>
      </c>
      <c r="AI8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{"issue":{"subject":"","project_id":79,"tracker_id":40,"status_id":1,"priority_id":2,"assigned_to_id":23,"start_date":"2016-12-23","description":"","custom_fields":[{"id":1,"name":"Subdivision","value":"EC"},{"id":4,"name":"Milepost","value":"23.33"},{"id":17,"name":"Train ID","value":"177-23"},{"id":16,"name":"Locomotive ID","value":"4051"},{"id":130,"name":"Impact","value":""},{"id":150,"name":"Time of Event (Mountain Time)","value":"13:55:28"},{"id":151,"name":"Denver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581</v>
      </c>
      <c r="B90" s="7">
        <v>4052</v>
      </c>
      <c r="C90" s="22" t="s">
        <v>205</v>
      </c>
      <c r="D90" s="22" t="s">
        <v>266</v>
      </c>
      <c r="E90" s="13">
        <v>42727.587013888886</v>
      </c>
      <c r="F90" s="13">
        <v>42727.591157407405</v>
      </c>
      <c r="G90" s="7">
        <v>1</v>
      </c>
      <c r="H90" s="22" t="s">
        <v>267</v>
      </c>
      <c r="I90" s="13">
        <v>42727.619699074072</v>
      </c>
      <c r="J90" s="7">
        <v>0</v>
      </c>
      <c r="K90" s="109" t="str">
        <f t="shared" si="19"/>
        <v>4051/4052</v>
      </c>
      <c r="L90" s="22" t="str">
        <f>VLOOKUP(A90,'Trips&amp;Operators'!$C$1:$G$99999,5,FALSE)</f>
        <v>CLARK KATHLEEN</v>
      </c>
      <c r="M90" s="6">
        <f t="shared" si="20"/>
        <v>2.8541666666569654E-2</v>
      </c>
      <c r="N90" s="7">
        <f t="shared" si="21"/>
        <v>41.099999999860302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8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13:05:18-700',mode:absolute,to:'2016-12-23 15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90" s="52" t="str">
        <f t="shared" si="25"/>
        <v>N</v>
      </c>
      <c r="X90" s="189">
        <f t="shared" si="26"/>
        <v>1</v>
      </c>
      <c r="Y90" s="67">
        <f t="shared" si="27"/>
        <v>23.297699999999999</v>
      </c>
      <c r="Z90" s="67">
        <f t="shared" si="28"/>
        <v>1.61E-2</v>
      </c>
      <c r="AA90" s="67">
        <f t="shared" si="29"/>
        <v>23.281599999999997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0"/>
        <v>0178-23</v>
      </c>
      <c r="AE90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90" s="88" t="str">
        <f t="shared" si="32"/>
        <v>"C:\Program Files (x86)\AstroGrep\AstroGrep.exe" /spath="%USERPROFILE%\AppData\Local\Temp\OnboardLogs" /stypes="app*4052*20161223*" /stext=" 21:.+((SYSTEM_STATE.+slice.+state.+changed )|(ment ac)|(multiple cpu faults)|(system.+state.+changed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178-23 --locoid 4052 --swversion DE.1.0.8.0 --startMP 204:232977 --initTime 2016-12-23T14:05:18 --startdatetime 2016-12-23T14:11:16 --delay 1 --endMP 204:161 --enddatetime 2016-12-23T14:52:22 --enforcementcount 0 &gt;&gt;C:\Users\stu\Documents\GitHub\eaglep3-reporting\EC\2016-12-23-refined-times.txt</v>
      </c>
      <c r="AI9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ID","value":"178-23"},{"id":16,"name":"Locomotive ID","value":"4052"},{"id":130,"name":"Impact","value":""},{"id":150,"name":"Time of Event (Mountain Time)","value":"14:52:22"},{"id":151,"name":"Denver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576</v>
      </c>
      <c r="B91" s="7">
        <v>4007</v>
      </c>
      <c r="C91" s="22" t="s">
        <v>205</v>
      </c>
      <c r="D91" s="22" t="s">
        <v>286</v>
      </c>
      <c r="E91" s="13">
        <v>42727.560798611114</v>
      </c>
      <c r="F91" s="13">
        <v>42727.5627662037</v>
      </c>
      <c r="G91" s="7">
        <v>1</v>
      </c>
      <c r="H91" s="22" t="s">
        <v>340</v>
      </c>
      <c r="I91" s="13">
        <v>42727.587534722225</v>
      </c>
      <c r="J91" s="7">
        <v>0</v>
      </c>
      <c r="K91" s="109" t="str">
        <f t="shared" si="19"/>
        <v>4007/4008</v>
      </c>
      <c r="L91" s="22" t="str">
        <f>VLOOKUP(A91,'Trips&amp;Operators'!$C$1:$G$99999,5,FALSE)</f>
        <v>BRUDER RICHARD</v>
      </c>
      <c r="M91" s="6">
        <f t="shared" si="20"/>
        <v>2.4768518524069805E-2</v>
      </c>
      <c r="N91" s="7">
        <f t="shared" si="21"/>
        <v>35.666666674660519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8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12:27:33-700',mode:absolute,to:'2016-12-23 15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1" s="52" t="str">
        <f t="shared" si="25"/>
        <v>N</v>
      </c>
      <c r="X91" s="189">
        <f t="shared" si="26"/>
        <v>1</v>
      </c>
      <c r="Y91" s="67">
        <f t="shared" si="27"/>
        <v>4.6899999999999997E-2</v>
      </c>
      <c r="Z91" s="67">
        <f t="shared" si="28"/>
        <v>23.3293</v>
      </c>
      <c r="AA91" s="67">
        <f t="shared" si="29"/>
        <v>23.282399999999999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0"/>
        <v>0179-23</v>
      </c>
      <c r="AE91" s="91" t="str">
        <f t="shared" si="31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91" s="88" t="str">
        <f t="shared" si="32"/>
        <v>"C:\Program Files (x86)\AstroGrep\AstroGrep.exe" /spath="%USERPROFILE%\AppData\Local\Temp\OnboardLogs" /stypes="app*4007*20161223*" /stext=" 21:.+((SYSTEM_STATE.+slice.+state.+changed )|(ment ac)|(multiple cpu faults)|(system.+state.+changed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179-23 --locoid 4007 --swversion DE.1.0.8.0 --startMP 204:469 --initTime 2016-12-23T13:27:33 --startdatetime 2016-12-23T13:30:23 --delay 1 --endMP 204:233293 --enddatetime 2016-12-23T14:06:03 --enforcementcount 0 &gt;&gt;C:\Users\stu\Documents\GitHub\eaglep3-reporting\EC\2016-12-23-refined-times.txt</v>
      </c>
      <c r="AI9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ID","value":"179-23"},{"id":16,"name":"Locomotive ID","value":"4007"},{"id":130,"name":"Impact","value":""},{"id":150,"name":"Time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584</v>
      </c>
      <c r="B92" s="7">
        <v>4008</v>
      </c>
      <c r="C92" s="22" t="s">
        <v>205</v>
      </c>
      <c r="D92" s="22" t="s">
        <v>353</v>
      </c>
      <c r="E92" s="13">
        <v>42727.596655092595</v>
      </c>
      <c r="F92" s="13">
        <v>42727.601851851854</v>
      </c>
      <c r="G92" s="7">
        <v>1</v>
      </c>
      <c r="H92" s="22" t="s">
        <v>191</v>
      </c>
      <c r="I92" s="13">
        <v>42727.628518518519</v>
      </c>
      <c r="J92" s="7">
        <v>0</v>
      </c>
      <c r="K92" s="109" t="str">
        <f t="shared" si="19"/>
        <v>4007/4008</v>
      </c>
      <c r="L92" s="22" t="str">
        <f>VLOOKUP(A92,'Trips&amp;Operators'!$C$1:$G$99999,5,FALSE)</f>
        <v>BRUDER RICHARD</v>
      </c>
      <c r="M92" s="6">
        <f t="shared" si="20"/>
        <v>2.6666666664823424E-2</v>
      </c>
      <c r="N92" s="7">
        <f t="shared" si="21"/>
        <v>38.399999997345731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8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13:19:11-700',mode:absolute,to:'2016-12-23 16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2" s="52" t="str">
        <f t="shared" si="25"/>
        <v>N</v>
      </c>
      <c r="X92" s="189">
        <f t="shared" si="26"/>
        <v>1</v>
      </c>
      <c r="Y92" s="67">
        <f t="shared" si="27"/>
        <v>23.297999999999998</v>
      </c>
      <c r="Z92" s="67">
        <f t="shared" si="28"/>
        <v>1.49E-2</v>
      </c>
      <c r="AA92" s="67">
        <f t="shared" si="29"/>
        <v>23.283099999999997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0"/>
        <v>0180-23</v>
      </c>
      <c r="AE92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92" s="88" t="str">
        <f t="shared" si="32"/>
        <v>"C:\Program Files (x86)\AstroGrep\AstroGrep.exe" /spath="%USERPROFILE%\AppData\Local\Temp\OnboardLogs" /stypes="app*4008*20161223*" /stext=" 22:.+((SYSTEM_STATE.+slice.+state.+changed )|(ment ac)|(multiple cpu faults)|(system.+state.+changed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180-23 --locoid 4008 --swversion DE.1.0.8.0 --startMP 204:232980 --initTime 2016-12-23T14:19:11 --startdatetime 2016-12-23T14:26:40 --delay 1 --endMP 204:149 --enddatetime 2016-12-23T15:05:04 --enforcementcount 0 &gt;&gt;C:\Users\stu\Documents\GitHub\eaglep3-reporting\EC\2016-12-23-refined-times.txt</v>
      </c>
      <c r="AI9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ID","value":"180-23"},{"id":16,"name":"Locomotive ID","value":"4008"},{"id":130,"name":"Impact","value":""},{"id":150,"name":"Time of Event (Mountain Time)","value":"15:05:04"},{"id":151,"name":"Denver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578</v>
      </c>
      <c r="B93" s="7">
        <v>4025</v>
      </c>
      <c r="C93" s="22" t="s">
        <v>205</v>
      </c>
      <c r="D93" s="22" t="s">
        <v>356</v>
      </c>
      <c r="E93" s="13">
        <v>42727.569537037038</v>
      </c>
      <c r="F93" s="13">
        <v>42727.573159722226</v>
      </c>
      <c r="G93" s="7">
        <v>1</v>
      </c>
      <c r="H93" s="22" t="s">
        <v>288</v>
      </c>
      <c r="I93" s="13">
        <v>42727.597430555557</v>
      </c>
      <c r="J93" s="7">
        <v>0</v>
      </c>
      <c r="K93" s="109" t="str">
        <f t="shared" si="19"/>
        <v>4025/4026</v>
      </c>
      <c r="L93" s="22" t="str">
        <f>VLOOKUP(A93,'Trips&amp;Operators'!$C$1:$G$99999,5,FALSE)</f>
        <v>HELVIE ADAM</v>
      </c>
      <c r="M93" s="6">
        <f t="shared" si="20"/>
        <v>2.4270833331684116E-2</v>
      </c>
      <c r="N93" s="7">
        <f t="shared" si="21"/>
        <v>34.949999997625127</v>
      </c>
      <c r="O93" s="7"/>
      <c r="P93" s="7"/>
      <c r="Q93" s="23"/>
      <c r="R93" s="23"/>
      <c r="S93" s="35">
        <f t="shared" si="22"/>
        <v>1</v>
      </c>
      <c r="T93" s="50" t="str">
        <f t="shared" si="23"/>
        <v>NorthBound</v>
      </c>
      <c r="U93" s="18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12:40:08-700',mode:absolute,to:'2016-12-23 15:20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3" s="52" t="str">
        <f t="shared" si="25"/>
        <v>N</v>
      </c>
      <c r="X93" s="189">
        <f t="shared" si="26"/>
        <v>1</v>
      </c>
      <c r="Y93" s="67">
        <f t="shared" si="27"/>
        <v>4.6600000000000003E-2</v>
      </c>
      <c r="Z93" s="67">
        <f t="shared" si="28"/>
        <v>23.329499999999999</v>
      </c>
      <c r="AA93" s="67">
        <f t="shared" si="29"/>
        <v>23.282899999999998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0"/>
        <v>0181-23</v>
      </c>
      <c r="AE93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93" s="88" t="str">
        <f t="shared" si="32"/>
        <v>"C:\Program Files (x86)\AstroGrep\AstroGrep.exe" /spath="%USERPROFILE%\AppData\Local\Temp\OnboardLogs" /stypes="app*4025*20161223*" /stext=" 21:.+((SYSTEM_STATE.+slice.+state.+changed )|(ment ac)|(multiple cpu faults)|(system.+state.+changed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181-23 --locoid 4025 --swversion DE.1.0.8.0 --startMP 204:466 --initTime 2016-12-23T13:40:08 --startdatetime 2016-12-23T13:45:21 --delay 1 --endMP 204:233295 --enddatetime 2016-12-23T14:20:18 --enforcementcount 0 &gt;&gt;C:\Users\stu\Documents\GitHub\eaglep3-reporting\EC\2016-12-23-refined-times.txt</v>
      </c>
      <c r="AI9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{"issue":{"subject":"","project_id":79,"tracker_id":40,"status_id":1,"priority_id":2,"assigned_to_id":23,"start_date":"2016-12-23","description":"","custom_fields":[{"id":1,"name":"Subdivision","value":"EC"},{"id":4,"name":"Milepost","value":"23.3295"},{"id":17,"name":"Train ID","value":"181-23"},{"id":16,"name":"Locomotive ID","value":"4025"},{"id":130,"name":"Impact","value":""},{"id":150,"name":"Time of Event (Mountain Time)","value":"14:20:18"},{"id":151,"name":"Denver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586</v>
      </c>
      <c r="B94" s="7">
        <v>4026</v>
      </c>
      <c r="C94" s="22" t="s">
        <v>205</v>
      </c>
      <c r="D94" s="22" t="s">
        <v>312</v>
      </c>
      <c r="E94" s="13">
        <v>42727.609560185185</v>
      </c>
      <c r="F94" s="13">
        <v>42727.612118055556</v>
      </c>
      <c r="G94" s="7">
        <v>1</v>
      </c>
      <c r="H94" s="22" t="s">
        <v>191</v>
      </c>
      <c r="I94" s="13">
        <v>42727.639039351852</v>
      </c>
      <c r="J94" s="7">
        <v>0</v>
      </c>
      <c r="K94" s="109" t="str">
        <f t="shared" si="19"/>
        <v>4025/4026</v>
      </c>
      <c r="L94" s="22" t="str">
        <f>VLOOKUP(A94,'Trips&amp;Operators'!$C$1:$G$99999,5,FALSE)</f>
        <v>HELVIE ADAM</v>
      </c>
      <c r="M94" s="6">
        <f t="shared" si="20"/>
        <v>2.6921296295768116E-2</v>
      </c>
      <c r="N94" s="7">
        <f t="shared" si="21"/>
        <v>38.766666665906087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8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13:37:46-700',mode:absolute,to:'2016-12-23 16:20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4" s="52" t="str">
        <f t="shared" si="25"/>
        <v>N</v>
      </c>
      <c r="X94" s="189">
        <f t="shared" si="26"/>
        <v>1</v>
      </c>
      <c r="Y94" s="67">
        <f t="shared" si="27"/>
        <v>23.298100000000002</v>
      </c>
      <c r="Z94" s="67">
        <f t="shared" si="28"/>
        <v>1.49E-2</v>
      </c>
      <c r="AA94" s="67">
        <f t="shared" si="29"/>
        <v>23.283200000000001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0"/>
        <v>0182-23</v>
      </c>
      <c r="AE94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94" s="88" t="str">
        <f t="shared" si="32"/>
        <v>"C:\Program Files (x86)\AstroGrep\AstroGrep.exe" /spath="%USERPROFILE%\AppData\Local\Temp\OnboardLogs" /stypes="app*4026*20161223*" /stext=" 22:.+((SYSTEM_STATE.+slice.+state.+changed )|(ment ac)|(multiple cpu faults)|(system.+state.+changed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182-23 --locoid 4026 --swversion DE.1.0.8.0 --startMP 204:232981 --initTime 2016-12-23T14:37:46 --startdatetime 2016-12-23T14:41:27 --delay 1 --endMP 204:149 --enddatetime 2016-12-23T15:20:13 --enforcementcount 0 &gt;&gt;C:\Users\stu\Documents\GitHub\eaglep3-reporting\EC\2016-12-23-refined-times.txt</v>
      </c>
      <c r="AI9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ID","value":"182-23"},{"id":16,"name":"Locomotive ID","value":"4026"},{"id":130,"name":"Impact","value":""},{"id":150,"name":"Time of Event (Mountain Time)","value":"15:20:13"},{"id":151,"name":"Denver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580</v>
      </c>
      <c r="B95" s="7">
        <v>4042</v>
      </c>
      <c r="C95" s="22" t="s">
        <v>205</v>
      </c>
      <c r="D95" s="22" t="s">
        <v>285</v>
      </c>
      <c r="E95" s="13">
        <v>42727.57953703704</v>
      </c>
      <c r="F95" s="13">
        <v>42727.583854166667</v>
      </c>
      <c r="G95" s="7">
        <v>1</v>
      </c>
      <c r="H95" s="22" t="s">
        <v>718</v>
      </c>
      <c r="I95" s="13">
        <v>42727.608958333331</v>
      </c>
      <c r="J95" s="7">
        <v>0</v>
      </c>
      <c r="K95" s="109" t="str">
        <f t="shared" si="19"/>
        <v>4041/4042</v>
      </c>
      <c r="L95" s="22" t="str">
        <f>VLOOKUP(A95,'Trips&amp;Operators'!$C$1:$G$99999,5,FALSE)</f>
        <v>KILLION DAVID</v>
      </c>
      <c r="M95" s="6">
        <f t="shared" si="20"/>
        <v>2.5104166663368233E-2</v>
      </c>
      <c r="N95" s="7">
        <f t="shared" si="21"/>
        <v>36.149999995250255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8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12:54:32-700',mode:absolute,to:'2016-12-23 15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5" s="52" t="str">
        <f t="shared" si="25"/>
        <v>N</v>
      </c>
      <c r="X95" s="189">
        <f t="shared" si="26"/>
        <v>1</v>
      </c>
      <c r="Y95" s="67">
        <f t="shared" si="27"/>
        <v>4.4900000000000002E-2</v>
      </c>
      <c r="Z95" s="67">
        <f t="shared" si="28"/>
        <v>23.327999999999999</v>
      </c>
      <c r="AA95" s="67">
        <f t="shared" si="29"/>
        <v>23.283100000000001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0"/>
        <v>0183-23</v>
      </c>
      <c r="AE95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95" s="88" t="str">
        <f t="shared" si="32"/>
        <v>"C:\Program Files (x86)\AstroGrep\AstroGrep.exe" /spath="%USERPROFILE%\AppData\Local\Temp\OnboardLogs" /stypes="app*4042*20161223*" /stext=" 21:.+((SYSTEM_STATE.+slice.+state.+changed )|(ment ac)|(multiple cpu faults)|(system.+state.+changed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183-23 --locoid 4042 --swversion DE.1.0.8.0 --startMP 204:449 --initTime 2016-12-23T13:54:32 --startdatetime 2016-12-23T14:00:45 --delay 1 --endMP 204:233280 --enddatetime 2016-12-23T14:36:54 --enforcementcount 0 &gt;&gt;C:\Users\stu\Documents\GitHub\eaglep3-reporting\EC\2016-12-23-refined-times.txt</v>
      </c>
      <c r="AI9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{"issue":{"subject":"","project_id":79,"tracker_id":40,"status_id":1,"priority_id":2,"assigned_to_id":23,"start_date":"2016-12-23","description":"","custom_fields":[{"id":1,"name":"Subdivision","value":"EC"},{"id":4,"name":"Milepost","value":"23.328"},{"id":17,"name":"Train ID","value":"183-23"},{"id":16,"name":"Locomotive ID","value":"4042"},{"id":130,"name":"Impact","value":""},{"id":150,"name":"Time of Event (Mountain Time)","value":"14:36:54"},{"id":151,"name":"Denver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589</v>
      </c>
      <c r="B96" s="7">
        <v>4041</v>
      </c>
      <c r="C96" s="22" t="s">
        <v>205</v>
      </c>
      <c r="D96" s="22" t="s">
        <v>351</v>
      </c>
      <c r="E96" s="13">
        <v>42727.617094907408</v>
      </c>
      <c r="F96" s="13">
        <v>42727.622418981482</v>
      </c>
      <c r="G96" s="7">
        <v>1</v>
      </c>
      <c r="H96" s="22" t="s">
        <v>224</v>
      </c>
      <c r="I96" s="13">
        <v>42727.650370370371</v>
      </c>
      <c r="J96" s="7">
        <v>0</v>
      </c>
      <c r="K96" s="109" t="str">
        <f t="shared" si="19"/>
        <v>4041/4042</v>
      </c>
      <c r="L96" s="22" t="str">
        <f>VLOOKUP(A96,'Trips&amp;Operators'!$C$1:$G$99999,5,FALSE)</f>
        <v>KILLION DAVID</v>
      </c>
      <c r="M96" s="6">
        <f t="shared" si="20"/>
        <v>2.7951388889050577E-2</v>
      </c>
      <c r="N96" s="7">
        <f t="shared" si="21"/>
        <v>40.250000000232831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8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13:48:37-700',mode:absolute,to:'2016-12-23 16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6" s="52" t="str">
        <f t="shared" si="25"/>
        <v>N</v>
      </c>
      <c r="X96" s="189">
        <f t="shared" si="26"/>
        <v>1</v>
      </c>
      <c r="Y96" s="67">
        <f t="shared" si="27"/>
        <v>23.296900000000001</v>
      </c>
      <c r="Z96" s="67">
        <f t="shared" si="28"/>
        <v>1.54E-2</v>
      </c>
      <c r="AA96" s="67">
        <f t="shared" si="29"/>
        <v>23.281500000000001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0"/>
        <v>0184-23</v>
      </c>
      <c r="AE96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96" s="88" t="str">
        <f t="shared" si="32"/>
        <v>"C:\Program Files (x86)\AstroGrep\AstroGrep.exe" /spath="%USERPROFILE%\AppData\Local\Temp\OnboardLogs" /stypes="app*4041*20161223*" /stext=" 22:.+((SYSTEM_STATE.+slice.+state.+changed )|(ment ac)|(multiple cpu faults)|(system.+state.+changed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184-23 --locoid 4041 --swversion DE.1.0.8.0 --startMP 204:232969 --initTime 2016-12-23T14:48:37 --startdatetime 2016-12-23T14:56:17 --delay 1 --endMP 204:154 --enddatetime 2016-12-23T15:36:32 --enforcementcount 0 &gt;&gt;C:\Users\stu\Documents\GitHub\eaglep3-reporting\EC\2016-12-23-refined-times.txt</v>
      </c>
      <c r="AI9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ID","value":"184-23"},{"id":16,"name":"Locomotive ID","value":"4041"},{"id":130,"name":"Impact","value":""},{"id":150,"name":"Time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582</v>
      </c>
      <c r="B97" s="7">
        <v>4031</v>
      </c>
      <c r="C97" s="22" t="s">
        <v>205</v>
      </c>
      <c r="D97" s="22" t="s">
        <v>719</v>
      </c>
      <c r="E97" s="13">
        <v>42727.588912037034</v>
      </c>
      <c r="F97" s="13">
        <v>42727.593923611108</v>
      </c>
      <c r="G97" s="7">
        <v>1</v>
      </c>
      <c r="H97" s="22" t="s">
        <v>713</v>
      </c>
      <c r="I97" s="13">
        <v>42727.618356481478</v>
      </c>
      <c r="J97" s="7">
        <v>0</v>
      </c>
      <c r="K97" s="109" t="str">
        <f t="shared" si="19"/>
        <v>4031/4032</v>
      </c>
      <c r="L97" s="22" t="str">
        <f>VLOOKUP(A97,'Trips&amp;Operators'!$C$1:$G$99999,5,FALSE)</f>
        <v>BRANNON JEFFREY</v>
      </c>
      <c r="M97" s="6">
        <f t="shared" si="20"/>
        <v>2.4432870370219462E-2</v>
      </c>
      <c r="N97" s="7">
        <f t="shared" si="21"/>
        <v>35.183333333116025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8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13:08:02-700',mode:absolute,to:'2016-12-23 15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7" s="52" t="str">
        <f t="shared" si="25"/>
        <v>N</v>
      </c>
      <c r="X97" s="189">
        <f t="shared" si="26"/>
        <v>1</v>
      </c>
      <c r="Y97" s="67">
        <f t="shared" si="27"/>
        <v>4.3499999999999997E-2</v>
      </c>
      <c r="Z97" s="67">
        <f t="shared" si="28"/>
        <v>23.331700000000001</v>
      </c>
      <c r="AA97" s="67">
        <f t="shared" si="29"/>
        <v>23.2882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0"/>
        <v>0185-23</v>
      </c>
      <c r="AE97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97" s="88" t="str">
        <f t="shared" si="32"/>
        <v>"C:\Program Files (x86)\AstroGrep\AstroGrep.exe" /spath="%USERPROFILE%\AppData\Local\Temp\OnboardLogs" /stypes="app*4031*20161223*" /stext=" 21:.+((SYSTEM_STATE.+slice.+state.+changed )|(ment ac)|(multiple cpu faults)|(system.+state.+changed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185-23 --locoid 4031 --swversion DE.1.0.8.0 --startMP 204:435 --initTime 2016-12-23T14:08:02 --startdatetime 2016-12-23T14:15:15 --delay 1 --endMP 204:233317 --enddatetime 2016-12-23T14:50:26 --enforcementcount 0 &gt;&gt;C:\Users\stu\Documents\GitHub\eaglep3-reporting\EC\2016-12-23-refined-times.txt</v>
      </c>
      <c r="AI9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{"issue":{"subject":"","project_id":79,"tracker_id":40,"status_id":1,"priority_id":2,"assigned_to_id":23,"start_date":"2016-12-23","description":"","custom_fields":[{"id":1,"name":"Subdivision","value":"EC"},{"id":4,"name":"Milepost","value":"23.3317"},{"id":17,"name":"Train ID","value":"185-23"},{"id":16,"name":"Locomotive ID","value":"4031"},{"id":130,"name":"Impact","value":""},{"id":150,"name":"Time of Event (Mountain Time)","value":"14:50:26"},{"id":151,"name":"Denver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591</v>
      </c>
      <c r="B98" s="7">
        <v>4032</v>
      </c>
      <c r="C98" s="22" t="s">
        <v>205</v>
      </c>
      <c r="D98" s="22" t="s">
        <v>689</v>
      </c>
      <c r="E98" s="13">
        <v>42727.625648148147</v>
      </c>
      <c r="F98" s="13">
        <v>42727.632800925923</v>
      </c>
      <c r="G98" s="7">
        <v>1</v>
      </c>
      <c r="H98" s="22" t="s">
        <v>274</v>
      </c>
      <c r="I98" s="13">
        <v>42727.659849537034</v>
      </c>
      <c r="J98" s="7">
        <v>0</v>
      </c>
      <c r="K98" s="109" t="str">
        <f t="shared" si="19"/>
        <v>4031/4032</v>
      </c>
      <c r="L98" s="22" t="str">
        <f>VLOOKUP(A98,'Trips&amp;Operators'!$C$1:$G$99999,5,FALSE)</f>
        <v>BRANNON JEFFREY</v>
      </c>
      <c r="M98" s="6">
        <f t="shared" si="20"/>
        <v>2.7048611111240461E-2</v>
      </c>
      <c r="N98" s="7">
        <f t="shared" si="21"/>
        <v>38.950000000186265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8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14:00:56-700',mode:absolute,to:'2016-12-23 16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8" s="52" t="str">
        <f t="shared" si="25"/>
        <v>N</v>
      </c>
      <c r="X98" s="189">
        <f t="shared" si="26"/>
        <v>1</v>
      </c>
      <c r="Y98" s="67">
        <f t="shared" si="27"/>
        <v>23.3004</v>
      </c>
      <c r="Z98" s="67">
        <f t="shared" si="28"/>
        <v>1.38E-2</v>
      </c>
      <c r="AA98" s="67">
        <f t="shared" si="29"/>
        <v>23.2866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0"/>
        <v>0186-23</v>
      </c>
      <c r="AE98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98" s="88" t="str">
        <f t="shared" si="32"/>
        <v>"C:\Program Files (x86)\AstroGrep\AstroGrep.exe" /spath="%USERPROFILE%\AppData\Local\Temp\OnboardLogs" /stypes="app*4032*20161223*" /stext=" 22:.+((SYSTEM_STATE.+slice.+state.+changed )|(ment ac)|(multiple cpu faults)|(system.+state.+changed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186-23 --locoid 4032 --swversion DE.1.0.8.0 --startMP 204:233004 --initTime 2016-12-23T15:00:56 --startdatetime 2016-12-23T15:11:14 --delay 1 --endMP 204:138 --enddatetime 2016-12-23T15:50:11 --enforcementcount 0 &gt;&gt;C:\Users\stu\Documents\GitHub\eaglep3-reporting\EC\2016-12-23-refined-times.txt</v>
      </c>
      <c r="AI9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{"issue":{"subject":"","project_id":79,"tracker_id":40,"status_id":1,"priority_id":2,"assigned_to_id":23,"start_date":"2016-12-23","description":"","custom_fields":[{"id":1,"name":"Subdivision","value":"EC"},{"id":4,"name":"Milepost","value":"0.0138"},{"id":17,"name":"Train ID","value":"186-23"},{"id":16,"name":"Locomotive ID","value":"4032"},{"id":130,"name":"Impact","value":""},{"id":150,"name":"Time of Event (Mountain Time)","value":"15:50:11"},{"id":151,"name":"Denver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585</v>
      </c>
      <c r="B99" s="7">
        <v>4011</v>
      </c>
      <c r="C99" s="22" t="s">
        <v>205</v>
      </c>
      <c r="D99" s="22" t="s">
        <v>287</v>
      </c>
      <c r="E99" s="13">
        <v>42727.601354166669</v>
      </c>
      <c r="F99" s="13">
        <v>42727.604456018518</v>
      </c>
      <c r="G99" s="7">
        <v>1</v>
      </c>
      <c r="H99" s="22" t="s">
        <v>280</v>
      </c>
      <c r="I99" s="13">
        <v>42727.628946759258</v>
      </c>
      <c r="J99" s="7">
        <v>0</v>
      </c>
      <c r="K99" s="109" t="str">
        <f t="shared" si="19"/>
        <v>4011/4012</v>
      </c>
      <c r="L99" s="22" t="str">
        <f>VLOOKUP(A99,'Trips&amp;Operators'!$C$1:$G$99999,5,FALSE)</f>
        <v>STEWART MICHAEL</v>
      </c>
      <c r="M99" s="6">
        <f t="shared" si="20"/>
        <v>2.4490740739565808E-2</v>
      </c>
      <c r="N99" s="7">
        <f t="shared" si="21"/>
        <v>35.266666664974764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8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13:25:57-700',mode:absolute,to:'2016-12-23 16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9" s="52" t="str">
        <f t="shared" si="25"/>
        <v>N</v>
      </c>
      <c r="X99" s="189">
        <f t="shared" si="26"/>
        <v>1</v>
      </c>
      <c r="Y99" s="67">
        <f t="shared" si="27"/>
        <v>4.4200000000000003E-2</v>
      </c>
      <c r="Z99" s="67">
        <f t="shared" si="28"/>
        <v>23.329899999999999</v>
      </c>
      <c r="AA99" s="67">
        <f t="shared" si="29"/>
        <v>23.285699999999999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0"/>
        <v>0187-23</v>
      </c>
      <c r="AE99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99" s="88" t="str">
        <f t="shared" si="32"/>
        <v>"C:\Program Files (x86)\AstroGrep\AstroGrep.exe" /spath="%USERPROFILE%\AppData\Local\Temp\OnboardLogs" /stypes="app*4011*20161223*" /stext=" 22:.+((SYSTEM_STATE.+slice.+state.+changed )|(ment ac)|(multiple cpu faults)|(system.+state.+changed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187-23 --locoid 4011 --swversion DE.1.0.8.0 --startMP 204:442 --initTime 2016-12-23T14:25:57 --startdatetime 2016-12-23T14:30:25 --delay 1 --endMP 204:233299 --enddatetime 2016-12-23T15:05:41 --enforcementcount 0 &gt;&gt;C:\Users\stu\Documents\GitHub\eaglep3-reporting\EC\2016-12-23-refined-times.txt</v>
      </c>
      <c r="AI9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{"issue":{"subject":"","project_id":79,"tracker_id":40,"status_id":1,"priority_id":2,"assigned_to_id":23,"start_date":"2016-12-23","description":"","custom_fields":[{"id":1,"name":"Subdivision","value":"EC"},{"id":4,"name":"Milepost","value":"23.3299"},{"id":17,"name":"Train ID","value":"187-23"},{"id":16,"name":"Locomotive ID","value":"4011"},{"id":130,"name":"Impact","value":""},{"id":150,"name":"Time of Event (Mountain Time)","value":"15:05:41"},{"id":151,"name":"Denver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594</v>
      </c>
      <c r="B100" s="7">
        <v>4012</v>
      </c>
      <c r="C100" s="22" t="s">
        <v>205</v>
      </c>
      <c r="D100" s="22" t="s">
        <v>278</v>
      </c>
      <c r="E100" s="13">
        <v>42727.639768518522</v>
      </c>
      <c r="F100" s="13">
        <v>42727.643379629626</v>
      </c>
      <c r="G100" s="7">
        <v>2</v>
      </c>
      <c r="H100" s="22" t="s">
        <v>224</v>
      </c>
      <c r="I100" s="13">
        <v>42727.670497685183</v>
      </c>
      <c r="J100" s="7">
        <v>0</v>
      </c>
      <c r="K100" s="109" t="str">
        <f t="shared" si="19"/>
        <v>4011/4012</v>
      </c>
      <c r="L100" s="22" t="str">
        <f>VLOOKUP(A100,'Trips&amp;Operators'!$C$1:$G$99999,5,FALSE)</f>
        <v>STEWART MICHAEL</v>
      </c>
      <c r="M100" s="6">
        <f t="shared" si="20"/>
        <v>2.7118055557366461E-2</v>
      </c>
      <c r="N100" s="7">
        <f t="shared" si="21"/>
        <v>39.050000002607703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8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14:21:16-700',mode:absolute,to:'2016-12-23 17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0" s="52" t="str">
        <f t="shared" si="25"/>
        <v>N</v>
      </c>
      <c r="X100" s="189">
        <f t="shared" si="26"/>
        <v>1</v>
      </c>
      <c r="Y100" s="67">
        <f t="shared" si="27"/>
        <v>23.2986</v>
      </c>
      <c r="Z100" s="67">
        <f t="shared" si="28"/>
        <v>1.54E-2</v>
      </c>
      <c r="AA100" s="67">
        <f t="shared" si="29"/>
        <v>23.283200000000001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0"/>
        <v>0188-23</v>
      </c>
      <c r="AE100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00" s="88" t="str">
        <f t="shared" si="32"/>
        <v>"C:\Program Files (x86)\AstroGrep\AstroGrep.exe" /spath="%USERPROFILE%\AppData\Local\Temp\OnboardLogs" /stypes="app*4012*20161223*" /stext=" 23:.+((SYSTEM_STATE.+slice.+state.+changed )|(ment ac)|(multiple cpu faults)|(system.+state.+changed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188-23 --locoid 4012 --swversion DE.1.0.8.0 --startMP 204:232986 --initTime 2016-12-23T15:21:16 --startdatetime 2016-12-23T15:26:28 --delay 2 --endMP 204:154 --enddatetime 2016-12-23T16:05:31 --enforcementcount 0 &gt;&gt;C:\Users\stu\Documents\GitHub\eaglep3-reporting\EC\2016-12-23-refined-times.txt</v>
      </c>
      <c r="AI10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ID","value":"188-23"},{"id":16,"name":"Locomotive ID","value":"4012"},{"id":130,"name":"Impact","value":""},{"id":150,"name":"Time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587</v>
      </c>
      <c r="B101" s="7">
        <v>4016</v>
      </c>
      <c r="C101" s="22" t="s">
        <v>205</v>
      </c>
      <c r="D101" s="22" t="s">
        <v>356</v>
      </c>
      <c r="E101" s="13">
        <v>42727.6096412037</v>
      </c>
      <c r="F101" s="13">
        <v>42727.61482638889</v>
      </c>
      <c r="G101" s="7">
        <v>1</v>
      </c>
      <c r="H101" s="22" t="s">
        <v>289</v>
      </c>
      <c r="I101" s="13">
        <v>42727.639386574076</v>
      </c>
      <c r="J101" s="7">
        <v>0</v>
      </c>
      <c r="K101" s="109" t="str">
        <f t="shared" si="19"/>
        <v>4015/4016</v>
      </c>
      <c r="L101" s="22" t="str">
        <f>VLOOKUP(A101,'Trips&amp;Operators'!$C$1:$G$99999,5,FALSE)</f>
        <v>DE LA ROSA ALEX</v>
      </c>
      <c r="M101" s="6">
        <f t="shared" si="20"/>
        <v>2.4560185185691807E-2</v>
      </c>
      <c r="N101" s="7">
        <f t="shared" si="21"/>
        <v>35.366666667396203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8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13:37:53-700',mode:absolute,to:'2016-12-23 16:20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1" s="52" t="str">
        <f t="shared" si="25"/>
        <v>N</v>
      </c>
      <c r="X101" s="189">
        <f t="shared" si="26"/>
        <v>1</v>
      </c>
      <c r="Y101" s="67">
        <f t="shared" si="27"/>
        <v>4.6600000000000003E-2</v>
      </c>
      <c r="Z101" s="67">
        <f t="shared" si="28"/>
        <v>23.3308</v>
      </c>
      <c r="AA101" s="67">
        <f t="shared" si="29"/>
        <v>23.284199999999998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0"/>
        <v>0189-23</v>
      </c>
      <c r="AE101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01" s="88" t="str">
        <f t="shared" si="32"/>
        <v>"C:\Program Files (x86)\AstroGrep\AstroGrep.exe" /spath="%USERPROFILE%\AppData\Local\Temp\OnboardLogs" /stypes="app*4016*20161223*" /stext=" 22:.+((SYSTEM_STATE.+slice.+state.+changed )|(ment ac)|(multiple cpu faults)|(system.+state.+changed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189-23 --locoid 4016 --swversion DE.1.0.8.0 --startMP 204:466 --initTime 2016-12-23T14:37:53 --startdatetime 2016-12-23T14:45:21 --delay 1 --endMP 204:233308 --enddatetime 2016-12-23T15:20:43 --enforcementcount 0 &gt;&gt;C:\Users\stu\Documents\GitHub\eaglep3-reporting\EC\2016-12-23-refined-times.txt</v>
      </c>
      <c r="AI10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{"issue":{"subject":"","project_id":79,"tracker_id":40,"status_id":1,"priority_id":2,"assigned_to_id":23,"start_date":"2016-12-23","description":"","custom_fields":[{"id":1,"name":"Subdivision","value":"EC"},{"id":4,"name":"Milepost","value":"23.3308"},{"id":17,"name":"Train ID","value":"189-23"},{"id":16,"name":"Locomotive ID","value":"4016"},{"id":130,"name":"Impact","value":""},{"id":150,"name":"Time of Event (Mountain Time)","value":"15:20:43"},{"id":151,"name":"Denver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599</v>
      </c>
      <c r="B102" s="7">
        <v>4015</v>
      </c>
      <c r="C102" s="22" t="s">
        <v>205</v>
      </c>
      <c r="D102" s="22" t="s">
        <v>343</v>
      </c>
      <c r="E102" s="13">
        <v>42727.64943287037</v>
      </c>
      <c r="F102" s="13">
        <v>42727.653703703705</v>
      </c>
      <c r="G102" s="7">
        <v>1</v>
      </c>
      <c r="H102" s="22" t="s">
        <v>224</v>
      </c>
      <c r="I102" s="13">
        <v>42727.681909722225</v>
      </c>
      <c r="J102" s="7">
        <v>0</v>
      </c>
      <c r="K102" s="109" t="str">
        <f t="shared" si="19"/>
        <v>4015/4016</v>
      </c>
      <c r="L102" s="22" t="str">
        <f>VLOOKUP(A102,'Trips&amp;Operators'!$C$1:$G$99999,5,FALSE)</f>
        <v>DE LA ROSA ALEX</v>
      </c>
      <c r="M102" s="6">
        <f t="shared" si="20"/>
        <v>2.8206018519995268E-2</v>
      </c>
      <c r="N102" s="7">
        <f t="shared" si="21"/>
        <v>40.616666668793187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8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14:35:11-700',mode:absolute,to:'2016-12-23 17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2" s="52" t="str">
        <f t="shared" si="25"/>
        <v>N</v>
      </c>
      <c r="X102" s="189">
        <f t="shared" si="26"/>
        <v>1</v>
      </c>
      <c r="Y102" s="67">
        <f t="shared" si="27"/>
        <v>23.299099999999999</v>
      </c>
      <c r="Z102" s="67">
        <f t="shared" si="28"/>
        <v>1.54E-2</v>
      </c>
      <c r="AA102" s="67">
        <f t="shared" si="29"/>
        <v>23.2837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0"/>
        <v>0190-23</v>
      </c>
      <c r="AE102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02" s="88" t="str">
        <f t="shared" si="32"/>
        <v>"C:\Program Files (x86)\AstroGrep\AstroGrep.exe" /spath="%USERPROFILE%\AppData\Local\Temp\OnboardLogs" /stypes="app*4015*20161223*" /stext=" 23:.+((SYSTEM_STATE.+slice.+state.+changed )|(ment ac)|(multiple cpu faults)|(system.+state.+changed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190-23 --locoid 4015 --swversion DE.1.0.8.0 --startMP 204:232991 --initTime 2016-12-23T15:35:11 --startdatetime 2016-12-23T15:41:20 --delay 1 --endMP 204:154 --enddatetime 2016-12-23T16:21:57 --enforcementcount 0 &gt;&gt;C:\Users\stu\Documents\GitHub\eaglep3-reporting\EC\2016-12-23-refined-times.txt</v>
      </c>
      <c r="AI10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{"issue":{"subject":"","project_id":79,"tracker_id":40,"status_id":1,"priority_id":2,"assigned_to_id":23,"start_date":"2016-12-23","description":"","custom_fields":[{"id":1,"name":"Subdivision","value":"EC"},{"id":4,"name":"Milepost","value":"0.0154"},{"id":17,"name":"Train ID","value":"190-23"},{"id":16,"name":"Locomotive ID","value":"4015"},{"id":130,"name":"Impact","value":""},{"id":150,"name":"Time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590</v>
      </c>
      <c r="B103" s="7">
        <v>4051</v>
      </c>
      <c r="C103" s="22" t="s">
        <v>205</v>
      </c>
      <c r="D103" s="22" t="s">
        <v>720</v>
      </c>
      <c r="E103" s="13">
        <v>42727.621990740743</v>
      </c>
      <c r="F103" s="13">
        <v>42727.625185185185</v>
      </c>
      <c r="G103" s="7">
        <v>1</v>
      </c>
      <c r="H103" s="22" t="s">
        <v>394</v>
      </c>
      <c r="I103" s="13">
        <v>42727.650706018518</v>
      </c>
      <c r="J103" s="7">
        <v>0</v>
      </c>
      <c r="K103" s="109" t="str">
        <f t="shared" si="19"/>
        <v>4051/4052</v>
      </c>
      <c r="L103" s="22" t="str">
        <f>VLOOKUP(A103,'Trips&amp;Operators'!$C$1:$G$99999,5,FALSE)</f>
        <v>CLARK KATHLEEN</v>
      </c>
      <c r="M103" s="6">
        <f t="shared" si="20"/>
        <v>2.5520833332848269E-2</v>
      </c>
      <c r="N103" s="7">
        <f t="shared" si="21"/>
        <v>36.749999999301508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8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13:55:40-700',mode:absolute,to:'2016-12-23 16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3" s="52" t="str">
        <f t="shared" si="25"/>
        <v>N</v>
      </c>
      <c r="X103" s="189">
        <f t="shared" si="26"/>
        <v>1</v>
      </c>
      <c r="Y103" s="67">
        <f t="shared" si="27"/>
        <v>4.7800000000000002E-2</v>
      </c>
      <c r="Z103" s="67">
        <f t="shared" si="28"/>
        <v>23.328199999999999</v>
      </c>
      <c r="AA103" s="67">
        <f t="shared" si="29"/>
        <v>23.2804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0"/>
        <v>0191-23</v>
      </c>
      <c r="AE103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03" s="88" t="str">
        <f t="shared" si="32"/>
        <v>"C:\Program Files (x86)\AstroGrep\AstroGrep.exe" /spath="%USERPROFILE%\AppData\Local\Temp\OnboardLogs" /stypes="app*4051*20161223*" /stext=" 22:.+((SYSTEM_STATE.+slice.+state.+changed )|(ment ac)|(multiple cpu faults)|(system.+state.+changed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191-23 --locoid 4051 --swversion DE.1.0.8.0 --startMP 204:478 --initTime 2016-12-23T14:55:40 --startdatetime 2016-12-23T15:00:16 --delay 1 --endMP 204:233282 --enddatetime 2016-12-23T15:37:01 --enforcementcount 0 &gt;&gt;C:\Users\stu\Documents\GitHub\eaglep3-reporting\EC\2016-12-23-refined-times.txt</v>
      </c>
      <c r="AI10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{"issue":{"subject":"","project_id":79,"tracker_id":40,"status_id":1,"priority_id":2,"assigned_to_id":23,"start_date":"2016-12-23","description":"","custom_fields":[{"id":1,"name":"Subdivision","value":"EC"},{"id":4,"name":"Milepost","value":"23.3282"},{"id":17,"name":"Train ID","value":"191-23"},{"id":16,"name":"Locomotive ID","value":"4051"},{"id":130,"name":"Impact","value":""},{"id":150,"name":"Time of Event (Mountain Time)","value":"15:37:01"},{"id":151,"name":"Denver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602</v>
      </c>
      <c r="B104" s="7">
        <v>4052</v>
      </c>
      <c r="C104" s="22" t="s">
        <v>205</v>
      </c>
      <c r="D104" s="22" t="s">
        <v>348</v>
      </c>
      <c r="E104" s="13">
        <v>42727.656122685185</v>
      </c>
      <c r="F104" s="13">
        <v>42727.664131944446</v>
      </c>
      <c r="G104" s="7">
        <v>1</v>
      </c>
      <c r="H104" s="22" t="s">
        <v>211</v>
      </c>
      <c r="I104" s="13">
        <v>42727.695462962962</v>
      </c>
      <c r="J104" s="7">
        <v>0</v>
      </c>
      <c r="K104" s="109" t="str">
        <f t="shared" si="19"/>
        <v>4051/4052</v>
      </c>
      <c r="L104" s="22" t="str">
        <f>VLOOKUP(A104,'Trips&amp;Operators'!$C$1:$G$99999,5,FALSE)</f>
        <v>CLARK KATHLEEN</v>
      </c>
      <c r="M104" s="6">
        <f t="shared" si="20"/>
        <v>3.1331018515629694E-2</v>
      </c>
      <c r="N104" s="7">
        <f t="shared" si="21"/>
        <v>45.116666662506759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8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14:44:49-700',mode:absolute,to:'2016-12-23 17:41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4" s="52" t="str">
        <f t="shared" si="25"/>
        <v>N</v>
      </c>
      <c r="X104" s="189">
        <f t="shared" si="26"/>
        <v>1</v>
      </c>
      <c r="Y104" s="67">
        <f t="shared" si="27"/>
        <v>23.295500000000001</v>
      </c>
      <c r="Z104" s="67">
        <f t="shared" si="28"/>
        <v>1.4999999999999999E-2</v>
      </c>
      <c r="AA104" s="67">
        <f t="shared" si="29"/>
        <v>23.2805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0"/>
        <v>0192-23</v>
      </c>
      <c r="AE104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104" s="88" t="str">
        <f t="shared" si="32"/>
        <v>"C:\Program Files (x86)\AstroGrep\AstroGrep.exe" /spath="%USERPROFILE%\AppData\Local\Temp\OnboardLogs" /stypes="app*4052*20161223*" /stext=" 23:.+((SYSTEM_STATE.+slice.+state.+changed )|(ment ac)|(multiple cpu faults)|(system.+state.+changed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192-23 --locoid 4052 --swversion DE.1.0.8.0 --startMP 204:232955 --initTime 2016-12-23T15:44:49 --startdatetime 2016-12-23T15:56:21 --delay 1 --endMP 204:150 --enddatetime 2016-12-23T16:41:28 --enforcementcount 0 &gt;&gt;C:\Users\stu\Documents\GitHub\eaglep3-reporting\EC\2016-12-23-refined-times.txt</v>
      </c>
      <c r="AI10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{"issue":{"subject":"","project_id":79,"tracker_id":40,"status_id":1,"priority_id":2,"assigned_to_id":23,"start_date":"2016-12-23","description":"","custom_fields":[{"id":1,"name":"Subdivision","value":"EC"},{"id":4,"name":"Milepost","value":"0.015"},{"id":17,"name":"Train ID","value":"192-23"},{"id":16,"name":"Locomotive ID","value":"4052"},{"id":130,"name":"Impact","value":""},{"id":150,"name":"Time of Event (Mountain Time)","value":"16:41:28"},{"id":151,"name":"Denver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592</v>
      </c>
      <c r="B105" s="7">
        <v>4007</v>
      </c>
      <c r="C105" s="22" t="s">
        <v>205</v>
      </c>
      <c r="D105" s="22" t="s">
        <v>317</v>
      </c>
      <c r="E105" s="13">
        <v>42727.630127314813</v>
      </c>
      <c r="F105" s="13">
        <v>42727.635625000003</v>
      </c>
      <c r="G105" s="7">
        <v>1</v>
      </c>
      <c r="H105" s="22" t="s">
        <v>392</v>
      </c>
      <c r="I105" s="13">
        <v>42727.65997685185</v>
      </c>
      <c r="J105" s="7">
        <v>0</v>
      </c>
      <c r="K105" s="109" t="str">
        <f t="shared" si="19"/>
        <v>4007/4008</v>
      </c>
      <c r="L105" s="22" t="str">
        <f>VLOOKUP(A105,'Trips&amp;Operators'!$C$1:$G$99999,5,FALSE)</f>
        <v>BRUDER RICHARD</v>
      </c>
      <c r="M105" s="6">
        <f t="shared" si="20"/>
        <v>2.435185184731381E-2</v>
      </c>
      <c r="N105" s="7">
        <f t="shared" si="21"/>
        <v>35.066666660131887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8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14:07:23-700',mode:absolute,to:'2016-12-23 16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5" s="52" t="str">
        <f t="shared" si="25"/>
        <v>N</v>
      </c>
      <c r="X105" s="189">
        <f t="shared" si="26"/>
        <v>1</v>
      </c>
      <c r="Y105" s="67">
        <f t="shared" si="27"/>
        <v>4.7300000000000002E-2</v>
      </c>
      <c r="Z105" s="67">
        <f t="shared" si="28"/>
        <v>23.331399999999999</v>
      </c>
      <c r="AA105" s="67">
        <f t="shared" si="29"/>
        <v>23.284099999999999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0"/>
        <v>0193-23</v>
      </c>
      <c r="AE105" s="91" t="str">
        <f t="shared" si="31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105" s="88" t="str">
        <f t="shared" si="32"/>
        <v>"C:\Program Files (x86)\AstroGrep\AstroGrep.exe" /spath="%USERPROFILE%\AppData\Local\Temp\OnboardLogs" /stypes="app*4007*20161223*" /stext=" 22:.+((SYSTEM_STATE.+slice.+state.+changed )|(ment ac)|(multiple cpu faults)|(system.+state.+changed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193-23 --locoid 4007 --swversion DE.1.0.8.0 --startMP 204:473 --initTime 2016-12-23T15:07:23 --startdatetime 2016-12-23T15:15:18 --delay 1 --endMP 204:233314 --enddatetime 2016-12-23T15:50:22 --enforcementcount 0 &gt;&gt;C:\Users\stu\Documents\GitHub\eaglep3-reporting\EC\2016-12-23-refined-times.txt</v>
      </c>
      <c r="AI10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ID","value":"193-23"},{"id":16,"name":"Locomotive ID","value":"4007"},{"id":130,"name":"Impact","value":""},{"id":150,"name":"Time of Event (Mountain Time)","value":"15:50:22"},{"id":151,"name":"Denver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606</v>
      </c>
      <c r="B106" s="7">
        <v>4008</v>
      </c>
      <c r="C106" s="22" t="s">
        <v>205</v>
      </c>
      <c r="D106" s="22" t="s">
        <v>257</v>
      </c>
      <c r="E106" s="13">
        <v>42727.669675925928</v>
      </c>
      <c r="F106" s="13">
        <v>42727.676168981481</v>
      </c>
      <c r="G106" s="7">
        <v>1</v>
      </c>
      <c r="H106" s="22" t="s">
        <v>721</v>
      </c>
      <c r="I106" s="13">
        <v>42727.70349537037</v>
      </c>
      <c r="J106" s="7">
        <v>0</v>
      </c>
      <c r="K106" s="109" t="str">
        <f t="shared" si="19"/>
        <v>4007/4008</v>
      </c>
      <c r="L106" s="22" t="str">
        <f>VLOOKUP(A106,'Trips&amp;Operators'!$C$1:$G$99999,5,FALSE)</f>
        <v>BRUDER RICHARD</v>
      </c>
      <c r="M106" s="6">
        <f t="shared" si="20"/>
        <v>2.73263888884685E-2</v>
      </c>
      <c r="N106" s="7">
        <f t="shared" si="21"/>
        <v>39.34999999939464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8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15:04:20-700',mode:absolute,to:'2016-12-23 17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6" s="52" t="str">
        <f t="shared" si="25"/>
        <v>N</v>
      </c>
      <c r="X106" s="189">
        <f t="shared" si="26"/>
        <v>1</v>
      </c>
      <c r="Y106" s="67">
        <f t="shared" si="27"/>
        <v>23.299399999999999</v>
      </c>
      <c r="Z106" s="67">
        <f t="shared" si="28"/>
        <v>2.8299999999999999E-2</v>
      </c>
      <c r="AA106" s="67">
        <f t="shared" si="29"/>
        <v>23.271099999999997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0"/>
        <v>0194-23</v>
      </c>
      <c r="AE106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106" s="88" t="str">
        <f t="shared" si="32"/>
        <v>"C:\Program Files (x86)\AstroGrep\AstroGrep.exe" /spath="%USERPROFILE%\AppData\Local\Temp\OnboardLogs" /stypes="app*4008*20161223*" /stext=" 23:.+((SYSTEM_STATE.+slice.+state.+changed )|(ment ac)|(multiple cpu faults)|(system.+state.+changed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194-23 --locoid 4008 --swversion DE.1.0.8.0 --startMP 204:232994 --initTime 2016-12-23T16:04:20 --startdatetime 2016-12-23T16:13:41 --delay 1 --endMP 204:283 --enddatetime 2016-12-23T16:53:02 --enforcementcount 0 &gt;&gt;C:\Users\stu\Documents\GitHub\eaglep3-reporting\EC\2016-12-23-refined-times.txt</v>
      </c>
      <c r="AI10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{"issue":{"subject":"","project_id":79,"tracker_id":40,"status_id":1,"priority_id":2,"assigned_to_id":23,"start_date":"2016-12-23","description":"","custom_fields":[{"id":1,"name":"Subdivision","value":"EC"},{"id":4,"name":"Milepost","value":"0.0283"},{"id":17,"name":"Train ID","value":"194-23"},{"id":16,"name":"Locomotive ID","value":"4008"},{"id":130,"name":"Impact","value":""},{"id":150,"name":"Time of Event (Mountain Time)","value":"16:53:02"},{"id":151,"name":"Denver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595</v>
      </c>
      <c r="B107" s="7">
        <v>4025</v>
      </c>
      <c r="C107" s="22" t="s">
        <v>205</v>
      </c>
      <c r="D107" s="22" t="s">
        <v>230</v>
      </c>
      <c r="E107" s="13">
        <v>42727.641539351855</v>
      </c>
      <c r="F107" s="13">
        <v>42727.646284722221</v>
      </c>
      <c r="G107" s="7">
        <v>1</v>
      </c>
      <c r="H107" s="22" t="s">
        <v>339</v>
      </c>
      <c r="I107" s="13">
        <v>42727.671469907407</v>
      </c>
      <c r="J107" s="7">
        <v>0</v>
      </c>
      <c r="K107" s="109" t="str">
        <f t="shared" si="19"/>
        <v>4025/4026</v>
      </c>
      <c r="L107" s="22" t="str">
        <f>VLOOKUP(A107,'Trips&amp;Operators'!$C$1:$G$99999,5,FALSE)</f>
        <v>LEVERE CRAIG</v>
      </c>
      <c r="M107" s="6">
        <f t="shared" si="20"/>
        <v>2.5185185186273884E-2</v>
      </c>
      <c r="N107" s="7">
        <f t="shared" si="21"/>
        <v>36.266666668234393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8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14:23:49-700',mode:absolute,to:'2016-12-23 17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7" s="52" t="str">
        <f t="shared" si="25"/>
        <v>N</v>
      </c>
      <c r="X107" s="189">
        <f t="shared" si="26"/>
        <v>1</v>
      </c>
      <c r="Y107" s="67">
        <f t="shared" si="27"/>
        <v>4.5999999999999999E-2</v>
      </c>
      <c r="Z107" s="67">
        <f t="shared" si="28"/>
        <v>23.331199999999999</v>
      </c>
      <c r="AA107" s="67">
        <f t="shared" si="29"/>
        <v>23.2852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0"/>
        <v>0195-23</v>
      </c>
      <c r="AE107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07" s="88" t="str">
        <f t="shared" si="32"/>
        <v>"C:\Program Files (x86)\AstroGrep\AstroGrep.exe" /spath="%USERPROFILE%\AppData\Local\Temp\OnboardLogs" /stypes="app*4025*20161223*" /stext=" 23:.+((SYSTEM_STATE.+slice.+state.+changed )|(ment ac)|(multiple cpu faults)|(system.+state.+changed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195-23 --locoid 4025 --swversion DE.1.0.8.0 --startMP 204:460 --initTime 2016-12-23T15:23:49 --startdatetime 2016-12-23T15:30:39 --delay 1 --endMP 204:233312 --enddatetime 2016-12-23T16:06:55 --enforcementcount 0 &gt;&gt;C:\Users\stu\Documents\GitHub\eaglep3-reporting\EC\2016-12-23-refined-times.txt</v>
      </c>
      <c r="AI10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{"issue":{"subject":"","project_id":79,"tracker_id":40,"status_id":1,"priority_id":2,"assigned_to_id":23,"start_date":"2016-12-23","description":"","custom_fields":[{"id":1,"name":"Subdivision","value":"EC"},{"id":4,"name":"Milepost","value":"23.3312"},{"id":17,"name":"Train ID","value":"195-23"},{"id":16,"name":"Locomotive ID","value":"4025"},{"id":130,"name":"Impact","value":""},{"id":150,"name":"Time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610</v>
      </c>
      <c r="B108" s="7">
        <v>4026</v>
      </c>
      <c r="C108" s="22" t="s">
        <v>205</v>
      </c>
      <c r="D108" s="22" t="s">
        <v>355</v>
      </c>
      <c r="E108" s="13">
        <v>42727.678298611114</v>
      </c>
      <c r="F108" s="13">
        <v>42727.685740740744</v>
      </c>
      <c r="G108" s="7">
        <v>1</v>
      </c>
      <c r="H108" s="22" t="s">
        <v>711</v>
      </c>
      <c r="I108" s="13">
        <v>42727.715127314812</v>
      </c>
      <c r="J108" s="7">
        <v>0</v>
      </c>
      <c r="K108" s="109" t="str">
        <f t="shared" si="19"/>
        <v>4025/4026</v>
      </c>
      <c r="L108" s="22" t="str">
        <f>VLOOKUP(A108,'Trips&amp;Operators'!$C$1:$G$99999,5,FALSE)</f>
        <v>LEVERE CRAIG</v>
      </c>
      <c r="M108" s="6">
        <f t="shared" si="20"/>
        <v>2.9386574067757465E-2</v>
      </c>
      <c r="N108" s="7">
        <f t="shared" si="21"/>
        <v>42.31666665757075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8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15:16:45-700',mode:absolute,to:'2016-12-23 18:09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8" s="52" t="str">
        <f t="shared" si="25"/>
        <v>N</v>
      </c>
      <c r="X108" s="189">
        <f t="shared" si="26"/>
        <v>1</v>
      </c>
      <c r="Y108" s="67">
        <f t="shared" si="27"/>
        <v>23.298200000000001</v>
      </c>
      <c r="Z108" s="67">
        <f t="shared" si="28"/>
        <v>1.5599999999999999E-2</v>
      </c>
      <c r="AA108" s="67">
        <f t="shared" si="29"/>
        <v>23.282600000000002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0"/>
        <v>0196-23</v>
      </c>
      <c r="AE108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08" s="88" t="str">
        <f t="shared" si="32"/>
        <v>"C:\Program Files (x86)\AstroGrep\AstroGrep.exe" /spath="%USERPROFILE%\AppData\Local\Temp\OnboardLogs" /stypes="app*4026*20161224*" /stext=" 00:.+((SYSTEM_STATE.+slice.+state.+changed )|(ment ac)|(multiple cpu faults)|(system.+state.+changed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196-23 --locoid 4026 --swversion DE.1.0.8.0 --startMP 204:232982 --initTime 2016-12-23T16:16:45 --startdatetime 2016-12-23T16:27:28 --delay 1 --endMP 204:156 --enddatetime 2016-12-23T17:09:47 --enforcementcount 0 &gt;&gt;C:\Users\stu\Documents\GitHub\eaglep3-reporting\EC\2016-12-23-refined-times.txt</v>
      </c>
      <c r="AI10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ID","value":"196-23"},{"id":16,"name":"Locomotive ID","value":"4026"},{"id":130,"name":"Impact","value":""},{"id":150,"name":"Time of Event (Mountain Time)","value":"17:09:47"},{"id":151,"name":"Denver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443</v>
      </c>
      <c r="B109" s="7">
        <v>4042</v>
      </c>
      <c r="C109" s="22" t="s">
        <v>205</v>
      </c>
      <c r="D109" s="22" t="s">
        <v>317</v>
      </c>
      <c r="E109" s="13">
        <v>42727.653310185182</v>
      </c>
      <c r="F109" s="13">
        <v>42727.654930555553</v>
      </c>
      <c r="G109" s="7">
        <v>2</v>
      </c>
      <c r="H109" s="22" t="s">
        <v>722</v>
      </c>
      <c r="I109" s="13">
        <v>42727.663402777776</v>
      </c>
      <c r="J109" s="7">
        <v>2</v>
      </c>
      <c r="K109" s="109" t="str">
        <f t="shared" si="19"/>
        <v>4041/4042</v>
      </c>
      <c r="L109" s="22" t="str">
        <f>VLOOKUP(A109,'Trips&amp;Operators'!$C$1:$G$99999,5,FALSE)</f>
        <v>KILLION DAVID</v>
      </c>
      <c r="M109" s="6">
        <f t="shared" si="20"/>
        <v>8.4722222236450762E-3</v>
      </c>
      <c r="N109" s="7"/>
      <c r="O109" s="7"/>
      <c r="P109" s="7">
        <f>24*60*SUM($M109:$M110)</f>
        <v>36.000000002095476</v>
      </c>
      <c r="Q109" s="23"/>
      <c r="R109" s="23" t="s">
        <v>856</v>
      </c>
      <c r="S109" s="35">
        <f>SUM(U109:U110)/IF(AG109="EC",12,1)</f>
        <v>0.5</v>
      </c>
      <c r="T109" s="50" t="str">
        <f t="shared" si="23"/>
        <v>NorthBound</v>
      </c>
      <c r="U109" s="18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14:40:46-700',mode:absolute,to:'2016-12-23 16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9" s="52" t="str">
        <f t="shared" si="25"/>
        <v>Y</v>
      </c>
      <c r="X109" s="189">
        <f t="shared" si="26"/>
        <v>1</v>
      </c>
      <c r="Y109" s="67">
        <f t="shared" si="27"/>
        <v>4.7300000000000002E-2</v>
      </c>
      <c r="Z109" s="67">
        <f t="shared" si="28"/>
        <v>3.6972999999999998</v>
      </c>
      <c r="AA109" s="67">
        <f t="shared" si="29"/>
        <v>3.65</v>
      </c>
      <c r="AB109" s="64" t="str">
        <f>VLOOKUP(A109,Enforcements!$C$7:$K$19,8,0)</f>
        <v>Signal based authority (5)</v>
      </c>
      <c r="AC109" s="60" t="str">
        <f>VLOOKUP(A109,Enforcements!$C$7:$E$19,3,0)</f>
        <v>SIGNAL</v>
      </c>
      <c r="AD109" s="61" t="str">
        <f t="shared" si="30"/>
        <v>0197-23</v>
      </c>
      <c r="AE109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109" s="88" t="str">
        <f t="shared" si="32"/>
        <v>"C:\Program Files (x86)\AstroGrep\AstroGrep.exe" /spath="%USERPROFILE%\AppData\Local\Temp\OnboardLogs" /stypes="app*4042*20161223*" /stext=" 22:.+((SYSTEM_STATE.+slice.+state.+changed )|(ment ac)|(multiple cpu faults)|(system.+state.+changed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197-23 --locoid 4042 --swversion DE.1.0.8.0 --startMP 204:473 --initTime 2016-12-23T15:40:46 --startdatetime 2016-12-23T15:43:06 --delay 2 --endMP 204:36973 --enddatetime 2016-12-23T15:55:18 --enforcementcount 2 &gt;&gt;C:\Users\stu\Documents\GitHub\eaglep3-reporting\EC\2016-12-23-refined-times.txt</v>
      </c>
      <c r="AI109" s="119" t="str">
        <f t="shared" si="35"/>
        <v>echo {"issue":{"subject":"Wi-MAX data drop","project_id":79,"tracker_id":40,"status_id":1,"priority_id":2,"assigned_to_id":23,"start_date":"2016-12-23","description":"","custom_fields":[{"id":1,"name":"Subdivision","value":"EC"},{"id":4,"name":"Milepost","value":"3.6973"},{"id":17,"name":"Train ID","value":"197-23"},{"id":16,"name":"Locomotive ID","value":"4042"},{"id":130,"name":"Impact","value":""},{"id":150,"name":"Time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443</v>
      </c>
      <c r="B110" s="7">
        <v>4042</v>
      </c>
      <c r="C110" s="22" t="s">
        <v>205</v>
      </c>
      <c r="D110" s="22" t="s">
        <v>723</v>
      </c>
      <c r="E110" s="13">
        <v>42727.66851851852</v>
      </c>
      <c r="F110" s="13">
        <v>42727.66914351852</v>
      </c>
      <c r="G110" s="7">
        <v>0</v>
      </c>
      <c r="H110" s="22" t="s">
        <v>276</v>
      </c>
      <c r="I110" s="13">
        <v>42727.685671296298</v>
      </c>
      <c r="J110" s="7">
        <v>0</v>
      </c>
      <c r="K110" s="109" t="str">
        <f t="shared" si="19"/>
        <v>4041/4042</v>
      </c>
      <c r="L110" s="22" t="str">
        <f>VLOOKUP(A110,'Trips&amp;Operators'!$C$1:$G$99999,5,FALSE)</f>
        <v>KILLION DAVID</v>
      </c>
      <c r="M110" s="6">
        <f t="shared" si="20"/>
        <v>1.6527777777810115E-2</v>
      </c>
      <c r="N110" s="7"/>
      <c r="O110" s="7"/>
      <c r="P110" s="7"/>
      <c r="Q110" s="23"/>
      <c r="R110" s="23"/>
      <c r="S110" s="35"/>
      <c r="T110" s="50" t="str">
        <f t="shared" si="23"/>
        <v>NorthBound</v>
      </c>
      <c r="U110" s="18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3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15:02:40-700',mode:absolute,to:'2016-12-23 17:27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0" s="52" t="str">
        <f t="shared" si="25"/>
        <v>Y</v>
      </c>
      <c r="X110" s="189">
        <f t="shared" si="26"/>
        <v>0</v>
      </c>
      <c r="Y110" s="67">
        <f t="shared" si="27"/>
        <v>6.4682000000000004</v>
      </c>
      <c r="Z110" s="67">
        <f t="shared" si="28"/>
        <v>23.328900000000001</v>
      </c>
      <c r="AA110" s="67">
        <f t="shared" si="29"/>
        <v>16.860700000000001</v>
      </c>
      <c r="AB110" s="64" t="str">
        <f>VLOOKUP(A110,Enforcements!$C$7:$K$19,8,0)</f>
        <v>Signal based authority (5)</v>
      </c>
      <c r="AC110" s="60" t="str">
        <f>VLOOKUP(A110,Enforcements!$C$7:$E$19,3,0)</f>
        <v>SIGNAL</v>
      </c>
      <c r="AD110" s="61" t="str">
        <f t="shared" si="30"/>
        <v>0197-23</v>
      </c>
      <c r="AE110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110" s="88" t="str">
        <f t="shared" si="32"/>
        <v>"C:\Program Files (x86)\AstroGrep\AstroGrep.exe" /spath="%USERPROFILE%\AppData\Local\Temp\OnboardLogs" /stypes="app*4042*20161223*" /stext=" 23:.+((SYSTEM_STATE.+slice.+state.+changed )|(ment ac)|(multiple cpu faults)|(system.+state.+changed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197-23 --locoid 4042 --swversion DE.1.0.8.0 --startMP 204:64682 --initTime 2016-12-23T16:02:40 --startdatetime 2016-12-23T16:03:34 --delay 0 --endMP 204:233289 --enddatetime 2016-12-23T16:27:22 --enforcementcount 0 &gt;&gt;C:\Users\stu\Documents\GitHub\eaglep3-reporting\EC\2016-12-23-refined-times.txt</v>
      </c>
      <c r="AI11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{"issue":{"subject":"","project_id":79,"tracker_id":40,"status_id":1,"priority_id":2,"assigned_to_id":23,"start_date":"2016-12-23","description":"","custom_fields":[{"id":1,"name":"Subdivision","value":"EC"},{"id":4,"name":"Milepost","value":"23.3289"},{"id":17,"name":"Train ID","value":"197-23"},{"id":16,"name":"Locomotive ID","value":"4042"},{"id":130,"name":"Impact","value":""},{"id":150,"name":"Time of Event (Mountain Time)","value":"16:27:22"},{"id":151,"name":"Denver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446</v>
      </c>
      <c r="B111" s="7">
        <v>4041</v>
      </c>
      <c r="C111" s="22" t="s">
        <v>205</v>
      </c>
      <c r="D111" s="22" t="s">
        <v>389</v>
      </c>
      <c r="E111" s="13">
        <v>42727.689571759256</v>
      </c>
      <c r="F111" s="13">
        <v>42727.6953125</v>
      </c>
      <c r="G111" s="7">
        <v>1</v>
      </c>
      <c r="H111" s="22" t="s">
        <v>191</v>
      </c>
      <c r="I111" s="13">
        <v>42727.723090277781</v>
      </c>
      <c r="J111" s="7">
        <v>0</v>
      </c>
      <c r="K111" s="109" t="str">
        <f t="shared" si="19"/>
        <v>4041/4042</v>
      </c>
      <c r="L111" s="22" t="str">
        <f>VLOOKUP(A111,'Trips&amp;Operators'!$C$1:$G$99999,5,FALSE)</f>
        <v>KILLION DAVID</v>
      </c>
      <c r="M111" s="6">
        <f t="shared" si="20"/>
        <v>2.7777777781011537E-2</v>
      </c>
      <c r="N111" s="7">
        <f t="shared" si="21"/>
        <v>40.000000004656613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Southbound</v>
      </c>
      <c r="U111" s="18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15:32:59-700',mode:absolute,to:'2016-12-23 18:21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1" s="52" t="str">
        <f t="shared" si="25"/>
        <v>N</v>
      </c>
      <c r="X111" s="189">
        <f t="shared" si="26"/>
        <v>1</v>
      </c>
      <c r="Y111" s="67">
        <f t="shared" si="27"/>
        <v>23.2987</v>
      </c>
      <c r="Z111" s="67">
        <f t="shared" si="28"/>
        <v>1.49E-2</v>
      </c>
      <c r="AA111" s="67">
        <f t="shared" si="29"/>
        <v>23.283799999999999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0"/>
        <v>0198-23</v>
      </c>
      <c r="AE111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111" s="88" t="str">
        <f t="shared" si="32"/>
        <v>"C:\Program Files (x86)\AstroGrep\AstroGrep.exe" /spath="%USERPROFILE%\AppData\Local\Temp\OnboardLogs" /stypes="app*4041*20161224*" /stext=" 00:.+((SYSTEM_STATE.+slice.+state.+changed )|(ment ac)|(multiple cpu faults)|(system.+state.+changed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198-23 --locoid 4041 --swversion DE.1.0.8.0 --startMP 204:232987 --initTime 2016-12-23T16:32:59 --startdatetime 2016-12-23T16:41:15 --delay 1 --endMP 204:149 --enddatetime 2016-12-23T17:21:15 --enforcementcount 0 &gt;&gt;C:\Users\stu\Documents\GitHub\eaglep3-reporting\EC\2016-12-23-refined-times.txt</v>
      </c>
      <c r="AI11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ID","value":"198-23"},{"id":16,"name":"Locomotive ID","value":"4041"},{"id":130,"name":"Impact","value":""},{"id":150,"name":"Time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603</v>
      </c>
      <c r="B112" s="7">
        <v>4031</v>
      </c>
      <c r="C112" s="22" t="s">
        <v>205</v>
      </c>
      <c r="D112" s="22" t="s">
        <v>230</v>
      </c>
      <c r="E112" s="13">
        <v>42727.661851851852</v>
      </c>
      <c r="F112" s="13">
        <v>42727.667094907411</v>
      </c>
      <c r="G112" s="7">
        <v>1</v>
      </c>
      <c r="H112" s="22" t="s">
        <v>391</v>
      </c>
      <c r="I112" s="13">
        <v>42727.692800925928</v>
      </c>
      <c r="J112" s="7">
        <v>0</v>
      </c>
      <c r="K112" s="109" t="str">
        <f t="shared" si="19"/>
        <v>4031/4032</v>
      </c>
      <c r="L112" s="22" t="str">
        <f>VLOOKUP(A112,'Trips&amp;Operators'!$C$1:$G$99999,5,FALSE)</f>
        <v>DELGADO DIANAH</v>
      </c>
      <c r="M112" s="6">
        <f t="shared" si="20"/>
        <v>2.5706018517666962E-2</v>
      </c>
      <c r="N112" s="7">
        <f t="shared" si="21"/>
        <v>37.016666665440425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NorthBound</v>
      </c>
      <c r="U112" s="18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14:53:04-700',mode:absolute,to:'2016-12-23 17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2" s="52" t="str">
        <f t="shared" si="25"/>
        <v>N</v>
      </c>
      <c r="X112" s="189">
        <f t="shared" si="26"/>
        <v>1</v>
      </c>
      <c r="Y112" s="67">
        <f t="shared" si="27"/>
        <v>4.5999999999999999E-2</v>
      </c>
      <c r="Z112" s="67">
        <f t="shared" si="28"/>
        <v>23.3307</v>
      </c>
      <c r="AA112" s="67">
        <f t="shared" si="29"/>
        <v>23.284700000000001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0"/>
        <v>0199-23</v>
      </c>
      <c r="AE112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12" s="88" t="str">
        <f t="shared" si="32"/>
        <v>"C:\Program Files (x86)\AstroGrep\AstroGrep.exe" /spath="%USERPROFILE%\AppData\Local\Temp\OnboardLogs" /stypes="app*4031*20161223*" /stext=" 23:.+((SYSTEM_STATE.+slice.+state.+changed )|(ment ac)|(multiple cpu faults)|(system.+state.+changed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199-23 --locoid 4031 --swversion DE.1.0.8.0 --startMP 204:460 --initTime 2016-12-23T15:53:04 --startdatetime 2016-12-23T16:00:37 --delay 1 --endMP 204:233307 --enddatetime 2016-12-23T16:37:38 --enforcementcount 0 &gt;&gt;C:\Users\stu\Documents\GitHub\eaglep3-reporting\EC\2016-12-23-refined-times.txt</v>
      </c>
      <c r="AI11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{"issue":{"subject":"","project_id":79,"tracker_id":40,"status_id":1,"priority_id":2,"assigned_to_id":23,"start_date":"2016-12-23","description":"","custom_fields":[{"id":1,"name":"Subdivision","value":"EC"},{"id":4,"name":"Milepost","value":"23.3307"},{"id":17,"name":"Train ID","value":"199-23"},{"id":16,"name":"Locomotive ID","value":"4031"},{"id":130,"name":"Impact","value":""},{"id":150,"name":"Time of Event (Mountain Time)","value":"16:37:38"},{"id":151,"name":"Denver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613</v>
      </c>
      <c r="B113" s="7">
        <v>4032</v>
      </c>
      <c r="C113" s="22" t="s">
        <v>205</v>
      </c>
      <c r="D113" s="22" t="s">
        <v>315</v>
      </c>
      <c r="E113" s="13">
        <v>42727.697604166664</v>
      </c>
      <c r="F113" s="13">
        <v>42727.705763888887</v>
      </c>
      <c r="G113" s="7">
        <v>1</v>
      </c>
      <c r="H113" s="22" t="s">
        <v>192</v>
      </c>
      <c r="I113" s="13">
        <v>42727.733796296299</v>
      </c>
      <c r="J113" s="7">
        <v>0</v>
      </c>
      <c r="K113" s="109" t="str">
        <f t="shared" si="19"/>
        <v>4031/4032</v>
      </c>
      <c r="L113" s="22" t="str">
        <f>VLOOKUP(A113,'Trips&amp;Operators'!$C$1:$G$99999,5,FALSE)</f>
        <v>DELGADO DIANAH</v>
      </c>
      <c r="M113" s="6">
        <f t="shared" si="20"/>
        <v>2.8032407411956228E-2</v>
      </c>
      <c r="N113" s="7">
        <f t="shared" si="21"/>
        <v>40.366666673216969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Southbound</v>
      </c>
      <c r="U113" s="18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15:44:33-700',mode:absolute,to:'2016-12-23 18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3" s="52" t="str">
        <f t="shared" si="25"/>
        <v>N</v>
      </c>
      <c r="X113" s="189">
        <f t="shared" si="26"/>
        <v>1</v>
      </c>
      <c r="Y113" s="67">
        <f t="shared" si="27"/>
        <v>23.298400000000001</v>
      </c>
      <c r="Z113" s="67">
        <f t="shared" si="28"/>
        <v>1.43E-2</v>
      </c>
      <c r="AA113" s="67">
        <f t="shared" si="29"/>
        <v>23.284100000000002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0"/>
        <v>0200-23</v>
      </c>
      <c r="AE113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13" s="88" t="str">
        <f t="shared" si="32"/>
        <v>"C:\Program Files (x86)\AstroGrep\AstroGrep.exe" /spath="%USERPROFILE%\AppData\Local\Temp\OnboardLogs" /stypes="app*4032*20161224*" /stext=" 00:.+((SYSTEM_STATE.+slice.+state.+changed )|(ment ac)|(multiple cpu faults)|(system.+state.+changed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200-23 --locoid 4032 --swversion DE.1.0.8.0 --startMP 204:232984 --initTime 2016-12-23T16:44:33 --startdatetime 2016-12-23T16:56:18 --delay 1 --endMP 204:143 --enddatetime 2016-12-23T17:36:40 --enforcementcount 0 &gt;&gt;C:\Users\stu\Documents\GitHub\eaglep3-reporting\EC\2016-12-23-refined-times.txt</v>
      </c>
      <c r="AI11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ID","value":"200-23"},{"id":16,"name":"Locomotive ID","value":"4032"},{"id":130,"name":"Impact","value":""},{"id":150,"name":"Time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607</v>
      </c>
      <c r="B114" s="7">
        <v>4011</v>
      </c>
      <c r="C114" s="22" t="s">
        <v>205</v>
      </c>
      <c r="D114" s="22" t="s">
        <v>255</v>
      </c>
      <c r="E114" s="13">
        <v>42727.672731481478</v>
      </c>
      <c r="F114" s="13">
        <v>42727.677499999998</v>
      </c>
      <c r="G114" s="7">
        <v>1</v>
      </c>
      <c r="H114" s="22" t="s">
        <v>340</v>
      </c>
      <c r="I114" s="13">
        <v>42727.702499999999</v>
      </c>
      <c r="J114" s="7">
        <v>0</v>
      </c>
      <c r="K114" s="109" t="str">
        <f t="shared" si="19"/>
        <v>4011/4012</v>
      </c>
      <c r="L114" s="22" t="str">
        <f>VLOOKUP(A114,'Trips&amp;Operators'!$C$1:$G$99999,5,FALSE)</f>
        <v>STEWART MICHAEL</v>
      </c>
      <c r="M114" s="6">
        <f t="shared" si="20"/>
        <v>2.5000000001455192E-2</v>
      </c>
      <c r="N114" s="7">
        <f t="shared" si="21"/>
        <v>36.000000002095476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NorthBound</v>
      </c>
      <c r="U114" s="18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15:08:44-700',mode:absolute,to:'2016-12-23 17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 t="shared" si="25"/>
        <v>N</v>
      </c>
      <c r="X114" s="189">
        <f t="shared" si="26"/>
        <v>1</v>
      </c>
      <c r="Y114" s="67">
        <f t="shared" si="27"/>
        <v>4.53E-2</v>
      </c>
      <c r="Z114" s="67">
        <f t="shared" si="28"/>
        <v>23.3293</v>
      </c>
      <c r="AA114" s="67">
        <f t="shared" si="29"/>
        <v>23.283999999999999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0"/>
        <v>0201-23</v>
      </c>
      <c r="AE114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114" s="88" t="str">
        <f t="shared" si="32"/>
        <v>"C:\Program Files (x86)\AstroGrep\AstroGrep.exe" /spath="%USERPROFILE%\AppData\Local\Temp\OnboardLogs" /stypes="app*4011*20161223*" /stext=" 23:.+((SYSTEM_STATE.+slice.+state.+changed )|(ment ac)|(multiple cpu faults)|(system.+state.+changed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201-23 --locoid 4011 --swversion DE.1.0.8.0 --startMP 204:453 --initTime 2016-12-23T16:08:44 --startdatetime 2016-12-23T16:15:36 --delay 1 --endMP 204:233293 --enddatetime 2016-12-23T16:51:36 --enforcementcount 0 &gt;&gt;C:\Users\stu\Documents\GitHub\eaglep3-reporting\EC\2016-12-23-refined-times.txt</v>
      </c>
      <c r="AI11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{"issue":{"subject":"","project_id":79,"tracker_id":40,"status_id":1,"priority_id":2,"assigned_to_id":23,"start_date":"2016-12-23","description":"","custom_fields":[{"id":1,"name":"Subdivision","value":"EC"},{"id":4,"name":"Milepost","value":"23.3293"},{"id":17,"name":"Train ID","value":"201-23"},{"id":16,"name":"Locomotive ID","value":"4011"},{"id":130,"name":"Impact","value":""},{"id":150,"name":"Time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615</v>
      </c>
      <c r="B115" s="7">
        <v>4012</v>
      </c>
      <c r="C115" s="22" t="s">
        <v>205</v>
      </c>
      <c r="D115" s="22" t="s">
        <v>312</v>
      </c>
      <c r="E115" s="13">
        <v>42727.712013888886</v>
      </c>
      <c r="F115" s="13">
        <v>42727.716412037036</v>
      </c>
      <c r="G115" s="7">
        <v>1</v>
      </c>
      <c r="H115" s="22" t="s">
        <v>267</v>
      </c>
      <c r="I115" s="13">
        <v>42727.745000000003</v>
      </c>
      <c r="J115" s="7">
        <v>0</v>
      </c>
      <c r="K115" s="109" t="str">
        <f t="shared" si="19"/>
        <v>4011/4012</v>
      </c>
      <c r="L115" s="22" t="str">
        <f>VLOOKUP(A115,'Trips&amp;Operators'!$C$1:$G$99999,5,FALSE)</f>
        <v>STEWART MICHAEL</v>
      </c>
      <c r="M115" s="6">
        <f t="shared" si="20"/>
        <v>2.8587962966412306E-2</v>
      </c>
      <c r="N115" s="7">
        <f t="shared" si="21"/>
        <v>41.16666667163372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Southbound</v>
      </c>
      <c r="U115" s="18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16:05:18-700',mode:absolute,to:'2016-12-23 18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 t="shared" si="25"/>
        <v>N</v>
      </c>
      <c r="X115" s="189">
        <f t="shared" si="26"/>
        <v>1</v>
      </c>
      <c r="Y115" s="67">
        <f t="shared" si="27"/>
        <v>23.298100000000002</v>
      </c>
      <c r="Z115" s="67">
        <f t="shared" si="28"/>
        <v>1.61E-2</v>
      </c>
      <c r="AA115" s="67">
        <f t="shared" si="29"/>
        <v>23.282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0"/>
        <v>0202-23</v>
      </c>
      <c r="AE115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15" s="88" t="str">
        <f t="shared" si="32"/>
        <v>"C:\Program Files (x86)\AstroGrep\AstroGrep.exe" /spath="%USERPROFILE%\AppData\Local\Temp\OnboardLogs" /stypes="app*4012*20161224*" /stext=" 00:.+((SYSTEM_STATE.+slice.+state.+changed )|(ment ac)|(multiple cpu faults)|(system.+state.+changed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202-23 --locoid 4012 --swversion DE.1.0.8.0 --startMP 204:232981 --initTime 2016-12-23T17:05:18 --startdatetime 2016-12-23T17:11:38 --delay 1 --endMP 204:161 --enddatetime 2016-12-23T17:52:48 --enforcementcount 0 &gt;&gt;C:\Users\stu\Documents\GitHub\eaglep3-reporting\EC\2016-12-23-refined-times.txt</v>
      </c>
      <c r="AI11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{"issue":{"subject":"","project_id":79,"tracker_id":40,"status_id":1,"priority_id":2,"assigned_to_id":23,"start_date":"2016-12-23","description":"","custom_fields":[{"id":1,"name":"Subdivision","value":"EC"},{"id":4,"name":"Milepost","value":"0.0161"},{"id":17,"name":"Train ID","value":"202-23"},{"id":16,"name":"Locomotive ID","value":"4012"},{"id":130,"name":"Impact","value":""},{"id":150,"name":"Time of Event (Mountain Time)","value":"17:52:48"},{"id":151,"name":"Denver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611</v>
      </c>
      <c r="B116" s="7">
        <v>4016</v>
      </c>
      <c r="C116" s="22" t="s">
        <v>205</v>
      </c>
      <c r="D116" s="22" t="s">
        <v>269</v>
      </c>
      <c r="E116" s="13">
        <v>42727.683877314812</v>
      </c>
      <c r="F116" s="13">
        <v>42727.687708333331</v>
      </c>
      <c r="G116" s="7">
        <v>1</v>
      </c>
      <c r="H116" s="22" t="s">
        <v>280</v>
      </c>
      <c r="I116" s="13">
        <v>42727.712071759262</v>
      </c>
      <c r="J116" s="7">
        <v>0</v>
      </c>
      <c r="K116" s="109" t="str">
        <f t="shared" si="19"/>
        <v>4015/4016</v>
      </c>
      <c r="L116" s="22" t="str">
        <f>VLOOKUP(A116,'Trips&amp;Operators'!$C$1:$G$99999,5,FALSE)</f>
        <v>DE LA ROSA ALEX</v>
      </c>
      <c r="M116" s="6">
        <f t="shared" si="20"/>
        <v>2.436342593136942E-2</v>
      </c>
      <c r="N116" s="7">
        <f t="shared" si="21"/>
        <v>35.083333341171965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NorthBound</v>
      </c>
      <c r="U116" s="18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15:24:47-700',mode:absolute,to:'2016-12-23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6" s="52" t="str">
        <f t="shared" si="25"/>
        <v>N</v>
      </c>
      <c r="X116" s="189">
        <f t="shared" si="26"/>
        <v>1</v>
      </c>
      <c r="Y116" s="67">
        <f t="shared" si="27"/>
        <v>4.6199999999999998E-2</v>
      </c>
      <c r="Z116" s="67">
        <f t="shared" si="28"/>
        <v>23.329899999999999</v>
      </c>
      <c r="AA116" s="67">
        <f t="shared" si="29"/>
        <v>23.2837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0"/>
        <v>0203-23</v>
      </c>
      <c r="AE116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16" s="88" t="str">
        <f t="shared" si="32"/>
        <v>"C:\Program Files (x86)\AstroGrep\AstroGrep.exe" /spath="%USERPROFILE%\AppData\Local\Temp\OnboardLogs" /stypes="app*4016*20161224*" /stext=" 00:.+((SYSTEM_STATE.+slice.+state.+changed )|(ment ac)|(multiple cpu faults)|(system.+state.+changed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203-23 --locoid 4016 --swversion DE.1.0.8.0 --startMP 204:462 --initTime 2016-12-23T16:24:47 --startdatetime 2016-12-23T16:30:18 --delay 1 --endMP 204:233299 --enddatetime 2016-12-23T17:05:23 --enforcementcount 0 &gt;&gt;C:\Users\stu\Documents\GitHub\eaglep3-reporting\EC\2016-12-23-refined-times.txt</v>
      </c>
      <c r="AI11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{"issue":{"subject":"","project_id":79,"tracker_id":40,"status_id":1,"priority_id":2,"assigned_to_id":23,"start_date":"2016-12-23","description":"","custom_fields":[{"id":1,"name":"Subdivision","value":"EC"},{"id":4,"name":"Milepost","value":"23.3299"},{"id":17,"name":"Train ID","value":"203-23"},{"id":16,"name":"Locomotive ID","value":"4016"},{"id":130,"name":"Impact","value":""},{"id":150,"name":"Time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619</v>
      </c>
      <c r="B117" s="7">
        <v>4015</v>
      </c>
      <c r="C117" s="22" t="s">
        <v>205</v>
      </c>
      <c r="D117" s="22" t="s">
        <v>266</v>
      </c>
      <c r="E117" s="13">
        <v>42727.722453703704</v>
      </c>
      <c r="F117" s="13">
        <v>42727.726655092592</v>
      </c>
      <c r="G117" s="7">
        <v>2</v>
      </c>
      <c r="H117" s="22" t="s">
        <v>711</v>
      </c>
      <c r="I117" s="13">
        <v>42727.753761574073</v>
      </c>
      <c r="J117" s="7">
        <v>0</v>
      </c>
      <c r="K117" s="109" t="str">
        <f t="shared" si="19"/>
        <v>4015/4016</v>
      </c>
      <c r="L117" s="22" t="str">
        <f>VLOOKUP(A117,'Trips&amp;Operators'!$C$1:$G$99999,5,FALSE)</f>
        <v>DE LA ROSA ALEX</v>
      </c>
      <c r="M117" s="6">
        <f t="shared" si="20"/>
        <v>2.7106481480586808E-2</v>
      </c>
      <c r="N117" s="7">
        <f t="shared" si="21"/>
        <v>39.033333332045004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Southbound</v>
      </c>
      <c r="U117" s="18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16:20:20-700',mode:absolute,to:'2016-12-23 19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7" s="52" t="str">
        <f t="shared" si="25"/>
        <v>N</v>
      </c>
      <c r="X117" s="189">
        <f t="shared" si="26"/>
        <v>1</v>
      </c>
      <c r="Y117" s="67">
        <f t="shared" si="27"/>
        <v>23.297699999999999</v>
      </c>
      <c r="Z117" s="67">
        <f t="shared" si="28"/>
        <v>1.5599999999999999E-2</v>
      </c>
      <c r="AA117" s="67">
        <f t="shared" si="29"/>
        <v>23.2821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0"/>
        <v>0204-23</v>
      </c>
      <c r="AE117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17" s="88" t="str">
        <f t="shared" si="32"/>
        <v>"C:\Program Files (x86)\AstroGrep\AstroGrep.exe" /spath="%USERPROFILE%\AppData\Local\Temp\OnboardLogs" /stypes="app*4015*20161224*" /stext=" 01:.+((SYSTEM_STATE.+slice.+state.+changed )|(ment ac)|(multiple cpu faults)|(system.+state.+changed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204-23 --locoid 4015 --swversion DE.1.0.8.0 --startMP 204:232977 --initTime 2016-12-23T17:20:20 --startdatetime 2016-12-23T17:26:23 --delay 2 --endMP 204:156 --enddatetime 2016-12-23T18:05:25 --enforcementcount 0 &gt;&gt;C:\Users\stu\Documents\GitHub\eaglep3-reporting\EC\2016-12-23-refined-times.txt</v>
      </c>
      <c r="AI11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{"issue":{"subject":"","project_id":79,"tracker_id":40,"status_id":1,"priority_id":2,"assigned_to_id":23,"start_date":"2016-12-23","description":"","custom_fields":[{"id":1,"name":"Subdivision","value":"EC"},{"id":4,"name":"Milepost","value":"0.0156"},{"id":17,"name":"Train ID","value":"204-23"},{"id":16,"name":"Locomotive ID","value":"4015"},{"id":130,"name":"Impact","value":""},{"id":150,"name":"Time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612</v>
      </c>
      <c r="B118" s="7">
        <v>4051</v>
      </c>
      <c r="C118" s="22" t="s">
        <v>205</v>
      </c>
      <c r="D118" s="22" t="s">
        <v>275</v>
      </c>
      <c r="E118" s="13">
        <v>42727.696817129632</v>
      </c>
      <c r="F118" s="13">
        <v>42727.698784722219</v>
      </c>
      <c r="G118" s="7">
        <v>1</v>
      </c>
      <c r="H118" s="22" t="s">
        <v>288</v>
      </c>
      <c r="I118" s="13">
        <v>42727.725162037037</v>
      </c>
      <c r="J118" s="7">
        <v>0</v>
      </c>
      <c r="K118" s="109" t="str">
        <f t="shared" si="19"/>
        <v>4051/4052</v>
      </c>
      <c r="L118" s="22" t="str">
        <f>VLOOKUP(A118,'Trips&amp;Operators'!$C$1:$G$99999,5,FALSE)</f>
        <v>CLARK KATHLEEN</v>
      </c>
      <c r="M118" s="6">
        <f t="shared" si="20"/>
        <v>2.6377314818091691E-2</v>
      </c>
      <c r="N118" s="7">
        <f t="shared" si="21"/>
        <v>37.983333338052034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NorthBound</v>
      </c>
      <c r="U118" s="18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15:43:25-700',mode:absolute,to:'2016-12-23 18:24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8" s="52" t="str">
        <f t="shared" si="25"/>
        <v>N</v>
      </c>
      <c r="X118" s="189">
        <f t="shared" si="26"/>
        <v>1</v>
      </c>
      <c r="Y118" s="67">
        <f t="shared" si="27"/>
        <v>4.7699999999999999E-2</v>
      </c>
      <c r="Z118" s="67">
        <f t="shared" si="28"/>
        <v>23.329499999999999</v>
      </c>
      <c r="AA118" s="67">
        <f t="shared" si="29"/>
        <v>23.2818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0"/>
        <v>0205-23</v>
      </c>
      <c r="AE118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18" s="88" t="str">
        <f t="shared" si="32"/>
        <v>"C:\Program Files (x86)\AstroGrep\AstroGrep.exe" /spath="%USERPROFILE%\AppData\Local\Temp\OnboardLogs" /stypes="app*4051*20161224*" /stext=" 00:.+((SYSTEM_STATE.+slice.+state.+changed )|(ment ac)|(multiple cpu faults)|(system.+state.+changed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205-23 --locoid 4051 --swversion DE.1.0.8.0 --startMP 204:477 --initTime 2016-12-23T16:43:25 --startdatetime 2016-12-23T16:46:15 --delay 1 --endMP 204:233295 --enddatetime 2016-12-23T17:24:14 --enforcementcount 0 &gt;&gt;C:\Users\stu\Documents\GitHub\eaglep3-reporting\EC\2016-12-23-refined-times.txt</v>
      </c>
      <c r="AI11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{"issue":{"subject":"","project_id":79,"tracker_id":40,"status_id":1,"priority_id":2,"assigned_to_id":23,"start_date":"2016-12-23","description":"","custom_fields":[{"id":1,"name":"Subdivision","value":"EC"},{"id":4,"name":"Milepost","value":"23.3295"},{"id":17,"name":"Train ID","value":"205-23"},{"id":16,"name":"Locomotive ID","value":"4051"},{"id":130,"name":"Impact","value":""},{"id":150,"name":"Time of Event (Mountain Time)","value":"17:24:14"},{"id":151,"name":"Denver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621</v>
      </c>
      <c r="B119" s="7">
        <v>4052</v>
      </c>
      <c r="C119" s="22" t="s">
        <v>205</v>
      </c>
      <c r="D119" s="22" t="s">
        <v>385</v>
      </c>
      <c r="E119" s="13">
        <v>42727.731793981482</v>
      </c>
      <c r="F119" s="13">
        <v>42727.737199074072</v>
      </c>
      <c r="G119" s="7">
        <v>1</v>
      </c>
      <c r="H119" s="22" t="s">
        <v>724</v>
      </c>
      <c r="I119" s="13">
        <v>42727.765914351854</v>
      </c>
      <c r="J119" s="7">
        <v>0</v>
      </c>
      <c r="K119" s="109" t="str">
        <f t="shared" si="19"/>
        <v>4051/4052</v>
      </c>
      <c r="L119" s="22" t="str">
        <f>VLOOKUP(A119,'Trips&amp;Operators'!$C$1:$G$99999,5,FALSE)</f>
        <v>CLARK KATHLEEN</v>
      </c>
      <c r="M119" s="6">
        <f t="shared" si="20"/>
        <v>2.8715277781884652E-2</v>
      </c>
      <c r="N119" s="7">
        <f t="shared" si="21"/>
        <v>41.350000005913898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Southbound</v>
      </c>
      <c r="U119" s="18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16:33:47-700',mode:absolute,to:'2016-12-23 19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19" s="52" t="str">
        <f t="shared" si="25"/>
        <v>N</v>
      </c>
      <c r="X119" s="189">
        <f t="shared" si="26"/>
        <v>1</v>
      </c>
      <c r="Y119" s="67">
        <f t="shared" si="27"/>
        <v>23.296600000000002</v>
      </c>
      <c r="Z119" s="67">
        <f t="shared" si="28"/>
        <v>1.89E-2</v>
      </c>
      <c r="AA119" s="67">
        <f t="shared" si="29"/>
        <v>23.277700000000003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0"/>
        <v>0206-23</v>
      </c>
      <c r="AE119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119" s="88" t="str">
        <f t="shared" si="32"/>
        <v>"C:\Program Files (x86)\AstroGrep\AstroGrep.exe" /spath="%USERPROFILE%\AppData\Local\Temp\OnboardLogs" /stypes="app*4052*20161224*" /stext=" 01:.+((SYSTEM_STATE.+slice.+state.+changed )|(ment ac)|(multiple cpu faults)|(system.+state.+changed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206-23 --locoid 4052 --swversion DE.1.0.8.0 --startMP 204:232966 --initTime 2016-12-23T17:33:47 --startdatetime 2016-12-23T17:41:34 --delay 1 --endMP 204:189 --enddatetime 2016-12-23T18:22:55 --enforcementcount 0 &gt;&gt;C:\Users\stu\Documents\GitHub\eaglep3-reporting\EC\2016-12-23-refined-times.txt</v>
      </c>
      <c r="AI11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{"issue":{"subject":"","project_id":79,"tracker_id":40,"status_id":1,"priority_id":2,"assigned_to_id":23,"start_date":"2016-12-23","description":"","custom_fields":[{"id":1,"name":"Subdivision","value":"EC"},{"id":4,"name":"Milepost","value":"0.0189"},{"id":17,"name":"Train ID","value":"206-23"},{"id":16,"name":"Locomotive ID","value":"4052"},{"id":130,"name":"Impact","value":""},{"id":150,"name":"Time of Event (Mountain Time)","value":"18:22:55"},{"id":151,"name":"Denver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614</v>
      </c>
      <c r="B120" s="7">
        <v>4007</v>
      </c>
      <c r="C120" s="22" t="s">
        <v>205</v>
      </c>
      <c r="D120" s="22" t="s">
        <v>725</v>
      </c>
      <c r="E120" s="13">
        <v>42727.704884259256</v>
      </c>
      <c r="F120" s="13">
        <v>42727.708587962959</v>
      </c>
      <c r="G120" s="7">
        <v>1</v>
      </c>
      <c r="H120" s="22" t="s">
        <v>318</v>
      </c>
      <c r="I120" s="13">
        <v>42727.733055555553</v>
      </c>
      <c r="J120" s="7">
        <v>0</v>
      </c>
      <c r="K120" s="109" t="str">
        <f t="shared" si="19"/>
        <v>4007/4008</v>
      </c>
      <c r="L120" s="22" t="str">
        <f>VLOOKUP(A120,'Trips&amp;Operators'!$C$1:$G$99999,5,FALSE)</f>
        <v>BRUDER RICHARD</v>
      </c>
      <c r="M120" s="6">
        <f t="shared" si="20"/>
        <v>2.4467592593282461E-2</v>
      </c>
      <c r="N120" s="7">
        <f t="shared" si="21"/>
        <v>35.233333334326744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NorthBound</v>
      </c>
      <c r="U120" s="18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15:55:02-700',mode:absolute,to:'2016-12-23 18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0" s="52" t="str">
        <f t="shared" si="25"/>
        <v>N</v>
      </c>
      <c r="X120" s="189">
        <f t="shared" si="26"/>
        <v>1</v>
      </c>
      <c r="Y120" s="67">
        <f t="shared" si="27"/>
        <v>6.0600000000000001E-2</v>
      </c>
      <c r="Z120" s="67">
        <f t="shared" si="28"/>
        <v>23.330100000000002</v>
      </c>
      <c r="AA120" s="67">
        <f t="shared" si="29"/>
        <v>23.269500000000001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0"/>
        <v>0207-23</v>
      </c>
      <c r="AE120" s="91" t="str">
        <f t="shared" si="31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120" s="88" t="str">
        <f t="shared" si="32"/>
        <v>"C:\Program Files (x86)\AstroGrep\AstroGrep.exe" /spath="%USERPROFILE%\AppData\Local\Temp\OnboardLogs" /stypes="app*4007*20161224*" /stext=" 00:.+((SYSTEM_STATE.+slice.+state.+changed )|(ment ac)|(multiple cpu faults)|(system.+state.+changed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207-23 --locoid 4007 --swversion DE.1.0.8.0 --startMP 204:606 --initTime 2016-12-23T16:55:02 --startdatetime 2016-12-23T17:00:22 --delay 1 --endMP 204:233301 --enddatetime 2016-12-23T17:35:36 --enforcementcount 0 &gt;&gt;C:\Users\stu\Documents\GitHub\eaglep3-reporting\EC\2016-12-23-refined-times.txt</v>
      </c>
      <c r="AI12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ID","value":"207-23"},{"id":16,"name":"Locomotive ID","value":"4007"},{"id":130,"name":"Impact","value":""},{"id":150,"name":"Time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627</v>
      </c>
      <c r="B121" s="7">
        <v>4008</v>
      </c>
      <c r="C121" s="22" t="s">
        <v>205</v>
      </c>
      <c r="D121" s="22" t="s">
        <v>278</v>
      </c>
      <c r="E121" s="13">
        <v>42727.742719907408</v>
      </c>
      <c r="F121" s="13">
        <v>42727.747395833336</v>
      </c>
      <c r="G121" s="7">
        <v>3</v>
      </c>
      <c r="H121" s="22" t="s">
        <v>191</v>
      </c>
      <c r="I121" s="13">
        <v>42727.774756944447</v>
      </c>
      <c r="J121" s="7">
        <v>0</v>
      </c>
      <c r="K121" s="109" t="str">
        <f t="shared" si="19"/>
        <v>4007/4008</v>
      </c>
      <c r="L121" s="22" t="str">
        <f>VLOOKUP(A121,'Trips&amp;Operators'!$C$1:$G$99999,5,FALSE)</f>
        <v>BRUDER RICHARD</v>
      </c>
      <c r="M121" s="6">
        <f t="shared" si="20"/>
        <v>2.73611111115315E-2</v>
      </c>
      <c r="N121" s="7">
        <f t="shared" si="21"/>
        <v>39.40000000060536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Southbound</v>
      </c>
      <c r="U121" s="18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16:49:31-700',mode:absolute,to:'2016-12-23 19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1" s="52" t="str">
        <f t="shared" si="25"/>
        <v>N</v>
      </c>
      <c r="X121" s="189">
        <f t="shared" si="26"/>
        <v>1</v>
      </c>
      <c r="Y121" s="67">
        <f t="shared" si="27"/>
        <v>23.2986</v>
      </c>
      <c r="Z121" s="67">
        <f t="shared" si="28"/>
        <v>1.49E-2</v>
      </c>
      <c r="AA121" s="67">
        <f t="shared" si="29"/>
        <v>23.2837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0"/>
        <v>0208-23</v>
      </c>
      <c r="AE121" s="91" t="str">
        <f t="shared" si="31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121" s="88" t="str">
        <f t="shared" si="32"/>
        <v>"C:\Program Files (x86)\AstroGrep\AstroGrep.exe" /spath="%USERPROFILE%\AppData\Local\Temp\OnboardLogs" /stypes="app*4008*20161224*" /stext=" 01:.+((SYSTEM_STATE.+slice.+state.+changed )|(ment ac)|(multiple cpu faults)|(system.+state.+changed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208-23 --locoid 4008 --swversion DE.1.0.8.0 --startMP 204:232986 --initTime 2016-12-23T17:49:31 --startdatetime 2016-12-23T17:56:15 --delay 3 --endMP 204:149 --enddatetime 2016-12-23T18:35:39 --enforcementcount 0 &gt;&gt;C:\Users\stu\Documents\GitHub\eaglep3-reporting\EC\2016-12-23-refined-times.txt</v>
      </c>
      <c r="AI12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{"issue":{"subject":"","project_id":79,"tracker_id":40,"status_id":1,"priority_id":2,"assigned_to_id":23,"start_date":"2016-12-23","description":"","custom_fields":[{"id":1,"name":"Subdivision","value":"EC"},{"id":4,"name":"Milepost","value":"0.0149"},{"id":17,"name":"Train ID","value":"208-23"},{"id":16,"name":"Locomotive ID","value":"4008"},{"id":130,"name":"Impact","value":""},{"id":150,"name":"Time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617</v>
      </c>
      <c r="B122" s="7">
        <v>4025</v>
      </c>
      <c r="C122" s="22" t="s">
        <v>205</v>
      </c>
      <c r="D122" s="22" t="s">
        <v>279</v>
      </c>
      <c r="E122" s="13">
        <v>42727.717002314814</v>
      </c>
      <c r="F122" s="13">
        <v>42727.719004629631</v>
      </c>
      <c r="G122" s="7">
        <v>1</v>
      </c>
      <c r="H122" s="22" t="s">
        <v>703</v>
      </c>
      <c r="I122" s="13">
        <v>42727.743831018517</v>
      </c>
      <c r="J122" s="7">
        <v>0</v>
      </c>
      <c r="K122" s="109" t="str">
        <f t="shared" si="19"/>
        <v>4025/4026</v>
      </c>
      <c r="L122" s="22" t="str">
        <f>VLOOKUP(A122,'Trips&amp;Operators'!$C$1:$G$99999,5,FALSE)</f>
        <v>HELVIE ADAM</v>
      </c>
      <c r="M122" s="6">
        <f t="shared" si="20"/>
        <v>2.4826388886140194E-2</v>
      </c>
      <c r="N122" s="7">
        <f t="shared" si="21"/>
        <v>35.749999996041879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NorthBound</v>
      </c>
      <c r="U122" s="18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16:12:29-700',mode:absolute,to:'2016-12-23 18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2" s="52" t="str">
        <f t="shared" si="25"/>
        <v>N</v>
      </c>
      <c r="X122" s="189">
        <f t="shared" si="26"/>
        <v>1</v>
      </c>
      <c r="Y122" s="67">
        <f t="shared" si="27"/>
        <v>4.3999999999999997E-2</v>
      </c>
      <c r="Z122" s="67">
        <f t="shared" si="28"/>
        <v>23.3291</v>
      </c>
      <c r="AA122" s="67">
        <f t="shared" si="29"/>
        <v>23.2851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0"/>
        <v>0209-23</v>
      </c>
      <c r="AE122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22" s="88" t="str">
        <f t="shared" si="32"/>
        <v>"C:\Program Files (x86)\AstroGrep\AstroGrep.exe" /spath="%USERPROFILE%\AppData\Local\Temp\OnboardLogs" /stypes="app*4025*20161224*" /stext=" 00:.+((SYSTEM_STATE.+slice.+state.+changed )|(ment ac)|(multiple cpu faults)|(system.+state.+changed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209-23 --locoid 4025 --swversion DE.1.0.8.0 --startMP 204:440 --initTime 2016-12-23T17:12:29 --startdatetime 2016-12-23T17:15:22 --delay 1 --endMP 204:233291 --enddatetime 2016-12-23T17:51:07 --enforcementcount 0 &gt;&gt;C:\Users\stu\Documents\GitHub\eaglep3-reporting\EC\2016-12-23-refined-times.txt</v>
      </c>
      <c r="AI12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{"issue":{"subject":"","project_id":79,"tracker_id":40,"status_id":1,"priority_id":2,"assigned_to_id":23,"start_date":"2016-12-23","description":"","custom_fields":[{"id":1,"name":"Subdivision","value":"EC"},{"id":4,"name":"Milepost","value":"23.3291"},{"id":17,"name":"Train ID","value":"209-23"},{"id":16,"name":"Locomotive ID","value":"4025"},{"id":130,"name":"Impact","value":""},{"id":150,"name":"Time of Event (Mountain Time)","value":"17:51:07"},{"id":151,"name":"Denver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630</v>
      </c>
      <c r="B123" s="7">
        <v>4026</v>
      </c>
      <c r="C123" s="22" t="s">
        <v>205</v>
      </c>
      <c r="D123" s="22" t="s">
        <v>702</v>
      </c>
      <c r="E123" s="13">
        <v>42727.754432870373</v>
      </c>
      <c r="F123" s="13">
        <v>42727.757881944446</v>
      </c>
      <c r="G123" s="7">
        <v>1</v>
      </c>
      <c r="H123" s="22" t="s">
        <v>268</v>
      </c>
      <c r="I123" s="13">
        <v>42727.786076388889</v>
      </c>
      <c r="J123" s="7">
        <v>0</v>
      </c>
      <c r="K123" s="109" t="str">
        <f t="shared" si="19"/>
        <v>4025/4026</v>
      </c>
      <c r="L123" s="22" t="str">
        <f>VLOOKUP(A123,'Trips&amp;Operators'!$C$1:$G$99999,5,FALSE)</f>
        <v>HELVIE ADAM</v>
      </c>
      <c r="M123" s="6">
        <f t="shared" si="20"/>
        <v>2.8194444443215616E-2</v>
      </c>
      <c r="N123" s="7">
        <f t="shared" si="21"/>
        <v>40.599999998230487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Southbound</v>
      </c>
      <c r="U123" s="18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17:06:23-700',mode:absolute,to:'2016-12-23 19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3" s="52" t="str">
        <f t="shared" si="25"/>
        <v>N</v>
      </c>
      <c r="X123" s="189">
        <f t="shared" si="26"/>
        <v>1</v>
      </c>
      <c r="Y123" s="67">
        <f t="shared" si="27"/>
        <v>23.296399999999998</v>
      </c>
      <c r="Z123" s="67">
        <f t="shared" si="28"/>
        <v>1.6E-2</v>
      </c>
      <c r="AA123" s="67">
        <f t="shared" si="29"/>
        <v>23.2804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0"/>
        <v>0210-23</v>
      </c>
      <c r="AE123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23" s="88" t="str">
        <f t="shared" si="32"/>
        <v>"C:\Program Files (x86)\AstroGrep\AstroGrep.exe" /spath="%USERPROFILE%\AppData\Local\Temp\OnboardLogs" /stypes="app*4026*20161224*" /stext=" 01:.+((SYSTEM_STATE.+slice.+state.+changed )|(ment ac)|(multiple cpu faults)|(system.+state.+changed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210-23 --locoid 4026 --swversion DE.1.0.8.0 --startMP 204:232964 --initTime 2016-12-23T18:06:23 --startdatetime 2016-12-23T18:11:21 --delay 1 --endMP 204:160 --enddatetime 2016-12-23T18:51:57 --enforcementcount 0 &gt;&gt;C:\Users\stu\Documents\GitHub\eaglep3-reporting\EC\2016-12-23-refined-times.txt</v>
      </c>
      <c r="AI12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{"issue":{"subject":"","project_id":79,"tracker_id":40,"status_id":1,"priority_id":2,"assigned_to_id":23,"start_date":"2016-12-23","description":"","custom_fields":[{"id":1,"name":"Subdivision","value":"EC"},{"id":4,"name":"Milepost","value":"0.016"},{"id":17,"name":"Train ID","value":"210-23"},{"id":16,"name":"Locomotive ID","value":"4026"},{"id":130,"name":"Impact","value":""},{"id":150,"name":"Time of Event (Mountain Time)","value":"18:51:57"},{"id":151,"name":"Denver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620</v>
      </c>
      <c r="B124" s="7">
        <v>4042</v>
      </c>
      <c r="C124" s="22" t="s">
        <v>205</v>
      </c>
      <c r="D124" s="22" t="s">
        <v>700</v>
      </c>
      <c r="E124" s="13">
        <v>42727.724918981483</v>
      </c>
      <c r="F124" s="13">
        <v>42727.729537037034</v>
      </c>
      <c r="G124" s="7">
        <v>1</v>
      </c>
      <c r="H124" s="22" t="s">
        <v>393</v>
      </c>
      <c r="I124" s="13">
        <v>42727.754502314812</v>
      </c>
      <c r="J124" s="7">
        <v>0</v>
      </c>
      <c r="K124" s="109" t="str">
        <f t="shared" si="19"/>
        <v>4041/4042</v>
      </c>
      <c r="L124" s="22" t="str">
        <f>VLOOKUP(A124,'Trips&amp;Operators'!$C$1:$G$99999,5,FALSE)</f>
        <v>KILLION DAVID</v>
      </c>
      <c r="M124" s="6">
        <f t="shared" si="20"/>
        <v>2.4965277778392192E-2</v>
      </c>
      <c r="N124" s="7">
        <f t="shared" si="21"/>
        <v>35.950000000884756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NorthBound</v>
      </c>
      <c r="U124" s="18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16:23:53-700',mode:absolute,to:'2016-12-23 19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4" s="52" t="str">
        <f t="shared" si="25"/>
        <v>N</v>
      </c>
      <c r="X124" s="189">
        <f t="shared" si="26"/>
        <v>1</v>
      </c>
      <c r="Y124" s="67">
        <f t="shared" si="27"/>
        <v>4.5699999999999998E-2</v>
      </c>
      <c r="Z124" s="67">
        <f t="shared" si="28"/>
        <v>23.3276</v>
      </c>
      <c r="AA124" s="67">
        <f t="shared" si="29"/>
        <v>23.2819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0"/>
        <v>0211-23</v>
      </c>
      <c r="AE124" s="91" t="str">
        <f t="shared" si="31"/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AF124" s="88" t="str">
        <f t="shared" si="32"/>
        <v>"C:\Program Files (x86)\AstroGrep\AstroGrep.exe" /spath="%USERPROFILE%\AppData\Local\Temp\OnboardLogs" /stypes="app*4042*20161224*" /stext=" 01:.+((SYSTEM_STATE.+slice.+state.+changed )|(ment ac)|(multiple cpu faults)|(system.+state.+changed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211-23 --locoid 4042 --swversion DE.1.0.8.0 --startMP 204:457 --initTime 2016-12-23T17:23:53 --startdatetime 2016-12-23T17:30:32 --delay 1 --endMP 204:233276 --enddatetime 2016-12-23T18:06:29 --enforcementcount 0 &gt;&gt;C:\Users\stu\Documents\GitHub\eaglep3-reporting\EC\2016-12-23-refined-times.txt</v>
      </c>
      <c r="AI12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{"issue":{"subject":"","project_id":79,"tracker_id":40,"status_id":1,"priority_id":2,"assigned_to_id":23,"start_date":"2016-12-23","description":"","custom_fields":[{"id":1,"name":"Subdivision","value":"EC"},{"id":4,"name":"Milepost","value":"23.3276"},{"id":17,"name":"Train ID","value":"211-23"},{"id":16,"name":"Locomotive ID","value":"4042"},{"id":130,"name":"Impact","value":""},{"id":150,"name":"Time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634</v>
      </c>
      <c r="B125" s="7">
        <v>4041</v>
      </c>
      <c r="C125" s="22" t="s">
        <v>205</v>
      </c>
      <c r="D125" s="22" t="s">
        <v>349</v>
      </c>
      <c r="E125" s="13">
        <v>42727.762858796297</v>
      </c>
      <c r="F125" s="13">
        <v>42727.768414351849</v>
      </c>
      <c r="G125" s="7">
        <v>1</v>
      </c>
      <c r="H125" s="22" t="s">
        <v>316</v>
      </c>
      <c r="I125" s="13">
        <v>42727.796134259261</v>
      </c>
      <c r="J125" s="7">
        <v>0</v>
      </c>
      <c r="K125" s="109" t="str">
        <f t="shared" si="19"/>
        <v>4041/4042</v>
      </c>
      <c r="L125" s="22" t="str">
        <f>VLOOKUP(A125,'Trips&amp;Operators'!$C$1:$G$99999,5,FALSE)</f>
        <v>KILLION DAVID</v>
      </c>
      <c r="M125" s="6">
        <f t="shared" si="20"/>
        <v>2.771990741166519E-2</v>
      </c>
      <c r="N125" s="7">
        <f t="shared" si="21"/>
        <v>39.916666672797874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Southbound</v>
      </c>
      <c r="U125" s="18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17:18:31-700',mode:absolute,to:'2016-12-23 20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5" s="52" t="str">
        <f t="shared" si="25"/>
        <v>N</v>
      </c>
      <c r="X125" s="189">
        <f t="shared" si="26"/>
        <v>1</v>
      </c>
      <c r="Y125" s="67">
        <f t="shared" si="27"/>
        <v>23.297499999999999</v>
      </c>
      <c r="Z125" s="67">
        <f t="shared" si="28"/>
        <v>1.7000000000000001E-2</v>
      </c>
      <c r="AA125" s="67">
        <f t="shared" si="29"/>
        <v>23.2805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0"/>
        <v>0212-23</v>
      </c>
      <c r="AE125" s="91" t="str">
        <f t="shared" si="31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125" s="88" t="str">
        <f t="shared" si="32"/>
        <v>"C:\Program Files (x86)\AstroGrep\AstroGrep.exe" /spath="%USERPROFILE%\AppData\Local\Temp\OnboardLogs" /stypes="app*4041*20161224*" /stext=" 02:.+((SYSTEM_STATE.+slice.+state.+changed )|(ment ac)|(multiple cpu faults)|(system.+state.+changed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212-23 --locoid 4041 --swversion DE.1.0.8.0 --startMP 204:232975 --initTime 2016-12-23T18:18:31 --startdatetime 2016-12-23T18:26:31 --delay 1 --endMP 204:170 --enddatetime 2016-12-23T19:06:26 --enforcementcount 0 &gt;&gt;C:\Users\stu\Documents\GitHub\eaglep3-reporting\EC\2016-12-23-refined-times.txt</v>
      </c>
      <c r="AI12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{"issue":{"subject":"","project_id":79,"tracker_id":40,"status_id":1,"priority_id":2,"assigned_to_id":23,"start_date":"2016-12-23","description":"","custom_fields":[{"id":1,"name":"Subdivision","value":"EC"},{"id":4,"name":"Milepost","value":"0.017"},{"id":17,"name":"Train ID","value":"212-23"},{"id":16,"name":"Locomotive ID","value":"4041"},{"id":130,"name":"Impact","value":""},{"id":150,"name":"Time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626</v>
      </c>
      <c r="B126" s="7">
        <v>4031</v>
      </c>
      <c r="C126" s="22" t="s">
        <v>205</v>
      </c>
      <c r="D126" s="22" t="s">
        <v>279</v>
      </c>
      <c r="E126" s="13">
        <v>42727.73710648148</v>
      </c>
      <c r="F126" s="13">
        <v>42727.74009259259</v>
      </c>
      <c r="G126" s="7">
        <v>1</v>
      </c>
      <c r="H126" s="22" t="s">
        <v>698</v>
      </c>
      <c r="I126" s="13">
        <v>42727.766377314816</v>
      </c>
      <c r="J126" s="7">
        <v>0</v>
      </c>
      <c r="K126" s="109" t="str">
        <f t="shared" si="19"/>
        <v>4031/4032</v>
      </c>
      <c r="L126" s="22" t="str">
        <f>VLOOKUP(A126,'Trips&amp;Operators'!$C$1:$G$99999,5,FALSE)</f>
        <v>YANG JAN</v>
      </c>
      <c r="M126" s="6">
        <f t="shared" si="20"/>
        <v>2.6284722225682344E-2</v>
      </c>
      <c r="N126" s="7">
        <f t="shared" si="21"/>
        <v>37.850000004982576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NorthBound</v>
      </c>
      <c r="U126" s="18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16:41:26-700',mode:absolute,to:'2016-12-23 19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6" s="52" t="str">
        <f t="shared" si="25"/>
        <v>N</v>
      </c>
      <c r="X126" s="189">
        <f t="shared" si="26"/>
        <v>1</v>
      </c>
      <c r="Y126" s="67">
        <f t="shared" si="27"/>
        <v>4.3999999999999997E-2</v>
      </c>
      <c r="Z126" s="67">
        <f t="shared" si="28"/>
        <v>23.331499999999998</v>
      </c>
      <c r="AA126" s="67">
        <f t="shared" si="29"/>
        <v>23.287499999999998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0"/>
        <v>0213-23</v>
      </c>
      <c r="AE126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26" s="88" t="str">
        <f t="shared" si="32"/>
        <v>"C:\Program Files (x86)\AstroGrep\AstroGrep.exe" /spath="%USERPROFILE%\AppData\Local\Temp\OnboardLogs" /stypes="app*4031*20161224*" /stext=" 01:.+((SYSTEM_STATE.+slice.+state.+changed )|(ment ac)|(multiple cpu faults)|(system.+state.+changed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213-23 --locoid 4031 --swversion DE.1.0.8.0 --startMP 204:440 --initTime 2016-12-23T17:41:26 --startdatetime 2016-12-23T17:45:44 --delay 1 --endMP 204:233315 --enddatetime 2016-12-23T18:23:35 --enforcementcount 0 &gt;&gt;C:\Users\stu\Documents\GitHub\eaglep3-reporting\EC\2016-12-23-refined-times.txt</v>
      </c>
      <c r="AI12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ID","value":"213-23"},{"id":16,"name":"Locomotive ID","value":"4031"},{"id":130,"name":"Impact","value":""},{"id":150,"name":"Time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636</v>
      </c>
      <c r="B127" s="7">
        <v>4032</v>
      </c>
      <c r="C127" s="22" t="s">
        <v>205</v>
      </c>
      <c r="D127" s="22" t="s">
        <v>257</v>
      </c>
      <c r="E127" s="13">
        <v>42727.771666666667</v>
      </c>
      <c r="F127" s="13">
        <v>42727.812939814816</v>
      </c>
      <c r="G127" s="7">
        <v>1</v>
      </c>
      <c r="H127" s="22" t="s">
        <v>390</v>
      </c>
      <c r="I127" s="13">
        <v>42727.837731481479</v>
      </c>
      <c r="J127" s="7">
        <v>0</v>
      </c>
      <c r="K127" s="109" t="str">
        <f t="shared" si="19"/>
        <v>4031/4032</v>
      </c>
      <c r="L127" s="22" t="str">
        <f>VLOOKUP(A127,'Trips&amp;Operators'!$C$1:$G$99999,5,FALSE)</f>
        <v>YANG JAN</v>
      </c>
      <c r="M127" s="6">
        <f t="shared" si="20"/>
        <v>2.4791666663077194E-2</v>
      </c>
      <c r="N127" s="7">
        <f t="shared" si="21"/>
        <v>35.69999999483116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Southbound</v>
      </c>
      <c r="U127" s="18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17:31:12-700',mode:absolute,to:'2016-12-23 21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7" s="52" t="str">
        <f t="shared" si="25"/>
        <v>N</v>
      </c>
      <c r="X127" s="189">
        <f t="shared" si="26"/>
        <v>1</v>
      </c>
      <c r="Y127" s="67">
        <f t="shared" si="27"/>
        <v>23.299399999999999</v>
      </c>
      <c r="Z127" s="67">
        <f t="shared" si="28"/>
        <v>1.41E-2</v>
      </c>
      <c r="AA127" s="67">
        <f t="shared" si="29"/>
        <v>23.285299999999999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0"/>
        <v>0214-23</v>
      </c>
      <c r="AE127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27" s="88" t="str">
        <f t="shared" si="32"/>
        <v>"C:\Program Files (x86)\AstroGrep\AstroGrep.exe" /spath="%USERPROFILE%\AppData\Local\Temp\OnboardLogs" /stypes="app*4032*20161224*" /stext=" 03:.+((SYSTEM_STATE.+slice.+state.+changed )|(ment ac)|(multiple cpu faults)|(system.+state.+changed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214-23 --locoid 4032 --swversion DE.1.0.8.0 --startMP 204:232994 --initTime 2016-12-23T18:31:12 --startdatetime 2016-12-23T19:30:38 --delay 1 --endMP 204:141 --enddatetime 2016-12-23T20:06:20 --enforcementcount 0 &gt;&gt;C:\Users\stu\Documents\GitHub\eaglep3-reporting\EC\2016-12-23-refined-times.txt</v>
      </c>
      <c r="AI12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{"issue":{"subject":"","project_id":79,"tracker_id":40,"status_id":1,"priority_id":2,"assigned_to_id":23,"start_date":"2016-12-23","description":"","custom_fields":[{"id":1,"name":"Subdivision","value":"EC"},{"id":4,"name":"Milepost","value":"0.0141"},{"id":17,"name":"Train ID","value":"214-23"},{"id":16,"name":"Locomotive ID","value":"4032"},{"id":130,"name":"Impact","value":""},{"id":150,"name":"Time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628</v>
      </c>
      <c r="B128" s="7">
        <v>4011</v>
      </c>
      <c r="C128" s="22" t="s">
        <v>205</v>
      </c>
      <c r="D128" s="22" t="s">
        <v>230</v>
      </c>
      <c r="E128" s="13">
        <v>42727.746631944443</v>
      </c>
      <c r="F128" s="13">
        <v>42727.750162037039</v>
      </c>
      <c r="G128" s="7">
        <v>1</v>
      </c>
      <c r="H128" s="22" t="s">
        <v>726</v>
      </c>
      <c r="I128" s="13">
        <v>42727.774375000001</v>
      </c>
      <c r="J128" s="7">
        <v>0</v>
      </c>
      <c r="K128" s="109" t="str">
        <f t="shared" si="19"/>
        <v>4011/4012</v>
      </c>
      <c r="L128" s="22" t="str">
        <f>VLOOKUP(A128,'Trips&amp;Operators'!$C$1:$G$99999,5,FALSE)</f>
        <v>BRANNON JEFFREY</v>
      </c>
      <c r="M128" s="6">
        <f t="shared" si="20"/>
        <v>2.421296296233777E-2</v>
      </c>
      <c r="N128" s="7">
        <f t="shared" si="21"/>
        <v>34.866666665766388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NorthBound</v>
      </c>
      <c r="U128" s="18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16:55:09-700',mode:absolute,to:'2016-12-23 19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 t="shared" si="25"/>
        <v>N</v>
      </c>
      <c r="X128" s="189">
        <f t="shared" si="26"/>
        <v>1</v>
      </c>
      <c r="Y128" s="67">
        <f t="shared" si="27"/>
        <v>4.5999999999999999E-2</v>
      </c>
      <c r="Z128" s="67">
        <f t="shared" si="28"/>
        <v>23.330500000000001</v>
      </c>
      <c r="AA128" s="67">
        <f t="shared" si="29"/>
        <v>23.284500000000001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0"/>
        <v>0215-23</v>
      </c>
      <c r="AE128" s="91" t="str">
        <f t="shared" si="31"/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AF128" s="88" t="str">
        <f t="shared" si="32"/>
        <v>"C:\Program Files (x86)\AstroGrep\AstroGrep.exe" /spath="%USERPROFILE%\AppData\Local\Temp\OnboardLogs" /stypes="app*4011*20161224*" /stext=" 01:.+((SYSTEM_STATE.+slice.+state.+changed )|(ment ac)|(multiple cpu faults)|(system.+state.+changed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215-23 --locoid 4011 --swversion DE.1.0.8.0 --startMP 204:460 --initTime 2016-12-23T17:55:09 --startdatetime 2016-12-23T18:00:14 --delay 1 --endMP 204:233305 --enddatetime 2016-12-23T18:35:06 --enforcementcount 0 &gt;&gt;C:\Users\stu\Documents\GitHub\eaglep3-reporting\EC\2016-12-23-refined-times.txt</v>
      </c>
      <c r="AI12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{"issue":{"subject":"","project_id":79,"tracker_id":40,"status_id":1,"priority_id":2,"assigned_to_id":23,"start_date":"2016-12-23","description":"","custom_fields":[{"id":1,"name":"Subdivision","value":"EC"},{"id":4,"name":"Milepost","value":"23.3305"},{"id":17,"name":"Train ID","value":"215-23"},{"id":16,"name":"Locomotive ID","value":"4011"},{"id":130,"name":"Impact","value":""},{"id":150,"name":"Time of Event (Mountain Time)","value":"18:35:06"},{"id":151,"name":"Denver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640</v>
      </c>
      <c r="B129" s="7">
        <v>4012</v>
      </c>
      <c r="C129" s="22" t="s">
        <v>205</v>
      </c>
      <c r="D129" s="22" t="s">
        <v>266</v>
      </c>
      <c r="E129" s="13">
        <v>42727.783020833333</v>
      </c>
      <c r="F129" s="13">
        <v>42727.789050925923</v>
      </c>
      <c r="G129" s="7">
        <v>1</v>
      </c>
      <c r="H129" s="22" t="s">
        <v>262</v>
      </c>
      <c r="I129" s="13">
        <v>42727.816678240742</v>
      </c>
      <c r="J129" s="7">
        <v>0</v>
      </c>
      <c r="K129" s="109" t="str">
        <f t="shared" si="19"/>
        <v>4011/4012</v>
      </c>
      <c r="L129" s="22" t="str">
        <f>VLOOKUP(A129,'Trips&amp;Operators'!$C$1:$G$99999,5,FALSE)</f>
        <v>BRANNON JEFFREY</v>
      </c>
      <c r="M129" s="6">
        <f t="shared" si="20"/>
        <v>2.7627314819255844E-2</v>
      </c>
      <c r="N129" s="7">
        <f t="shared" si="21"/>
        <v>39.783333339728415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Southbound</v>
      </c>
      <c r="U129" s="18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17:47:33-700',mode:absolute,to:'2016-12-23 20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 t="shared" si="25"/>
        <v>N</v>
      </c>
      <c r="X129" s="189">
        <f t="shared" si="26"/>
        <v>1</v>
      </c>
      <c r="Y129" s="67">
        <f t="shared" si="27"/>
        <v>23.297699999999999</v>
      </c>
      <c r="Z129" s="67">
        <f t="shared" si="28"/>
        <v>1.3899999999999999E-2</v>
      </c>
      <c r="AA129" s="67">
        <f t="shared" si="29"/>
        <v>23.283799999999999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0"/>
        <v>0216-23</v>
      </c>
      <c r="AE129" s="91" t="str">
        <f t="shared" si="31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129" s="88" t="str">
        <f t="shared" si="32"/>
        <v>"C:\Program Files (x86)\AstroGrep\AstroGrep.exe" /spath="%USERPROFILE%\AppData\Local\Temp\OnboardLogs" /stypes="app*4012*20161224*" /stext=" 02:.+((SYSTEM_STATE.+slice.+state.+changed )|(ment ac)|(multiple cpu faults)|(system.+state.+changed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216-23 --locoid 4012 --swversion DE.1.0.8.0 --startMP 204:232977 --initTime 2016-12-23T18:47:33 --startdatetime 2016-12-23T18:56:14 --delay 1 --endMP 204:139 --enddatetime 2016-12-23T19:36:01 --enforcementcount 0 &gt;&gt;C:\Users\stu\Documents\GitHub\eaglep3-reporting\EC\2016-12-23-refined-times.txt</v>
      </c>
      <c r="AI12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{"issue":{"subject":"","project_id":79,"tracker_id":40,"status_id":1,"priority_id":2,"assigned_to_id":23,"start_date":"2016-12-23","description":"","custom_fields":[{"id":1,"name":"Subdivision","value":"EC"},{"id":4,"name":"Milepost","value":"0.0139"},{"id":17,"name":"Train ID","value":"216-23"},{"id":16,"name":"Locomotive ID","value":"4012"},{"id":130,"name":"Impact","value":""},{"id":150,"name":"Time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632</v>
      </c>
      <c r="B130" s="7">
        <v>4016</v>
      </c>
      <c r="C130" s="22" t="s">
        <v>205</v>
      </c>
      <c r="D130" s="22" t="s">
        <v>384</v>
      </c>
      <c r="E130" s="13">
        <v>42727.755439814813</v>
      </c>
      <c r="F130" s="13">
        <v>42727.760833333334</v>
      </c>
      <c r="G130" s="7">
        <v>1</v>
      </c>
      <c r="H130" s="22" t="s">
        <v>392</v>
      </c>
      <c r="I130" s="13">
        <v>42727.784791666665</v>
      </c>
      <c r="J130" s="7">
        <v>0</v>
      </c>
      <c r="K130" s="109" t="str">
        <f t="shared" si="19"/>
        <v>4015/4016</v>
      </c>
      <c r="L130" s="22" t="str">
        <f>VLOOKUP(A130,'Trips&amp;Operators'!$C$1:$G$99999,5,FALSE)</f>
        <v>STAMBAUGH JAMES</v>
      </c>
      <c r="M130" s="6">
        <f t="shared" si="20"/>
        <v>2.3958333331393078E-2</v>
      </c>
      <c r="N130" s="7">
        <f t="shared" si="21"/>
        <v>34.499999997206032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NorthBound</v>
      </c>
      <c r="U130" s="18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17:07:50-700',mode:absolute,to:'2016-12-23 19:50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0" s="52" t="str">
        <f t="shared" si="25"/>
        <v>N</v>
      </c>
      <c r="X130" s="189">
        <f t="shared" si="26"/>
        <v>1</v>
      </c>
      <c r="Y130" s="67">
        <f t="shared" si="27"/>
        <v>4.7500000000000001E-2</v>
      </c>
      <c r="Z130" s="67">
        <f t="shared" si="28"/>
        <v>23.331399999999999</v>
      </c>
      <c r="AA130" s="67">
        <f t="shared" si="29"/>
        <v>23.283899999999999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0"/>
        <v>0217-23</v>
      </c>
      <c r="AE130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30" s="88" t="str">
        <f t="shared" si="32"/>
        <v>"C:\Program Files (x86)\AstroGrep\AstroGrep.exe" /spath="%USERPROFILE%\AppData\Local\Temp\OnboardLogs" /stypes="app*4016*20161224*" /stext=" 01:.+((SYSTEM_STATE.+slice.+state.+changed )|(ment ac)|(multiple cpu faults)|(system.+state.+changed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217-23 --locoid 4016 --swversion DE.1.0.8.0 --startMP 204:475 --initTime 2016-12-23T18:07:50 --startdatetime 2016-12-23T18:15:36 --delay 1 --endMP 204:233314 --enddatetime 2016-12-23T18:50:06 --enforcementcount 0 &gt;&gt;C:\Users\stu\Documents\GitHub\eaglep3-reporting\EC\2016-12-23-refined-times.txt</v>
      </c>
      <c r="AI13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{"issue":{"subject":"","project_id":79,"tracker_id":40,"status_id":1,"priority_id":2,"assigned_to_id":23,"start_date":"2016-12-23","description":"","custom_fields":[{"id":1,"name":"Subdivision","value":"EC"},{"id":4,"name":"Milepost","value":"23.3314"},{"id":17,"name":"Train ID","value":"217-23"},{"id":16,"name":"Locomotive ID","value":"4016"},{"id":130,"name":"Impact","value":""},{"id":150,"name":"Time of Event (Mountain Time)","value":"18:50:06"},{"id":151,"name":"Denver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642</v>
      </c>
      <c r="B131" s="7">
        <v>4015</v>
      </c>
      <c r="C131" s="22" t="s">
        <v>205</v>
      </c>
      <c r="D131" s="22" t="s">
        <v>386</v>
      </c>
      <c r="E131" s="13">
        <v>42727.797048611108</v>
      </c>
      <c r="F131" s="13">
        <v>42727.799791666665</v>
      </c>
      <c r="G131" s="7">
        <v>1</v>
      </c>
      <c r="H131" s="22" t="s">
        <v>358</v>
      </c>
      <c r="I131" s="13">
        <v>42727.825439814813</v>
      </c>
      <c r="J131" s="7">
        <v>0</v>
      </c>
      <c r="K131" s="109" t="str">
        <f t="shared" si="19"/>
        <v>4015/4016</v>
      </c>
      <c r="L131" s="22" t="str">
        <f>VLOOKUP(A131,'Trips&amp;Operators'!$C$1:$G$99999,5,FALSE)</f>
        <v>STAMBAUGH JAMES</v>
      </c>
      <c r="M131" s="6">
        <f t="shared" si="20"/>
        <v>2.5648148148320615E-2</v>
      </c>
      <c r="N131" s="7">
        <f t="shared" si="21"/>
        <v>36.933333333581686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Southbound</v>
      </c>
      <c r="U131" s="18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18:07:45-700',mode:absolute,to:'2016-12-23 20:48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1" s="52" t="str">
        <f t="shared" si="25"/>
        <v>N</v>
      </c>
      <c r="X131" s="189">
        <f t="shared" si="26"/>
        <v>1</v>
      </c>
      <c r="Y131" s="67">
        <f t="shared" si="27"/>
        <v>23.299800000000001</v>
      </c>
      <c r="Z131" s="67">
        <f t="shared" si="28"/>
        <v>1.6500000000000001E-2</v>
      </c>
      <c r="AA131" s="67">
        <f t="shared" si="29"/>
        <v>23.283300000000001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0"/>
        <v>0218-23</v>
      </c>
      <c r="AE131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31" s="88" t="str">
        <f t="shared" si="32"/>
        <v>"C:\Program Files (x86)\AstroGrep\AstroGrep.exe" /spath="%USERPROFILE%\AppData\Local\Temp\OnboardLogs" /stypes="app*4015*20161224*" /stext=" 02:.+((SYSTEM_STATE.+slice.+state.+changed )|(ment ac)|(multiple cpu faults)|(system.+state.+changed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218-23 --locoid 4015 --swversion DE.1.0.8.0 --startMP 204:232998 --initTime 2016-12-23T19:07:45 --startdatetime 2016-12-23T19:11:42 --delay 1 --endMP 204:165 --enddatetime 2016-12-23T19:48:38 --enforcementcount 0 &gt;&gt;C:\Users\stu\Documents\GitHub\eaglep3-reporting\EC\2016-12-23-refined-times.txt</v>
      </c>
      <c r="AI13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{"issue":{"subject":"","project_id":79,"tracker_id":40,"status_id":1,"priority_id":2,"assigned_to_id":23,"start_date":"2016-12-23","description":"","custom_fields":[{"id":1,"name":"Subdivision","value":"EC"},{"id":4,"name":"Milepost","value":"0.0165"},{"id":17,"name":"Train ID","value":"218-23"},{"id":16,"name":"Locomotive ID","value":"4015"},{"id":130,"name":"Impact","value":""},{"id":150,"name":"Time of Event (Mountain Time)","value":"19:48:38"},{"id":151,"name":"Denver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635</v>
      </c>
      <c r="B132" s="7">
        <v>4051</v>
      </c>
      <c r="C132" s="22" t="s">
        <v>205</v>
      </c>
      <c r="D132" s="22" t="s">
        <v>727</v>
      </c>
      <c r="E132" s="13">
        <v>42727.768657407411</v>
      </c>
      <c r="F132" s="13">
        <v>42727.771041666667</v>
      </c>
      <c r="G132" s="7">
        <v>1</v>
      </c>
      <c r="H132" s="22" t="s">
        <v>728</v>
      </c>
      <c r="I132" s="13">
        <v>42727.795312499999</v>
      </c>
      <c r="J132" s="7">
        <v>0</v>
      </c>
      <c r="K132" s="109" t="str">
        <f t="shared" si="19"/>
        <v>4051/4052</v>
      </c>
      <c r="L132" s="22" t="str">
        <f>VLOOKUP(A132,'Trips&amp;Operators'!$C$1:$G$99999,5,FALSE)</f>
        <v>HILLS DUSTIN</v>
      </c>
      <c r="M132" s="6">
        <f t="shared" si="20"/>
        <v>2.4270833331684116E-2</v>
      </c>
      <c r="N132" s="7">
        <f t="shared" si="21"/>
        <v>34.949999997625127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NorthBound</v>
      </c>
      <c r="U132" s="18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17:26:52-700',mode:absolute,to:'2016-12-23 20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2" s="52" t="str">
        <f t="shared" si="25"/>
        <v>N</v>
      </c>
      <c r="X132" s="189">
        <f t="shared" si="26"/>
        <v>1</v>
      </c>
      <c r="Y132" s="67">
        <f t="shared" si="27"/>
        <v>4.8899999999999999E-2</v>
      </c>
      <c r="Z132" s="67">
        <f t="shared" si="28"/>
        <v>23.3383</v>
      </c>
      <c r="AA132" s="67">
        <f t="shared" si="29"/>
        <v>23.289400000000001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0"/>
        <v>0219-23</v>
      </c>
      <c r="AE132" s="91" t="str">
        <f t="shared" si="31"/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AF132" s="88" t="str">
        <f t="shared" si="32"/>
        <v>"C:\Program Files (x86)\AstroGrep\AstroGrep.exe" /spath="%USERPROFILE%\AppData\Local\Temp\OnboardLogs" /stypes="app*4051*20161224*" /stext=" 02:.+((SYSTEM_STATE.+slice.+state.+changed )|(ment ac)|(multiple cpu faults)|(system.+state.+changed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219-23 --locoid 4051 --swversion DE.1.0.8.0 --startMP 204:489 --initTime 2016-12-23T18:26:52 --startdatetime 2016-12-23T18:30:18 --delay 1 --endMP 204:233383 --enddatetime 2016-12-23T19:05:15 --enforcementcount 0 &gt;&gt;C:\Users\stu\Documents\GitHub\eaglep3-reporting\EC\2016-12-23-refined-times.txt</v>
      </c>
      <c r="AI132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{"issue":{"subject":"","project_id":79,"tracker_id":40,"status_id":1,"priority_id":2,"assigned_to_id":23,"start_date":"2016-12-23","description":"","custom_fields":[{"id":1,"name":"Subdivision","value":"EC"},{"id":4,"name":"Milepost","value":"23.3383"},{"id":17,"name":"Train ID","value":"219-23"},{"id":16,"name":"Locomotive ID","value":"4051"},{"id":130,"name":"Impact","value":""},{"id":150,"name":"Time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449</v>
      </c>
      <c r="B133" s="7">
        <v>4052</v>
      </c>
      <c r="C133" s="22" t="s">
        <v>205</v>
      </c>
      <c r="D133" s="22" t="s">
        <v>729</v>
      </c>
      <c r="E133" s="13">
        <v>42727.801296296297</v>
      </c>
      <c r="F133" s="13">
        <v>42727.810706018521</v>
      </c>
      <c r="G133" s="7">
        <v>2</v>
      </c>
      <c r="H133" s="22" t="s">
        <v>730</v>
      </c>
      <c r="I133" s="13">
        <v>42727.838506944441</v>
      </c>
      <c r="J133" s="7">
        <v>0</v>
      </c>
      <c r="K133" s="109" t="str">
        <f t="shared" si="19"/>
        <v>4051/4052</v>
      </c>
      <c r="L133" s="22" t="str">
        <f>VLOOKUP(A133,'Trips&amp;Operators'!$C$1:$G$99999,5,FALSE)</f>
        <v>HILLS DUSTIN</v>
      </c>
      <c r="M133" s="6">
        <f t="shared" si="20"/>
        <v>2.7800925920018926E-2</v>
      </c>
      <c r="N133" s="7">
        <f t="shared" si="21"/>
        <v>40.033333324827254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Southbound</v>
      </c>
      <c r="U133" s="18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18:13:52-700',mode:absolute,to:'2016-12-23 21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3" s="52" t="str">
        <f t="shared" si="25"/>
        <v>N</v>
      </c>
      <c r="X133" s="189">
        <f t="shared" si="26"/>
        <v>1</v>
      </c>
      <c r="Y133" s="67">
        <f t="shared" si="27"/>
        <v>23.307600000000001</v>
      </c>
      <c r="Z133" s="67">
        <f t="shared" si="28"/>
        <v>9.5600000000000004E-2</v>
      </c>
      <c r="AA133" s="67">
        <f t="shared" si="29"/>
        <v>23.212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0"/>
        <v>0220-23</v>
      </c>
      <c r="AE133" s="91" t="str">
        <f t="shared" si="31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133" s="88" t="str">
        <f t="shared" si="32"/>
        <v>"C:\Program Files (x86)\AstroGrep\AstroGrep.exe" /spath="%USERPROFILE%\AppData\Local\Temp\OnboardLogs" /stypes="app*4052*20161224*" /stext=" 03:.+((SYSTEM_STATE.+slice.+state.+changed )|(ment ac)|(multiple cpu faults)|(system.+state.+changed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220-23 --locoid 4052 --swversion DE.1.0.8.0 --startMP 204:233076 --initTime 2016-12-23T19:13:52 --startdatetime 2016-12-23T19:27:25 --delay 2 --endMP 204:956 --enddatetime 2016-12-23T20:07:27 --enforcementcount 0 &gt;&gt;C:\Users\stu\Documents\GitHub\eaglep3-reporting\EC\2016-12-23-refined-times.txt</v>
      </c>
      <c r="AI133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{"issue":{"subject":"","project_id":79,"tracker_id":40,"status_id":1,"priority_id":2,"assigned_to_id":23,"start_date":"2016-12-23","description":"","custom_fields":[{"id":1,"name":"Subdivision","value":"EC"},{"id":4,"name":"Milepost","value":"0.0956"},{"id":17,"name":"Train ID","value":"220-23"},{"id":16,"name":"Locomotive ID","value":"4052"},{"id":130,"name":"Impact","value":""},{"id":150,"name":"Time of Event (Mountain Time)","value":"20:07:27"},{"id":151,"name":"Denver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641</v>
      </c>
      <c r="B134" s="7">
        <v>4025</v>
      </c>
      <c r="C134" s="22" t="s">
        <v>205</v>
      </c>
      <c r="D134" s="22" t="s">
        <v>317</v>
      </c>
      <c r="E134" s="13">
        <v>42727.790509259263</v>
      </c>
      <c r="F134" s="13">
        <v>42727.831122685187</v>
      </c>
      <c r="G134" s="7">
        <v>1</v>
      </c>
      <c r="H134" s="22" t="s">
        <v>693</v>
      </c>
      <c r="I134" s="13">
        <v>42727.858252314814</v>
      </c>
      <c r="J134" s="7">
        <v>0</v>
      </c>
      <c r="K134" s="109" t="str">
        <f t="shared" si="19"/>
        <v>4025/4026</v>
      </c>
      <c r="L134" s="22" t="str">
        <f>VLOOKUP(A134,'Trips&amp;Operators'!$C$1:$G$99999,5,FALSE)</f>
        <v>BROWN JACOB</v>
      </c>
      <c r="M134" s="6">
        <f t="shared" si="20"/>
        <v>2.7129629626870155E-2</v>
      </c>
      <c r="N134" s="7">
        <f t="shared" si="21"/>
        <v>39.066666662693024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NorthBound</v>
      </c>
      <c r="U134" s="18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17:58:20-700',mode:absolute,to:'2016-12-23 21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4" s="52" t="str">
        <f t="shared" si="25"/>
        <v>N</v>
      </c>
      <c r="X134" s="189">
        <f t="shared" si="26"/>
        <v>1</v>
      </c>
      <c r="Y134" s="67">
        <f t="shared" si="27"/>
        <v>4.7300000000000002E-2</v>
      </c>
      <c r="Z134" s="67">
        <f t="shared" si="28"/>
        <v>23.333400000000001</v>
      </c>
      <c r="AA134" s="67">
        <f t="shared" si="29"/>
        <v>23.286100000000001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0"/>
        <v>0221-23</v>
      </c>
      <c r="AE134" s="91" t="str">
        <f t="shared" si="31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34" s="88" t="str">
        <f t="shared" si="32"/>
        <v>"C:\Program Files (x86)\AstroGrep\AstroGrep.exe" /spath="%USERPROFILE%\AppData\Local\Temp\OnboardLogs" /stypes="app*4025*20161224*" /stext=" 03:.+((SYSTEM_STATE.+slice.+state.+changed )|(ment ac)|(multiple cpu faults)|(system.+state.+changed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221-23 --locoid 4025 --swversion DE.1.0.8.0 --startMP 204:473 --initTime 2016-12-23T18:58:20 --startdatetime 2016-12-23T19:56:49 --delay 1 --endMP 204:233334 --enddatetime 2016-12-23T20:35:53 --enforcementcount 0 &gt;&gt;C:\Users\stu\Documents\GitHub\eaglep3-reporting\EC\2016-12-23-refined-times.txt</v>
      </c>
      <c r="AI134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{"issue":{"subject":"","project_id":79,"tracker_id":40,"status_id":1,"priority_id":2,"assigned_to_id":23,"start_date":"2016-12-23","description":"","custom_fields":[{"id":1,"name":"Subdivision","value":"EC"},{"id":4,"name":"Milepost","value":"23.3334"},{"id":17,"name":"Train ID","value":"221-23"},{"id":16,"name":"Locomotive ID","value":"4025"},{"id":130,"name":"Impact","value":""},{"id":150,"name":"Time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649</v>
      </c>
      <c r="B135" s="7">
        <v>4026</v>
      </c>
      <c r="C135" s="22" t="s">
        <v>205</v>
      </c>
      <c r="D135" s="22" t="s">
        <v>396</v>
      </c>
      <c r="E135" s="13">
        <v>42727.826319444444</v>
      </c>
      <c r="F135" s="13">
        <v>42727.831122685187</v>
      </c>
      <c r="G135" s="7">
        <v>1</v>
      </c>
      <c r="H135" s="22" t="s">
        <v>708</v>
      </c>
      <c r="I135" s="13">
        <v>42727.858252314814</v>
      </c>
      <c r="J135" s="7">
        <v>0</v>
      </c>
      <c r="K135" s="109" t="str">
        <f t="shared" si="19"/>
        <v>4025/4026</v>
      </c>
      <c r="L135" s="22" t="str">
        <f>VLOOKUP(A135,'Trips&amp;Operators'!$C$1:$G$99999,5,FALSE)</f>
        <v>BROWN JACOB</v>
      </c>
      <c r="M135" s="6">
        <f t="shared" si="20"/>
        <v>2.7129629626870155E-2</v>
      </c>
      <c r="N135" s="7">
        <f t="shared" si="21"/>
        <v>39.066666662693024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Southbound</v>
      </c>
      <c r="U135" s="18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18:49:54-700',mode:absolute,to:'2016-12-23 21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5" s="52" t="str">
        <f t="shared" si="25"/>
        <v>N</v>
      </c>
      <c r="X135" s="189">
        <f t="shared" si="26"/>
        <v>1</v>
      </c>
      <c r="Y135" s="67">
        <f t="shared" si="27"/>
        <v>23.302700000000002</v>
      </c>
      <c r="Z135" s="67">
        <f t="shared" si="28"/>
        <v>1.3599999999999999E-2</v>
      </c>
      <c r="AA135" s="67">
        <f t="shared" si="29"/>
        <v>23.289100000000001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0"/>
        <v>0222-23</v>
      </c>
      <c r="AE135" s="91" t="str">
        <f t="shared" si="31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35" s="88" t="str">
        <f t="shared" si="32"/>
        <v>"C:\Program Files (x86)\AstroGrep\AstroGrep.exe" /spath="%USERPROFILE%\AppData\Local\Temp\OnboardLogs" /stypes="app*4026*20161224*" /stext=" 03:.+((SYSTEM_STATE.+slice.+state.+changed )|(ment ac)|(multiple cpu faults)|(system.+state.+changed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222-23 --locoid 4026 --swversion DE.1.0.8.0 --startMP 204:233027 --initTime 2016-12-23T19:49:54 --startdatetime 2016-12-23T19:56:49 --delay 1 --endMP 204:136 --enddatetime 2016-12-23T20:35:53 --enforcementcount 0 &gt;&gt;C:\Users\stu\Documents\GitHub\eaglep3-reporting\EC\2016-12-23-refined-times.txt</v>
      </c>
      <c r="AI135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{"issue":{"subject":"","project_id":79,"tracker_id":40,"status_id":1,"priority_id":2,"assigned_to_id":23,"start_date":"2016-12-23","description":"","custom_fields":[{"id":1,"name":"Subdivision","value":"EC"},{"id":4,"name":"Milepost","value":"0.0136"},{"id":17,"name":"Train ID","value":"222-23"},{"id":16,"name":"Locomotive ID","value":"4026"},{"id":130,"name":"Impact","value":""},{"id":150,"name":"Time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646</v>
      </c>
      <c r="B136" s="7">
        <v>4031</v>
      </c>
      <c r="C136" s="22" t="s">
        <v>205</v>
      </c>
      <c r="D136" s="22" t="s">
        <v>719</v>
      </c>
      <c r="E136" s="13">
        <v>42727.810358796298</v>
      </c>
      <c r="F136" s="13">
        <v>42727.812939814816</v>
      </c>
      <c r="G136" s="7">
        <v>1</v>
      </c>
      <c r="H136" s="22" t="s">
        <v>318</v>
      </c>
      <c r="I136" s="13">
        <v>42727.837731481479</v>
      </c>
      <c r="J136" s="7">
        <v>0</v>
      </c>
      <c r="K136" s="109" t="str">
        <f t="shared" si="19"/>
        <v>4031/4032</v>
      </c>
      <c r="L136" s="22" t="str">
        <f>VLOOKUP(A136,'Trips&amp;Operators'!$C$1:$G$99999,5,FALSE)</f>
        <v>YANG JAN</v>
      </c>
      <c r="M136" s="6">
        <f t="shared" si="20"/>
        <v>2.4791666663077194E-2</v>
      </c>
      <c r="N136" s="7">
        <f t="shared" si="21"/>
        <v>35.69999999483116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NorthBound</v>
      </c>
      <c r="U136" s="18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18:26:55-700',mode:absolute,to:'2016-12-23 21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6" s="52" t="str">
        <f t="shared" si="25"/>
        <v>N</v>
      </c>
      <c r="X136" s="189">
        <f t="shared" si="26"/>
        <v>1</v>
      </c>
      <c r="Y136" s="67">
        <f t="shared" si="27"/>
        <v>4.3499999999999997E-2</v>
      </c>
      <c r="Z136" s="67">
        <f t="shared" si="28"/>
        <v>23.330100000000002</v>
      </c>
      <c r="AA136" s="67">
        <f t="shared" si="29"/>
        <v>23.2866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0"/>
        <v>0223-23</v>
      </c>
      <c r="AE136" s="91" t="str">
        <f t="shared" si="31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36" s="88" t="str">
        <f t="shared" si="32"/>
        <v>"C:\Program Files (x86)\AstroGrep\AstroGrep.exe" /spath="%USERPROFILE%\AppData\Local\Temp\OnboardLogs" /stypes="app*4031*20161224*" /stext=" 03:.+((SYSTEM_STATE.+slice.+state.+changed )|(ment ac)|(multiple cpu faults)|(system.+state.+changed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223-23 --locoid 4031 --swversion DE.1.0.8.0 --startMP 204:435 --initTime 2016-12-23T19:26:55 --startdatetime 2016-12-23T19:30:38 --delay 1 --endMP 204:233301 --enddatetime 2016-12-23T20:06:20 --enforcementcount 0 &gt;&gt;C:\Users\stu\Documents\GitHub\eaglep3-reporting\EC\2016-12-23-refined-times.txt</v>
      </c>
      <c r="AI136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{"issue":{"subject":"","project_id":79,"tracker_id":40,"status_id":1,"priority_id":2,"assigned_to_id":23,"start_date":"2016-12-23","description":"","custom_fields":[{"id":1,"name":"Subdivision","value":"EC"},{"id":4,"name":"Milepost","value":"23.3301"},{"id":17,"name":"Train ID","value":"223-23"},{"id":16,"name":"Locomotive ID","value":"4031"},{"id":130,"name":"Impact","value":""},{"id":150,"name":"Time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652</v>
      </c>
      <c r="B137" s="7">
        <v>4032</v>
      </c>
      <c r="C137" s="22" t="s">
        <v>205</v>
      </c>
      <c r="D137" s="22" t="s">
        <v>355</v>
      </c>
      <c r="E137" s="13">
        <v>42727.846412037034</v>
      </c>
      <c r="F137" s="13">
        <v>42727.851944444446</v>
      </c>
      <c r="G137" s="7">
        <v>2</v>
      </c>
      <c r="H137" s="22" t="s">
        <v>192</v>
      </c>
      <c r="I137" s="13">
        <v>42727.879618055558</v>
      </c>
      <c r="J137" s="7">
        <v>0</v>
      </c>
      <c r="K137" s="109" t="str">
        <f t="shared" si="19"/>
        <v>4031/4032</v>
      </c>
      <c r="L137" s="22" t="str">
        <f>VLOOKUP(A137,'Trips&amp;Operators'!$C$1:$G$99999,5,FALSE)</f>
        <v>YANG JAN</v>
      </c>
      <c r="M137" s="6">
        <f t="shared" si="20"/>
        <v>2.7673611111822538E-2</v>
      </c>
      <c r="N137" s="7">
        <f t="shared" si="21"/>
        <v>39.850000001024455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Southbound</v>
      </c>
      <c r="U137" s="18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19:18:50-700',mode:absolute,to:'2016-12-23 22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7" s="52" t="str">
        <f t="shared" si="25"/>
        <v>N</v>
      </c>
      <c r="X137" s="189">
        <f t="shared" si="26"/>
        <v>1</v>
      </c>
      <c r="Y137" s="67">
        <f t="shared" si="27"/>
        <v>23.298200000000001</v>
      </c>
      <c r="Z137" s="67">
        <f t="shared" si="28"/>
        <v>1.43E-2</v>
      </c>
      <c r="AA137" s="67">
        <f t="shared" si="29"/>
        <v>23.283900000000003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0"/>
        <v>0224-23</v>
      </c>
      <c r="AE137" s="91" t="str">
        <f t="shared" si="31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37" s="88" t="str">
        <f t="shared" si="32"/>
        <v>"C:\Program Files (x86)\AstroGrep\AstroGrep.exe" /spath="%USERPROFILE%\AppData\Local\Temp\OnboardLogs" /stypes="app*4032*20161224*" /stext=" 04:.+((SYSTEM_STATE.+slice.+state.+changed )|(ment ac)|(multiple cpu faults)|(system.+state.+changed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224-23 --locoid 4032 --swversion DE.1.0.8.0 --startMP 204:232982 --initTime 2016-12-23T20:18:50 --startdatetime 2016-12-23T20:26:48 --delay 2 --endMP 204:143 --enddatetime 2016-12-23T21:06:39 --enforcementcount 0 &gt;&gt;C:\Users\stu\Documents\GitHub\eaglep3-reporting\EC\2016-12-23-refined-times.txt</v>
      </c>
      <c r="AI137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ID","value":"224-23"},{"id":16,"name":"Locomotive ID","value":"4032"},{"id":130,"name":"Impact","value":""},{"id":150,"name":"Time of Event (Mountain Time)","value":"21:06:39"},{"id":151,"name":"Denver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650</v>
      </c>
      <c r="B138" s="7">
        <v>4016</v>
      </c>
      <c r="C138" s="22" t="s">
        <v>205</v>
      </c>
      <c r="D138" s="22" t="s">
        <v>242</v>
      </c>
      <c r="E138" s="13">
        <v>42727.829699074071</v>
      </c>
      <c r="F138" s="13">
        <v>42727.833865740744</v>
      </c>
      <c r="G138" s="7">
        <v>2</v>
      </c>
      <c r="H138" s="22" t="s">
        <v>397</v>
      </c>
      <c r="I138" s="13">
        <v>42727.857777777775</v>
      </c>
      <c r="J138" s="7">
        <v>0</v>
      </c>
      <c r="K138" s="109" t="str">
        <f t="shared" si="19"/>
        <v>4015/4016</v>
      </c>
      <c r="L138" s="22" t="str">
        <f>VLOOKUP(A138,'Trips&amp;Operators'!$C$1:$G$99999,5,FALSE)</f>
        <v>STAMBAUGH JAMES</v>
      </c>
      <c r="M138" s="6">
        <f t="shared" si="20"/>
        <v>2.3912037031550426E-2</v>
      </c>
      <c r="N138" s="7">
        <f t="shared" si="21"/>
        <v>34.433333325432613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NorthBound</v>
      </c>
      <c r="U138" s="18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18:54:46-700',mode:absolute,to:'2016-12-23 21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8" s="52" t="str">
        <f t="shared" si="25"/>
        <v>N</v>
      </c>
      <c r="X138" s="189">
        <f t="shared" si="26"/>
        <v>1</v>
      </c>
      <c r="Y138" s="67">
        <f t="shared" si="27"/>
        <v>4.58E-2</v>
      </c>
      <c r="Z138" s="67">
        <f t="shared" si="28"/>
        <v>23.3338</v>
      </c>
      <c r="AA138" s="67">
        <f t="shared" si="29"/>
        <v>23.288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0"/>
        <v>0225-23</v>
      </c>
      <c r="AE138" s="91" t="str">
        <f t="shared" si="31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38" s="88" t="str">
        <f t="shared" si="32"/>
        <v>"C:\Program Files (x86)\AstroGrep\AstroGrep.exe" /spath="%USERPROFILE%\AppData\Local\Temp\OnboardLogs" /stypes="app*4016*20161224*" /stext=" 03:.+((SYSTEM_STATE.+slice.+state.+changed )|(ment ac)|(multiple cpu faults)|(system.+state.+changed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225-23 --locoid 4016 --swversion DE.1.0.8.0 --startMP 204:458 --initTime 2016-12-23T19:54:46 --startdatetime 2016-12-23T20:00:46 --delay 2 --endMP 204:233338 --enddatetime 2016-12-23T20:35:12 --enforcementcount 0 &gt;&gt;C:\Users\stu\Documents\GitHub\eaglep3-reporting\EC\2016-12-23-refined-times.txt</v>
      </c>
      <c r="AI138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{"issue":{"subject":"","project_id":79,"tracker_id":40,"status_id":1,"priority_id":2,"assigned_to_id":23,"start_date":"2016-12-23","description":"","custom_fields":[{"id":1,"name":"Subdivision","value":"EC"},{"id":4,"name":"Milepost","value":"23.3338"},{"id":17,"name":"Train ID","value":"225-23"},{"id":16,"name":"Locomotive ID","value":"4016"},{"id":130,"name":"Impact","value":""},{"id":150,"name":"Time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655</v>
      </c>
      <c r="B139" s="7">
        <v>4015</v>
      </c>
      <c r="C139" s="22" t="s">
        <v>205</v>
      </c>
      <c r="D139" s="22" t="s">
        <v>731</v>
      </c>
      <c r="E139" s="13">
        <v>42727.869479166664</v>
      </c>
      <c r="F139" s="13">
        <v>42727.872546296298</v>
      </c>
      <c r="G139" s="7">
        <v>1</v>
      </c>
      <c r="H139" s="22" t="s">
        <v>261</v>
      </c>
      <c r="I139" s="13">
        <v>42727.8984837963</v>
      </c>
      <c r="J139" s="7">
        <v>0</v>
      </c>
      <c r="K139" s="109" t="str">
        <f t="shared" si="19"/>
        <v>4015/4016</v>
      </c>
      <c r="L139" s="22" t="str">
        <f>VLOOKUP(A139,'Trips&amp;Operators'!$C$1:$G$99999,5,FALSE)</f>
        <v>STAMBAUGH JAMES</v>
      </c>
      <c r="M139" s="6">
        <f t="shared" si="20"/>
        <v>2.5937500002328306E-2</v>
      </c>
      <c r="N139" s="7">
        <f t="shared" si="21"/>
        <v>37.350000003352761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Southbound</v>
      </c>
      <c r="U139" s="18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19:52:03-700',mode:absolute,to:'2016-12-23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9" s="52" t="str">
        <f t="shared" si="25"/>
        <v>N</v>
      </c>
      <c r="X139" s="189">
        <f t="shared" si="26"/>
        <v>1</v>
      </c>
      <c r="Y139" s="67">
        <f t="shared" si="27"/>
        <v>23.305099999999999</v>
      </c>
      <c r="Z139" s="67">
        <f t="shared" si="28"/>
        <v>1.47E-2</v>
      </c>
      <c r="AA139" s="67">
        <f t="shared" si="29"/>
        <v>23.290399999999998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0"/>
        <v>0226-23</v>
      </c>
      <c r="AE139" s="91" t="str">
        <f t="shared" si="31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39" s="88" t="str">
        <f t="shared" si="32"/>
        <v>"C:\Program Files (x86)\AstroGrep\AstroGrep.exe" /spath="%USERPROFILE%\AppData\Local\Temp\OnboardLogs" /stypes="app*4015*20161224*" /stext=" 04:.+((SYSTEM_STATE.+slice.+state.+changed )|(ment ac)|(multiple cpu faults)|(system.+state.+changed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226-23 --locoid 4015 --swversion DE.1.0.8.0 --startMP 204:233051 --initTime 2016-12-23T20:52:03 --startdatetime 2016-12-23T20:56:28 --delay 1 --endMP 204:147 --enddatetime 2016-12-23T21:33:49 --enforcementcount 0 &gt;&gt;C:\Users\stu\Documents\GitHub\eaglep3-reporting\EC\2016-12-23-refined-times.txt</v>
      </c>
      <c r="AI139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{"issue":{"subject":"","project_id":79,"tracker_id":40,"status_id":1,"priority_id":2,"assigned_to_id":23,"start_date":"2016-12-23","description":"","custom_fields":[{"id":1,"name":"Subdivision","value":"EC"},{"id":4,"name":"Milepost","value":"0.0147"},{"id":17,"name":"Train ID","value":"226-23"},{"id":16,"name":"Locomotive ID","value":"4015"},{"id":130,"name":"Impact","value":""},{"id":150,"name":"Time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450</v>
      </c>
      <c r="B140" s="7">
        <v>4046</v>
      </c>
      <c r="C140" s="22" t="s">
        <v>205</v>
      </c>
      <c r="D140" s="22" t="s">
        <v>286</v>
      </c>
      <c r="E140" s="13">
        <v>42727.84302083333</v>
      </c>
      <c r="F140" s="13">
        <v>42727.854583333334</v>
      </c>
      <c r="G140" s="7">
        <v>1</v>
      </c>
      <c r="H140" s="22" t="s">
        <v>320</v>
      </c>
      <c r="I140" s="13">
        <v>42727.879224537035</v>
      </c>
      <c r="J140" s="7">
        <v>0</v>
      </c>
      <c r="K140" s="109" t="str">
        <f t="shared" si="19"/>
        <v>4045/4046</v>
      </c>
      <c r="L140" s="22" t="str">
        <f>VLOOKUP(A140,'Trips&amp;Operators'!$C$1:$G$99999,5,FALSE)</f>
        <v>HILLS DUSTIN</v>
      </c>
      <c r="M140" s="6">
        <f t="shared" si="20"/>
        <v>2.4641203701321501E-2</v>
      </c>
      <c r="N140" s="7">
        <f t="shared" si="21"/>
        <v>35.483333329902962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NorthBound</v>
      </c>
      <c r="U140" s="18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https://search-rtdc-monitor-bjffxe2xuh6vdkpspy63sjmuny.us-east-1.es.amazonaws.com/_plugin/kibana/#/discover/Steve-Slow-Train-Analysis-(2080s-and-2083s)?_g=(refreshInterval:(display:Off,section:0,value:0),time:(from:'2016-12-23 19:13:57-700',mode:absolute,to:'2016-12-23 22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0" s="52" t="str">
        <f t="shared" si="25"/>
        <v>N</v>
      </c>
      <c r="X140" s="189">
        <f t="shared" si="26"/>
        <v>1</v>
      </c>
      <c r="Y140" s="67">
        <f t="shared" si="27"/>
        <v>4.6899999999999997E-2</v>
      </c>
      <c r="Z140" s="67">
        <f t="shared" si="28"/>
        <v>23.329699999999999</v>
      </c>
      <c r="AA140" s="67">
        <f t="shared" si="29"/>
        <v>23.282799999999998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0"/>
        <v>0227-23</v>
      </c>
      <c r="AE140" s="91" t="str">
        <f t="shared" si="31"/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AF140" s="88" t="str">
        <f t="shared" si="32"/>
        <v>"C:\Program Files (x86)\AstroGrep\AstroGrep.exe" /spath="%USERPROFILE%\AppData\Local\Temp\OnboardLogs" /stypes="app*4046*20161224*" /stext=" 04:.+((SYSTEM_STATE.+slice.+state.+changed )|(ment ac)|(multiple cpu faults)|(system.+state.+changed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227-23 --locoid 4046 --swversion DE.1.0.8.0 --startMP 204:469 --initTime 2016-12-23T20:13:57 --startdatetime 2016-12-23T20:30:36 --delay 1 --endMP 204:233297 --enddatetime 2016-12-23T21:06:05 --enforcementcount 0 &gt;&gt;C:\Users\stu\Documents\GitHub\eaglep3-reporting\EC\2016-12-23-refined-times.txt</v>
      </c>
      <c r="AI140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{"issue":{"subject":"","project_id":79,"tracker_id":40,"status_id":1,"priority_id":2,"assigned_to_id":23,"start_date":"2016-12-23","description":"","custom_fields":[{"id":1,"name":"Subdivision","value":"EC"},{"id":4,"name":"Milepost","value":"23.3297"},{"id":17,"name":"Train ID","value":"227-23"},{"id":16,"name":"Locomotive ID","value":"4046"},{"id":130,"name":"Impact","value":""},{"id":150,"name":"Time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657</v>
      </c>
      <c r="B141" s="7">
        <v>4045</v>
      </c>
      <c r="C141" s="22" t="s">
        <v>205</v>
      </c>
      <c r="D141" s="22" t="s">
        <v>315</v>
      </c>
      <c r="E141" s="13">
        <v>42727.881585648145</v>
      </c>
      <c r="F141" s="13">
        <v>42727.893229166664</v>
      </c>
      <c r="G141" s="7">
        <v>1</v>
      </c>
      <c r="H141" s="22" t="s">
        <v>732</v>
      </c>
      <c r="I141" s="13">
        <v>42727.919583333336</v>
      </c>
      <c r="J141" s="7">
        <v>0</v>
      </c>
      <c r="K141" s="109" t="str">
        <f t="shared" ref="K141:K202" si="36">IF(ISEVEN(B141),(B141-1)&amp;"/"&amp;B141,B141&amp;"/"&amp;(B141+1))</f>
        <v>4045/4046</v>
      </c>
      <c r="L141" s="22" t="str">
        <f>VLOOKUP(A141,'Trips&amp;Operators'!$C$1:$G$99999,5,FALSE)</f>
        <v>HILLS DUSTIN</v>
      </c>
      <c r="M141" s="6">
        <f t="shared" ref="M141:M202" si="37">I141-F141</f>
        <v>2.6354166671808343E-2</v>
      </c>
      <c r="N141" s="7">
        <f t="shared" ref="N141:P202" si="38">24*60*SUM($M141:$M141)</f>
        <v>37.950000007404014</v>
      </c>
      <c r="O141" s="7"/>
      <c r="P141" s="7"/>
      <c r="Q141" s="23"/>
      <c r="R141" s="23"/>
      <c r="S141" s="35">
        <f t="shared" ref="S141:S202" si="39">SUM(U141:U141)/IF(AG141="EC",12,1)</f>
        <v>1</v>
      </c>
      <c r="T141" s="50" t="str">
        <f t="shared" ref="T141:T202" si="40">IF(ISEVEN(LEFT(AD141,4)),"Southbound","NorthBound")</f>
        <v>Southbound</v>
      </c>
      <c r="U141" s="18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2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https://search-rtdc-monitor-bjffxe2xuh6vdkpspy63sjmuny.us-east-1.es.amazonaws.com/_plugin/kibana/#/discover/Steve-Slow-Train-Analysis-(2080s-and-2083s)?_g=(refreshInterval:(display:Off,section:0,value:0),time:(from:'2016-12-23 20:09:29-700',mode:absolute,to:'2016-12-23 23:04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1" s="52" t="str">
        <f t="shared" ref="W141:W202" si="42">IF(AA141&lt;IF(AG141="EC",23,5.65),"Y","N")</f>
        <v>N</v>
      </c>
      <c r="X141" s="189">
        <f t="shared" ref="X141:X204" si="43">VALUE(LEFT(AD141,4))-VALUE(LEFT(AD140,4))</f>
        <v>1</v>
      </c>
      <c r="Y141" s="67">
        <f t="shared" ref="Y141:Y202" si="44">RIGHT(D141,LEN(D141)-4)/10000</f>
        <v>23.298400000000001</v>
      </c>
      <c r="Z141" s="67">
        <f t="shared" ref="Z141:Z202" si="45">RIGHT(H141,LEN(H141)-4)/10000</f>
        <v>1.2699999999999999E-2</v>
      </c>
      <c r="AA141" s="67">
        <f t="shared" ref="AA141:AA202" si="46">ABS(Z141-Y141)</f>
        <v>23.285700000000002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2" si="47">IF(LEN(A141)=6,"0"&amp;A141,A141)</f>
        <v>0228-23</v>
      </c>
      <c r="AE141" s="91" t="str">
        <f t="shared" ref="AE141:AE202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AF141" s="88" t="str">
        <f t="shared" ref="AF141:AF202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/stypes="app*4045*20161224*" /stext=" 05:.+((SYSTEM_STATE.+slice.+state.+changed )|(ment ac)|(multiple cpu faults)|(system.+state.+changed )|(\[timeout)|(PRM\|1\|D)|(kpr)|(kdp)|(\|lc)|(penalty))" /e /r /s</v>
      </c>
      <c r="AG141" s="1" t="str">
        <f t="shared" ref="AG141:AG202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228-23 --locoid 4045 --swversion DE.1.0.8.0 --startMP 204:232984 --initTime 2016-12-23T21:09:29 --startdatetime 2016-12-23T21:26:15 --delay 1 --endMP 204:127 --enddatetime 2016-12-23T22:04:12 --enforcementcount 0 &gt;&gt;C:\Users\stu\Documents\GitHub\eaglep3-reporting\EC\2016-12-23-refined-times.txt</v>
      </c>
      <c r="AI141" s="119" t="str">
        <f t="shared" si="35"/>
        <v>echo {"issue":{"subject":"","project_id":79,"tracker_id":40,"status_id":1,"priority_id":2,"assigned_to_id":23,"start_date":"2016-12-23","description":"","custom_fields":[{"id":1,"name":"Subdivision","value":"EC"},{"id":4,"name":"Milepost","value":"0.0127"},{"id":17,"name":"Train ID","value":"228-23"},{"id":16,"name":"Locomotive ID","value":"4045"},{"id":130,"name":"Impact","value":""},{"id":150,"name":"Time of Event (Mountain Time)","value":"22:04:12"},{"id":151,"name":"Denver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654</v>
      </c>
      <c r="B142" s="7">
        <v>4025</v>
      </c>
      <c r="C142" s="22" t="s">
        <v>205</v>
      </c>
      <c r="D142" s="22" t="s">
        <v>356</v>
      </c>
      <c r="E142" s="13">
        <v>42727.868969907409</v>
      </c>
      <c r="F142" s="13">
        <v>42727.875196759262</v>
      </c>
      <c r="G142" s="7">
        <v>1</v>
      </c>
      <c r="H142" s="22" t="s">
        <v>733</v>
      </c>
      <c r="I142" s="13">
        <v>42727.900081018517</v>
      </c>
      <c r="J142" s="7">
        <v>0</v>
      </c>
      <c r="K142" s="109" t="str">
        <f t="shared" si="36"/>
        <v>4025/4026</v>
      </c>
      <c r="L142" s="22" t="str">
        <f>VLOOKUP(A142,'Trips&amp;Operators'!$C$1:$G$99999,5,FALSE)</f>
        <v>BROWN JACOB</v>
      </c>
      <c r="M142" s="6">
        <f t="shared" si="37"/>
        <v>2.488425925548654E-2</v>
      </c>
      <c r="N142" s="7">
        <f t="shared" si="38"/>
        <v>35.833333327900618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NorthBound</v>
      </c>
      <c r="U142" s="18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19:51:19-700',mode:absolute,to:'2016-12-23 22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2" s="52" t="str">
        <f t="shared" si="42"/>
        <v>N</v>
      </c>
      <c r="X142" s="189">
        <f t="shared" si="43"/>
        <v>1</v>
      </c>
      <c r="Y142" s="67">
        <f t="shared" si="44"/>
        <v>4.6600000000000003E-2</v>
      </c>
      <c r="Z142" s="67">
        <f t="shared" si="45"/>
        <v>23.335899999999999</v>
      </c>
      <c r="AA142" s="67">
        <f t="shared" si="46"/>
        <v>23.289299999999997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47"/>
        <v>0229-23</v>
      </c>
      <c r="AE142" s="91" t="str">
        <f t="shared" si="48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42" s="88" t="str">
        <f t="shared" si="49"/>
        <v>"C:\Program Files (x86)\AstroGrep\AstroGrep.exe" /spath="%USERPROFILE%\AppData\Local\Temp\OnboardLogs" /stypes="app*4025*20161224*" /stext=" 04:.+((SYSTEM_STATE.+slice.+state.+changed )|(ment ac)|(multiple cpu faults)|(system.+state.+changed )|(\[timeout)|(PRM\|1\|D)|(kpr)|(kdp)|(\|lc)|(penalty))" /e /r /s</v>
      </c>
      <c r="AG142" s="1" t="str">
        <f t="shared" si="50"/>
        <v>EC</v>
      </c>
      <c r="AH142" s="92" t="str">
        <f t="shared" ref="AH142:AH203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229-23 --locoid 4025 --swversion DE.1.0.8.0 --startMP 204:466 --initTime 2016-12-23T20:51:19 --startdatetime 2016-12-23T21:00:17 --delay 1 --endMP 204:233359 --enddatetime 2016-12-23T21:36:07 --enforcementcount 0 &gt;&gt;C:\Users\stu\Documents\GitHub\eaglep3-reporting\EC\2016-12-23-refined-times.txt</v>
      </c>
      <c r="AI142" s="119" t="str">
        <f t="shared" ref="AI142:AI203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{"issue":{"subject":"","project_id":79,"tracker_id":40,"status_id":1,"priority_id":2,"assigned_to_id":23,"start_date":"2016-12-23","description":"","custom_fields":[{"id":1,"name":"Subdivision","value":"EC"},{"id":4,"name":"Milepost","value":"23.3359"},{"id":17,"name":"Train ID","value":"229-23"},{"id":16,"name":"Locomotive ID","value":"4025"},{"id":130,"name":"Impact","value":""},{"id":150,"name":"Time of Event (Mountain Time)","value":"21:36:07"},{"id":151,"name":"Denver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455</v>
      </c>
      <c r="B143" s="7">
        <v>4026</v>
      </c>
      <c r="C143" s="22" t="s">
        <v>205</v>
      </c>
      <c r="D143" s="22" t="s">
        <v>734</v>
      </c>
      <c r="E143" s="13">
        <v>42727.910856481481</v>
      </c>
      <c r="F143" s="13">
        <v>42727.914143518516</v>
      </c>
      <c r="G143" s="7">
        <v>1</v>
      </c>
      <c r="H143" s="22" t="s">
        <v>735</v>
      </c>
      <c r="I143" s="13">
        <v>42727.942175925928</v>
      </c>
      <c r="J143" s="7">
        <v>0</v>
      </c>
      <c r="K143" s="109" t="str">
        <f t="shared" si="36"/>
        <v>4025/4026</v>
      </c>
      <c r="L143" s="22" t="str">
        <f>VLOOKUP(A143,'Trips&amp;Operators'!$C$1:$G$99999,5,FALSE)</f>
        <v>BROWN JACOB</v>
      </c>
      <c r="M143" s="6">
        <f t="shared" si="37"/>
        <v>2.8032407411956228E-2</v>
      </c>
      <c r="N143" s="7">
        <f t="shared" si="38"/>
        <v>40.366666673216969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Southbound</v>
      </c>
      <c r="U143" s="18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20:51:38-700',mode:absolute,to:'2016-12-23 23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3" s="52" t="str">
        <f t="shared" si="42"/>
        <v>N</v>
      </c>
      <c r="X143" s="189">
        <f t="shared" si="43"/>
        <v>1</v>
      </c>
      <c r="Y143" s="67">
        <f t="shared" si="44"/>
        <v>23.303000000000001</v>
      </c>
      <c r="Z143" s="67">
        <f t="shared" si="45"/>
        <v>2.1399999999999999E-2</v>
      </c>
      <c r="AA143" s="67">
        <f t="shared" si="46"/>
        <v>23.281600000000001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47"/>
        <v>0230-23</v>
      </c>
      <c r="AE143" s="91" t="str">
        <f t="shared" si="48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43" s="88" t="str">
        <f t="shared" si="49"/>
        <v>"C:\Program Files (x86)\AstroGrep\AstroGrep.exe" /spath="%USERPROFILE%\AppData\Local\Temp\OnboardLogs" /stypes="app*4026*20161224*" /stext=" 05:.+((SYSTEM_STATE.+slice.+state.+changed )|(ment ac)|(multiple cpu faults)|(system.+state.+changed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230-23 --locoid 4026 --swversion DE.1.0.8.0 --startMP 204:233030 --initTime 2016-12-23T21:51:38 --startdatetime 2016-12-23T21:56:22 --delay 1 --endMP 204:214 --enddatetime 2016-12-23T22:36:44 --enforcementcount 0 &gt;&gt;C:\Users\stu\Documents\GitHub\eaglep3-reporting\EC\2016-12-23-refined-times.txt</v>
      </c>
      <c r="AI143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{"issue":{"subject":"","project_id":79,"tracker_id":40,"status_id":1,"priority_id":2,"assigned_to_id":23,"start_date":"2016-12-23","description":"","custom_fields":[{"id":1,"name":"Subdivision","value":"EC"},{"id":4,"name":"Milepost","value":"0.0214"},{"id":17,"name":"Train ID","value":"230-23"},{"id":16,"name":"Locomotive ID","value":"4026"},{"id":130,"name":"Impact","value":""},{"id":150,"name":"Time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658</v>
      </c>
      <c r="B144" s="7">
        <v>4031</v>
      </c>
      <c r="C144" s="22" t="s">
        <v>205</v>
      </c>
      <c r="D144" s="22" t="s">
        <v>228</v>
      </c>
      <c r="E144" s="13">
        <v>42727.890266203707</v>
      </c>
      <c r="F144" s="13">
        <v>42727.89634259259</v>
      </c>
      <c r="G144" s="7">
        <v>1</v>
      </c>
      <c r="H144" s="22" t="s">
        <v>726</v>
      </c>
      <c r="I144" s="13">
        <v>42727.922569444447</v>
      </c>
      <c r="J144" s="7">
        <v>0</v>
      </c>
      <c r="K144" s="109" t="str">
        <f t="shared" si="36"/>
        <v>4031/4032</v>
      </c>
      <c r="L144" s="22" t="str">
        <f>VLOOKUP(A144,'Trips&amp;Operators'!$C$1:$G$99999,5,FALSE)</f>
        <v>YANG JAN</v>
      </c>
      <c r="M144" s="6">
        <f t="shared" si="37"/>
        <v>2.6226851856335998E-2</v>
      </c>
      <c r="N144" s="7">
        <f t="shared" si="38"/>
        <v>37.766666673123837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NorthBound</v>
      </c>
      <c r="U144" s="18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20:21:59-700',mode:absolute,to:'2016-12-23 23:08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4" s="52" t="str">
        <f t="shared" si="42"/>
        <v>N</v>
      </c>
      <c r="X144" s="189">
        <f t="shared" si="43"/>
        <v>1</v>
      </c>
      <c r="Y144" s="67">
        <f t="shared" si="44"/>
        <v>4.5499999999999999E-2</v>
      </c>
      <c r="Z144" s="67">
        <f t="shared" si="45"/>
        <v>23.330500000000001</v>
      </c>
      <c r="AA144" s="67">
        <f t="shared" si="46"/>
        <v>23.285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47"/>
        <v>0231-23</v>
      </c>
      <c r="AE144" s="91" t="str">
        <f t="shared" si="48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44" s="88" t="str">
        <f t="shared" si="49"/>
        <v>"C:\Program Files (x86)\AstroGrep\AstroGrep.exe" /spath="%USERPROFILE%\AppData\Local\Temp\OnboardLogs" /stypes="app*4031*20161224*" /stext=" 05:.+((SYSTEM_STATE.+slice.+state.+changed )|(ment ac)|(multiple cpu faults)|(system.+state.+changed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231-23 --locoid 4031 --swversion DE.1.0.8.0 --startMP 204:455 --initTime 2016-12-23T21:21:59 --startdatetime 2016-12-23T21:30:44 --delay 1 --endMP 204:233305 --enddatetime 2016-12-23T22:08:30 --enforcementcount 0 &gt;&gt;C:\Users\stu\Documents\GitHub\eaglep3-reporting\EC\2016-12-23-refined-times.txt</v>
      </c>
      <c r="AI144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{"issue":{"subject":"","project_id":79,"tracker_id":40,"status_id":1,"priority_id":2,"assigned_to_id":23,"start_date":"2016-12-23","description":"","custom_fields":[{"id":1,"name":"Subdivision","value":"EC"},{"id":4,"name":"Milepost","value":"23.3305"},{"id":17,"name":"Train ID","value":"231-23"},{"id":16,"name":"Locomotive ID","value":"4031"},{"id":130,"name":"Impact","value":""},{"id":150,"name":"Time of Event (Mountain Time)","value":"22:08:30"},{"id":151,"name":"Denver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452</v>
      </c>
      <c r="B145" s="7">
        <v>4032</v>
      </c>
      <c r="C145" s="22" t="s">
        <v>205</v>
      </c>
      <c r="D145" s="22" t="s">
        <v>315</v>
      </c>
      <c r="E145" s="13">
        <v>42727.929143518515</v>
      </c>
      <c r="F145" s="13">
        <v>42727.935428240744</v>
      </c>
      <c r="G145" s="7">
        <v>1</v>
      </c>
      <c r="H145" s="22" t="s">
        <v>708</v>
      </c>
      <c r="I145" s="13">
        <v>42727.965208333335</v>
      </c>
      <c r="J145" s="7">
        <v>0</v>
      </c>
      <c r="K145" s="109" t="str">
        <f t="shared" si="36"/>
        <v>4031/4032</v>
      </c>
      <c r="L145" s="22" t="str">
        <f>VLOOKUP(A145,'Trips&amp;Operators'!$C$1:$G$99999,5,FALSE)</f>
        <v>YANG JAN</v>
      </c>
      <c r="M145" s="6">
        <f t="shared" si="37"/>
        <v>2.9780092590954155E-2</v>
      </c>
      <c r="N145" s="7">
        <f t="shared" si="38"/>
        <v>42.883333330973983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Southbound</v>
      </c>
      <c r="U145" s="18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21:17:58-700',mode:absolute,to:'2016-12-24 00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5" s="52" t="str">
        <f t="shared" si="42"/>
        <v>N</v>
      </c>
      <c r="X145" s="189">
        <f t="shared" si="43"/>
        <v>1</v>
      </c>
      <c r="Y145" s="67">
        <f t="shared" si="44"/>
        <v>23.298400000000001</v>
      </c>
      <c r="Z145" s="67">
        <f t="shared" si="45"/>
        <v>1.3599999999999999E-2</v>
      </c>
      <c r="AA145" s="67">
        <f t="shared" si="46"/>
        <v>23.284800000000001</v>
      </c>
      <c r="AB145" s="64" t="str">
        <f>VLOOKUP(A145,Enforcements!$C$7:$K$19,8,0)</f>
        <v>Speed (6)</v>
      </c>
      <c r="AC145" s="60" t="str">
        <f>VLOOKUP(A145,Enforcements!$C$7:$E$19,3,0)</f>
        <v>PERMANENT SPEED RESTRICTION</v>
      </c>
      <c r="AD145" s="61" t="str">
        <f t="shared" si="47"/>
        <v>0232-23</v>
      </c>
      <c r="AE145" s="91" t="str">
        <f t="shared" si="48"/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AF145" s="88" t="str">
        <f t="shared" si="49"/>
        <v>"C:\Program Files (x86)\AstroGrep\AstroGrep.exe" /spath="%USERPROFILE%\AppData\Local\Temp\OnboardLogs" /stypes="app*4032*20161224*" /stext=" 06:.+((SYSTEM_STATE.+slice.+state.+changed )|(ment ac)|(multiple cpu faults)|(system.+state.+changed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232-23 --locoid 4032 --swversion DE.1.0.8.0 --startMP 204:232984 --initTime 2016-12-23T22:17:58 --startdatetime 2016-12-23T22:27:01 --delay 1 --endMP 204:136 --enddatetime 2016-12-23T23:09:54 --enforcementcount 0 &gt;&gt;C:\Users\stu\Documents\GitHub\eaglep3-reporting\EC\2016-12-23-refined-times.txt</v>
      </c>
      <c r="AI145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{"issue":{"subject":"","project_id":79,"tracker_id":40,"status_id":1,"priority_id":2,"assigned_to_id":23,"start_date":"2016-12-23","description":"","custom_fields":[{"id":1,"name":"Subdivision","value":"EC"},{"id":4,"name":"Milepost","value":"0.0136"},{"id":17,"name":"Train ID","value":"232-23"},{"id":16,"name":"Locomotive ID","value":"4032"},{"id":130,"name":"Impact","value":""},{"id":150,"name":"Time of Event (Mountain Time)","value":"23:09:54"},{"id":151,"name":"Denver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453</v>
      </c>
      <c r="B146" s="7">
        <v>4016</v>
      </c>
      <c r="C146" s="22" t="s">
        <v>205</v>
      </c>
      <c r="D146" s="22" t="s">
        <v>736</v>
      </c>
      <c r="E146" s="13">
        <v>42727.900636574072</v>
      </c>
      <c r="F146" s="13">
        <v>42727.917129629626</v>
      </c>
      <c r="G146" s="7">
        <v>1</v>
      </c>
      <c r="H146" s="22" t="s">
        <v>737</v>
      </c>
      <c r="I146" s="13">
        <v>42727.941053240742</v>
      </c>
      <c r="J146" s="7">
        <v>0</v>
      </c>
      <c r="K146" s="109" t="str">
        <f t="shared" si="36"/>
        <v>4015/4016</v>
      </c>
      <c r="L146" s="22" t="str">
        <f>VLOOKUP(A146,'Trips&amp;Operators'!$C$1:$G$99999,5,FALSE)</f>
        <v>STAMBAUGH JAMES</v>
      </c>
      <c r="M146" s="6">
        <f t="shared" si="37"/>
        <v>2.3923611115606036E-2</v>
      </c>
      <c r="N146" s="7">
        <f t="shared" si="38"/>
        <v>34.450000006472692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NorthBound</v>
      </c>
      <c r="U146" s="18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20:36:55-700',mode:absolute,to:'2016-12-23 23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6" s="52" t="str">
        <f t="shared" si="42"/>
        <v>N</v>
      </c>
      <c r="X146" s="189">
        <f t="shared" si="43"/>
        <v>1</v>
      </c>
      <c r="Y146" s="67">
        <f t="shared" si="44"/>
        <v>4.3700000000000003E-2</v>
      </c>
      <c r="Z146" s="67">
        <f t="shared" si="45"/>
        <v>23.337800000000001</v>
      </c>
      <c r="AA146" s="67">
        <f t="shared" si="46"/>
        <v>23.2941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47"/>
        <v>0233-23</v>
      </c>
      <c r="AE146" s="91" t="str">
        <f t="shared" si="48"/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AF146" s="88" t="str">
        <f t="shared" si="49"/>
        <v>"C:\Program Files (x86)\AstroGrep\AstroGrep.exe" /spath="%USERPROFILE%\AppData\Local\Temp\OnboardLogs" /stypes="app*4016*20161224*" /stext=" 05:.+((SYSTEM_STATE.+slice.+state.+changed )|(ment ac)|(multiple cpu faults)|(system.+state.+changed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233-23 --locoid 4016 --swversion DE.1.0.8.0 --startMP 204:437 --initTime 2016-12-23T21:36:55 --startdatetime 2016-12-23T22:00:40 --delay 1 --endMP 204:233378 --enddatetime 2016-12-23T22:35:07 --enforcementcount 0 &gt;&gt;C:\Users\stu\Documents\GitHub\eaglep3-reporting\EC\2016-12-23-refined-times.txt</v>
      </c>
      <c r="AI146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{"issue":{"subject":"","project_id":79,"tracker_id":40,"status_id":1,"priority_id":2,"assigned_to_id":23,"start_date":"2016-12-23","description":"","custom_fields":[{"id":1,"name":"Subdivision","value":"EC"},{"id":4,"name":"Milepost","value":"23.3378"},{"id":17,"name":"Train ID","value":"233-23"},{"id":16,"name":"Locomotive ID","value":"4016"},{"id":130,"name":"Impact","value":""},{"id":150,"name":"Time of Event (Mountain Time)","value":"22:35:07"},{"id":151,"name":"Denver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457</v>
      </c>
      <c r="B147" s="7">
        <v>4015</v>
      </c>
      <c r="C147" s="22" t="s">
        <v>205</v>
      </c>
      <c r="D147" s="22" t="s">
        <v>738</v>
      </c>
      <c r="E147" s="13">
        <v>42727.953645833331</v>
      </c>
      <c r="F147" s="13">
        <v>42727.956122685187</v>
      </c>
      <c r="G147" s="7">
        <v>1</v>
      </c>
      <c r="H147" s="22" t="s">
        <v>383</v>
      </c>
      <c r="I147" s="13">
        <v>42727.983148148145</v>
      </c>
      <c r="J147" s="7">
        <v>0</v>
      </c>
      <c r="K147" s="109" t="str">
        <f t="shared" si="36"/>
        <v>4015/4016</v>
      </c>
      <c r="L147" s="22" t="str">
        <f>VLOOKUP(A147,'Trips&amp;Operators'!$C$1:$G$99999,5,FALSE)</f>
        <v>STAMBAUGH JAMES</v>
      </c>
      <c r="M147" s="6">
        <f t="shared" si="37"/>
        <v>2.7025462957681157E-2</v>
      </c>
      <c r="N147" s="7">
        <f t="shared" si="38"/>
        <v>38.916666659060866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Southbound</v>
      </c>
      <c r="U147" s="18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21:53:15-700',mode:absolute,to:'2016-12-24 00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7" s="52" t="str">
        <f t="shared" si="42"/>
        <v>N</v>
      </c>
      <c r="X147" s="189">
        <f t="shared" si="43"/>
        <v>1</v>
      </c>
      <c r="Y147" s="67">
        <f t="shared" si="44"/>
        <v>23.308599999999998</v>
      </c>
      <c r="Z147" s="67">
        <f t="shared" si="45"/>
        <v>1.5800000000000002E-2</v>
      </c>
      <c r="AA147" s="67">
        <f t="shared" si="46"/>
        <v>23.2928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47"/>
        <v>0234-23</v>
      </c>
      <c r="AE147" s="91" t="str">
        <f t="shared" si="48"/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AF147" s="88" t="str">
        <f t="shared" si="49"/>
        <v>"C:\Program Files (x86)\AstroGrep\AstroGrep.exe" /spath="%USERPROFILE%\AppData\Local\Temp\OnboardLogs" /stypes="app*4015*20161224*" /stext=" 06:.+((SYSTEM_STATE.+slice.+state.+changed )|(ment ac)|(multiple cpu faults)|(system.+state.+changed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234-23 --locoid 4015 --swversion DE.1.0.8.0 --startMP 204:233086 --initTime 2016-12-23T22:53:15 --startdatetime 2016-12-23T22:56:49 --delay 1 --endMP 204:158 --enddatetime 2016-12-23T23:35:44 --enforcementcount 0 &gt;&gt;C:\Users\stu\Documents\GitHub\eaglep3-reporting\EC\2016-12-23-refined-times.txt</v>
      </c>
      <c r="AI147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{"issue":{"subject":"","project_id":79,"tracker_id":40,"status_id":1,"priority_id":2,"assigned_to_id":23,"start_date":"2016-12-23","description":"","custom_fields":[{"id":1,"name":"Subdivision","value":"EC"},{"id":4,"name":"Milepost","value":"0.0158"},{"id":17,"name":"Train ID","value":"234-23"},{"id":16,"name":"Locomotive ID","value":"4015"},{"id":130,"name":"Impact","value":""},{"id":150,"name":"Time of Event (Mountain Time)","value":"23:35:44"},{"id":151,"name":"Denver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659</v>
      </c>
      <c r="B148" s="7">
        <v>4046</v>
      </c>
      <c r="C148" s="22" t="s">
        <v>205</v>
      </c>
      <c r="D148" s="22" t="s">
        <v>694</v>
      </c>
      <c r="E148" s="13">
        <v>42727.921701388892</v>
      </c>
      <c r="F148" s="13">
        <v>42727.937835648147</v>
      </c>
      <c r="G148" s="7">
        <v>1</v>
      </c>
      <c r="H148" s="22" t="s">
        <v>739</v>
      </c>
      <c r="I148" s="13">
        <v>42727.961967592593</v>
      </c>
      <c r="J148" s="7">
        <v>0</v>
      </c>
      <c r="K148" s="109" t="str">
        <f t="shared" si="36"/>
        <v>4045/4046</v>
      </c>
      <c r="L148" s="22" t="str">
        <f>VLOOKUP(A148,'Trips&amp;Operators'!$C$1:$G$99999,5,FALSE)</f>
        <v>HILLS DUSTIN</v>
      </c>
      <c r="M148" s="6">
        <f t="shared" si="37"/>
        <v>2.4131944446708076E-2</v>
      </c>
      <c r="N148" s="7">
        <f t="shared" si="38"/>
        <v>34.750000003259629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NorthBound</v>
      </c>
      <c r="U148" s="18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21:07:15-700',mode:absolute,to:'2016-12-24 00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8" s="52" t="str">
        <f t="shared" si="42"/>
        <v>N</v>
      </c>
      <c r="X148" s="189">
        <f t="shared" si="43"/>
        <v>1</v>
      </c>
      <c r="Y148" s="67">
        <f t="shared" si="44"/>
        <v>4.2700000000000002E-2</v>
      </c>
      <c r="Z148" s="67">
        <f t="shared" si="45"/>
        <v>23.336400000000001</v>
      </c>
      <c r="AA148" s="67">
        <f t="shared" si="46"/>
        <v>23.293700000000001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47"/>
        <v>0235-23</v>
      </c>
      <c r="AE148" s="91" t="str">
        <f t="shared" si="48"/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AF148" s="88" t="str">
        <f t="shared" si="49"/>
        <v>"C:\Program Files (x86)\AstroGrep\AstroGrep.exe" /spath="%USERPROFILE%\AppData\Local\Temp\OnboardLogs" /stypes="app*4046*20161224*" /stext=" 06:.+((SYSTEM_STATE.+slice.+state.+changed )|(ment ac)|(multiple cpu faults)|(system.+state.+changed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235-23 --locoid 4046 --swversion DE.1.0.8.0 --startMP 204:427 --initTime 2016-12-23T22:07:15 --startdatetime 2016-12-23T22:30:29 --delay 1 --endMP 204:233364 --enddatetime 2016-12-23T23:05:14 --enforcementcount 0 &gt;&gt;C:\Users\stu\Documents\GitHub\eaglep3-reporting\EC\2016-12-23-refined-times.txt</v>
      </c>
      <c r="AI148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{"issue":{"subject":"","project_id":79,"tracker_id":40,"status_id":1,"priority_id":2,"assigned_to_id":23,"start_date":"2016-12-23","description":"","custom_fields":[{"id":1,"name":"Subdivision","value":"EC"},{"id":4,"name":"Milepost","value":"23.3364"},{"id":17,"name":"Train ID","value":"235-23"},{"id":16,"name":"Locomotive ID","value":"4046"},{"id":130,"name":"Impact","value":""},{"id":150,"name":"Time of Event (Mountain Time)","value":"23:05:14"},{"id":151,"name":"Denver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458</v>
      </c>
      <c r="B149" s="7">
        <v>4045</v>
      </c>
      <c r="C149" s="22" t="s">
        <v>205</v>
      </c>
      <c r="D149" s="22" t="s">
        <v>740</v>
      </c>
      <c r="E149" s="13">
        <v>42727.96329861111</v>
      </c>
      <c r="F149" s="13">
        <v>42727.976550925923</v>
      </c>
      <c r="G149" s="7">
        <v>1</v>
      </c>
      <c r="H149" s="22" t="s">
        <v>741</v>
      </c>
      <c r="I149" s="13">
        <v>42728.003738425927</v>
      </c>
      <c r="J149" s="7">
        <v>0</v>
      </c>
      <c r="K149" s="109" t="str">
        <f t="shared" si="36"/>
        <v>4045/4046</v>
      </c>
      <c r="L149" s="22" t="str">
        <f>VLOOKUP(A149,'Trips&amp;Operators'!$C$1:$G$99999,5,FALSE)</f>
        <v>HILLS DUSTIN</v>
      </c>
      <c r="M149" s="6">
        <f t="shared" si="37"/>
        <v>2.718750000349246E-2</v>
      </c>
      <c r="N149" s="7">
        <f t="shared" si="38"/>
        <v>39.150000005029142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Southbound</v>
      </c>
      <c r="U149" s="18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22:07:09-700',mode:absolute,to:'2016-12-24 01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9" s="52" t="str">
        <f t="shared" si="42"/>
        <v>N</v>
      </c>
      <c r="X149" s="189">
        <f t="shared" si="43"/>
        <v>1</v>
      </c>
      <c r="Y149" s="67">
        <f t="shared" si="44"/>
        <v>23.305299999999999</v>
      </c>
      <c r="Z149" s="67">
        <f t="shared" si="45"/>
        <v>8.8200000000000001E-2</v>
      </c>
      <c r="AA149" s="67">
        <f t="shared" si="46"/>
        <v>23.217099999999999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47"/>
        <v>0236-23</v>
      </c>
      <c r="AE149" s="91" t="str">
        <f t="shared" si="48"/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AF149" s="88" t="str">
        <f t="shared" si="49"/>
        <v>"C:\Program Files (x86)\AstroGrep\AstroGrep.exe" /spath="%USERPROFILE%\AppData\Local\Temp\OnboardLogs" /stypes="app*4045*20161224*" /stext=" 07:.+((SYSTEM_STATE.+slice.+state.+changed )|(ment ac)|(multiple cpu faults)|(system.+state.+changed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236-23 --locoid 4045 --swversion DE.1.0.8.0 --startMP 204:233053 --initTime 2016-12-23T23:07:09 --startdatetime 2016-12-23T23:26:14 --delay 1 --endMP 204:882 --enddatetime 2016-12-24T00:05:23 --enforcementcount 0 &gt;&gt;C:\Users\stu\Documents\GitHub\eaglep3-reporting\EC\2016-12-23-refined-times.txt</v>
      </c>
      <c r="AI149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{"issue":{"subject":"","project_id":79,"tracker_id":40,"status_id":1,"priority_id":2,"assigned_to_id":23,"start_date":"2016-12-24","description":"","custom_fields":[{"id":1,"name":"Subdivision","value":"EC"},{"id":4,"name":"Milepost","value":"0.0882"},{"id":17,"name":"Train ID","value":"236-23"},{"id":16,"name":"Locomotive ID","value":"4045"},{"id":130,"name":"Impact","value":""},{"id":150,"name":"Time of Event (Mountain Time)","value":"00:05:23"},{"id":151,"name":"Denver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661</v>
      </c>
      <c r="B150" s="7">
        <v>4025</v>
      </c>
      <c r="C150" s="22" t="s">
        <v>205</v>
      </c>
      <c r="D150" s="22" t="s">
        <v>742</v>
      </c>
      <c r="E150" s="13">
        <v>42727.955451388887</v>
      </c>
      <c r="F150" s="13">
        <v>42727.958587962959</v>
      </c>
      <c r="G150" s="7">
        <v>1</v>
      </c>
      <c r="H150" s="22" t="s">
        <v>743</v>
      </c>
      <c r="I150" s="13">
        <v>42727.983136574076</v>
      </c>
      <c r="J150" s="7">
        <v>0</v>
      </c>
      <c r="K150" s="109" t="str">
        <f t="shared" si="36"/>
        <v>4025/4026</v>
      </c>
      <c r="L150" s="22" t="str">
        <f>VLOOKUP(A150,'Trips&amp;Operators'!$C$1:$G$99999,5,FALSE)</f>
        <v>BROWN JACOB</v>
      </c>
      <c r="M150" s="6">
        <f t="shared" si="37"/>
        <v>2.4548611116188113E-2</v>
      </c>
      <c r="N150" s="7">
        <f t="shared" si="38"/>
        <v>35.350000007310882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NorthBound</v>
      </c>
      <c r="U150" s="18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21:55:51-700',mode:absolute,to:'2016-12-24 00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42"/>
        <v>N</v>
      </c>
      <c r="X150" s="189">
        <f t="shared" si="43"/>
        <v>1</v>
      </c>
      <c r="Y150" s="67">
        <f t="shared" si="44"/>
        <v>5.2600000000000001E-2</v>
      </c>
      <c r="Z150" s="67">
        <f t="shared" si="45"/>
        <v>23.331099999999999</v>
      </c>
      <c r="AA150" s="67">
        <f t="shared" si="46"/>
        <v>23.278499999999998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47"/>
        <v>0237-23</v>
      </c>
      <c r="AE150" s="91" t="str">
        <f t="shared" si="48"/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AF150" s="88" t="str">
        <f t="shared" si="49"/>
        <v>"C:\Program Files (x86)\AstroGrep\AstroGrep.exe" /spath="%USERPROFILE%\AppData\Local\Temp\OnboardLogs" /stypes="app*4025*20161224*" /stext=" 06:.+((SYSTEM_STATE.+slice.+state.+changed )|(ment ac)|(multiple cpu faults)|(system.+state.+changed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237-23 --locoid 4025 --swversion DE.1.0.8.0 --startMP 204:526 --initTime 2016-12-23T22:55:51 --startdatetime 2016-12-23T23:00:22 --delay 1 --endMP 204:233311 --enddatetime 2016-12-23T23:35:43 --enforcementcount 0 &gt;&gt;C:\Users\stu\Documents\GitHub\eaglep3-reporting\EC\2016-12-23-refined-times.txt</v>
      </c>
      <c r="AI150" s="119" t="str">
        <f t="shared" si="52"/>
        <v>echo {"issue":{"subject":"","project_id":79,"tracker_id":40,"status_id":1,"priority_id":2,"assigned_to_id":23,"start_date":"2016-12-23","description":"","custom_fields":[{"id":1,"name":"Subdivision","value":"EC"},{"id":4,"name":"Milepost","value":"23.3311"},{"id":17,"name":"Train ID","value":"237-23"},{"id":16,"name":"Locomotive ID","value":"4025"},{"id":130,"name":"Impact","value":""},{"id":150,"name":"Time of Event (Mountain Time)","value":"23:35:43"},{"id":151,"name":"Denver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459</v>
      </c>
      <c r="B151" s="7">
        <v>4026</v>
      </c>
      <c r="C151" s="22" t="s">
        <v>205</v>
      </c>
      <c r="D151" s="22" t="s">
        <v>353</v>
      </c>
      <c r="E151" s="13">
        <v>42727.98847222222</v>
      </c>
      <c r="F151" s="13">
        <v>42727.997395833336</v>
      </c>
      <c r="G151" s="7">
        <v>1</v>
      </c>
      <c r="H151" s="22" t="s">
        <v>744</v>
      </c>
      <c r="I151" s="13">
        <v>42728.025868055556</v>
      </c>
      <c r="J151" s="7">
        <v>0</v>
      </c>
      <c r="K151" s="109" t="str">
        <f t="shared" si="36"/>
        <v>4025/4026</v>
      </c>
      <c r="L151" s="22" t="str">
        <f>VLOOKUP(A151,'Trips&amp;Operators'!$C$1:$G$99999,5,FALSE)</f>
        <v>BROWN JACOB</v>
      </c>
      <c r="M151" s="6">
        <f t="shared" si="37"/>
        <v>2.8472222220443655E-2</v>
      </c>
      <c r="N151" s="7">
        <f t="shared" si="38"/>
        <v>40.999999997438863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Southbound</v>
      </c>
      <c r="U151" s="18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22:43:24-700',mode:absolute,to:'2016-12-24 01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42"/>
        <v>N</v>
      </c>
      <c r="X151" s="189">
        <f t="shared" si="43"/>
        <v>1</v>
      </c>
      <c r="Y151" s="67">
        <f t="shared" si="44"/>
        <v>23.297999999999998</v>
      </c>
      <c r="Z151" s="67">
        <f t="shared" si="45"/>
        <v>0.20699999999999999</v>
      </c>
      <c r="AA151" s="67">
        <f t="shared" si="46"/>
        <v>23.090999999999998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47"/>
        <v>0238-23</v>
      </c>
      <c r="AE151" s="91" t="str">
        <f t="shared" si="48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151" s="88" t="str">
        <f t="shared" si="49"/>
        <v>"C:\Program Files (x86)\AstroGrep\AstroGrep.exe" /spath="%USERPROFILE%\AppData\Local\Temp\OnboardLogs" /stypes="app*4026*20161224*" /stext=" 07:.+((SYSTEM_STATE.+slice.+state.+changed )|(ment ac)|(multiple cpu faults)|(system.+state.+changed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238-23 --locoid 4026 --swversion DE.1.0.8.0 --startMP 204:232980 --initTime 2016-12-23T23:43:24 --startdatetime 2016-12-23T23:56:15 --delay 1 --endMP 204:2070 --enddatetime 2016-12-24T00:37:15 --enforcementcount 0 &gt;&gt;C:\Users\stu\Documents\GitHub\eaglep3-reporting\EC\2016-12-23-refined-times.txt</v>
      </c>
      <c r="AI151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{"issue":{"subject":"","project_id":79,"tracker_id":40,"status_id":1,"priority_id":2,"assigned_to_id":23,"start_date":"2016-12-24","description":"","custom_fields":[{"id":1,"name":"Subdivision","value":"EC"},{"id":4,"name":"Milepost","value":"0.207"},{"id":17,"name":"Train ID","value":"238-23"},{"id":16,"name":"Locomotive ID","value":"4026"},{"id":130,"name":"Impact","value":""},{"id":150,"name":"Time of Event (Mountain Time)","value":"00:37:15"},{"id":151,"name":"Denver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662</v>
      </c>
      <c r="B152" s="7">
        <v>4031</v>
      </c>
      <c r="C152" s="22" t="s">
        <v>205</v>
      </c>
      <c r="D152" s="22" t="s">
        <v>228</v>
      </c>
      <c r="E152" s="13">
        <v>42727.97550925926</v>
      </c>
      <c r="F152" s="13">
        <v>42727.979502314818</v>
      </c>
      <c r="G152" s="7">
        <v>1</v>
      </c>
      <c r="H152" s="22" t="s">
        <v>318</v>
      </c>
      <c r="I152" s="13">
        <v>42728.005787037036</v>
      </c>
      <c r="J152" s="7">
        <v>0</v>
      </c>
      <c r="K152" s="109" t="str">
        <f t="shared" si="36"/>
        <v>4031/4032</v>
      </c>
      <c r="L152" s="22" t="str">
        <f>VLOOKUP(A152,'Trips&amp;Operators'!$C$1:$G$99999,5,FALSE)</f>
        <v>YANG JAN</v>
      </c>
      <c r="M152" s="6">
        <f t="shared" si="37"/>
        <v>2.6284722218406387E-2</v>
      </c>
      <c r="N152" s="7">
        <f t="shared" si="38"/>
        <v>37.849999994505197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NorthBound</v>
      </c>
      <c r="U152" s="18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22:24:44-700',mode:absolute,to:'2016-12-24 01:08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2" s="52" t="str">
        <f t="shared" si="42"/>
        <v>N</v>
      </c>
      <c r="X152" s="189">
        <f t="shared" si="43"/>
        <v>1</v>
      </c>
      <c r="Y152" s="67">
        <f t="shared" si="44"/>
        <v>4.5499999999999999E-2</v>
      </c>
      <c r="Z152" s="67">
        <f t="shared" si="45"/>
        <v>23.330100000000002</v>
      </c>
      <c r="AA152" s="67">
        <f t="shared" si="46"/>
        <v>23.284600000000001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47"/>
        <v>0239-23</v>
      </c>
      <c r="AE152" s="91" t="str">
        <f t="shared" si="48"/>
        <v>aws s3 cp s3://rtdc.mdm.uploadarchive.raw/RTDC4031/ "%USERPROFILE%\AppData\Local\Temp\OnboardLogs"\RTDC4031\2016-12-23 --exclude "*" --recursive --include "*20161223*" &amp; "%USERPROFILE%\Documents\GitHub\mrs-test-scripts\Headless Mode &amp; Sideloading\WalkAndUnGZ.bat" "%USERPROFILE%\AppData\Local\Temp\OnboardLogs"\RTDC4031\2016-12-23 &amp; 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</v>
      </c>
      <c r="AF152" s="88" t="str">
        <f t="shared" si="49"/>
        <v>"C:\Program Files (x86)\AstroGrep\AstroGrep.exe" /spath="%USERPROFILE%\AppData\Local\Temp\OnboardLogs" /stypes="app*4031*20161224*" /stext=" 07:.+((SYSTEM_STATE.+slice.+state.+changed )|(ment ac)|(multiple cpu faults)|(system.+state.+changed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239-23 --locoid 4031 --swversion DE.1.0.8.0 --startMP 204:455 --initTime 2016-12-23T23:24:44 --startdatetime 2016-12-23T23:30:29 --delay 1 --endMP 204:233301 --enddatetime 2016-12-24T00:08:20 --enforcementcount 0 &gt;&gt;C:\Users\stu\Documents\GitHub\eaglep3-reporting\EC\2016-12-23-refined-times.txt</v>
      </c>
      <c r="AI152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{"issue":{"subject":"","project_id":79,"tracker_id":40,"status_id":1,"priority_id":2,"assigned_to_id":23,"start_date":"2016-12-24","description":"","custom_fields":[{"id":1,"name":"Subdivision","value":"EC"},{"id":4,"name":"Milepost","value":"23.3301"},{"id":17,"name":"Train ID","value":"239-23"},{"id":16,"name":"Locomotive ID","value":"4031"},{"id":130,"name":"Impact","value":""},{"id":150,"name":"Time of Event (Mountain Time)","value":"00:08:20"},{"id":151,"name":"Denver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665</v>
      </c>
      <c r="B153" s="7">
        <v>4032</v>
      </c>
      <c r="C153" s="22" t="s">
        <v>205</v>
      </c>
      <c r="D153" s="22" t="s">
        <v>291</v>
      </c>
      <c r="E153" s="13">
        <v>42728.013715277775</v>
      </c>
      <c r="F153" s="13">
        <v>42728.018761574072</v>
      </c>
      <c r="G153" s="7">
        <v>1</v>
      </c>
      <c r="H153" s="22" t="s">
        <v>745</v>
      </c>
      <c r="I153" s="13">
        <v>42728.047696759262</v>
      </c>
      <c r="J153" s="7">
        <v>0</v>
      </c>
      <c r="K153" s="109" t="str">
        <f t="shared" si="36"/>
        <v>4031/4032</v>
      </c>
      <c r="L153" s="22" t="str">
        <f>VLOOKUP(A153,'Trips&amp;Operators'!$C$1:$G$99999,5,FALSE)</f>
        <v>YANG JAN</v>
      </c>
      <c r="M153" s="6">
        <f t="shared" si="37"/>
        <v>2.8935185189766344E-2</v>
      </c>
      <c r="N153" s="7">
        <f t="shared" si="38"/>
        <v>41.666666673263535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Southbound</v>
      </c>
      <c r="U153" s="18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23:19:45-700',mode:absolute,to:'2016-12-24 02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3" s="52" t="str">
        <f t="shared" si="42"/>
        <v>N</v>
      </c>
      <c r="X153" s="189">
        <f t="shared" si="43"/>
        <v>1</v>
      </c>
      <c r="Y153" s="67">
        <f t="shared" si="44"/>
        <v>23.297799999999999</v>
      </c>
      <c r="Z153" s="67">
        <f t="shared" si="45"/>
        <v>1.6899999999999998E-2</v>
      </c>
      <c r="AA153" s="67">
        <f t="shared" si="46"/>
        <v>23.280899999999999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47"/>
        <v>0240-23</v>
      </c>
      <c r="AE153" s="91" t="str">
        <f t="shared" si="48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153" s="88" t="str">
        <f t="shared" si="49"/>
        <v>"C:\Program Files (x86)\AstroGrep\AstroGrep.exe" /spath="%USERPROFILE%\AppData\Local\Temp\OnboardLogs" /stypes="app*4032*20161224*" /stext=" 08:.+((SYSTEM_STATE.+slice.+state.+changed )|(ment ac)|(multiple cpu faults)|(system.+state.+changed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240-23 --locoid 4032 --swversion DE.1.0.8.0 --startMP 204:232978 --initTime 2016-12-24T00:19:45 --startdatetime 2016-12-24T00:27:01 --delay 1 --endMP 204:169 --enddatetime 2016-12-24T01:08:41 --enforcementcount 0 &gt;&gt;C:\Users\stu\Documents\GitHub\eaglep3-reporting\EC\2016-12-23-refined-times.txt</v>
      </c>
      <c r="AI153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{"issue":{"subject":"","project_id":79,"tracker_id":40,"status_id":1,"priority_id":2,"assigned_to_id":23,"start_date":"2016-12-24","description":"","custom_fields":[{"id":1,"name":"Subdivision","value":"EC"},{"id":4,"name":"Milepost","value":"0.0169"},{"id":17,"name":"Train ID","value":"240-23"},{"id":16,"name":"Locomotive ID","value":"4032"},{"id":130,"name":"Impact","value":""},{"id":150,"name":"Time of Event (Mountain Time)","value":"01:08:41"},{"id":151,"name":"Denver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663</v>
      </c>
      <c r="B154" s="7">
        <v>4016</v>
      </c>
      <c r="C154" s="22" t="s">
        <v>205</v>
      </c>
      <c r="D154" s="22" t="s">
        <v>265</v>
      </c>
      <c r="E154" s="13">
        <v>42727.984895833331</v>
      </c>
      <c r="F154" s="13">
        <v>42728.000497685185</v>
      </c>
      <c r="G154" s="7">
        <v>5</v>
      </c>
      <c r="H154" s="22" t="s">
        <v>743</v>
      </c>
      <c r="I154" s="13">
        <v>42728.02412037037</v>
      </c>
      <c r="J154" s="7">
        <v>0</v>
      </c>
      <c r="K154" s="109" t="str">
        <f t="shared" si="36"/>
        <v>4015/4016</v>
      </c>
      <c r="L154" s="22" t="str">
        <f>VLOOKUP(A154,'Trips&amp;Operators'!$C$1:$G$99999,5,FALSE)</f>
        <v>STAMBAUGH JAMES</v>
      </c>
      <c r="M154" s="6">
        <f t="shared" si="37"/>
        <v>2.3622685184818693E-2</v>
      </c>
      <c r="N154" s="7">
        <f t="shared" si="38"/>
        <v>34.016666666138917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NorthBound</v>
      </c>
      <c r="U154" s="18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22:38:15-700',mode:absolute,to:'2016-12-24 01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4" s="52" t="str">
        <f t="shared" si="42"/>
        <v>N</v>
      </c>
      <c r="X154" s="189">
        <f t="shared" si="43"/>
        <v>1</v>
      </c>
      <c r="Y154" s="67">
        <f t="shared" si="44"/>
        <v>4.6699999999999998E-2</v>
      </c>
      <c r="Z154" s="67">
        <f t="shared" si="45"/>
        <v>23.331099999999999</v>
      </c>
      <c r="AA154" s="67">
        <f t="shared" si="46"/>
        <v>23.284399999999998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47"/>
        <v>0241-23</v>
      </c>
      <c r="AE154" s="91" t="str">
        <f t="shared" si="48"/>
        <v>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 &amp; aws s3 cp s3://rtdc.mdm.uploadarchive.raw/RTDC4016/ "%USERPROFILE%\AppData\Local\Temp\OnboardLogs"\RTDC4016\2016-12-25 --exclude "*" --recursive --include "*20161225*" &amp; "%USERPROFILE%\Documents\GitHub\mrs-test-scripts\Headless Mode &amp; Sideloading\WalkAndUnGZ.bat" "%USERPROFILE%\AppData\Local\Temp\OnboardLogs"\RTDC4016\2016-12-25</v>
      </c>
      <c r="AF154" s="88" t="str">
        <f t="shared" si="49"/>
        <v>"C:\Program Files (x86)\AstroGrep\AstroGrep.exe" /spath="%USERPROFILE%\AppData\Local\Temp\OnboardLogs" /stypes="app*4016*20161224*" /stext=" 07:.+((SYSTEM_STATE.+slice.+state.+changed )|(ment ac)|(multiple cpu faults)|(system.+state.+changed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241-23 --locoid 4016 --swversion DE.1.0.8.0 --startMP 204:467 --initTime 2016-12-23T23:38:15 --startdatetime 2016-12-24T00:00:43 --delay 5 --endMP 204:233311 --enddatetime 2016-12-24T00:34:44 --enforcementcount 0 &gt;&gt;C:\Users\stu\Documents\GitHub\eaglep3-reporting\EC\2016-12-23-refined-times.txt</v>
      </c>
      <c r="AI154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{"issue":{"subject":"","project_id":79,"tracker_id":40,"status_id":1,"priority_id":2,"assigned_to_id":23,"start_date":"2016-12-24","description":"","custom_fields":[{"id":1,"name":"Subdivision","value":"EC"},{"id":4,"name":"Milepost","value":"23.3311"},{"id":17,"name":"Train ID","value":"241-23"},{"id":16,"name":"Locomotive ID","value":"4016"},{"id":130,"name":"Impact","value":""},{"id":150,"name":"Time of Event (Mountain Time)","value":"00:34:44"},{"id":151,"name":"Denver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460</v>
      </c>
      <c r="B155" s="7">
        <v>4015</v>
      </c>
      <c r="C155" s="22" t="s">
        <v>205</v>
      </c>
      <c r="D155" s="22" t="s">
        <v>277</v>
      </c>
      <c r="E155" s="13">
        <v>42728.037395833337</v>
      </c>
      <c r="F155" s="13">
        <v>42728.039155092592</v>
      </c>
      <c r="G155" s="7">
        <v>1</v>
      </c>
      <c r="H155" s="22" t="s">
        <v>267</v>
      </c>
      <c r="I155" s="13">
        <v>42728.066365740742</v>
      </c>
      <c r="J155" s="7">
        <v>0</v>
      </c>
      <c r="K155" s="109" t="str">
        <f t="shared" si="36"/>
        <v>4015/4016</v>
      </c>
      <c r="L155" s="22" t="str">
        <f>VLOOKUP(A155,'Trips&amp;Operators'!$C$1:$G$99999,5,FALSE)</f>
        <v>STAMBAUGH JAMES</v>
      </c>
      <c r="M155" s="6">
        <f t="shared" si="37"/>
        <v>2.7210648149775807E-2</v>
      </c>
      <c r="N155" s="7">
        <f t="shared" si="38"/>
        <v>39.183333335677162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Southbound</v>
      </c>
      <c r="U155" s="18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23:53:51-700',mode:absolute,to:'2016-12-24 02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5" s="52" t="str">
        <f t="shared" si="42"/>
        <v>N</v>
      </c>
      <c r="X155" s="189">
        <f t="shared" si="43"/>
        <v>1</v>
      </c>
      <c r="Y155" s="67">
        <f t="shared" si="44"/>
        <v>23.3</v>
      </c>
      <c r="Z155" s="67">
        <f t="shared" si="45"/>
        <v>1.61E-2</v>
      </c>
      <c r="AA155" s="67">
        <f t="shared" si="46"/>
        <v>23.283899999999999</v>
      </c>
      <c r="AB155" s="64" t="str">
        <f>VLOOKUP(A155,Enforcements!$C$7:$K$19,8,0)</f>
        <v>Track device (7)</v>
      </c>
      <c r="AC155" s="60" t="str">
        <f>VLOOKUP(A155,Enforcements!$C$7:$E$19,3,0)</f>
        <v>SWITCH UNKNOWN</v>
      </c>
      <c r="AD155" s="61" t="str">
        <f t="shared" si="47"/>
        <v>0242-23</v>
      </c>
      <c r="AE155" s="91" t="str">
        <f t="shared" si="48"/>
        <v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v>
      </c>
      <c r="AF155" s="88" t="str">
        <f t="shared" si="49"/>
        <v>"C:\Program Files (x86)\AstroGrep\AstroGrep.exe" /spath="%USERPROFILE%\AppData\Local\Temp\OnboardLogs" /stypes="app*4015*20161224*" /stext=" 08:.+((SYSTEM_STATE.+slice.+state.+changed )|(ment ac)|(multiple cpu faults)|(system.+state.+changed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242-23 --locoid 4015 --swversion DE.1.0.8.0 --startMP 204:233000 --initTime 2016-12-24T00:53:51 --startdatetime 2016-12-24T00:56:23 --delay 1 --endMP 204:161 --enddatetime 2016-12-24T01:35:34 --enforcementcount 0 &gt;&gt;C:\Users\stu\Documents\GitHub\eaglep3-reporting\EC\2016-12-23-refined-times.txt</v>
      </c>
      <c r="AI155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{"issue":{"subject":"","project_id":79,"tracker_id":40,"status_id":1,"priority_id":2,"assigned_to_id":23,"start_date":"2016-12-24","description":"","custom_fields":[{"id":1,"name":"Subdivision","value":"EC"},{"id":4,"name":"Milepost","value":"0.0161"},{"id":17,"name":"Train ID","value":"242-23"},{"id":16,"name":"Locomotive ID","value":"4015"},{"id":130,"name":"Impact","value":""},{"id":150,"name":"Time of Event (Mountain Time)","value":"01:35:34"},{"id":151,"name":"Denver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664</v>
      </c>
      <c r="B156" s="7">
        <v>4051</v>
      </c>
      <c r="C156" s="22" t="s">
        <v>205</v>
      </c>
      <c r="D156" s="22" t="s">
        <v>242</v>
      </c>
      <c r="E156" s="13">
        <v>42728.00949074074</v>
      </c>
      <c r="F156" s="13">
        <v>42728.021273148152</v>
      </c>
      <c r="G156" s="7">
        <v>1</v>
      </c>
      <c r="H156" s="22" t="s">
        <v>746</v>
      </c>
      <c r="I156" s="13">
        <v>42728.045289351852</v>
      </c>
      <c r="J156" s="7">
        <v>0</v>
      </c>
      <c r="K156" s="109" t="str">
        <f t="shared" si="36"/>
        <v>4051/4052</v>
      </c>
      <c r="L156" s="22" t="str">
        <f>VLOOKUP(A156,'Trips&amp;Operators'!$C$1:$G$99999,5,FALSE)</f>
        <v>HILLS DUSTIN</v>
      </c>
      <c r="M156" s="6">
        <f t="shared" si="37"/>
        <v>2.4016203700739425E-2</v>
      </c>
      <c r="N156" s="7">
        <f t="shared" si="38"/>
        <v>34.583333329064772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NorthBound</v>
      </c>
      <c r="U156" s="18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23:13:40-700',mode:absolute,to:'2016-12-24 02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6" s="52" t="str">
        <f t="shared" si="42"/>
        <v>N</v>
      </c>
      <c r="X156" s="189">
        <f t="shared" si="43"/>
        <v>1</v>
      </c>
      <c r="Y156" s="67">
        <f t="shared" si="44"/>
        <v>4.58E-2</v>
      </c>
      <c r="Z156" s="67">
        <f t="shared" si="45"/>
        <v>23.334900000000001</v>
      </c>
      <c r="AA156" s="67">
        <f t="shared" si="46"/>
        <v>23.289100000000001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47"/>
        <v>0243-23</v>
      </c>
      <c r="AE156" s="91" t="str">
        <f t="shared" si="48"/>
        <v>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 &amp; aws s3 cp s3://rtdc.mdm.uploadarchive.raw/RTDC4051/ "%USERPROFILE%\AppData\Local\Temp\OnboardLogs"\RTDC4051\2016-12-25 --exclude "*" --recursive --include "*20161225*" &amp; "%USERPROFILE%\Documents\GitHub\mrs-test-scripts\Headless Mode &amp; Sideloading\WalkAndUnGZ.bat" "%USERPROFILE%\AppData\Local\Temp\OnboardLogs"\RTDC4051\2016-12-25</v>
      </c>
      <c r="AF156" s="88" t="str">
        <f t="shared" si="49"/>
        <v>"C:\Program Files (x86)\AstroGrep\AstroGrep.exe" /spath="%USERPROFILE%\AppData\Local\Temp\OnboardLogs" /stypes="app*4051*20161224*" /stext=" 08:.+((SYSTEM_STATE.+slice.+state.+changed )|(ment ac)|(multiple cpu faults)|(system.+state.+changed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243-23 --locoid 4051 --swversion DE.1.0.8.0 --startMP 204:458 --initTime 2016-12-24T00:13:40 --startdatetime 2016-12-24T00:30:38 --delay 1 --endMP 204:233349 --enddatetime 2016-12-24T01:05:13 --enforcementcount 0 &gt;&gt;C:\Users\stu\Documents\GitHub\eaglep3-reporting\EC\2016-12-23-refined-times.txt</v>
      </c>
      <c r="AI156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{"issue":{"subject":"","project_id":79,"tracker_id":40,"status_id":1,"priority_id":2,"assigned_to_id":23,"start_date":"2016-12-24","description":"","custom_fields":[{"id":1,"name":"Subdivision","value":"EC"},{"id":4,"name":"Milepost","value":"23.3349"},{"id":17,"name":"Train ID","value":"243-23"},{"id":16,"name":"Locomotive ID","value":"4051"},{"id":130,"name":"Impact","value":""},{"id":150,"name":"Time of Event (Mountain Time)","value":"01:05:13"},{"id":151,"name":"Denver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667</v>
      </c>
      <c r="B157" s="7">
        <v>4052</v>
      </c>
      <c r="C157" s="22" t="s">
        <v>205</v>
      </c>
      <c r="D157" s="22" t="s">
        <v>747</v>
      </c>
      <c r="E157" s="13">
        <v>42728.057835648149</v>
      </c>
      <c r="F157" s="13">
        <v>42728.059930555559</v>
      </c>
      <c r="G157" s="7">
        <v>0</v>
      </c>
      <c r="H157" s="22" t="s">
        <v>748</v>
      </c>
      <c r="I157" s="13">
        <v>42728.087361111109</v>
      </c>
      <c r="J157" s="7">
        <v>0</v>
      </c>
      <c r="K157" s="109" t="str">
        <f t="shared" si="36"/>
        <v>4051/4052</v>
      </c>
      <c r="L157" s="22" t="str">
        <f>VLOOKUP(A157,'Trips&amp;Operators'!$C$1:$G$99999,5,FALSE)</f>
        <v>HILLS DUSTIN</v>
      </c>
      <c r="M157" s="6">
        <f t="shared" si="37"/>
        <v>2.7430555550381541E-2</v>
      </c>
      <c r="N157" s="7">
        <f t="shared" si="38"/>
        <v>39.499999992549419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8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https://search-rtdc-monitor-bjffxe2xuh6vdkpspy63sjmuny.us-east-1.es.amazonaws.com/_plugin/kibana/#/discover/Steve-Slow-Train-Analysis-(2080s-and-2083s)?_g=(refreshInterval:(display:Off,section:0,value:0),time:(from:'2016-12-24 00:23:17-700',mode:absolute,to:'2016-12-24 03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57" s="52" t="str">
        <f t="shared" si="42"/>
        <v>N</v>
      </c>
      <c r="X157" s="189">
        <f t="shared" si="43"/>
        <v>1</v>
      </c>
      <c r="Y157" s="67">
        <f t="shared" si="44"/>
        <v>23.302800000000001</v>
      </c>
      <c r="Z157" s="67">
        <f t="shared" si="45"/>
        <v>1.2500000000000001E-2</v>
      </c>
      <c r="AA157" s="67">
        <f t="shared" si="46"/>
        <v>23.290300000000002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47"/>
        <v>0244-23</v>
      </c>
      <c r="AE157" s="91" t="str">
        <f t="shared" si="48"/>
        <v>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 &amp; aws s3 cp s3://rtdc.mdm.uploadarchive.raw/RTDC4052/ "%USERPROFILE%\AppData\Local\Temp\OnboardLogs"\RTDC4052\2016-12-25 --exclude "*" --recursive --include "*20161225*" &amp; "%USERPROFILE%\Documents\GitHub\mrs-test-scripts\Headless Mode &amp; Sideloading\WalkAndUnGZ.bat" "%USERPROFILE%\AppData\Local\Temp\OnboardLogs"\RTDC4052\2016-12-25</v>
      </c>
      <c r="AF157" s="88" t="str">
        <f t="shared" si="49"/>
        <v>"C:\Program Files (x86)\AstroGrep\AstroGrep.exe" /spath="%USERPROFILE%\AppData\Local\Temp\OnboardLogs" /stypes="app*4052*20161224*" /stext=" 09:.+((SYSTEM_STATE.+slice.+state.+changed )|(ment ac)|(multiple cpu faults)|(system.+state.+changed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244-23 --locoid 4052 --swversion DE.1.0.8.0 --startMP 204:233028 --initTime 2016-12-24T01:23:17 --startdatetime 2016-12-24T01:26:18 --delay 0 --endMP 204:125 --enddatetime 2016-12-24T02:05:48 --enforcementcount 0 &gt;&gt;C:\Users\stu\Documents\GitHub\eaglep3-reporting\EC\2016-12-23-refined-times.txt</v>
      </c>
      <c r="AI157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{"issue":{"subject":"","project_id":79,"tracker_id":40,"status_id":1,"priority_id":2,"assigned_to_id":23,"start_date":"2016-12-24","description":"","custom_fields":[{"id":1,"name":"Subdivision","value":"EC"},{"id":4,"name":"Milepost","value":"0.0125"},{"id":17,"name":"Train ID","value":"244-23"},{"id":16,"name":"Locomotive ID","value":"4052"},{"id":130,"name":"Impact","value":""},{"id":150,"name":"Time of Event (Mountain Time)","value":"02:05:48"},{"id":151,"name":"Denver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666</v>
      </c>
      <c r="B158" s="7">
        <v>4025</v>
      </c>
      <c r="C158" s="22" t="s">
        <v>205</v>
      </c>
      <c r="D158" s="22" t="s">
        <v>749</v>
      </c>
      <c r="E158" s="13">
        <v>42728.049791666665</v>
      </c>
      <c r="F158" s="13">
        <v>42728.050763888888</v>
      </c>
      <c r="G158" s="7">
        <v>1</v>
      </c>
      <c r="H158" s="22" t="s">
        <v>339</v>
      </c>
      <c r="I158" s="13">
        <v>42728.068530092591</v>
      </c>
      <c r="J158" s="7">
        <v>0</v>
      </c>
      <c r="K158" s="109" t="str">
        <f t="shared" si="36"/>
        <v>4025/4026</v>
      </c>
      <c r="L158" s="22" t="str">
        <f>VLOOKUP(A158,'Trips&amp;Operators'!$C$1:$G$99999,5,FALSE)</f>
        <v>BROWN JACOB</v>
      </c>
      <c r="M158" s="6">
        <f t="shared" si="37"/>
        <v>1.7766203702194616E-2</v>
      </c>
      <c r="N158" s="7"/>
      <c r="O158" s="7"/>
      <c r="P158" s="7">
        <f>24*60*SUM($M158:$M159)</f>
        <v>40.250000000232831</v>
      </c>
      <c r="Q158" s="23"/>
      <c r="R158" s="23" t="s">
        <v>858</v>
      </c>
      <c r="S158" s="35">
        <f>SUM(U158:U159)/IF(AG158="EC",12,1)</f>
        <v>0.75</v>
      </c>
      <c r="T158" s="50" t="str">
        <f t="shared" si="40"/>
        <v>NorthBound</v>
      </c>
      <c r="U158" s="18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9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https://search-rtdc-monitor-bjffxe2xuh6vdkpspy63sjmuny.us-east-1.es.amazonaws.com/_plugin/kibana/#/discover/Steve-Slow-Train-Analysis-(2080s-and-2083s)?_g=(refreshInterval:(display:Off,section:0,value:0),time:(from:'2016-12-24 00:11:42-700',mode:absolute,to:'2016-12-24 02:38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8" s="52" t="str">
        <f t="shared" si="42"/>
        <v>Y</v>
      </c>
      <c r="X158" s="189">
        <f t="shared" si="43"/>
        <v>1</v>
      </c>
      <c r="Y158" s="67">
        <f t="shared" si="44"/>
        <v>3.7193999999999998</v>
      </c>
      <c r="Z158" s="67">
        <f t="shared" si="45"/>
        <v>23.331199999999999</v>
      </c>
      <c r="AA158" s="67">
        <f t="shared" si="46"/>
        <v>19.611799999999999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47"/>
        <v>0245-23</v>
      </c>
      <c r="AE158" s="91" t="str">
        <f t="shared" si="48"/>
        <v>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 &amp; 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</v>
      </c>
      <c r="AF158" s="88" t="str">
        <f t="shared" si="49"/>
        <v>"C:\Program Files (x86)\AstroGrep\AstroGrep.exe" /spath="%USERPROFILE%\AppData\Local\Temp\OnboardLogs" /stypes="app*4025*20161224*" /stext=" 08:.+((SYSTEM_STATE.+slice.+state.+changed )|(ment ac)|(multiple cpu faults)|(system.+state.+changed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245-23 --locoid 4025 --swversion DE.1.0.8.0 --startMP 204:37194 --initTime 2016-12-24T01:11:42 --startdatetime 2016-12-24T01:13:06 --delay 1 --endMP 204:233312 --enddatetime 2016-12-24T01:38:41 --enforcementcount 0 &gt;&gt;C:\Users\stu\Documents\GitHub\eaglep3-reporting\EC\2016-12-23-refined-times.txt</v>
      </c>
      <c r="AI158" s="119" t="str">
        <f t="shared" si="52"/>
        <v>echo {"issue":{"subject":"ATC Issue (Hard zero)","project_id":79,"tracker_id":40,"status_id":1,"priority_id":2,"assigned_to_id":23,"start_date":"2016-12-24","description":"","custom_fields":[{"id":1,"name":"Subdivision","value":"EC"},{"id":4,"name":"Milepost","value":"23.3312"},{"id":17,"name":"Train ID","value":"245-23"},{"id":16,"name":"Locomotive ID","value":"4025"},{"id":130,"name":"Impact","value":""},{"id":150,"name":"Time of Event (Mountain Time)","value":"01:38:41"},{"id":151,"name":"Denver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666</v>
      </c>
      <c r="B159" s="7">
        <v>4025</v>
      </c>
      <c r="C159" s="22" t="s">
        <v>205</v>
      </c>
      <c r="D159" s="22" t="s">
        <v>357</v>
      </c>
      <c r="E159" s="13">
        <v>42728.033634259256</v>
      </c>
      <c r="F159" s="13">
        <v>42728.03466435185</v>
      </c>
      <c r="G159" s="7">
        <v>1</v>
      </c>
      <c r="H159" s="22" t="s">
        <v>750</v>
      </c>
      <c r="I159" s="13">
        <v>42728.044849537036</v>
      </c>
      <c r="J159" s="7">
        <v>0</v>
      </c>
      <c r="K159" s="109" t="str">
        <f t="shared" si="36"/>
        <v>4025/4026</v>
      </c>
      <c r="L159" s="22" t="str">
        <f>VLOOKUP(A159,'Trips&amp;Operators'!$C$1:$G$99999,5,FALSE)</f>
        <v>BROWN JACOB</v>
      </c>
      <c r="M159" s="6">
        <f t="shared" si="37"/>
        <v>1.0185185186855961E-2</v>
      </c>
      <c r="N159" s="7"/>
      <c r="O159" s="7"/>
      <c r="P159" s="7"/>
      <c r="Q159" s="23"/>
      <c r="R159" s="23"/>
      <c r="S159" s="35"/>
      <c r="T159" s="50" t="str">
        <f t="shared" si="40"/>
        <v>NorthBound</v>
      </c>
      <c r="U159" s="18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23:48:26-700',mode:absolute,to:'2016-12-24 02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9" s="52" t="str">
        <f t="shared" si="42"/>
        <v>Y</v>
      </c>
      <c r="X159" s="189">
        <f t="shared" si="43"/>
        <v>0</v>
      </c>
      <c r="Y159" s="67">
        <f t="shared" si="44"/>
        <v>4.9099999999999998E-2</v>
      </c>
      <c r="Z159" s="67">
        <f t="shared" si="45"/>
        <v>1.6035999999999999</v>
      </c>
      <c r="AA159" s="67">
        <f t="shared" si="46"/>
        <v>1.5545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47"/>
        <v>0245-23</v>
      </c>
      <c r="AE159" s="91" t="str">
        <f t="shared" si="48"/>
        <v>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 &amp; 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</v>
      </c>
      <c r="AF159" s="88" t="str">
        <f t="shared" si="49"/>
        <v>"C:\Program Files (x86)\AstroGrep\AstroGrep.exe" /spath="%USERPROFILE%\AppData\Local\Temp\OnboardLogs" /stypes="app*4025*20161224*" /stext=" 08:.+((SYSTEM_STATE.+slice.+state.+changed )|(ment ac)|(multiple cpu faults)|(system.+state.+changed )|(\[timeout)|(PRM\|1\|D)|(kpr)|(kdp)|(\|lc)|(penalty))" /e /r /s</v>
      </c>
      <c r="AG159" s="1" t="str">
        <f t="shared" si="50"/>
        <v>EC</v>
      </c>
      <c r="AH159" s="92" t="str">
        <f t="shared" si="51"/>
        <v>"%USERPROFILE%\Documents\GitHub\eaglep3\Utilities\RefineRTDCRunTimes.py" --tripid 245-23 --locoid 4025 --swversion DE.1.0.8.0 --startMP 204:491 --initTime 2016-12-24T00:48:26 --startdatetime 2016-12-24T00:49:55 --delay 1 --endMP 204:16036 --enddatetime 2016-12-24T01:04:35 --enforcementcount 0 &gt;&gt;C:\Users\stu\Documents\GitHub\eaglep3-reporting\EC\2016-12-23-refined-times.txt</v>
      </c>
      <c r="AI159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{"issue":{"subject":"","project_id":79,"tracker_id":40,"status_id":1,"priority_id":2,"assigned_to_id":23,"start_date":"2016-12-24","description":"","custom_fields":[{"id":1,"name":"Subdivision","value":"EC"},{"id":4,"name":"Milepost","value":"1.6036"},{"id":17,"name":"Train ID","value":"245-23"},{"id":16,"name":"Locomotive ID","value":"4025"},{"id":130,"name":"Impact","value":""},{"id":150,"name":"Time of Event (Mountain Time)","value":"01:04:35"},{"id":151,"name":"Denver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670</v>
      </c>
      <c r="B160" s="7">
        <v>4026</v>
      </c>
      <c r="C160" s="22" t="s">
        <v>205</v>
      </c>
      <c r="D160" s="22" t="s">
        <v>353</v>
      </c>
      <c r="E160" s="13">
        <v>42728.072280092594</v>
      </c>
      <c r="F160" s="13">
        <v>42728.080775462964</v>
      </c>
      <c r="G160" s="7">
        <v>1</v>
      </c>
      <c r="H160" s="22" t="s">
        <v>751</v>
      </c>
      <c r="I160" s="13">
        <v>42728.107592592591</v>
      </c>
      <c r="J160" s="7">
        <v>0</v>
      </c>
      <c r="K160" s="109" t="str">
        <f t="shared" si="36"/>
        <v>4025/4026</v>
      </c>
      <c r="L160" s="22" t="str">
        <f>VLOOKUP(A160,'Trips&amp;Operators'!$C$1:$G$99999,5,FALSE)</f>
        <v>BROWN JACOB</v>
      </c>
      <c r="M160" s="6">
        <f t="shared" si="37"/>
        <v>2.6817129626579117E-2</v>
      </c>
      <c r="N160" s="7">
        <f t="shared" si="38"/>
        <v>38.616666662273929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Southbound</v>
      </c>
      <c r="U160" s="18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https://search-rtdc-monitor-bjffxe2xuh6vdkpspy63sjmuny.us-east-1.es.amazonaws.com/_plugin/kibana/#/discover/Steve-Slow-Train-Analysis-(2080s-and-2083s)?_g=(refreshInterval:(display:Off,section:0,value:0),time:(from:'2016-12-24 00:44:05-700',mode:absolute,to:'2016-12-24 03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0" s="52" t="str">
        <f t="shared" si="42"/>
        <v>N</v>
      </c>
      <c r="X160" s="189">
        <f t="shared" si="43"/>
        <v>1</v>
      </c>
      <c r="Y160" s="67">
        <f t="shared" si="44"/>
        <v>23.297999999999998</v>
      </c>
      <c r="Z160" s="67">
        <f t="shared" si="45"/>
        <v>1.78E-2</v>
      </c>
      <c r="AA160" s="67">
        <f t="shared" si="46"/>
        <v>23.280199999999997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47"/>
        <v>0246-23</v>
      </c>
      <c r="AE160" s="91" t="str">
        <f t="shared" si="48"/>
        <v>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 &amp; 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</v>
      </c>
      <c r="AF160" s="88" t="str">
        <f t="shared" si="49"/>
        <v>"C:\Program Files (x86)\AstroGrep\AstroGrep.exe" /spath="%USERPROFILE%\AppData\Local\Temp\OnboardLogs" /stypes="app*4026*20161224*" /stext=" 09:.+((SYSTEM_STATE.+slice.+state.+changed )|(ment ac)|(multiple cpu faults)|(system.+state.+changed )|(\[timeout)|(PRM\|1\|D)|(kpr)|(kdp)|(\|lc)|(penalty))" /e /r /s</v>
      </c>
      <c r="AG160" s="1" t="str">
        <f t="shared" si="50"/>
        <v>EC</v>
      </c>
      <c r="AH160" s="92" t="str">
        <f t="shared" si="51"/>
        <v>"%USERPROFILE%\Documents\GitHub\eaglep3\Utilities\RefineRTDCRunTimes.py" --tripid 246-23 --locoid 4026 --swversion DE.1.0.8.0 --startMP 204:232980 --initTime 2016-12-24T01:44:05 --startdatetime 2016-12-24T01:56:19 --delay 1 --endMP 204:178 --enddatetime 2016-12-24T02:34:56 --enforcementcount 0 &gt;&gt;C:\Users\stu\Documents\GitHub\eaglep3-reporting\EC\2016-12-23-refined-times.txt</v>
      </c>
      <c r="AI160" s="119" t="str">
        <f t="shared" si="52"/>
        <v>echo {"issue":{"subject":"","project_id":79,"tracker_id":40,"status_id":1,"priority_id":2,"assigned_to_id":23,"start_date":"2016-12-24","description":"","custom_fields":[{"id":1,"name":"Subdivision","value":"EC"},{"id":4,"name":"Milepost","value":"0.0178"},{"id":17,"name":"Train ID","value":"246-23"},{"id":16,"name":"Locomotive ID","value":"4026"},{"id":130,"name":"Impact","value":""},{"id":150,"name":"Time of Event (Mountain Time)","value":"02:34:56"},{"id":151,"name":"Denver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483</v>
      </c>
      <c r="B161" s="7">
        <v>4013</v>
      </c>
      <c r="C161" s="22" t="s">
        <v>205</v>
      </c>
      <c r="D161" s="22" t="s">
        <v>771</v>
      </c>
      <c r="E161" s="13">
        <v>42727.213368055556</v>
      </c>
      <c r="F161" s="13">
        <v>42727.215324074074</v>
      </c>
      <c r="G161" s="7">
        <v>2</v>
      </c>
      <c r="H161" s="22" t="s">
        <v>772</v>
      </c>
      <c r="I161" s="13">
        <v>42727.225497685184</v>
      </c>
      <c r="J161" s="7">
        <v>0</v>
      </c>
      <c r="K161" s="109" t="str">
        <f t="shared" si="36"/>
        <v>4013/4014</v>
      </c>
      <c r="L161" s="22" t="str">
        <f>VLOOKUP(A161,'Trips&amp;Operators'!$C$1:$G$99999,5,FALSE)</f>
        <v>SIMMONS SHYHESHA</v>
      </c>
      <c r="M161" s="6">
        <f t="shared" si="37"/>
        <v>1.0173611110076308E-2</v>
      </c>
      <c r="N161" s="7">
        <f t="shared" si="38"/>
        <v>14.649999998509884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8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04:07:15-700',mode:absolute,to:'2016-12-23 06:24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1" s="52" t="str">
        <f t="shared" si="42"/>
        <v>N</v>
      </c>
      <c r="X161" s="189">
        <f t="shared" si="43"/>
        <v>554</v>
      </c>
      <c r="Y161" s="67">
        <f t="shared" si="44"/>
        <v>5.8678999999999997</v>
      </c>
      <c r="Z161" s="67">
        <f t="shared" si="45"/>
        <v>7.1199999999999999E-2</v>
      </c>
      <c r="AA161" s="67">
        <f t="shared" si="46"/>
        <v>5.7966999999999995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47"/>
        <v>0800-23</v>
      </c>
      <c r="AE16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61" s="88" t="str">
        <f t="shared" si="49"/>
        <v>"C:\Program Files (x86)\AstroGrep\AstroGrep.exe" /spath="%USERPROFILE%\AppData\Local\Temp\OnboardLogs" /stypes="app*4013*20161223*" /stext=" 12:.+((SYSTEM_STATE.+slice.+state.+changed )|(ment ac)|(multiple cpu faults)|(system.+state.+changed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800-23 --locoid 4013 --swversion DE.1.0.8.0 --startMP 300:58679 --initTime 2016-12-23T05:07:15 --startdatetime 2016-12-23T05:10:04 --delay 2 --endMP 204:712 --enddatetime 2016-12-23T05:24:43 --enforcementcount 0 &gt;&gt;C:\Users\stu\Documents\GitHub\eaglep3-reporting\EC\2016-12-23-refined-times.txt</v>
      </c>
      <c r="AI16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{"issue":{"subject":"","project_id":79,"tracker_id":40,"status_id":1,"priority_id":2,"assigned_to_id":23,"start_date":"2016-12-23","description":"","custom_fields":[{"id":1,"name":"Subdivision","value":"NW"},{"id":4,"name":"Milepost","value":"0.0712"},{"id":17,"name":"Train ID","value":"800-23"},{"id":16,"name":"Locomotive ID","value":"4013"},{"id":130,"name":"Impact","value":""},{"id":150,"name":"Time of Event (Mountain Time)","value":"05:24:43"},{"id":151,"name":"Denver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424</v>
      </c>
      <c r="B162" s="7">
        <v>4014</v>
      </c>
      <c r="C162" s="22" t="s">
        <v>205</v>
      </c>
      <c r="D162" s="22" t="s">
        <v>773</v>
      </c>
      <c r="E162" s="13">
        <v>42727.233599537038</v>
      </c>
      <c r="F162" s="13">
        <v>42727.244004629632</v>
      </c>
      <c r="G162" s="7">
        <v>1</v>
      </c>
      <c r="H162" s="22" t="s">
        <v>774</v>
      </c>
      <c r="I162" s="13">
        <v>42727.253148148149</v>
      </c>
      <c r="J162" s="7">
        <v>0</v>
      </c>
      <c r="K162" s="109" t="str">
        <f t="shared" si="36"/>
        <v>4013/4014</v>
      </c>
      <c r="L162" s="22" t="str">
        <f>VLOOKUP(A162,'Trips&amp;Operators'!$C$1:$G$99999,5,FALSE)</f>
        <v>SIMMONS SHYHESHA</v>
      </c>
      <c r="M162" s="6">
        <f t="shared" si="37"/>
        <v>9.1435185167938471E-3</v>
      </c>
      <c r="N162" s="7">
        <f t="shared" si="38"/>
        <v>13.16666666418314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8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04:36:23-700',mode:absolute,to:'2016-12-23 07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2" s="52" t="str">
        <f t="shared" si="42"/>
        <v>N</v>
      </c>
      <c r="X162" s="189">
        <f t="shared" si="43"/>
        <v>1</v>
      </c>
      <c r="Y162" s="67">
        <f t="shared" si="44"/>
        <v>0.1</v>
      </c>
      <c r="Z162" s="67">
        <f t="shared" si="45"/>
        <v>5.899</v>
      </c>
      <c r="AA162" s="67">
        <f t="shared" si="46"/>
        <v>5.7990000000000004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47"/>
        <v>0801-23</v>
      </c>
      <c r="AE16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62" s="88" t="str">
        <f t="shared" si="49"/>
        <v>"C:\Program Files (x86)\AstroGrep\AstroGrep.exe" /spath="%USERPROFILE%\AppData\Local\Temp\OnboardLogs" /stypes="app*4014*20161223*" /stext=" 13:.+((SYSTEM_STATE.+slice.+state.+changed )|(ment ac)|(multiple cpu faults)|(system.+state.+changed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801-23 --locoid 4014 --swversion DE.1.0.8.0 --startMP 204:1000 --initTime 2016-12-23T05:36:23 --startdatetime 2016-12-23T05:51:22 --delay 1 --endMP 300:58990 --enddatetime 2016-12-23T06:04:32 --enforcementcount 0 &gt;&gt;C:\Users\stu\Documents\GitHub\eaglep3-reporting\EC\2016-12-23-refined-times.txt</v>
      </c>
      <c r="AI16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{"issue":{"subject":"","project_id":79,"tracker_id":40,"status_id":1,"priority_id":2,"assigned_to_id":23,"start_date":"2016-12-23","description":"","custom_fields":[{"id":1,"name":"Subdivision","value":"NW"},{"id":4,"name":"Milepost","value":"5.899"},{"id":17,"name":"Train ID","value":"801-23"},{"id":16,"name":"Locomotive ID","value":"4014"},{"id":130,"name":"Impact","value":""},{"id":150,"name":"Time of Event (Mountain Time)","value":"06:04:32"},{"id":151,"name":"Denver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495</v>
      </c>
      <c r="B163" s="7">
        <v>4013</v>
      </c>
      <c r="C163" s="22" t="s">
        <v>205</v>
      </c>
      <c r="D163" s="22" t="s">
        <v>775</v>
      </c>
      <c r="E163" s="13">
        <v>42727.255150462966</v>
      </c>
      <c r="F163" s="13">
        <v>42727.256932870368</v>
      </c>
      <c r="G163" s="7">
        <v>1</v>
      </c>
      <c r="H163" s="22" t="s">
        <v>776</v>
      </c>
      <c r="I163" s="13">
        <v>42727.268564814818</v>
      </c>
      <c r="J163" s="7">
        <v>0</v>
      </c>
      <c r="K163" s="109" t="str">
        <f t="shared" si="36"/>
        <v>4013/4014</v>
      </c>
      <c r="L163" s="22" t="str">
        <f>VLOOKUP(A163,'Trips&amp;Operators'!$C$1:$G$99999,5,FALSE)</f>
        <v>SIMMONS SHYHESHA</v>
      </c>
      <c r="M163" s="6">
        <f t="shared" si="37"/>
        <v>1.1631944449618459E-2</v>
      </c>
      <c r="N163" s="7">
        <f t="shared" si="38"/>
        <v>16.750000007450581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8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05:07:25-700',mode:absolute,to:'2016-12-23 07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3" s="52" t="str">
        <f t="shared" si="42"/>
        <v>N</v>
      </c>
      <c r="X163" s="189">
        <f t="shared" si="43"/>
        <v>1</v>
      </c>
      <c r="Y163" s="67">
        <f t="shared" si="44"/>
        <v>5.8667999999999996</v>
      </c>
      <c r="Z163" s="67">
        <f t="shared" si="45"/>
        <v>6.9800000000000001E-2</v>
      </c>
      <c r="AA163" s="67">
        <f t="shared" si="46"/>
        <v>5.7969999999999997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47"/>
        <v>0802-23</v>
      </c>
      <c r="AE163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63" s="88" t="str">
        <f t="shared" si="49"/>
        <v>"C:\Program Files (x86)\AstroGrep\AstroGrep.exe" /spath="%USERPROFILE%\AppData\Local\Temp\OnboardLogs" /stypes="app*4013*20161223*" /stext=" 13:.+((SYSTEM_STATE.+slice.+state.+changed )|(ment ac)|(multiple cpu faults)|(system.+state.+changed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802-23 --locoid 4013 --swversion DE.1.0.8.0 --startMP 300:58668 --initTime 2016-12-23T06:07:25 --startdatetime 2016-12-23T06:09:59 --delay 1 --endMP 204:698 --enddatetime 2016-12-23T06:26:44 --enforcementcount 0 &gt;&gt;C:\Users\stu\Documents\GitHub\eaglep3-reporting\EC\2016-12-23-refined-times.txt</v>
      </c>
      <c r="AI16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{"issue":{"subject":"","project_id":79,"tracker_id":40,"status_id":1,"priority_id":2,"assigned_to_id":23,"start_date":"2016-12-23","description":"","custom_fields":[{"id":1,"name":"Subdivision","value":"NW"},{"id":4,"name":"Milepost","value":"0.0698"},{"id":17,"name":"Train ID","value":"802-23"},{"id":16,"name":"Locomotive ID","value":"4013"},{"id":130,"name":"Impact","value":""},{"id":150,"name":"Time of Event (Mountain Time)","value":"06:26:44"},{"id":151,"name":"Denver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494</v>
      </c>
      <c r="B164" s="7">
        <v>4020</v>
      </c>
      <c r="C164" s="22" t="s">
        <v>205</v>
      </c>
      <c r="D164" s="22" t="s">
        <v>777</v>
      </c>
      <c r="E164" s="13">
        <v>42727.252569444441</v>
      </c>
      <c r="F164" s="13">
        <v>42727.265601851854</v>
      </c>
      <c r="G164" s="7">
        <v>1</v>
      </c>
      <c r="H164" s="22" t="s">
        <v>778</v>
      </c>
      <c r="I164" s="13">
        <v>42727.27621527778</v>
      </c>
      <c r="J164" s="7">
        <v>0</v>
      </c>
      <c r="K164" s="109" t="str">
        <f t="shared" si="36"/>
        <v>4019/4020</v>
      </c>
      <c r="L164" s="22" t="str">
        <f>VLOOKUP(A164,'Trips&amp;Operators'!$C$1:$G$99999,5,FALSE)</f>
        <v>SHOOK JOHN</v>
      </c>
      <c r="M164" s="6">
        <f t="shared" si="37"/>
        <v>1.0613425925839692E-2</v>
      </c>
      <c r="N164" s="7">
        <f t="shared" si="38"/>
        <v>15.283333333209157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8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05:03:42-700',mode:absolute,to:'2016-12-23 07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4" s="52" t="str">
        <f t="shared" si="42"/>
        <v>N</v>
      </c>
      <c r="X164" s="189">
        <f t="shared" si="43"/>
        <v>1</v>
      </c>
      <c r="Y164" s="67">
        <f t="shared" si="44"/>
        <v>0.10199999999999999</v>
      </c>
      <c r="Z164" s="67">
        <f t="shared" si="45"/>
        <v>5.8930999999999996</v>
      </c>
      <c r="AA164" s="67">
        <f t="shared" si="46"/>
        <v>5.7910999999999992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47"/>
        <v>0803-23</v>
      </c>
      <c r="AE164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64" s="88" t="str">
        <f t="shared" si="49"/>
        <v>"C:\Program Files (x86)\AstroGrep\AstroGrep.exe" /spath="%USERPROFILE%\AppData\Local\Temp\OnboardLogs" /stypes="app*4020*20161223*" /stext=" 13:.+((SYSTEM_STATE.+slice.+state.+changed )|(ment ac)|(multiple cpu faults)|(system.+state.+changed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803-23 --locoid 4020 --swversion DE.1.0.8.0 --startMP 204:1020 --initTime 2016-12-23T06:03:42 --startdatetime 2016-12-23T06:22:28 --delay 1 --endMP 300:58931 --enddatetime 2016-12-23T06:37:45 --enforcementcount 0 &gt;&gt;C:\Users\stu\Documents\GitHub\eaglep3-reporting\EC\2016-12-23-refined-times.txt</v>
      </c>
      <c r="AI16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{"issue":{"subject":"","project_id":79,"tracker_id":40,"status_id":1,"priority_id":2,"assigned_to_id":23,"start_date":"2016-12-23","description":"","custom_fields":[{"id":1,"name":"Subdivision","value":"NW"},{"id":4,"name":"Milepost","value":"5.8931"},{"id":17,"name":"Train ID","value":"803-23"},{"id":16,"name":"Locomotive ID","value":"4020"},{"id":130,"name":"Impact","value":""},{"id":150,"name":"Time of Event (Mountain Time)","value":"06:37:45"},{"id":151,"name":"Denver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499</v>
      </c>
      <c r="B165" s="7">
        <v>4019</v>
      </c>
      <c r="C165" s="22" t="s">
        <v>205</v>
      </c>
      <c r="D165" s="22" t="s">
        <v>779</v>
      </c>
      <c r="E165" s="13">
        <v>42727.277638888889</v>
      </c>
      <c r="F165" s="13">
        <v>42727.279236111113</v>
      </c>
      <c r="G165" s="7">
        <v>1</v>
      </c>
      <c r="H165" s="22" t="s">
        <v>780</v>
      </c>
      <c r="I165" s="13">
        <v>42727.291087962964</v>
      </c>
      <c r="J165" s="7">
        <v>0</v>
      </c>
      <c r="K165" s="109" t="str">
        <f t="shared" si="36"/>
        <v>4019/4020</v>
      </c>
      <c r="L165" s="22" t="str">
        <f>VLOOKUP(A165,'Trips&amp;Operators'!$C$1:$G$99999,5,FALSE)</f>
        <v>SHOOK JOHN</v>
      </c>
      <c r="M165" s="6">
        <f t="shared" si="37"/>
        <v>1.1851851850224193E-2</v>
      </c>
      <c r="N165" s="7">
        <f t="shared" si="38"/>
        <v>17.066666664322838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8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05:39:48-700',mode:absolute,to:'2016-12-23 07:59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5" s="52" t="str">
        <f t="shared" si="42"/>
        <v>N</v>
      </c>
      <c r="X165" s="189">
        <f t="shared" si="43"/>
        <v>1</v>
      </c>
      <c r="Y165" s="67">
        <f t="shared" si="44"/>
        <v>5.8601999999999999</v>
      </c>
      <c r="Z165" s="67">
        <f t="shared" si="45"/>
        <v>7.3999999999999996E-2</v>
      </c>
      <c r="AA165" s="67">
        <f t="shared" si="46"/>
        <v>5.7862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47"/>
        <v>0804-23</v>
      </c>
      <c r="AE165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65" s="88" t="str">
        <f t="shared" si="49"/>
        <v>"C:\Program Files (x86)\AstroGrep\AstroGrep.exe" /spath="%USERPROFILE%\AppData\Local\Temp\OnboardLogs" /stypes="app*4019*20161223*" /stext=" 13:.+((SYSTEM_STATE.+slice.+state.+changed )|(ment ac)|(multiple cpu faults)|(system.+state.+changed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804-23 --locoid 4019 --swversion DE.1.0.8.0 --startMP 300:58602 --initTime 2016-12-23T06:39:48 --startdatetime 2016-12-23T06:42:06 --delay 1 --endMP 204:740 --enddatetime 2016-12-23T06:59:10 --enforcementcount 0 &gt;&gt;C:\Users\stu\Documents\GitHub\eaglep3-reporting\EC\2016-12-23-refined-times.txt</v>
      </c>
      <c r="AI16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{"issue":{"subject":"","project_id":79,"tracker_id":40,"status_id":1,"priority_id":2,"assigned_to_id":23,"start_date":"2016-12-23","description":"","custom_fields":[{"id":1,"name":"Subdivision","value":"NW"},{"id":4,"name":"Milepost","value":"0.074"},{"id":17,"name":"Train ID","value":"804-23"},{"id":16,"name":"Locomotive ID","value":"4019"},{"id":130,"name":"Impact","value":""},{"id":150,"name":"Time of Event (Mountain Time)","value":"06:59:10"},{"id":151,"name":"Denver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501</v>
      </c>
      <c r="B166" s="7">
        <v>4014</v>
      </c>
      <c r="C166" s="22" t="s">
        <v>205</v>
      </c>
      <c r="D166" s="22" t="s">
        <v>781</v>
      </c>
      <c r="E166" s="13">
        <v>42727.282685185186</v>
      </c>
      <c r="F166" s="13">
        <v>42727.28565972222</v>
      </c>
      <c r="G166" s="7">
        <v>2</v>
      </c>
      <c r="H166" s="22" t="s">
        <v>782</v>
      </c>
      <c r="I166" s="13">
        <v>42727.295243055552</v>
      </c>
      <c r="J166" s="7">
        <v>0</v>
      </c>
      <c r="K166" s="109" t="str">
        <f t="shared" si="36"/>
        <v>4013/4014</v>
      </c>
      <c r="L166" s="22" t="str">
        <f>VLOOKUP(A166,'Trips&amp;Operators'!$C$1:$G$99999,5,FALSE)</f>
        <v>SIMMONS SHYHESHA</v>
      </c>
      <c r="M166" s="6">
        <f t="shared" si="37"/>
        <v>9.5833333325572312E-3</v>
      </c>
      <c r="N166" s="7">
        <f t="shared" si="38"/>
        <v>13.799999998882413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8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05:47:04-700',mode:absolute,to:'2016-12-23 08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6" s="52" t="str">
        <f t="shared" si="42"/>
        <v>N</v>
      </c>
      <c r="X166" s="189">
        <f t="shared" si="43"/>
        <v>1</v>
      </c>
      <c r="Y166" s="67">
        <f t="shared" si="44"/>
        <v>9.8799999999999999E-2</v>
      </c>
      <c r="Z166" s="67">
        <f t="shared" si="45"/>
        <v>5.8998999999999997</v>
      </c>
      <c r="AA166" s="67">
        <f t="shared" si="46"/>
        <v>5.8010999999999999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47"/>
        <v>0805-23</v>
      </c>
      <c r="AE166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66" s="88" t="str">
        <f t="shared" si="49"/>
        <v>"C:\Program Files (x86)\AstroGrep\AstroGrep.exe" /spath="%USERPROFILE%\AppData\Local\Temp\OnboardLogs" /stypes="app*4014*20161223*" /stext=" 14:.+((SYSTEM_STATE.+slice.+state.+changed )|(ment ac)|(multiple cpu faults)|(system.+state.+changed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805-23 --locoid 4014 --swversion DE.1.0.8.0 --startMP 204:988 --initTime 2016-12-23T06:47:04 --startdatetime 2016-12-23T06:51:21 --delay 2 --endMP 300:58999 --enddatetime 2016-12-23T07:05:09 --enforcementcount 0 &gt;&gt;C:\Users\stu\Documents\GitHub\eaglep3-reporting\EC\2016-12-23-refined-times.txt</v>
      </c>
      <c r="AI16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{"issue":{"subject":"","project_id":79,"tracker_id":40,"status_id":1,"priority_id":2,"assigned_to_id":23,"start_date":"2016-12-23","description":"","custom_fields":[{"id":1,"name":"Subdivision","value":"NW"},{"id":4,"name":"Milepost","value":"5.8999"},{"id":17,"name":"Train ID","value":"805-23"},{"id":16,"name":"Locomotive ID","value":"4014"},{"id":130,"name":"Impact","value":""},{"id":150,"name":"Time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506</v>
      </c>
      <c r="B167" s="7">
        <v>4013</v>
      </c>
      <c r="C167" s="22" t="s">
        <v>205</v>
      </c>
      <c r="D167" s="22" t="s">
        <v>783</v>
      </c>
      <c r="E167" s="13">
        <v>42727.297754629632</v>
      </c>
      <c r="F167" s="13">
        <v>42727.299097222225</v>
      </c>
      <c r="G167" s="7">
        <v>1</v>
      </c>
      <c r="H167" s="22" t="s">
        <v>401</v>
      </c>
      <c r="I167" s="13">
        <v>42727.309675925928</v>
      </c>
      <c r="J167" s="7">
        <v>0</v>
      </c>
      <c r="K167" s="109" t="str">
        <f t="shared" si="36"/>
        <v>4013/4014</v>
      </c>
      <c r="L167" s="22" t="str">
        <f>VLOOKUP(A167,'Trips&amp;Operators'!$C$1:$G$99999,5,FALSE)</f>
        <v>SIMMONS SHYHESHA</v>
      </c>
      <c r="M167" s="6">
        <f t="shared" si="37"/>
        <v>1.0578703702776693E-2</v>
      </c>
      <c r="N167" s="7">
        <f t="shared" si="38"/>
        <v>15.233333331998438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8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06:08:46-700',mode:absolute,to:'2016-12-23 08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7" s="52" t="str">
        <f t="shared" si="42"/>
        <v>N</v>
      </c>
      <c r="X167" s="189">
        <f t="shared" si="43"/>
        <v>1</v>
      </c>
      <c r="Y167" s="67">
        <f t="shared" si="44"/>
        <v>5.8682999999999996</v>
      </c>
      <c r="Z167" s="67">
        <f t="shared" si="45"/>
        <v>7.1499999999999994E-2</v>
      </c>
      <c r="AA167" s="67">
        <f t="shared" si="46"/>
        <v>5.7967999999999993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47"/>
        <v>0806-23</v>
      </c>
      <c r="AE167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67" s="88" t="str">
        <f t="shared" si="49"/>
        <v>"C:\Program Files (x86)\AstroGrep\AstroGrep.exe" /spath="%USERPROFILE%\AppData\Local\Temp\OnboardLogs" /stypes="app*4013*20161223*" /stext=" 14:.+((SYSTEM_STATE.+slice.+state.+changed )|(ment ac)|(multiple cpu faults)|(system.+state.+changed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806-23 --locoid 4013 --swversion DE.1.0.8.0 --startMP 300:58683 --initTime 2016-12-23T07:08:46 --startdatetime 2016-12-23T07:10:42 --delay 1 --endMP 204:715 --enddatetime 2016-12-23T07:25:56 --enforcementcount 0 &gt;&gt;C:\Users\stu\Documents\GitHub\eaglep3-reporting\EC\2016-12-23-refined-times.txt</v>
      </c>
      <c r="AI16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{"issue":{"subject":"","project_id":79,"tracker_id":40,"status_id":1,"priority_id":2,"assigned_to_id":23,"start_date":"2016-12-23","description":"","custom_fields":[{"id":1,"name":"Subdivision","value":"NW"},{"id":4,"name":"Milepost","value":"0.0715"},{"id":17,"name":"Train ID","value":"806-23"},{"id":16,"name":"Locomotive ID","value":"4013"},{"id":130,"name":"Impact","value":""},{"id":150,"name":"Time of Event (Mountain Time)","value":"07:25:56"},{"id":151,"name":"Denver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503</v>
      </c>
      <c r="B168" s="7">
        <v>4020</v>
      </c>
      <c r="C168" s="22" t="s">
        <v>205</v>
      </c>
      <c r="D168" s="22" t="s">
        <v>784</v>
      </c>
      <c r="E168" s="13">
        <v>42727.293761574074</v>
      </c>
      <c r="F168" s="13">
        <v>42727.306469907409</v>
      </c>
      <c r="G168" s="7">
        <v>1</v>
      </c>
      <c r="H168" s="22" t="s">
        <v>362</v>
      </c>
      <c r="I168" s="13">
        <v>42727.317928240744</v>
      </c>
      <c r="J168" s="7">
        <v>0</v>
      </c>
      <c r="K168" s="109" t="str">
        <f t="shared" si="36"/>
        <v>4019/4020</v>
      </c>
      <c r="L168" s="22" t="str">
        <f>VLOOKUP(A168,'Trips&amp;Operators'!$C$1:$G$99999,5,FALSE)</f>
        <v>SHOOK JOHN</v>
      </c>
      <c r="M168" s="6">
        <f t="shared" si="37"/>
        <v>1.1458333334303461E-2</v>
      </c>
      <c r="N168" s="7">
        <f t="shared" si="38"/>
        <v>16.500000001396984</v>
      </c>
      <c r="O168" s="7"/>
      <c r="P168" s="7"/>
      <c r="Q168" s="23"/>
      <c r="R168" s="23" t="s">
        <v>978</v>
      </c>
      <c r="S168" s="35">
        <f t="shared" si="39"/>
        <v>1</v>
      </c>
      <c r="T168" s="50" t="str">
        <f t="shared" si="40"/>
        <v>NorthBound</v>
      </c>
      <c r="U168" s="18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06:03:01-700',mode:absolute,to:'2016-12-23 08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8" s="52" t="str">
        <f t="shared" si="42"/>
        <v>N</v>
      </c>
      <c r="X168" s="189">
        <f t="shared" si="43"/>
        <v>1</v>
      </c>
      <c r="Y168" s="67">
        <f t="shared" si="44"/>
        <v>0.10299999999999999</v>
      </c>
      <c r="Z168" s="67">
        <f t="shared" si="45"/>
        <v>5.8921999999999999</v>
      </c>
      <c r="AA168" s="67">
        <f t="shared" si="46"/>
        <v>5.7892000000000001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47"/>
        <v>0807-23</v>
      </c>
      <c r="AE168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68" s="88" t="str">
        <f t="shared" si="49"/>
        <v>"C:\Program Files (x86)\AstroGrep\AstroGrep.exe" /spath="%USERPROFILE%\AppData\Local\Temp\OnboardLogs" /stypes="app*4020*20161223*" /stext=" 14:.+((SYSTEM_STATE.+slice.+state.+changed )|(ment ac)|(multiple cpu faults)|(system.+state.+changed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807-23 --locoid 4020 --swversion DE.1.0.8.0 --startMP 204:1030 --initTime 2016-12-23T07:03:01 --startdatetime 2016-12-23T07:21:19 --delay 1 --endMP 300:58922 --enddatetime 2016-12-23T07:37:49 --enforcementcount 0 &gt;&gt;C:\Users\stu\Documents\GitHub\eaglep3-reporting\EC\2016-12-23-refined-times.txt</v>
      </c>
      <c r="AI168" s="119" t="str">
        <f t="shared" si="52"/>
        <v>echo {"issue":{"subject":"NW0347RH 34-2T 2N was at RESTRICTING","project_id":79,"tracker_id":40,"status_id":1,"priority_id":2,"assigned_to_id":23,"start_date":"2016-12-23","description":"Starting at 07:04, until 07:30 or even later, NW0347RH 34-2T 2N was at RESTRICTING. This seems unusual, do logs tell us anything of note?","custom_fields":[{"id":1,"name":"Subdivision","value":"NW"},{"id":4,"name":"Milepost","value":"5.8922"},{"id":17,"name":"Train ID","value":"807-23"},{"id":16,"name":"Locomotive ID","value":"4020"},{"id":130,"name":"Impact","value":"Others"},{"id":150,"name":"Time of Event (Mountain Time)","value":"07:37:49"},{"id":151,"name":"Denver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8" s="53" t="s">
        <v>979</v>
      </c>
      <c r="AK168" s="53" t="s">
        <v>137</v>
      </c>
      <c r="AL168" s="53" t="s">
        <v>130</v>
      </c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431</v>
      </c>
      <c r="B169" s="7">
        <v>4019</v>
      </c>
      <c r="C169" s="22" t="s">
        <v>205</v>
      </c>
      <c r="D169" s="22" t="s">
        <v>785</v>
      </c>
      <c r="E169" s="13">
        <v>42727.319351851853</v>
      </c>
      <c r="F169" s="13">
        <v>42727.320960648147</v>
      </c>
      <c r="G169" s="7">
        <v>1</v>
      </c>
      <c r="H169" s="22" t="s">
        <v>786</v>
      </c>
      <c r="I169" s="13">
        <v>42727.335543981484</v>
      </c>
      <c r="J169" s="7">
        <v>0</v>
      </c>
      <c r="K169" s="109" t="str">
        <f t="shared" si="36"/>
        <v>4019/4020</v>
      </c>
      <c r="L169" s="22" t="str">
        <f>VLOOKUP(A169,'Trips&amp;Operators'!$C$1:$G$99999,5,FALSE)</f>
        <v>SHOOK JOHN</v>
      </c>
      <c r="M169" s="6">
        <f t="shared" si="37"/>
        <v>1.4583333337213844E-2</v>
      </c>
      <c r="N169" s="7">
        <f t="shared" si="38"/>
        <v>21.000000005587935</v>
      </c>
      <c r="O169" s="7"/>
      <c r="P169" s="7"/>
      <c r="Q169" s="23"/>
      <c r="R169" s="23" t="s">
        <v>977</v>
      </c>
      <c r="S169" s="35">
        <f t="shared" si="39"/>
        <v>1</v>
      </c>
      <c r="T169" s="50" t="str">
        <f t="shared" si="40"/>
        <v>Southbound</v>
      </c>
      <c r="U169" s="18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06:39:52-700',mode:absolute,to:'2016-12-23 09:03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9" s="52" t="str">
        <f t="shared" si="42"/>
        <v>N</v>
      </c>
      <c r="X169" s="189">
        <f t="shared" si="43"/>
        <v>1</v>
      </c>
      <c r="Y169" s="67">
        <f t="shared" si="44"/>
        <v>5.86</v>
      </c>
      <c r="Z169" s="67">
        <f t="shared" si="45"/>
        <v>1.5699999999999999E-2</v>
      </c>
      <c r="AA169" s="67">
        <f t="shared" si="46"/>
        <v>5.8443000000000005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47"/>
        <v>0808-23</v>
      </c>
      <c r="AE169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69" s="88" t="str">
        <f t="shared" si="49"/>
        <v>"C:\Program Files (x86)\AstroGrep\AstroGrep.exe" /spath="%USERPROFILE%\AppData\Local\Temp\OnboardLogs" /stypes="app*4019*20161223*" /stext=" 15:.+((SYSTEM_STATE.+slice.+state.+changed )|(ment ac)|(multiple cpu faults)|(system.+state.+changed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808-23 --locoid 4019 --swversion DE.1.0.8.0 --startMP 300:58600 --initTime 2016-12-23T07:39:52 --startdatetime 2016-12-23T07:42:11 --delay 1 --endMP 204:157 --enddatetime 2016-12-23T08:03:11 --enforcementcount 0 &gt;&gt;C:\Users\stu\Documents\GitHub\eaglep3-reporting\EC\2016-12-23-refined-times.txt</v>
      </c>
      <c r="AI169" s="119" t="str">
        <f t="shared" si="52"/>
        <v>echo {"issue":{"subject":"Delayed due to going active too close to Westminster 4S","project_id":79,"tracker_id":40,"status_id":1,"priority_id":2,"assigned_to_id":23,"start_date":"2016-12-23","description":"","custom_fields":[{"id":1,"name":"Subdivision","value":"NW"},{"id":4,"name":"Milepost","value":"0.0157"},{"id":17,"name":"Train ID","value":"808-23"},{"id":16,"name":"Locomotive ID","value":"4019"},{"id":130,"name":"Impact","value":""},{"id":150,"name":"Time of Event (Mountain Time)","value":"08:03:11"},{"id":151,"name":"Denver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507</v>
      </c>
      <c r="B170" s="7">
        <v>4014</v>
      </c>
      <c r="C170" s="22" t="s">
        <v>205</v>
      </c>
      <c r="D170" s="22" t="s">
        <v>411</v>
      </c>
      <c r="E170" s="13">
        <v>42727.312708333331</v>
      </c>
      <c r="F170" s="13">
        <v>42727.327384259261</v>
      </c>
      <c r="G170" s="7">
        <v>1</v>
      </c>
      <c r="H170" s="22" t="s">
        <v>787</v>
      </c>
      <c r="I170" s="13">
        <v>42727.337164351855</v>
      </c>
      <c r="J170" s="7">
        <v>0</v>
      </c>
      <c r="K170" s="109" t="str">
        <f t="shared" si="36"/>
        <v>4013/4014</v>
      </c>
      <c r="L170" s="22" t="str">
        <f>VLOOKUP(A170,'Trips&amp;Operators'!$C$1:$G$99999,5,FALSE)</f>
        <v>SIMMONS SHYHESHA</v>
      </c>
      <c r="M170" s="6">
        <f t="shared" si="37"/>
        <v>9.7800925941555761E-3</v>
      </c>
      <c r="N170" s="7">
        <f t="shared" si="38"/>
        <v>14.08333333558403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8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06:30:18-700',mode:absolute,to:'2016-12-23 09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0" s="52" t="str">
        <f t="shared" si="42"/>
        <v>N</v>
      </c>
      <c r="X170" s="189">
        <f t="shared" si="43"/>
        <v>1</v>
      </c>
      <c r="Y170" s="67">
        <f t="shared" si="44"/>
        <v>9.8599999999999993E-2</v>
      </c>
      <c r="Z170" s="67">
        <f t="shared" si="45"/>
        <v>5.8975</v>
      </c>
      <c r="AA170" s="67">
        <f t="shared" si="46"/>
        <v>5.7988999999999997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47"/>
        <v>0809-23</v>
      </c>
      <c r="AE170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0" s="88" t="str">
        <f t="shared" si="49"/>
        <v>"C:\Program Files (x86)\AstroGrep\AstroGrep.exe" /spath="%USERPROFILE%\AppData\Local\Temp\OnboardLogs" /stypes="app*4014*20161223*" /stext=" 15:.+((SYSTEM_STATE.+slice.+state.+changed )|(ment ac)|(multiple cpu faults)|(system.+state.+changed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809-23 --locoid 4014 --swversion DE.1.0.8.0 --startMP 204:986 --initTime 2016-12-23T07:30:18 --startdatetime 2016-12-23T07:51:26 --delay 1 --endMP 300:58975 --enddatetime 2016-12-23T08:05:31 --enforcementcount 0 &gt;&gt;C:\Users\stu\Documents\GitHub\eaglep3-reporting\EC\2016-12-23-refined-times.txt</v>
      </c>
      <c r="AI170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{"issue":{"subject":"","project_id":79,"tracker_id":40,"status_id":1,"priority_id":2,"assigned_to_id":23,"start_date":"2016-12-23","description":"","custom_fields":[{"id":1,"name":"Subdivision","value":"NW"},{"id":4,"name":"Milepost","value":"5.8975"},{"id":17,"name":"Train ID","value":"809-23"},{"id":16,"name":"Locomotive ID","value":"4014"},{"id":130,"name":"Impact","value":""},{"id":150,"name":"Time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513</v>
      </c>
      <c r="B171" s="7">
        <v>4013</v>
      </c>
      <c r="C171" s="22" t="s">
        <v>205</v>
      </c>
      <c r="D171" s="22" t="s">
        <v>788</v>
      </c>
      <c r="E171" s="13">
        <v>42727.339166666665</v>
      </c>
      <c r="F171" s="13">
        <v>42727.34065972222</v>
      </c>
      <c r="G171" s="7">
        <v>1</v>
      </c>
      <c r="H171" s="22" t="s">
        <v>789</v>
      </c>
      <c r="I171" s="13">
        <v>42727.350474537037</v>
      </c>
      <c r="J171" s="7">
        <v>0</v>
      </c>
      <c r="K171" s="109" t="str">
        <f t="shared" si="36"/>
        <v>4013/4014</v>
      </c>
      <c r="L171" s="22" t="str">
        <f>VLOOKUP(A171,'Trips&amp;Operators'!$C$1:$G$99999,5,FALSE)</f>
        <v>SIMMONS SHYHESHA</v>
      </c>
      <c r="M171" s="6">
        <f t="shared" si="37"/>
        <v>9.8148148172185756E-3</v>
      </c>
      <c r="N171" s="7">
        <f t="shared" si="38"/>
        <v>14.133333336794749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8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07:08:24-700',mode:absolute,to:'2016-12-23 09:24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1" s="52" t="str">
        <f t="shared" si="42"/>
        <v>N</v>
      </c>
      <c r="X171" s="189">
        <f t="shared" si="43"/>
        <v>1</v>
      </c>
      <c r="Y171" s="67">
        <f t="shared" si="44"/>
        <v>5.8662000000000001</v>
      </c>
      <c r="Z171" s="67">
        <f t="shared" si="45"/>
        <v>7.3400000000000007E-2</v>
      </c>
      <c r="AA171" s="67">
        <f t="shared" si="46"/>
        <v>5.7927999999999997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47"/>
        <v>0810-23</v>
      </c>
      <c r="AE17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1" s="88" t="str">
        <f t="shared" si="49"/>
        <v>"C:\Program Files (x86)\AstroGrep\AstroGrep.exe" /spath="%USERPROFILE%\AppData\Local\Temp\OnboardLogs" /stypes="app*4013*20161223*" /stext=" 15:.+((SYSTEM_STATE.+slice.+state.+changed )|(ment ac)|(multiple cpu faults)|(system.+state.+changed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810-23 --locoid 4013 --swversion DE.1.0.8.0 --startMP 300:58662 --initTime 2016-12-23T08:08:24 --startdatetime 2016-12-23T08:10:33 --delay 1 --endMP 204:734 --enddatetime 2016-12-23T08:24:41 --enforcementcount 0 &gt;&gt;C:\Users\stu\Documents\GitHub\eaglep3-reporting\EC\2016-12-23-refined-times.txt</v>
      </c>
      <c r="AI17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{"issue":{"subject":"","project_id":79,"tracker_id":40,"status_id":1,"priority_id":2,"assigned_to_id":23,"start_date":"2016-12-23","description":"","custom_fields":[{"id":1,"name":"Subdivision","value":"NW"},{"id":4,"name":"Milepost","value":"0.0734"},{"id":17,"name":"Train ID","value":"810-23"},{"id":16,"name":"Locomotive ID","value":"4013"},{"id":130,"name":"Impact","value":""},{"id":150,"name":"Time of Event (Mountain Time)","value":"08:24:41"},{"id":151,"name":"Denver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520</v>
      </c>
      <c r="B172" s="7">
        <v>4014</v>
      </c>
      <c r="C172" s="22" t="s">
        <v>205</v>
      </c>
      <c r="D172" s="22" t="s">
        <v>790</v>
      </c>
      <c r="E172" s="13">
        <v>42727.352337962962</v>
      </c>
      <c r="F172" s="13">
        <v>42727.354131944441</v>
      </c>
      <c r="G172" s="7">
        <v>1</v>
      </c>
      <c r="H172" s="22" t="s">
        <v>791</v>
      </c>
      <c r="I172" s="13">
        <v>42727.36440972222</v>
      </c>
      <c r="J172" s="7">
        <v>0</v>
      </c>
      <c r="K172" s="109" t="str">
        <f t="shared" si="36"/>
        <v>4013/4014</v>
      </c>
      <c r="L172" s="22" t="str">
        <f>VLOOKUP(A172,'Trips&amp;Operators'!$C$1:$G$99999,5,FALSE)</f>
        <v>SHOOK JOHN</v>
      </c>
      <c r="M172" s="6">
        <f t="shared" si="37"/>
        <v>1.0277777779265307E-2</v>
      </c>
      <c r="N172" s="7">
        <f t="shared" si="38"/>
        <v>14.800000002142042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8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07:27:22-700',mode:absolute,to:'2016-12-23 09:44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2" s="52" t="str">
        <f t="shared" si="42"/>
        <v>N</v>
      </c>
      <c r="X172" s="189">
        <f t="shared" si="43"/>
        <v>1</v>
      </c>
      <c r="Y172" s="67">
        <f t="shared" si="44"/>
        <v>0.10249999999999999</v>
      </c>
      <c r="Z172" s="67">
        <f t="shared" si="45"/>
        <v>5.8992000000000004</v>
      </c>
      <c r="AA172" s="67">
        <f t="shared" si="46"/>
        <v>5.7967000000000004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47"/>
        <v>0811-23</v>
      </c>
      <c r="AE17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2" s="88" t="str">
        <f t="shared" si="49"/>
        <v>"C:\Program Files (x86)\AstroGrep\AstroGrep.exe" /spath="%USERPROFILE%\AppData\Local\Temp\OnboardLogs" /stypes="app*4014*20161223*" /stext=" 15:.+((SYSTEM_STATE.+slice.+state.+changed )|(ment ac)|(multiple cpu faults)|(system.+state.+changed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811-23 --locoid 4014 --swversion DE.1.0.8.0 --startMP 204:1025 --initTime 2016-12-23T08:27:22 --startdatetime 2016-12-23T08:29:57 --delay 1 --endMP 300:58992 --enddatetime 2016-12-23T08:44:45 --enforcementcount 0 &gt;&gt;C:\Users\stu\Documents\GitHub\eaglep3-reporting\EC\2016-12-23-refined-times.txt</v>
      </c>
      <c r="AI17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{"issue":{"subject":"","project_id":79,"tracker_id":40,"status_id":1,"priority_id":2,"assigned_to_id":23,"start_date":"2016-12-23","description":"","custom_fields":[{"id":1,"name":"Subdivision","value":"NW"},{"id":4,"name":"Milepost","value":"5.8992"},{"id":17,"name":"Train ID","value":"811-23"},{"id":16,"name":"Locomotive ID","value":"4014"},{"id":130,"name":"Impact","value":""},{"id":150,"name":"Time of Event (Mountain Time)","value":"08:44:45"},{"id":151,"name":"Denver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523</v>
      </c>
      <c r="B173" s="7">
        <v>4013</v>
      </c>
      <c r="C173" s="22" t="s">
        <v>205</v>
      </c>
      <c r="D173" s="22" t="s">
        <v>792</v>
      </c>
      <c r="E173" s="13">
        <v>42727.365555555552</v>
      </c>
      <c r="F173" s="13">
        <v>42727.367094907408</v>
      </c>
      <c r="G173" s="7">
        <v>1</v>
      </c>
      <c r="H173" s="22" t="s">
        <v>403</v>
      </c>
      <c r="I173" s="13">
        <v>42727.37672453704</v>
      </c>
      <c r="J173" s="7">
        <v>0</v>
      </c>
      <c r="K173" s="109" t="str">
        <f t="shared" si="36"/>
        <v>4013/4014</v>
      </c>
      <c r="L173" s="22" t="str">
        <f>VLOOKUP(A173,'Trips&amp;Operators'!$C$1:$G$99999,5,FALSE)</f>
        <v>SHOOK JOHN</v>
      </c>
      <c r="M173" s="6">
        <f t="shared" si="37"/>
        <v>9.6296296323998831E-3</v>
      </c>
      <c r="N173" s="7">
        <f t="shared" si="38"/>
        <v>13.866666670655832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8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07:46:24-700',mode:absolute,to:'2016-12-23 10:02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3" s="52" t="str">
        <f t="shared" si="42"/>
        <v>N</v>
      </c>
      <c r="X173" s="189">
        <f t="shared" si="43"/>
        <v>1</v>
      </c>
      <c r="Y173" s="67">
        <f t="shared" si="44"/>
        <v>5.8672000000000004</v>
      </c>
      <c r="Z173" s="67">
        <f t="shared" si="45"/>
        <v>7.22E-2</v>
      </c>
      <c r="AA173" s="67">
        <f t="shared" si="46"/>
        <v>5.7950000000000008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47"/>
        <v>0812-23</v>
      </c>
      <c r="AE173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3" s="88" t="str">
        <f t="shared" si="49"/>
        <v>"C:\Program Files (x86)\AstroGrep\AstroGrep.exe" /spath="%USERPROFILE%\AppData\Local\Temp\OnboardLogs" /stypes="app*4013*20161223*" /stext=" 16:.+((SYSTEM_STATE.+slice.+state.+changed )|(ment ac)|(multiple cpu faults)|(system.+state.+changed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812-23 --locoid 4013 --swversion DE.1.0.8.0 --startMP 300:58672 --initTime 2016-12-23T08:46:24 --startdatetime 2016-12-23T08:48:37 --delay 1 --endMP 204:722 --enddatetime 2016-12-23T09:02:29 --enforcementcount 0 &gt;&gt;C:\Users\stu\Documents\GitHub\eaglep3-reporting\EC\2016-12-23-refined-times.txt</v>
      </c>
      <c r="AI17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{"issue":{"subject":"","project_id":79,"tracker_id":40,"status_id":1,"priority_id":2,"assigned_to_id":23,"start_date":"2016-12-23","description":"","custom_fields":[{"id":1,"name":"Subdivision","value":"NW"},{"id":4,"name":"Milepost","value":"0.0722"},{"id":17,"name":"Train ID","value":"812-23"},{"id":16,"name":"Locomotive ID","value":"4013"},{"id":130,"name":"Impact","value":""},{"id":150,"name":"Time of Event (Mountain Time)","value":"09:02:29"},{"id":151,"name":"Denver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527</v>
      </c>
      <c r="B174" s="7">
        <v>4014</v>
      </c>
      <c r="C174" s="22" t="s">
        <v>205</v>
      </c>
      <c r="D174" s="22" t="s">
        <v>793</v>
      </c>
      <c r="E174" s="13">
        <v>42727.378518518519</v>
      </c>
      <c r="F174" s="13">
        <v>42727.389780092592</v>
      </c>
      <c r="G174" s="7">
        <v>1</v>
      </c>
      <c r="H174" s="22" t="s">
        <v>794</v>
      </c>
      <c r="I174" s="13">
        <v>42727.399976851855</v>
      </c>
      <c r="J174" s="7">
        <v>0</v>
      </c>
      <c r="K174" s="109" t="str">
        <f t="shared" si="36"/>
        <v>4013/4014</v>
      </c>
      <c r="L174" s="22" t="str">
        <f>VLOOKUP(A174,'Trips&amp;Operators'!$C$1:$G$99999,5,FALSE)</f>
        <v>SHOOK JOHN</v>
      </c>
      <c r="M174" s="6">
        <f t="shared" si="37"/>
        <v>1.0196759263635613E-2</v>
      </c>
      <c r="N174" s="7">
        <f t="shared" si="38"/>
        <v>14.683333339635283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8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08:05:04-700',mode:absolute,to:'2016-12-23 10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4" s="52" t="str">
        <f t="shared" si="42"/>
        <v>N</v>
      </c>
      <c r="X174" s="189">
        <f t="shared" si="43"/>
        <v>1</v>
      </c>
      <c r="Y174" s="67">
        <f t="shared" si="44"/>
        <v>0.1027</v>
      </c>
      <c r="Z174" s="67">
        <f t="shared" si="45"/>
        <v>5.8994</v>
      </c>
      <c r="AA174" s="67">
        <f t="shared" si="46"/>
        <v>5.7967000000000004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47"/>
        <v>0813-23</v>
      </c>
      <c r="AE174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4" s="88" t="str">
        <f t="shared" si="49"/>
        <v>"C:\Program Files (x86)\AstroGrep\AstroGrep.exe" /spath="%USERPROFILE%\AppData\Local\Temp\OnboardLogs" /stypes="app*4014*20161223*" /stext=" 16:.+((SYSTEM_STATE.+slice.+state.+changed )|(ment ac)|(multiple cpu faults)|(system.+state.+changed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813-23 --locoid 4014 --swversion DE.1.0.8.0 --startMP 204:1027 --initTime 2016-12-23T09:05:04 --startdatetime 2016-12-23T09:21:17 --delay 1 --endMP 300:58994 --enddatetime 2016-12-23T09:35:58 --enforcementcount 0 &gt;&gt;C:\Users\stu\Documents\GitHub\eaglep3-reporting\EC\2016-12-23-refined-times.txt</v>
      </c>
      <c r="AI17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{"issue":{"subject":"","project_id":79,"tracker_id":40,"status_id":1,"priority_id":2,"assigned_to_id":23,"start_date":"2016-12-23","description":"","custom_fields":[{"id":1,"name":"Subdivision","value":"NW"},{"id":4,"name":"Milepost","value":"5.8994"},{"id":17,"name":"Train ID","value":"813-23"},{"id":16,"name":"Locomotive ID","value":"4014"},{"id":130,"name":"Impact","value":""},{"id":150,"name":"Time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533</v>
      </c>
      <c r="B175" s="7">
        <v>4013</v>
      </c>
      <c r="C175" s="22" t="s">
        <v>205</v>
      </c>
      <c r="D175" s="22" t="s">
        <v>795</v>
      </c>
      <c r="E175" s="13">
        <v>42727.401678240742</v>
      </c>
      <c r="F175" s="13">
        <v>42727.403460648151</v>
      </c>
      <c r="G175" s="7">
        <v>1</v>
      </c>
      <c r="H175" s="22" t="s">
        <v>789</v>
      </c>
      <c r="I175" s="13">
        <v>42727.413761574076</v>
      </c>
      <c r="J175" s="7">
        <v>0</v>
      </c>
      <c r="K175" s="109" t="str">
        <f t="shared" si="36"/>
        <v>4013/4014</v>
      </c>
      <c r="L175" s="22" t="str">
        <f>VLOOKUP(A175,'Trips&amp;Operators'!$C$1:$G$99999,5,FALSE)</f>
        <v>SHOOK JOHN</v>
      </c>
      <c r="M175" s="6">
        <f t="shared" si="37"/>
        <v>1.0300925925548654E-2</v>
      </c>
      <c r="N175" s="7">
        <f t="shared" si="38"/>
        <v>14.833333332790062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8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08:38:25-700',mode:absolute,to:'2016-12-23 10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5" s="52" t="str">
        <f t="shared" si="42"/>
        <v>N</v>
      </c>
      <c r="X175" s="189">
        <f t="shared" si="43"/>
        <v>1</v>
      </c>
      <c r="Y175" s="67">
        <f t="shared" si="44"/>
        <v>5.8677999999999999</v>
      </c>
      <c r="Z175" s="67">
        <f t="shared" si="45"/>
        <v>7.3400000000000007E-2</v>
      </c>
      <c r="AA175" s="67">
        <f t="shared" si="46"/>
        <v>5.7943999999999996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47"/>
        <v>0814-23</v>
      </c>
      <c r="AE175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5" s="88" t="str">
        <f t="shared" si="49"/>
        <v>"C:\Program Files (x86)\AstroGrep\AstroGrep.exe" /spath="%USERPROFILE%\AppData\Local\Temp\OnboardLogs" /stypes="app*4013*20161223*" /stext=" 16:.+((SYSTEM_STATE.+slice.+state.+changed )|(ment ac)|(multiple cpu faults)|(system.+state.+changed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814-23 --locoid 4013 --swversion DE.1.0.8.0 --startMP 300:58678 --initTime 2016-12-23T09:38:25 --startdatetime 2016-12-23T09:40:59 --delay 1 --endMP 204:734 --enddatetime 2016-12-23T09:55:49 --enforcementcount 0 &gt;&gt;C:\Users\stu\Documents\GitHub\eaglep3-reporting\EC\2016-12-23-refined-times.txt</v>
      </c>
      <c r="AI17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{"issue":{"subject":"","project_id":79,"tracker_id":40,"status_id":1,"priority_id":2,"assigned_to_id":23,"start_date":"2016-12-23","description":"","custom_fields":[{"id":1,"name":"Subdivision","value":"NW"},{"id":4,"name":"Milepost","value":"0.0734"},{"id":17,"name":"Train ID","value":"814-23"},{"id":16,"name":"Locomotive ID","value":"4013"},{"id":130,"name":"Impact","value":""},{"id":150,"name":"Time of Event (Mountain Time)","value":"09:55:49"},{"id":151,"name":"Denver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536</v>
      </c>
      <c r="B176" s="7">
        <v>4014</v>
      </c>
      <c r="C176" s="22" t="s">
        <v>205</v>
      </c>
      <c r="D176" s="22" t="s">
        <v>796</v>
      </c>
      <c r="E176" s="13">
        <v>42727.416180555556</v>
      </c>
      <c r="F176" s="13">
        <v>42727.431469907409</v>
      </c>
      <c r="G176" s="7">
        <v>1</v>
      </c>
      <c r="H176" s="22" t="s">
        <v>797</v>
      </c>
      <c r="I176" s="13">
        <v>42727.441886574074</v>
      </c>
      <c r="J176" s="7">
        <v>0</v>
      </c>
      <c r="K176" s="109" t="str">
        <f t="shared" si="36"/>
        <v>4013/4014</v>
      </c>
      <c r="L176" s="22" t="str">
        <f>VLOOKUP(A176,'Trips&amp;Operators'!$C$1:$G$99999,5,FALSE)</f>
        <v>SHOOK JOHN</v>
      </c>
      <c r="M176" s="6">
        <f t="shared" si="37"/>
        <v>1.0416666664241347E-2</v>
      </c>
      <c r="N176" s="7">
        <f t="shared" si="38"/>
        <v>14.99999999650754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8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08:59:18-700',mode:absolute,to:'2016-12-23 11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6" s="52" t="str">
        <f t="shared" si="42"/>
        <v>N</v>
      </c>
      <c r="X176" s="189">
        <f t="shared" si="43"/>
        <v>1</v>
      </c>
      <c r="Y176" s="67">
        <f t="shared" si="44"/>
        <v>0.1014</v>
      </c>
      <c r="Z176" s="67">
        <f t="shared" si="45"/>
        <v>5.8997000000000002</v>
      </c>
      <c r="AA176" s="67">
        <f t="shared" si="46"/>
        <v>5.7983000000000002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47"/>
        <v>0815-23</v>
      </c>
      <c r="AE176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6" s="88" t="str">
        <f t="shared" si="49"/>
        <v>"C:\Program Files (x86)\AstroGrep\AstroGrep.exe" /spath="%USERPROFILE%\AppData\Local\Temp\OnboardLogs" /stypes="app*4014*20161223*" /stext=" 17:.+((SYSTEM_STATE.+slice.+state.+changed )|(ment ac)|(multiple cpu faults)|(system.+state.+changed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815-23 --locoid 4014 --swversion DE.1.0.8.0 --startMP 204:1014 --initTime 2016-12-23T09:59:18 --startdatetime 2016-12-23T10:21:19 --delay 1 --endMP 300:58997 --enddatetime 2016-12-23T10:36:19 --enforcementcount 0 &gt;&gt;C:\Users\stu\Documents\GitHub\eaglep3-reporting\EC\2016-12-23-refined-times.txt</v>
      </c>
      <c r="AI17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{"issue":{"subject":"","project_id":79,"tracker_id":40,"status_id":1,"priority_id":2,"assigned_to_id":23,"start_date":"2016-12-23","description":"","custom_fields":[{"id":1,"name":"Subdivision","value":"NW"},{"id":4,"name":"Milepost","value":"5.8997"},{"id":17,"name":"Train ID","value":"815-23"},{"id":16,"name":"Locomotive ID","value":"4014"},{"id":130,"name":"Impact","value":""},{"id":150,"name":"Time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539</v>
      </c>
      <c r="B177" s="7">
        <v>4013</v>
      </c>
      <c r="C177" s="22" t="s">
        <v>205</v>
      </c>
      <c r="D177" s="22" t="s">
        <v>798</v>
      </c>
      <c r="E177" s="13">
        <v>42727.443356481483</v>
      </c>
      <c r="F177" s="13">
        <v>42727.444895833331</v>
      </c>
      <c r="G177" s="7">
        <v>1</v>
      </c>
      <c r="H177" s="22" t="s">
        <v>314</v>
      </c>
      <c r="I177" s="13">
        <v>42727.455416666664</v>
      </c>
      <c r="J177" s="7">
        <v>0</v>
      </c>
      <c r="K177" s="109" t="str">
        <f t="shared" si="36"/>
        <v>4013/4014</v>
      </c>
      <c r="L177" s="22" t="str">
        <f>VLOOKUP(A177,'Trips&amp;Operators'!$C$1:$G$99999,5,FALSE)</f>
        <v>SHOOK JOHN</v>
      </c>
      <c r="M177" s="6">
        <f t="shared" si="37"/>
        <v>1.0520833333430346E-2</v>
      </c>
      <c r="N177" s="7">
        <f t="shared" si="38"/>
        <v>15.150000000139698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8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09:38:26-700',mode:absolute,to:'2016-12-23 11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7" s="52" t="str">
        <f t="shared" si="42"/>
        <v>N</v>
      </c>
      <c r="X177" s="189">
        <f t="shared" si="43"/>
        <v>1</v>
      </c>
      <c r="Y177" s="67">
        <f t="shared" si="44"/>
        <v>5.8685</v>
      </c>
      <c r="Z177" s="67">
        <f t="shared" si="45"/>
        <v>7.4499999999999997E-2</v>
      </c>
      <c r="AA177" s="67">
        <f t="shared" si="46"/>
        <v>5.7940000000000005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47"/>
        <v>0816-23</v>
      </c>
      <c r="AE177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7" s="88" t="str">
        <f t="shared" si="49"/>
        <v>"C:\Program Files (x86)\AstroGrep\AstroGrep.exe" /spath="%USERPROFILE%\AppData\Local\Temp\OnboardLogs" /stypes="app*4013*20161223*" /stext=" 17:.+((SYSTEM_STATE.+slice.+state.+changed )|(ment ac)|(multiple cpu faults)|(system.+state.+changed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816-23 --locoid 4013 --swversion DE.1.0.8.0 --startMP 300:58685 --initTime 2016-12-23T10:38:26 --startdatetime 2016-12-23T10:40:39 --delay 1 --endMP 204:745 --enddatetime 2016-12-23T10:55:48 --enforcementcount 0 &gt;&gt;C:\Users\stu\Documents\GitHub\eaglep3-reporting\EC\2016-12-23-refined-times.txt</v>
      </c>
      <c r="AI17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{"issue":{"subject":"","project_id":79,"tracker_id":40,"status_id":1,"priority_id":2,"assigned_to_id":23,"start_date":"2016-12-23","description":"","custom_fields":[{"id":1,"name":"Subdivision","value":"NW"},{"id":4,"name":"Milepost","value":"0.0745"},{"id":17,"name":"Train ID","value":"816-23"},{"id":16,"name":"Locomotive ID","value":"4013"},{"id":130,"name":"Impact","value":""},{"id":150,"name":"Time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546</v>
      </c>
      <c r="B178" s="7">
        <v>4014</v>
      </c>
      <c r="C178" s="22" t="s">
        <v>205</v>
      </c>
      <c r="D178" s="22" t="s">
        <v>799</v>
      </c>
      <c r="E178" s="13">
        <v>42727.458171296297</v>
      </c>
      <c r="F178" s="13">
        <v>42727.47314814815</v>
      </c>
      <c r="G178" s="7">
        <v>1</v>
      </c>
      <c r="H178" s="22" t="s">
        <v>782</v>
      </c>
      <c r="I178" s="13">
        <v>42727.483391203707</v>
      </c>
      <c r="J178" s="7">
        <v>0</v>
      </c>
      <c r="K178" s="109" t="str">
        <f t="shared" si="36"/>
        <v>4013/4014</v>
      </c>
      <c r="L178" s="22" t="str">
        <f>VLOOKUP(A178,'Trips&amp;Operators'!$C$1:$G$99999,5,FALSE)</f>
        <v>SHOOK JOHN</v>
      </c>
      <c r="M178" s="6">
        <f t="shared" si="37"/>
        <v>1.0243055556202307E-2</v>
      </c>
      <c r="N178" s="7">
        <f t="shared" si="38"/>
        <v>14.750000000931323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8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09:59:46-700',mode:absolute,to:'2016-12-23 12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8" s="52" t="str">
        <f t="shared" si="42"/>
        <v>N</v>
      </c>
      <c r="X178" s="189">
        <f t="shared" si="43"/>
        <v>1</v>
      </c>
      <c r="Y178" s="67">
        <f t="shared" si="44"/>
        <v>0.1021</v>
      </c>
      <c r="Z178" s="67">
        <f t="shared" si="45"/>
        <v>5.8998999999999997</v>
      </c>
      <c r="AA178" s="67">
        <f t="shared" si="46"/>
        <v>5.7977999999999996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47"/>
        <v>0817-23</v>
      </c>
      <c r="AE178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78" s="88" t="str">
        <f t="shared" si="49"/>
        <v>"C:\Program Files (x86)\AstroGrep\AstroGrep.exe" /spath="%USERPROFILE%\AppData\Local\Temp\OnboardLogs" /stypes="app*4014*20161223*" /stext=" 18:.+((SYSTEM_STATE.+slice.+state.+changed )|(ment ac)|(multiple cpu faults)|(system.+state.+changed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817-23 --locoid 4014 --swversion DE.1.0.8.0 --startMP 204:1021 --initTime 2016-12-23T10:59:46 --startdatetime 2016-12-23T11:21:20 --delay 1 --endMP 300:58999 --enddatetime 2016-12-23T11:36:05 --enforcementcount 0 &gt;&gt;C:\Users\stu\Documents\GitHub\eaglep3-reporting\EC\2016-12-23-refined-times.txt</v>
      </c>
      <c r="AI178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{"issue":{"subject":"","project_id":79,"tracker_id":40,"status_id":1,"priority_id":2,"assigned_to_id":23,"start_date":"2016-12-23","description":"","custom_fields":[{"id":1,"name":"Subdivision","value":"NW"},{"id":4,"name":"Milepost","value":"5.8999"},{"id":17,"name":"Train ID","value":"817-23"},{"id":16,"name":"Locomotive ID","value":"4014"},{"id":130,"name":"Impact","value":""},{"id":150,"name":"Time of Event (Mountain Time)","value":"11:36:05"},{"id":151,"name":"Denver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555</v>
      </c>
      <c r="B179" s="7">
        <v>4013</v>
      </c>
      <c r="C179" s="22" t="s">
        <v>205</v>
      </c>
      <c r="D179" s="22" t="s">
        <v>800</v>
      </c>
      <c r="E179" s="13">
        <v>42727.484907407408</v>
      </c>
      <c r="F179" s="13">
        <v>42727.486643518518</v>
      </c>
      <c r="G179" s="7">
        <v>1</v>
      </c>
      <c r="H179" s="22" t="s">
        <v>801</v>
      </c>
      <c r="I179" s="13">
        <v>42727.498460648145</v>
      </c>
      <c r="J179" s="7">
        <v>0</v>
      </c>
      <c r="K179" s="109" t="str">
        <f t="shared" si="36"/>
        <v>4013/4014</v>
      </c>
      <c r="L179" s="22" t="str">
        <f>VLOOKUP(A179,'Trips&amp;Operators'!$C$1:$G$99999,5,FALSE)</f>
        <v>SHOOK JOHN</v>
      </c>
      <c r="M179" s="6">
        <f t="shared" si="37"/>
        <v>1.1817129627161194E-2</v>
      </c>
      <c r="N179" s="7">
        <f t="shared" si="38"/>
        <v>17.016666663112119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8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10:38:16-700',mode:absolute,to:'2016-12-23 12:57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9" s="52" t="str">
        <f t="shared" si="42"/>
        <v>N</v>
      </c>
      <c r="X179" s="189">
        <f t="shared" si="43"/>
        <v>1</v>
      </c>
      <c r="Y179" s="67">
        <f t="shared" si="44"/>
        <v>5.8677000000000001</v>
      </c>
      <c r="Z179" s="67">
        <f t="shared" si="45"/>
        <v>7.4700000000000003E-2</v>
      </c>
      <c r="AA179" s="67">
        <f t="shared" si="46"/>
        <v>5.7930000000000001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47"/>
        <v>0818-23</v>
      </c>
      <c r="AE179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79" s="88" t="str">
        <f t="shared" si="49"/>
        <v>"C:\Program Files (x86)\AstroGrep\AstroGrep.exe" /spath="%USERPROFILE%\AppData\Local\Temp\OnboardLogs" /stypes="app*4013*20161223*" /stext=" 18:.+((SYSTEM_STATE.+slice.+state.+changed )|(ment ac)|(multiple cpu faults)|(system.+state.+changed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818-23 --locoid 4013 --swversion DE.1.0.8.0 --startMP 300:58677 --initTime 2016-12-23T11:38:16 --startdatetime 2016-12-23T11:40:46 --delay 1 --endMP 204:747 --enddatetime 2016-12-23T11:57:47 --enforcementcount 0 &gt;&gt;C:\Users\stu\Documents\GitHub\eaglep3-reporting\EC\2016-12-23-refined-times.txt</v>
      </c>
      <c r="AI179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{"issue":{"subject":"","project_id":79,"tracker_id":40,"status_id":1,"priority_id":2,"assigned_to_id":23,"start_date":"2016-12-23","description":"","custom_fields":[{"id":1,"name":"Subdivision","value":"NW"},{"id":4,"name":"Milepost","value":"0.0747"},{"id":17,"name":"Train ID","value":"818-23"},{"id":16,"name":"Locomotive ID","value":"4013"},{"id":130,"name":"Impact","value":""},{"id":150,"name":"Time of Event (Mountain Time)","value":"11:57:47"},{"id":151,"name":"Denver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559</v>
      </c>
      <c r="B180" s="7">
        <v>4014</v>
      </c>
      <c r="C180" s="22" t="s">
        <v>205</v>
      </c>
      <c r="D180" s="22" t="s">
        <v>802</v>
      </c>
      <c r="E180" s="13">
        <v>42727.505335648151</v>
      </c>
      <c r="F180" s="13">
        <v>42727.55641203704</v>
      </c>
      <c r="G180" s="7">
        <v>1</v>
      </c>
      <c r="H180" s="22" t="s">
        <v>802</v>
      </c>
      <c r="I180" s="13">
        <v>42727.566782407404</v>
      </c>
      <c r="J180" s="7">
        <v>0</v>
      </c>
      <c r="K180" s="109" t="str">
        <f t="shared" si="36"/>
        <v>4013/4014</v>
      </c>
      <c r="L180" s="22" t="str">
        <f>VLOOKUP(A180,'Trips&amp;Operators'!$C$1:$G$99999,5,FALSE)</f>
        <v>SHOOK JOHN</v>
      </c>
      <c r="M180" s="6">
        <f t="shared" si="37"/>
        <v>1.0370370364398696E-2</v>
      </c>
      <c r="N180" s="7"/>
      <c r="O180" s="7"/>
      <c r="P180" s="7">
        <f t="shared" si="38"/>
        <v>14.933333324734122</v>
      </c>
      <c r="Q180" s="23"/>
      <c r="R180" s="23" t="s">
        <v>859</v>
      </c>
      <c r="S180" s="35">
        <f t="shared" si="39"/>
        <v>0</v>
      </c>
      <c r="T180" s="50" t="str">
        <f t="shared" si="40"/>
        <v>NorthBound</v>
      </c>
      <c r="U180" s="18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11:07:41-700',mode:absolute,to:'2016-12-23 14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0" s="52" t="str">
        <f t="shared" si="42"/>
        <v>Y</v>
      </c>
      <c r="X180" s="189">
        <f t="shared" si="43"/>
        <v>1</v>
      </c>
      <c r="Y180" s="67">
        <f t="shared" si="44"/>
        <v>0.10349999999999999</v>
      </c>
      <c r="Z180" s="67">
        <f t="shared" si="45"/>
        <v>0.10349999999999999</v>
      </c>
      <c r="AA180" s="67">
        <f t="shared" si="46"/>
        <v>0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47"/>
        <v>0819-23</v>
      </c>
      <c r="AE180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0" s="88" t="str">
        <f t="shared" si="49"/>
        <v>"C:\Program Files (x86)\AstroGrep\AstroGrep.exe" /spath="%USERPROFILE%\AppData\Local\Temp\OnboardLogs" /stypes="app*4014*20161223*" /stext=" 20:.+((SYSTEM_STATE.+slice.+state.+changed )|(ment ac)|(multiple cpu faults)|(system.+state.+changed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819-23 --locoid 4014 --swversion DE.1.0.8.0 --startMP 204:1035 --initTime 2016-12-23T12:07:41 --startdatetime 2016-12-23T13:21:14 --delay 1 --endMP 204:1035 --enddatetime 2016-12-23T13:36:10 --enforcementcount 0 &gt;&gt;C:\Users\stu\Documents\GitHub\eaglep3-reporting\EC\2016-12-23-refined-times.txt</v>
      </c>
      <c r="AI180" s="119" t="str">
        <f t="shared" si="52"/>
        <v>echo {"issue":{"subject":"Onboard in-route falure","project_id":79,"tracker_id":40,"status_id":1,"priority_id":2,"assigned_to_id":23,"start_date":"2016-12-23","description":"","custom_fields":[{"id":1,"name":"Subdivision","value":"NW"},{"id":4,"name":"Milepost","value":"0.1035"},{"id":17,"name":"Train ID","value":"819-23"},{"id":16,"name":"Locomotive ID","value":"4014"},{"id":130,"name":"Impact","value":""},{"id":150,"name":"Time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570</v>
      </c>
      <c r="B181" s="7">
        <v>4013</v>
      </c>
      <c r="C181" s="22" t="s">
        <v>205</v>
      </c>
      <c r="D181" s="22" t="s">
        <v>803</v>
      </c>
      <c r="E181" s="13">
        <v>42727.533067129632</v>
      </c>
      <c r="F181" s="13">
        <v>42727.534861111111</v>
      </c>
      <c r="G181" s="7">
        <v>1</v>
      </c>
      <c r="H181" s="22" t="s">
        <v>680</v>
      </c>
      <c r="I181" s="13">
        <v>42727.544999999998</v>
      </c>
      <c r="J181" s="7">
        <v>0</v>
      </c>
      <c r="K181" s="109" t="str">
        <f t="shared" si="36"/>
        <v>4013/4014</v>
      </c>
      <c r="L181" s="22" t="str">
        <f>VLOOKUP(A181,'Trips&amp;Operators'!$C$1:$G$99999,5,FALSE)</f>
        <v>SHOOK JOHN</v>
      </c>
      <c r="M181" s="6">
        <f t="shared" si="37"/>
        <v>1.0138888887013309E-2</v>
      </c>
      <c r="N181" s="7">
        <f t="shared" si="38"/>
        <v>14.599999997299165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8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11:47:37-700',mode:absolute,to:'2016-12-23 14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1" s="52" t="str">
        <f t="shared" si="42"/>
        <v>N</v>
      </c>
      <c r="X181" s="189">
        <f t="shared" si="43"/>
        <v>1</v>
      </c>
      <c r="Y181" s="67">
        <f t="shared" si="44"/>
        <v>5.8704000000000001</v>
      </c>
      <c r="Z181" s="67">
        <f t="shared" si="45"/>
        <v>7.5200000000000003E-2</v>
      </c>
      <c r="AA181" s="67">
        <f t="shared" si="46"/>
        <v>5.7952000000000004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47"/>
        <v>0820-23</v>
      </c>
      <c r="AE18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1" s="88" t="str">
        <f t="shared" si="49"/>
        <v>"C:\Program Files (x86)\AstroGrep\AstroGrep.exe" /spath="%USERPROFILE%\AppData\Local\Temp\OnboardLogs" /stypes="app*4013*20161223*" /stext=" 20:.+((SYSTEM_STATE.+slice.+state.+changed )|(ment ac)|(multiple cpu faults)|(system.+state.+changed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820-23 --locoid 4013 --swversion DE.1.0.8.0 --startMP 300:58704 --initTime 2016-12-23T12:47:37 --startdatetime 2016-12-23T12:50:12 --delay 1 --endMP 204:752 --enddatetime 2016-12-23T13:04:48 --enforcementcount 0 &gt;&gt;C:\Users\stu\Documents\GitHub\eaglep3-reporting\EC\2016-12-23-refined-times.txt</v>
      </c>
      <c r="AI18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{"issue":{"subject":"","project_id":79,"tracker_id":40,"status_id":1,"priority_id":2,"assigned_to_id":23,"start_date":"2016-12-23","description":"","custom_fields":[{"id":1,"name":"Subdivision","value":"NW"},{"id":4,"name":"Milepost","value":"0.0752"},{"id":17,"name":"Train ID","value":"820-23"},{"id":16,"name":"Locomotive ID","value":"4013"},{"id":130,"name":"Impact","value":""},{"id":150,"name":"Time of Event (Mountain Time)","value":"13:04:48"},{"id":151,"name":"Denver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573</v>
      </c>
      <c r="B182" s="7">
        <v>4014</v>
      </c>
      <c r="C182" s="22" t="s">
        <v>205</v>
      </c>
      <c r="D182" s="22" t="s">
        <v>804</v>
      </c>
      <c r="E182" s="13">
        <v>42727.550185185188</v>
      </c>
      <c r="F182" s="13">
        <v>42727.55641203704</v>
      </c>
      <c r="G182" s="7">
        <v>1</v>
      </c>
      <c r="H182" s="22" t="s">
        <v>408</v>
      </c>
      <c r="I182" s="13">
        <v>42727.566782407404</v>
      </c>
      <c r="J182" s="7">
        <v>0</v>
      </c>
      <c r="K182" s="109" t="str">
        <f t="shared" si="36"/>
        <v>4013/4014</v>
      </c>
      <c r="L182" s="22" t="str">
        <f>VLOOKUP(A182,'Trips&amp;Operators'!$C$1:$G$99999,5,FALSE)</f>
        <v>COMELLA JUSTIN</v>
      </c>
      <c r="M182" s="6">
        <f t="shared" si="37"/>
        <v>1.0370370364398696E-2</v>
      </c>
      <c r="N182" s="7">
        <f t="shared" si="38"/>
        <v>14.933333324734122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8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12:12:16-700',mode:absolute,to:'2016-12-23 14:36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2" s="52" t="str">
        <f t="shared" si="42"/>
        <v>N</v>
      </c>
      <c r="X182" s="189">
        <f t="shared" si="43"/>
        <v>1</v>
      </c>
      <c r="Y182" s="67">
        <f t="shared" si="44"/>
        <v>0.1041</v>
      </c>
      <c r="Z182" s="67">
        <f t="shared" si="45"/>
        <v>5.8935000000000004</v>
      </c>
      <c r="AA182" s="67">
        <f t="shared" si="46"/>
        <v>5.7894000000000005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47"/>
        <v>0821-23</v>
      </c>
      <c r="AE18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2" s="88" t="str">
        <f t="shared" si="49"/>
        <v>"C:\Program Files (x86)\AstroGrep\AstroGrep.exe" /spath="%USERPROFILE%\AppData\Local\Temp\OnboardLogs" /stypes="app*4014*20161223*" /stext=" 20:.+((SYSTEM_STATE.+slice.+state.+changed )|(ment ac)|(multiple cpu faults)|(system.+state.+changed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821-23 --locoid 4014 --swversion DE.1.0.8.0 --startMP 204:1041 --initTime 2016-12-23T13:12:16 --startdatetime 2016-12-23T13:21:14 --delay 1 --endMP 300:58935 --enddatetime 2016-12-23T13:36:10 --enforcementcount 0 &gt;&gt;C:\Users\stu\Documents\GitHub\eaglep3-reporting\EC\2016-12-23-refined-times.txt</v>
      </c>
      <c r="AI18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{"issue":{"subject":"","project_id":79,"tracker_id":40,"status_id":1,"priority_id":2,"assigned_to_id":23,"start_date":"2016-12-23","description":"","custom_fields":[{"id":1,"name":"Subdivision","value":"NW"},{"id":4,"name":"Milepost","value":"5.8935"},{"id":17,"name":"Train ID","value":"821-23"},{"id":16,"name":"Locomotive ID","value":"4014"},{"id":130,"name":"Impact","value":""},{"id":150,"name":"Time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442</v>
      </c>
      <c r="B183" s="7">
        <v>4013</v>
      </c>
      <c r="C183" s="22" t="s">
        <v>205</v>
      </c>
      <c r="D183" s="22" t="s">
        <v>805</v>
      </c>
      <c r="E183" s="13">
        <v>42727.567754629628</v>
      </c>
      <c r="F183" s="13">
        <v>42727.569039351853</v>
      </c>
      <c r="G183" s="7">
        <v>1</v>
      </c>
      <c r="H183" s="22" t="s">
        <v>338</v>
      </c>
      <c r="I183" s="13">
        <v>42727.580613425926</v>
      </c>
      <c r="J183" s="7">
        <v>0</v>
      </c>
      <c r="K183" s="109" t="str">
        <f t="shared" si="36"/>
        <v>4013/4014</v>
      </c>
      <c r="L183" s="22" t="str">
        <f>VLOOKUP(A183,'Trips&amp;Operators'!$C$1:$G$99999,5,FALSE)</f>
        <v>COMELLA JUSTIN</v>
      </c>
      <c r="M183" s="6">
        <f t="shared" si="37"/>
        <v>1.1574074072996154E-2</v>
      </c>
      <c r="N183" s="7">
        <f t="shared" si="38"/>
        <v>16.666666665114462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8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12:37:34-700',mode:absolute,to:'2016-12-23 14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3" s="52" t="str">
        <f t="shared" si="42"/>
        <v>N</v>
      </c>
      <c r="X183" s="189">
        <f t="shared" si="43"/>
        <v>1</v>
      </c>
      <c r="Y183" s="67">
        <f t="shared" si="44"/>
        <v>5.8628</v>
      </c>
      <c r="Z183" s="67">
        <f t="shared" si="45"/>
        <v>7.4800000000000005E-2</v>
      </c>
      <c r="AA183" s="67">
        <f t="shared" si="46"/>
        <v>5.7880000000000003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47"/>
        <v>0822-23</v>
      </c>
      <c r="AE183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3" s="88" t="str">
        <f t="shared" si="49"/>
        <v>"C:\Program Files (x86)\AstroGrep\AstroGrep.exe" /spath="%USERPROFILE%\AppData\Local\Temp\OnboardLogs" /stypes="app*4013*20161223*" /stext=" 20:.+((SYSTEM_STATE.+slice.+state.+changed )|(ment ac)|(multiple cpu faults)|(system.+state.+changed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822-23 --locoid 4013 --swversion DE.1.0.8.0 --startMP 300:58628 --initTime 2016-12-23T13:37:34 --startdatetime 2016-12-23T13:39:25 --delay 1 --endMP 204:748 --enddatetime 2016-12-23T13:56:05 --enforcementcount 0 &gt;&gt;C:\Users\stu\Documents\GitHub\eaglep3-reporting\EC\2016-12-23-refined-times.txt</v>
      </c>
      <c r="AI18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{"issue":{"subject":"","project_id":79,"tracker_id":40,"status_id":1,"priority_id":2,"assigned_to_id":23,"start_date":"2016-12-23","description":"","custom_fields":[{"id":1,"name":"Subdivision","value":"NW"},{"id":4,"name":"Milepost","value":"0.0748"},{"id":17,"name":"Train ID","value":"822-23"},{"id":16,"name":"Locomotive ID","value":"4013"},{"id":130,"name":"Impact","value":""},{"id":150,"name":"Time of Event (Mountain Time)","value":"13:56:05"},{"id":151,"name":"Denver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583</v>
      </c>
      <c r="B184" s="7">
        <v>4014</v>
      </c>
      <c r="C184" s="22" t="s">
        <v>205</v>
      </c>
      <c r="D184" s="22" t="s">
        <v>806</v>
      </c>
      <c r="E184" s="13">
        <v>42727.590555555558</v>
      </c>
      <c r="F184" s="13">
        <v>42727.59814814815</v>
      </c>
      <c r="G184" s="7">
        <v>1</v>
      </c>
      <c r="H184" s="22" t="s">
        <v>408</v>
      </c>
      <c r="I184" s="13">
        <v>42727.609467592592</v>
      </c>
      <c r="J184" s="7">
        <v>0</v>
      </c>
      <c r="K184" s="109" t="str">
        <f t="shared" si="36"/>
        <v>4013/4014</v>
      </c>
      <c r="L184" s="22" t="str">
        <f>VLOOKUP(A184,'Trips&amp;Operators'!$C$1:$G$99999,5,FALSE)</f>
        <v>COMELLA JUSTIN</v>
      </c>
      <c r="M184" s="6">
        <f t="shared" si="37"/>
        <v>1.1319444442051463E-2</v>
      </c>
      <c r="N184" s="7">
        <f t="shared" si="38"/>
        <v>16.299999996554106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8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13:10:24-700',mode:absolute,to:'2016-12-23 15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4" s="52" t="str">
        <f t="shared" si="42"/>
        <v>N</v>
      </c>
      <c r="X184" s="189">
        <f t="shared" si="43"/>
        <v>1</v>
      </c>
      <c r="Y184" s="67">
        <f t="shared" si="44"/>
        <v>0.1032</v>
      </c>
      <c r="Z184" s="67">
        <f t="shared" si="45"/>
        <v>5.8935000000000004</v>
      </c>
      <c r="AA184" s="67">
        <f t="shared" si="46"/>
        <v>5.7903000000000002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47"/>
        <v>0823-23</v>
      </c>
      <c r="AE184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4" s="88" t="str">
        <f t="shared" si="49"/>
        <v>"C:\Program Files (x86)\AstroGrep\AstroGrep.exe" /spath="%USERPROFILE%\AppData\Local\Temp\OnboardLogs" /stypes="app*4014*20161223*" /stext=" 21:.+((SYSTEM_STATE.+slice.+state.+changed )|(ment ac)|(multiple cpu faults)|(system.+state.+changed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823-23 --locoid 4014 --swversion DE.1.0.8.0 --startMP 204:1032 --initTime 2016-12-23T14:10:24 --startdatetime 2016-12-23T14:21:20 --delay 1 --endMP 300:58935 --enddatetime 2016-12-23T14:37:38 --enforcementcount 0 &gt;&gt;C:\Users\stu\Documents\GitHub\eaglep3-reporting\EC\2016-12-23-refined-times.txt</v>
      </c>
      <c r="AI18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{"issue":{"subject":"","project_id":79,"tracker_id":40,"status_id":1,"priority_id":2,"assigned_to_id":23,"start_date":"2016-12-23","description":"","custom_fields":[{"id":1,"name":"Subdivision","value":"NW"},{"id":4,"name":"Milepost","value":"5.8935"},{"id":17,"name":"Train ID","value":"823-23"},{"id":16,"name":"Locomotive ID","value":"4014"},{"id":130,"name":"Impact","value":""},{"id":150,"name":"Time of Event (Mountain Time)","value":"14:37:38"},{"id":151,"name":"Denver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588</v>
      </c>
      <c r="B185" s="7">
        <v>4013</v>
      </c>
      <c r="C185" s="22" t="s">
        <v>205</v>
      </c>
      <c r="D185" s="22" t="s">
        <v>414</v>
      </c>
      <c r="E185" s="13">
        <v>42727.610520833332</v>
      </c>
      <c r="F185" s="13">
        <v>42727.611875000002</v>
      </c>
      <c r="G185" s="7">
        <v>1</v>
      </c>
      <c r="H185" s="22" t="s">
        <v>776</v>
      </c>
      <c r="I185" s="13">
        <v>42727.62263888889</v>
      </c>
      <c r="J185" s="7">
        <v>0</v>
      </c>
      <c r="K185" s="109" t="str">
        <f t="shared" si="36"/>
        <v>4013/4014</v>
      </c>
      <c r="L185" s="22" t="str">
        <f>VLOOKUP(A185,'Trips&amp;Operators'!$C$1:$G$99999,5,FALSE)</f>
        <v>COMELLA JUSTIN</v>
      </c>
      <c r="M185" s="6">
        <f t="shared" si="37"/>
        <v>1.0763888887595385E-2</v>
      </c>
      <c r="N185" s="7">
        <f t="shared" si="38"/>
        <v>15.499999998137355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8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13:39:09-700',mode:absolute,to:'2016-12-23 15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5" s="52" t="str">
        <f t="shared" si="42"/>
        <v>N</v>
      </c>
      <c r="X185" s="189">
        <f t="shared" si="43"/>
        <v>1</v>
      </c>
      <c r="Y185" s="67">
        <f t="shared" si="44"/>
        <v>5.8616999999999999</v>
      </c>
      <c r="Z185" s="67">
        <f t="shared" si="45"/>
        <v>6.9800000000000001E-2</v>
      </c>
      <c r="AA185" s="67">
        <f t="shared" si="46"/>
        <v>5.7919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47"/>
        <v>0824-23</v>
      </c>
      <c r="AE185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5" s="88" t="str">
        <f t="shared" si="49"/>
        <v>"C:\Program Files (x86)\AstroGrep\AstroGrep.exe" /spath="%USERPROFILE%\AppData\Local\Temp\OnboardLogs" /stypes="app*4013*20161223*" /stext=" 21:.+((SYSTEM_STATE.+slice.+state.+changed )|(ment ac)|(multiple cpu faults)|(system.+state.+changed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824-23 --locoid 4013 --swversion DE.1.0.8.0 --startMP 300:58617 --initTime 2016-12-23T14:39:09 --startdatetime 2016-12-23T14:41:06 --delay 1 --endMP 204:698 --enddatetime 2016-12-23T14:56:36 --enforcementcount 0 &gt;&gt;C:\Users\stu\Documents\GitHub\eaglep3-reporting\EC\2016-12-23-refined-times.txt</v>
      </c>
      <c r="AI18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{"issue":{"subject":"","project_id":79,"tracker_id":40,"status_id":1,"priority_id":2,"assigned_to_id":23,"start_date":"2016-12-23","description":"","custom_fields":[{"id":1,"name":"Subdivision","value":"NW"},{"id":4,"name":"Milepost","value":"0.0698"},{"id":17,"name":"Train ID","value":"824-23"},{"id":16,"name":"Locomotive ID","value":"4013"},{"id":130,"name":"Impact","value":""},{"id":150,"name":"Time of Event (Mountain Time)","value":"14:56:36"},{"id":151,"name":"Denver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593</v>
      </c>
      <c r="B186" s="7">
        <v>4014</v>
      </c>
      <c r="C186" s="22" t="s">
        <v>205</v>
      </c>
      <c r="D186" s="22" t="s">
        <v>405</v>
      </c>
      <c r="E186" s="13">
        <v>42727.631111111114</v>
      </c>
      <c r="F186" s="13">
        <v>42727.639791666668</v>
      </c>
      <c r="G186" s="7">
        <v>1</v>
      </c>
      <c r="H186" s="22" t="s">
        <v>807</v>
      </c>
      <c r="I186" s="13">
        <v>42727.650891203702</v>
      </c>
      <c r="J186" s="7">
        <v>0</v>
      </c>
      <c r="K186" s="109" t="str">
        <f t="shared" si="36"/>
        <v>4013/4014</v>
      </c>
      <c r="L186" s="22" t="str">
        <f>VLOOKUP(A186,'Trips&amp;Operators'!$C$1:$G$99999,5,FALSE)</f>
        <v>COMELLA JUSTIN</v>
      </c>
      <c r="M186" s="6">
        <f t="shared" si="37"/>
        <v>1.1099537034169771E-2</v>
      </c>
      <c r="N186" s="7">
        <f t="shared" si="38"/>
        <v>15.98333332920447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8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14:08:48-700',mode:absolute,to:'2016-12-23 16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6" s="52" t="str">
        <f t="shared" si="42"/>
        <v>N</v>
      </c>
      <c r="X186" s="189">
        <f t="shared" si="43"/>
        <v>1</v>
      </c>
      <c r="Y186" s="67">
        <f t="shared" si="44"/>
        <v>9.7600000000000006E-2</v>
      </c>
      <c r="Z186" s="67">
        <f t="shared" si="45"/>
        <v>5.8917999999999999</v>
      </c>
      <c r="AA186" s="67">
        <f t="shared" si="46"/>
        <v>5.7942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47"/>
        <v>0825-23</v>
      </c>
      <c r="AE186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86" s="88" t="str">
        <f t="shared" si="49"/>
        <v>"C:\Program Files (x86)\AstroGrep\AstroGrep.exe" /spath="%USERPROFILE%\AppData\Local\Temp\OnboardLogs" /stypes="app*4014*20161223*" /stext=" 22:.+((SYSTEM_STATE.+slice.+state.+changed )|(ment ac)|(multiple cpu faults)|(system.+state.+changed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825-23 --locoid 4014 --swversion DE.1.0.8.0 --startMP 204:976 --initTime 2016-12-23T15:08:48 --startdatetime 2016-12-23T15:21:18 --delay 1 --endMP 300:58918 --enddatetime 2016-12-23T15:37:17 --enforcementcount 0 &gt;&gt;C:\Users\stu\Documents\GitHub\eaglep3-reporting\EC\2016-12-23-refined-times.txt</v>
      </c>
      <c r="AI18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{"issue":{"subject":"","project_id":79,"tracker_id":40,"status_id":1,"priority_id":2,"assigned_to_id":23,"start_date":"2016-12-23","description":"","custom_fields":[{"id":1,"name":"Subdivision","value":"NW"},{"id":4,"name":"Milepost","value":"5.8918"},{"id":17,"name":"Train ID","value":"825-23"},{"id":16,"name":"Locomotive ID","value":"4014"},{"id":130,"name":"Impact","value":""},{"id":150,"name":"Time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600</v>
      </c>
      <c r="B187" s="7">
        <v>4013</v>
      </c>
      <c r="C187" s="22" t="s">
        <v>205</v>
      </c>
      <c r="D187" s="22" t="s">
        <v>359</v>
      </c>
      <c r="E187" s="13">
        <v>42727.652141203704</v>
      </c>
      <c r="F187" s="13">
        <v>42727.653495370374</v>
      </c>
      <c r="G187" s="7">
        <v>1</v>
      </c>
      <c r="H187" s="22" t="s">
        <v>808</v>
      </c>
      <c r="I187" s="13">
        <v>42727.664548611108</v>
      </c>
      <c r="J187" s="7">
        <v>0</v>
      </c>
      <c r="K187" s="109" t="str">
        <f t="shared" si="36"/>
        <v>4013/4014</v>
      </c>
      <c r="L187" s="22" t="str">
        <f>VLOOKUP(A187,'Trips&amp;Operators'!$C$1:$G$99999,5,FALSE)</f>
        <v>COMELLA JUSTIN</v>
      </c>
      <c r="M187" s="6">
        <f t="shared" si="37"/>
        <v>1.1053240734327119E-2</v>
      </c>
      <c r="N187" s="7">
        <f t="shared" si="38"/>
        <v>15.916666657431051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8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14:39:05-700',mode:absolute,to:'2016-12-23 16:56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7" s="52" t="str">
        <f t="shared" si="42"/>
        <v>N</v>
      </c>
      <c r="X187" s="189">
        <f t="shared" si="43"/>
        <v>1</v>
      </c>
      <c r="Y187" s="67">
        <f t="shared" si="44"/>
        <v>5.8609</v>
      </c>
      <c r="Z187" s="67">
        <f t="shared" si="45"/>
        <v>7.0099999999999996E-2</v>
      </c>
      <c r="AA187" s="67">
        <f t="shared" si="46"/>
        <v>5.7907999999999999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47"/>
        <v>0826-23</v>
      </c>
      <c r="AE187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87" s="88" t="str">
        <f t="shared" si="49"/>
        <v>"C:\Program Files (x86)\AstroGrep\AstroGrep.exe" /spath="%USERPROFILE%\AppData\Local\Temp\OnboardLogs" /stypes="app*4013*20161223*" /stext=" 22:.+((SYSTEM_STATE.+slice.+state.+changed )|(ment ac)|(multiple cpu faults)|(system.+state.+changed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826-23 --locoid 4013 --swversion DE.1.0.8.0 --startMP 300:58609 --initTime 2016-12-23T15:39:05 --startdatetime 2016-12-23T15:41:02 --delay 1 --endMP 204:701 --enddatetime 2016-12-23T15:56:57 --enforcementcount 0 &gt;&gt;C:\Users\stu\Documents\GitHub\eaglep3-reporting\EC\2016-12-23-refined-times.txt</v>
      </c>
      <c r="AI18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{"issue":{"subject":"","project_id":79,"tracker_id":40,"status_id":1,"priority_id":2,"assigned_to_id":23,"start_date":"2016-12-23","description":"","custom_fields":[{"id":1,"name":"Subdivision","value":"NW"},{"id":4,"name":"Milepost","value":"0.0701"},{"id":17,"name":"Train ID","value":"826-23"},{"id":16,"name":"Locomotive ID","value":"4013"},{"id":130,"name":"Impact","value":""},{"id":150,"name":"Time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601</v>
      </c>
      <c r="B188" s="7">
        <v>4020</v>
      </c>
      <c r="C188" s="22" t="s">
        <v>205</v>
      </c>
      <c r="D188" s="22" t="s">
        <v>412</v>
      </c>
      <c r="E188" s="13">
        <v>42727.655173611114</v>
      </c>
      <c r="F188" s="13">
        <v>42727.660717592589</v>
      </c>
      <c r="G188" s="7">
        <v>1</v>
      </c>
      <c r="H188" s="22" t="s">
        <v>809</v>
      </c>
      <c r="I188" s="13">
        <v>42727.672326388885</v>
      </c>
      <c r="J188" s="7">
        <v>0</v>
      </c>
      <c r="K188" s="109" t="str">
        <f t="shared" si="36"/>
        <v>4019/4020</v>
      </c>
      <c r="L188" s="22" t="str">
        <f>VLOOKUP(A188,'Trips&amp;Operators'!$C$1:$G$99999,5,FALSE)</f>
        <v>SMITH MICHAEL</v>
      </c>
      <c r="M188" s="6">
        <f t="shared" si="37"/>
        <v>1.1608796296059154E-2</v>
      </c>
      <c r="N188" s="7">
        <f t="shared" si="38"/>
        <v>16.716666666325182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8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14:43:27-700',mode:absolute,to:'2016-12-23 17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8" s="52" t="str">
        <f t="shared" si="42"/>
        <v>N</v>
      </c>
      <c r="X188" s="189">
        <f t="shared" si="43"/>
        <v>1</v>
      </c>
      <c r="Y188" s="67">
        <f t="shared" si="44"/>
        <v>9.8100000000000007E-2</v>
      </c>
      <c r="Z188" s="67">
        <f t="shared" si="45"/>
        <v>5.8912000000000004</v>
      </c>
      <c r="AA188" s="67">
        <f t="shared" si="46"/>
        <v>5.7931000000000008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47"/>
        <v>0827-23</v>
      </c>
      <c r="AE188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88" s="88" t="str">
        <f t="shared" si="49"/>
        <v>"C:\Program Files (x86)\AstroGrep\AstroGrep.exe" /spath="%USERPROFILE%\AppData\Local\Temp\OnboardLogs" /stypes="app*4020*20161223*" /stext=" 23:.+((SYSTEM_STATE.+slice.+state.+changed )|(ment ac)|(multiple cpu faults)|(system.+state.+changed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827-23 --locoid 4020 --swversion DE.1.0.8.0 --startMP 204:981 --initTime 2016-12-23T15:43:27 --startdatetime 2016-12-23T15:51:26 --delay 1 --endMP 300:58912 --enddatetime 2016-12-23T16:08:09 --enforcementcount 0 &gt;&gt;C:\Users\stu\Documents\GitHub\eaglep3-reporting\EC\2016-12-23-refined-times.txt</v>
      </c>
      <c r="AI188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{"issue":{"subject":"","project_id":79,"tracker_id":40,"status_id":1,"priority_id":2,"assigned_to_id":23,"start_date":"2016-12-23","description":"","custom_fields":[{"id":1,"name":"Subdivision","value":"NW"},{"id":4,"name":"Milepost","value":"5.8912"},{"id":17,"name":"Train ID","value":"827-23"},{"id":16,"name":"Locomotive ID","value":"4020"},{"id":130,"name":"Impact","value":""},{"id":150,"name":"Time of Event (Mountain Time)","value":"16:08:09"},{"id":151,"name":"Denver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609</v>
      </c>
      <c r="B189" s="7">
        <v>4019</v>
      </c>
      <c r="C189" s="22" t="s">
        <v>205</v>
      </c>
      <c r="D189" s="22" t="s">
        <v>810</v>
      </c>
      <c r="E189" s="13">
        <v>42727.673541666663</v>
      </c>
      <c r="F189" s="13">
        <v>42727.675439814811</v>
      </c>
      <c r="G189" s="7">
        <v>1</v>
      </c>
      <c r="H189" s="22" t="s">
        <v>811</v>
      </c>
      <c r="I189" s="13">
        <v>42727.685810185183</v>
      </c>
      <c r="J189" s="7">
        <v>0</v>
      </c>
      <c r="K189" s="109" t="str">
        <f t="shared" si="36"/>
        <v>4019/4020</v>
      </c>
      <c r="L189" s="22" t="str">
        <f>VLOOKUP(A189,'Trips&amp;Operators'!$C$1:$G$99999,5,FALSE)</f>
        <v>SMITH MICHAEL</v>
      </c>
      <c r="M189" s="6">
        <f t="shared" si="37"/>
        <v>1.0370370371674653E-2</v>
      </c>
      <c r="N189" s="7">
        <f t="shared" si="38"/>
        <v>14.933333335211501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8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15:09:54-700',mode:absolute,to:'2016-12-23 17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9" s="52" t="str">
        <f t="shared" si="42"/>
        <v>N</v>
      </c>
      <c r="X189" s="189">
        <f t="shared" si="43"/>
        <v>1</v>
      </c>
      <c r="Y189" s="67">
        <f t="shared" si="44"/>
        <v>5.8592000000000004</v>
      </c>
      <c r="Z189" s="67">
        <f t="shared" si="45"/>
        <v>7.1300000000000002E-2</v>
      </c>
      <c r="AA189" s="67">
        <f t="shared" si="46"/>
        <v>5.7879000000000005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47"/>
        <v>0828-23</v>
      </c>
      <c r="AE189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89" s="88" t="str">
        <f t="shared" si="49"/>
        <v>"C:\Program Files (x86)\AstroGrep\AstroGrep.exe" /spath="%USERPROFILE%\AppData\Local\Temp\OnboardLogs" /stypes="app*4019*20161223*" /stext=" 23:.+((SYSTEM_STATE.+slice.+state.+changed )|(ment ac)|(multiple cpu faults)|(system.+state.+changed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828-23 --locoid 4019 --swversion DE.1.0.8.0 --startMP 300:58592 --initTime 2016-12-23T16:09:54 --startdatetime 2016-12-23T16:12:38 --delay 1 --endMP 204:713 --enddatetime 2016-12-23T16:27:34 --enforcementcount 0 &gt;&gt;C:\Users\stu\Documents\GitHub\eaglep3-reporting\EC\2016-12-23-refined-times.txt</v>
      </c>
      <c r="AI189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{"issue":{"subject":"","project_id":79,"tracker_id":40,"status_id":1,"priority_id":2,"assigned_to_id":23,"start_date":"2016-12-23","description":"","custom_fields":[{"id":1,"name":"Subdivision","value":"NW"},{"id":4,"name":"Milepost","value":"0.0713"},{"id":17,"name":"Train ID","value":"828-23"},{"id":16,"name":"Locomotive ID","value":"4019"},{"id":130,"name":"Impact","value":""},{"id":150,"name":"Time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608</v>
      </c>
      <c r="B190" s="7">
        <v>4014</v>
      </c>
      <c r="C190" s="22" t="s">
        <v>205</v>
      </c>
      <c r="D190" s="22" t="s">
        <v>407</v>
      </c>
      <c r="E190" s="13">
        <v>42727.673668981479</v>
      </c>
      <c r="F190" s="13">
        <v>42727.681458333333</v>
      </c>
      <c r="G190" s="7">
        <v>1</v>
      </c>
      <c r="H190" s="22" t="s">
        <v>282</v>
      </c>
      <c r="I190" s="13">
        <v>42727.691967592589</v>
      </c>
      <c r="J190" s="7">
        <v>0</v>
      </c>
      <c r="K190" s="109" t="str">
        <f t="shared" si="36"/>
        <v>4013/4014</v>
      </c>
      <c r="L190" s="22" t="str">
        <f>VLOOKUP(A190,'Trips&amp;Operators'!$C$1:$G$99999,5,FALSE)</f>
        <v>COMELLA JUSTIN</v>
      </c>
      <c r="M190" s="6">
        <f t="shared" si="37"/>
        <v>1.0509259256650694E-2</v>
      </c>
      <c r="N190" s="7">
        <f t="shared" si="38"/>
        <v>15.133333329576999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8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15:10:05-700',mode:absolute,to:'2016-12-23 17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52" t="str">
        <f t="shared" si="42"/>
        <v>N</v>
      </c>
      <c r="X190" s="189">
        <f t="shared" si="43"/>
        <v>1</v>
      </c>
      <c r="Y190" s="67">
        <f t="shared" si="44"/>
        <v>9.6500000000000002E-2</v>
      </c>
      <c r="Z190" s="67">
        <f t="shared" si="45"/>
        <v>5.8933</v>
      </c>
      <c r="AA190" s="67">
        <f t="shared" si="46"/>
        <v>5.7968000000000002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47"/>
        <v>0829-23</v>
      </c>
      <c r="AE190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90" s="88" t="str">
        <f t="shared" si="49"/>
        <v>"C:\Program Files (x86)\AstroGrep\AstroGrep.exe" /spath="%USERPROFILE%\AppData\Local\Temp\OnboardLogs" /stypes="app*4014*20161223*" /stext=" 23:.+((SYSTEM_STATE.+slice.+state.+changed )|(ment ac)|(multiple cpu faults)|(system.+state.+changed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829-23 --locoid 4014 --swversion DE.1.0.8.0 --startMP 204:965 --initTime 2016-12-23T16:10:05 --startdatetime 2016-12-23T16:21:18 --delay 1 --endMP 300:58933 --enddatetime 2016-12-23T16:36:26 --enforcementcount 0 &gt;&gt;C:\Users\stu\Documents\GitHub\eaglep3-reporting\EC\2016-12-23-refined-times.txt</v>
      </c>
      <c r="AI190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{"issue":{"subject":"","project_id":79,"tracker_id":40,"status_id":1,"priority_id":2,"assigned_to_id":23,"start_date":"2016-12-23","description":"","custom_fields":[{"id":1,"name":"Subdivision","value":"NW"},{"id":4,"name":"Milepost","value":"5.8933"},{"id":17,"name":"Train ID","value":"829-23"},{"id":16,"name":"Locomotive ID","value":"4014"},{"id":130,"name":"Impact","value":""},{"id":150,"name":"Time of Event (Mountain Time)","value":"16:36:26"},{"id":151,"name":"Denver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444</v>
      </c>
      <c r="B191" s="7">
        <v>4013</v>
      </c>
      <c r="C191" s="22" t="s">
        <v>205</v>
      </c>
      <c r="D191" s="22" t="s">
        <v>363</v>
      </c>
      <c r="E191" s="13">
        <v>42727.693055555559</v>
      </c>
      <c r="F191" s="13">
        <v>42727.694328703707</v>
      </c>
      <c r="G191" s="7">
        <v>1</v>
      </c>
      <c r="H191" s="22" t="s">
        <v>413</v>
      </c>
      <c r="I191" s="13">
        <v>42727.707118055558</v>
      </c>
      <c r="J191" s="7">
        <v>0</v>
      </c>
      <c r="K191" s="109" t="str">
        <f t="shared" si="36"/>
        <v>4013/4014</v>
      </c>
      <c r="L191" s="22" t="str">
        <f>VLOOKUP(A191,'Trips&amp;Operators'!$C$1:$G$99999,5,FALSE)</f>
        <v>COMELLA JUSTIN</v>
      </c>
      <c r="M191" s="6">
        <f t="shared" si="37"/>
        <v>1.2789351851097308E-2</v>
      </c>
      <c r="N191" s="7">
        <f t="shared" si="38"/>
        <v>18.416666665580124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8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15:38:00-700',mode:absolute,to:'2016-12-23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1" s="52" t="str">
        <f t="shared" si="42"/>
        <v>N</v>
      </c>
      <c r="X191" s="189">
        <f t="shared" si="43"/>
        <v>1</v>
      </c>
      <c r="Y191" s="67">
        <f t="shared" si="44"/>
        <v>5.8604000000000003</v>
      </c>
      <c r="Z191" s="67">
        <f t="shared" si="45"/>
        <v>6.6299999999999998E-2</v>
      </c>
      <c r="AA191" s="67">
        <f t="shared" si="46"/>
        <v>5.7941000000000003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47"/>
        <v>0830-23</v>
      </c>
      <c r="AE19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91" s="88" t="str">
        <f t="shared" si="49"/>
        <v>"C:\Program Files (x86)\AstroGrep\AstroGrep.exe" /spath="%USERPROFILE%\AppData\Local\Temp\OnboardLogs" /stypes="app*4013*20161223*" /stext=" 23:.+((SYSTEM_STATE.+slice.+state.+changed )|(ment ac)|(multiple cpu faults)|(system.+state.+changed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830-23 --locoid 4013 --swversion DE.1.0.8.0 --startMP 300:58604 --initTime 2016-12-23T16:38:00 --startdatetime 2016-12-23T16:39:50 --delay 1 --endMP 204:663 --enddatetime 2016-12-23T16:58:15 --enforcementcount 0 &gt;&gt;C:\Users\stu\Documents\GitHub\eaglep3-reporting\EC\2016-12-23-refined-times.txt</v>
      </c>
      <c r="AI19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{"issue":{"subject":"","project_id":79,"tracker_id":40,"status_id":1,"priority_id":2,"assigned_to_id":23,"start_date":"2016-12-23","description":"","custom_fields":[{"id":1,"name":"Subdivision","value":"NW"},{"id":4,"name":"Milepost","value":"0.0663"},{"id":17,"name":"Train ID","value":"830-23"},{"id":16,"name":"Locomotive ID","value":"4013"},{"id":130,"name":"Impact","value":""},{"id":150,"name":"Time of Event (Mountain Time)","value":"16:58:15"},{"id":151,"name":"Denver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445</v>
      </c>
      <c r="B192" s="7">
        <v>4020</v>
      </c>
      <c r="C192" s="22" t="s">
        <v>205</v>
      </c>
      <c r="D192" s="22" t="s">
        <v>812</v>
      </c>
      <c r="E192" s="13">
        <v>42727.688101851854</v>
      </c>
      <c r="F192" s="13">
        <v>42727.702303240738</v>
      </c>
      <c r="G192" s="7">
        <v>1</v>
      </c>
      <c r="H192" s="22" t="s">
        <v>813</v>
      </c>
      <c r="I192" s="13">
        <v>42727.713356481479</v>
      </c>
      <c r="J192" s="7">
        <v>0</v>
      </c>
      <c r="K192" s="109" t="str">
        <f t="shared" si="36"/>
        <v>4019/4020</v>
      </c>
      <c r="L192" s="22" t="str">
        <f>VLOOKUP(A192,'Trips&amp;Operators'!$C$1:$G$99999,5,FALSE)</f>
        <v>SMITH MICHAEL</v>
      </c>
      <c r="M192" s="6">
        <f t="shared" si="37"/>
        <v>1.1053240741603076E-2</v>
      </c>
      <c r="N192" s="7">
        <f t="shared" si="38"/>
        <v>15.91666666790843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8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15:30:52-700',mode:absolute,to:'2016-12-23 18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2" s="52" t="str">
        <f t="shared" si="42"/>
        <v>N</v>
      </c>
      <c r="X192" s="189">
        <f t="shared" si="43"/>
        <v>1</v>
      </c>
      <c r="Y192" s="67">
        <f t="shared" si="44"/>
        <v>9.8299999999999998E-2</v>
      </c>
      <c r="Z192" s="67">
        <f t="shared" si="45"/>
        <v>5.8905000000000003</v>
      </c>
      <c r="AA192" s="67">
        <f t="shared" si="46"/>
        <v>5.7922000000000002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47"/>
        <v>0831-23</v>
      </c>
      <c r="AE192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92" s="88" t="str">
        <f t="shared" si="49"/>
        <v>"C:\Program Files (x86)\AstroGrep\AstroGrep.exe" /spath="%USERPROFILE%\AppData\Local\Temp\OnboardLogs" /stypes="app*4020*20161224*" /stext=" 00:.+((SYSTEM_STATE.+slice.+state.+changed )|(ment ac)|(multiple cpu faults)|(system.+state.+changed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831-23 --locoid 4020 --swversion DE.1.0.8.0 --startMP 204:983 --initTime 2016-12-23T16:30:52 --startdatetime 2016-12-23T16:51:19 --delay 1 --endMP 300:58905 --enddatetime 2016-12-23T17:07:14 --enforcementcount 0 &gt;&gt;C:\Users\stu\Documents\GitHub\eaglep3-reporting\EC\2016-12-23-refined-times.txt</v>
      </c>
      <c r="AI19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{"issue":{"subject":"","project_id":79,"tracker_id":40,"status_id":1,"priority_id":2,"assigned_to_id":23,"start_date":"2016-12-23","description":"","custom_fields":[{"id":1,"name":"Subdivision","value":"NW"},{"id":4,"name":"Milepost","value":"5.8905"},{"id":17,"name":"Train ID","value":"831-23"},{"id":16,"name":"Locomotive ID","value":"4020"},{"id":130,"name":"Impact","value":""},{"id":150,"name":"Time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616</v>
      </c>
      <c r="B193" s="7">
        <v>4019</v>
      </c>
      <c r="C193" s="22" t="s">
        <v>205</v>
      </c>
      <c r="D193" s="22" t="s">
        <v>404</v>
      </c>
      <c r="E193" s="13">
        <v>42727.71434027778</v>
      </c>
      <c r="F193" s="13">
        <v>42727.715914351851</v>
      </c>
      <c r="G193" s="7">
        <v>1</v>
      </c>
      <c r="H193" s="22" t="s">
        <v>814</v>
      </c>
      <c r="I193" s="13">
        <v>42727.727025462962</v>
      </c>
      <c r="J193" s="7">
        <v>0</v>
      </c>
      <c r="K193" s="109" t="str">
        <f t="shared" si="36"/>
        <v>4019/4020</v>
      </c>
      <c r="L193" s="22" t="str">
        <f>VLOOKUP(A193,'Trips&amp;Operators'!$C$1:$G$99999,5,FALSE)</f>
        <v>SMITH MICHAEL</v>
      </c>
      <c r="M193" s="6">
        <f t="shared" si="37"/>
        <v>1.1111111110949423E-2</v>
      </c>
      <c r="N193" s="7">
        <f t="shared" si="38"/>
        <v>15.999999999767169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8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16:08:39-700',mode:absolute,to:'2016-12-23 18:26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3" s="52" t="str">
        <f t="shared" si="42"/>
        <v>N</v>
      </c>
      <c r="X193" s="189">
        <f t="shared" si="43"/>
        <v>1</v>
      </c>
      <c r="Y193" s="67">
        <f t="shared" si="44"/>
        <v>5.8593999999999999</v>
      </c>
      <c r="Z193" s="67">
        <f t="shared" si="45"/>
        <v>6.9599999999999995E-2</v>
      </c>
      <c r="AA193" s="67">
        <f t="shared" si="46"/>
        <v>5.7897999999999996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47"/>
        <v>0832-23</v>
      </c>
      <c r="AE193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93" s="88" t="str">
        <f t="shared" si="49"/>
        <v>"C:\Program Files (x86)\AstroGrep\AstroGrep.exe" /spath="%USERPROFILE%\AppData\Local\Temp\OnboardLogs" /stypes="app*4019*20161224*" /stext=" 00:.+((SYSTEM_STATE.+slice.+state.+changed )|(ment ac)|(multiple cpu faults)|(system.+state.+changed )|(\[timeout)|(PRM\|1\|D)|(kpr)|(kdp)|(\|lc)|(penalty))" /e /r /s</v>
      </c>
      <c r="AG193" s="1" t="str">
        <f t="shared" si="50"/>
        <v>NW</v>
      </c>
      <c r="AH193" s="92" t="str">
        <f t="shared" si="51"/>
        <v>"%USERPROFILE%\Documents\GitHub\eaglep3\Utilities\RefineRTDCRunTimes.py" --tripid 832-23 --locoid 4019 --swversion DE.1.0.8.0 --startMP 300:58594 --initTime 2016-12-23T17:08:39 --startdatetime 2016-12-23T17:10:55 --delay 1 --endMP 204:696 --enddatetime 2016-12-23T17:26:55 --enforcementcount 0 &gt;&gt;C:\Users\stu\Documents\GitHub\eaglep3-reporting\EC\2016-12-23-refined-times.txt</v>
      </c>
      <c r="AI193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{"issue":{"subject":"","project_id":79,"tracker_id":40,"status_id":1,"priority_id":2,"assigned_to_id":23,"start_date":"2016-12-23","description":"","custom_fields":[{"id":1,"name":"Subdivision","value":"NW"},{"id":4,"name":"Milepost","value":"0.0696"},{"id":17,"name":"Train ID","value":"832-23"},{"id":16,"name":"Locomotive ID","value":"4019"},{"id":130,"name":"Impact","value":""},{"id":150,"name":"Time of Event (Mountain Time)","value":"17:26:55"},{"id":151,"name":"Denver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618</v>
      </c>
      <c r="B194" s="7">
        <v>4014</v>
      </c>
      <c r="C194" s="22" t="s">
        <v>205</v>
      </c>
      <c r="D194" s="22" t="s">
        <v>406</v>
      </c>
      <c r="E194" s="13">
        <v>42727.719618055555</v>
      </c>
      <c r="F194" s="13">
        <v>42727.723136574074</v>
      </c>
      <c r="G194" s="7">
        <v>1</v>
      </c>
      <c r="H194" s="22" t="s">
        <v>815</v>
      </c>
      <c r="I194" s="13">
        <v>42727.734027777777</v>
      </c>
      <c r="J194" s="7">
        <v>0</v>
      </c>
      <c r="K194" s="109" t="str">
        <f t="shared" si="36"/>
        <v>4013/4014</v>
      </c>
      <c r="L194" s="22" t="str">
        <f>VLOOKUP(A194,'Trips&amp;Operators'!$C$1:$G$99999,5,FALSE)</f>
        <v>COMELLA JUSTIN</v>
      </c>
      <c r="M194" s="6">
        <f t="shared" si="37"/>
        <v>1.0891203703067731E-2</v>
      </c>
      <c r="N194" s="7">
        <f t="shared" si="38"/>
        <v>15.683333332417533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NorthBound</v>
      </c>
      <c r="U194" s="18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16:16:15-700',mode:absolute,to:'2016-12-23 18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4" s="52" t="str">
        <f t="shared" si="42"/>
        <v>N</v>
      </c>
      <c r="X194" s="189">
        <f t="shared" si="43"/>
        <v>1</v>
      </c>
      <c r="Y194" s="67">
        <f t="shared" si="44"/>
        <v>9.5799999999999996E-2</v>
      </c>
      <c r="Z194" s="67">
        <f t="shared" si="45"/>
        <v>5.8940999999999999</v>
      </c>
      <c r="AA194" s="67">
        <f t="shared" si="46"/>
        <v>5.7983000000000002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47"/>
        <v>0833-23</v>
      </c>
      <c r="AE194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94" s="88" t="str">
        <f t="shared" si="49"/>
        <v>"C:\Program Files (x86)\AstroGrep\AstroGrep.exe" /spath="%USERPROFILE%\AppData\Local\Temp\OnboardLogs" /stypes="app*4014*20161224*" /stext=" 00:.+((SYSTEM_STATE.+slice.+state.+changed )|(ment ac)|(multiple cpu faults)|(system.+state.+changed )|(\[timeout)|(PRM\|1\|D)|(kpr)|(kdp)|(\|lc)|(penalty))" /e /r /s</v>
      </c>
      <c r="AG194" s="1" t="str">
        <f t="shared" si="50"/>
        <v>NW</v>
      </c>
      <c r="AH194" s="92" t="str">
        <f t="shared" si="51"/>
        <v>"%USERPROFILE%\Documents\GitHub\eaglep3\Utilities\RefineRTDCRunTimes.py" --tripid 833-23 --locoid 4014 --swversion DE.1.0.8.0 --startMP 204:958 --initTime 2016-12-23T17:16:15 --startdatetime 2016-12-23T17:21:19 --delay 1 --endMP 300:58941 --enddatetime 2016-12-23T17:37:00 --enforcementcount 0 &gt;&gt;C:\Users\stu\Documents\GitHub\eaglep3-reporting\EC\2016-12-23-refined-times.txt</v>
      </c>
      <c r="AI194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{"issue":{"subject":"","project_id":79,"tracker_id":40,"status_id":1,"priority_id":2,"assigned_to_id":23,"start_date":"2016-12-23","description":"","custom_fields":[{"id":1,"name":"Subdivision","value":"NW"},{"id":4,"name":"Milepost","value":"5.8941"},{"id":17,"name":"Train ID","value":"833-23"},{"id":16,"name":"Locomotive ID","value":"4014"},{"id":130,"name":"Impact","value":""},{"id":150,"name":"Time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625</v>
      </c>
      <c r="B195" s="7">
        <v>4013</v>
      </c>
      <c r="C195" s="22" t="s">
        <v>205</v>
      </c>
      <c r="D195" s="22" t="s">
        <v>816</v>
      </c>
      <c r="E195" s="13">
        <v>42727.734907407408</v>
      </c>
      <c r="F195" s="13">
        <v>42727.73646990741</v>
      </c>
      <c r="G195" s="7">
        <v>1</v>
      </c>
      <c r="H195" s="22" t="s">
        <v>817</v>
      </c>
      <c r="I195" s="13">
        <v>42727.749432870369</v>
      </c>
      <c r="J195" s="7">
        <v>0</v>
      </c>
      <c r="K195" s="109" t="str">
        <f t="shared" si="36"/>
        <v>4013/4014</v>
      </c>
      <c r="L195" s="22" t="str">
        <f>VLOOKUP(A195,'Trips&amp;Operators'!$C$1:$G$99999,5,FALSE)</f>
        <v>COMELLA JUSTIN</v>
      </c>
      <c r="M195" s="6">
        <f t="shared" si="37"/>
        <v>1.2962962959136348E-2</v>
      </c>
      <c r="N195" s="7">
        <f t="shared" si="38"/>
        <v>18.666666661156341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Southbound</v>
      </c>
      <c r="U195" s="18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16:38:16-700',mode:absolute,to:'2016-12-23 18:59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5" s="52" t="str">
        <f t="shared" si="42"/>
        <v>N</v>
      </c>
      <c r="X195" s="189">
        <f t="shared" si="43"/>
        <v>1</v>
      </c>
      <c r="Y195" s="67">
        <f t="shared" si="44"/>
        <v>5.8625999999999996</v>
      </c>
      <c r="Z195" s="67">
        <f t="shared" si="45"/>
        <v>6.9099999999999995E-2</v>
      </c>
      <c r="AA195" s="67">
        <f t="shared" si="46"/>
        <v>5.7934999999999999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47"/>
        <v>0834-23</v>
      </c>
      <c r="AE195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95" s="88" t="str">
        <f t="shared" si="49"/>
        <v>"C:\Program Files (x86)\AstroGrep\AstroGrep.exe" /spath="%USERPROFILE%\AppData\Local\Temp\OnboardLogs" /stypes="app*4013*20161224*" /stext=" 00:.+((SYSTEM_STATE.+slice.+state.+changed )|(ment ac)|(multiple cpu faults)|(system.+state.+changed )|(\[timeout)|(PRM\|1\|D)|(kpr)|(kdp)|(\|lc)|(penalty))" /e /r /s</v>
      </c>
      <c r="AG195" s="1" t="str">
        <f t="shared" si="50"/>
        <v>NW</v>
      </c>
      <c r="AH195" s="92" t="str">
        <f t="shared" si="51"/>
        <v>"%USERPROFILE%\Documents\GitHub\eaglep3\Utilities\RefineRTDCRunTimes.py" --tripid 834-23 --locoid 4013 --swversion DE.1.0.8.0 --startMP 300:58626 --initTime 2016-12-23T17:38:16 --startdatetime 2016-12-23T17:40:31 --delay 1 --endMP 204:691 --enddatetime 2016-12-23T17:59:11 --enforcementcount 0 &gt;&gt;C:\Users\stu\Documents\GitHub\eaglep3-reporting\EC\2016-12-23-refined-times.txt</v>
      </c>
      <c r="AI195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{"issue":{"subject":"","project_id":79,"tracker_id":40,"status_id":1,"priority_id":2,"assigned_to_id":23,"start_date":"2016-12-23","description":"","custom_fields":[{"id":1,"name":"Subdivision","value":"NW"},{"id":4,"name":"Milepost","value":"0.0691"},{"id":17,"name":"Train ID","value":"834-23"},{"id":16,"name":"Locomotive ID","value":"4013"},{"id":130,"name":"Impact","value":""},{"id":150,"name":"Time of Event (Mountain Time)","value":"17:59:11"},{"id":151,"name":"Denver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447</v>
      </c>
      <c r="B196" s="7">
        <v>4020</v>
      </c>
      <c r="C196" s="22" t="s">
        <v>205</v>
      </c>
      <c r="D196" s="22" t="s">
        <v>407</v>
      </c>
      <c r="E196" s="13">
        <v>42727.73300925926</v>
      </c>
      <c r="F196" s="13">
        <v>42727.744039351855</v>
      </c>
      <c r="G196" s="7">
        <v>1</v>
      </c>
      <c r="H196" s="22" t="s">
        <v>807</v>
      </c>
      <c r="I196" s="13">
        <v>42727.754571759258</v>
      </c>
      <c r="J196" s="7">
        <v>0</v>
      </c>
      <c r="K196" s="109" t="str">
        <f t="shared" si="36"/>
        <v>4019/4020</v>
      </c>
      <c r="L196" s="22" t="str">
        <f>VLOOKUP(A196,'Trips&amp;Operators'!$C$1:$G$99999,5,FALSE)</f>
        <v>SMITH MICHAEL</v>
      </c>
      <c r="M196" s="6">
        <f t="shared" si="37"/>
        <v>1.0532407402934041E-2</v>
      </c>
      <c r="N196" s="7">
        <f t="shared" si="38"/>
        <v>15.166666660225019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8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16:35:32-700',mode:absolute,to:'2016-12-23 19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6" s="52" t="str">
        <f t="shared" si="42"/>
        <v>N</v>
      </c>
      <c r="X196" s="189">
        <f t="shared" si="43"/>
        <v>1</v>
      </c>
      <c r="Y196" s="67">
        <f t="shared" si="44"/>
        <v>9.6500000000000002E-2</v>
      </c>
      <c r="Z196" s="67">
        <f t="shared" si="45"/>
        <v>5.8917999999999999</v>
      </c>
      <c r="AA196" s="67">
        <f t="shared" si="46"/>
        <v>5.7953000000000001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47"/>
        <v>0835-23</v>
      </c>
      <c r="AE196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196" s="88" t="str">
        <f t="shared" si="49"/>
        <v>"C:\Program Files (x86)\AstroGrep\AstroGrep.exe" /spath="%USERPROFILE%\AppData\Local\Temp\OnboardLogs" /stypes="app*4020*20161224*" /stext=" 01:.+((SYSTEM_STATE.+slice.+state.+changed )|(ment ac)|(multiple cpu faults)|(system.+state.+changed )|(\[timeout)|(PRM\|1\|D)|(kpr)|(kdp)|(\|lc)|(penalty))" /e /r /s</v>
      </c>
      <c r="AG196" s="1" t="str">
        <f t="shared" si="50"/>
        <v>NW</v>
      </c>
      <c r="AH196" s="92" t="str">
        <f t="shared" si="51"/>
        <v>"%USERPROFILE%\Documents\GitHub\eaglep3\Utilities\RefineRTDCRunTimes.py" --tripid 835-23 --locoid 4020 --swversion DE.1.0.8.0 --startMP 204:965 --initTime 2016-12-23T17:35:32 --startdatetime 2016-12-23T17:51:25 --delay 1 --endMP 300:58918 --enddatetime 2016-12-23T18:06:35 --enforcementcount 0 &gt;&gt;C:\Users\stu\Documents\GitHub\eaglep3-reporting\EC\2016-12-23-refined-times.txt</v>
      </c>
      <c r="AI196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{"issue":{"subject":"","project_id":79,"tracker_id":40,"status_id":1,"priority_id":2,"assigned_to_id":23,"start_date":"2016-12-23","description":"","custom_fields":[{"id":1,"name":"Subdivision","value":"NW"},{"id":4,"name":"Milepost","value":"5.8918"},{"id":17,"name":"Train ID","value":"835-23"},{"id":16,"name":"Locomotive ID","value":"4020"},{"id":130,"name":"Impact","value":""},{"id":150,"name":"Time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631</v>
      </c>
      <c r="B197" s="7">
        <v>4019</v>
      </c>
      <c r="C197" s="22" t="s">
        <v>205</v>
      </c>
      <c r="D197" s="22" t="s">
        <v>360</v>
      </c>
      <c r="E197" s="13">
        <v>42727.755474537036</v>
      </c>
      <c r="F197" s="13">
        <v>42727.756956018522</v>
      </c>
      <c r="G197" s="7">
        <v>1</v>
      </c>
      <c r="H197" s="22" t="s">
        <v>818</v>
      </c>
      <c r="I197" s="13">
        <v>42727.768495370372</v>
      </c>
      <c r="J197" s="7">
        <v>0</v>
      </c>
      <c r="K197" s="109" t="str">
        <f t="shared" si="36"/>
        <v>4019/4020</v>
      </c>
      <c r="L197" s="22" t="str">
        <f>VLOOKUP(A197,'Trips&amp;Operators'!$C$1:$G$99999,5,FALSE)</f>
        <v>SMITH MICHAEL</v>
      </c>
      <c r="M197" s="6">
        <f t="shared" si="37"/>
        <v>1.1539351849933155E-2</v>
      </c>
      <c r="N197" s="7">
        <f t="shared" si="38"/>
        <v>16.616666663903743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8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17:07:53-700',mode:absolute,to:'2016-12-23 19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7" s="52" t="str">
        <f t="shared" si="42"/>
        <v>N</v>
      </c>
      <c r="X197" s="189">
        <f t="shared" si="43"/>
        <v>1</v>
      </c>
      <c r="Y197" s="67">
        <f t="shared" si="44"/>
        <v>5.8608000000000002</v>
      </c>
      <c r="Z197" s="67">
        <f t="shared" si="45"/>
        <v>6.7500000000000004E-2</v>
      </c>
      <c r="AA197" s="67">
        <f t="shared" si="46"/>
        <v>5.7933000000000003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47"/>
        <v>0836-23</v>
      </c>
      <c r="AE197" s="91" t="str">
        <f t="shared" si="48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197" s="88" t="str">
        <f t="shared" si="49"/>
        <v>"C:\Program Files (x86)\AstroGrep\AstroGrep.exe" /spath="%USERPROFILE%\AppData\Local\Temp\OnboardLogs" /stypes="app*4019*20161224*" /stext=" 01:.+((SYSTEM_STATE.+slice.+state.+changed )|(ment ac)|(multiple cpu faults)|(system.+state.+changed )|(\[timeout)|(PRM\|1\|D)|(kpr)|(kdp)|(\|lc)|(penalty))" /e /r /s</v>
      </c>
      <c r="AG197" s="1" t="str">
        <f t="shared" si="50"/>
        <v>NW</v>
      </c>
      <c r="AH197" s="92" t="str">
        <f t="shared" si="51"/>
        <v>"%USERPROFILE%\Documents\GitHub\eaglep3\Utilities\RefineRTDCRunTimes.py" --tripid 836-23 --locoid 4019 --swversion DE.1.0.8.0 --startMP 300:58608 --initTime 2016-12-23T18:07:53 --startdatetime 2016-12-23T18:10:01 --delay 1 --endMP 204:675 --enddatetime 2016-12-23T18:26:38 --enforcementcount 0 &gt;&gt;C:\Users\stu\Documents\GitHub\eaglep3-reporting\EC\2016-12-23-refined-times.txt</v>
      </c>
      <c r="AI197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{"issue":{"subject":"","project_id":79,"tracker_id":40,"status_id":1,"priority_id":2,"assigned_to_id":23,"start_date":"2016-12-23","description":"","custom_fields":[{"id":1,"name":"Subdivision","value":"NW"},{"id":4,"name":"Milepost","value":"0.0675"},{"id":17,"name":"Train ID","value":"836-23"},{"id":16,"name":"Locomotive ID","value":"4019"},{"id":130,"name":"Impact","value":""},{"id":150,"name":"Time of Event (Mountain Time)","value":"18:26:38"},{"id":151,"name":"Denver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633</v>
      </c>
      <c r="B198" s="7">
        <v>4014</v>
      </c>
      <c r="C198" s="22" t="s">
        <v>205</v>
      </c>
      <c r="D198" s="22" t="s">
        <v>415</v>
      </c>
      <c r="E198" s="13">
        <v>42727.760821759257</v>
      </c>
      <c r="F198" s="13">
        <v>42727.764780092592</v>
      </c>
      <c r="G198" s="7">
        <v>1</v>
      </c>
      <c r="H198" s="22" t="s">
        <v>416</v>
      </c>
      <c r="I198" s="13">
        <v>42727.775416666664</v>
      </c>
      <c r="J198" s="7">
        <v>0</v>
      </c>
      <c r="K198" s="109" t="str">
        <f t="shared" si="36"/>
        <v>4013/4014</v>
      </c>
      <c r="L198" s="22" t="str">
        <f>VLOOKUP(A198,'Trips&amp;Operators'!$C$1:$G$99999,5,FALSE)</f>
        <v>COMELLA JUSTIN</v>
      </c>
      <c r="M198" s="6">
        <f t="shared" si="37"/>
        <v>1.063657407212304E-2</v>
      </c>
      <c r="N198" s="7">
        <f t="shared" si="38"/>
        <v>15.316666663857177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8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17:15:35-700',mode:absolute,to:'2016-12-23 19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8" s="52" t="str">
        <f t="shared" si="42"/>
        <v>N</v>
      </c>
      <c r="X198" s="189">
        <f t="shared" si="43"/>
        <v>1</v>
      </c>
      <c r="Y198" s="67">
        <f t="shared" si="44"/>
        <v>9.7799999999999998E-2</v>
      </c>
      <c r="Z198" s="67">
        <f t="shared" si="45"/>
        <v>5.8963000000000001</v>
      </c>
      <c r="AA198" s="67">
        <f t="shared" si="46"/>
        <v>5.7984999999999998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47"/>
        <v>0837-23</v>
      </c>
      <c r="AE198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198" s="88" t="str">
        <f t="shared" si="49"/>
        <v>"C:\Program Files (x86)\AstroGrep\AstroGrep.exe" /spath="%USERPROFILE%\AppData\Local\Temp\OnboardLogs" /stypes="app*4014*20161224*" /stext=" 01:.+((SYSTEM_STATE.+slice.+state.+changed )|(ment ac)|(multiple cpu faults)|(system.+state.+changed )|(\[timeout)|(PRM\|1\|D)|(kpr)|(kdp)|(\|lc)|(penalty))" /e /r /s</v>
      </c>
      <c r="AG198" s="1" t="str">
        <f t="shared" si="50"/>
        <v>NW</v>
      </c>
      <c r="AH198" s="92" t="str">
        <f t="shared" si="51"/>
        <v>"%USERPROFILE%\Documents\GitHub\eaglep3\Utilities\RefineRTDCRunTimes.py" --tripid 837-23 --locoid 4014 --swversion DE.1.0.8.0 --startMP 204:978 --initTime 2016-12-23T18:15:35 --startdatetime 2016-12-23T18:21:17 --delay 1 --endMP 300:58963 --enddatetime 2016-12-23T18:36:36 --enforcementcount 0 &gt;&gt;C:\Users\stu\Documents\GitHub\eaglep3-reporting\EC\2016-12-23-refined-times.txt</v>
      </c>
      <c r="AI198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{"issue":{"subject":"","project_id":79,"tracker_id":40,"status_id":1,"priority_id":2,"assigned_to_id":23,"start_date":"2016-12-23","description":"","custom_fields":[{"id":1,"name":"Subdivision","value":"NW"},{"id":4,"name":"Milepost","value":"5.8963"},{"id":17,"name":"Train ID","value":"837-23"},{"id":16,"name":"Locomotive ID","value":"4014"},{"id":130,"name":"Impact","value":""},{"id":150,"name":"Time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638</v>
      </c>
      <c r="B199" s="7">
        <v>4013</v>
      </c>
      <c r="C199" s="22" t="s">
        <v>205</v>
      </c>
      <c r="D199" s="22" t="s">
        <v>410</v>
      </c>
      <c r="E199" s="13">
        <v>42727.776261574072</v>
      </c>
      <c r="F199" s="13">
        <v>42727.777766203704</v>
      </c>
      <c r="G199" s="7">
        <v>1</v>
      </c>
      <c r="H199" s="22" t="s">
        <v>817</v>
      </c>
      <c r="I199" s="13">
        <v>42727.791006944448</v>
      </c>
      <c r="J199" s="7">
        <v>0</v>
      </c>
      <c r="K199" s="109" t="str">
        <f t="shared" si="36"/>
        <v>4013/4014</v>
      </c>
      <c r="L199" s="22" t="str">
        <f>VLOOKUP(A199,'Trips&amp;Operators'!$C$1:$G$99999,5,FALSE)</f>
        <v>COMELLA JUSTIN</v>
      </c>
      <c r="M199" s="6">
        <f t="shared" si="37"/>
        <v>1.3240740743640345E-2</v>
      </c>
      <c r="N199" s="7">
        <f t="shared" si="38"/>
        <v>19.066666670842096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Southbound</v>
      </c>
      <c r="U199" s="18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17:37:49-700',mode:absolute,to:'2016-12-23 19:59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9" s="52" t="str">
        <f t="shared" si="42"/>
        <v>N</v>
      </c>
      <c r="X199" s="189">
        <f t="shared" si="43"/>
        <v>1</v>
      </c>
      <c r="Y199" s="67">
        <f t="shared" si="44"/>
        <v>5.8651</v>
      </c>
      <c r="Z199" s="67">
        <f t="shared" si="45"/>
        <v>6.9099999999999995E-2</v>
      </c>
      <c r="AA199" s="67">
        <f t="shared" si="46"/>
        <v>5.7960000000000003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47"/>
        <v>0838-23</v>
      </c>
      <c r="AE199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199" s="88" t="str">
        <f t="shared" si="49"/>
        <v>"C:\Program Files (x86)\AstroGrep\AstroGrep.exe" /spath="%USERPROFILE%\AppData\Local\Temp\OnboardLogs" /stypes="app*4013*20161224*" /stext=" 01:.+((SYSTEM_STATE.+slice.+state.+changed )|(ment ac)|(multiple cpu faults)|(system.+state.+changed )|(\[timeout)|(PRM\|1\|D)|(kpr)|(kdp)|(\|lc)|(penalty))" /e /r /s</v>
      </c>
      <c r="AG199" s="1" t="str">
        <f t="shared" si="50"/>
        <v>NW</v>
      </c>
      <c r="AH199" s="92" t="str">
        <f t="shared" si="51"/>
        <v>"%USERPROFILE%\Documents\GitHub\eaglep3\Utilities\RefineRTDCRunTimes.py" --tripid 838-23 --locoid 4013 --swversion DE.1.0.8.0 --startMP 300:58651 --initTime 2016-12-23T18:37:49 --startdatetime 2016-12-23T18:39:59 --delay 1 --endMP 204:691 --enddatetime 2016-12-23T18:59:03 --enforcementcount 0 &gt;&gt;C:\Users\stu\Documents\GitHub\eaglep3-reporting\EC\2016-12-23-refined-times.txt</v>
      </c>
      <c r="AI199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{"issue":{"subject":"","project_id":79,"tracker_id":40,"status_id":1,"priority_id":2,"assigned_to_id":23,"start_date":"2016-12-23","description":"","custom_fields":[{"id":1,"name":"Subdivision","value":"NW"},{"id":4,"name":"Milepost","value":"0.0691"},{"id":17,"name":"Train ID","value":"838-23"},{"id":16,"name":"Locomotive ID","value":"4013"},{"id":130,"name":"Impact","value":""},{"id":150,"name":"Time of Event (Mountain Time)","value":"18:59:03"},{"id":151,"name":"Denver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448</v>
      </c>
      <c r="B200" s="7">
        <v>4020</v>
      </c>
      <c r="C200" s="22" t="s">
        <v>205</v>
      </c>
      <c r="D200" s="22" t="s">
        <v>361</v>
      </c>
      <c r="E200" s="13">
        <v>42727.77</v>
      </c>
      <c r="F200" s="13">
        <v>42727.785682870373</v>
      </c>
      <c r="G200" s="7">
        <v>1</v>
      </c>
      <c r="H200" s="22" t="s">
        <v>819</v>
      </c>
      <c r="I200" s="13">
        <v>42727.796122685184</v>
      </c>
      <c r="J200" s="7">
        <v>0</v>
      </c>
      <c r="K200" s="109" t="str">
        <f t="shared" si="36"/>
        <v>4019/4020</v>
      </c>
      <c r="L200" s="22" t="str">
        <f>VLOOKUP(A200,'Trips&amp;Operators'!$C$1:$G$99999,5,FALSE)</f>
        <v>SMITH MICHAEL</v>
      </c>
      <c r="M200" s="6">
        <f t="shared" si="37"/>
        <v>1.0439814810524695E-2</v>
      </c>
      <c r="N200" s="7">
        <f t="shared" si="38"/>
        <v>15.03333332715556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NorthBound</v>
      </c>
      <c r="U200" s="18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0" s="52" t="str">
        <f t="shared" si="42"/>
        <v>N</v>
      </c>
      <c r="X200" s="189">
        <f t="shared" si="43"/>
        <v>1</v>
      </c>
      <c r="Y200" s="67">
        <f t="shared" si="44"/>
        <v>9.7100000000000006E-2</v>
      </c>
      <c r="Z200" s="67">
        <f t="shared" si="45"/>
        <v>5.8909000000000002</v>
      </c>
      <c r="AA200" s="67">
        <f t="shared" si="46"/>
        <v>5.7938000000000001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47"/>
        <v>0839-23</v>
      </c>
      <c r="AE200" s="91" t="str">
        <f t="shared" si="48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200" s="88" t="str">
        <f t="shared" si="49"/>
        <v>"C:\Program Files (x86)\AstroGrep\AstroGrep.exe" /spath="%USERPROFILE%\AppData\Local\Temp\OnboardLogs" /stypes="app*4020*20161224*" /stext=" 02:.+((SYSTEM_STATE.+slice.+state.+changed )|(ment ac)|(multiple cpu faults)|(system.+state.+changed )|(\[timeout)|(PRM\|1\|D)|(kpr)|(kdp)|(\|lc)|(penalty))" /e /r /s</v>
      </c>
      <c r="AG200" s="1" t="str">
        <f t="shared" si="50"/>
        <v>NW</v>
      </c>
      <c r="AH200" s="92" t="str">
        <f t="shared" si="51"/>
        <v>"%USERPROFILE%\Documents\GitHub\eaglep3\Utilities\RefineRTDCRunTimes.py" --tripid 839-23 --locoid 4020 --swversion DE.1.0.8.0 --startMP 204:971 --initTime 2016-12-23T18:28:48 --startdatetime 2016-12-23T18:51:23 --delay 1 --endMP 300:58909 --enddatetime 2016-12-23T19:06:25 --enforcementcount 0 &gt;&gt;C:\Users\stu\Documents\GitHub\eaglep3-reporting\EC\2016-12-23-refined-times.txt</v>
      </c>
      <c r="AI200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{"issue":{"subject":"","project_id":79,"tracker_id":40,"status_id":1,"priority_id":2,"assigned_to_id":23,"start_date":"2016-12-23","description":"","custom_fields":[{"id":1,"name":"Subdivision","value":"NW"},{"id":4,"name":"Milepost","value":"5.8909"},{"id":17,"name":"Train ID","value":"839-23"},{"id":16,"name":"Locomotive ID","value":"4020"},{"id":130,"name":"Impact","value":""},{"id":150,"name":"Time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648</v>
      </c>
      <c r="B201" s="7">
        <v>4013</v>
      </c>
      <c r="C201" s="22" t="s">
        <v>205</v>
      </c>
      <c r="D201" s="22" t="s">
        <v>418</v>
      </c>
      <c r="E201" s="13">
        <v>42727.818495370368</v>
      </c>
      <c r="F201" s="13">
        <v>42727.819918981484</v>
      </c>
      <c r="G201" s="7">
        <v>1</v>
      </c>
      <c r="H201" s="22" t="s">
        <v>817</v>
      </c>
      <c r="I201" s="13">
        <v>42727.832870370374</v>
      </c>
      <c r="J201" s="7">
        <v>0</v>
      </c>
      <c r="K201" s="109" t="str">
        <f t="shared" si="36"/>
        <v>4013/4014</v>
      </c>
      <c r="L201" s="22" t="str">
        <f>VLOOKUP(A201,'Trips&amp;Operators'!$C$1:$G$99999,5,FALSE)</f>
        <v>COMELLA JUSTIN</v>
      </c>
      <c r="M201" s="6">
        <f t="shared" si="37"/>
        <v>1.2951388889632653E-2</v>
      </c>
      <c r="N201" s="7">
        <f t="shared" si="38"/>
        <v>18.650000001071021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Southbound</v>
      </c>
      <c r="U201" s="18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18:38:38-700',mode:absolute,to:'2016-12-23 20:59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1" s="52" t="str">
        <f t="shared" si="42"/>
        <v>N</v>
      </c>
      <c r="X201" s="189">
        <f t="shared" si="43"/>
        <v>1</v>
      </c>
      <c r="Y201" s="67">
        <f t="shared" si="44"/>
        <v>5.8643000000000001</v>
      </c>
      <c r="Z201" s="67">
        <f t="shared" si="45"/>
        <v>6.9099999999999995E-2</v>
      </c>
      <c r="AA201" s="67">
        <f t="shared" si="46"/>
        <v>5.7952000000000004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47"/>
        <v>0840-23</v>
      </c>
      <c r="AE201" s="91" t="str">
        <f t="shared" si="48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01" s="88" t="str">
        <f t="shared" si="49"/>
        <v>"C:\Program Files (x86)\AstroGrep\AstroGrep.exe" /spath="%USERPROFILE%\AppData\Local\Temp\OnboardLogs" /stypes="app*4013*20161224*" /stext=" 02:.+((SYSTEM_STATE.+slice.+state.+changed )|(ment ac)|(multiple cpu faults)|(system.+state.+changed )|(\[timeout)|(PRM\|1\|D)|(kpr)|(kdp)|(\|lc)|(penalty))" /e /r /s</v>
      </c>
      <c r="AG201" s="1" t="str">
        <f t="shared" si="50"/>
        <v>NW</v>
      </c>
      <c r="AH201" s="92" t="str">
        <f t="shared" si="51"/>
        <v>"%USERPROFILE%\Documents\GitHub\eaglep3\Utilities\RefineRTDCRunTimes.py" --tripid 840-23 --locoid 4013 --swversion DE.1.0.8.0 --startMP 300:58643 --initTime 2016-12-23T19:38:38 --startdatetime 2016-12-23T19:40:41 --delay 1 --endMP 204:691 --enddatetime 2016-12-23T19:59:20 --enforcementcount 0 &gt;&gt;C:\Users\stu\Documents\GitHub\eaglep3-reporting\EC\2016-12-23-refined-times.txt</v>
      </c>
      <c r="AI201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{"issue":{"subject":"","project_id":79,"tracker_id":40,"status_id":1,"priority_id":2,"assigned_to_id":23,"start_date":"2016-12-23","description":"","custom_fields":[{"id":1,"name":"Subdivision","value":"NW"},{"id":4,"name":"Milepost","value":"0.0691"},{"id":17,"name":"Train ID","value":"840-23"},{"id":16,"name":"Locomotive ID","value":"4013"},{"id":130,"name":"Impact","value":""},{"id":150,"name":"Time of Event (Mountain Time)","value":"19:59:20"},{"id":151,"name":"Denver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645</v>
      </c>
      <c r="B202" s="7">
        <v>4014</v>
      </c>
      <c r="C202" s="22" t="s">
        <v>205</v>
      </c>
      <c r="D202" s="22" t="s">
        <v>820</v>
      </c>
      <c r="E202" s="13">
        <v>42727.80091435185</v>
      </c>
      <c r="F202" s="13">
        <v>42727.806493055556</v>
      </c>
      <c r="G202" s="7">
        <v>1</v>
      </c>
      <c r="H202" s="22" t="s">
        <v>416</v>
      </c>
      <c r="I202" s="13">
        <v>42727.817349537036</v>
      </c>
      <c r="J202" s="7">
        <v>0</v>
      </c>
      <c r="K202" s="109" t="str">
        <f t="shared" si="36"/>
        <v>4013/4014</v>
      </c>
      <c r="L202" s="22" t="str">
        <f>VLOOKUP(A202,'Trips&amp;Operators'!$C$1:$G$99999,5,FALSE)</f>
        <v>COMELLA JUSTIN</v>
      </c>
      <c r="M202" s="6">
        <f t="shared" si="37"/>
        <v>1.0856481480004732E-2</v>
      </c>
      <c r="N202" s="7">
        <f t="shared" si="38"/>
        <v>15.633333331206813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NorthBound</v>
      </c>
      <c r="U202" s="18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https://search-rtdc-monitor-bjffxe2xuh6vdkpspy63sjmuny.us-east-1.es.amazonaws.com/_plugin/kibana/#/discover/Steve-Slow-Train-Analysis-(2080s-and-2083s)?_g=(refreshInterval:(display:Off,section:0,value:0),time:(from:'2016-12-23 18:13:19-700',mode:absolute,to:'2016-12-23 20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2" s="52" t="str">
        <f t="shared" si="42"/>
        <v>N</v>
      </c>
      <c r="X202" s="189">
        <f t="shared" si="43"/>
        <v>1</v>
      </c>
      <c r="Y202" s="67">
        <f t="shared" si="44"/>
        <v>9.74E-2</v>
      </c>
      <c r="Z202" s="67">
        <f t="shared" si="45"/>
        <v>5.8963000000000001</v>
      </c>
      <c r="AA202" s="67">
        <f t="shared" si="46"/>
        <v>5.7988999999999997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47"/>
        <v>0841-23</v>
      </c>
      <c r="AE202" s="91" t="str">
        <f t="shared" si="48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2" s="88" t="str">
        <f t="shared" si="49"/>
        <v>"C:\Program Files (x86)\AstroGrep\AstroGrep.exe" /spath="%USERPROFILE%\AppData\Local\Temp\OnboardLogs" /stypes="app*4014*20161224*" /stext=" 02:.+((SYSTEM_STATE.+slice.+state.+changed )|(ment ac)|(multiple cpu faults)|(system.+state.+changed )|(\[timeout)|(PRM\|1\|D)|(kpr)|(kdp)|(\|lc)|(penalty))" /e /r /s</v>
      </c>
      <c r="AG202" s="1" t="str">
        <f t="shared" si="50"/>
        <v>NW</v>
      </c>
      <c r="AH202" s="92" t="str">
        <f t="shared" si="51"/>
        <v>"%USERPROFILE%\Documents\GitHub\eaglep3\Utilities\RefineRTDCRunTimes.py" --tripid 841-23 --locoid 4014 --swversion DE.1.0.8.0 --startMP 204:974 --initTime 2016-12-23T19:13:19 --startdatetime 2016-12-23T19:21:21 --delay 1 --endMP 300:58963 --enddatetime 2016-12-23T19:36:59 --enforcementcount 0 &gt;&gt;C:\Users\stu\Documents\GitHub\eaglep3-reporting\EC\2016-12-23-refined-times.txt</v>
      </c>
      <c r="AI202" s="119" t="str">
        <f t="shared" si="52"/>
        <v>echo {"issue":{"subject":"","project_id":79,"tracker_id":40,"status_id":1,"priority_id":2,"assigned_to_id":23,"start_date":"2016-12-23","description":"","custom_fields":[{"id":1,"name":"Subdivision","value":"NW"},{"id":4,"name":"Milepost","value":"5.8963"},{"id":17,"name":"Train ID","value":"841-23"},{"id":16,"name":"Locomotive ID","value":"4014"},{"id":130,"name":"Impact","value":""},{"id":150,"name":"Time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653</v>
      </c>
      <c r="B203" s="7">
        <v>4013</v>
      </c>
      <c r="C203" s="22" t="s">
        <v>205</v>
      </c>
      <c r="D203" s="22" t="s">
        <v>363</v>
      </c>
      <c r="E203" s="13">
        <v>42727.860706018517</v>
      </c>
      <c r="F203" s="13">
        <v>42727.861956018518</v>
      </c>
      <c r="G203" s="7">
        <v>1</v>
      </c>
      <c r="H203" s="22" t="s">
        <v>409</v>
      </c>
      <c r="I203" s="13">
        <v>42727.874467592592</v>
      </c>
      <c r="J203" s="7">
        <v>0</v>
      </c>
      <c r="K203" s="109" t="str">
        <f t="shared" ref="K203:K229" si="53">IF(ISEVEN(B203),(B203-1)&amp;"/"&amp;B203,B203&amp;"/"&amp;(B203+1))</f>
        <v>4013/4014</v>
      </c>
      <c r="L203" s="22" t="str">
        <f>VLOOKUP(A203,'Trips&amp;Operators'!$C$1:$G$99999,5,FALSE)</f>
        <v>COMELLA JUSTIN</v>
      </c>
      <c r="M203" s="6">
        <f t="shared" ref="M203:M229" si="54">I203-F203</f>
        <v>1.2511574073869269E-2</v>
      </c>
      <c r="N203" s="7">
        <f t="shared" ref="N203:N229" si="55">24*60*SUM($M203:$M203)</f>
        <v>18.016666666371748</v>
      </c>
      <c r="O203" s="7"/>
      <c r="P203" s="7"/>
      <c r="Q203" s="23"/>
      <c r="R203" s="23" t="s">
        <v>977</v>
      </c>
      <c r="S203" s="35">
        <f t="shared" ref="S203:S229" si="56">SUM(U203:U203)/IF(AG203="EC",12,1)</f>
        <v>1</v>
      </c>
      <c r="T203" s="50" t="str">
        <f t="shared" ref="T203:T229" si="57">IF(ISEVEN(LEFT(AD203,4)),"Southbound","NorthBound")</f>
        <v>Southbound</v>
      </c>
      <c r="U203" s="18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29" si="58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https://search-rtdc-monitor-bjffxe2xuh6vdkpspy63sjmuny.us-east-1.es.amazonaws.com/_plugin/kibana/#/discover/Steve-Slow-Train-Analysis-(2080s-and-2083s)?_g=(refreshInterval:(display:Off,section:0,value:0),time:(from:'2016-12-23 19:39:25-700',mode:absolute,to:'2016-12-23 21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3" s="52" t="str">
        <f t="shared" ref="W203:W229" si="59">IF(AA203&lt;IF(AG203="EC",23,5.65),"Y","N")</f>
        <v>N</v>
      </c>
      <c r="X203" s="189">
        <f t="shared" si="43"/>
        <v>1</v>
      </c>
      <c r="Y203" s="67">
        <f t="shared" ref="Y203:Y229" si="60">RIGHT(D203,LEN(D203)-4)/10000</f>
        <v>5.8604000000000003</v>
      </c>
      <c r="Z203" s="67">
        <f t="shared" ref="Z203:Z229" si="61">RIGHT(H203,LEN(H203)-4)/10000</f>
        <v>6.9400000000000003E-2</v>
      </c>
      <c r="AA203" s="67">
        <f t="shared" ref="AA203:AA229" si="62">ABS(Z203-Y203)</f>
        <v>5.7910000000000004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ref="AD203:AD229" si="63">IF(LEN(A203)=6,"0"&amp;A203,A203)</f>
        <v>0842-23</v>
      </c>
      <c r="AE203" s="91" t="str">
        <f t="shared" ref="AE203:AE229" si="64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03" s="88" t="str">
        <f t="shared" ref="AF203:AF229" si="65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/stypes="app*4013*20161224*" /stext=" 03:.+((SYSTEM_STATE.+slice.+state.+changed )|(ment ac)|(multiple cpu faults)|(system.+state.+changed )|(\[timeout)|(PRM\|1\|D)|(kpr)|(kdp)|(\|lc)|(penalty))" /e /r /s</v>
      </c>
      <c r="AG203" s="1" t="str">
        <f t="shared" ref="AG203:AG229" si="66">IFERROR(IF(VALUE(LEFT(AD203,2))&lt;=2,"EC",IF(OR(VALUE(LEFT(AD203,2))=8,VALUE(LEFT(AD203,2))=18),"NW","Other")),"Other")</f>
        <v>NW</v>
      </c>
      <c r="AH203" s="92" t="str">
        <f t="shared" si="51"/>
        <v>"%USERPROFILE%\Documents\GitHub\eaglep3\Utilities\RefineRTDCRunTimes.py" --tripid 842-23 --locoid 4013 --swversion DE.1.0.8.0 --startMP 300:58604 --initTime 2016-12-23T20:39:25 --startdatetime 2016-12-23T20:41:13 --delay 1 --endMP 204:694 --enddatetime 2016-12-23T20:59:14 --enforcementcount 0 &gt;&gt;C:\Users\stu\Documents\GitHub\eaglep3-reporting\EC\2016-12-23-refined-times.txt</v>
      </c>
      <c r="AI203" s="119" t="str">
        <f t="shared" si="52"/>
        <v>echo {"issue":{"subject":"Delayed due to going active too close to Westminster 4S","project_id":79,"tracker_id":40,"status_id":1,"priority_id":2,"assigned_to_id":23,"start_date":"2016-12-23","description":"","custom_fields":[{"id":1,"name":"Subdivision","value":"NW"},{"id":4,"name":"Milepost","value":"0.0694"},{"id":17,"name":"Train ID","value":"842-23"},{"id":16,"name":"Locomotive ID","value":"4013"},{"id":130,"name":"Impact","value":""},{"id":150,"name":"Time of Event (Mountain Time)","value":"20:59:14"},{"id":151,"name":"Denver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651</v>
      </c>
      <c r="B204" s="7">
        <v>4014</v>
      </c>
      <c r="C204" s="22" t="s">
        <v>205</v>
      </c>
      <c r="D204" s="22" t="s">
        <v>820</v>
      </c>
      <c r="E204" s="13">
        <v>42727.844409722224</v>
      </c>
      <c r="F204" s="13">
        <v>42727.848113425927</v>
      </c>
      <c r="G204" s="7">
        <v>1</v>
      </c>
      <c r="H204" s="22" t="s">
        <v>778</v>
      </c>
      <c r="I204" s="13">
        <v>42727.859050925923</v>
      </c>
      <c r="J204" s="7">
        <v>0</v>
      </c>
      <c r="K204" s="109" t="str">
        <f t="shared" si="53"/>
        <v>4013/4014</v>
      </c>
      <c r="L204" s="22" t="str">
        <f>VLOOKUP(A204,'Trips&amp;Operators'!$C$1:$G$99999,5,FALSE)</f>
        <v>COMELLA JUSTIN</v>
      </c>
      <c r="M204" s="6">
        <f t="shared" si="54"/>
        <v>1.0937499995634425E-2</v>
      </c>
      <c r="N204" s="7">
        <f t="shared" si="55"/>
        <v>15.749999993713573</v>
      </c>
      <c r="O204" s="7"/>
      <c r="P204" s="7"/>
      <c r="Q204" s="23"/>
      <c r="R204" s="23"/>
      <c r="S204" s="35">
        <f t="shared" si="56"/>
        <v>1</v>
      </c>
      <c r="T204" s="50" t="str">
        <f t="shared" si="57"/>
        <v>NorthBound</v>
      </c>
      <c r="U204" s="18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19:15:57-700',mode:absolute,to:'2016-12-23 21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52" t="str">
        <f t="shared" si="59"/>
        <v>N</v>
      </c>
      <c r="X204" s="189">
        <f t="shared" si="43"/>
        <v>1</v>
      </c>
      <c r="Y204" s="67">
        <f t="shared" si="60"/>
        <v>9.74E-2</v>
      </c>
      <c r="Z204" s="67">
        <f t="shared" si="61"/>
        <v>5.8930999999999996</v>
      </c>
      <c r="AA204" s="67">
        <f t="shared" si="62"/>
        <v>5.7956999999999992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3"/>
        <v>0843-23</v>
      </c>
      <c r="AE204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4" s="88" t="str">
        <f t="shared" si="65"/>
        <v>"C:\Program Files (x86)\AstroGrep\AstroGrep.exe" /spath="%USERPROFILE%\AppData\Local\Temp\OnboardLogs" /stypes="app*4014*20161224*" /stext=" 03:.+((SYSTEM_STATE.+slice.+state.+changed )|(ment ac)|(multiple cpu faults)|(system.+state.+changed )|(\[timeout)|(PRM\|1\|D)|(kpr)|(kdp)|(\|lc)|(penalty))" /e /r /s</v>
      </c>
      <c r="AG204" s="1" t="str">
        <f t="shared" si="66"/>
        <v>NW</v>
      </c>
      <c r="AH204" s="92" t="str">
        <f t="shared" ref="AH204:AH229" si="6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843-23 --locoid 4014 --swversion DE.1.0.8.0 --startMP 204:974 --initTime 2016-12-23T20:15:57 --startdatetime 2016-12-23T20:21:17 --delay 1 --endMP 300:58931 --enddatetime 2016-12-23T20:37:02 --enforcementcount 0 &gt;&gt;C:\Users\stu\Documents\GitHub\eaglep3-reporting\EC\2016-12-23-refined-times.txt</v>
      </c>
      <c r="AI204" s="119" t="str">
        <f t="shared" ref="AI204:AI229" si="6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{"issue":{"subject":"","project_id":79,"tracker_id":40,"status_id":1,"priority_id":2,"assigned_to_id":23,"start_date":"2016-12-23","description":"","custom_fields":[{"id":1,"name":"Subdivision","value":"NW"},{"id":4,"name":"Milepost","value":"5.8931"},{"id":17,"name":"Train ID","value":"843-23"},{"id":16,"name":"Locomotive ID","value":"4014"},{"id":130,"name":"Impact","value":""},{"id":150,"name":"Time of Event (Mountain Time)","value":"20:37:02"},{"id":151,"name":"Denver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451</v>
      </c>
      <c r="B205" s="7">
        <v>4013</v>
      </c>
      <c r="C205" s="22" t="s">
        <v>205</v>
      </c>
      <c r="D205" s="22" t="s">
        <v>402</v>
      </c>
      <c r="E205" s="13">
        <v>42727.902997685182</v>
      </c>
      <c r="F205" s="13">
        <v>42727.904710648145</v>
      </c>
      <c r="G205" s="7">
        <v>1</v>
      </c>
      <c r="H205" s="22" t="s">
        <v>413</v>
      </c>
      <c r="I205" s="13">
        <v>42727.91609953704</v>
      </c>
      <c r="J205" s="7">
        <v>0</v>
      </c>
      <c r="K205" s="109" t="str">
        <f t="shared" si="53"/>
        <v>4013/4014</v>
      </c>
      <c r="L205" s="22" t="str">
        <f>VLOOKUP(A205,'Trips&amp;Operators'!$C$1:$G$99999,5,FALSE)</f>
        <v>SMITH MICHAEL</v>
      </c>
      <c r="M205" s="6">
        <f t="shared" si="54"/>
        <v>1.138888889545342E-2</v>
      </c>
      <c r="N205" s="7">
        <f t="shared" si="55"/>
        <v>16.400000009452924</v>
      </c>
      <c r="O205" s="7"/>
      <c r="P205" s="7"/>
      <c r="Q205" s="23"/>
      <c r="R205" s="23"/>
      <c r="S205" s="35">
        <f t="shared" si="56"/>
        <v>1</v>
      </c>
      <c r="T205" s="50" t="str">
        <f t="shared" si="57"/>
        <v>Southbound</v>
      </c>
      <c r="U205" s="18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20:40:19-700',mode:absolute,to:'2016-12-23 22:59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5" s="52" t="str">
        <f t="shared" si="59"/>
        <v>N</v>
      </c>
      <c r="X205" s="189">
        <f t="shared" ref="X205" si="69">VALUE(LEFT(AD205,4))-VALUE(LEFT(AD204,4))</f>
        <v>1</v>
      </c>
      <c r="Y205" s="67">
        <f t="shared" si="60"/>
        <v>5.8582999999999998</v>
      </c>
      <c r="Z205" s="67">
        <f t="shared" si="61"/>
        <v>6.6299999999999998E-2</v>
      </c>
      <c r="AA205" s="67">
        <f t="shared" si="62"/>
        <v>5.7919999999999998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3"/>
        <v>0844-23</v>
      </c>
      <c r="AE205" s="91" t="str">
        <f t="shared" si="64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05" s="88" t="str">
        <f t="shared" si="65"/>
        <v>"C:\Program Files (x86)\AstroGrep\AstroGrep.exe" /spath="%USERPROFILE%\AppData\Local\Temp\OnboardLogs" /stypes="app*4013*20161224*" /stext=" 04:.+((SYSTEM_STATE.+slice.+state.+changed )|(ment ac)|(multiple cpu faults)|(system.+state.+changed )|(\[timeout)|(PRM\|1\|D)|(kpr)|(kdp)|(\|lc)|(penalty))" /e /r /s</v>
      </c>
      <c r="AG205" s="1" t="str">
        <f t="shared" si="66"/>
        <v>NW</v>
      </c>
      <c r="AH205" s="92" t="str">
        <f t="shared" si="67"/>
        <v>"%USERPROFILE%\Documents\GitHub\eaglep3\Utilities\RefineRTDCRunTimes.py" --tripid 844-23 --locoid 4013 --swversion DE.1.0.8.0 --startMP 300:58583 --initTime 2016-12-23T21:40:19 --startdatetime 2016-12-23T21:42:47 --delay 1 --endMP 204:663 --enddatetime 2016-12-23T21:59:11 --enforcementcount 0 &gt;&gt;C:\Users\stu\Documents\GitHub\eaglep3-reporting\EC\2016-12-23-refined-times.txt</v>
      </c>
      <c r="AI205" s="119" t="str">
        <f t="shared" si="68"/>
        <v>echo {"issue":{"subject":"","project_id":79,"tracker_id":40,"status_id":1,"priority_id":2,"assigned_to_id":23,"start_date":"2016-12-23","description":"","custom_fields":[{"id":1,"name":"Subdivision","value":"NW"},{"id":4,"name":"Milepost","value":"0.0663"},{"id":17,"name":"Train ID","value":"844-23"},{"id":16,"name":"Locomotive ID","value":"4013"},{"id":130,"name":"Impact","value":""},{"id":150,"name":"Time of Event (Mountain Time)","value":"21:59:11"},{"id":151,"name":"Denver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7" t="s">
        <v>656</v>
      </c>
      <c r="B206" s="7">
        <v>4014</v>
      </c>
      <c r="C206" s="22" t="s">
        <v>205</v>
      </c>
      <c r="D206" s="22" t="s">
        <v>821</v>
      </c>
      <c r="E206" s="13">
        <v>42727.878738425927</v>
      </c>
      <c r="F206" s="13">
        <v>42727.889884259261</v>
      </c>
      <c r="G206" s="7">
        <v>1</v>
      </c>
      <c r="H206" s="22" t="s">
        <v>822</v>
      </c>
      <c r="I206" s="13">
        <v>42727.901180555556</v>
      </c>
      <c r="J206" s="7">
        <v>0</v>
      </c>
      <c r="K206" s="109" t="str">
        <f t="shared" si="53"/>
        <v>4013/4014</v>
      </c>
      <c r="L206" s="22" t="str">
        <f>VLOOKUP(A206,'Trips&amp;Operators'!$C$1:$G$99999,5,FALSE)</f>
        <v>SMITH MICHAEL</v>
      </c>
      <c r="M206" s="6">
        <f t="shared" si="54"/>
        <v>1.1296296295768116E-2</v>
      </c>
      <c r="N206" s="7">
        <f t="shared" si="55"/>
        <v>16.266666665906087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8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20:05:23-700',mode:absolute,to:'2016-12-23 22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52" t="str">
        <f t="shared" si="59"/>
        <v>N</v>
      </c>
      <c r="X206" s="189">
        <f t="shared" ref="X206:X229" si="70">VALUE(LEFT(AD206,4))-VALUE(LEFT(AD205,4))</f>
        <v>1</v>
      </c>
      <c r="Y206" s="67">
        <f t="shared" si="60"/>
        <v>9.9199999999999997E-2</v>
      </c>
      <c r="Z206" s="67">
        <f t="shared" si="61"/>
        <v>5.8902999999999999</v>
      </c>
      <c r="AA206" s="67">
        <f t="shared" si="62"/>
        <v>5.7911000000000001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63"/>
        <v>0845-23</v>
      </c>
      <c r="AE206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6" s="88" t="str">
        <f t="shared" si="65"/>
        <v>"C:\Program Files (x86)\AstroGrep\AstroGrep.exe" /spath="%USERPROFILE%\AppData\Local\Temp\OnboardLogs" /stypes="app*4014*20161224*" /stext=" 04:.+((SYSTEM_STATE.+slice.+state.+changed )|(ment ac)|(multiple cpu faults)|(system.+state.+changed )|(\[timeout)|(PRM\|1\|D)|(kpr)|(kdp)|(\|lc)|(penalty))" /e /r /s</v>
      </c>
      <c r="AG206" s="1" t="str">
        <f t="shared" si="66"/>
        <v>NW</v>
      </c>
      <c r="AH206" s="92" t="str">
        <f t="shared" si="67"/>
        <v>"%USERPROFILE%\Documents\GitHub\eaglep3\Utilities\RefineRTDCRunTimes.py" --tripid 845-23 --locoid 4014 --swversion DE.1.0.8.0 --startMP 204:992 --initTime 2016-12-23T21:05:23 --startdatetime 2016-12-23T21:21:26 --delay 1 --endMP 300:58903 --enddatetime 2016-12-23T21:37:42 --enforcementcount 0 &gt;&gt;C:\Users\stu\Documents\GitHub\eaglep3-reporting\EC\2016-12-23-refined-times.txt</v>
      </c>
      <c r="AI206" s="119" t="str">
        <f t="shared" si="68"/>
        <v>echo {"issue":{"subject":"","project_id":79,"tracker_id":40,"status_id":1,"priority_id":2,"assigned_to_id":23,"start_date":"2016-12-23","description":"","custom_fields":[{"id":1,"name":"Subdivision","value":"NW"},{"id":4,"name":"Milepost","value":"5.8903"},{"id":17,"name":"Train ID","value":"845-23"},{"id":16,"name":"Locomotive ID","value":"4014"},{"id":130,"name":"Impact","value":""},{"id":150,"name":"Time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456</v>
      </c>
      <c r="B207" s="7">
        <v>4014</v>
      </c>
      <c r="C207" s="22" t="s">
        <v>205</v>
      </c>
      <c r="D207" s="22" t="s">
        <v>823</v>
      </c>
      <c r="E207" s="13">
        <v>42727.920717592591</v>
      </c>
      <c r="F207" s="13">
        <v>42727.931550925925</v>
      </c>
      <c r="G207" s="7">
        <v>1</v>
      </c>
      <c r="H207" s="22" t="s">
        <v>809</v>
      </c>
      <c r="I207" s="13">
        <v>42727.942916666667</v>
      </c>
      <c r="J207" s="7">
        <v>0</v>
      </c>
      <c r="K207" s="109" t="str">
        <f t="shared" si="53"/>
        <v>4013/4014</v>
      </c>
      <c r="L207" s="22" t="str">
        <f>VLOOKUP(A207,'Trips&amp;Operators'!$C$1:$G$99999,5,FALSE)</f>
        <v>SMITH MICHAEL</v>
      </c>
      <c r="M207" s="6">
        <f t="shared" si="54"/>
        <v>1.1365740741894115E-2</v>
      </c>
      <c r="N207" s="7">
        <f t="shared" si="55"/>
        <v>16.366666668327525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8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21:05:50-700',mode:absolute,to:'2016-12-23 23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2" t="str">
        <f t="shared" si="59"/>
        <v>N</v>
      </c>
      <c r="X207" s="189">
        <f t="shared" si="70"/>
        <v>2</v>
      </c>
      <c r="Y207" s="67">
        <f t="shared" si="60"/>
        <v>9.5000000000000001E-2</v>
      </c>
      <c r="Z207" s="67">
        <f t="shared" si="61"/>
        <v>5.8912000000000004</v>
      </c>
      <c r="AA207" s="67">
        <f t="shared" si="62"/>
        <v>5.7962000000000007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63"/>
        <v>0847-23</v>
      </c>
      <c r="AE207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07" s="88" t="str">
        <f t="shared" si="65"/>
        <v>"C:\Program Files (x86)\AstroGrep\AstroGrep.exe" /spath="%USERPROFILE%\AppData\Local\Temp\OnboardLogs" /stypes="app*4014*20161224*" /stext=" 05:.+((SYSTEM_STATE.+slice.+state.+changed )|(ment ac)|(multiple cpu faults)|(system.+state.+changed )|(\[timeout)|(PRM\|1\|D)|(kpr)|(kdp)|(\|lc)|(penalty))" /e /r /s</v>
      </c>
      <c r="AG207" s="1" t="str">
        <f t="shared" si="66"/>
        <v>NW</v>
      </c>
      <c r="AH207" s="92" t="str">
        <f t="shared" si="67"/>
        <v>"%USERPROFILE%\Documents\GitHub\eaglep3\Utilities\RefineRTDCRunTimes.py" --tripid 847-23 --locoid 4014 --swversion DE.1.0.8.0 --startMP 204:950 --initTime 2016-12-23T22:05:50 --startdatetime 2016-12-23T22:21:26 --delay 1 --endMP 300:58912 --enddatetime 2016-12-23T22:37:48 --enforcementcount 0 &gt;&gt;C:\Users\stu\Documents\GitHub\eaglep3-reporting\EC\2016-12-23-refined-times.txt</v>
      </c>
      <c r="AI207" s="119" t="str">
        <f t="shared" si="68"/>
        <v>echo {"issue":{"subject":"","project_id":79,"tracker_id":40,"status_id":1,"priority_id":2,"assigned_to_id":23,"start_date":"2016-12-23","description":"","custom_fields":[{"id":1,"name":"Subdivision","value":"NW"},{"id":4,"name":"Milepost","value":"5.8912"},{"id":17,"name":"Train ID","value":"847-23"},{"id":16,"name":"Locomotive ID","value":"4014"},{"id":130,"name":"Impact","value":""},{"id":150,"name":"Time of Event (Mountain Time)","value":"22:37:48"},{"id":151,"name":"Denver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466</v>
      </c>
      <c r="B208" s="7">
        <v>4041</v>
      </c>
      <c r="C208" s="22" t="s">
        <v>205</v>
      </c>
      <c r="D208" s="22" t="s">
        <v>752</v>
      </c>
      <c r="E208" s="13">
        <v>42727.114907407406</v>
      </c>
      <c r="F208" s="13">
        <v>42727.116782407407</v>
      </c>
      <c r="G208" s="7">
        <v>1</v>
      </c>
      <c r="H208" s="22" t="s">
        <v>383</v>
      </c>
      <c r="I208" s="13">
        <v>42727.123263888891</v>
      </c>
      <c r="J208" s="7">
        <v>0</v>
      </c>
      <c r="K208" s="109" t="str">
        <f t="shared" si="53"/>
        <v>4041/4042</v>
      </c>
      <c r="L208" s="22" t="str">
        <f>VLOOKUP(A208,'Trips&amp;Operators'!$C$1:$G$99999,5,FALSE)</f>
        <v>ISHMAEL JOSEPH</v>
      </c>
      <c r="M208" s="6">
        <f t="shared" si="54"/>
        <v>6.4814814832061529E-3</v>
      </c>
      <c r="N208" s="7">
        <f t="shared" si="55"/>
        <v>9.3333333358168602</v>
      </c>
      <c r="O208" s="7"/>
      <c r="P208" s="7"/>
      <c r="Q208" s="23"/>
      <c r="R208" s="23"/>
      <c r="S208" s="35">
        <f t="shared" si="56"/>
        <v>1</v>
      </c>
      <c r="T208" s="50" t="str">
        <f t="shared" si="57"/>
        <v>Southbound</v>
      </c>
      <c r="U208" s="18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01:45:28-700',mode:absolute,to:'2016-12-23 03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8" s="52" t="str">
        <f t="shared" si="59"/>
        <v>Y</v>
      </c>
      <c r="X208" s="189">
        <f t="shared" si="70"/>
        <v>-545</v>
      </c>
      <c r="Y208" s="67">
        <f t="shared" si="60"/>
        <v>2.2726000000000002</v>
      </c>
      <c r="Z208" s="67">
        <f t="shared" si="61"/>
        <v>1.5800000000000002E-2</v>
      </c>
      <c r="AA208" s="67">
        <f t="shared" si="62"/>
        <v>2.2568000000000001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63"/>
        <v>0302-23</v>
      </c>
      <c r="AE208" s="91" t="str">
        <f t="shared" si="64"/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AF208" s="88" t="str">
        <f t="shared" si="65"/>
        <v>"C:\Program Files (x86)\AstroGrep\AstroGrep.exe" /spath="%USERPROFILE%\AppData\Local\Temp\OnboardLogs" /stypes="app*4041*20161223*" /stext=" 09:.+((SYSTEM_STATE.+slice.+state.+changed )|(ment ac)|(multiple cpu faults)|(system.+state.+changed )|(\[timeout)|(PRM\|1\|D)|(kpr)|(kdp)|(\|lc)|(penalty))" /e /r /s</v>
      </c>
      <c r="AG208" s="1" t="str">
        <f t="shared" si="66"/>
        <v>Other</v>
      </c>
      <c r="AH208" s="92" t="str">
        <f t="shared" si="67"/>
        <v>"%USERPROFILE%\Documents\GitHub\eaglep3\Utilities\RefineRTDCRunTimes.py" --tripid 302-23 --locoid 4041 --swversion DE.1.0.8.0 --startMP 300:22726 --initTime 2016-12-23T02:45:28 --startdatetime 2016-12-23T02:48:10 --delay 1 --endMP 204:158 --enddatetime 2016-12-23T02:57:30 --enforcementcount 0 &gt;&gt;C:\Users\stu\Documents\GitHub\eaglep3-reporting\EC\2016-12-23-refined-times.txt</v>
      </c>
      <c r="AI208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{"issue":{"subject":"","project_id":79,"tracker_id":40,"status_id":1,"priority_id":2,"assigned_to_id":23,"start_date":"2016-12-23","description":"","custom_fields":[{"id":1,"name":"Subdivision","value":"Other"},{"id":4,"name":"Milepost","value":"0.0158"},{"id":17,"name":"Train ID","value":"302-23"},{"id":16,"name":"Locomotive ID","value":"4041"},{"id":130,"name":"Impact","value":""},{"id":150,"name":"Time of Event (Mountain Time)","value":"02:57:30"},{"id":151,"name":"Denver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639</v>
      </c>
      <c r="B209" s="7">
        <v>4007</v>
      </c>
      <c r="C209" s="22" t="s">
        <v>205</v>
      </c>
      <c r="D209" s="22" t="s">
        <v>286</v>
      </c>
      <c r="E209" s="13">
        <v>42727.777222222219</v>
      </c>
      <c r="F209" s="13">
        <v>42727.779097222221</v>
      </c>
      <c r="G209" s="7">
        <v>1</v>
      </c>
      <c r="H209" s="22" t="s">
        <v>321</v>
      </c>
      <c r="I209" s="13">
        <v>42727.785428240742</v>
      </c>
      <c r="J209" s="7">
        <v>0</v>
      </c>
      <c r="K209" s="109" t="str">
        <f t="shared" si="53"/>
        <v>4007/4008</v>
      </c>
      <c r="L209" s="22" t="str">
        <f>VLOOKUP(A209,'Trips&amp;Operators'!$C$1:$G$99999,5,FALSE)</f>
        <v>BRUDER RICHARD</v>
      </c>
      <c r="M209" s="6">
        <f t="shared" si="54"/>
        <v>6.33101852145046E-3</v>
      </c>
      <c r="N209" s="7">
        <f t="shared" si="55"/>
        <v>9.1166666708886623</v>
      </c>
      <c r="O209" s="7"/>
      <c r="P209" s="7"/>
      <c r="Q209" s="23"/>
      <c r="R209" s="23"/>
      <c r="S209" s="35">
        <f t="shared" si="56"/>
        <v>1</v>
      </c>
      <c r="T209" s="50" t="str">
        <f t="shared" si="57"/>
        <v>NorthBound</v>
      </c>
      <c r="U209" s="18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17:39:12-700',mode:absolute,to:'2016-12-23 19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9" s="52" t="str">
        <f t="shared" si="59"/>
        <v>Y</v>
      </c>
      <c r="X209" s="189">
        <f t="shared" si="70"/>
        <v>1</v>
      </c>
      <c r="Y209" s="67">
        <f t="shared" si="60"/>
        <v>4.6899999999999997E-2</v>
      </c>
      <c r="Z209" s="67">
        <f t="shared" si="61"/>
        <v>2.3302</v>
      </c>
      <c r="AA209" s="67">
        <f t="shared" si="62"/>
        <v>2.2833000000000001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63"/>
        <v>0303-23</v>
      </c>
      <c r="AE209" s="91" t="str">
        <f t="shared" si="64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209" s="88" t="str">
        <f t="shared" si="65"/>
        <v>"C:\Program Files (x86)\AstroGrep\AstroGrep.exe" /spath="%USERPROFILE%\AppData\Local\Temp\OnboardLogs" /stypes="app*4007*20161224*" /stext=" 01:.+((SYSTEM_STATE.+slice.+state.+changed )|(ment ac)|(multiple cpu faults)|(system.+state.+changed )|(\[timeout)|(PRM\|1\|D)|(kpr)|(kdp)|(\|lc)|(penalty))" /e /r /s</v>
      </c>
      <c r="AG209" s="1" t="str">
        <f t="shared" si="66"/>
        <v>Other</v>
      </c>
      <c r="AH209" s="92" t="str">
        <f t="shared" si="67"/>
        <v>"%USERPROFILE%\Documents\GitHub\eaglep3\Utilities\RefineRTDCRunTimes.py" --tripid 303-23 --locoid 4007 --swversion DE.1.0.8.0 --startMP 204:469 --initTime 2016-12-23T18:39:12 --startdatetime 2016-12-23T18:41:54 --delay 1 --endMP 300:23302 --enddatetime 2016-12-23T18:51:01 --enforcementcount 0 &gt;&gt;C:\Users\stu\Documents\GitHub\eaglep3-reporting\EC\2016-12-23-refined-times.txt</v>
      </c>
      <c r="AI209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{"issue":{"subject":"","project_id":79,"tracker_id":40,"status_id":1,"priority_id":2,"assigned_to_id":23,"start_date":"2016-12-23","description":"","custom_fields":[{"id":1,"name":"Subdivision","value":"Other"},{"id":4,"name":"Milepost","value":"2.3302"},{"id":17,"name":"Train ID","value":"303-23"},{"id":16,"name":"Locomotive ID","value":"4007"},{"id":130,"name":"Impact","value":""},{"id":150,"name":"Time of Event (Mountain Time)","value":"18:51:01"},{"id":151,"name":"Denver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639</v>
      </c>
      <c r="B210" s="7">
        <v>4007</v>
      </c>
      <c r="C210" s="22" t="s">
        <v>205</v>
      </c>
      <c r="D210" s="22" t="s">
        <v>753</v>
      </c>
      <c r="E210" s="13">
        <v>42727.777222222219</v>
      </c>
      <c r="F210" s="13">
        <v>42727.779097222221</v>
      </c>
      <c r="G210" s="7">
        <v>13</v>
      </c>
      <c r="H210" s="22" t="s">
        <v>321</v>
      </c>
      <c r="I210" s="13">
        <v>42727.785428240742</v>
      </c>
      <c r="J210" s="7">
        <v>0</v>
      </c>
      <c r="K210" s="109" t="str">
        <f t="shared" si="53"/>
        <v>4007/4008</v>
      </c>
      <c r="L210" s="22" t="str">
        <f>VLOOKUP(A210,'Trips&amp;Operators'!$C$1:$G$99999,5,FALSE)</f>
        <v>BRUDER RICHARD</v>
      </c>
      <c r="M210" s="6">
        <f t="shared" si="54"/>
        <v>6.33101852145046E-3</v>
      </c>
      <c r="N210" s="7">
        <f t="shared" si="55"/>
        <v>9.1166666708886623</v>
      </c>
      <c r="O210" s="7"/>
      <c r="P210" s="7"/>
      <c r="Q210" s="23"/>
      <c r="R210" s="23"/>
      <c r="S210" s="35">
        <f t="shared" si="56"/>
        <v>0</v>
      </c>
      <c r="T210" s="50" t="str">
        <f t="shared" si="57"/>
        <v>NorthBound</v>
      </c>
      <c r="U210" s="18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17:39:12-700',mode:absolute,to:'2016-12-23 19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0" s="52" t="str">
        <f t="shared" si="59"/>
        <v>Y</v>
      </c>
      <c r="X210" s="189">
        <f t="shared" si="70"/>
        <v>0</v>
      </c>
      <c r="Y210" s="67">
        <f t="shared" si="60"/>
        <v>2.3294999999999999</v>
      </c>
      <c r="Z210" s="67">
        <f t="shared" si="61"/>
        <v>2.3302</v>
      </c>
      <c r="AA210" s="67">
        <f t="shared" si="62"/>
        <v>7.0000000000014495E-4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63"/>
        <v>0303-23</v>
      </c>
      <c r="AE210" s="91" t="str">
        <f t="shared" si="64"/>
        <v>aws s3 cp s3://rtdc.mdm.uploadarchive.raw/RTDC4007/ "%USERPROFILE%\AppData\Local\Temp\OnboardLogs"\RTDC4007\2016-12-23 --exclude "*" --recursive --include "*20161223*" &amp; "%USERPROFILE%\Documents\GitHub\mrs-test-scripts\Headless Mode &amp; Sideloading\WalkAndUnGZ.bat" "%USERPROFILE%\AppData\Local\Temp\OnboardLogs"\RTDC4007\2016-12-23 &amp; 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</v>
      </c>
      <c r="AF210" s="88" t="str">
        <f t="shared" si="65"/>
        <v>"C:\Program Files (x86)\AstroGrep\AstroGrep.exe" /spath="%USERPROFILE%\AppData\Local\Temp\OnboardLogs" /stypes="app*4007*20161224*" /stext=" 01:.+((SYSTEM_STATE.+slice.+state.+changed )|(ment ac)|(multiple cpu faults)|(system.+state.+changed )|(\[timeout)|(PRM\|1\|D)|(kpr)|(kdp)|(\|lc)|(penalty))" /e /r /s</v>
      </c>
      <c r="AG210" s="1" t="str">
        <f t="shared" si="66"/>
        <v>Other</v>
      </c>
      <c r="AH210" s="92" t="str">
        <f t="shared" si="67"/>
        <v>"%USERPROFILE%\Documents\GitHub\eaglep3\Utilities\RefineRTDCRunTimes.py" --tripid 303-23 --locoid 4007 --swversion DE.1.0.8.0 --startMP 300:23295 --initTime 2016-12-23T18:39:12 --startdatetime 2016-12-23T18:41:54 --delay 13 --endMP 300:23302 --enddatetime 2016-12-23T18:51:01 --enforcementcount 0 &gt;&gt;C:\Users\stu\Documents\GitHub\eaglep3-reporting\EC\2016-12-23-refined-times.txt</v>
      </c>
      <c r="AI210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{"issue":{"subject":"","project_id":79,"tracker_id":40,"status_id":1,"priority_id":2,"assigned_to_id":23,"start_date":"2016-12-23","description":"","custom_fields":[{"id":1,"name":"Subdivision","value":"Other"},{"id":4,"name":"Milepost","value":"2.3302"},{"id":17,"name":"Train ID","value":"303-23"},{"id":16,"name":"Locomotive ID","value":"4007"},{"id":130,"name":"Impact","value":""},{"id":150,"name":"Time of Event (Mountain Time)","value":"18:51:01"},{"id":151,"name":"Denver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468</v>
      </c>
      <c r="B211" s="7">
        <v>4012</v>
      </c>
      <c r="C211" s="22" t="s">
        <v>205</v>
      </c>
      <c r="D211" s="22" t="s">
        <v>754</v>
      </c>
      <c r="E211" s="13">
        <v>42727.140902777777</v>
      </c>
      <c r="F211" s="13">
        <v>42727.142280092594</v>
      </c>
      <c r="G211" s="7">
        <v>1</v>
      </c>
      <c r="H211" s="22" t="s">
        <v>755</v>
      </c>
      <c r="I211" s="13">
        <v>42727.148761574077</v>
      </c>
      <c r="J211" s="7">
        <v>0</v>
      </c>
      <c r="K211" s="109" t="str">
        <f t="shared" si="53"/>
        <v>4011/4012</v>
      </c>
      <c r="L211" s="22" t="str">
        <f>VLOOKUP(A211,'Trips&amp;Operators'!$C$1:$G$99999,5,FALSE)</f>
        <v>DAVIS WENDY</v>
      </c>
      <c r="M211" s="6">
        <f t="shared" si="54"/>
        <v>6.4814814832061529E-3</v>
      </c>
      <c r="N211" s="7">
        <f t="shared" si="55"/>
        <v>9.3333333358168602</v>
      </c>
      <c r="O211" s="7"/>
      <c r="P211" s="7"/>
      <c r="Q211" s="23"/>
      <c r="R211" s="23"/>
      <c r="S211" s="35">
        <f t="shared" si="56"/>
        <v>1</v>
      </c>
      <c r="T211" s="50" t="str">
        <f t="shared" si="57"/>
        <v>Southbound</v>
      </c>
      <c r="U211" s="18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02:22:54-700',mode:absolute,to:'2016-12-23 04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1" s="52" t="str">
        <f t="shared" si="59"/>
        <v>Y</v>
      </c>
      <c r="X211" s="189">
        <f t="shared" si="70"/>
        <v>1</v>
      </c>
      <c r="Y211" s="67">
        <f t="shared" si="60"/>
        <v>2.3224</v>
      </c>
      <c r="Z211" s="67">
        <f t="shared" si="61"/>
        <v>1.34E-2</v>
      </c>
      <c r="AA211" s="67">
        <f t="shared" si="62"/>
        <v>2.3090000000000002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63"/>
        <v>0304-23</v>
      </c>
      <c r="AE211" s="91" t="str">
        <f t="shared" si="64"/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AF211" s="88" t="str">
        <f t="shared" si="65"/>
        <v>"C:\Program Files (x86)\AstroGrep\AstroGrep.exe" /spath="%USERPROFILE%\AppData\Local\Temp\OnboardLogs" /stypes="app*4012*20161223*" /stext=" 10:.+((SYSTEM_STATE.+slice.+state.+changed )|(ment ac)|(multiple cpu faults)|(system.+state.+changed )|(\[timeout)|(PRM\|1\|D)|(kpr)|(kdp)|(\|lc)|(penalty))" /e /r /s</v>
      </c>
      <c r="AG211" s="1" t="str">
        <f t="shared" si="66"/>
        <v>Other</v>
      </c>
      <c r="AH211" s="92" t="str">
        <f t="shared" si="67"/>
        <v>"%USERPROFILE%\Documents\GitHub\eaglep3\Utilities\RefineRTDCRunTimes.py" --tripid 304-23 --locoid 4012 --swversion DE.1.0.8.0 --startMP 300:23224 --initTime 2016-12-23T03:22:54 --startdatetime 2016-12-23T03:24:53 --delay 1 --endMP 204:134 --enddatetime 2016-12-23T03:34:13 --enforcementcount 0 &gt;&gt;C:\Users\stu\Documents\GitHub\eaglep3-reporting\EC\2016-12-23-refined-times.txt</v>
      </c>
      <c r="AI211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{"issue":{"subject":"","project_id":79,"tracker_id":40,"status_id":1,"priority_id":2,"assigned_to_id":23,"start_date":"2016-12-23","description":"","custom_fields":[{"id":1,"name":"Subdivision","value":"Other"},{"id":4,"name":"Milepost","value":"0.0134"},{"id":17,"name":"Train ID","value":"304-23"},{"id":16,"name":"Locomotive ID","value":"4012"},{"id":130,"name":"Impact","value":""},{"id":150,"name":"Time of Event (Mountain Time)","value":"03:34:13"},{"id":151,"name":"Denver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471</v>
      </c>
      <c r="B212" s="7">
        <v>4026</v>
      </c>
      <c r="C212" s="22" t="s">
        <v>205</v>
      </c>
      <c r="D212" s="22" t="s">
        <v>756</v>
      </c>
      <c r="E212" s="13">
        <v>42727.156805555554</v>
      </c>
      <c r="F212" s="13">
        <v>42727.158136574071</v>
      </c>
      <c r="G212" s="7">
        <v>1</v>
      </c>
      <c r="H212" s="22" t="s">
        <v>757</v>
      </c>
      <c r="I212" s="13">
        <v>42727.165625000001</v>
      </c>
      <c r="J212" s="7">
        <v>0</v>
      </c>
      <c r="K212" s="109" t="str">
        <f t="shared" si="53"/>
        <v>4025/4026</v>
      </c>
      <c r="L212" s="22" t="str">
        <f>VLOOKUP(A212,'Trips&amp;Operators'!$C$1:$G$99999,5,FALSE)</f>
        <v>ROBINSON KADDIBA</v>
      </c>
      <c r="M212" s="6">
        <f t="shared" si="54"/>
        <v>7.4884259302052669E-3</v>
      </c>
      <c r="N212" s="7">
        <f t="shared" si="55"/>
        <v>10.783333339495584</v>
      </c>
      <c r="O212" s="7"/>
      <c r="P212" s="7"/>
      <c r="Q212" s="23"/>
      <c r="R212" s="23"/>
      <c r="S212" s="35">
        <f t="shared" si="56"/>
        <v>1</v>
      </c>
      <c r="T212" s="50" t="str">
        <f t="shared" si="57"/>
        <v>Southbound</v>
      </c>
      <c r="U212" s="18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02:45:48-700',mode:absolute,to:'2016-12-23 04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2" s="52" t="str">
        <f t="shared" si="59"/>
        <v>Y</v>
      </c>
      <c r="X212" s="189">
        <f t="shared" si="70"/>
        <v>2</v>
      </c>
      <c r="Y212" s="67">
        <f t="shared" si="60"/>
        <v>2.3222</v>
      </c>
      <c r="Z212" s="67">
        <f t="shared" si="61"/>
        <v>6.7000000000000002E-3</v>
      </c>
      <c r="AA212" s="67">
        <f t="shared" si="62"/>
        <v>2.3155000000000001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63"/>
        <v>0306-23</v>
      </c>
      <c r="AE212" s="91" t="str">
        <f t="shared" si="64"/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AF212" s="88" t="str">
        <f t="shared" si="65"/>
        <v>"C:\Program Files (x86)\AstroGrep\AstroGrep.exe" /spath="%USERPROFILE%\AppData\Local\Temp\OnboardLogs" /stypes="app*4026*20161223*" /stext=" 10:.+((SYSTEM_STATE.+slice.+state.+changed )|(ment ac)|(multiple cpu faults)|(system.+state.+changed )|(\[timeout)|(PRM\|1\|D)|(kpr)|(kdp)|(\|lc)|(penalty))" /e /r /s</v>
      </c>
      <c r="AG212" s="1" t="str">
        <f t="shared" si="66"/>
        <v>Other</v>
      </c>
      <c r="AH212" s="92" t="str">
        <f t="shared" si="67"/>
        <v>"%USERPROFILE%\Documents\GitHub\eaglep3\Utilities\RefineRTDCRunTimes.py" --tripid 306-23 --locoid 4026 --swversion DE.1.0.8.0 --startMP 300:23222 --initTime 2016-12-23T03:45:48 --startdatetime 2016-12-23T03:47:43 --delay 1 --endMP 204:67 --enddatetime 2016-12-23T03:58:30 --enforcementcount 0 &gt;&gt;C:\Users\stu\Documents\GitHub\eaglep3-reporting\EC\2016-12-23-refined-times.txt</v>
      </c>
      <c r="AI212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{"issue":{"subject":"","project_id":79,"tracker_id":40,"status_id":1,"priority_id":2,"assigned_to_id":23,"start_date":"2016-12-23","description":"","custom_fields":[{"id":1,"name":"Subdivision","value":"Other"},{"id":4,"name":"Milepost","value":"0.0067"},{"id":17,"name":"Train ID","value":"306-23"},{"id":16,"name":"Locomotive ID","value":"4026"},{"id":130,"name":"Impact","value":""},{"id":150,"name":"Time of Event (Mountain Time)","value":"03:58:30"},{"id":151,"name":"Denver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647</v>
      </c>
      <c r="B213" s="7">
        <v>4011</v>
      </c>
      <c r="C213" s="22" t="s">
        <v>205</v>
      </c>
      <c r="D213" s="22" t="s">
        <v>285</v>
      </c>
      <c r="E213" s="13">
        <v>42727.818414351852</v>
      </c>
      <c r="F213" s="13">
        <v>25568.708333333332</v>
      </c>
      <c r="G213" s="7">
        <v>1</v>
      </c>
      <c r="H213" s="22" t="s">
        <v>400</v>
      </c>
      <c r="I213" s="13">
        <v>25568.708333333332</v>
      </c>
      <c r="J213" s="7">
        <v>0</v>
      </c>
      <c r="K213" s="109" t="str">
        <f t="shared" si="53"/>
        <v>4011/4012</v>
      </c>
      <c r="L213" s="22" t="str">
        <f>VLOOKUP(A213,'Trips&amp;Operators'!$C$1:$G$99999,5,FALSE)</f>
        <v>BRANNON JEFFREY</v>
      </c>
      <c r="M213" s="6">
        <f t="shared" si="54"/>
        <v>0</v>
      </c>
      <c r="N213" s="7">
        <f t="shared" si="55"/>
        <v>0</v>
      </c>
      <c r="O213" s="7"/>
      <c r="P213" s="7"/>
      <c r="Q213" s="23"/>
      <c r="R213" s="23"/>
      <c r="S213" s="35">
        <f t="shared" si="56"/>
        <v>1</v>
      </c>
      <c r="T213" s="50" t="str">
        <f t="shared" si="57"/>
        <v>NorthBound</v>
      </c>
      <c r="U213" s="18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18:38:31-700',mode:absolute,to:'1969-12-31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3" s="52" t="str">
        <f t="shared" si="59"/>
        <v>Y</v>
      </c>
      <c r="X213" s="189">
        <f t="shared" si="70"/>
        <v>1</v>
      </c>
      <c r="Y213" s="67">
        <f t="shared" si="60"/>
        <v>4.4900000000000002E-2</v>
      </c>
      <c r="Z213" s="67">
        <f t="shared" si="61"/>
        <v>2.331</v>
      </c>
      <c r="AA213" s="67">
        <f t="shared" si="62"/>
        <v>2.2860999999999998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63"/>
        <v>0307-23</v>
      </c>
      <c r="AE213" s="91" t="str">
        <f t="shared" si="64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3" s="88" t="str">
        <f t="shared" si="65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3" s="1" t="str">
        <f t="shared" si="66"/>
        <v>Other</v>
      </c>
      <c r="AH213" s="92" t="str">
        <f t="shared" si="67"/>
        <v>"%USERPROFILE%\Documents\GitHub\eaglep3\Utilities\RefineRTDCRunTimes.py" --tripid 307-23 --locoid 4011 --swversion DE.1.0.8.0 --startMP 204:449 --initTime 2016-12-23T19:38:31 --startdatetime 1969-12-31T17:00:00 --delay 1 --endMP 300:23310 --enddatetime 1969-12-31T17:00:00 --enforcementcount 0 &gt;&gt;C:\Users\stu\Documents\GitHub\eaglep3-reporting\EC\2016-12-23-refined-times.txt</v>
      </c>
      <c r="AI213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475</v>
      </c>
      <c r="B214" s="7">
        <v>4052</v>
      </c>
      <c r="C214" s="22" t="s">
        <v>205</v>
      </c>
      <c r="D214" s="22" t="s">
        <v>758</v>
      </c>
      <c r="E214" s="13">
        <v>42727.17355324074</v>
      </c>
      <c r="F214" s="13">
        <v>42727.17695601852</v>
      </c>
      <c r="G214" s="7">
        <v>4</v>
      </c>
      <c r="H214" s="22" t="s">
        <v>346</v>
      </c>
      <c r="I214" s="13">
        <v>42727.183946759258</v>
      </c>
      <c r="J214" s="7">
        <v>0</v>
      </c>
      <c r="K214" s="109" t="str">
        <f t="shared" si="53"/>
        <v>4051/4052</v>
      </c>
      <c r="L214" s="22" t="str">
        <f>VLOOKUP(A214,'Trips&amp;Operators'!$C$1:$G$99999,5,FALSE)</f>
        <v>STARKS ANGELINA</v>
      </c>
      <c r="M214" s="6">
        <f t="shared" si="54"/>
        <v>6.9907407378195785E-3</v>
      </c>
      <c r="N214" s="7">
        <f t="shared" si="55"/>
        <v>10.066666662460193</v>
      </c>
      <c r="O214" s="7"/>
      <c r="P214" s="7"/>
      <c r="Q214" s="23"/>
      <c r="R214" s="23"/>
      <c r="S214" s="35">
        <f t="shared" si="56"/>
        <v>1</v>
      </c>
      <c r="T214" s="50" t="str">
        <f t="shared" si="57"/>
        <v>Southbound</v>
      </c>
      <c r="U214" s="18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03:09:55-700',mode:absolute,to:'2016-12-23 05:24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4" s="52" t="str">
        <f t="shared" si="59"/>
        <v>Y</v>
      </c>
      <c r="X214" s="189">
        <f t="shared" si="70"/>
        <v>1</v>
      </c>
      <c r="Y214" s="67">
        <f t="shared" si="60"/>
        <v>2.3731</v>
      </c>
      <c r="Z214" s="67">
        <f t="shared" si="61"/>
        <v>1.52E-2</v>
      </c>
      <c r="AA214" s="67">
        <f t="shared" si="62"/>
        <v>2.3578999999999999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63"/>
        <v>0308-23</v>
      </c>
      <c r="AE214" s="91" t="str">
        <f t="shared" si="64"/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AF214" s="88" t="str">
        <f t="shared" si="65"/>
        <v>"C:\Program Files (x86)\AstroGrep\AstroGrep.exe" /spath="%USERPROFILE%\AppData\Local\Temp\OnboardLogs" /stypes="app*4052*20161223*" /stext=" 11:.+((SYSTEM_STATE.+slice.+state.+changed )|(ment ac)|(multiple cpu faults)|(system.+state.+changed )|(\[timeout)|(PRM\|1\|D)|(kpr)|(kdp)|(\|lc)|(penalty))" /e /r /s</v>
      </c>
      <c r="AG214" s="1" t="str">
        <f t="shared" si="66"/>
        <v>Other</v>
      </c>
      <c r="AH214" s="92" t="str">
        <f t="shared" si="67"/>
        <v>"%USERPROFILE%\Documents\GitHub\eaglep3\Utilities\RefineRTDCRunTimes.py" --tripid 308-23 --locoid 4052 --swversion DE.1.0.8.0 --startMP 300:23731 --initTime 2016-12-23T04:09:55 --startdatetime 2016-12-23T04:14:49 --delay 4 --endMP 204:152 --enddatetime 2016-12-23T04:24:53 --enforcementcount 0 &gt;&gt;C:\Users\stu\Documents\GitHub\eaglep3-reporting\EC\2016-12-23-refined-times.txt</v>
      </c>
      <c r="AI214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{"issue":{"subject":"","project_id":79,"tracker_id":40,"status_id":1,"priority_id":2,"assigned_to_id":23,"start_date":"2016-12-23","description":"","custom_fields":[{"id":1,"name":"Subdivision","value":"Other"},{"id":4,"name":"Milepost","value":"0.0152"},{"id":17,"name":"Train ID","value":"308-23"},{"id":16,"name":"Locomotive ID","value":"4052"},{"id":130,"name":"Impact","value":""},{"id":150,"name":"Time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421</v>
      </c>
      <c r="B215" s="7">
        <v>4008</v>
      </c>
      <c r="C215" s="22" t="s">
        <v>205</v>
      </c>
      <c r="D215" s="22" t="s">
        <v>759</v>
      </c>
      <c r="E215" s="13">
        <v>42727.182812500003</v>
      </c>
      <c r="F215" s="13">
        <v>42727.184629629628</v>
      </c>
      <c r="G215" s="7">
        <v>1</v>
      </c>
      <c r="H215" s="22" t="s">
        <v>358</v>
      </c>
      <c r="I215" s="13">
        <v>42727.193738425929</v>
      </c>
      <c r="J215" s="7">
        <v>0</v>
      </c>
      <c r="K215" s="109" t="str">
        <f t="shared" si="53"/>
        <v>4007/4008</v>
      </c>
      <c r="L215" s="22" t="str">
        <f>VLOOKUP(A215,'Trips&amp;Operators'!$C$1:$G$99999,5,FALSE)</f>
        <v>DUNCAN SHEILA</v>
      </c>
      <c r="M215" s="6">
        <f t="shared" si="54"/>
        <v>9.1087963010068052E-3</v>
      </c>
      <c r="N215" s="7">
        <f t="shared" si="55"/>
        <v>13.116666673449799</v>
      </c>
      <c r="O215" s="7"/>
      <c r="P215" s="7"/>
      <c r="Q215" s="23"/>
      <c r="R215" s="23"/>
      <c r="S215" s="35">
        <f t="shared" si="56"/>
        <v>1</v>
      </c>
      <c r="T215" s="50" t="str">
        <f t="shared" si="57"/>
        <v>Southbound</v>
      </c>
      <c r="U215" s="18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03:23:15-700',mode:absolute,to:'2016-12-23 05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5" s="52" t="str">
        <f t="shared" si="59"/>
        <v>Y</v>
      </c>
      <c r="X215" s="189">
        <f t="shared" si="70"/>
        <v>2</v>
      </c>
      <c r="Y215" s="67">
        <f t="shared" si="60"/>
        <v>2.3096999999999999</v>
      </c>
      <c r="Z215" s="67">
        <f t="shared" si="61"/>
        <v>1.6500000000000001E-2</v>
      </c>
      <c r="AA215" s="67">
        <f t="shared" si="62"/>
        <v>2.2931999999999997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63"/>
        <v>0310-23</v>
      </c>
      <c r="AE215" s="91" t="str">
        <f t="shared" si="64"/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AF215" s="88" t="str">
        <f t="shared" si="65"/>
        <v>"C:\Program Files (x86)\AstroGrep\AstroGrep.exe" /spath="%USERPROFILE%\AppData\Local\Temp\OnboardLogs" /stypes="app*4008*20161223*" /stext=" 11:.+((SYSTEM_STATE.+slice.+state.+changed )|(ment ac)|(multiple cpu faults)|(system.+state.+changed )|(\[timeout)|(PRM\|1\|D)|(kpr)|(kdp)|(\|lc)|(penalty))" /e /r /s</v>
      </c>
      <c r="AG215" s="1" t="str">
        <f t="shared" si="66"/>
        <v>Other</v>
      </c>
      <c r="AH215" s="92" t="str">
        <f t="shared" si="67"/>
        <v>"%USERPROFILE%\Documents\GitHub\eaglep3\Utilities\RefineRTDCRunTimes.py" --tripid 310-23 --locoid 4008 --swversion DE.1.0.8.0 --startMP 300:23097 --initTime 2016-12-23T04:23:15 --startdatetime 2016-12-23T04:25:52 --delay 1 --endMP 204:165 --enddatetime 2016-12-23T04:38:59 --enforcementcount 0 &gt;&gt;C:\Users\stu\Documents\GitHub\eaglep3-reporting\EC\2016-12-23-refined-times.txt</v>
      </c>
      <c r="AI215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{"issue":{"subject":"","project_id":79,"tracker_id":40,"status_id":1,"priority_id":2,"assigned_to_id":23,"start_date":"2016-12-23","description":"","custom_fields":[{"id":1,"name":"Subdivision","value":"Other"},{"id":4,"name":"Milepost","value":"0.0165"},{"id":17,"name":"Train ID","value":"310-23"},{"id":16,"name":"Locomotive ID","value":"4008"},{"id":130,"name":"Impact","value":""},{"id":150,"name":"Time of Event (Mountain Time)","value":"04:38:59"},{"id":151,"name":"Denver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669</v>
      </c>
      <c r="B216" s="7">
        <v>4016</v>
      </c>
      <c r="C216" s="22" t="s">
        <v>205</v>
      </c>
      <c r="D216" s="22" t="s">
        <v>228</v>
      </c>
      <c r="E216" s="13">
        <v>42728.067893518521</v>
      </c>
      <c r="F216" s="13">
        <v>25568.708333333332</v>
      </c>
      <c r="G216" s="7">
        <v>1</v>
      </c>
      <c r="H216" s="22" t="s">
        <v>400</v>
      </c>
      <c r="I216" s="13">
        <v>25568.708333333332</v>
      </c>
      <c r="J216" s="7">
        <v>0</v>
      </c>
      <c r="K216" s="109" t="str">
        <f t="shared" si="53"/>
        <v>4015/4016</v>
      </c>
      <c r="L216" s="22" t="str">
        <f>VLOOKUP(A216,'Trips&amp;Operators'!$C$1:$G$99999,5,FALSE)</f>
        <v>STAMBAUGH JAMES</v>
      </c>
      <c r="M216" s="6">
        <f t="shared" si="54"/>
        <v>0</v>
      </c>
      <c r="N216" s="7">
        <f t="shared" si="55"/>
        <v>0</v>
      </c>
      <c r="O216" s="7"/>
      <c r="P216" s="7"/>
      <c r="Q216" s="23"/>
      <c r="R216" s="23"/>
      <c r="S216" s="35">
        <f t="shared" si="56"/>
        <v>1</v>
      </c>
      <c r="T216" s="50" t="str">
        <f t="shared" si="57"/>
        <v>NorthBound</v>
      </c>
      <c r="U216" s="18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https://search-rtdc-monitor-bjffxe2xuh6vdkpspy63sjmuny.us-east-1.es.amazonaws.com/_plugin/kibana/#/discover/Steve-Slow-Train-Analysis-(2080s-and-2083s)?_g=(refreshInterval:(display:Off,section:0,value:0),time:(from:'2016-12-24 00:37:46-700',mode:absolute,to:'1969-12-31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6" s="52" t="str">
        <f t="shared" si="59"/>
        <v>Y</v>
      </c>
      <c r="X216" s="189">
        <f t="shared" si="70"/>
        <v>1</v>
      </c>
      <c r="Y216" s="67">
        <f t="shared" si="60"/>
        <v>4.5499999999999999E-2</v>
      </c>
      <c r="Z216" s="67">
        <f t="shared" si="61"/>
        <v>2.331</v>
      </c>
      <c r="AA216" s="67">
        <f t="shared" si="62"/>
        <v>2.2854999999999999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63"/>
        <v>0311-23</v>
      </c>
      <c r="AE216" s="91" t="str">
        <f t="shared" si="64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6" s="88" t="str">
        <f t="shared" si="65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6" s="1" t="str">
        <f t="shared" si="66"/>
        <v>Other</v>
      </c>
      <c r="AH216" s="92" t="str">
        <f t="shared" si="67"/>
        <v>"%USERPROFILE%\Documents\GitHub\eaglep3\Utilities\RefineRTDCRunTimes.py" --tripid 311-23 --locoid 4016 --swversion DE.1.0.8.0 --startMP 204:455 --initTime 2016-12-24T01:37:46 --startdatetime 1969-12-31T17:00:00 --delay 1 --endMP 300:23310 --enddatetime 1969-12-31T17:00:00 --enforcementcount 0 &gt;&gt;C:\Users\stu\Documents\GitHub\eaglep3-reporting\EC\2016-12-23-refined-times.txt</v>
      </c>
      <c r="AI216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464</v>
      </c>
      <c r="B217" s="7">
        <v>4027</v>
      </c>
      <c r="C217" s="22" t="s">
        <v>205</v>
      </c>
      <c r="D217" s="22" t="s">
        <v>313</v>
      </c>
      <c r="E217" s="13">
        <v>42727.073877314811</v>
      </c>
      <c r="F217" s="13">
        <v>25568.708333333332</v>
      </c>
      <c r="G217" s="7">
        <v>1</v>
      </c>
      <c r="H217" s="22" t="s">
        <v>760</v>
      </c>
      <c r="I217" s="13">
        <v>25568.708333333332</v>
      </c>
      <c r="J217" s="7">
        <v>0</v>
      </c>
      <c r="K217" s="109" t="str">
        <f t="shared" si="53"/>
        <v>4027/4028</v>
      </c>
      <c r="L217" s="22" t="str">
        <f>VLOOKUP(A217,'Trips&amp;Operators'!$C$1:$G$99999,5,FALSE)</f>
        <v>BROWN JACOB</v>
      </c>
      <c r="M217" s="6">
        <f t="shared" si="54"/>
        <v>0</v>
      </c>
      <c r="N217" s="7">
        <f t="shared" si="55"/>
        <v>0</v>
      </c>
      <c r="O217" s="7"/>
      <c r="P217" s="7"/>
      <c r="Q217" s="23"/>
      <c r="R217" s="23"/>
      <c r="S217" s="35">
        <f t="shared" si="56"/>
        <v>1</v>
      </c>
      <c r="T217" s="50" t="str">
        <f t="shared" si="57"/>
        <v>NorthBound</v>
      </c>
      <c r="U217" s="18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00:46:23-700',mode:absolute,to:'1969-12-31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7" s="52" t="str">
        <f t="shared" si="59"/>
        <v>Y</v>
      </c>
      <c r="X217" s="189">
        <f t="shared" si="70"/>
        <v>2</v>
      </c>
      <c r="Y217" s="67">
        <f t="shared" si="60"/>
        <v>4.3299999999999998E-2</v>
      </c>
      <c r="Z217" s="67">
        <f t="shared" si="61"/>
        <v>2.3142</v>
      </c>
      <c r="AA217" s="67">
        <f t="shared" si="62"/>
        <v>2.2709000000000001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63"/>
        <v>0313-22</v>
      </c>
      <c r="AE217" s="91" t="str">
        <f t="shared" si="64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7" s="88" t="str">
        <f t="shared" si="65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7" s="1" t="str">
        <f t="shared" si="66"/>
        <v>Other</v>
      </c>
      <c r="AH217" s="92" t="str">
        <f t="shared" si="67"/>
        <v>"%USERPROFILE%\Documents\GitHub\eaglep3\Utilities\RefineRTDCRunTimes.py" --tripid 313-22 --locoid 4027 --swversion DE.1.0.8.0 --startMP 204:433 --initTime 2016-12-23T01:46:23 --startdatetime 1969-12-31T17:00:00 --delay 1 --endMP 300:23142 --enddatetime 1969-12-31T17:00:00 --enforcementcount 0 &gt;&gt;C:\Users\stu\Documents\GitHub\eaglep3-reporting\EC\2016-12-23-refined-times.txt</v>
      </c>
      <c r="AI217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{"issue":{"subject":"","project_id":79,"tracker_id":40,"status_id":1,"priority_id":2,"assigned_to_id":23,"start_date":"1969-12-31","description":"","custom_fields":[{"id":1,"name":"Subdivision","value":"Other"},{"id":4,"name":"Milepost","value":"2.3142"},{"id":17,"name":"Train ID","value":"313-22"},{"id":16,"name":"Locomotive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671</v>
      </c>
      <c r="B218" s="7">
        <v>4051</v>
      </c>
      <c r="C218" s="22" t="s">
        <v>205</v>
      </c>
      <c r="D218" s="22" t="s">
        <v>761</v>
      </c>
      <c r="E218" s="13">
        <v>42728.09002314815</v>
      </c>
      <c r="F218" s="13">
        <v>25568.708333333332</v>
      </c>
      <c r="G218" s="7">
        <v>1</v>
      </c>
      <c r="H218" s="22" t="s">
        <v>762</v>
      </c>
      <c r="I218" s="13">
        <v>25568.708333333332</v>
      </c>
      <c r="J218" s="7">
        <v>0</v>
      </c>
      <c r="K218" s="109" t="str">
        <f t="shared" si="53"/>
        <v>4051/4052</v>
      </c>
      <c r="L218" s="22" t="str">
        <f>VLOOKUP(A218,'Trips&amp;Operators'!$C$1:$G$99999,5,FALSE)</f>
        <v>HILLS DUSTIN</v>
      </c>
      <c r="M218" s="6">
        <f t="shared" si="54"/>
        <v>0</v>
      </c>
      <c r="N218" s="7">
        <f t="shared" si="55"/>
        <v>0</v>
      </c>
      <c r="O218" s="7"/>
      <c r="P218" s="7"/>
      <c r="Q218" s="23"/>
      <c r="R218" s="23"/>
      <c r="S218" s="35">
        <f t="shared" si="56"/>
        <v>1</v>
      </c>
      <c r="T218" s="50" t="str">
        <f t="shared" si="57"/>
        <v>NorthBound</v>
      </c>
      <c r="U218" s="18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https://search-rtdc-monitor-bjffxe2xuh6vdkpspy63sjmuny.us-east-1.es.amazonaws.com/_plugin/kibana/#/discover/Steve-Slow-Train-Analysis-(2080s-and-2083s)?_g=(refreshInterval:(display:Off,section:0,value:0),time:(from:'2016-12-24 01:09:38-700',mode:absolute,to:'1969-12-31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8" s="52" t="str">
        <f t="shared" si="59"/>
        <v>Y</v>
      </c>
      <c r="X218" s="189">
        <f t="shared" si="70"/>
        <v>0</v>
      </c>
      <c r="Y218" s="67">
        <f t="shared" si="60"/>
        <v>4.2900000000000001E-2</v>
      </c>
      <c r="Z218" s="67">
        <f t="shared" si="61"/>
        <v>2.3308</v>
      </c>
      <c r="AA218" s="67">
        <f t="shared" si="62"/>
        <v>2.2879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63"/>
        <v>0313-23</v>
      </c>
      <c r="AE218" s="91" t="str">
        <f t="shared" si="64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8" s="88" t="str">
        <f t="shared" si="65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8" s="1" t="str">
        <f t="shared" si="66"/>
        <v>Other</v>
      </c>
      <c r="AH218" s="92" t="str">
        <f t="shared" si="67"/>
        <v>"%USERPROFILE%\Documents\GitHub\eaglep3\Utilities\RefineRTDCRunTimes.py" --tripid 313-23 --locoid 4051 --swversion DE.1.0.8.0 --startMP 204:429 --initTime 2016-12-24T02:09:38 --startdatetime 1969-12-31T17:00:00 --delay 1 --endMP 300:23308 --enddatetime 1969-12-31T17:00:00 --enforcementcount 0 &gt;&gt;C:\Users\stu\Documents\GitHub\eaglep3-reporting\EC\2016-12-23-refined-times.txt</v>
      </c>
      <c r="AI218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ID","value":"313-23"},{"id":16,"name":"Locomotive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465</v>
      </c>
      <c r="B219" s="7">
        <v>4046</v>
      </c>
      <c r="C219" s="22" t="s">
        <v>205</v>
      </c>
      <c r="D219" s="22" t="s">
        <v>763</v>
      </c>
      <c r="E219" s="13">
        <v>42727.092499999999</v>
      </c>
      <c r="F219" s="13">
        <v>25568.708333333332</v>
      </c>
      <c r="G219" s="7">
        <v>1</v>
      </c>
      <c r="H219" s="22" t="s">
        <v>764</v>
      </c>
      <c r="I219" s="13">
        <v>25568.708333333332</v>
      </c>
      <c r="J219" s="7">
        <v>0</v>
      </c>
      <c r="K219" s="109" t="str">
        <f t="shared" si="53"/>
        <v>4045/4046</v>
      </c>
      <c r="L219" s="22" t="str">
        <f>VLOOKUP(A219,'Trips&amp;Operators'!$C$1:$G$99999,5,FALSE)</f>
        <v>HILLS DUSTIN</v>
      </c>
      <c r="M219" s="6">
        <f t="shared" si="54"/>
        <v>0</v>
      </c>
      <c r="N219" s="7">
        <f t="shared" si="55"/>
        <v>0</v>
      </c>
      <c r="O219" s="7"/>
      <c r="P219" s="7"/>
      <c r="Q219" s="23"/>
      <c r="R219" s="23"/>
      <c r="S219" s="35">
        <f t="shared" si="56"/>
        <v>1</v>
      </c>
      <c r="T219" s="50" t="str">
        <f t="shared" si="57"/>
        <v>NorthBound</v>
      </c>
      <c r="U219" s="18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01:13:12-700',mode:absolute,to:'1969-12-31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9" s="52" t="str">
        <f t="shared" si="59"/>
        <v>Y</v>
      </c>
      <c r="X219" s="189">
        <f t="shared" si="70"/>
        <v>2</v>
      </c>
      <c r="Y219" s="67">
        <f t="shared" si="60"/>
        <v>4.02E-2</v>
      </c>
      <c r="Z219" s="67">
        <f t="shared" si="61"/>
        <v>2.3315999999999999</v>
      </c>
      <c r="AA219" s="67">
        <f t="shared" si="62"/>
        <v>2.2913999999999999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63"/>
        <v>0315-22</v>
      </c>
      <c r="AE219" s="91" t="str">
        <f t="shared" si="64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9" s="88" t="str">
        <f t="shared" si="65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9" s="1" t="str">
        <f t="shared" si="66"/>
        <v>Other</v>
      </c>
      <c r="AH219" s="92" t="str">
        <f t="shared" si="67"/>
        <v>"%USERPROFILE%\Documents\GitHub\eaglep3\Utilities\RefineRTDCRunTimes.py" --tripid 315-22 --locoid 4046 --swversion DE.1.0.8.0 --startMP 204:402 --initTime 2016-12-23T02:13:12 --startdatetime 1969-12-31T17:00:00 --delay 1 --endMP 300:23316 --enddatetime 1969-12-31T17:00:00 --enforcementcount 0 &gt;&gt;C:\Users\stu\Documents\GitHub\eaglep3-reporting\EC\2016-12-23-refined-times.txt</v>
      </c>
      <c r="AI219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ID","value":"315-22"},{"id":16,"name":"Locomotive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672</v>
      </c>
      <c r="B220" s="7">
        <v>4025</v>
      </c>
      <c r="C220" s="22" t="s">
        <v>205</v>
      </c>
      <c r="D220" s="22" t="s">
        <v>720</v>
      </c>
      <c r="E220" s="13">
        <v>42728.111458333333</v>
      </c>
      <c r="F220" s="13">
        <v>25568.708333333332</v>
      </c>
      <c r="G220" s="7">
        <v>1</v>
      </c>
      <c r="H220" s="22" t="s">
        <v>765</v>
      </c>
      <c r="I220" s="13">
        <v>25568.708333333332</v>
      </c>
      <c r="J220" s="7">
        <v>0</v>
      </c>
      <c r="K220" s="109" t="str">
        <f t="shared" si="53"/>
        <v>4025/4026</v>
      </c>
      <c r="L220" s="22" t="str">
        <f>VLOOKUP(A220,'Trips&amp;Operators'!$C$1:$G$99999,5,FALSE)</f>
        <v>BROWN JACOB</v>
      </c>
      <c r="M220" s="6">
        <f t="shared" si="54"/>
        <v>0</v>
      </c>
      <c r="N220" s="7">
        <f t="shared" si="55"/>
        <v>0</v>
      </c>
      <c r="O220" s="7"/>
      <c r="P220" s="7"/>
      <c r="Q220" s="23"/>
      <c r="R220" s="23"/>
      <c r="S220" s="35">
        <f t="shared" si="56"/>
        <v>1</v>
      </c>
      <c r="T220" s="50" t="str">
        <f t="shared" si="57"/>
        <v>NorthBound</v>
      </c>
      <c r="U220" s="18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https://search-rtdc-monitor-bjffxe2xuh6vdkpspy63sjmuny.us-east-1.es.amazonaws.com/_plugin/kibana/#/discover/Steve-Slow-Train-Analysis-(2080s-and-2083s)?_g=(refreshInterval:(display:Off,section:0,value:0),time:(from:'2016-12-24 01:40:30-700',mode:absolute,to:'1969-12-31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0" s="52" t="str">
        <f t="shared" si="59"/>
        <v>Y</v>
      </c>
      <c r="X220" s="189">
        <f t="shared" si="70"/>
        <v>0</v>
      </c>
      <c r="Y220" s="67">
        <f t="shared" si="60"/>
        <v>4.7800000000000002E-2</v>
      </c>
      <c r="Z220" s="67">
        <f t="shared" si="61"/>
        <v>2.3306</v>
      </c>
      <c r="AA220" s="67">
        <f t="shared" si="62"/>
        <v>2.2827999999999999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63"/>
        <v>0315-23</v>
      </c>
      <c r="AE220" s="91" t="str">
        <f t="shared" si="6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0" s="88" t="str">
        <f t="shared" si="6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20" s="1" t="str">
        <f t="shared" si="66"/>
        <v>Other</v>
      </c>
      <c r="AH220" s="92" t="str">
        <f t="shared" si="67"/>
        <v>"%USERPROFILE%\Documents\GitHub\eaglep3\Utilities\RefineRTDCRunTimes.py" --tripid 315-23 --locoid 4025 --swversion DE.1.0.8.0 --startMP 204:478 --initTime 2016-12-24T02:40:30 --startdatetime 1969-12-31T17:00:00 --delay 1 --endMP 300:23306 --enddatetime 1969-12-31T17:00:00 --enforcementcount 0 &gt;&gt;C:\Users\stu\Documents\GitHub\eaglep3-reporting\EC\2016-12-23-refined-times.txt</v>
      </c>
      <c r="AI220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479</v>
      </c>
      <c r="B221" s="7">
        <v>4014</v>
      </c>
      <c r="C221" s="22" t="s">
        <v>205</v>
      </c>
      <c r="D221" s="22" t="s">
        <v>824</v>
      </c>
      <c r="E221" s="13">
        <v>42727.204085648147</v>
      </c>
      <c r="F221" s="13">
        <v>42727.205787037034</v>
      </c>
      <c r="G221" s="7">
        <v>1</v>
      </c>
      <c r="H221" s="22" t="s">
        <v>825</v>
      </c>
      <c r="I221" s="13">
        <v>42727.211180555554</v>
      </c>
      <c r="J221" s="7">
        <v>0</v>
      </c>
      <c r="K221" s="109" t="str">
        <f t="shared" si="53"/>
        <v>4013/4014</v>
      </c>
      <c r="L221" s="22" t="str">
        <f>VLOOKUP(A221,'Trips&amp;Operators'!$C$1:$G$99999,5,FALSE)</f>
        <v>SIMMONS SHYHESHA</v>
      </c>
      <c r="M221" s="6">
        <f t="shared" si="54"/>
        <v>5.393518520577345E-3</v>
      </c>
      <c r="N221" s="7">
        <f t="shared" si="55"/>
        <v>7.7666666696313769</v>
      </c>
      <c r="O221" s="7"/>
      <c r="P221" s="7"/>
      <c r="Q221" s="23"/>
      <c r="R221" s="23"/>
      <c r="S221" s="35">
        <f t="shared" si="56"/>
        <v>0</v>
      </c>
      <c r="T221" s="50" t="str">
        <f t="shared" si="57"/>
        <v>NorthBound</v>
      </c>
      <c r="U221" s="18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03:53:53-700',mode:absolute,to:'2016-12-23 06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1" s="52" t="str">
        <f t="shared" si="59"/>
        <v>Y</v>
      </c>
      <c r="X221" s="189">
        <f t="shared" si="70"/>
        <v>586</v>
      </c>
      <c r="Y221" s="67">
        <f t="shared" si="60"/>
        <v>2.9944999999999999</v>
      </c>
      <c r="Z221" s="67">
        <f t="shared" si="61"/>
        <v>5.8994999999999997</v>
      </c>
      <c r="AA221" s="67">
        <f t="shared" si="62"/>
        <v>2.9049999999999998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63"/>
        <v>0901-23</v>
      </c>
      <c r="AE221" s="91" t="str">
        <f t="shared" si="64"/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AF221" s="88" t="str">
        <f t="shared" si="65"/>
        <v>"C:\Program Files (x86)\AstroGrep\AstroGrep.exe" /spath="%USERPROFILE%\AppData\Local\Temp\OnboardLogs" /stypes="app*4014*20161223*" /stext=" 12:.+((SYSTEM_STATE.+slice.+state.+changed )|(ment ac)|(multiple cpu faults)|(system.+state.+changed )|(\[timeout)|(PRM\|1\|D)|(kpr)|(kdp)|(\|lc)|(penalty))" /e /r /s</v>
      </c>
      <c r="AG221" s="1" t="str">
        <f t="shared" si="66"/>
        <v>Other</v>
      </c>
      <c r="AH221" s="92" t="str">
        <f t="shared" si="67"/>
        <v>"%USERPROFILE%\Documents\GitHub\eaglep3\Utilities\RefineRTDCRunTimes.py" --tripid 901-23 --locoid 4014 --swversion DE.1.0.8.0 --startMP 300:29945 --initTime 2016-12-23T04:53:53 --startdatetime 2016-12-23T04:56:20 --delay 1 --endMP 300:58995 --enddatetime 2016-12-23T05:04:06 --enforcementcount 0 &gt;&gt;C:\Users\stu\Documents\GitHub\eaglep3-reporting\EC\2016-12-23-refined-times.txt</v>
      </c>
      <c r="AI221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{"issue":{"subject":"","project_id":79,"tracker_id":40,"status_id":1,"priority_id":2,"assigned_to_id":23,"start_date":"2016-12-23","description":"","custom_fields":[{"id":1,"name":"Subdivision","value":"Other"},{"id":4,"name":"Milepost","value":"5.8995"},{"id":17,"name":"Train ID","value":"901-23"},{"id":16,"name":"Locomotive ID","value":"4014"},{"id":130,"name":"Impact","value":""},{"id":150,"name":"Time of Event (Mountain Time)","value":"05:04:06"},{"id":151,"name":"Denver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490</v>
      </c>
      <c r="B222" s="7">
        <v>4019</v>
      </c>
      <c r="C222" s="22" t="s">
        <v>205</v>
      </c>
      <c r="D222" s="22" t="s">
        <v>826</v>
      </c>
      <c r="E222" s="13">
        <v>42727.241018518522</v>
      </c>
      <c r="F222" s="13">
        <v>42727.243564814817</v>
      </c>
      <c r="G222" s="7">
        <v>1</v>
      </c>
      <c r="H222" s="22" t="s">
        <v>403</v>
      </c>
      <c r="I222" s="13">
        <v>42727.2499537037</v>
      </c>
      <c r="J222" s="7">
        <v>0</v>
      </c>
      <c r="K222" s="109" t="str">
        <f t="shared" si="53"/>
        <v>4019/4020</v>
      </c>
      <c r="L222" s="22" t="str">
        <f>VLOOKUP(A222,'Trips&amp;Operators'!$C$1:$G$99999,5,FALSE)</f>
        <v>SHOOK JOHN</v>
      </c>
      <c r="M222" s="6">
        <f t="shared" si="54"/>
        <v>6.388888883520849E-3</v>
      </c>
      <c r="N222" s="7">
        <f t="shared" si="55"/>
        <v>9.1999999922700226</v>
      </c>
      <c r="O222" s="7"/>
      <c r="P222" s="7"/>
      <c r="Q222" s="23"/>
      <c r="R222" s="23"/>
      <c r="S222" s="35">
        <f t="shared" si="56"/>
        <v>1</v>
      </c>
      <c r="T222" s="50" t="str">
        <f t="shared" si="57"/>
        <v>Southbound</v>
      </c>
      <c r="U222" s="18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04:47:04-700',mode:absolute,to:'2016-12-23 06:59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2" s="52" t="str">
        <f t="shared" si="59"/>
        <v>Y</v>
      </c>
      <c r="X222" s="189">
        <f t="shared" si="70"/>
        <v>1</v>
      </c>
      <c r="Y222" s="67">
        <f t="shared" si="60"/>
        <v>2.2635000000000001</v>
      </c>
      <c r="Z222" s="67">
        <f t="shared" si="61"/>
        <v>7.22E-2</v>
      </c>
      <c r="AA222" s="67">
        <f t="shared" si="62"/>
        <v>2.1913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63"/>
        <v>0902-23</v>
      </c>
      <c r="AE222" s="91" t="str">
        <f t="shared" si="64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222" s="88" t="str">
        <f t="shared" si="65"/>
        <v>"C:\Program Files (x86)\AstroGrep\AstroGrep.exe" /spath="%USERPROFILE%\AppData\Local\Temp\OnboardLogs" /stypes="app*4019*20161223*" /stext=" 12:.+((SYSTEM_STATE.+slice.+state.+changed )|(ment ac)|(multiple cpu faults)|(system.+state.+changed )|(\[timeout)|(PRM\|1\|D)|(kpr)|(kdp)|(\|lc)|(penalty))" /e /r /s</v>
      </c>
      <c r="AG222" s="1" t="str">
        <f t="shared" si="66"/>
        <v>Other</v>
      </c>
      <c r="AH222" s="92" t="str">
        <f t="shared" si="67"/>
        <v>"%USERPROFILE%\Documents\GitHub\eaglep3\Utilities\RefineRTDCRunTimes.py" --tripid 902-23 --locoid 4019 --swversion DE.1.0.8.0 --startMP 300:22635 --initTime 2016-12-23T05:47:04 --startdatetime 2016-12-23T05:50:44 --delay 1 --endMP 204:722 --enddatetime 2016-12-23T05:59:56 --enforcementcount 0 &gt;&gt;C:\Users\stu\Documents\GitHub\eaglep3-reporting\EC\2016-12-23-refined-times.txt</v>
      </c>
      <c r="AI222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{"issue":{"subject":"","project_id":79,"tracker_id":40,"status_id":1,"priority_id":2,"assigned_to_id":23,"start_date":"2016-12-23","description":"","custom_fields":[{"id":1,"name":"Subdivision","value":"Other"},{"id":4,"name":"Milepost","value":"0.0722"},{"id":17,"name":"Train ID","value":"902-23"},{"id":16,"name":"Locomotive ID","value":"4019"},{"id":130,"name":"Impact","value":""},{"id":150,"name":"Time of Event (Mountain Time)","value":"05:59:56"},{"id":151,"name":"Denver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432</v>
      </c>
      <c r="B223" s="7">
        <v>4020</v>
      </c>
      <c r="C223" s="22" t="s">
        <v>205</v>
      </c>
      <c r="D223" s="22" t="s">
        <v>827</v>
      </c>
      <c r="E223" s="13">
        <v>42727.353275462963</v>
      </c>
      <c r="F223" s="13">
        <v>42727.355925925927</v>
      </c>
      <c r="G223" s="7">
        <v>2</v>
      </c>
      <c r="H223" s="22" t="s">
        <v>828</v>
      </c>
      <c r="I223" s="13">
        <v>42727.356319444443</v>
      </c>
      <c r="J223" s="7">
        <v>0</v>
      </c>
      <c r="K223" s="109" t="str">
        <f t="shared" si="53"/>
        <v>4019/4020</v>
      </c>
      <c r="L223" s="22" t="str">
        <f>VLOOKUP(A223,'Trips&amp;Operators'!$C$1:$G$99999,5,FALSE)</f>
        <v>SIMMONS SHYHESHA</v>
      </c>
      <c r="M223" s="6">
        <f t="shared" si="54"/>
        <v>3.9351851592073217E-4</v>
      </c>
      <c r="N223" s="7">
        <f t="shared" si="55"/>
        <v>0.56666666292585433</v>
      </c>
      <c r="O223" s="7"/>
      <c r="P223" s="7"/>
      <c r="Q223" s="23"/>
      <c r="R223" s="23"/>
      <c r="S223" s="35">
        <f t="shared" si="56"/>
        <v>0</v>
      </c>
      <c r="T223" s="50" t="str">
        <f t="shared" si="57"/>
        <v>NorthBound</v>
      </c>
      <c r="U223" s="18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07:28:43-700',mode:absolute,to:'2016-12-23 09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3" s="52" t="str">
        <f t="shared" si="59"/>
        <v>Y</v>
      </c>
      <c r="X223" s="189">
        <f t="shared" si="70"/>
        <v>1</v>
      </c>
      <c r="Y223" s="67">
        <f t="shared" si="60"/>
        <v>4.6800000000000001E-2</v>
      </c>
      <c r="Z223" s="67">
        <f t="shared" si="61"/>
        <v>0.16830000000000001</v>
      </c>
      <c r="AA223" s="67">
        <f t="shared" si="62"/>
        <v>0.1215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63"/>
        <v>0903-23</v>
      </c>
      <c r="AE223" s="91" t="str">
        <f t="shared" si="64"/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AF223" s="88" t="str">
        <f t="shared" si="65"/>
        <v>"C:\Program Files (x86)\AstroGrep\AstroGrep.exe" /spath="%USERPROFILE%\AppData\Local\Temp\OnboardLogs" /stypes="app*4020*20161223*" /stext=" 15:.+((SYSTEM_STATE.+slice.+state.+changed )|(ment ac)|(multiple cpu faults)|(system.+state.+changed )|(\[timeout)|(PRM\|1\|D)|(kpr)|(kdp)|(\|lc)|(penalty))" /e /r /s</v>
      </c>
      <c r="AG223" s="1" t="str">
        <f t="shared" si="66"/>
        <v>Other</v>
      </c>
      <c r="AH223" s="92" t="str">
        <f t="shared" si="67"/>
        <v>"%USERPROFILE%\Documents\GitHub\eaglep3\Utilities\RefineRTDCRunTimes.py" --tripid 903-23 --locoid 4020 --swversion DE.1.0.8.0 --startMP 204:468 --initTime 2016-12-23T08:28:43 --startdatetime 2016-12-23T08:32:32 --delay 2 --endMP 204:1683 --enddatetime 2016-12-23T08:33:06 --enforcementcount 0 &gt;&gt;C:\Users\stu\Documents\GitHub\eaglep3-reporting\EC\2016-12-23-refined-times.txt</v>
      </c>
      <c r="AI223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{"issue":{"subject":"","project_id":79,"tracker_id":40,"status_id":1,"priority_id":2,"assigned_to_id":23,"start_date":"2016-12-23","description":"","custom_fields":[{"id":1,"name":"Subdivision","value":"Other"},{"id":4,"name":"Milepost","value":"0.1683"},{"id":17,"name":"Train ID","value":"903-23"},{"id":16,"name":"Locomotive ID","value":"4020"},{"id":130,"name":"Impact","value":""},{"id":150,"name":"Time of Event (Mountain Time)","value":"08:33:06"},{"id":151,"name":"Denver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598</v>
      </c>
      <c r="B224" s="7">
        <v>4019</v>
      </c>
      <c r="C224" s="22" t="s">
        <v>205</v>
      </c>
      <c r="D224" s="22" t="s">
        <v>829</v>
      </c>
      <c r="E224" s="13">
        <v>42727.645543981482</v>
      </c>
      <c r="F224" s="13">
        <v>42727.646736111114</v>
      </c>
      <c r="G224" s="7">
        <v>1</v>
      </c>
      <c r="H224" s="22" t="s">
        <v>830</v>
      </c>
      <c r="I224" s="13">
        <v>42727.653078703705</v>
      </c>
      <c r="J224" s="7">
        <v>0</v>
      </c>
      <c r="K224" s="109" t="str">
        <f t="shared" si="53"/>
        <v>4019/4020</v>
      </c>
      <c r="L224" s="22" t="str">
        <f>VLOOKUP(A224,'Trips&amp;Operators'!$C$1:$G$99999,5,FALSE)</f>
        <v>SMITH MICHAEL</v>
      </c>
      <c r="M224" s="6">
        <f t="shared" si="54"/>
        <v>6.3425925909541547E-3</v>
      </c>
      <c r="N224" s="7">
        <f t="shared" si="55"/>
        <v>9.1333333309739828</v>
      </c>
      <c r="O224" s="7"/>
      <c r="P224" s="7"/>
      <c r="Q224" s="23"/>
      <c r="R224" s="23"/>
      <c r="S224" s="35">
        <f t="shared" si="56"/>
        <v>1</v>
      </c>
      <c r="T224" s="50" t="str">
        <f t="shared" si="57"/>
        <v>Southbound</v>
      </c>
      <c r="U224" s="183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14:29:35-700',mode:absolute,to:'2016-12-23 16:40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4" s="52" t="str">
        <f t="shared" si="59"/>
        <v>Y</v>
      </c>
      <c r="X224" s="189">
        <f t="shared" si="70"/>
        <v>1</v>
      </c>
      <c r="Y224" s="67">
        <f t="shared" si="60"/>
        <v>2.3368000000000002</v>
      </c>
      <c r="Z224" s="67">
        <f t="shared" si="61"/>
        <v>6.8500000000000005E-2</v>
      </c>
      <c r="AA224" s="67">
        <f t="shared" si="62"/>
        <v>2.2683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63"/>
        <v>0904-23</v>
      </c>
      <c r="AE224" s="91" t="str">
        <f t="shared" si="64"/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AF224" s="88" t="str">
        <f t="shared" si="65"/>
        <v>"C:\Program Files (x86)\AstroGrep\AstroGrep.exe" /spath="%USERPROFILE%\AppData\Local\Temp\OnboardLogs" /stypes="app*4019*20161223*" /stext=" 22:.+((SYSTEM_STATE.+slice.+state.+changed )|(ment ac)|(multiple cpu faults)|(system.+state.+changed )|(\[timeout)|(PRM\|1\|D)|(kpr)|(kdp)|(\|lc)|(penalty))" /e /r /s</v>
      </c>
      <c r="AG224" s="1" t="str">
        <f t="shared" si="66"/>
        <v>Other</v>
      </c>
      <c r="AH224" s="92" t="str">
        <f t="shared" si="67"/>
        <v>"%USERPROFILE%\Documents\GitHub\eaglep3\Utilities\RefineRTDCRunTimes.py" --tripid 904-23 --locoid 4019 --swversion DE.1.0.8.0 --startMP 300:23368 --initTime 2016-12-23T15:29:35 --startdatetime 2016-12-23T15:31:18 --delay 1 --endMP 204:685 --enddatetime 2016-12-23T15:40:26 --enforcementcount 0 &gt;&gt;C:\Users\stu\Documents\GitHub\eaglep3-reporting\EC\2016-12-23-refined-times.txt</v>
      </c>
      <c r="AI224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{"issue":{"subject":"","project_id":79,"tracker_id":40,"status_id":1,"priority_id":2,"assigned_to_id":23,"start_date":"2016-12-23","description":"","custom_fields":[{"id":1,"name":"Subdivision","value":"Other"},{"id":4,"name":"Milepost","value":"0.0685"},{"id":17,"name":"Train ID","value":"904-23"},{"id":16,"name":"Locomotive ID","value":"4019"},{"id":130,"name":"Impact","value":""},{"id":150,"name":"Time of Event (Mountain Time)","value":"15:40:26"},{"id":151,"name":"Denver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643</v>
      </c>
      <c r="B225" s="7">
        <v>4019</v>
      </c>
      <c r="C225" s="22" t="s">
        <v>205</v>
      </c>
      <c r="D225" s="22" t="s">
        <v>831</v>
      </c>
      <c r="E225" s="13">
        <v>42727.798159722224</v>
      </c>
      <c r="F225" s="13">
        <v>25568.708333333332</v>
      </c>
      <c r="G225" s="7">
        <v>1</v>
      </c>
      <c r="H225" s="22" t="s">
        <v>417</v>
      </c>
      <c r="I225" s="13">
        <v>25568.708333333332</v>
      </c>
      <c r="J225" s="7">
        <v>0</v>
      </c>
      <c r="K225" s="109" t="str">
        <f t="shared" si="53"/>
        <v>4019/4020</v>
      </c>
      <c r="L225" s="22" t="str">
        <f>VLOOKUP(A225,'Trips&amp;Operators'!$C$1:$G$99999,5,FALSE)</f>
        <v>SMITH MICHAEL</v>
      </c>
      <c r="M225" s="6">
        <f t="shared" si="54"/>
        <v>0</v>
      </c>
      <c r="N225" s="7">
        <f t="shared" si="55"/>
        <v>0</v>
      </c>
      <c r="O225" s="7"/>
      <c r="P225" s="7"/>
      <c r="Q225" s="23"/>
      <c r="R225" s="23"/>
      <c r="S225" s="35">
        <f t="shared" si="56"/>
        <v>0</v>
      </c>
      <c r="T225" s="50" t="str">
        <f t="shared" si="57"/>
        <v>Southbound</v>
      </c>
      <c r="U225" s="183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18:09:21-700',mode:absolute,to:'1969-12-31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5" s="52" t="str">
        <f t="shared" si="59"/>
        <v>Y</v>
      </c>
      <c r="X225" s="189">
        <f t="shared" si="70"/>
        <v>2</v>
      </c>
      <c r="Y225" s="67">
        <f t="shared" si="60"/>
        <v>5.8581000000000003</v>
      </c>
      <c r="Z225" s="67">
        <f t="shared" si="61"/>
        <v>2.8788999999999998</v>
      </c>
      <c r="AA225" s="67">
        <f t="shared" si="62"/>
        <v>2.9792000000000005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63"/>
        <v>0906-23</v>
      </c>
      <c r="AE225" s="91" t="str">
        <f t="shared" si="64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5" s="88" t="str">
        <f t="shared" si="65"/>
        <v>"C:\Program Files (x86)\AstroGrep\AstroGrep.exe" /spath="%USERPROFILE%\AppData\Local\Temp\OnboardLogs" /stypes="app*4019*19700101*" /stext=" 00:.+((SYSTEM_STATE.+slice.+state.+changed )|(ment ac)|(multiple cpu faults)|(system.+state.+changed )|(\[timeout)|(PRM\|1\|D)|(kpr)|(kdp)|(\|lc)|(penalty))" /e /r /s</v>
      </c>
      <c r="AG225" s="1" t="str">
        <f t="shared" si="66"/>
        <v>Other</v>
      </c>
      <c r="AH225" s="92" t="str">
        <f t="shared" si="67"/>
        <v>"%USERPROFILE%\Documents\GitHub\eaglep3\Utilities\RefineRTDCRunTimes.py" --tripid 906-23 --locoid 4019 --swversion DE.1.0.8.0 --startMP 300:58581 --initTime 2016-12-23T19:09:21 --startdatetime 1969-12-31T17:00:00 --delay 1 --endMP 300:28789 --enddatetime 1969-12-31T17:00:00 --enforcementcount 0 &gt;&gt;C:\Users\stu\Documents\GitHub\eaglep3-reporting\EC\2016-12-23-refined-times.txt</v>
      </c>
      <c r="AI225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ID","value":"906-23"},{"id":16,"name":"Locomotive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660</v>
      </c>
      <c r="B226" s="7">
        <v>4013</v>
      </c>
      <c r="C226" s="22" t="s">
        <v>205</v>
      </c>
      <c r="D226" s="22" t="s">
        <v>832</v>
      </c>
      <c r="E226" s="13">
        <v>42727.944733796299</v>
      </c>
      <c r="F226" s="13">
        <v>42727.946180555555</v>
      </c>
      <c r="G226" s="7">
        <v>1</v>
      </c>
      <c r="H226" s="22" t="s">
        <v>833</v>
      </c>
      <c r="I226" s="13">
        <v>42727.950983796298</v>
      </c>
      <c r="J226" s="7">
        <v>0</v>
      </c>
      <c r="K226" s="109" t="str">
        <f t="shared" si="53"/>
        <v>4013/4014</v>
      </c>
      <c r="L226" s="22" t="str">
        <f>VLOOKUP(A226,'Trips&amp;Operators'!$C$1:$G$99999,5,FALSE)</f>
        <v>SMITH MICHAEL</v>
      </c>
      <c r="M226" s="6">
        <f t="shared" si="54"/>
        <v>4.803240743058268E-3</v>
      </c>
      <c r="N226" s="7">
        <f t="shared" si="55"/>
        <v>6.9166666700039059</v>
      </c>
      <c r="O226" s="7"/>
      <c r="P226" s="7"/>
      <c r="Q226" s="23"/>
      <c r="R226" s="23"/>
      <c r="S226" s="35">
        <f t="shared" si="56"/>
        <v>0</v>
      </c>
      <c r="T226" s="50" t="str">
        <f t="shared" si="57"/>
        <v>Southbound</v>
      </c>
      <c r="U226" s="183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21:40:25-700',mode:absolute,to:'2016-12-23 23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6" s="52" t="str">
        <f t="shared" si="59"/>
        <v>Y</v>
      </c>
      <c r="X226" s="189">
        <f t="shared" si="70"/>
        <v>2</v>
      </c>
      <c r="Y226" s="67">
        <f t="shared" si="60"/>
        <v>5.8589000000000002</v>
      </c>
      <c r="Z226" s="67">
        <f t="shared" si="61"/>
        <v>2.1707999999999998</v>
      </c>
      <c r="AA226" s="67">
        <f t="shared" si="62"/>
        <v>3.6881000000000004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63"/>
        <v>0908-23</v>
      </c>
      <c r="AE226" s="91" t="str">
        <f t="shared" si="64"/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AF226" s="88" t="str">
        <f t="shared" si="65"/>
        <v>"C:\Program Files (x86)\AstroGrep\AstroGrep.exe" /spath="%USERPROFILE%\AppData\Local\Temp\OnboardLogs" /stypes="app*4013*20161224*" /stext=" 05:.+((SYSTEM_STATE.+slice.+state.+changed )|(ment ac)|(multiple cpu faults)|(system.+state.+changed )|(\[timeout)|(PRM\|1\|D)|(kpr)|(kdp)|(\|lc)|(penalty))" /e /r /s</v>
      </c>
      <c r="AG226" s="1" t="str">
        <f t="shared" si="66"/>
        <v>Other</v>
      </c>
      <c r="AH226" s="92" t="str">
        <f t="shared" si="67"/>
        <v>"%USERPROFILE%\Documents\GitHub\eaglep3\Utilities\RefineRTDCRunTimes.py" --tripid 908-23 --locoid 4013 --swversion DE.1.0.8.0 --startMP 300:58589 --initTime 2016-12-23T22:40:25 --startdatetime 2016-12-23T22:42:30 --delay 1 --endMP 300:21708 --enddatetime 2016-12-23T22:49:25 --enforcementcount 0 &gt;&gt;C:\Users\stu\Documents\GitHub\eaglep3-reporting\EC\2016-12-23-refined-times.txt</v>
      </c>
      <c r="AI226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{"issue":{"subject":"","project_id":79,"tracker_id":40,"status_id":1,"priority_id":2,"assigned_to_id":23,"start_date":"2016-12-23","description":"","custom_fields":[{"id":1,"name":"Subdivision","value":"Other"},{"id":4,"name":"Milepost","value":"2.1708"},{"id":17,"name":"Train ID","value":"908-23"},{"id":16,"name":"Locomotive ID","value":"4013"},{"id":130,"name":"Impact","value":""},{"id":150,"name":"Time of Event (Mountain Time)","value":"22:49:25"},{"id":151,"name":"Denver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553</v>
      </c>
      <c r="B227" s="7">
        <v>4054</v>
      </c>
      <c r="C227" s="22" t="s">
        <v>205</v>
      </c>
      <c r="D227" s="22" t="s">
        <v>766</v>
      </c>
      <c r="E227" s="13">
        <v>42727.47760416667</v>
      </c>
      <c r="F227" s="13">
        <v>42727.478819444441</v>
      </c>
      <c r="G227" s="7">
        <v>1</v>
      </c>
      <c r="H227" s="22" t="s">
        <v>767</v>
      </c>
      <c r="I227" s="13">
        <v>42727.483703703707</v>
      </c>
      <c r="J227" s="7">
        <v>0</v>
      </c>
      <c r="K227" s="109" t="str">
        <f t="shared" si="53"/>
        <v>4053/4054</v>
      </c>
      <c r="L227" s="22" t="str">
        <f>VLOOKUP(A227,'Trips&amp;Operators'!$C$1:$G$99999,5,FALSE)</f>
        <v>HELVIE ADAM</v>
      </c>
      <c r="M227" s="6">
        <f t="shared" si="54"/>
        <v>4.8842592659639195E-3</v>
      </c>
      <c r="N227" s="7">
        <f t="shared" si="55"/>
        <v>7.033333342988044</v>
      </c>
      <c r="O227" s="7"/>
      <c r="P227" s="7"/>
      <c r="Q227" s="23"/>
      <c r="R227" s="23"/>
      <c r="S227" s="35">
        <f t="shared" si="56"/>
        <v>0</v>
      </c>
      <c r="T227" s="50" t="e">
        <f t="shared" si="57"/>
        <v>#VALUE!</v>
      </c>
      <c r="U227" s="183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10:27:45-700',mode:absolute,to:'2016-12-23 12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7" s="52" t="str">
        <f t="shared" si="59"/>
        <v>Y</v>
      </c>
      <c r="X227" s="189" t="e">
        <f t="shared" si="70"/>
        <v>#VALUE!</v>
      </c>
      <c r="Y227" s="67">
        <f t="shared" si="60"/>
        <v>2.1829000000000001</v>
      </c>
      <c r="Z227" s="67">
        <f t="shared" si="61"/>
        <v>1.4E-2</v>
      </c>
      <c r="AA227" s="67">
        <f t="shared" si="62"/>
        <v>2.1689000000000003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63"/>
        <v>50-23</v>
      </c>
      <c r="AE227" s="91" t="str">
        <f t="shared" si="64"/>
        <v>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 &amp; 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</v>
      </c>
      <c r="AF227" s="88" t="str">
        <f t="shared" si="65"/>
        <v>"C:\Program Files (x86)\AstroGrep\AstroGrep.exe" /spath="%USERPROFILE%\AppData\Local\Temp\OnboardLogs" /stypes="app*4054*20161223*" /stext=" 18:.+((SYSTEM_STATE.+slice.+state.+changed )|(ment ac)|(multiple cpu faults)|(system.+state.+changed )|(\[timeout)|(PRM\|1\|D)|(kpr)|(kdp)|(\|lc)|(penalty))" /e /r /s</v>
      </c>
      <c r="AG227" s="1" t="str">
        <f t="shared" si="66"/>
        <v>Other</v>
      </c>
      <c r="AH227" s="92" t="str">
        <f t="shared" si="67"/>
        <v>"%USERPROFILE%\Documents\GitHub\eaglep3\Utilities\RefineRTDCRunTimes.py" --tripid 50-23 --locoid 4054 --swversion DE.1.0.8.0 --startMP 300:21829 --initTime 2016-12-23T11:27:45 --startdatetime 2016-12-23T11:29:30 --delay 1 --endMP 204:140 --enddatetime 2016-12-23T11:36:32 --enforcementcount 0 &gt;&gt;C:\Users\stu\Documents\GitHub\eaglep3-reporting\EC\2016-12-23-refined-times.txt</v>
      </c>
      <c r="AI227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{"issue":{"subject":"","project_id":79,"tracker_id":40,"status_id":1,"priority_id":2,"assigned_to_id":23,"start_date":"2016-12-23","description":"","custom_fields":[{"id":1,"name":"Subdivision","value":"Other"},{"id":4,"name":"Milepost","value":"0.014"},{"id":17,"name":"Train ID","value":"50-23"},{"id":16,"name":"Locomotive ID","value":"4054"},{"id":130,"name":"Impact","value":""},{"id":150,"name":"Time of Event (Mountain Time)","value":"11:36:32"},{"id":151,"name":"Denver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629</v>
      </c>
      <c r="B228" s="7">
        <v>4054</v>
      </c>
      <c r="C228" s="22" t="s">
        <v>205</v>
      </c>
      <c r="D228" s="22" t="s">
        <v>768</v>
      </c>
      <c r="E228" s="13">
        <v>42727.751585648148</v>
      </c>
      <c r="F228" s="13">
        <v>42727.752789351849</v>
      </c>
      <c r="G228" s="7">
        <v>1</v>
      </c>
      <c r="H228" s="22">
        <v>8.5284722222222218</v>
      </c>
      <c r="I228" s="13">
        <v>42727.757939814815</v>
      </c>
      <c r="J228" s="7">
        <v>0</v>
      </c>
      <c r="K228" s="109" t="str">
        <f t="shared" si="53"/>
        <v>4053/4054</v>
      </c>
      <c r="L228" s="22" t="str">
        <f>VLOOKUP(A228,'Trips&amp;Operators'!$C$1:$G$99999,5,FALSE)</f>
        <v>HILLS DUSTIN</v>
      </c>
      <c r="M228" s="6">
        <f t="shared" si="54"/>
        <v>5.1504629664123058E-3</v>
      </c>
      <c r="N228" s="7">
        <f t="shared" si="55"/>
        <v>7.4166666716337204</v>
      </c>
      <c r="O228" s="7"/>
      <c r="P228" s="7"/>
      <c r="Q228" s="23"/>
      <c r="R228" s="23"/>
      <c r="S228" s="35">
        <f t="shared" si="56"/>
        <v>0</v>
      </c>
      <c r="T228" s="50" t="e">
        <f t="shared" si="57"/>
        <v>#VALUE!</v>
      </c>
      <c r="U228" s="183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17:02:17-700',mode:absolute,to:'2016-12-23 19:11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8" s="52" t="str">
        <f t="shared" si="59"/>
        <v>N</v>
      </c>
      <c r="X228" s="189" t="e">
        <f t="shared" si="70"/>
        <v>#VALUE!</v>
      </c>
      <c r="Y228" s="67">
        <f t="shared" si="60"/>
        <v>2.3167</v>
      </c>
      <c r="Z228" s="67">
        <f t="shared" si="61"/>
        <v>84722222.222200006</v>
      </c>
      <c r="AA228" s="67">
        <f t="shared" si="62"/>
        <v>84722219.90550001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63"/>
        <v>70-23</v>
      </c>
      <c r="AE228" s="91" t="str">
        <f t="shared" si="64"/>
        <v>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 &amp; 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</v>
      </c>
      <c r="AF228" s="88" t="str">
        <f t="shared" si="65"/>
        <v>"C:\Program Files (x86)\AstroGrep\AstroGrep.exe" /spath="%USERPROFILE%\AppData\Local\Temp\OnboardLogs" /stypes="app*4054*20161224*" /stext=" 01:.+((SYSTEM_STATE.+slice.+state.+changed )|(ment ac)|(multiple cpu faults)|(system.+state.+changed )|(\[timeout)|(PRM\|1\|D)|(kpr)|(kdp)|(\|lc)|(penalty))" /e /r /s</v>
      </c>
      <c r="AG228" s="1" t="str">
        <f t="shared" si="66"/>
        <v>Other</v>
      </c>
      <c r="AH228" s="92" t="str">
        <f t="shared" si="67"/>
        <v>"%USERPROFILE%\Documents\GitHub\eaglep3\Utilities\RefineRTDCRunTimes.py" --tripid 70-23 --locoid 4054 --swversion DE.1.0.8.0 --startMP 300:23167 --initTime 2016-12-23T18:02:17 --startdatetime 2016-12-23T18:04:01 --delay 1 --endMP 8.52847222222222 --enddatetime 2016-12-23T18:11:26 --enforcementcount 0 &gt;&gt;C:\Users\stu\Documents\GitHub\eaglep3-reporting\EC\2016-12-23-refined-times.txt</v>
      </c>
      <c r="AI228" s="119" t="str">
        <f t="shared" si="68"/>
        <v>echo {"issue":{"subject":"","project_id":79,"tracker_id":40,"status_id":1,"priority_id":2,"assigned_to_id":23,"start_date":"2016-12-23","description":"","custom_fields":[{"id":1,"name":"Subdivision","value":"Other"},{"id":4,"name":"Milepost","value":"84722222.2222"},{"id":17,"name":"Train ID","value":"70-23"},{"id":16,"name":"Locomotive ID","value":"4054"},{"id":130,"name":"Impact","value":""},{"id":150,"name":"Time of Event (Mountain Time)","value":"18:11:26"},{"id":151,"name":"Denver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637</v>
      </c>
      <c r="B229" s="7">
        <v>4053</v>
      </c>
      <c r="C229" s="22" t="s">
        <v>205</v>
      </c>
      <c r="D229" s="22" t="s">
        <v>769</v>
      </c>
      <c r="E229" s="13">
        <v>42727.77443287037</v>
      </c>
      <c r="F229" s="13">
        <v>25568.708333333332</v>
      </c>
      <c r="G229" s="7">
        <v>1</v>
      </c>
      <c r="H229" s="22" t="s">
        <v>770</v>
      </c>
      <c r="I229" s="13">
        <v>25568.708333333332</v>
      </c>
      <c r="J229" s="7">
        <v>0</v>
      </c>
      <c r="K229" s="109" t="str">
        <f t="shared" si="53"/>
        <v>4053/4054</v>
      </c>
      <c r="L229" s="22" t="str">
        <f>VLOOKUP(A229,'Trips&amp;Operators'!$C$1:$G$99999,5,FALSE)</f>
        <v>CLARK KATHLEEN</v>
      </c>
      <c r="M229" s="6">
        <f t="shared" si="54"/>
        <v>0</v>
      </c>
      <c r="N229" s="7">
        <f t="shared" si="55"/>
        <v>0</v>
      </c>
      <c r="O229" s="7"/>
      <c r="P229" s="7"/>
      <c r="Q229" s="23"/>
      <c r="R229" s="23"/>
      <c r="S229" s="35">
        <f t="shared" si="56"/>
        <v>0</v>
      </c>
      <c r="T229" s="50" t="e">
        <f t="shared" si="57"/>
        <v>#VALUE!</v>
      </c>
      <c r="U229" s="183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https://search-rtdc-monitor-bjffxe2xuh6vdkpspy63sjmuny.us-east-1.es.amazonaws.com/_plugin/kibana/#/discover/Steve-Slow-Train-Analysis-(2080s-and-2083s)?_g=(refreshInterval:(display:Off,section:0,value:0),time:(from:'2016-12-23 17:35:11-700',mode:absolute,to:'1969-12-31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9" s="52" t="str">
        <f t="shared" si="59"/>
        <v>Y</v>
      </c>
      <c r="X229" s="189" t="e">
        <f t="shared" si="70"/>
        <v>#VALUE!</v>
      </c>
      <c r="Y229" s="67">
        <f t="shared" si="60"/>
        <v>3.6600000000000001E-2</v>
      </c>
      <c r="Z229" s="67">
        <f t="shared" si="61"/>
        <v>2.3304</v>
      </c>
      <c r="AA229" s="67">
        <f t="shared" si="62"/>
        <v>2.2938000000000001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63"/>
        <v>71-23</v>
      </c>
      <c r="AE229" s="91" t="str">
        <f t="shared" si="64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9" s="88" t="str">
        <f t="shared" si="65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29" s="1" t="str">
        <f t="shared" si="66"/>
        <v>Other</v>
      </c>
      <c r="AH229" s="92" t="str">
        <f t="shared" si="67"/>
        <v>"%USERPROFILE%\Documents\GitHub\eaglep3\Utilities\RefineRTDCRunTimes.py" --tripid 71-23 --locoid 4053 --swversion DE.1.0.8.0 --startMP 204:366 --initTime 2016-12-23T18:35:11 --startdatetime 1969-12-31T17:00:00 --delay 1 --endMP 300:23304 --enddatetime 1969-12-31T17:00:00 --enforcementcount 0 &gt;&gt;C:\Users\stu\Documents\GitHub\eaglep3-reporting\EC\2016-12-23-refined-times.txt</v>
      </c>
      <c r="AI229" s="119" t="str">
        <f t="shared" si="6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ID","value":"71-23"},{"id":16,"name":"Locomotive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V230"/>
      <c r="W230"/>
      <c r="X230" s="181"/>
      <c r="Y230"/>
      <c r="Z230"/>
      <c r="AA230"/>
      <c r="AB230"/>
      <c r="AC230"/>
      <c r="AD230"/>
      <c r="AE230"/>
      <c r="AF230"/>
      <c r="AH230"/>
      <c r="AI230"/>
    </row>
    <row r="231" spans="1:3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V231"/>
      <c r="W231"/>
      <c r="X231" s="181"/>
      <c r="Y231"/>
      <c r="Z231"/>
      <c r="AA231"/>
      <c r="AB231"/>
      <c r="AC231"/>
      <c r="AD231"/>
      <c r="AE231"/>
      <c r="AF231"/>
      <c r="AH231"/>
      <c r="AI231"/>
    </row>
    <row r="232" spans="1:3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V232"/>
      <c r="W232"/>
      <c r="X232" s="181"/>
      <c r="Y232"/>
      <c r="Z232"/>
      <c r="AA232"/>
      <c r="AB232"/>
      <c r="AC232"/>
      <c r="AD232"/>
      <c r="AE232"/>
      <c r="AF232"/>
      <c r="AH232"/>
      <c r="AI232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V233"/>
      <c r="W233"/>
      <c r="X233" s="181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/>
      <c r="W234"/>
      <c r="X234" s="181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/>
      <c r="W235"/>
      <c r="X235" s="181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/>
      <c r="W236"/>
      <c r="X236" s="181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/>
      <c r="W237"/>
      <c r="X237" s="181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/>
      <c r="W238"/>
      <c r="X238" s="181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/>
      <c r="W239"/>
      <c r="X239" s="181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/>
      <c r="W240"/>
      <c r="X240" s="181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/>
      <c r="W241"/>
      <c r="X241" s="181"/>
      <c r="Y241"/>
      <c r="Z241"/>
      <c r="AA241"/>
      <c r="AB241"/>
      <c r="AC241"/>
      <c r="AD241"/>
      <c r="AE241"/>
      <c r="AF241"/>
      <c r="AH241"/>
      <c r="AI241"/>
    </row>
  </sheetData>
  <autoFilter ref="A12:AG228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42:X1048576 W13:X229">
    <cfRule type="cellIs" dxfId="10" priority="352" operator="equal">
      <formula>"Y"</formula>
    </cfRule>
  </conditionalFormatting>
  <conditionalFormatting sqref="X242:X1048576 X13:X229">
    <cfRule type="cellIs" dxfId="9" priority="335" operator="greaterThan">
      <formula>1</formula>
    </cfRule>
  </conditionalFormatting>
  <conditionalFormatting sqref="X242:X1048576 X12:X229">
    <cfRule type="cellIs" dxfId="8" priority="332" operator="equal">
      <formula>0</formula>
    </cfRule>
  </conditionalFormatting>
  <conditionalFormatting sqref="A13:S229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109"/>
  <sheetViews>
    <sheetView topLeftCell="A5" zoomScaleNormal="100" workbookViewId="0">
      <selection activeCell="C22" sqref="C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0">
        <f>COUNTIF($O$7:$O$332,"=Y")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71">
        <f>COUNTA($O$7:$O$332)-O2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75" t="str">
        <f>"Eagle P3 Braking Events - "&amp;TEXT(Variables!$A$2,"YYYY-mm-dd")</f>
        <v>Eagle P3 Braking Events - 2016-12-23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7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42727.373657407406</v>
      </c>
      <c r="B7" s="31" t="s">
        <v>210</v>
      </c>
      <c r="C7" s="31" t="s">
        <v>435</v>
      </c>
      <c r="D7" s="31" t="s">
        <v>98</v>
      </c>
      <c r="E7" s="31" t="s">
        <v>247</v>
      </c>
      <c r="F7" s="47">
        <v>0</v>
      </c>
      <c r="G7" s="47">
        <v>121</v>
      </c>
      <c r="H7" s="47">
        <v>27335</v>
      </c>
      <c r="I7" s="47">
        <v>27236</v>
      </c>
      <c r="J7" s="31" t="s">
        <v>248</v>
      </c>
      <c r="K7" s="47">
        <v>27350</v>
      </c>
      <c r="L7" s="154" t="s">
        <v>51</v>
      </c>
      <c r="M7" s="155">
        <f t="shared" ref="M7:M49" si="0">CONVERT((I7-K7)/10000,"mi","ft")*IF(L7="Increasing Mileposts (1)",-1,1)</f>
        <v>-60.192</v>
      </c>
      <c r="N7" s="156" t="str">
        <f>VLOOKUP(C7,'Trips&amp;Operators'!$C$1:$G$99999,5,FALSE)</f>
        <v>DAVIS WENDY</v>
      </c>
      <c r="O7" s="173" t="s">
        <v>195</v>
      </c>
      <c r="P7" s="157" t="s">
        <v>857</v>
      </c>
      <c r="Q7" s="31"/>
      <c r="R7" s="100" t="str">
        <f>VLOOKUP(C7,'Train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7" s="103" t="str">
        <f>VLOOKUP(C7,'Train Runs'!$A$13:$AE$9972,22,0)</f>
        <v>https://search-rtdc-monitor-bjffxe2xuh6vdkpspy63sjmuny.us-east-1.es.amazonaws.com/_plugin/kibana/#/discover/Steve-Slow-Train-Analysis-(2080s-and-2083s)?_g=(refreshInterval:(display:Off,section:0,value:0),time:(from:'2016-12-23 07:20:32-700',mode:absolute,to:'2016-12-23 10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7" s="105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/stypes="*4012*201612231*" /stext=" 15:.+((SYSTEM_STATE.+slice.+state.+changed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4012</v>
      </c>
      <c r="V7" s="36">
        <f t="shared" ref="V7:V49" si="3">A7-utc_offset/24</f>
        <v>42727.665324074071</v>
      </c>
      <c r="W7" s="50" t="str">
        <f t="shared" ref="W7:W49" si="4">IF(VALUE(LEFT(IF(LEN(C7)=6,"0"&amp;C7,C7),2))&lt;=2,"EC",IF(OR(VALUE(LEFT(IF(LEN(C7)=6,"0"&amp;C7,C7),2))=8,VALUE(LEFT(IF(LEN(C7)=6,"0"&amp;C7,C7),2))=18),"NW","Other"))</f>
        <v>EC</v>
      </c>
      <c r="X7" s="50" t="str">
        <f t="shared" ref="X7:X49" si="5">IF(AND(E7="TRACK WARRANT AUTHORITY",G7&lt;10),"OMIT","KEEP")</f>
        <v>KEEP</v>
      </c>
      <c r="Y7" s="11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arrival","project_id":79,"tracker_id":40,"status_id":1,"priority_id":2,"assigned_to_id":23,"start_date":"2016-12-23","description":"","custom_fields":[{"id":1,"name":"Subdivision","value":"EC"},{"id":4,"name":"Milepost","value":"2.735"},{"id":17,"name":"Train ID","value":"132-23"},{"id":16,"name":"Locomotive ID","value":"4012"},{"id":130,"name":"Impact","value":""},{"id":150,"name":"Time of Event (Mountain Time)","value":"08:58:04"},{"id":151,"name":"Denver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"%USERPROFILE%\AppData\Local\Temp\OnboardLogs"\RTDC4012\*4012*201612231*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8" spans="1:30" s="1" customFormat="1" x14ac:dyDescent="0.25">
      <c r="A8" s="36">
        <v>42727.317847222221</v>
      </c>
      <c r="B8" s="31" t="s">
        <v>204</v>
      </c>
      <c r="C8" s="31" t="s">
        <v>429</v>
      </c>
      <c r="D8" s="31" t="s">
        <v>49</v>
      </c>
      <c r="E8" s="31" t="s">
        <v>247</v>
      </c>
      <c r="F8" s="47">
        <v>0</v>
      </c>
      <c r="G8" s="47">
        <v>175</v>
      </c>
      <c r="H8" s="47">
        <v>30734</v>
      </c>
      <c r="I8" s="47">
        <v>30930</v>
      </c>
      <c r="J8" s="31" t="s">
        <v>248</v>
      </c>
      <c r="K8" s="47">
        <v>30830</v>
      </c>
      <c r="L8" s="154" t="s">
        <v>50</v>
      </c>
      <c r="M8" s="155">
        <f t="shared" si="0"/>
        <v>-52.8</v>
      </c>
      <c r="N8" s="156" t="str">
        <f>VLOOKUP(C8,'Trips&amp;Operators'!$C$1:$G$99999,5,FALSE)</f>
        <v>DAVIS WENDY</v>
      </c>
      <c r="O8" s="173" t="s">
        <v>195</v>
      </c>
      <c r="P8" s="157" t="s">
        <v>857</v>
      </c>
      <c r="Q8" s="31"/>
      <c r="R8" s="100" t="str">
        <f>VLOOKUP(C8,'Train Runs'!$A$13:$AE$9972,31,0)</f>
        <v>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 &amp; 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</v>
      </c>
      <c r="S8" s="103" t="str">
        <f>VLOOKUP(C8,'Train Runs'!$A$13:$AE$9972,22,0)</f>
        <v>https://search-rtdc-monitor-bjffxe2xuh6vdkpspy63sjmuny.us-east-1.es.amazonaws.com/_plugin/kibana/#/discover/Steve-Slow-Train-Analysis-(2080s-and-2083s)?_g=(refreshInterval:(display:Off,section:0,value:0),time:(from:'2016-12-23 06:25:04-700',mode:absolute,to:'2016-12-23 09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8" s="105" t="str">
        <f t="shared" si="1"/>
        <v>"C:\Program Files (x86)\AstroGrep\AstroGrep.exe" /spath="%USERPROFILE%\AppData\Local\Temp\OnboardLogs" /stypes="*4011*201612231*" /stext=" 14:.+((SYSTEM_STATE.+slice.+state.+changed )|(ment ac)|(multiple cpu faults)|(system.+state.+changed )|(\[timeout)|(PRM\|1\|D)|(kpr)|(kdp)|(\|lc)|(penalty))" /e /r /s</v>
      </c>
      <c r="U8" s="9" t="str">
        <f t="shared" si="2"/>
        <v>4011</v>
      </c>
      <c r="V8" s="36">
        <f t="shared" si="3"/>
        <v>42727.609513888885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arrival","project_id":79,"tracker_id":40,"status_id":1,"priority_id":2,"assigned_to_id":23,"start_date":"2016-12-23","description":"","custom_fields":[{"id":1,"name":"Subdivision","value":"EC"},{"id":4,"name":"Milepost","value":"3.083"},{"id":17,"name":"Train ID","value":"131-23"},{"id":16,"name":"Locomotive ID","value":"4011"},{"id":130,"name":"Impact","value":""},{"id":150,"name":"Time of Event (Mountain Time)","value":"07:37:42"},{"id":151,"name":"Denver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"%USERPROFILE%\AppData\Local\Temp\OnboardLogs"\RTDC4011\*4011*201612231*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"%USERPROFILE%\AppData\Local\Temp\OnboardLogs"\RTDC4011\*4011*201612231* &gt;&gt; 42727-slicedisagreementcheck.txt</v>
      </c>
    </row>
    <row r="9" spans="1:30" s="1" customFormat="1" x14ac:dyDescent="0.25">
      <c r="A9" s="36">
        <v>42727.259988425925</v>
      </c>
      <c r="B9" s="31" t="s">
        <v>296</v>
      </c>
      <c r="C9" s="31" t="s">
        <v>425</v>
      </c>
      <c r="D9" s="31" t="s">
        <v>98</v>
      </c>
      <c r="E9" s="31" t="s">
        <v>247</v>
      </c>
      <c r="F9" s="47">
        <v>0</v>
      </c>
      <c r="G9" s="47">
        <v>700</v>
      </c>
      <c r="H9" s="47">
        <v>103781</v>
      </c>
      <c r="I9" s="47">
        <v>98574</v>
      </c>
      <c r="J9" s="31" t="s">
        <v>248</v>
      </c>
      <c r="K9" s="47">
        <v>103800</v>
      </c>
      <c r="L9" s="154" t="s">
        <v>51</v>
      </c>
      <c r="M9" s="155">
        <f t="shared" si="0"/>
        <v>-2759.3279999999995</v>
      </c>
      <c r="N9" s="156" t="str">
        <f>VLOOKUP(C9,'Trips&amp;Operators'!$C$1:$G$99999,5,FALSE)</f>
        <v>BONDS REYNALDO</v>
      </c>
      <c r="O9" s="173" t="s">
        <v>227</v>
      </c>
      <c r="P9" s="157" t="s">
        <v>976</v>
      </c>
      <c r="Q9" s="31"/>
      <c r="R9" s="100" t="str">
        <f>VLOOKUP(C9,'Train Runs'!$A$13:$AE$9972,31,0)</f>
        <v>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 &amp; 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</v>
      </c>
      <c r="S9" s="103" t="str">
        <f>VLOOKUP(C9,'Train Runs'!$A$13:$AE$9972,22,0)</f>
        <v>https://search-rtdc-monitor-bjffxe2xuh6vdkpspy63sjmuny.us-east-1.es.amazonaws.com/_plugin/kibana/#/discover/Steve-Slow-Train-Analysis-(2080s-and-2083s)?_g=(refreshInterval:(display:Off,section:0,value:0),time:(from:'2016-12-23 04:44:17-700',mode:absolute,to:'2016-12-23 07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9" s="105" t="str">
        <f t="shared" si="1"/>
        <v>"C:\Program Files (x86)\AstroGrep\AstroGrep.exe" /spath="%USERPROFILE%\AppData\Local\Temp\OnboardLogs" /stypes="*4043*201612231*" /stext=" 13:.+((SYSTEM_STATE.+slice.+state.+changed )|(ment ac)|(multiple cpu faults)|(system.+state.+changed )|(\[timeout)|(PRM\|1\|D)|(kpr)|(kdp)|(\|lc)|(penalty))" /e /r /s</v>
      </c>
      <c r="U9" s="9" t="str">
        <f t="shared" si="2"/>
        <v>4043</v>
      </c>
      <c r="V9" s="36">
        <f t="shared" si="3"/>
        <v>42727.551655092589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arrival, banner without braking","project_id":79,"tracker_id":40,"status_id":1,"priority_id":2,"assigned_to_id":23,"start_date":"2016-12-23","description":"","custom_fields":[{"id":1,"name":"Subdivision","value":"EC"},{"id":4,"name":"Milepost","value":"10.38"},{"id":17,"name":"Train ID","value":"112-23"},{"id":16,"name":"Locomotive ID","value":"4043"},{"id":130,"name":"Impact","value":""},{"id":150,"name":"Time of Event (Mountain Time)","value":"06:14:23"},{"id":151,"name":"Denver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"%USERPROFILE%\AppData\Local\Temp\OnboardLogs"\RTDC4043\*4043*201612231*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"%USERPROFILE%\AppData\Local\Temp\OnboardLogs"\RTDC4043\*4043*201612231* &gt;&gt; 42727-slicedisagreementcheck.txt</v>
      </c>
    </row>
    <row r="10" spans="1:30" s="1" customFormat="1" x14ac:dyDescent="0.25">
      <c r="A10" s="36">
        <v>42727.264652777776</v>
      </c>
      <c r="B10" s="31" t="s">
        <v>154</v>
      </c>
      <c r="C10" s="31" t="s">
        <v>426</v>
      </c>
      <c r="D10" s="31" t="s">
        <v>98</v>
      </c>
      <c r="E10" s="31" t="s">
        <v>196</v>
      </c>
      <c r="F10" s="47">
        <v>300</v>
      </c>
      <c r="G10" s="47">
        <v>351</v>
      </c>
      <c r="H10" s="47">
        <v>21035</v>
      </c>
      <c r="I10" s="47">
        <v>21936</v>
      </c>
      <c r="J10" s="31" t="s">
        <v>197</v>
      </c>
      <c r="K10" s="47">
        <v>20338</v>
      </c>
      <c r="L10" s="154" t="s">
        <v>50</v>
      </c>
      <c r="M10" s="155">
        <f t="shared" si="0"/>
        <v>-843.74400000000003</v>
      </c>
      <c r="N10" s="156" t="str">
        <f>VLOOKUP(C10,'Trips&amp;Operators'!$C$1:$G$99999,5,FALSE)</f>
        <v>STARKS ANGELINA</v>
      </c>
      <c r="O10" s="173" t="s">
        <v>195</v>
      </c>
      <c r="P10" s="157"/>
      <c r="Q10" s="31"/>
      <c r="R10" s="100" t="str">
        <f>VLOOKUP(C10,'Train Runs'!$A$13:$AE$9972,31,0)</f>
        <v>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 &amp; aws s3 cp s3://rtdc.mdm.uploadarchive.raw/RTDC4051/ "%USERPROFILE%\AppData\Local\Temp\OnboardLogs"\RTDC4051\2016-12-24 --exclude "*" --recursive --include "*20161224*" &amp; "%USERPROFILE%\Documents\GitHub\mrs-test-scripts\Headless Mode &amp; Sideloading\WalkAndUnGZ.bat" "%USERPROFILE%\AppData\Local\Temp\OnboardLogs"\RTDC4051\2016-12-24</v>
      </c>
      <c r="S10" s="103" t="str">
        <f>VLOOKUP(C10,'Train Runs'!$A$13:$AE$9972,22,0)</f>
        <v>https://search-rtdc-monitor-bjffxe2xuh6vdkpspy63sjmuny.us-east-1.es.amazonaws.com/_plugin/kibana/#/discover/Steve-Slow-Train-Analysis-(2080s-and-2083s)?_g=(refreshInterval:(display:Off,section:0,value:0),time:(from:'2016-12-23 05:11:05-700',mode:absolute,to:'2016-12-23 07:51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10" s="105" t="str">
        <f t="shared" si="1"/>
        <v>"C:\Program Files (x86)\AstroGrep\AstroGrep.exe" /spath="%USERPROFILE%\AppData\Local\Temp\OnboardLogs" /stypes="*4051*201612231*" /stext=" 13:.+((SYSTEM_STATE.+slice.+state.+changed )|(ment ac)|(multiple cpu faults)|(system.+state.+changed )|(\[timeout)|(PRM\|1\|D)|(kpr)|(kdp)|(\|lc)|(penalty))" /e /r /s</v>
      </c>
      <c r="U10" s="9" t="str">
        <f t="shared" si="2"/>
        <v>4051</v>
      </c>
      <c r="V10" s="36">
        <f t="shared" si="3"/>
        <v>42727.55631944444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{"issue":{"subject":"","project_id":79,"tracker_id":40,"status_id":1,"priority_id":2,"assigned_to_id":23,"start_date":"2016-12-23","description":"","custom_fields":[{"id":1,"name":"Subdivision","value":"EC"},{"id":4,"name":"Milepost","value":"2.0338"},{"id":17,"name":"Train ID","value":"121-23"},{"id":16,"name":"Locomotive ID","value":"4051"},{"id":130,"name":"Impact","value":""},{"id":150,"name":"Time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"%USERPROFILE%\AppData\Local\Temp\OnboardLogs"\RTDC4051\*4051*201612231*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"%USERPROFILE%\AppData\Local\Temp\OnboardLogs"\RTDC4051\*4051*201612231* &gt;&gt; 42727-slicedisagreementcheck.txt</v>
      </c>
    </row>
    <row r="11" spans="1:30" s="1" customFormat="1" x14ac:dyDescent="0.25">
      <c r="A11" s="36">
        <v>42727.93644675926</v>
      </c>
      <c r="B11" s="31" t="s">
        <v>235</v>
      </c>
      <c r="C11" s="31" t="s">
        <v>452</v>
      </c>
      <c r="D11" s="31" t="s">
        <v>49</v>
      </c>
      <c r="E11" s="31" t="s">
        <v>196</v>
      </c>
      <c r="F11" s="47">
        <v>150</v>
      </c>
      <c r="G11" s="47">
        <v>201</v>
      </c>
      <c r="H11" s="47">
        <v>229425</v>
      </c>
      <c r="I11" s="47">
        <v>228987</v>
      </c>
      <c r="J11" s="31" t="s">
        <v>197</v>
      </c>
      <c r="K11" s="47">
        <v>229055</v>
      </c>
      <c r="L11" s="154" t="s">
        <v>51</v>
      </c>
      <c r="M11" s="155">
        <f t="shared" si="0"/>
        <v>-35.904000000000003</v>
      </c>
      <c r="N11" s="156" t="str">
        <f>VLOOKUP(C11,'Trips&amp;Operators'!$C$1:$G$99999,5,FALSE)</f>
        <v>YANG JAN</v>
      </c>
      <c r="O11" s="173" t="s">
        <v>195</v>
      </c>
      <c r="P11" s="157"/>
      <c r="Q11" s="31"/>
      <c r="R11" s="100" t="str">
        <f>VLOOKUP(C11,'Train Runs'!$A$13:$AE$9972,31,0)</f>
        <v>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 &amp; 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</v>
      </c>
      <c r="S11" s="103" t="str">
        <f>VLOOKUP(C11,'Train Runs'!$A$13:$AE$9972,22,0)</f>
        <v>https://search-rtdc-monitor-bjffxe2xuh6vdkpspy63sjmuny.us-east-1.es.amazonaws.com/_plugin/kibana/#/discover/Steve-Slow-Train-Analysis-(2080s-and-2083s)?_g=(refreshInterval:(display:Off,section:0,value:0),time:(from:'2016-12-23 21:17:58-700',mode:absolute,to:'2016-12-24 00:09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/stypes="*4032*201612240*" /stext=" 05:.+((SYSTEM_STATE.+slice.+state.+changed )|(ment ac)|(multiple cpu faults)|(system.+state.+changed )|(\[timeout)|(PRM\|1\|D)|(kpr)|(kdp)|(\|lc)|(penalty))" /e /r /s</v>
      </c>
      <c r="U11" s="9" t="str">
        <f t="shared" si="2"/>
        <v>4032</v>
      </c>
      <c r="V11" s="36">
        <f t="shared" si="3"/>
        <v>42728.228113425925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{"issue":{"subject":"","project_id":79,"tracker_id":40,"status_id":1,"priority_id":2,"assigned_to_id":23,"start_date":"2016-12-23","description":"","custom_fields":[{"id":1,"name":"Subdivision","value":"EC"},{"id":4,"name":"Milepost","value":"22.9055"},{"id":17,"name":"Train ID","value":"232-23"},{"id":16,"name":"Locomotive ID","value":"4032"},{"id":130,"name":"Impact","value":""},{"id":150,"name":"Time of Event (Mountain Time)","value":"22:28:29"},{"id":151,"name":"Denver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"%USERPROFILE%\AppData\Local\Temp\OnboardLogs"\RTDC4032\*4032*201612240*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"%USERPROFILE%\AppData\Local\Temp\OnboardLogs"\RTDC4032\*4032*201612240* &gt;&gt; 42727-slicedisagreementcheck.txt</v>
      </c>
    </row>
    <row r="12" spans="1:30" s="1" customFormat="1" x14ac:dyDescent="0.25">
      <c r="A12" s="36">
        <v>42727.195625</v>
      </c>
      <c r="B12" s="31" t="s">
        <v>210</v>
      </c>
      <c r="C12" s="31" t="s">
        <v>422</v>
      </c>
      <c r="D12" s="31" t="s">
        <v>98</v>
      </c>
      <c r="E12" s="31" t="s">
        <v>196</v>
      </c>
      <c r="F12" s="47">
        <v>150</v>
      </c>
      <c r="G12" s="47">
        <v>200</v>
      </c>
      <c r="H12" s="47">
        <v>232137</v>
      </c>
      <c r="I12" s="47">
        <v>231818</v>
      </c>
      <c r="J12" s="31" t="s">
        <v>197</v>
      </c>
      <c r="K12" s="47">
        <v>233492</v>
      </c>
      <c r="L12" s="154" t="s">
        <v>51</v>
      </c>
      <c r="M12" s="155">
        <f t="shared" si="0"/>
        <v>-883.87199999999996</v>
      </c>
      <c r="N12" s="156" t="str">
        <f>VLOOKUP(C12,'Trips&amp;Operators'!$C$1:$G$99999,5,FALSE)</f>
        <v>DAVIS WENDY</v>
      </c>
      <c r="O12" s="173" t="s">
        <v>195</v>
      </c>
      <c r="P12" s="157"/>
      <c r="Q12" s="31"/>
      <c r="R12" s="100" t="str">
        <f>VLOOKUP(C12,'Train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12" s="103" t="str">
        <f>VLOOKUP(C12,'Train Runs'!$A$13:$AE$9972,22,0)</f>
        <v>https://search-rtdc-monitor-bjffxe2xuh6vdkpspy63sjmuny.us-east-1.es.amazonaws.com/_plugin/kibana/#/discover/Steve-Slow-Train-Analysis-(2080s-and-2083s)?_g=(refreshInterval:(display:Off,section:0,value:0),time:(from:'2016-12-23 03:35:50-700',mode:absolute,to:'2016-12-23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5" t="str">
        <f t="shared" si="1"/>
        <v>"C:\Program Files (x86)\AstroGrep\AstroGrep.exe" /spath="%USERPROFILE%\AppData\Local\Temp\OnboardLogs" /stypes="*4012*201612231*" /stext=" 11:.+((SYSTEM_STATE.+slice.+state.+changed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6">
        <f t="shared" si="3"/>
        <v>42727.487291666665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{"issue":{"subject":"","project_id":79,"tracker_id":40,"status_id":1,"priority_id":2,"assigned_to_id":23,"start_date":"2016-12-23","description":"","custom_fields":[{"id":1,"name":"Subdivision","value":"EC"},{"id":4,"name":"Milepost","value":"23.3492"},{"id":17,"name":"Train ID","value":"104-23"},{"id":16,"name":"Locomotive ID","value":"4012"},{"id":130,"name":"Impact","value":""},{"id":150,"name":"Time of Event (Mountain Time)","value":"04:41:42"},{"id":151,"name":"Denver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"%USERPROFILE%\AppData\Local\Temp\OnboardLogs"\RTDC4012\*4012*201612231*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13" spans="1:30" s="1" customFormat="1" x14ac:dyDescent="0.25">
      <c r="A13" s="36">
        <v>42727.662812499999</v>
      </c>
      <c r="B13" s="31" t="s">
        <v>231</v>
      </c>
      <c r="C13" s="31" t="s">
        <v>443</v>
      </c>
      <c r="D13" s="31" t="s">
        <v>49</v>
      </c>
      <c r="E13" s="31" t="s">
        <v>198</v>
      </c>
      <c r="F13" s="47">
        <v>0</v>
      </c>
      <c r="G13" s="47">
        <v>469</v>
      </c>
      <c r="H13" s="47">
        <v>35824</v>
      </c>
      <c r="I13" s="47">
        <v>36945</v>
      </c>
      <c r="J13" s="31" t="s">
        <v>199</v>
      </c>
      <c r="K13" s="47">
        <v>36645</v>
      </c>
      <c r="L13" s="154" t="s">
        <v>50</v>
      </c>
      <c r="M13" s="155">
        <f t="shared" si="0"/>
        <v>-158.4</v>
      </c>
      <c r="N13" s="156" t="str">
        <f>VLOOKUP(C13,'Trips&amp;Operators'!$C$1:$G$99999,5,FALSE)</f>
        <v>KILLION DAVID</v>
      </c>
      <c r="O13" s="173" t="s">
        <v>227</v>
      </c>
      <c r="P13" s="157" t="s">
        <v>856</v>
      </c>
      <c r="Q13" s="31"/>
      <c r="R13" s="100" t="str">
        <f>VLOOKUP(C13,'Train Runs'!$A$13:$AE$9972,31,0)</f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S13" s="103" t="str">
        <f>VLOOKUP(C13,'Train Runs'!$A$13:$AE$9972,22,0)</f>
        <v>https://search-rtdc-monitor-bjffxe2xuh6vdkpspy63sjmuny.us-east-1.es.amazonaws.com/_plugin/kibana/#/discover/Steve-Slow-Train-Analysis-(2080s-and-2083s)?_g=(refreshInterval:(display:Off,section:0,value:0),time:(from:'2016-12-23 14:40:46-700',mode:absolute,to:'2016-12-23 16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/stypes="*4042*201612232*" /stext=" 22:.+((SYSTEM_STATE.+slice.+state.+changed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6">
        <f t="shared" si="3"/>
        <v>42727.954479166663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{"issue":{"subject":"Wi-MAX data drop","project_id":79,"tracker_id":40,"status_id":1,"priority_id":2,"assigned_to_id":23,"start_date":"2016-12-23","description":"http://stevetu21.github.io/eaglep3/load_kml.html?kml=http://rtdc.gmaps-snips.s3.amazonaws.com/3e7ece43-0a08-4e10-83ff-d2120d397638.kml","custom_fields":[{"id":1,"name":"Subdivision","value":"EC"},{"id":4,"name":"Milepost","value":"3.6645"},{"id":17,"name":"Train ID","value":"197-23"},{"id":16,"name":"Locomotive ID","value":"4042"},{"id":130,"name":"Impact","value":"Enforcement"},{"id":150,"name":"Time of Event (Mountain Time)","value":"15:54:27"},{"id":151,"name":"Denver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174" t="s">
        <v>855</v>
      </c>
      <c r="AA13" s="53" t="s">
        <v>125</v>
      </c>
      <c r="AB13" s="53" t="s">
        <v>138</v>
      </c>
      <c r="AC13" s="138" t="str">
        <f t="shared" si="7"/>
        <v>grep -hSE -A100 "Enforcement Action" "%USERPROFILE%\AppData\Local\Temp\OnboardLogs"\RTDC4042\*4042*201612232*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"%USERPROFILE%\AppData\Local\Temp\OnboardLogs"\RTDC4042\*4042*201612232* &gt;&gt; 42727-slicedisagreementcheck.txt</v>
      </c>
    </row>
    <row r="14" spans="1:30" s="1" customFormat="1" x14ac:dyDescent="0.25">
      <c r="A14" s="36">
        <v>42727.663194444445</v>
      </c>
      <c r="B14" s="31" t="s">
        <v>231</v>
      </c>
      <c r="C14" s="31" t="s">
        <v>443</v>
      </c>
      <c r="D14" s="31" t="s">
        <v>98</v>
      </c>
      <c r="E14" s="31" t="s">
        <v>198</v>
      </c>
      <c r="F14" s="47">
        <v>0</v>
      </c>
      <c r="G14" s="47">
        <v>13</v>
      </c>
      <c r="H14" s="47">
        <v>36948</v>
      </c>
      <c r="I14" s="47">
        <v>36999</v>
      </c>
      <c r="J14" s="31" t="s">
        <v>199</v>
      </c>
      <c r="K14" s="47">
        <v>36645</v>
      </c>
      <c r="L14" s="154" t="s">
        <v>50</v>
      </c>
      <c r="M14" s="155">
        <f t="shared" si="0"/>
        <v>-186.91200000000001</v>
      </c>
      <c r="N14" s="156" t="str">
        <f>VLOOKUP(C14,'Trips&amp;Operators'!$C$1:$G$99999,5,FALSE)</f>
        <v>KILLION DAVID</v>
      </c>
      <c r="O14" s="173" t="s">
        <v>227</v>
      </c>
      <c r="P14" s="157" t="s">
        <v>856</v>
      </c>
      <c r="Q14" s="31"/>
      <c r="R14" s="100" t="str">
        <f>VLOOKUP(C14,'Train Runs'!$A$13:$AE$9972,31,0)</f>
        <v>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 &amp; 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</v>
      </c>
      <c r="S14" s="103" t="str">
        <f>VLOOKUP(C14,'Train Runs'!$A$13:$AE$9972,22,0)</f>
        <v>https://search-rtdc-monitor-bjffxe2xuh6vdkpspy63sjmuny.us-east-1.es.amazonaws.com/_plugin/kibana/#/discover/Steve-Slow-Train-Analysis-(2080s-and-2083s)?_g=(refreshInterval:(display:Off,section:0,value:0),time:(from:'2016-12-23 14:40:46-700',mode:absolute,to:'2016-12-23 16:55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4" s="105" t="str">
        <f t="shared" si="1"/>
        <v>"C:\Program Files (x86)\AstroGrep\AstroGrep.exe" /spath="%USERPROFILE%\AppData\Local\Temp\OnboardLogs" /stypes="*4042*201612232*" /stext=" 22:.+((SYSTEM_STATE.+slice.+state.+changed )|(ment ac)|(multiple cpu faults)|(system.+state.+changed )|(\[timeout)|(PRM\|1\|D)|(kpr)|(kdp)|(\|lc)|(penalty))" /e /r /s</v>
      </c>
      <c r="U14" s="9" t="str">
        <f t="shared" si="2"/>
        <v>4042</v>
      </c>
      <c r="V14" s="36">
        <f t="shared" si="3"/>
        <v>42727.954861111109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{"issue":{"subject":"Wi-MAX data drop","project_id":79,"tracker_id":40,"status_id":1,"priority_id":2,"assigned_to_id":23,"start_date":"2016-12-23","description":"","custom_fields":[{"id":1,"name":"Subdivision","value":"EC"},{"id":4,"name":"Milepost","value":"3.6645"},{"id":17,"name":"Train ID","value":"197-23"},{"id":16,"name":"Locomotive ID","value":"4042"},{"id":130,"name":"Impact","value":""},{"id":150,"name":"Time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"%USERPROFILE%\AppData\Local\Temp\OnboardLogs"\RTDC4042\*4042*201612232*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"%USERPROFILE%\AppData\Local\Temp\OnboardLogs"\RTDC4042\*4042*201612232* &gt;&gt; 42727-slicedisagreementcheck.txt</v>
      </c>
    </row>
    <row r="15" spans="1:30" s="1" customFormat="1" x14ac:dyDescent="0.25">
      <c r="A15" s="36">
        <v>42727.480439814812</v>
      </c>
      <c r="B15" s="31" t="s">
        <v>232</v>
      </c>
      <c r="C15" s="31" t="s">
        <v>439</v>
      </c>
      <c r="D15" s="31" t="s">
        <v>49</v>
      </c>
      <c r="E15" s="31" t="s">
        <v>198</v>
      </c>
      <c r="F15" s="47">
        <v>0</v>
      </c>
      <c r="G15" s="47">
        <v>394</v>
      </c>
      <c r="H15" s="47">
        <v>194654</v>
      </c>
      <c r="I15" s="47">
        <v>193655</v>
      </c>
      <c r="J15" s="31" t="s">
        <v>199</v>
      </c>
      <c r="K15" s="47">
        <v>191723</v>
      </c>
      <c r="L15" s="154" t="s">
        <v>51</v>
      </c>
      <c r="M15" s="155">
        <f t="shared" si="0"/>
        <v>1020.096</v>
      </c>
      <c r="N15" s="156" t="str">
        <f>VLOOKUP(C15,'Trips&amp;Operators'!$C$1:$G$99999,5,FALSE)</f>
        <v>GEBRETEKLE DAGNEW</v>
      </c>
      <c r="O15" s="173" t="s">
        <v>195</v>
      </c>
      <c r="P15" s="157" t="s">
        <v>860</v>
      </c>
      <c r="Q15" s="31"/>
      <c r="R15" s="100" t="str">
        <f>VLOOKUP(C15,'Train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15" s="103" t="str">
        <f>VLOOKUP(C15,'Train Runs'!$A$13:$AE$9972,22,0)</f>
        <v>https://search-rtdc-monitor-bjffxe2xuh6vdkpspy63sjmuny.us-east-1.es.amazonaws.com/_plugin/kibana/#/discover/Steve-Slow-Train-Analysis-(2080s-and-2083s)?_g=(refreshInterval:(display:Off,section:0,value:0),time:(from:'2016-12-23 10:12:42-700',mode:absolute,to:'2016-12-23 13:17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5" s="105" t="str">
        <f t="shared" si="1"/>
        <v>"C:\Program Files (x86)\AstroGrep\AstroGrep.exe" /spath="%USERPROFILE%\AppData\Local\Temp\OnboardLogs" /stypes="*4041*201612231*" /stext=" 18:.+((SYSTEM_STATE.+slice.+state.+changed )|(ment ac)|(multiple cpu faults)|(system.+state.+changed )|(\[timeout)|(PRM\|1\|D)|(kpr)|(kdp)|(\|lc)|(penalty))" /e /r /s</v>
      </c>
      <c r="U15" s="9" t="str">
        <f t="shared" si="2"/>
        <v>4041</v>
      </c>
      <c r="V15" s="36">
        <f t="shared" si="3"/>
        <v>42727.772106481476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{"issue":{"subject":"Pena 4S STOP","project_id":79,"tracker_id":40,"status_id":1,"priority_id":2,"assigned_to_id":23,"start_date":"2016-12-23","description":"","custom_fields":[{"id":1,"name":"Subdivision","value":"EC"},{"id":4,"name":"Milepost","value":"19.1723"},{"id":17,"name":"Train ID","value":"156-23"},{"id":16,"name":"Locomotive ID","value":"4041"},{"id":130,"name":"Impact","value":""},{"id":150,"name":"Time of Event (Mountain Time)","value":"11:31:50"},{"id":151,"name":"Denver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"%USERPROFILE%\AppData\Local\Temp\OnboardLogs"\RTDC4041\*4041*201612231*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"%USERPROFILE%\AppData\Local\Temp\OnboardLogs"\RTDC4041\*4041*201612231* &gt;&gt; 42727-slicedisagreementcheck.txt</v>
      </c>
    </row>
    <row r="16" spans="1:30" s="1" customFormat="1" x14ac:dyDescent="0.25">
      <c r="A16" s="36">
        <v>42728.063460648147</v>
      </c>
      <c r="B16" s="31" t="s">
        <v>258</v>
      </c>
      <c r="C16" s="31" t="s">
        <v>460</v>
      </c>
      <c r="D16" s="31" t="s">
        <v>98</v>
      </c>
      <c r="E16" s="31" t="s">
        <v>433</v>
      </c>
      <c r="F16" s="47">
        <v>0</v>
      </c>
      <c r="G16" s="47">
        <v>598</v>
      </c>
      <c r="H16" s="47">
        <v>13550</v>
      </c>
      <c r="I16" s="47">
        <v>10972</v>
      </c>
      <c r="J16" s="31" t="s">
        <v>434</v>
      </c>
      <c r="K16" s="47">
        <v>17100</v>
      </c>
      <c r="L16" s="154" t="s">
        <v>51</v>
      </c>
      <c r="M16" s="155">
        <f t="shared" si="0"/>
        <v>-3235.5839999999998</v>
      </c>
      <c r="N16" s="156" t="str">
        <f>VLOOKUP(C16,'Trips&amp;Operators'!$C$1:$G$99999,5,FALSE)</f>
        <v>STAMBAUGH JAMES</v>
      </c>
      <c r="O16" s="173" t="s">
        <v>227</v>
      </c>
      <c r="P16" s="157" t="s">
        <v>856</v>
      </c>
      <c r="Q16" s="31"/>
      <c r="R16" s="100" t="str">
        <f>VLOOKUP(C16,'Train Runs'!$A$13:$AE$9972,31,0)</f>
        <v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v>
      </c>
      <c r="S16" s="103" t="str">
        <f>VLOOKUP(C16,'Train Runs'!$A$13:$AE$9972,22,0)</f>
        <v>https://search-rtdc-monitor-bjffxe2xuh6vdkpspy63sjmuny.us-east-1.es.amazonaws.com/_plugin/kibana/#/discover/Steve-Slow-Train-Analysis-(2080s-and-2083s)?_g=(refreshInterval:(display:Off,section:0,value:0),time:(from:'2016-12-23 23:53:51-700',mode:absolute,to:'2016-12-24 02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6" s="105" t="str">
        <f t="shared" si="1"/>
        <v>"C:\Program Files (x86)\AstroGrep\AstroGrep.exe" /spath="%USERPROFILE%\AppData\Local\Temp\OnboardLogs" /stypes="*4015*201612240*" /stext=" 08:.+((SYSTEM_STATE.+slice.+state.+changed )|(ment ac)|(multiple cpu faults)|(system.+state.+changed )|(\[timeout)|(PRM\|1\|D)|(kpr)|(kdp)|(\|lc)|(penalty))" /e /r /s</v>
      </c>
      <c r="U16" s="9" t="str">
        <f t="shared" si="2"/>
        <v>4015</v>
      </c>
      <c r="V16" s="36">
        <f t="shared" si="3"/>
        <v>42728.355127314811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drop","project_id":79,"tracker_id":40,"status_id":1,"priority_id":2,"assigned_to_id":23,"start_date":"2016-12-24","description":"4015,inf,,,0:00:40.030370,2016-12-24 01:30:35.840981-07:00,,47a6ddf7-4c1d-46dd-b761-b4a81a35a923,"!(tcp contains ""compass"") &amp;&amp; (frame.time &gt;= ""2016-12-24 01:29:45.840981"") &amp;&amp; (frame.time &lt;= ""2016-12-24 01:32:05.871351"") &amp;&amp; (ip.host==10.40.15.202) &amp;&amp; !icmp",,,2016-12-24 01:31:15.871351-07:00","custom_fields":[{"id":1,"name":"Subdivision","value":"EC"},{"id":4,"name":"Milepost","value":"1.71"},{"id":17,"name":"Train ID","value":"242-23"},{"id":16,"name":"Locomotive ID","value":"4015"},{"id":130,"name":"Impact","value":""},{"id":150,"name":"Time of Event (Mountain Time)","value":"01:31:23"},{"id":151,"name":"Denver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 t="s">
        <v>861</v>
      </c>
      <c r="AA16" s="53"/>
      <c r="AB16" s="53"/>
      <c r="AC16" s="138" t="str">
        <f t="shared" si="7"/>
        <v>grep -hSE -A100 "Enforcement Action" "%USERPROFILE%\AppData\Local\Temp\OnboardLogs"\RTDC4015\*4015*201612240*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"%USERPROFILE%\AppData\Local\Temp\OnboardLogs"\RTDC4015\*4015*201612240* &gt;&gt; 42727-slicedisagreementcheck.txt</v>
      </c>
    </row>
    <row r="17" spans="1:30" s="1" customFormat="1" x14ac:dyDescent="0.25">
      <c r="A17" s="36">
        <v>42727.325231481482</v>
      </c>
      <c r="B17" s="31" t="s">
        <v>420</v>
      </c>
      <c r="C17" s="31" t="s">
        <v>430</v>
      </c>
      <c r="D17" s="31" t="s">
        <v>49</v>
      </c>
      <c r="E17" s="31" t="s">
        <v>259</v>
      </c>
      <c r="F17" s="47">
        <v>100</v>
      </c>
      <c r="G17" s="47">
        <v>468</v>
      </c>
      <c r="H17" s="47">
        <v>68774</v>
      </c>
      <c r="I17" s="47">
        <v>67432</v>
      </c>
      <c r="J17" s="31" t="s">
        <v>248</v>
      </c>
      <c r="K17" s="47">
        <v>66500</v>
      </c>
      <c r="L17" s="154" t="s">
        <v>51</v>
      </c>
      <c r="M17" s="155">
        <f t="shared" si="0"/>
        <v>492.096</v>
      </c>
      <c r="N17" s="156" t="str">
        <f>VLOOKUP(C17,'Trips&amp;Operators'!$C$1:$G$99999,5,FALSE)</f>
        <v>DUNCAN SHEILA</v>
      </c>
      <c r="O17" s="173" t="s">
        <v>195</v>
      </c>
      <c r="P17" s="157"/>
      <c r="Q17" s="31"/>
      <c r="R17" s="100" t="str">
        <f>VLOOKUP(C17,'Train Runs'!$A$13:$AE$9972,31,0)</f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S17" s="103" t="str">
        <f>VLOOKUP(C17,'Train Runs'!$A$13:$AE$9972,22,0)</f>
        <v>https://search-rtdc-monitor-bjffxe2xuh6vdkpspy63sjmuny.us-east-1.es.amazonaws.com/_plugin/kibana/#/discover/Steve-Slow-Train-Analysis-(2080s-and-2083s)?_g=(refreshInterval:(display:Off,section:0,value:0),time:(from:'2016-12-23 06:15:27-700',mode:absolute,to:'2016-12-23 09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5" t="str">
        <f t="shared" si="1"/>
        <v>"C:\Program Files (x86)\AstroGrep\AstroGrep.exe" /spath="%USERPROFILE%\AppData\Local\Temp\OnboardLogs" /stypes="*4008*201612231*" /stext=" 14:.+((SYSTEM_STATE.+slice.+state.+changed )|(ment ac)|(multiple cpu faults)|(system.+state.+changed )|(\[timeout)|(PRM\|1\|D)|(kpr)|(kdp)|(\|lc)|(penalty))" /e /r /s</v>
      </c>
      <c r="U17" s="9" t="str">
        <f t="shared" si="2"/>
        <v>4008</v>
      </c>
      <c r="V17" s="36">
        <f t="shared" si="3"/>
        <v>42727.616898148146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ID","value":"124-23"},{"id":16,"name":"Locomotive ID","value":"4008"},{"id":130,"name":"Impact","value":""},{"id":150,"name":"Time of Event (Mountain Time)","value":"07:48:20"},{"id":151,"name":"Denver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"%USERPROFILE%\AppData\Local\Temp\OnboardLogs"\RTDC4008\*4008*201612231*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"%USERPROFILE%\AppData\Local\Temp\OnboardLogs"\RTDC4008\*4008*201612231* &gt;&gt; 42727-slicedisagreementcheck.txt</v>
      </c>
    </row>
    <row r="18" spans="1:30" s="1" customFormat="1" x14ac:dyDescent="0.25">
      <c r="A18" s="36">
        <v>42727.450057870374</v>
      </c>
      <c r="B18" s="31" t="s">
        <v>258</v>
      </c>
      <c r="C18" s="31" t="s">
        <v>436</v>
      </c>
      <c r="D18" s="31" t="s">
        <v>49</v>
      </c>
      <c r="E18" s="31" t="s">
        <v>259</v>
      </c>
      <c r="F18" s="47">
        <v>100</v>
      </c>
      <c r="G18" s="47">
        <v>679</v>
      </c>
      <c r="H18" s="47">
        <v>71928</v>
      </c>
      <c r="I18" s="47">
        <v>69223</v>
      </c>
      <c r="J18" s="31" t="s">
        <v>248</v>
      </c>
      <c r="K18" s="47">
        <v>66500</v>
      </c>
      <c r="L18" s="154" t="s">
        <v>51</v>
      </c>
      <c r="M18" s="155">
        <f t="shared" si="0"/>
        <v>1437.7439999999999</v>
      </c>
      <c r="N18" s="156" t="str">
        <f>VLOOKUP(C18,'Trips&amp;Operators'!$C$1:$G$99999,5,FALSE)</f>
        <v>ROBINSON KADDIBA</v>
      </c>
      <c r="O18" s="173" t="s">
        <v>195</v>
      </c>
      <c r="P18" s="157"/>
      <c r="Q18" s="31"/>
      <c r="R18" s="100" t="str">
        <f>VLOOKUP(C18,'Train Runs'!$A$13:$AE$9972,31,0)</f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S18" s="103" t="str">
        <f>VLOOKUP(C18,'Train Runs'!$A$13:$AE$9972,22,0)</f>
        <v>https://search-rtdc-monitor-bjffxe2xuh6vdkpspy63sjmuny.us-east-1.es.amazonaws.com/_plugin/kibana/#/discover/Steve-Slow-Train-Analysis-(2080s-and-2083s)?_g=(refreshInterval:(display:Off,section:0,value:0),time:(from:'2016-12-23 09:21:43-700',mode:absolute,to:'2016-12-23 12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/stypes="*4015*201612231*" /stext=" 17:.+((SYSTEM_STATE.+slice.+state.+changed )|(ment ac)|(multiple cpu faults)|(system.+state.+changed )|(\[timeout)|(PRM\|1\|D)|(kpr)|(kdp)|(\|lc)|(penalty))" /e /r /s</v>
      </c>
      <c r="U18" s="9" t="str">
        <f t="shared" si="2"/>
        <v>4015</v>
      </c>
      <c r="V18" s="36">
        <f t="shared" si="3"/>
        <v>42727.741724537038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ID","value":"148-23"},{"id":16,"name":"Locomotive ID","value":"4015"},{"id":130,"name":"Impact","value":""},{"id":150,"name":"Time of Event (Mountain Time)","value":"10:48:05"},{"id":151,"name":"Denver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"%USERPROFILE%\AppData\Local\Temp\OnboardLogs"\RTDC4015\*4015*201612231*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"%USERPROFILE%\AppData\Local\Temp\OnboardLogs"\RTDC4015\*4015*201612231* &gt;&gt; 42727-slicedisagreementcheck.txt</v>
      </c>
    </row>
    <row r="19" spans="1:30" s="1" customFormat="1" x14ac:dyDescent="0.25">
      <c r="A19" s="36">
        <v>42727.461192129631</v>
      </c>
      <c r="B19" s="31" t="s">
        <v>155</v>
      </c>
      <c r="C19" s="31" t="s">
        <v>438</v>
      </c>
      <c r="D19" s="31" t="s">
        <v>49</v>
      </c>
      <c r="E19" s="31" t="s">
        <v>259</v>
      </c>
      <c r="F19" s="47">
        <v>100</v>
      </c>
      <c r="G19" s="47">
        <v>340</v>
      </c>
      <c r="H19" s="47">
        <v>67792</v>
      </c>
      <c r="I19" s="47">
        <v>67010</v>
      </c>
      <c r="J19" s="31" t="s">
        <v>248</v>
      </c>
      <c r="K19" s="47">
        <v>66500</v>
      </c>
      <c r="L19" s="154" t="s">
        <v>51</v>
      </c>
      <c r="M19" s="155">
        <f t="shared" si="0"/>
        <v>269.27999999999997</v>
      </c>
      <c r="N19" s="156" t="str">
        <f>VLOOKUP(C19,'Trips&amp;Operators'!$C$1:$G$99999,5,FALSE)</f>
        <v>STARKS ANGELINA</v>
      </c>
      <c r="O19" s="173" t="s">
        <v>195</v>
      </c>
      <c r="P19" s="157"/>
      <c r="Q19" s="31"/>
      <c r="R19" s="100" t="str">
        <f>VLOOKUP(C19,'Train Runs'!$A$13:$AE$9972,31,0)</f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S19" s="103" t="str">
        <f>VLOOKUP(C19,'Train Runs'!$A$13:$AE$9972,22,0)</f>
        <v>https://search-rtdc-monitor-bjffxe2xuh6vdkpspy63sjmuny.us-east-1.es.amazonaws.com/_plugin/kibana/#/discover/Steve-Slow-Train-Analysis-(2080s-and-2083s)?_g=(refreshInterval:(display:Off,section:0,value:0),time:(from:'2016-12-23 09:37:30-700',mode:absolute,to:'2016-12-23 12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19" s="105" t="str">
        <f t="shared" si="1"/>
        <v>"C:\Program Files (x86)\AstroGrep\AstroGrep.exe" /spath="%USERPROFILE%\AppData\Local\Temp\OnboardLogs" /stypes="*4052*201612231*" /stext=" 18:.+((SYSTEM_STATE.+slice.+state.+changed )|(ment ac)|(multiple cpu faults)|(system.+state.+changed )|(\[timeout)|(PRM\|1\|D)|(kpr)|(kdp)|(\|lc)|(penalty))" /e /r /s</v>
      </c>
      <c r="U19" s="9" t="str">
        <f t="shared" si="2"/>
        <v>4052</v>
      </c>
      <c r="V19" s="36">
        <f t="shared" si="3"/>
        <v>42727.752858796295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ID","value":"150-23"},{"id":16,"name":"Locomotive ID","value":"4052"},{"id":130,"name":"Impact","value":""},{"id":150,"name":"Time of Event (Mountain Time)","value":"11:04:07"},{"id":151,"name":"Denver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"%USERPROFILE%\AppData\Local\Temp\OnboardLogs"\RTDC4052\*4052*201612231*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"%USERPROFILE%\AppData\Local\Temp\OnboardLogs"\RTDC4052\*4052*201612231* &gt;&gt; 42727-slicedisagreementcheck.txt</v>
      </c>
    </row>
    <row r="20" spans="1:30" x14ac:dyDescent="0.25">
      <c r="A20" s="36">
        <v>42727.97142361111</v>
      </c>
      <c r="B20" s="31" t="s">
        <v>258</v>
      </c>
      <c r="C20" s="31" t="s">
        <v>457</v>
      </c>
      <c r="D20" s="31" t="s">
        <v>49</v>
      </c>
      <c r="E20" s="31" t="s">
        <v>259</v>
      </c>
      <c r="F20" s="47">
        <v>100</v>
      </c>
      <c r="G20" s="47">
        <v>338</v>
      </c>
      <c r="H20" s="47">
        <v>67610</v>
      </c>
      <c r="I20" s="47">
        <v>66829</v>
      </c>
      <c r="J20" s="31" t="s">
        <v>248</v>
      </c>
      <c r="K20" s="47">
        <v>66500</v>
      </c>
      <c r="L20" s="154" t="s">
        <v>51</v>
      </c>
      <c r="M20" s="155">
        <f t="shared" si="0"/>
        <v>173.71199999999999</v>
      </c>
      <c r="N20" s="156" t="str">
        <f>VLOOKUP(C20,'Trips&amp;Operators'!$C$1:$G$99999,5,FALSE)</f>
        <v>STAMBAUGH JAMES</v>
      </c>
      <c r="O20" s="173" t="s">
        <v>195</v>
      </c>
      <c r="P20" s="157"/>
      <c r="Q20" s="31"/>
      <c r="R20" s="100" t="str">
        <f>VLOOKUP(C20,'Train Runs'!$A$13:$AE$9972,31,0)</f>
        <v>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 &amp; 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</v>
      </c>
      <c r="S20" s="103" t="str">
        <f>VLOOKUP(C20,'Train Runs'!$A$13:$AE$9972,22,0)</f>
        <v>https://search-rtdc-monitor-bjffxe2xuh6vdkpspy63sjmuny.us-east-1.es.amazonaws.com/_plugin/kibana/#/discover/Steve-Slow-Train-Analysis-(2080s-and-2083s)?_g=(refreshInterval:(display:Off,section:0,value:0),time:(from:'2016-12-23 21:53:15-700',mode:absolute,to:'2016-12-24 00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/stypes="*4015*201612240*" /stext=" 06:.+((SYSTEM_STATE.+slice.+state.+changed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42728.263090277775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{"issue":{"subject":"","project_id":79,"tracker_id":40,"status_id":1,"priority_id":2,"assigned_to_id":23,"start_date":"2016-12-23","description":"","custom_fields":[{"id":1,"name":"Subdivision","value":"EC"},{"id":4,"name":"Milepost","value":"6.65"},{"id":17,"name":"Train ID","value":"234-23"},{"id":16,"name":"Locomotive ID","value":"4015"},{"id":130,"name":"Impact","value":""},{"id":150,"name":"Time of Event (Mountain Time)","value":"23:18:51"},{"id":151,"name":"Denver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"%USERPROFILE%\AppData\Local\Temp\OnboardLogs"\RTDC4015\*4015*201612240*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"%USERPROFILE%\AppData\Local\Temp\OnboardLogs"\RTDC4015\*4015*201612240* &gt;&gt; 42727-slicedisagreementcheck.txt</v>
      </c>
    </row>
    <row r="21" spans="1:30" x14ac:dyDescent="0.25">
      <c r="A21" s="36">
        <v>42728.014004629629</v>
      </c>
      <c r="B21" s="31" t="s">
        <v>454</v>
      </c>
      <c r="C21" s="31" t="s">
        <v>459</v>
      </c>
      <c r="D21" s="31" t="s">
        <v>49</v>
      </c>
      <c r="E21" s="31" t="s">
        <v>259</v>
      </c>
      <c r="F21" s="47">
        <v>100</v>
      </c>
      <c r="G21" s="47">
        <v>308</v>
      </c>
      <c r="H21" s="47">
        <v>67465</v>
      </c>
      <c r="I21" s="47">
        <v>66815</v>
      </c>
      <c r="J21" s="31" t="s">
        <v>248</v>
      </c>
      <c r="K21" s="47">
        <v>66500</v>
      </c>
      <c r="L21" s="154" t="s">
        <v>51</v>
      </c>
      <c r="M21" s="155">
        <f t="shared" si="0"/>
        <v>166.32</v>
      </c>
      <c r="N21" s="156" t="str">
        <f>VLOOKUP(C21,'Trips&amp;Operators'!$C$1:$G$99999,5,FALSE)</f>
        <v>BROWN JACOB</v>
      </c>
      <c r="O21" s="173" t="s">
        <v>195</v>
      </c>
      <c r="P21" s="157"/>
      <c r="Q21" s="31"/>
      <c r="R21" s="100" t="str">
        <f>VLOOKUP(C21,'Train Runs'!$A$13:$AE$9972,31,0)</f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S21" s="103" t="str">
        <f>VLOOKUP(C21,'Train Runs'!$A$13:$AE$9972,22,0)</f>
        <v>https://search-rtdc-monitor-bjffxe2xuh6vdkpspy63sjmuny.us-east-1.es.amazonaws.com/_plugin/kibana/#/discover/Steve-Slow-Train-Analysis-(2080s-and-2083s)?_g=(refreshInterval:(display:Off,section:0,value:0),time:(from:'2016-12-23 22:43:24-700',mode:absolute,to:'2016-12-24 01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/stypes="*4026*201612240*" /stext=" 07:.+((SYSTEM_STATE.+slice.+state.+changed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6">
        <f t="shared" si="3"/>
        <v>42728.305671296293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{"issue":{"subject":"","project_id":79,"tracker_id":40,"status_id":1,"priority_id":2,"assigned_to_id":23,"start_date":"2016-12-24","description":"","custom_fields":[{"id":1,"name":"Subdivision","value":"EC"},{"id":4,"name":"Milepost","value":"6.65"},{"id":17,"name":"Train ID","value":"238-23"},{"id":16,"name":"Locomotive ID","value":"4026"},{"id":130,"name":"Impact","value":""},{"id":150,"name":"Time of Event (Mountain Time)","value":"00:20:10"},{"id":151,"name":"Denver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"%USERPROFILE%\AppData\Local\Temp\OnboardLogs"\RTDC4026\*4026*201612240*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"%USERPROFILE%\AppData\Local\Temp\OnboardLogs"\RTDC4026\*4026*201612240* &gt;&gt; 42727-slicedisagreementcheck.txt</v>
      </c>
    </row>
    <row r="22" spans="1:30" ht="15" customHeight="1" x14ac:dyDescent="0.25">
      <c r="A22" s="36">
        <v>42727.202824074076</v>
      </c>
      <c r="B22" s="31" t="s">
        <v>232</v>
      </c>
      <c r="C22" s="31" t="s">
        <v>423</v>
      </c>
      <c r="D22" s="31" t="s">
        <v>49</v>
      </c>
      <c r="E22" s="31" t="s">
        <v>200</v>
      </c>
      <c r="F22" s="47">
        <v>0</v>
      </c>
      <c r="G22" s="47">
        <v>36</v>
      </c>
      <c r="H22" s="47">
        <v>139</v>
      </c>
      <c r="I22" s="47">
        <v>123</v>
      </c>
      <c r="J22" s="31" t="s">
        <v>201</v>
      </c>
      <c r="K22" s="47">
        <v>1</v>
      </c>
      <c r="L22" s="154" t="s">
        <v>51</v>
      </c>
      <c r="M22" s="155">
        <f t="shared" si="0"/>
        <v>64.415999999999997</v>
      </c>
      <c r="N22" s="156" t="str">
        <f>VLOOKUP(C22,'Trips&amp;Operators'!$C$1:$G$99999,5,FALSE)</f>
        <v>ISHMAEL JOSEPH</v>
      </c>
      <c r="O22" s="173" t="s">
        <v>195</v>
      </c>
      <c r="P22" s="157"/>
      <c r="Q22" s="31"/>
      <c r="R22" s="100" t="str">
        <f>VLOOKUP(C22,'Train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22" s="103" t="str">
        <f>VLOOKUP(C22,'Train Runs'!$A$13:$AE$9972,22,0)</f>
        <v>https://search-rtdc-monitor-bjffxe2xuh6vdkpspy63sjmuny.us-east-1.es.amazonaws.com/_plugin/kibana/#/discover/Steve-Slow-Train-Analysis-(2080s-and-2083s)?_g=(refreshInterval:(display:Off,section:0,value:0),time:(from:'2016-12-23 02:55:51-700',mode:absolute,to:'2016-12-23 05:52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2" s="105" t="str">
        <f t="shared" si="1"/>
        <v>"C:\Program Files (x86)\AstroGrep\AstroGrep.exe" /spath="%USERPROFILE%\AppData\Local\Temp\OnboardLogs" /stypes="*4041*201612231*" /stext=" 11:.+((SYSTEM_STATE.+slice.+state.+changed )|(ment ac)|(multiple cpu faults)|(system.+state.+changed )|(\[timeout)|(PRM\|1\|D)|(kpr)|(kdp)|(\|lc)|(penalty))" /e /r /s</v>
      </c>
      <c r="U22" s="9" t="str">
        <f t="shared" si="2"/>
        <v>4041</v>
      </c>
      <c r="V22" s="36">
        <f t="shared" si="3"/>
        <v>42727.494490740741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ID","value":"102-23"},{"id":16,"name":"Locomotive ID","value":"4041"},{"id":130,"name":"Impact","value":""},{"id":150,"name":"Time of Event (Mountain Time)","value":"04:52:04"},{"id":151,"name":"Denver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"%USERPROFILE%\AppData\Local\Temp\OnboardLogs"\RTDC4041\*4041*201612231*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"%USERPROFILE%\AppData\Local\Temp\OnboardLogs"\RTDC4041\*4041*201612231* &gt;&gt; 42727-slicedisagreementcheck.txt</v>
      </c>
    </row>
    <row r="23" spans="1:30" x14ac:dyDescent="0.25">
      <c r="A23" s="36">
        <v>42727.224479166667</v>
      </c>
      <c r="B23" s="31" t="s">
        <v>210</v>
      </c>
      <c r="C23" s="31" t="s">
        <v>422</v>
      </c>
      <c r="D23" s="31" t="s">
        <v>49</v>
      </c>
      <c r="E23" s="31" t="s">
        <v>200</v>
      </c>
      <c r="F23" s="47">
        <v>0</v>
      </c>
      <c r="G23" s="47">
        <v>72</v>
      </c>
      <c r="H23" s="47">
        <v>260</v>
      </c>
      <c r="I23" s="47">
        <v>103</v>
      </c>
      <c r="J23" s="31" t="s">
        <v>201</v>
      </c>
      <c r="K23" s="47">
        <v>1</v>
      </c>
      <c r="L23" s="154" t="s">
        <v>51</v>
      </c>
      <c r="M23" s="155">
        <f t="shared" si="0"/>
        <v>53.856000000000002</v>
      </c>
      <c r="N23" s="156" t="str">
        <f>VLOOKUP(C23,'Trips&amp;Operators'!$C$1:$G$99999,5,FALSE)</f>
        <v>DAVIS WENDY</v>
      </c>
      <c r="O23" s="173" t="s">
        <v>227</v>
      </c>
      <c r="P23" s="157" t="s">
        <v>975</v>
      </c>
      <c r="Q23" s="31"/>
      <c r="R23" s="100" t="str">
        <f>VLOOKUP(C23,'Train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23" s="103" t="str">
        <f>VLOOKUP(C23,'Train Runs'!$A$13:$AE$9972,22,0)</f>
        <v>https://search-rtdc-monitor-bjffxe2xuh6vdkpspy63sjmuny.us-east-1.es.amazonaws.com/_plugin/kibana/#/discover/Steve-Slow-Train-Analysis-(2080s-and-2083s)?_g=(refreshInterval:(display:Off,section:0,value:0),time:(from:'2016-12-23 03:35:50-700',mode:absolute,to:'2016-12-23 06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3" s="105" t="str">
        <f t="shared" si="1"/>
        <v>"C:\Program Files (x86)\AstroGrep\AstroGrep.exe" /spath="%USERPROFILE%\AppData\Local\Temp\OnboardLogs" /stypes="*4012*201612231*" /stext=" 12:.+((SYSTEM_STATE.+slice.+state.+changed )|(ment ac)|(multiple cpu faults)|(system.+state.+changed )|(\[timeout)|(PRM\|1\|D)|(kpr)|(kdp)|(\|lc)|(penalty))" /e /r /s</v>
      </c>
      <c r="U23" s="9" t="str">
        <f t="shared" si="2"/>
        <v>4012</v>
      </c>
      <c r="V23" s="36">
        <f t="shared" si="3"/>
        <v>42727.516145833331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{"issue":{"subject":"Banner without braking","project_id":79,"tracker_id":40,"status_id":1,"priority_id":2,"assigned_to_id":23,"start_date":"2016-12-23","description":"","custom_fields":[{"id":1,"name":"Subdivision","value":"EC"},{"id":4,"name":"Milepost","value":"0.0001"},{"id":17,"name":"Train ID","value":"104-23"},{"id":16,"name":"Locomotive ID","value":"4012"},{"id":130,"name":"Impact","value":""},{"id":150,"name":"Time of Event (Mountain Time)","value":"05:23:15"},{"id":151,"name":"Denver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"%USERPROFILE%\AppData\Local\Temp\OnboardLogs"\RTDC4012\*4012*201612231*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24" spans="1:30" x14ac:dyDescent="0.25">
      <c r="A24" s="36">
        <v>42727.451701388891</v>
      </c>
      <c r="B24" s="31" t="s">
        <v>210</v>
      </c>
      <c r="C24" s="31" t="s">
        <v>437</v>
      </c>
      <c r="D24" s="31" t="s">
        <v>49</v>
      </c>
      <c r="E24" s="31" t="s">
        <v>200</v>
      </c>
      <c r="F24" s="47">
        <v>0</v>
      </c>
      <c r="G24" s="47">
        <v>85</v>
      </c>
      <c r="H24" s="47">
        <v>302</v>
      </c>
      <c r="I24" s="47">
        <v>200</v>
      </c>
      <c r="J24" s="31" t="s">
        <v>201</v>
      </c>
      <c r="K24" s="47">
        <v>1</v>
      </c>
      <c r="L24" s="154" t="s">
        <v>51</v>
      </c>
      <c r="M24" s="155">
        <f t="shared" si="0"/>
        <v>105.072</v>
      </c>
      <c r="N24" s="156" t="str">
        <f>VLOOKUP(C24,'Trips&amp;Operators'!$C$1:$G$99999,5,FALSE)</f>
        <v>DAVIS WENDY</v>
      </c>
      <c r="O24" s="173" t="s">
        <v>195</v>
      </c>
      <c r="P24" s="157"/>
      <c r="Q24" s="31"/>
      <c r="R24" s="100" t="str">
        <f>VLOOKUP(C24,'Train Runs'!$A$13:$AE$9972,31,0)</f>
        <v>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 &amp; 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</v>
      </c>
      <c r="S24" s="103" t="str">
        <f>VLOOKUP(C24,'Train Runs'!$A$13:$AE$9972,22,0)</f>
        <v>https://search-rtdc-monitor-bjffxe2xuh6vdkpspy63sjmuny.us-east-1.es.amazonaws.com/_plugin/kibana/#/discover/Steve-Slow-Train-Analysis-(2080s-and-2083s)?_g=(refreshInterval:(display:Off,section:0,value:0),time:(from:'2016-12-23 09:04:06-700',mode:absolute,to:'2016-12-23 11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 t="shared" si="1"/>
        <v>"C:\Program Files (x86)\AstroGrep\AstroGrep.exe" /spath="%USERPROFILE%\AppData\Local\Temp\OnboardLogs" /stypes="*4012*201612231*" /stext=" 17:.+((SYSTEM_STATE.+slice.+state.+changed )|(ment ac)|(multiple cpu faults)|(system.+state.+changed )|(\[timeout)|(PRM\|1\|D)|(kpr)|(kdp)|(\|lc)|(penalty))" /e /r /s</v>
      </c>
      <c r="U24" s="9" t="str">
        <f t="shared" si="2"/>
        <v>4012</v>
      </c>
      <c r="V24" s="36">
        <f t="shared" si="3"/>
        <v>42727.743368055555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ID","value":"146-23"},{"id":16,"name":"Locomotive ID","value":"4012"},{"id":130,"name":"Impact","value":""},{"id":150,"name":"Time of Event (Mountain Time)","value":"10:50:27"},{"id":151,"name":"Denver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"%USERPROFILE%\AppData\Local\Temp\OnboardLogs"\RTDC4012\*4012*201612231*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"%USERPROFILE%\AppData\Local\Temp\OnboardLogs"\RTDC4012\*4012*201612231* &gt;&gt; 42727-slicedisagreementcheck.txt</v>
      </c>
    </row>
    <row r="25" spans="1:30" x14ac:dyDescent="0.25">
      <c r="A25" s="36">
        <v>42727.56</v>
      </c>
      <c r="B25" s="31" t="s">
        <v>420</v>
      </c>
      <c r="C25" s="31" t="s">
        <v>440</v>
      </c>
      <c r="D25" s="31" t="s">
        <v>49</v>
      </c>
      <c r="E25" s="31" t="s">
        <v>200</v>
      </c>
      <c r="F25" s="47">
        <v>0</v>
      </c>
      <c r="G25" s="47">
        <v>51</v>
      </c>
      <c r="H25" s="47">
        <v>176</v>
      </c>
      <c r="I25" s="47">
        <v>127</v>
      </c>
      <c r="J25" s="31" t="s">
        <v>201</v>
      </c>
      <c r="K25" s="47">
        <v>1</v>
      </c>
      <c r="L25" s="154" t="s">
        <v>51</v>
      </c>
      <c r="M25" s="155">
        <f t="shared" si="0"/>
        <v>66.528000000000006</v>
      </c>
      <c r="N25" s="156" t="str">
        <f>VLOOKUP(C25,'Trips&amp;Operators'!$C$1:$G$99999,5,FALSE)</f>
        <v>BRUDER RICHARD</v>
      </c>
      <c r="O25" s="173" t="s">
        <v>195</v>
      </c>
      <c r="P25" s="157"/>
      <c r="Q25" s="31"/>
      <c r="R25" s="100" t="str">
        <f>VLOOKUP(C25,'Train Runs'!$A$13:$AE$9972,31,0)</f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S25" s="103" t="str">
        <f>VLOOKUP(C25,'Train Runs'!$A$13:$AE$9972,22,0)</f>
        <v>https://search-rtdc-monitor-bjffxe2xuh6vdkpspy63sjmuny.us-east-1.es.amazonaws.com/_plugin/kibana/#/discover/Steve-Slow-Train-Analysis-(2080s-and-2083s)?_g=(refreshInterval:(display:Off,section:0,value:0),time:(from:'2016-12-23 11:35:37-700',mode:absolute,to:'2016-12-23 14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5" s="105" t="str">
        <f t="shared" si="1"/>
        <v>"C:\Program Files (x86)\AstroGrep\AstroGrep.exe" /spath="%USERPROFILE%\AppData\Local\Temp\OnboardLogs" /stypes="*4008*201612232*" /stext=" 20:.+((SYSTEM_STATE.+slice.+state.+changed )|(ment ac)|(multiple cpu faults)|(system.+state.+changed )|(\[timeout)|(PRM\|1\|D)|(kpr)|(kdp)|(\|lc)|(penalty))" /e /r /s</v>
      </c>
      <c r="U25" s="9" t="str">
        <f t="shared" si="2"/>
        <v>4008</v>
      </c>
      <c r="V25" s="36">
        <f t="shared" si="3"/>
        <v>42727.851666666662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ID","value":"166-23"},{"id":16,"name":"Locomotive ID","value":"4008"},{"id":130,"name":"Impact","value":""},{"id":150,"name":"Time of Event (Mountain Time)","value":"13:26:24"},{"id":151,"name":"Denver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"%USERPROFILE%\AppData\Local\Temp\OnboardLogs"\RTDC4008\*4008*201612232*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"%USERPROFILE%\AppData\Local\Temp\OnboardLogs"\RTDC4008\*4008*201612232* &gt;&gt; 42727-slicedisagreementcheck.txt</v>
      </c>
    </row>
    <row r="26" spans="1:30" x14ac:dyDescent="0.25">
      <c r="A26" s="36">
        <v>42727.578101851854</v>
      </c>
      <c r="B26" s="31" t="s">
        <v>232</v>
      </c>
      <c r="C26" s="31" t="s">
        <v>441</v>
      </c>
      <c r="D26" s="31" t="s">
        <v>49</v>
      </c>
      <c r="E26" s="31" t="s">
        <v>200</v>
      </c>
      <c r="F26" s="47">
        <v>0</v>
      </c>
      <c r="G26" s="47">
        <v>37</v>
      </c>
      <c r="H26" s="47">
        <v>134</v>
      </c>
      <c r="I26" s="47">
        <v>119</v>
      </c>
      <c r="J26" s="31" t="s">
        <v>201</v>
      </c>
      <c r="K26" s="47">
        <v>1</v>
      </c>
      <c r="L26" s="154" t="s">
        <v>51</v>
      </c>
      <c r="M26" s="155">
        <f t="shared" si="0"/>
        <v>62.304000000000002</v>
      </c>
      <c r="N26" s="156" t="str">
        <f>VLOOKUP(C26,'Trips&amp;Operators'!$C$1:$G$99999,5,FALSE)</f>
        <v>KILLION DAVID</v>
      </c>
      <c r="O26" s="173" t="s">
        <v>195</v>
      </c>
      <c r="P26" s="157"/>
      <c r="Q26" s="31"/>
      <c r="R26" s="100" t="str">
        <f>VLOOKUP(C26,'Train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26" s="103" t="str">
        <f>VLOOKUP(C26,'Train Runs'!$A$13:$AE$9972,22,0)</f>
        <v>https://search-rtdc-monitor-bjffxe2xuh6vdkpspy63sjmuny.us-east-1.es.amazonaws.com/_plugin/kibana/#/discover/Steve-Slow-Train-Analysis-(2080s-and-2083s)?_g=(refreshInterval:(display:Off,section:0,value:0),time:(from:'2016-12-23 12:06:56-700',mode:absolute,to:'2016-12-23 14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 t="shared" si="1"/>
        <v>"C:\Program Files (x86)\AstroGrep\AstroGrep.exe" /spath="%USERPROFILE%\AppData\Local\Temp\OnboardLogs" /stypes="*4041*201612232*" /stext=" 20:.+((SYSTEM_STATE.+slice.+state.+changed )|(ment ac)|(multiple cpu faults)|(system.+state.+changed )|(\[timeout)|(PRM\|1\|D)|(kpr)|(kdp)|(\|lc)|(penalty))" /e /r /s</v>
      </c>
      <c r="U26" s="9" t="str">
        <f t="shared" si="2"/>
        <v>4041</v>
      </c>
      <c r="V26" s="36">
        <f t="shared" si="3"/>
        <v>42727.869768518518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ID","value":"170-23"},{"id":16,"name":"Locomotive ID","value":"4041"},{"id":130,"name":"Impact","value":""},{"id":150,"name":"Time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"%USERPROFILE%\AppData\Local\Temp\OnboardLogs"\RTDC4041\*4041*201612232*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"%USERPROFILE%\AppData\Local\Temp\OnboardLogs"\RTDC4041\*4041*201612232* &gt;&gt; 42727-slicedisagreementcheck.txt</v>
      </c>
    </row>
    <row r="27" spans="1:30" x14ac:dyDescent="0.25">
      <c r="A27" s="36">
        <v>42727.723101851851</v>
      </c>
      <c r="B27" s="31" t="s">
        <v>232</v>
      </c>
      <c r="C27" s="31" t="s">
        <v>446</v>
      </c>
      <c r="D27" s="31" t="s">
        <v>49</v>
      </c>
      <c r="E27" s="31" t="s">
        <v>200</v>
      </c>
      <c r="F27" s="47">
        <v>0</v>
      </c>
      <c r="G27" s="47">
        <v>40</v>
      </c>
      <c r="H27" s="47">
        <v>143</v>
      </c>
      <c r="I27" s="47">
        <v>121</v>
      </c>
      <c r="J27" s="31" t="s">
        <v>201</v>
      </c>
      <c r="K27" s="47">
        <v>1</v>
      </c>
      <c r="L27" s="154" t="s">
        <v>51</v>
      </c>
      <c r="M27" s="155">
        <f t="shared" si="0"/>
        <v>63.36</v>
      </c>
      <c r="N27" s="156" t="str">
        <f>VLOOKUP(C27,'Trips&amp;Operators'!$C$1:$G$99999,5,FALSE)</f>
        <v>KILLION DAVID</v>
      </c>
      <c r="O27" s="173" t="s">
        <v>195</v>
      </c>
      <c r="P27" s="157"/>
      <c r="Q27" s="31"/>
      <c r="R27" s="100" t="str">
        <f>VLOOKUP(C27,'Train Runs'!$A$13:$AE$9972,31,0)</f>
        <v>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 &amp; 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</v>
      </c>
      <c r="S27" s="103" t="str">
        <f>VLOOKUP(C27,'Train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15:32:59-700',mode:absolute,to:'2016-12-23 18:21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7" s="105" t="str">
        <f t="shared" si="1"/>
        <v>"C:\Program Files (x86)\AstroGrep\AstroGrep.exe" /spath="%USERPROFILE%\AppData\Local\Temp\OnboardLogs" /stypes="*4041*201612240*" /stext=" 00:.+((SYSTEM_STATE.+slice.+state.+changed )|(ment ac)|(multiple cpu faults)|(system.+state.+changed )|(\[timeout)|(PRM\|1\|D)|(kpr)|(kdp)|(\|lc)|(penalty))" /e /r /s</v>
      </c>
      <c r="U27" s="9" t="str">
        <f t="shared" si="2"/>
        <v>4041</v>
      </c>
      <c r="V27" s="36">
        <f t="shared" si="3"/>
        <v>42728.014768518515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ID","value":"198-23"},{"id":16,"name":"Locomotive ID","value":"4041"},{"id":130,"name":"Impact","value":""},{"id":150,"name":"Time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"%USERPROFILE%\AppData\Local\Temp\OnboardLogs"\RTDC4041\*4041*201612240*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"%USERPROFILE%\AppData\Local\Temp\OnboardLogs"\RTDC4041\*4041*201612240* &gt;&gt; 42727-slicedisagreementcheck.txt</v>
      </c>
    </row>
    <row r="28" spans="1:30" ht="15" customHeight="1" x14ac:dyDescent="0.25">
      <c r="A28" s="36">
        <v>42727.942175925928</v>
      </c>
      <c r="B28" s="31" t="s">
        <v>454</v>
      </c>
      <c r="C28" s="31" t="s">
        <v>455</v>
      </c>
      <c r="D28" s="31" t="s">
        <v>49</v>
      </c>
      <c r="E28" s="31" t="s">
        <v>200</v>
      </c>
      <c r="F28" s="47">
        <v>0</v>
      </c>
      <c r="G28" s="47">
        <v>64</v>
      </c>
      <c r="H28" s="47">
        <v>221</v>
      </c>
      <c r="I28" s="47">
        <v>183</v>
      </c>
      <c r="J28" s="31" t="s">
        <v>201</v>
      </c>
      <c r="K28" s="47">
        <v>1</v>
      </c>
      <c r="L28" s="154" t="s">
        <v>51</v>
      </c>
      <c r="M28" s="155">
        <f t="shared" si="0"/>
        <v>96.096000000000004</v>
      </c>
      <c r="N28" s="156" t="str">
        <f>VLOOKUP(C28,'Trips&amp;Operators'!$C$1:$G$99999,5,FALSE)</f>
        <v>BROWN JACOB</v>
      </c>
      <c r="O28" s="173" t="s">
        <v>195</v>
      </c>
      <c r="P28" s="157"/>
      <c r="Q28" s="31"/>
      <c r="R28" s="100" t="str">
        <f>VLOOKUP(C28,'Train Runs'!$A$13:$AE$9972,31,0)</f>
        <v>aws s3 cp s3://rtdc.mdm.uploadarchive.raw/RTDC4026/ "%USERPROFILE%\AppData\Local\Temp\OnboardLogs"\RTDC4026\2016-12-23 --exclude "*" --recursive --include "*20161223*" &amp; "%USERPROFILE%\Documents\GitHub\mrs-test-scripts\Headless Mode &amp; Sideloading\WalkAndUnGZ.bat" "%USERPROFILE%\AppData\Local\Temp\OnboardLogs"\RTDC4026\2016-12-23 &amp; aws s3 cp s3://rtdc.mdm.uploadarchive.raw/RTDC4026/ "%USERPROFILE%\AppData\Local\Temp\OnboardLogs"\RTDC4026\2016-12-24 --exclude "*" --recursive --include "*20161224*" &amp; "%USERPROFILE%\Documents\GitHub\mrs-test-scripts\Headless Mode &amp; Sideloading\WalkAndUnGZ.bat" "%USERPROFILE%\AppData\Local\Temp\OnboardLogs"\RTDC4026\2016-12-24</v>
      </c>
      <c r="S28" s="103" t="str">
        <f>VLOOKUP(C28,'Train Runs'!$A$13:$AE$9972,22,0)</f>
        <v>https://search-rtdc-monitor-bjffxe2xuh6vdkpspy63sjmuny.us-east-1.es.amazonaws.com/_plugin/kibana/#/discover/Steve-Slow-Train-Analysis-(2080s-and-2083s)?_g=(refreshInterval:(display:Off,section:0,value:0),time:(from:'2016-12-23 20:51:38-700',mode:absolute,to:'2016-12-23 23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 t="shared" si="1"/>
        <v>"C:\Program Files (x86)\AstroGrep\AstroGrep.exe" /spath="%USERPROFILE%\AppData\Local\Temp\OnboardLogs" /stypes="*4026*201612240*" /stext=" 05:.+((SYSTEM_STATE.+slice.+state.+changed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6">
        <f t="shared" si="3"/>
        <v>42728.233842592592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{"issue":{"subject":"","project_id":79,"tracker_id":40,"status_id":1,"priority_id":2,"assigned_to_id":23,"start_date":"2016-12-23","description":"","custom_fields":[{"id":1,"name":"Subdivision","value":"EC"},{"id":4,"name":"Milepost","value":"0.0001"},{"id":17,"name":"Train ID","value":"230-23"},{"id":16,"name":"Locomotive ID","value":"4026"},{"id":130,"name":"Impact","value":""},{"id":150,"name":"Time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"%USERPROFILE%\AppData\Local\Temp\OnboardLogs"\RTDC4026\*4026*201612240*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"%USERPROFILE%\AppData\Local\Temp\OnboardLogs"\RTDC4026\*4026*201612240* &gt;&gt; 42727-slicedisagreementcheck.txt</v>
      </c>
    </row>
    <row r="29" spans="1:30" ht="15" customHeight="1" x14ac:dyDescent="0.25">
      <c r="A29" s="36">
        <v>42727.838506944441</v>
      </c>
      <c r="B29" s="31" t="s">
        <v>155</v>
      </c>
      <c r="C29" s="31" t="s">
        <v>449</v>
      </c>
      <c r="D29" s="31" t="s">
        <v>49</v>
      </c>
      <c r="E29" s="31" t="s">
        <v>200</v>
      </c>
      <c r="F29" s="47">
        <v>0</v>
      </c>
      <c r="G29" s="47">
        <v>90</v>
      </c>
      <c r="H29" s="47">
        <v>1266</v>
      </c>
      <c r="I29" s="47">
        <v>1152</v>
      </c>
      <c r="J29" s="31" t="s">
        <v>201</v>
      </c>
      <c r="K29" s="47">
        <v>839</v>
      </c>
      <c r="L29" s="154" t="s">
        <v>51</v>
      </c>
      <c r="M29" s="155">
        <f t="shared" si="0"/>
        <v>165.26400000000001</v>
      </c>
      <c r="N29" s="156" t="str">
        <f>VLOOKUP(C29,'Trips&amp;Operators'!$C$1:$G$99999,5,FALSE)</f>
        <v>HILLS DUSTIN</v>
      </c>
      <c r="O29" s="173" t="s">
        <v>195</v>
      </c>
      <c r="P29" s="157"/>
      <c r="Q29" s="31"/>
      <c r="R29" s="100" t="str">
        <f>VLOOKUP(C29,'Train Runs'!$A$13:$AE$9972,31,0)</f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S29" s="103" t="str">
        <f>VLOOKUP(C29,'Train Runs'!$A$13:$AE$9972,22,0)</f>
        <v>https://search-rtdc-monitor-bjffxe2xuh6vdkpspy63sjmuny.us-east-1.es.amazonaws.com/_plugin/kibana/#/discover/Steve-Slow-Train-Analysis-(2080s-and-2083s)?_g=(refreshInterval:(display:Off,section:0,value:0),time:(from:'2016-12-23 18:13:52-700',mode:absolute,to:'2016-12-23 21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9" s="105" t="str">
        <f t="shared" si="1"/>
        <v>"C:\Program Files (x86)\AstroGrep\AstroGrep.exe" /spath="%USERPROFILE%\AppData\Local\Temp\OnboardLogs" /stypes="*4052*201612240*" /stext=" 03:.+((SYSTEM_STATE.+slice.+state.+changed )|(ment ac)|(multiple cpu faults)|(system.+state.+changed )|(\[timeout)|(PRM\|1\|D)|(kpr)|(kdp)|(\|lc)|(penalty))" /e /r /s</v>
      </c>
      <c r="U29" s="9" t="str">
        <f t="shared" si="2"/>
        <v>4052</v>
      </c>
      <c r="V29" s="36">
        <f t="shared" si="3"/>
        <v>42728.130173611105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{"issue":{"subject":"","project_id":79,"tracker_id":40,"status_id":1,"priority_id":2,"assigned_to_id":23,"start_date":"2016-12-23","description":"","custom_fields":[{"id":1,"name":"Subdivision","value":"EC"},{"id":4,"name":"Milepost","value":"0.0839"},{"id":17,"name":"Train ID","value":"220-23"},{"id":16,"name":"Locomotive ID","value":"4052"},{"id":130,"name":"Impact","value":""},{"id":150,"name":"Time of Event (Mountain Time)","value":"20:07:27"},{"id":151,"name":"Denver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"%USERPROFILE%\AppData\Local\Temp\OnboardLogs"\RTDC4052\*4052*201612240*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"%USERPROFILE%\AppData\Local\Temp\OnboardLogs"\RTDC4052\*4052*201612240* &gt;&gt; 42727-slicedisagreementcheck.txt</v>
      </c>
    </row>
    <row r="30" spans="1:30" x14ac:dyDescent="0.25">
      <c r="A30" s="36">
        <v>42727.839050925926</v>
      </c>
      <c r="B30" s="31" t="s">
        <v>155</v>
      </c>
      <c r="C30" s="31" t="s">
        <v>449</v>
      </c>
      <c r="D30" s="31" t="s">
        <v>49</v>
      </c>
      <c r="E30" s="31" t="s">
        <v>200</v>
      </c>
      <c r="F30" s="47">
        <v>0</v>
      </c>
      <c r="G30" s="47">
        <v>41</v>
      </c>
      <c r="H30" s="47">
        <v>964</v>
      </c>
      <c r="I30" s="47">
        <v>924</v>
      </c>
      <c r="J30" s="31" t="s">
        <v>201</v>
      </c>
      <c r="K30" s="47">
        <v>839</v>
      </c>
      <c r="L30" s="154" t="s">
        <v>51</v>
      </c>
      <c r="M30" s="155">
        <f t="shared" si="0"/>
        <v>44.88</v>
      </c>
      <c r="N30" s="156" t="str">
        <f>VLOOKUP(C30,'Trips&amp;Operators'!$C$1:$G$99999,5,FALSE)</f>
        <v>HILLS DUSTIN</v>
      </c>
      <c r="O30" s="173" t="s">
        <v>195</v>
      </c>
      <c r="P30" s="157"/>
      <c r="Q30" s="31"/>
      <c r="R30" s="100" t="str">
        <f>VLOOKUP(C30,'Train Runs'!$A$13:$AE$9972,31,0)</f>
        <v>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 &amp; aws s3 cp s3://rtdc.mdm.uploadarchive.raw/RTDC4052/ "%USERPROFILE%\AppData\Local\Temp\OnboardLogs"\RTDC4052\2016-12-24 --exclude "*" --recursive --include "*20161224*" &amp; "%USERPROFILE%\Documents\GitHub\mrs-test-scripts\Headless Mode &amp; Sideloading\WalkAndUnGZ.bat" "%USERPROFILE%\AppData\Local\Temp\OnboardLogs"\RTDC4052\2016-12-24</v>
      </c>
      <c r="S30" s="103" t="str">
        <f>VLOOKUP(C30,'Train Runs'!$A$13:$AE$9972,22,0)</f>
        <v>https://search-rtdc-monitor-bjffxe2xuh6vdkpspy63sjmuny.us-east-1.es.amazonaws.com/_plugin/kibana/#/discover/Steve-Slow-Train-Analysis-(2080s-and-2083s)?_g=(refreshInterval:(display:Off,section:0,value:0),time:(from:'2016-12-23 18:13:52-700',mode:absolute,to:'2016-12-23 21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0" s="105" t="str">
        <f t="shared" si="1"/>
        <v>"C:\Program Files (x86)\AstroGrep\AstroGrep.exe" /spath="%USERPROFILE%\AppData\Local\Temp\OnboardLogs" /stypes="*4052*201612240*" /stext=" 03:.+((SYSTEM_STATE.+slice.+state.+changed )|(ment ac)|(multiple cpu faults)|(system.+state.+changed )|(\[timeout)|(PRM\|1\|D)|(kpr)|(kdp)|(\|lc)|(penalty))" /e /r /s</v>
      </c>
      <c r="U30" s="9" t="str">
        <f t="shared" si="2"/>
        <v>4052</v>
      </c>
      <c r="V30" s="36">
        <f t="shared" si="3"/>
        <v>42728.13071759259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{"issue":{"subject":"","project_id":79,"tracker_id":40,"status_id":1,"priority_id":2,"assigned_to_id":23,"start_date":"2016-12-23","description":"","custom_fields":[{"id":1,"name":"Subdivision","value":"EC"},{"id":4,"name":"Milepost","value":"0.0839"},{"id":17,"name":"Train ID","value":"220-23"},{"id":16,"name":"Locomotive ID","value":"4052"},{"id":130,"name":"Impact","value":""},{"id":150,"name":"Time of Event (Mountain Time)","value":"20:08:14"},{"id":151,"name":"Denver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"%USERPROFILE%\AppData\Local\Temp\OnboardLogs"\RTDC4052\*4052*201612240*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"%USERPROFILE%\AppData\Local\Temp\OnboardLogs"\RTDC4052\*4052*201612240* &gt;&gt; 42727-slicedisagreementcheck.txt</v>
      </c>
    </row>
    <row r="31" spans="1:30" x14ac:dyDescent="0.25">
      <c r="A31" s="36">
        <v>42728.004606481481</v>
      </c>
      <c r="B31" s="31" t="s">
        <v>260</v>
      </c>
      <c r="C31" s="31" t="s">
        <v>458</v>
      </c>
      <c r="D31" s="31" t="s">
        <v>49</v>
      </c>
      <c r="E31" s="31" t="s">
        <v>200</v>
      </c>
      <c r="F31" s="47">
        <v>0</v>
      </c>
      <c r="G31" s="47">
        <v>18</v>
      </c>
      <c r="H31" s="47">
        <v>856</v>
      </c>
      <c r="I31" s="47">
        <v>847</v>
      </c>
      <c r="J31" s="31" t="s">
        <v>201</v>
      </c>
      <c r="K31" s="47">
        <v>839</v>
      </c>
      <c r="L31" s="154" t="s">
        <v>51</v>
      </c>
      <c r="M31" s="155">
        <f t="shared" si="0"/>
        <v>4.2240000000000002</v>
      </c>
      <c r="N31" s="156" t="str">
        <f>VLOOKUP(C31,'Trips&amp;Operators'!$C$1:$G$99999,5,FALSE)</f>
        <v>HILLS DUSTIN</v>
      </c>
      <c r="O31" s="173" t="s">
        <v>195</v>
      </c>
      <c r="P31" s="157"/>
      <c r="Q31" s="31"/>
      <c r="R31" s="100" t="str">
        <f>VLOOKUP(C31,'Train Runs'!$A$13:$AE$9972,31,0)</f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S31" s="103" t="str">
        <f>VLOOKUP(C31,'Train Runs'!$A$13:$AE$9972,22,0)</f>
        <v>https://search-rtdc-monitor-bjffxe2xuh6vdkpspy63sjmuny.us-east-1.es.amazonaws.com/_plugin/kibana/#/discover/Steve-Slow-Train-Analysis-(2080s-and-2083s)?_g=(refreshInterval:(display:Off,section:0,value:0),time:(from:'2016-12-23 22:07:09-700',mode:absolute,to:'2016-12-24 01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1" s="105" t="str">
        <f t="shared" si="1"/>
        <v>"C:\Program Files (x86)\AstroGrep\AstroGrep.exe" /spath="%USERPROFILE%\AppData\Local\Temp\OnboardLogs" /stypes="*4045*201612240*" /stext=" 07:.+((SYSTEM_STATE.+slice.+state.+changed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6">
        <f t="shared" si="3"/>
        <v>42728.296273148146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{"issue":{"subject":"","project_id":79,"tracker_id":40,"status_id":1,"priority_id":2,"assigned_to_id":23,"start_date":"2016-12-24","description":"","custom_fields":[{"id":1,"name":"Subdivision","value":"EC"},{"id":4,"name":"Milepost","value":"0.0839"},{"id":17,"name":"Train ID","value":"236-23"},{"id":16,"name":"Locomotive ID","value":"4045"},{"id":130,"name":"Impact","value":""},{"id":150,"name":"Time of Event (Mountain Time)","value":"00:06:38"},{"id":151,"name":"Denver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"%USERPROFILE%\AppData\Local\Temp\OnboardLogs"\RTDC4045\*4045*201612240*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"%USERPROFILE%\AppData\Local\Temp\OnboardLogs"\RTDC4045\*4045*201612240* &gt;&gt; 42727-slicedisagreementcheck.txt</v>
      </c>
    </row>
    <row r="32" spans="1:30" x14ac:dyDescent="0.25">
      <c r="A32" s="36">
        <v>42727.306180555555</v>
      </c>
      <c r="B32" s="31" t="s">
        <v>427</v>
      </c>
      <c r="C32" s="31" t="s">
        <v>428</v>
      </c>
      <c r="D32" s="31" t="s">
        <v>49</v>
      </c>
      <c r="E32" s="31" t="s">
        <v>200</v>
      </c>
      <c r="F32" s="47">
        <v>0</v>
      </c>
      <c r="G32" s="47">
        <v>56</v>
      </c>
      <c r="H32" s="47">
        <v>233287</v>
      </c>
      <c r="I32" s="47">
        <v>233340</v>
      </c>
      <c r="J32" s="31" t="s">
        <v>201</v>
      </c>
      <c r="K32" s="47">
        <v>233491</v>
      </c>
      <c r="L32" s="154" t="s">
        <v>50</v>
      </c>
      <c r="M32" s="155">
        <f t="shared" si="0"/>
        <v>79.727999999999994</v>
      </c>
      <c r="N32" s="156" t="str">
        <f>VLOOKUP(C32,'Trips&amp;Operators'!$C$1:$G$99999,5,FALSE)</f>
        <v>BONDS REYNALDO</v>
      </c>
      <c r="O32" s="173" t="s">
        <v>227</v>
      </c>
      <c r="P32" s="157" t="s">
        <v>975</v>
      </c>
      <c r="Q32" s="31"/>
      <c r="R32" s="100" t="str">
        <f>VLOOKUP(C32,'Train Runs'!$A$13:$AE$9972,31,0)</f>
        <v>aws s3 cp s3://rtdc.mdm.uploadarchive.raw/RTDC4025/ "%USERPROFILE%\AppData\Local\Temp\OnboardLogs"\RTDC4025\2016-12-23 --exclude "*" --recursive --include "*20161223*" &amp; "%USERPROFILE%\Documents\GitHub\mrs-test-scripts\Headless Mode &amp; Sideloading\WalkAndUnGZ.bat" "%USERPROFILE%\AppData\Local\Temp\OnboardLogs"\RTDC4025\2016-12-23 &amp; aws s3 cp s3://rtdc.mdm.uploadarchive.raw/RTDC4025/ "%USERPROFILE%\AppData\Local\Temp\OnboardLogs"\RTDC4025\2016-12-24 --exclude "*" --recursive --include "*20161224*" &amp; "%USERPROFILE%\Documents\GitHub\mrs-test-scripts\Headless Mode &amp; Sideloading\WalkAndUnGZ.bat" "%USERPROFILE%\AppData\Local\Temp\OnboardLogs"\RTDC4025\2016-12-24</v>
      </c>
      <c r="S32" s="103" t="str">
        <f>VLOOKUP(C32,'Train Runs'!$A$13:$AE$9972,22,0)</f>
        <v>https://search-rtdc-monitor-bjffxe2xuh6vdkpspy63sjmuny.us-east-1.es.amazonaws.com/_plugin/kibana/#/discover/Steve-Slow-Train-Analysis-(2080s-and-2083s)?_g=(refreshInterval:(display:Off,section:0,value:0),time:(from:'2016-12-23 05:43:12-700',mode:absolute,to:'2016-12-23 08:20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2" s="105" t="str">
        <f t="shared" si="1"/>
        <v>"C:\Program Files (x86)\AstroGrep\AstroGrep.exe" /spath="%USERPROFILE%\AppData\Local\Temp\OnboardLogs" /stypes="*4025*201612231*" /stext=" 14:.+((SYSTEM_STATE.+slice.+state.+changed )|(ment ac)|(multiple cpu faults)|(system.+state.+changed )|(\[timeout)|(PRM\|1\|D)|(kpr)|(kdp)|(\|lc)|(penalty))" /e /r /s</v>
      </c>
      <c r="U32" s="9" t="str">
        <f t="shared" si="2"/>
        <v>4025</v>
      </c>
      <c r="V32" s="36">
        <f t="shared" si="3"/>
        <v>42727.59784722222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{"issue":{"subject":"Banner without braking","project_id":79,"tracker_id":40,"status_id":1,"priority_id":2,"assigned_to_id":23,"start_date":"2016-12-23","description":"","custom_fields":[{"id":1,"name":"Subdivision","value":"EC"},{"id":4,"name":"Milepost","value":"23.3491"},{"id":17,"name":"Train ID","value":"125-23"},{"id":16,"name":"Locomotive ID","value":"4025"},{"id":130,"name":"Impact","value":""},{"id":150,"name":"Time of Event (Mountain Time)","value":"07:20:54"},{"id":151,"name":"Denver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"%USERPROFILE%\AppData\Local\Temp\OnboardLogs"\RTDC4025\*4025*201612231*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"%USERPROFILE%\AppData\Local\Temp\OnboardLogs"\RTDC4025\*4025*201612231* &gt;&gt; 42727-slicedisagreementcheck.txt</v>
      </c>
    </row>
    <row r="33" spans="1:30" x14ac:dyDescent="0.25">
      <c r="A33" s="36">
        <v>42727.879224537035</v>
      </c>
      <c r="B33" s="31" t="s">
        <v>229</v>
      </c>
      <c r="C33" s="31" t="s">
        <v>450</v>
      </c>
      <c r="D33" s="31" t="s">
        <v>49</v>
      </c>
      <c r="E33" s="31" t="s">
        <v>200</v>
      </c>
      <c r="F33" s="47">
        <v>0</v>
      </c>
      <c r="G33" s="47">
        <v>101</v>
      </c>
      <c r="H33" s="47">
        <v>233230</v>
      </c>
      <c r="I33" s="47">
        <v>233332</v>
      </c>
      <c r="J33" s="31" t="s">
        <v>201</v>
      </c>
      <c r="K33" s="47">
        <v>233491</v>
      </c>
      <c r="L33" s="154" t="s">
        <v>50</v>
      </c>
      <c r="M33" s="155">
        <f t="shared" si="0"/>
        <v>83.951999999999998</v>
      </c>
      <c r="N33" s="156" t="str">
        <f>VLOOKUP(C33,'Trips&amp;Operators'!$C$1:$G$99999,5,FALSE)</f>
        <v>HILLS DUSTIN</v>
      </c>
      <c r="O33" s="173" t="s">
        <v>195</v>
      </c>
      <c r="P33" s="157"/>
      <c r="Q33" s="31"/>
      <c r="R33" s="100" t="str">
        <f>VLOOKUP(C33,'Train Runs'!$A$13:$AE$9972,31,0)</f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S33" s="103" t="str">
        <f>VLOOKUP(C33,'Train Runs'!$A$13:$AE$9972,22,0)</f>
        <v>https://search-rtdc-monitor-bjffxe2xuh6vdkpspy63sjmuny.us-east-1.es.amazonaws.com/_plugin/kibana/#/discover/Steve-Slow-Train-Analysis-(2080s-and-2083s)?_g=(refreshInterval:(display:Off,section:0,value:0),time:(from:'2016-12-23 19:13:57-700',mode:absolute,to:'2016-12-23 22:06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/stypes="*4046*201612240*" /stext=" 04:.+((SYSTEM_STATE.+slice.+state.+changed )|(ment ac)|(multiple cpu faults)|(system.+state.+changed )|(\[timeout)|(PRM\|1\|D)|(kpr)|(kdp)|(\|lc)|(penalty))" /e /r /s</v>
      </c>
      <c r="U33" s="9" t="str">
        <f t="shared" si="2"/>
        <v>4046</v>
      </c>
      <c r="V33" s="36">
        <f t="shared" si="3"/>
        <v>42728.170891203699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{"issue":{"subject":"","project_id":79,"tracker_id":40,"status_id":1,"priority_id":2,"assigned_to_id":23,"start_date":"2016-12-23","description":"","custom_fields":[{"id":1,"name":"Subdivision","value":"EC"},{"id":4,"name":"Milepost","value":"23.3491"},{"id":17,"name":"Train ID","value":"227-23"},{"id":16,"name":"Locomotive ID","value":"4046"},{"id":130,"name":"Impact","value":""},{"id":150,"name":"Time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"%USERPROFILE%\AppData\Local\Temp\OnboardLogs"\RTDC4046\*4046*201612240*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"%USERPROFILE%\AppData\Local\Temp\OnboardLogs"\RTDC4046\*4046*201612240* &gt;&gt; 42727-slicedisagreementcheck.txt</v>
      </c>
    </row>
    <row r="34" spans="1:30" x14ac:dyDescent="0.25">
      <c r="A34" s="36">
        <v>42727.941053240742</v>
      </c>
      <c r="B34" s="31" t="s">
        <v>243</v>
      </c>
      <c r="C34" s="31" t="s">
        <v>453</v>
      </c>
      <c r="D34" s="31" t="s">
        <v>49</v>
      </c>
      <c r="E34" s="31" t="s">
        <v>200</v>
      </c>
      <c r="F34" s="47">
        <v>0</v>
      </c>
      <c r="G34" s="47">
        <v>44</v>
      </c>
      <c r="H34" s="47">
        <v>233397</v>
      </c>
      <c r="I34" s="47">
        <v>233412</v>
      </c>
      <c r="J34" s="31" t="s">
        <v>201</v>
      </c>
      <c r="K34" s="47">
        <v>233491</v>
      </c>
      <c r="L34" s="154" t="s">
        <v>50</v>
      </c>
      <c r="M34" s="155">
        <f t="shared" si="0"/>
        <v>41.712000000000003</v>
      </c>
      <c r="N34" s="156" t="str">
        <f>VLOOKUP(C34,'Trips&amp;Operators'!$C$1:$G$99999,5,FALSE)</f>
        <v>STAMBAUGH JAMES</v>
      </c>
      <c r="O34" s="173" t="s">
        <v>195</v>
      </c>
      <c r="P34" s="157"/>
      <c r="Q34" s="31"/>
      <c r="R34" s="100" t="str">
        <f>VLOOKUP(C34,'Train Runs'!$A$13:$AE$9972,31,0)</f>
        <v>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 &amp; aws s3 cp s3://rtdc.mdm.uploadarchive.raw/RTDC4016/ "%USERPROFILE%\AppData\Local\Temp\OnboardLogs"\RTDC4016\2016-12-24 --exclude "*" --recursive --include "*20161224*" &amp; "%USERPROFILE%\Documents\GitHub\mrs-test-scripts\Headless Mode &amp; Sideloading\WalkAndUnGZ.bat" "%USERPROFILE%\AppData\Local\Temp\OnboardLogs"\RTDC4016\2016-12-24</v>
      </c>
      <c r="S34" s="103" t="str">
        <f>VLOOKUP(C34,'Train Runs'!$A$13:$AE$9972,22,0)</f>
        <v>https://search-rtdc-monitor-bjffxe2xuh6vdkpspy63sjmuny.us-east-1.es.amazonaws.com/_plugin/kibana/#/discover/Steve-Slow-Train-Analysis-(2080s-and-2083s)?_g=(refreshInterval:(display:Off,section:0,value:0),time:(from:'2016-12-23 20:36:55-700',mode:absolute,to:'2016-12-23 23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4" s="105" t="str">
        <f t="shared" si="1"/>
        <v>"C:\Program Files (x86)\AstroGrep\AstroGrep.exe" /spath="%USERPROFILE%\AppData\Local\Temp\OnboardLogs" /stypes="*4016*201612240*" /stext=" 05:.+((SYSTEM_STATE.+slice.+state.+changed )|(ment ac)|(multiple cpu faults)|(system.+state.+changed )|(\[timeout)|(PRM\|1\|D)|(kpr)|(kdp)|(\|lc)|(penalty))" /e /r /s</v>
      </c>
      <c r="U34" s="9" t="str">
        <f t="shared" si="2"/>
        <v>4016</v>
      </c>
      <c r="V34" s="36">
        <f t="shared" si="3"/>
        <v>42728.232719907406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{"issue":{"subject":"","project_id":79,"tracker_id":40,"status_id":1,"priority_id":2,"assigned_to_id":23,"start_date":"2016-12-23","description":"","custom_fields":[{"id":1,"name":"Subdivision","value":"EC"},{"id":4,"name":"Milepost","value":"23.3491"},{"id":17,"name":"Train ID","value":"233-23"},{"id":16,"name":"Locomotive ID","value":"4016"},{"id":130,"name":"Impact","value":""},{"id":150,"name":"Time of Event (Mountain Time)","value":"22:35:07"},{"id":151,"name":"Denver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"%USERPROFILE%\AppData\Local\Temp\OnboardLogs"\RTDC4016\*4016*201612240*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"%USERPROFILE%\AppData\Local\Temp\OnboardLogs"\RTDC4016\*4016*201612240* &gt;&gt; 42727-slicedisagreementcheck.txt</v>
      </c>
    </row>
    <row r="35" spans="1:30" x14ac:dyDescent="0.25">
      <c r="A35" s="36">
        <v>42727.328831018516</v>
      </c>
      <c r="B35" s="31" t="s">
        <v>322</v>
      </c>
      <c r="C35" s="31" t="s">
        <v>431</v>
      </c>
      <c r="D35" s="31" t="s">
        <v>49</v>
      </c>
      <c r="E35" s="31" t="s">
        <v>247</v>
      </c>
      <c r="F35" s="47">
        <v>0</v>
      </c>
      <c r="G35" s="47">
        <v>350</v>
      </c>
      <c r="H35" s="47">
        <v>15997</v>
      </c>
      <c r="I35" s="47">
        <v>15270</v>
      </c>
      <c r="J35" s="31" t="s">
        <v>248</v>
      </c>
      <c r="K35" s="47">
        <v>15777</v>
      </c>
      <c r="L35" s="154" t="s">
        <v>51</v>
      </c>
      <c r="M35" s="155">
        <f t="shared" si="0"/>
        <v>-267.69600000000003</v>
      </c>
      <c r="N35" s="156" t="str">
        <f>VLOOKUP(C35,'Trips&amp;Operators'!$C$1:$G$99999,5,FALSE)</f>
        <v>SHOOK JOHN</v>
      </c>
      <c r="O35" s="173" t="s">
        <v>227</v>
      </c>
      <c r="P35" s="157" t="s">
        <v>862</v>
      </c>
      <c r="Q35" s="31"/>
      <c r="R35" s="100" t="str">
        <f>VLOOKUP(C35,'Train Runs'!$A$13:$AE$9972,31,0)</f>
        <v>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 &amp; aws s3 cp s3://rtdc.mdm.uploadarchive.raw/RTDC4019/ "%USERPROFILE%\AppData\Local\Temp\OnboardLogs"\RTDC4019\2016-12-24 --exclude "*" --recursive --include "*20161224*" &amp; "%USERPROFILE%\Documents\GitHub\mrs-test-scripts\Headless Mode &amp; Sideloading\WalkAndUnGZ.bat" "%USERPROFILE%\AppData\Local\Temp\OnboardLogs"\RTDC4019\2016-12-24</v>
      </c>
      <c r="S35" s="103" t="str">
        <f>VLOOKUP(C35,'Train Runs'!$A$13:$AE$9972,22,0)</f>
        <v>https://search-rtdc-monitor-bjffxe2xuh6vdkpspy63sjmuny.us-east-1.es.amazonaws.com/_plugin/kibana/#/discover/Steve-Slow-Train-Analysis-(2080s-and-2083s)?_g=(refreshInterval:(display:Off,section:0,value:0),time:(from:'2016-12-23 06:39:52-700',mode:absolute,to:'2016-12-23 09:03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5" s="105" t="str">
        <f t="shared" si="1"/>
        <v>"C:\Program Files (x86)\AstroGrep\AstroGrep.exe" /spath="%USERPROFILE%\AppData\Local\Temp\OnboardLogs" /stypes="*4019*201612231*" /stext=" 14:.+((SYSTEM_STATE.+slice.+state.+changed )|(ment ac)|(multiple cpu faults)|(system.+state.+changed )|(\[timeout)|(PRM\|1\|D)|(kpr)|(kdp)|(\|lc)|(penalty))" /e /r /s</v>
      </c>
      <c r="U35" s="9" t="str">
        <f t="shared" si="2"/>
        <v>4019</v>
      </c>
      <c r="V35" s="36">
        <f t="shared" si="3"/>
        <v>42727.62049768518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{"issue":{"subject":"Early arrival (41st)","project_id":79,"tracker_id":40,"status_id":1,"priority_id":2,"assigned_to_id":23,"start_date":"2016-12-23","description":"","custom_fields":[{"id":1,"name":"Subdivision","value":"NW"},{"id":4,"name":"Milepost","value":"1.5777"},{"id":17,"name":"Train ID","value":"808-23"},{"id":16,"name":"Locomotive ID","value":"4019"},{"id":130,"name":"Impact","value":""},{"id":150,"name":"Time of Event (Mountain Time)","value":"07:53:31"},{"id":151,"name":"Denver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"%USERPROFILE%\AppData\Local\Temp\OnboardLogs"\RTDC4019\*4019*201612231*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"%USERPROFILE%\AppData\Local\Temp\OnboardLogs"\RTDC4019\*4019*201612231* &gt;&gt; 42727-slicedisagreementcheck.txt</v>
      </c>
    </row>
    <row r="36" spans="1:30" x14ac:dyDescent="0.25">
      <c r="A36" s="36">
        <v>42727.703090277777</v>
      </c>
      <c r="B36" s="31" t="s">
        <v>271</v>
      </c>
      <c r="C36" s="31" t="s">
        <v>444</v>
      </c>
      <c r="D36" s="31" t="s">
        <v>49</v>
      </c>
      <c r="E36" s="31" t="s">
        <v>198</v>
      </c>
      <c r="F36" s="47">
        <v>0</v>
      </c>
      <c r="G36" s="47">
        <v>75</v>
      </c>
      <c r="H36" s="47">
        <v>11018</v>
      </c>
      <c r="I36" s="47">
        <v>10901</v>
      </c>
      <c r="J36" s="31" t="s">
        <v>199</v>
      </c>
      <c r="K36" s="47">
        <v>11016</v>
      </c>
      <c r="L36" s="154" t="s">
        <v>51</v>
      </c>
      <c r="M36" s="155">
        <f t="shared" si="0"/>
        <v>-60.72</v>
      </c>
      <c r="N36" s="156" t="str">
        <f>VLOOKUP(C36,'Trips&amp;Operators'!$C$1:$G$99999,5,FALSE)</f>
        <v>COMELLA JUSTIN</v>
      </c>
      <c r="O36" s="173" t="s">
        <v>227</v>
      </c>
      <c r="P36" s="157" t="s">
        <v>863</v>
      </c>
      <c r="Q36" s="31"/>
      <c r="R36" s="100" t="str">
        <f>VLOOKUP(C36,'Train Runs'!$A$13:$AE$9972,31,0)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S36" s="103" t="str">
        <f>VLOOKUP(C36,'Train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15:38:00-700',mode:absolute,to:'2016-12-23 17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6" s="105" t="str">
        <f t="shared" si="1"/>
        <v>"C:\Program Files (x86)\AstroGrep\AstroGrep.exe" /spath="%USERPROFILE%\AppData\Local\Temp\OnboardLogs" /stypes="*4013*201612232*" /stext=" 23:.+((SYSTEM_STATE.+slice.+state.+changed )|(ment ac)|(multiple cpu faults)|(system.+state.+changed )|(\[timeout)|(PRM\|1\|D)|(kpr)|(kdp)|(\|lc)|(penalty))" /e /r /s</v>
      </c>
      <c r="U36" s="9" t="str">
        <f t="shared" si="2"/>
        <v>4013</v>
      </c>
      <c r="V36" s="36">
        <f t="shared" si="3"/>
        <v>42727.994756944441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{"issue":{"subject":"Poor GPS under I-25","project_id":79,"tracker_id":40,"status_id":1,"priority_id":2,"assigned_to_id":23,"start_date":"2016-12-23","description":"","custom_fields":[{"id":1,"name":"Subdivision","value":"NW"},{"id":4,"name":"Milepost","value":"1.1016"},{"id":17,"name":"Train ID","value":"830-23"},{"id":16,"name":"Locomotive ID","value":"4013"},{"id":130,"name":"Impact","value":""},{"id":150,"name":"Time of Event (Mountain Time)","value":"16:52:27"},{"id":151,"name":"Denver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"%USERPROFILE%\AppData\Local\Temp\OnboardLogs"\RTDC4013\*4013*201612232*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"%USERPROFILE%\AppData\Local\Temp\OnboardLogs"\RTDC4013\*4013*201612232* &gt;&gt; 42727-slicedisagreementcheck.txt</v>
      </c>
    </row>
    <row r="37" spans="1:30" x14ac:dyDescent="0.25">
      <c r="A37" s="36">
        <v>42727.580613425926</v>
      </c>
      <c r="B37" s="31" t="s">
        <v>271</v>
      </c>
      <c r="C37" s="31" t="s">
        <v>442</v>
      </c>
      <c r="D37" s="31" t="s">
        <v>49</v>
      </c>
      <c r="E37" s="31" t="s">
        <v>200</v>
      </c>
      <c r="F37" s="47">
        <v>0</v>
      </c>
      <c r="G37" s="47">
        <v>51</v>
      </c>
      <c r="H37" s="47">
        <v>761</v>
      </c>
      <c r="I37" s="47">
        <v>715</v>
      </c>
      <c r="J37" s="31" t="s">
        <v>201</v>
      </c>
      <c r="K37" s="47">
        <v>575</v>
      </c>
      <c r="L37" s="154" t="s">
        <v>51</v>
      </c>
      <c r="M37" s="155">
        <f t="shared" si="0"/>
        <v>73.92</v>
      </c>
      <c r="N37" s="156" t="str">
        <f>VLOOKUP(C37,'Trips&amp;Operators'!$C$1:$G$99999,5,FALSE)</f>
        <v>COMELLA JUSTIN</v>
      </c>
      <c r="O37" s="173" t="s">
        <v>195</v>
      </c>
      <c r="P37" s="157"/>
      <c r="Q37" s="31"/>
      <c r="R37" s="100" t="str">
        <f>VLOOKUP(C37,'Train Runs'!$A$13:$AE$9972,31,0)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S37" s="103" t="str">
        <f>VLOOKUP(C37,'Train Runs'!$A$13:$AE$9972,22,0)</f>
        <v>https://search-rtdc-monitor-bjffxe2xuh6vdkpspy63sjmuny.us-east-1.es.amazonaws.com/_plugin/kibana/#/discover/Steve-Slow-Train-Analysis-(2080s-and-2083s)?_g=(refreshInterval:(display:Off,section:0,value:0),time:(from:'2016-12-23 12:37:34-700',mode:absolute,to:'2016-12-23 14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7" s="105" t="str">
        <f t="shared" si="1"/>
        <v>"C:\Program Files (x86)\AstroGrep\AstroGrep.exe" /spath="%USERPROFILE%\AppData\Local\Temp\OnboardLogs" /stypes="*4013*201612232*" /stext=" 20:.+((SYSTEM_STATE.+slice.+state.+changed )|(ment ac)|(multiple cpu faults)|(system.+state.+changed )|(\[timeout)|(PRM\|1\|D)|(kpr)|(kdp)|(\|lc)|(penalty))" /e /r /s</v>
      </c>
      <c r="U37" s="9" t="str">
        <f t="shared" si="2"/>
        <v>4013</v>
      </c>
      <c r="V37" s="36">
        <f t="shared" si="3"/>
        <v>42727.87228009259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{"issue":{"subject":"","project_id":79,"tracker_id":40,"status_id":1,"priority_id":2,"assigned_to_id":23,"start_date":"2016-12-23","description":"","custom_fields":[{"id":1,"name":"Subdivision","value":"NW"},{"id":4,"name":"Milepost","value":"0.0575"},{"id":17,"name":"Train ID","value":"822-23"},{"id":16,"name":"Locomotive ID","value":"4013"},{"id":130,"name":"Impact","value":""},{"id":150,"name":"Time of Event (Mountain Time)","value":"13:56:05"},{"id":151,"name":"Denver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"%USERPROFILE%\AppData\Local\Temp\OnboardLogs"\RTDC4013\*4013*201612232*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"%USERPROFILE%\AppData\Local\Temp\OnboardLogs"\RTDC4013\*4013*201612232* &gt;&gt; 42727-slicedisagreementcheck.txt</v>
      </c>
    </row>
    <row r="38" spans="1:30" x14ac:dyDescent="0.25">
      <c r="A38" s="36">
        <v>42727.91609953704</v>
      </c>
      <c r="B38" s="31" t="s">
        <v>271</v>
      </c>
      <c r="C38" s="31" t="s">
        <v>451</v>
      </c>
      <c r="D38" s="31" t="s">
        <v>49</v>
      </c>
      <c r="E38" s="31" t="s">
        <v>200</v>
      </c>
      <c r="F38" s="47">
        <v>0</v>
      </c>
      <c r="G38" s="47">
        <v>26</v>
      </c>
      <c r="H38" s="47">
        <v>654</v>
      </c>
      <c r="I38" s="47">
        <v>633</v>
      </c>
      <c r="J38" s="31" t="s">
        <v>201</v>
      </c>
      <c r="K38" s="47">
        <v>575</v>
      </c>
      <c r="L38" s="154" t="s">
        <v>51</v>
      </c>
      <c r="M38" s="155">
        <f t="shared" si="0"/>
        <v>30.623999999999999</v>
      </c>
      <c r="N38" s="156" t="str">
        <f>VLOOKUP(C38,'Trips&amp;Operators'!$C$1:$G$99999,5,FALSE)</f>
        <v>SMITH MICHAEL</v>
      </c>
      <c r="O38" s="173" t="s">
        <v>195</v>
      </c>
      <c r="P38" s="157"/>
      <c r="Q38" s="31"/>
      <c r="R38" s="100" t="str">
        <f>VLOOKUP(C38,'Train Runs'!$A$13:$AE$9972,31,0)</f>
        <v>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 &amp; aws s3 cp s3://rtdc.mdm.uploadarchive.raw/RTDC4013/ "%USERPROFILE%\AppData\Local\Temp\OnboardLogs"\RTDC4013\2016-12-24 --exclude "*" --recursive --include "*20161224*" &amp; "%USERPROFILE%\Documents\GitHub\mrs-test-scripts\Headless Mode &amp; Sideloading\WalkAndUnGZ.bat" "%USERPROFILE%\AppData\Local\Temp\OnboardLogs"\RTDC4013\2016-12-24</v>
      </c>
      <c r="S38" s="103" t="str">
        <f>VLOOKUP(C38,'Train Runs'!$A$13:$AE$9972,22,0)</f>
        <v>https://search-rtdc-monitor-bjffxe2xuh6vdkpspy63sjmuny.us-east-1.es.amazonaws.com/_plugin/kibana/#/discover/Steve-Slow-Train-Analysis-(2080s-and-2083s)?_g=(refreshInterval:(display:Off,section:0,value:0),time:(from:'2016-12-23 20:40:19-700',mode:absolute,to:'2016-12-23 22:59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8" s="105" t="str">
        <f t="shared" si="1"/>
        <v>"C:\Program Files (x86)\AstroGrep\AstroGrep.exe" /spath="%USERPROFILE%\AppData\Local\Temp\OnboardLogs" /stypes="*4013*201612240*" /stext=" 04:.+((SYSTEM_STATE.+slice.+state.+changed )|(ment ac)|(multiple cpu faults)|(system.+state.+changed )|(\[timeout)|(PRM\|1\|D)|(kpr)|(kdp)|(\|lc)|(penalty))" /e /r /s</v>
      </c>
      <c r="U38" s="9" t="str">
        <f t="shared" si="2"/>
        <v>4013</v>
      </c>
      <c r="V38" s="36">
        <f t="shared" si="3"/>
        <v>42728.207766203705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{"issue":{"subject":"","project_id":79,"tracker_id":40,"status_id":1,"priority_id":2,"assigned_to_id":23,"start_date":"2016-12-23","description":"","custom_fields":[{"id":1,"name":"Subdivision","value":"NW"},{"id":4,"name":"Milepost","value":"0.0575"},{"id":17,"name":"Train ID","value":"844-23"},{"id":16,"name":"Locomotive ID","value":"4013"},{"id":130,"name":"Impact","value":""},{"id":150,"name":"Time of Event (Mountain Time)","value":"21:59:11"},{"id":151,"name":"Denver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"%USERPROFILE%\AppData\Local\Temp\OnboardLogs"\RTDC4013\*4013*201612240*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"%USERPROFILE%\AppData\Local\Temp\OnboardLogs"\RTDC4013\*4013*201612240* &gt;&gt; 42727-slicedisagreementcheck.txt</v>
      </c>
    </row>
    <row r="39" spans="1:30" x14ac:dyDescent="0.25">
      <c r="A39" s="36">
        <v>42727.253159722219</v>
      </c>
      <c r="B39" s="31" t="s">
        <v>225</v>
      </c>
      <c r="C39" s="31" t="s">
        <v>424</v>
      </c>
      <c r="D39" s="31" t="s">
        <v>49</v>
      </c>
      <c r="E39" s="31" t="s">
        <v>200</v>
      </c>
      <c r="F39" s="47">
        <v>0</v>
      </c>
      <c r="G39" s="47">
        <v>25</v>
      </c>
      <c r="H39" s="47">
        <v>58999</v>
      </c>
      <c r="I39" s="47">
        <v>59018</v>
      </c>
      <c r="J39" s="31" t="s">
        <v>201</v>
      </c>
      <c r="K39" s="47">
        <v>59048</v>
      </c>
      <c r="L39" s="154" t="s">
        <v>50</v>
      </c>
      <c r="M39" s="155">
        <f t="shared" si="0"/>
        <v>15.84</v>
      </c>
      <c r="N39" s="156" t="str">
        <f>VLOOKUP(C39,'Trips&amp;Operators'!$C$1:$G$99999,5,FALSE)</f>
        <v>SIMMONS SHYHESHA</v>
      </c>
      <c r="O39" s="173" t="s">
        <v>195</v>
      </c>
      <c r="P39" s="157"/>
      <c r="Q39" s="31"/>
      <c r="R39" s="100" t="str">
        <f>VLOOKUP(C39,'Train Runs'!$A$13:$AE$9972,31,0)</f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S39" s="103" t="str">
        <f>VLOOKUP(C39,'Train Runs'!$A$13:$AE$9972,22,0)</f>
        <v>https://search-rtdc-monitor-bjffxe2xuh6vdkpspy63sjmuny.us-east-1.es.amazonaws.com/_plugin/kibana/#/discover/Steve-Slow-Train-Analysis-(2080s-and-2083s)?_g=(refreshInterval:(display:Off,section:0,value:0),time:(from:'2016-12-23 04:36:23-700',mode:absolute,to:'2016-12-23 07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9" s="105" t="str">
        <f t="shared" si="1"/>
        <v>"C:\Program Files (x86)\AstroGrep\AstroGrep.exe" /spath="%USERPROFILE%\AppData\Local\Temp\OnboardLogs" /stypes="*4014*201612231*" /stext=" 13:.+((SYSTEM_STATE.+slice.+state.+changed )|(ment ac)|(multiple cpu faults)|(system.+state.+changed )|(\[timeout)|(PRM\|1\|D)|(kpr)|(kdp)|(\|lc)|(penalty))" /e /r /s</v>
      </c>
      <c r="U39" s="9" t="str">
        <f t="shared" si="2"/>
        <v>4014</v>
      </c>
      <c r="V39" s="36">
        <f t="shared" si="3"/>
        <v>42727.544826388883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ID","value":"801-23"},{"id":16,"name":"Locomotive ID","value":"4014"},{"id":130,"name":"Impact","value":""},{"id":150,"name":"Time of Event (Mountain Time)","value":"06:04:33"},{"id":151,"name":"Denver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"%USERPROFILE%\AppData\Local\Temp\OnboardLogs"\RTDC4014\*4014*201612231*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"%USERPROFILE%\AppData\Local\Temp\OnboardLogs"\RTDC4014\*4014*201612231* &gt;&gt; 42727-slicedisagreementcheck.txt</v>
      </c>
    </row>
    <row r="40" spans="1:30" x14ac:dyDescent="0.25">
      <c r="A40" s="36">
        <v>42727.712951388887</v>
      </c>
      <c r="B40" s="31" t="s">
        <v>327</v>
      </c>
      <c r="C40" s="31" t="s">
        <v>445</v>
      </c>
      <c r="D40" s="31" t="s">
        <v>49</v>
      </c>
      <c r="E40" s="31" t="s">
        <v>200</v>
      </c>
      <c r="F40" s="47">
        <v>0</v>
      </c>
      <c r="G40" s="47">
        <v>49</v>
      </c>
      <c r="H40" s="47">
        <v>58835</v>
      </c>
      <c r="I40" s="47">
        <v>58888</v>
      </c>
      <c r="J40" s="31" t="s">
        <v>201</v>
      </c>
      <c r="K40" s="47">
        <v>59048</v>
      </c>
      <c r="L40" s="154" t="s">
        <v>50</v>
      </c>
      <c r="M40" s="155">
        <f t="shared" si="0"/>
        <v>84.48</v>
      </c>
      <c r="N40" s="156" t="str">
        <f>VLOOKUP(C40,'Trips&amp;Operators'!$C$1:$G$99999,5,FALSE)</f>
        <v>SMITH MICHAEL</v>
      </c>
      <c r="O40" s="173" t="s">
        <v>195</v>
      </c>
      <c r="P40" s="157"/>
      <c r="Q40" s="31"/>
      <c r="R40" s="100" t="str">
        <f>VLOOKUP(C40,'Train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0" s="103" t="str">
        <f>VLOOKUP(C40,'Train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15:30:52-700',mode:absolute,to:'2016-12-23 18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0" s="105" t="str">
        <f t="shared" si="1"/>
        <v>"C:\Program Files (x86)\AstroGrep\AstroGrep.exe" /spath="%USERPROFILE%\AppData\Local\Temp\OnboardLogs" /stypes="*4020*201612240*" /stext=" 00:.+((SYSTEM_STATE.+slice.+state.+changed )|(ment ac)|(multiple cpu faults)|(system.+state.+changed )|(\[timeout)|(PRM\|1\|D)|(kpr)|(kdp)|(\|lc)|(penalty))" /e /r /s</v>
      </c>
      <c r="U40" s="9" t="str">
        <f t="shared" si="2"/>
        <v>4020</v>
      </c>
      <c r="V40" s="36">
        <f t="shared" si="3"/>
        <v>42728.004618055551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ID","value":"831-23"},{"id":16,"name":"Locomotive ID","value":"4020"},{"id":130,"name":"Impact","value":""},{"id":150,"name":"Time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"%USERPROFILE%\AppData\Local\Temp\OnboardLogs"\RTDC4020\*4020*201612240*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1" spans="1:30" x14ac:dyDescent="0.25">
      <c r="A41" s="36">
        <v>42727.713356481479</v>
      </c>
      <c r="B41" s="31" t="s">
        <v>327</v>
      </c>
      <c r="C41" s="31" t="s">
        <v>445</v>
      </c>
      <c r="D41" s="31" t="s">
        <v>49</v>
      </c>
      <c r="E41" s="31" t="s">
        <v>200</v>
      </c>
      <c r="F41" s="47">
        <v>0</v>
      </c>
      <c r="G41" s="47">
        <v>22</v>
      </c>
      <c r="H41" s="47">
        <v>58929</v>
      </c>
      <c r="I41" s="47">
        <v>58939</v>
      </c>
      <c r="J41" s="31" t="s">
        <v>201</v>
      </c>
      <c r="K41" s="47">
        <v>59048</v>
      </c>
      <c r="L41" s="154" t="s">
        <v>50</v>
      </c>
      <c r="M41" s="155">
        <f t="shared" si="0"/>
        <v>57.552</v>
      </c>
      <c r="N41" s="156" t="str">
        <f>VLOOKUP(C41,'Trips&amp;Operators'!$C$1:$G$99999,5,FALSE)</f>
        <v>SMITH MICHAEL</v>
      </c>
      <c r="O41" s="173" t="s">
        <v>195</v>
      </c>
      <c r="P41" s="157"/>
      <c r="Q41" s="31"/>
      <c r="R41" s="100" t="str">
        <f>VLOOKUP(C41,'Train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1" s="103" t="str">
        <f>VLOOKUP(C41,'Train Runs'!$A$13:$AE$9972,22,0)</f>
        <v>https://search-rtdc-monitor-bjffxe2xuh6vdkpspy63sjmuny.us-east-1.es.amazonaws.com/_plugin/kibana/#/discover/Steve-Slow-Train-Analysis-(2080s-and-2083s)?_g=(refreshInterval:(display:Off,section:0,value:0),time:(from:'2016-12-23 15:30:52-700',mode:absolute,to:'2016-12-23 18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1" s="105" t="str">
        <f t="shared" si="1"/>
        <v>"C:\Program Files (x86)\AstroGrep\AstroGrep.exe" /spath="%USERPROFILE%\AppData\Local\Temp\OnboardLogs" /stypes="*4020*201612240*" /stext=" 00:.+((SYSTEM_STATE.+slice.+state.+changed )|(ment ac)|(multiple cpu faults)|(system.+state.+changed )|(\[timeout)|(PRM\|1\|D)|(kpr)|(kdp)|(\|lc)|(penalty))" /e /r /s</v>
      </c>
      <c r="U41" s="9" t="str">
        <f t="shared" si="2"/>
        <v>4020</v>
      </c>
      <c r="V41" s="36">
        <f t="shared" si="3"/>
        <v>42728.005023148144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ID","value":"831-23"},{"id":16,"name":"Locomotive ID","value":"4020"},{"id":130,"name":"Impact","value":""},{"id":150,"name":"Time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"%USERPROFILE%\AppData\Local\Temp\OnboardLogs"\RTDC4020\*4020*201612240*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2" spans="1:30" x14ac:dyDescent="0.25">
      <c r="A42" s="36">
        <v>42727.75409722222</v>
      </c>
      <c r="B42" s="31" t="s">
        <v>327</v>
      </c>
      <c r="C42" s="31" t="s">
        <v>447</v>
      </c>
      <c r="D42" s="31" t="s">
        <v>49</v>
      </c>
      <c r="E42" s="31" t="s">
        <v>200</v>
      </c>
      <c r="F42" s="47">
        <v>0</v>
      </c>
      <c r="G42" s="47">
        <v>72</v>
      </c>
      <c r="H42" s="47">
        <v>58783</v>
      </c>
      <c r="I42" s="47">
        <v>58856</v>
      </c>
      <c r="J42" s="31" t="s">
        <v>201</v>
      </c>
      <c r="K42" s="47">
        <v>59048</v>
      </c>
      <c r="L42" s="154" t="s">
        <v>50</v>
      </c>
      <c r="M42" s="155">
        <f t="shared" si="0"/>
        <v>101.376</v>
      </c>
      <c r="N42" s="156" t="str">
        <f>VLOOKUP(C42,'Trips&amp;Operators'!$C$1:$G$99999,5,FALSE)</f>
        <v>SMITH MICHAEL</v>
      </c>
      <c r="O42" s="173" t="s">
        <v>195</v>
      </c>
      <c r="P42" s="157"/>
      <c r="Q42" s="31"/>
      <c r="R42" s="100" t="str">
        <f>VLOOKUP(C42,'Train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2" s="103" t="str">
        <f>VLOOKUP(C42,'Train Runs'!$A$13:$AE$9972,22,0)</f>
        <v>https://search-rtdc-monitor-bjffxe2xuh6vdkpspy63sjmuny.us-east-1.es.amazonaws.com/_plugin/kibana/#/discover/Steve-Slow-Train-Analysis-(2080s-and-2083s)?_g=(refreshInterval:(display:Off,section:0,value:0),time:(from:'2016-12-23 16:35:32-700',mode:absolute,to:'2016-12-23 19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2" s="105" t="str">
        <f t="shared" si="1"/>
        <v>"C:\Program Files (x86)\AstroGrep\AstroGrep.exe" /spath="%USERPROFILE%\AppData\Local\Temp\OnboardLogs" /stypes="*4020*201612240*" /stext=" 01:.+((SYSTEM_STATE.+slice.+state.+changed )|(ment ac)|(multiple cpu faults)|(system.+state.+changed )|(\[timeout)|(PRM\|1\|D)|(kpr)|(kdp)|(\|lc)|(penalty))" /e /r /s</v>
      </c>
      <c r="U42" s="9" t="str">
        <f t="shared" si="2"/>
        <v>4020</v>
      </c>
      <c r="V42" s="36">
        <f t="shared" si="3"/>
        <v>42728.045763888884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ID","value":"835-23"},{"id":16,"name":"Locomotive ID","value":"4020"},{"id":130,"name":"Impact","value":""},{"id":150,"name":"Time of Event (Mountain Time)","value":"18:05:54"},{"id":151,"name":"Denver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"%USERPROFILE%\AppData\Local\Temp\OnboardLogs"\RTDC4020\*4020*201612240*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3" spans="1:30" x14ac:dyDescent="0.25">
      <c r="A43" s="36">
        <v>42727.754571759258</v>
      </c>
      <c r="B43" s="31" t="s">
        <v>327</v>
      </c>
      <c r="C43" s="31" t="s">
        <v>447</v>
      </c>
      <c r="D43" s="31" t="s">
        <v>49</v>
      </c>
      <c r="E43" s="31" t="s">
        <v>200</v>
      </c>
      <c r="F43" s="47">
        <v>0</v>
      </c>
      <c r="G43" s="47">
        <v>35</v>
      </c>
      <c r="H43" s="47">
        <v>58929</v>
      </c>
      <c r="I43" s="47">
        <v>58950</v>
      </c>
      <c r="J43" s="31" t="s">
        <v>201</v>
      </c>
      <c r="K43" s="47">
        <v>59048</v>
      </c>
      <c r="L43" s="154" t="s">
        <v>50</v>
      </c>
      <c r="M43" s="155">
        <f t="shared" si="0"/>
        <v>51.744</v>
      </c>
      <c r="N43" s="156" t="str">
        <f>VLOOKUP(C43,'Trips&amp;Operators'!$C$1:$G$99999,5,FALSE)</f>
        <v>SMITH MICHAEL</v>
      </c>
      <c r="O43" s="173" t="s">
        <v>195</v>
      </c>
      <c r="P43" s="157"/>
      <c r="Q43" s="31"/>
      <c r="R43" s="100" t="str">
        <f>VLOOKUP(C43,'Train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3" s="103" t="str">
        <f>VLOOKUP(C43,'Train Runs'!$A$13:$AE$9972,22,0)</f>
        <v>https://search-rtdc-monitor-bjffxe2xuh6vdkpspy63sjmuny.us-east-1.es.amazonaws.com/_plugin/kibana/#/discover/Steve-Slow-Train-Analysis-(2080s-and-2083s)?_g=(refreshInterval:(display:Off,section:0,value:0),time:(from:'2016-12-23 16:35:32-700',mode:absolute,to:'2016-12-23 19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3" s="105" t="str">
        <f t="shared" si="1"/>
        <v>"C:\Program Files (x86)\AstroGrep\AstroGrep.exe" /spath="%USERPROFILE%\AppData\Local\Temp\OnboardLogs" /stypes="*4020*201612240*" /stext=" 01:.+((SYSTEM_STATE.+slice.+state.+changed )|(ment ac)|(multiple cpu faults)|(system.+state.+changed )|(\[timeout)|(PRM\|1\|D)|(kpr)|(kdp)|(\|lc)|(penalty))" /e /r /s</v>
      </c>
      <c r="U43" s="9" t="str">
        <f t="shared" si="2"/>
        <v>4020</v>
      </c>
      <c r="V43" s="36">
        <f t="shared" si="3"/>
        <v>42728.046238425923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ID","value":"835-23"},{"id":16,"name":"Locomotive ID","value":"4020"},{"id":130,"name":"Impact","value":""},{"id":150,"name":"Time of Event (Mountain Time)","value":"18:06:35"},{"id":151,"name":"Denver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"%USERPROFILE%\AppData\Local\Temp\OnboardLogs"\RTDC4020\*4020*201612240*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4" spans="1:30" x14ac:dyDescent="0.25">
      <c r="A44" s="36">
        <v>42727.796122685184</v>
      </c>
      <c r="B44" s="31" t="s">
        <v>327</v>
      </c>
      <c r="C44" s="31" t="s">
        <v>448</v>
      </c>
      <c r="D44" s="31" t="s">
        <v>49</v>
      </c>
      <c r="E44" s="31" t="s">
        <v>200</v>
      </c>
      <c r="F44" s="47">
        <v>0</v>
      </c>
      <c r="G44" s="47">
        <v>53</v>
      </c>
      <c r="H44" s="47">
        <v>58777</v>
      </c>
      <c r="I44" s="47">
        <v>58856</v>
      </c>
      <c r="J44" s="31" t="s">
        <v>201</v>
      </c>
      <c r="K44" s="47">
        <v>59048</v>
      </c>
      <c r="L44" s="154" t="s">
        <v>50</v>
      </c>
      <c r="M44" s="155">
        <f t="shared" si="0"/>
        <v>101.376</v>
      </c>
      <c r="N44" s="156" t="str">
        <f>VLOOKUP(C44,'Trips&amp;Operators'!$C$1:$G$99999,5,FALSE)</f>
        <v>SMITH MICHAEL</v>
      </c>
      <c r="O44" s="173" t="s">
        <v>195</v>
      </c>
      <c r="P44" s="157"/>
      <c r="Q44" s="31"/>
      <c r="R44" s="100" t="str">
        <f>VLOOKUP(C44,'Train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4" s="103" t="str">
        <f>VLOOKUP(C44,'Train Runs'!$A$13:$AE$9972,22,0)</f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4" s="105" t="str">
        <f t="shared" si="1"/>
        <v>"C:\Program Files (x86)\AstroGrep\AstroGrep.exe" /spath="%USERPROFILE%\AppData\Local\Temp\OnboardLogs" /stypes="*4020*201612240*" /stext=" 02:.+((SYSTEM_STATE.+slice.+state.+changed )|(ment ac)|(multiple cpu faults)|(system.+state.+changed )|(\[timeout)|(PRM\|1\|D)|(kpr)|(kdp)|(\|lc)|(penalty))" /e /r /s</v>
      </c>
      <c r="U44" s="9" t="str">
        <f t="shared" si="2"/>
        <v>4020</v>
      </c>
      <c r="V44" s="36">
        <f t="shared" si="3"/>
        <v>42728.087789351848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ID","value":"839-23"},{"id":16,"name":"Locomotive ID","value":"4020"},{"id":130,"name":"Impact","value":""},{"id":150,"name":"Time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"%USERPROFILE%\AppData\Local\Temp\OnboardLogs"\RTDC4020\*4020*201612240*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5" spans="1:30" x14ac:dyDescent="0.25">
      <c r="A45" s="36">
        <v>42727.7965625</v>
      </c>
      <c r="B45" s="31" t="s">
        <v>327</v>
      </c>
      <c r="C45" s="31" t="s">
        <v>448</v>
      </c>
      <c r="D45" s="31" t="s">
        <v>49</v>
      </c>
      <c r="E45" s="31" t="s">
        <v>200</v>
      </c>
      <c r="F45" s="47">
        <v>0</v>
      </c>
      <c r="G45" s="47">
        <v>47</v>
      </c>
      <c r="H45" s="47">
        <v>58882</v>
      </c>
      <c r="I45" s="47">
        <v>58912</v>
      </c>
      <c r="J45" s="31" t="s">
        <v>201</v>
      </c>
      <c r="K45" s="47">
        <v>59048</v>
      </c>
      <c r="L45" s="154" t="s">
        <v>50</v>
      </c>
      <c r="M45" s="155">
        <f t="shared" si="0"/>
        <v>71.808000000000007</v>
      </c>
      <c r="N45" s="156" t="str">
        <f>VLOOKUP(C45,'Trips&amp;Operators'!$C$1:$G$99999,5,FALSE)</f>
        <v>SMITH MICHAEL</v>
      </c>
      <c r="O45" s="173" t="s">
        <v>195</v>
      </c>
      <c r="P45" s="157"/>
      <c r="Q45" s="31"/>
      <c r="R45" s="100" t="str">
        <f>VLOOKUP(C45,'Train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5" s="103" t="str">
        <f>VLOOKUP(C45,'Train Runs'!$A$13:$AE$9972,22,0)</f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5" s="105" t="str">
        <f t="shared" si="1"/>
        <v>"C:\Program Files (x86)\AstroGrep\AstroGrep.exe" /spath="%USERPROFILE%\AppData\Local\Temp\OnboardLogs" /stypes="*4020*201612240*" /stext=" 02:.+((SYSTEM_STATE.+slice.+state.+changed )|(ment ac)|(multiple cpu faults)|(system.+state.+changed )|(\[timeout)|(PRM\|1\|D)|(kpr)|(kdp)|(\|lc)|(penalty))" /e /r /s</v>
      </c>
      <c r="U45" s="9" t="str">
        <f t="shared" si="2"/>
        <v>4020</v>
      </c>
      <c r="V45" s="36">
        <f t="shared" si="3"/>
        <v>42728.088229166664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ID","value":"839-23"},{"id":16,"name":"Locomotive ID","value":"4020"},{"id":130,"name":"Impact","value":""},{"id":150,"name":"Time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"%USERPROFILE%\AppData\Local\Temp\OnboardLogs"\RTDC4020\*4020*201612240*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6" spans="1:30" x14ac:dyDescent="0.25">
      <c r="A46" s="36">
        <v>42727.7969212963</v>
      </c>
      <c r="B46" s="31" t="s">
        <v>327</v>
      </c>
      <c r="C46" s="31" t="s">
        <v>448</v>
      </c>
      <c r="D46" s="31" t="s">
        <v>49</v>
      </c>
      <c r="E46" s="31" t="s">
        <v>200</v>
      </c>
      <c r="F46" s="47">
        <v>0</v>
      </c>
      <c r="G46" s="47">
        <v>30</v>
      </c>
      <c r="H46" s="47">
        <v>58928</v>
      </c>
      <c r="I46" s="47">
        <v>58943</v>
      </c>
      <c r="J46" s="31" t="s">
        <v>201</v>
      </c>
      <c r="K46" s="47">
        <v>59048</v>
      </c>
      <c r="L46" s="154" t="s">
        <v>50</v>
      </c>
      <c r="M46" s="155">
        <f t="shared" si="0"/>
        <v>55.44</v>
      </c>
      <c r="N46" s="156" t="str">
        <f>VLOOKUP(C46,'Trips&amp;Operators'!$C$1:$G$99999,5,FALSE)</f>
        <v>SMITH MICHAEL</v>
      </c>
      <c r="O46" s="173" t="s">
        <v>195</v>
      </c>
      <c r="P46" s="157"/>
      <c r="Q46" s="31"/>
      <c r="R46" s="100" t="str">
        <f>VLOOKUP(C46,'Train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6" s="103" t="str">
        <f>VLOOKUP(C46,'Train Runs'!$A$13:$AE$9972,22,0)</f>
        <v>https://search-rtdc-monitor-bjffxe2xuh6vdkpspy63sjmuny.us-east-1.es.amazonaws.com/_plugin/kibana/#/discover/Steve-Slow-Train-Analysis-(2080s-and-2083s)?_g=(refreshInterval:(display:Off,section:0,value:0),time:(from:'2016-12-23 17:28:48-700',mode:absolute,to:'2016-12-23 20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6" s="105" t="str">
        <f t="shared" si="1"/>
        <v>"C:\Program Files (x86)\AstroGrep\AstroGrep.exe" /spath="%USERPROFILE%\AppData\Local\Temp\OnboardLogs" /stypes="*4020*201612240*" /stext=" 02:.+((SYSTEM_STATE.+slice.+state.+changed )|(ment ac)|(multiple cpu faults)|(system.+state.+changed )|(\[timeout)|(PRM\|1\|D)|(kpr)|(kdp)|(\|lc)|(penalty))" /e /r /s</v>
      </c>
      <c r="U46" s="9" t="str">
        <f t="shared" si="2"/>
        <v>4020</v>
      </c>
      <c r="V46" s="36">
        <f t="shared" si="3"/>
        <v>42728.088587962964</v>
      </c>
      <c r="W46" s="50" t="str">
        <f t="shared" si="4"/>
        <v>NW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ID","value":"839-23"},{"id":16,"name":"Locomotive ID","value":"4020"},{"id":130,"name":"Impact","value":""},{"id":150,"name":"Time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"%USERPROFILE%\AppData\Local\Temp\OnboardLogs"\RTDC4020\*4020*201612240*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"%USERPROFILE%\AppData\Local\Temp\OnboardLogs"\RTDC4020\*4020*201612240* &gt;&gt; 42727-slicedisagreementcheck.txt</v>
      </c>
    </row>
    <row r="47" spans="1:30" x14ac:dyDescent="0.25">
      <c r="A47" s="36">
        <v>42727.942175925928</v>
      </c>
      <c r="B47" s="31" t="s">
        <v>225</v>
      </c>
      <c r="C47" s="31" t="s">
        <v>456</v>
      </c>
      <c r="D47" s="31" t="s">
        <v>49</v>
      </c>
      <c r="E47" s="31" t="s">
        <v>200</v>
      </c>
      <c r="F47" s="47">
        <v>0</v>
      </c>
      <c r="G47" s="47">
        <v>63</v>
      </c>
      <c r="H47" s="47">
        <v>58664</v>
      </c>
      <c r="I47" s="47">
        <v>58732</v>
      </c>
      <c r="J47" s="31" t="s">
        <v>201</v>
      </c>
      <c r="K47" s="47">
        <v>59048</v>
      </c>
      <c r="L47" s="154" t="s">
        <v>50</v>
      </c>
      <c r="M47" s="155">
        <f t="shared" si="0"/>
        <v>166.84800000000001</v>
      </c>
      <c r="N47" s="156" t="str">
        <f>VLOOKUP(C47,'Trips&amp;Operators'!$C$1:$G$99999,5,FALSE)</f>
        <v>SMITH MICHAEL</v>
      </c>
      <c r="O47" s="173" t="s">
        <v>195</v>
      </c>
      <c r="P47" s="157"/>
      <c r="Q47" s="31"/>
      <c r="R47" s="100" t="str">
        <f>VLOOKUP(C47,'Train Runs'!$A$13:$AE$9972,31,0)</f>
        <v>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 &amp; aws s3 cp s3://rtdc.mdm.uploadarchive.raw/RTDC4014/ "%USERPROFILE%\AppData\Local\Temp\OnboardLogs"\RTDC4014\2016-12-24 --exclude "*" --recursive --include "*20161224*" &amp; "%USERPROFILE%\Documents\GitHub\mrs-test-scripts\Headless Mode &amp; Sideloading\WalkAndUnGZ.bat" "%USERPROFILE%\AppData\Local\Temp\OnboardLogs"\RTDC4014\2016-12-24</v>
      </c>
      <c r="S47" s="103" t="str">
        <f>VLOOKUP(C47,'Train Runs'!$A$13:$AE$9972,22,0)</f>
        <v>https://search-rtdc-monitor-bjffxe2xuh6vdkpspy63sjmuny.us-east-1.es.amazonaws.com/_plugin/kibana/#/discover/Steve-Slow-Train-Analysis-(2080s-and-2083s)?_g=(refreshInterval:(display:Off,section:0,value:0),time:(from:'2016-12-23 21:05:50-700',mode:absolute,to:'2016-12-23 23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47" s="105" t="str">
        <f t="shared" si="1"/>
        <v>"C:\Program Files (x86)\AstroGrep\AstroGrep.exe" /spath="%USERPROFILE%\AppData\Local\Temp\OnboardLogs" /stypes="*4014*201612240*" /stext=" 05:.+((SYSTEM_STATE.+slice.+state.+changed )|(ment ac)|(multiple cpu faults)|(system.+state.+changed )|(\[timeout)|(PRM\|1\|D)|(kpr)|(kdp)|(\|lc)|(penalty))" /e /r /s</v>
      </c>
      <c r="U47" s="9" t="str">
        <f t="shared" si="2"/>
        <v>4014</v>
      </c>
      <c r="V47" s="36">
        <f t="shared" si="3"/>
        <v>42728.233842592592</v>
      </c>
      <c r="W47" s="50" t="str">
        <f t="shared" si="4"/>
        <v>NW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{"issue":{"subject":"","project_id":79,"tracker_id":40,"status_id":1,"priority_id":2,"assigned_to_id":23,"start_date":"2016-12-23","description":"","custom_fields":[{"id":1,"name":"Subdivision","value":"NW"},{"id":4,"name":"Milepost","value":"5.9048"},{"id":17,"name":"Train ID","value":"847-23"},{"id":16,"name":"Locomotive ID","value":"4014"},{"id":130,"name":"Impact","value":""},{"id":150,"name":"Time of Event (Mountain Time)","value":"22:36:44"},{"id":151,"name":"Denver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"%USERPROFILE%\AppData\Local\Temp\OnboardLogs"\RTDC4014\*4014*201612240*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"%USERPROFILE%\AppData\Local\Temp\OnboardLogs"\RTDC4014\*4014*201612240* &gt;&gt; 42727-slicedisagreementcheck.txt</v>
      </c>
    </row>
    <row r="48" spans="1:30" x14ac:dyDescent="0.25">
      <c r="A48" s="36">
        <v>42727.190393518518</v>
      </c>
      <c r="B48" s="31" t="s">
        <v>420</v>
      </c>
      <c r="C48" s="31" t="s">
        <v>421</v>
      </c>
      <c r="D48" s="31" t="s">
        <v>49</v>
      </c>
      <c r="E48" s="31" t="s">
        <v>198</v>
      </c>
      <c r="F48" s="47">
        <v>0</v>
      </c>
      <c r="G48" s="47">
        <v>77</v>
      </c>
      <c r="H48" s="47">
        <v>5215</v>
      </c>
      <c r="I48" s="47">
        <v>5108</v>
      </c>
      <c r="J48" s="31" t="s">
        <v>199</v>
      </c>
      <c r="K48" s="47">
        <v>4790</v>
      </c>
      <c r="L48" s="154" t="s">
        <v>51</v>
      </c>
      <c r="M48" s="155">
        <f t="shared" si="0"/>
        <v>167.904</v>
      </c>
      <c r="N48" s="156" t="str">
        <f>VLOOKUP(C48,'Trips&amp;Operators'!$C$1:$G$99999,5,FALSE)</f>
        <v>DUNCAN SHEILA</v>
      </c>
      <c r="O48" s="173" t="s">
        <v>195</v>
      </c>
      <c r="P48" s="157"/>
      <c r="Q48" s="31"/>
      <c r="R48" s="100" t="str">
        <f>VLOOKUP(C48,'Train Runs'!$A$13:$AE$9972,31,0)</f>
        <v>aws s3 cp s3://rtdc.mdm.uploadarchive.raw/RTDC4008/ "%USERPROFILE%\AppData\Local\Temp\OnboardLogs"\RTDC4008\2016-12-23 --exclude "*" --recursive --include "*20161223*" &amp; "%USERPROFILE%\Documents\GitHub\mrs-test-scripts\Headless Mode &amp; Sideloading\WalkAndUnGZ.bat" "%USERPROFILE%\AppData\Local\Temp\OnboardLogs"\RTDC4008\2016-12-23 &amp; 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</v>
      </c>
      <c r="S48" s="103" t="str">
        <f>VLOOKUP(C48,'Train Runs'!$A$13:$AE$9972,22,0)</f>
        <v>https://search-rtdc-monitor-bjffxe2xuh6vdkpspy63sjmuny.us-east-1.es.amazonaws.com/_plugin/kibana/#/discover/Steve-Slow-Train-Analysis-(2080s-and-2083s)?_g=(refreshInterval:(display:Off,section:0,value:0),time:(from:'2016-12-23 03:23:15-700',mode:absolute,to:'2016-12-23 05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48" s="105" t="str">
        <f t="shared" si="1"/>
        <v>"C:\Program Files (x86)\AstroGrep\AstroGrep.exe" /spath="%USERPROFILE%\AppData\Local\Temp\OnboardLogs" /stypes="*4008*201612231*" /stext=" 11:.+((SYSTEM_STATE.+slice.+state.+changed )|(ment ac)|(multiple cpu faults)|(system.+state.+changed )|(\[timeout)|(PRM\|1\|D)|(kpr)|(kdp)|(\|lc)|(penalty))" /e /r /s</v>
      </c>
      <c r="U48" s="9" t="str">
        <f t="shared" si="2"/>
        <v>4008</v>
      </c>
      <c r="V48" s="36">
        <f t="shared" si="3"/>
        <v>42727.482060185182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{"issue":{"subject":"","project_id":79,"tracker_id":40,"status_id":1,"priority_id":2,"assigned_to_id":23,"start_date":"2016-12-23","description":"","custom_fields":[{"id":1,"name":"Subdivision","value":"Other"},{"id":4,"name":"Milepost","value":"0.479"},{"id":17,"name":"Train ID","value":"310-23"},{"id":16,"name":"Locomotive ID","value":"4008"},{"id":130,"name":"Impact","value":""},{"id":150,"name":"Time of Event (Mountain Time)","value":"04:34:10"},{"id":151,"name":"Denver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"%USERPROFILE%\AppData\Local\Temp\OnboardLogs"\RTDC4008\*4008*201612231*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"%USERPROFILE%\AppData\Local\Temp\OnboardLogs"\RTDC4008\*4008*201612231* &gt;&gt; 42727-slicedisagreementcheck.txt</v>
      </c>
    </row>
    <row r="49" spans="1:30" x14ac:dyDescent="0.25">
      <c r="A49" s="36">
        <v>42727.356319444443</v>
      </c>
      <c r="B49" s="31" t="s">
        <v>327</v>
      </c>
      <c r="C49" s="31" t="s">
        <v>432</v>
      </c>
      <c r="D49" s="31" t="s">
        <v>49</v>
      </c>
      <c r="E49" s="31" t="s">
        <v>433</v>
      </c>
      <c r="F49" s="47">
        <v>0</v>
      </c>
      <c r="G49" s="47">
        <v>149</v>
      </c>
      <c r="H49" s="47">
        <v>1405</v>
      </c>
      <c r="I49" s="47">
        <v>1711</v>
      </c>
      <c r="J49" s="31" t="s">
        <v>434</v>
      </c>
      <c r="K49" s="47">
        <v>1725</v>
      </c>
      <c r="L49" s="154" t="s">
        <v>50</v>
      </c>
      <c r="M49" s="155">
        <f t="shared" si="0"/>
        <v>7.3920000000000003</v>
      </c>
      <c r="N49" s="156" t="str">
        <f>VLOOKUP(C49,'Trips&amp;Operators'!$C$1:$G$99999,5,FALSE)</f>
        <v>SIMMONS SHYHESHA</v>
      </c>
      <c r="O49" s="173" t="s">
        <v>195</v>
      </c>
      <c r="P49" s="157"/>
      <c r="Q49" s="31"/>
      <c r="R49" s="100" t="str">
        <f>VLOOKUP(C49,'Train Runs'!$A$13:$AE$9972,31,0)</f>
        <v>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 &amp; aws s3 cp s3://rtdc.mdm.uploadarchive.raw/RTDC4020/ "%USERPROFILE%\AppData\Local\Temp\OnboardLogs"\RTDC4020\2016-12-24 --exclude "*" --recursive --include "*20161224*" &amp; "%USERPROFILE%\Documents\GitHub\mrs-test-scripts\Headless Mode &amp; Sideloading\WalkAndUnGZ.bat" "%USERPROFILE%\AppData\Local\Temp\OnboardLogs"\RTDC4020\2016-12-24</v>
      </c>
      <c r="S49" s="103" t="str">
        <f>VLOOKUP(C49,'Train Runs'!$A$13:$AE$9972,22,0)</f>
        <v>https://search-rtdc-monitor-bjffxe2xuh6vdkpspy63sjmuny.us-east-1.es.amazonaws.com/_plugin/kibana/#/discover/Steve-Slow-Train-Analysis-(2080s-and-2083s)?_g=(refreshInterval:(display:Off,section:0,value:0),time:(from:'2016-12-23 07:28:43-700',mode:absolute,to:'2016-12-23 09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9" s="105" t="str">
        <f t="shared" si="1"/>
        <v>"C:\Program Files (x86)\AstroGrep\AstroGrep.exe" /spath="%USERPROFILE%\AppData\Local\Temp\OnboardLogs" /stypes="*4020*201612231*" /stext=" 15:.+((SYSTEM_STATE.+slice.+state.+changed )|(ment ac)|(multiple cpu faults)|(system.+state.+changed )|(\[timeout)|(PRM\|1\|D)|(kpr)|(kdp)|(\|lc)|(penalty))" /e /r /s</v>
      </c>
      <c r="U49" s="9" t="str">
        <f t="shared" si="2"/>
        <v>4020</v>
      </c>
      <c r="V49" s="36">
        <f t="shared" si="3"/>
        <v>42727.647986111107</v>
      </c>
      <c r="W49" s="50" t="str">
        <f t="shared" si="4"/>
        <v>Other</v>
      </c>
      <c r="X49" s="50" t="str">
        <f t="shared" si="5"/>
        <v>KEEP</v>
      </c>
      <c r="Y49" s="119" t="str">
        <f t="shared" si="6"/>
        <v>echo {"issue":{"subject":"","project_id":79,"tracker_id":40,"status_id":1,"priority_id":2,"assigned_to_id":23,"start_date":"2016-12-23","description":"","custom_fields":[{"id":1,"name":"Subdivision","value":"Other"},{"id":4,"name":"Milepost","value":"0.1725"},{"id":17,"name":"Train ID","value":"903-23"},{"id":16,"name":"Locomotive ID","value":"4020"},{"id":130,"name":"Impact","value":""},{"id":150,"name":"Time of Event (Mountain Time)","value":"08:33:06"},{"id":151,"name":"Denver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"%USERPROFILE%\AppData\Local\Temp\OnboardLogs"\RTDC4020\*4020*201612231*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"%USERPROFILE%\AppData\Local\Temp\OnboardLogs"\RTDC4020\*4020*201612231* &gt;&gt; 42727-slicedisagreementcheck.txt</v>
      </c>
    </row>
    <row r="50" spans="1:30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109" spans="18:18" x14ac:dyDescent="0.25">
      <c r="R109" s="89" t="s">
        <v>856</v>
      </c>
    </row>
  </sheetData>
  <autoFilter ref="A6:AC44">
    <sortState ref="A7:AC49">
      <sortCondition ref="V6:V44"/>
    </sortState>
  </autoFilter>
  <sortState ref="A7:AD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hyperlinks>
    <hyperlink ref="Z1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76" t="str">
        <f>"Trips that did not appear in PTC Data "&amp;TEXT(Variables!$A$2,"YYYY-mm-dd")</f>
        <v>Trips that did not appear in PTC Data 2016-12-23</v>
      </c>
      <c r="C1" s="176"/>
      <c r="D1" s="176"/>
      <c r="E1" s="176"/>
      <c r="F1" s="176"/>
    </row>
    <row r="2" spans="1:11" s="24" customFormat="1" ht="45" x14ac:dyDescent="0.25">
      <c r="A2" s="16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6">
        <v>114</v>
      </c>
      <c r="B3" s="47" t="str">
        <f>A3&amp;"-"&amp;IF(DAY(Variables!$A$2)&lt;10,0,"")&amp;DAY(Variables!$A$2)</f>
        <v>114-23</v>
      </c>
      <c r="C3" s="158"/>
      <c r="D3" s="163"/>
      <c r="E3" s="31" t="s">
        <v>419</v>
      </c>
      <c r="F3" s="22" t="str">
        <f>VLOOKUP(B3,'Trips&amp;Operators'!$C$2:$E$10000,3,FALSE)</f>
        <v>ISHMAEL</v>
      </c>
      <c r="G3" s="22" t="str">
        <f>VLOOKUP(B3,'Trips&amp;Operators'!$C$1:$F$10000,4,FALSE)</f>
        <v>JOSEPH</v>
      </c>
      <c r="H3" s="30" t="str">
        <f>VLOOKUP(B3,'Trips&amp;Operators'!$C$1:$H$10000,5,FALSE)</f>
        <v>ISHMAEL JOSEPH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-23%22)),sort:!(Time,asc))</v>
      </c>
      <c r="J3" s="31" t="str">
        <f>VLOOKUP(B3,'Train Runs'!$A$13:$A$99969,1,FALSE)</f>
        <v>114-23</v>
      </c>
      <c r="K3" s="31" t="e">
        <f>IF(VLOOKUP(A3,$K$26:$K$49,1,FALSE),"Cancelled")</f>
        <v>#N/A</v>
      </c>
    </row>
    <row r="4" spans="1:11" x14ac:dyDescent="0.25">
      <c r="A4" s="166">
        <v>240</v>
      </c>
      <c r="B4" s="47" t="str">
        <f>A4&amp;"-"&amp;IF(DAY(Variables!$A$2)&lt;10,0,"")&amp;DAY(Variables!$A$2)</f>
        <v>240-23</v>
      </c>
      <c r="C4" s="158"/>
      <c r="D4" s="163"/>
      <c r="E4" s="31" t="s">
        <v>419</v>
      </c>
      <c r="F4" s="22" t="str">
        <f>VLOOKUP(B4,'Trips&amp;Operators'!$C$2:$E$10000,3,FALSE)</f>
        <v>YANG</v>
      </c>
      <c r="G4" s="22" t="str">
        <f>VLOOKUP(B4,'Trips&amp;Operators'!$C$1:$F$10000,4,FALSE)</f>
        <v>JAN</v>
      </c>
      <c r="H4" s="30" t="str">
        <f>VLOOKUP(B4,'Trips&amp;Operators'!$C$1:$H$10000,5,FALSE)</f>
        <v>YANG JAN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-23%22)),sort:!(Time,asc))</v>
      </c>
      <c r="J4" s="31" t="str">
        <f>VLOOKUP(B4,'Train Runs'!$A$13:$A$99969,1,FALSE)</f>
        <v>240-23</v>
      </c>
      <c r="K4" s="31" t="e">
        <f>IF(VLOOKUP(A4,$K$26:$K$49,1,FALSE),"Cancelled")</f>
        <v>#N/A</v>
      </c>
    </row>
    <row r="5" spans="1:11" x14ac:dyDescent="0.25">
      <c r="A5" s="166"/>
      <c r="B5" s="47" t="str">
        <f>A5&amp;"-"&amp;IF(DAY(Variables!$A$2)&lt;10,0,"")&amp;DAY(Variables!$A$2)</f>
        <v>-23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5" s="31" t="e">
        <f>VLOOKUP(B5,'Train Runs'!$A$13:$A$99969,1,FALSE)</f>
        <v>#N/A</v>
      </c>
      <c r="K5" s="31" t="e">
        <f>IF(VLOOKUP(A5,$K$26:$K$49,1,FALSE),"Cancelled")</f>
        <v>#N/A</v>
      </c>
    </row>
    <row r="6" spans="1:11" x14ac:dyDescent="0.25">
      <c r="A6" s="166"/>
      <c r="B6" s="47" t="str">
        <f>A6&amp;"-"&amp;IF(DAY(Variables!$A$2)&lt;10,0,"")&amp;DAY(Variables!$A$2)</f>
        <v>-23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6" s="31" t="e">
        <f>VLOOKUP(B6,'Train Runs'!$A$13:$A$99969,1,FALSE)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66"/>
      <c r="B7" s="47" t="str">
        <f>A7&amp;"-"&amp;IF(DAY(Variables!$A$2)&lt;10,0,"")&amp;DAY(Variables!$A$2)</f>
        <v>-23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7" s="31" t="e">
        <f>VLOOKUP(B7,'Train Runs'!$A$13:$A$99969,1,FALSE)</f>
        <v>#N/A</v>
      </c>
      <c r="K7" s="31" t="e">
        <f t="shared" si="2"/>
        <v>#N/A</v>
      </c>
    </row>
    <row r="8" spans="1:11" x14ac:dyDescent="0.25">
      <c r="A8" s="166"/>
      <c r="B8" s="47" t="str">
        <f>A8&amp;"-"&amp;IF(DAY(Variables!$A$2)&lt;10,0,"")&amp;DAY(Variables!$A$2)</f>
        <v>-23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8" s="31" t="e">
        <f>VLOOKUP(B8,'Train Runs'!$A$13:$A$99969,1,FALSE)</f>
        <v>#N/A</v>
      </c>
      <c r="K8" s="31" t="e">
        <f t="shared" si="2"/>
        <v>#N/A</v>
      </c>
    </row>
    <row r="9" spans="1:11" x14ac:dyDescent="0.25">
      <c r="A9" s="166"/>
      <c r="B9" s="47" t="str">
        <f>A9&amp;"-"&amp;IF(DAY(Variables!$A$2)&lt;10,0,"")&amp;DAY(Variables!$A$2)</f>
        <v>-23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9" s="31" t="e">
        <f>VLOOKUP(B9,'Train Runs'!$A$13:$A$99969,1,FALSE)</f>
        <v>#N/A</v>
      </c>
      <c r="K9" s="31" t="e">
        <f t="shared" si="2"/>
        <v>#N/A</v>
      </c>
    </row>
    <row r="10" spans="1:11" x14ac:dyDescent="0.25">
      <c r="A10" s="166"/>
      <c r="B10" s="47" t="str">
        <f>A10&amp;"-"&amp;IF(DAY(Variables!$A$2)&lt;10,0,"")&amp;DAY(Variables!$A$2)</f>
        <v>-23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0" s="31" t="e">
        <f>VLOOKUP(B10,'Train Runs'!$A$13:$A$99969,1,FALSE)</f>
        <v>#N/A</v>
      </c>
      <c r="K10" s="31" t="e">
        <f t="shared" si="2"/>
        <v>#N/A</v>
      </c>
    </row>
    <row r="11" spans="1:11" x14ac:dyDescent="0.25">
      <c r="A11" s="166"/>
      <c r="B11" s="47" t="str">
        <f>A11&amp;"-"&amp;IF(DAY(Variables!$A$2)&lt;10,0,"")&amp;DAY(Variables!$A$2)</f>
        <v>-23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1" s="31" t="e">
        <f>VLOOKUP(B11,'Train Runs'!$A$13:$A$99969,1,FALSE)</f>
        <v>#N/A</v>
      </c>
      <c r="K11" s="31" t="e">
        <f t="shared" si="2"/>
        <v>#N/A</v>
      </c>
    </row>
    <row r="12" spans="1:11" x14ac:dyDescent="0.25">
      <c r="A12" s="166"/>
      <c r="B12" s="47" t="str">
        <f>A12&amp;"-"&amp;IF(DAY(Variables!$A$2)&lt;10,0,"")&amp;DAY(Variables!$A$2)</f>
        <v>-23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2" s="31" t="e">
        <f>VLOOKUP(B12,'Train Runs'!$A$13:$A$99969,1,FALSE)</f>
        <v>#N/A</v>
      </c>
      <c r="K12" s="31" t="e">
        <f t="shared" si="2"/>
        <v>#N/A</v>
      </c>
    </row>
    <row r="13" spans="1:11" x14ac:dyDescent="0.25">
      <c r="A13" s="166"/>
      <c r="B13" s="47" t="str">
        <f>A13&amp;"-"&amp;IF(DAY(Variables!$A$2)&lt;10,0,"")&amp;DAY(Variables!$A$2)</f>
        <v>-23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3" s="31" t="e">
        <f>VLOOKUP(B13,'Train Runs'!$A$13:$A$99969,1,FALSE)</f>
        <v>#N/A</v>
      </c>
      <c r="K13" s="31" t="e">
        <f t="shared" si="2"/>
        <v>#N/A</v>
      </c>
    </row>
    <row r="14" spans="1:11" x14ac:dyDescent="0.25">
      <c r="A14" s="166"/>
      <c r="B14" s="47" t="str">
        <f>A14&amp;"-"&amp;IF(DAY(Variables!$A$2)&lt;10,0,"")&amp;DAY(Variables!$A$2)</f>
        <v>-23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4" s="31" t="e">
        <f>VLOOKUP(B14,'Train Runs'!$A$13:$A$99969,1,FALSE)</f>
        <v>#N/A</v>
      </c>
      <c r="K14" s="31" t="e">
        <f t="shared" si="2"/>
        <v>#N/A</v>
      </c>
    </row>
    <row r="15" spans="1:11" x14ac:dyDescent="0.25">
      <c r="A15" s="166"/>
      <c r="B15" s="47" t="str">
        <f>A15&amp;"-"&amp;IF(DAY(Variables!$A$2)&lt;10,0,"")&amp;DAY(Variables!$A$2)</f>
        <v>-23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5" s="31" t="e">
        <f>VLOOKUP(B15,'Train Runs'!$A$13:$A$99969,1,FALSE)</f>
        <v>#N/A</v>
      </c>
      <c r="K15" s="31" t="e">
        <f t="shared" si="2"/>
        <v>#N/A</v>
      </c>
    </row>
    <row r="16" spans="1:11" x14ac:dyDescent="0.25">
      <c r="A16" s="166"/>
      <c r="B16" s="47" t="str">
        <f>A16&amp;"-"&amp;IF(DAY(Variables!$A$2)&lt;10,0,"")&amp;DAY(Variables!$A$2)</f>
        <v>-23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6" s="31" t="e">
        <f>VLOOKUP(B16,'Train Runs'!$A$13:$A$99969,1,FALSE)</f>
        <v>#N/A</v>
      </c>
      <c r="K16" s="31" t="e">
        <f t="shared" si="2"/>
        <v>#N/A</v>
      </c>
    </row>
    <row r="17" spans="1:11" x14ac:dyDescent="0.25">
      <c r="A17" s="166"/>
      <c r="B17" s="47" t="str">
        <f>A17&amp;"-"&amp;IF(DAY(Variables!$A$2)&lt;10,0,"")&amp;DAY(Variables!$A$2)</f>
        <v>-23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7" s="31" t="e">
        <f>VLOOKUP(B17,'Train Runs'!$A$13:$A$99969,1,FALSE)</f>
        <v>#N/A</v>
      </c>
      <c r="K17" s="31" t="e">
        <f t="shared" si="2"/>
        <v>#N/A</v>
      </c>
    </row>
    <row r="18" spans="1:11" x14ac:dyDescent="0.25">
      <c r="A18" s="166"/>
      <c r="B18" s="47" t="str">
        <f>A18&amp;"-"&amp;IF(DAY(Variables!$A$2)&lt;10,0,"")&amp;DAY(Variables!$A$2)</f>
        <v>-23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8" s="31" t="e">
        <f>VLOOKUP(B18,'Train Runs'!$A$13:$A$99969,1,FALSE)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42727.033819444441</v>
      </c>
      <c r="B2" s="21" t="s">
        <v>292</v>
      </c>
      <c r="C2" s="21" t="s">
        <v>461</v>
      </c>
      <c r="D2" s="164">
        <v>2270000</v>
      </c>
      <c r="E2" s="21" t="s">
        <v>378</v>
      </c>
      <c r="F2" s="21" t="s">
        <v>379</v>
      </c>
      <c r="G2" s="8" t="str">
        <f>E2&amp;" "&amp;F2</f>
        <v>BROWN JACOB</v>
      </c>
    </row>
    <row r="3" spans="1:7" x14ac:dyDescent="0.25">
      <c r="A3" s="8">
        <v>42727.046875</v>
      </c>
      <c r="B3" s="21" t="s">
        <v>260</v>
      </c>
      <c r="C3" s="21" t="s">
        <v>462</v>
      </c>
      <c r="D3" s="164">
        <v>2220000</v>
      </c>
      <c r="E3" s="21" t="s">
        <v>376</v>
      </c>
      <c r="F3" s="21" t="s">
        <v>377</v>
      </c>
      <c r="G3" s="8" t="str">
        <f t="shared" ref="G3:G66" si="0">E3&amp;" "&amp;F3</f>
        <v>HILLS DUSTIN</v>
      </c>
    </row>
    <row r="4" spans="1:7" x14ac:dyDescent="0.25">
      <c r="A4" s="8">
        <v>42727.047592592593</v>
      </c>
      <c r="B4" s="21" t="s">
        <v>380</v>
      </c>
      <c r="C4" s="21" t="s">
        <v>463</v>
      </c>
      <c r="D4" s="164">
        <v>1810000</v>
      </c>
      <c r="E4" s="21" t="s">
        <v>284</v>
      </c>
      <c r="F4" s="21" t="s">
        <v>251</v>
      </c>
      <c r="G4" s="8" t="str">
        <f t="shared" si="0"/>
        <v>NEWELL JAMES</v>
      </c>
    </row>
    <row r="5" spans="1:7" x14ac:dyDescent="0.25">
      <c r="A5" s="8">
        <v>42727.07440972222</v>
      </c>
      <c r="B5" s="21" t="s">
        <v>293</v>
      </c>
      <c r="C5" s="21" t="s">
        <v>464</v>
      </c>
      <c r="D5" s="164">
        <v>2270000</v>
      </c>
      <c r="E5" s="21" t="s">
        <v>378</v>
      </c>
      <c r="F5" s="21" t="s">
        <v>379</v>
      </c>
      <c r="G5" s="8" t="str">
        <f t="shared" si="0"/>
        <v>BROWN JACOB</v>
      </c>
    </row>
    <row r="6" spans="1:7" x14ac:dyDescent="0.25">
      <c r="A6" s="8">
        <v>42727.089560185188</v>
      </c>
      <c r="B6" s="21" t="s">
        <v>229</v>
      </c>
      <c r="C6" s="21" t="s">
        <v>465</v>
      </c>
      <c r="D6" s="164">
        <v>2220000</v>
      </c>
      <c r="E6" s="21" t="s">
        <v>376</v>
      </c>
      <c r="F6" s="21" t="s">
        <v>377</v>
      </c>
      <c r="G6" s="8" t="str">
        <f t="shared" si="0"/>
        <v>HILLS DUSTIN</v>
      </c>
    </row>
    <row r="7" spans="1:7" x14ac:dyDescent="0.25">
      <c r="A7" s="8">
        <v>42727.090196759258</v>
      </c>
      <c r="B7" s="21" t="s">
        <v>229</v>
      </c>
      <c r="C7" s="21" t="s">
        <v>465</v>
      </c>
      <c r="D7" s="164">
        <v>2220000</v>
      </c>
      <c r="E7" s="21" t="s">
        <v>376</v>
      </c>
      <c r="F7" s="21" t="s">
        <v>377</v>
      </c>
      <c r="G7" s="8" t="str">
        <f t="shared" si="0"/>
        <v>HILLS DUSTIN</v>
      </c>
    </row>
    <row r="8" spans="1:7" x14ac:dyDescent="0.25">
      <c r="A8" s="8">
        <v>42727.090729166666</v>
      </c>
      <c r="B8" s="21" t="s">
        <v>229</v>
      </c>
      <c r="C8" s="21" t="s">
        <v>465</v>
      </c>
      <c r="D8" s="164">
        <v>2220000</v>
      </c>
      <c r="E8" s="21" t="s">
        <v>376</v>
      </c>
      <c r="F8" s="21" t="s">
        <v>377</v>
      </c>
      <c r="G8" s="8" t="str">
        <f t="shared" si="0"/>
        <v>HILLS DUSTIN</v>
      </c>
    </row>
    <row r="9" spans="1:7" ht="15.75" thickBot="1" x14ac:dyDescent="0.3">
      <c r="A9" s="25">
        <v>42727.092118055552</v>
      </c>
      <c r="B9" s="21" t="s">
        <v>229</v>
      </c>
      <c r="C9" s="21" t="s">
        <v>465</v>
      </c>
      <c r="D9" s="164">
        <v>2220000</v>
      </c>
      <c r="E9" s="21" t="s">
        <v>376</v>
      </c>
      <c r="F9" s="21" t="s">
        <v>377</v>
      </c>
      <c r="G9" s="8" t="str">
        <f t="shared" si="0"/>
        <v>HILLS DUSTIN</v>
      </c>
    </row>
    <row r="10" spans="1:7" x14ac:dyDescent="0.25">
      <c r="A10" s="8">
        <v>42727.092777777776</v>
      </c>
      <c r="B10" s="21" t="s">
        <v>229</v>
      </c>
      <c r="C10" s="21" t="s">
        <v>465</v>
      </c>
      <c r="D10" s="164">
        <v>2220000</v>
      </c>
      <c r="E10" s="21" t="s">
        <v>376</v>
      </c>
      <c r="F10" s="21" t="s">
        <v>377</v>
      </c>
      <c r="G10" s="8" t="str">
        <f t="shared" si="0"/>
        <v>HILLS DUSTIN</v>
      </c>
    </row>
    <row r="11" spans="1:7" x14ac:dyDescent="0.25">
      <c r="A11" s="8">
        <v>42727.115289351852</v>
      </c>
      <c r="B11" s="21" t="s">
        <v>232</v>
      </c>
      <c r="C11" s="21" t="s">
        <v>466</v>
      </c>
      <c r="D11" s="164">
        <v>2100000</v>
      </c>
      <c r="E11" s="21" t="s">
        <v>364</v>
      </c>
      <c r="F11" s="21" t="s">
        <v>365</v>
      </c>
      <c r="G11" s="8" t="str">
        <f t="shared" si="0"/>
        <v>ISHMAEL JOSEPH</v>
      </c>
    </row>
    <row r="12" spans="1:7" x14ac:dyDescent="0.25">
      <c r="A12" s="8">
        <v>42727.125636574077</v>
      </c>
      <c r="B12" s="21" t="s">
        <v>294</v>
      </c>
      <c r="C12" s="21" t="s">
        <v>467</v>
      </c>
      <c r="D12" s="164">
        <v>2100000</v>
      </c>
      <c r="E12" s="21" t="s">
        <v>364</v>
      </c>
      <c r="F12" s="21" t="s">
        <v>365</v>
      </c>
      <c r="G12" s="8" t="str">
        <f t="shared" si="0"/>
        <v>ISHMAEL JOSEPH</v>
      </c>
    </row>
    <row r="13" spans="1:7" x14ac:dyDescent="0.25">
      <c r="A13" s="8">
        <v>42727.141365740739</v>
      </c>
      <c r="B13" s="21" t="s">
        <v>210</v>
      </c>
      <c r="C13" s="21" t="s">
        <v>468</v>
      </c>
      <c r="D13" s="164">
        <v>1990000</v>
      </c>
      <c r="E13" s="21" t="s">
        <v>264</v>
      </c>
      <c r="F13" s="21" t="s">
        <v>469</v>
      </c>
      <c r="G13" s="8" t="str">
        <f t="shared" si="0"/>
        <v>DAVIS WENDY</v>
      </c>
    </row>
    <row r="14" spans="1:7" x14ac:dyDescent="0.25">
      <c r="A14" s="8">
        <v>42727.150972222225</v>
      </c>
      <c r="B14" s="21" t="s">
        <v>295</v>
      </c>
      <c r="C14" s="21" t="s">
        <v>470</v>
      </c>
      <c r="D14" s="164">
        <v>1990000</v>
      </c>
      <c r="E14" s="21" t="s">
        <v>264</v>
      </c>
      <c r="F14" s="21" t="s">
        <v>469</v>
      </c>
      <c r="G14" s="8" t="str">
        <f t="shared" si="0"/>
        <v>DAVIS WENDY</v>
      </c>
    </row>
    <row r="15" spans="1:7" x14ac:dyDescent="0.25">
      <c r="A15" s="8">
        <v>42727.157268518517</v>
      </c>
      <c r="B15" s="21" t="s">
        <v>454</v>
      </c>
      <c r="C15" s="21" t="s">
        <v>471</v>
      </c>
      <c r="D15" s="164">
        <v>2140000</v>
      </c>
      <c r="E15" s="21" t="s">
        <v>472</v>
      </c>
      <c r="F15" s="21" t="s">
        <v>473</v>
      </c>
      <c r="G15" s="8" t="str">
        <f t="shared" si="0"/>
        <v>ROBINSON KADDIBA</v>
      </c>
    </row>
    <row r="16" spans="1:7" x14ac:dyDescent="0.25">
      <c r="A16" s="8">
        <v>42727.164189814815</v>
      </c>
      <c r="B16" s="21" t="s">
        <v>232</v>
      </c>
      <c r="C16" s="21" t="s">
        <v>423</v>
      </c>
      <c r="D16" s="164">
        <v>2100000</v>
      </c>
      <c r="E16" s="21" t="s">
        <v>364</v>
      </c>
      <c r="F16" s="21" t="s">
        <v>365</v>
      </c>
      <c r="G16" s="8" t="str">
        <f t="shared" si="0"/>
        <v>ISHMAEL JOSEPH</v>
      </c>
    </row>
    <row r="17" spans="1:7" x14ac:dyDescent="0.25">
      <c r="A17" s="8">
        <v>42727.171249999999</v>
      </c>
      <c r="B17" s="21" t="s">
        <v>243</v>
      </c>
      <c r="C17" s="21" t="s">
        <v>474</v>
      </c>
      <c r="D17" s="164">
        <v>2140000</v>
      </c>
      <c r="E17" s="21" t="s">
        <v>472</v>
      </c>
      <c r="F17" s="21" t="s">
        <v>473</v>
      </c>
      <c r="G17" s="8" t="str">
        <f t="shared" si="0"/>
        <v>ROBINSON KADDIBA</v>
      </c>
    </row>
    <row r="18" spans="1:7" x14ac:dyDescent="0.25">
      <c r="A18" s="8">
        <v>42727.17428240741</v>
      </c>
      <c r="B18" s="21" t="s">
        <v>155</v>
      </c>
      <c r="C18" s="21" t="s">
        <v>475</v>
      </c>
      <c r="D18" s="164">
        <v>1110000</v>
      </c>
      <c r="E18" s="21" t="s">
        <v>323</v>
      </c>
      <c r="F18" s="21" t="s">
        <v>324</v>
      </c>
      <c r="G18" s="8" t="str">
        <f t="shared" si="0"/>
        <v>STARKS ANGELINA</v>
      </c>
    </row>
    <row r="19" spans="1:7" x14ac:dyDescent="0.25">
      <c r="A19" s="8">
        <v>42727.183576388888</v>
      </c>
      <c r="B19" s="21" t="s">
        <v>420</v>
      </c>
      <c r="C19" s="21" t="s">
        <v>421</v>
      </c>
      <c r="D19" s="164">
        <v>2680000</v>
      </c>
      <c r="E19" s="21" t="s">
        <v>328</v>
      </c>
      <c r="F19" s="21" t="s">
        <v>329</v>
      </c>
      <c r="G19" s="8" t="str">
        <f t="shared" si="0"/>
        <v>DUNCAN SHEILA</v>
      </c>
    </row>
    <row r="20" spans="1:7" x14ac:dyDescent="0.25">
      <c r="A20" s="8">
        <v>42727.185833333337</v>
      </c>
      <c r="B20" s="21" t="s">
        <v>154</v>
      </c>
      <c r="C20" s="21" t="s">
        <v>476</v>
      </c>
      <c r="D20" s="164">
        <v>1110000</v>
      </c>
      <c r="E20" s="21" t="s">
        <v>323</v>
      </c>
      <c r="F20" s="21" t="s">
        <v>324</v>
      </c>
      <c r="G20" s="8" t="str">
        <f t="shared" si="0"/>
        <v>STARKS ANGELINA</v>
      </c>
    </row>
    <row r="21" spans="1:7" x14ac:dyDescent="0.25">
      <c r="A21" s="8">
        <v>42727.191817129627</v>
      </c>
      <c r="B21" s="21" t="s">
        <v>210</v>
      </c>
      <c r="C21" s="21" t="s">
        <v>422</v>
      </c>
      <c r="D21" s="164">
        <v>1990000</v>
      </c>
      <c r="E21" s="21" t="s">
        <v>264</v>
      </c>
      <c r="F21" s="21" t="s">
        <v>469</v>
      </c>
      <c r="G21" s="8" t="str">
        <f t="shared" si="0"/>
        <v>DAVIS WENDY</v>
      </c>
    </row>
    <row r="22" spans="1:7" x14ac:dyDescent="0.25">
      <c r="A22" s="27">
        <v>42727.196666666663</v>
      </c>
      <c r="B22" s="21" t="s">
        <v>477</v>
      </c>
      <c r="C22" s="21" t="s">
        <v>478</v>
      </c>
      <c r="D22" s="164">
        <v>2680000</v>
      </c>
      <c r="E22" s="21" t="s">
        <v>328</v>
      </c>
      <c r="F22" s="21" t="s">
        <v>329</v>
      </c>
      <c r="G22" s="8" t="str">
        <f t="shared" si="0"/>
        <v>DUNCAN SHEILA</v>
      </c>
    </row>
    <row r="23" spans="1:7" x14ac:dyDescent="0.25">
      <c r="A23" s="8">
        <v>42727.204837962963</v>
      </c>
      <c r="B23" s="21" t="s">
        <v>225</v>
      </c>
      <c r="C23" s="21" t="s">
        <v>479</v>
      </c>
      <c r="D23" s="164">
        <v>2710000</v>
      </c>
      <c r="E23" s="21" t="s">
        <v>325</v>
      </c>
      <c r="F23" s="21" t="s">
        <v>326</v>
      </c>
      <c r="G23" s="8" t="str">
        <f t="shared" si="0"/>
        <v>SIMMONS SHYHESHA</v>
      </c>
    </row>
    <row r="24" spans="1:7" x14ac:dyDescent="0.25">
      <c r="A24" s="8">
        <v>42727.206759259258</v>
      </c>
      <c r="B24" s="21" t="s">
        <v>231</v>
      </c>
      <c r="C24" s="21" t="s">
        <v>480</v>
      </c>
      <c r="D24" s="164">
        <v>2100000</v>
      </c>
      <c r="E24" s="21" t="s">
        <v>364</v>
      </c>
      <c r="F24" s="21" t="s">
        <v>365</v>
      </c>
      <c r="G24" s="8" t="str">
        <f t="shared" si="0"/>
        <v>ISHMAEL JOSEPH</v>
      </c>
    </row>
    <row r="25" spans="1:7" x14ac:dyDescent="0.25">
      <c r="A25" s="8">
        <v>42727.209050925929</v>
      </c>
      <c r="B25" s="21" t="s">
        <v>294</v>
      </c>
      <c r="C25" s="21" t="s">
        <v>481</v>
      </c>
      <c r="D25" s="164">
        <v>940000</v>
      </c>
      <c r="E25" s="21" t="s">
        <v>368</v>
      </c>
      <c r="F25" s="21" t="s">
        <v>369</v>
      </c>
      <c r="G25" s="8" t="str">
        <f t="shared" si="0"/>
        <v>BONDS REYNALDO</v>
      </c>
    </row>
    <row r="26" spans="1:7" x14ac:dyDescent="0.25">
      <c r="A26" s="8">
        <v>42727.210289351853</v>
      </c>
      <c r="B26" s="21" t="s">
        <v>454</v>
      </c>
      <c r="C26" s="21" t="s">
        <v>482</v>
      </c>
      <c r="D26" s="164">
        <v>2140000</v>
      </c>
      <c r="E26" s="21" t="s">
        <v>472</v>
      </c>
      <c r="F26" s="21" t="s">
        <v>473</v>
      </c>
      <c r="G26" s="8" t="str">
        <f t="shared" si="0"/>
        <v>ROBINSON KADDIBA</v>
      </c>
    </row>
    <row r="27" spans="1:7" x14ac:dyDescent="0.25">
      <c r="A27" s="8">
        <v>42727.214131944442</v>
      </c>
      <c r="B27" s="21" t="s">
        <v>271</v>
      </c>
      <c r="C27" s="21" t="s">
        <v>483</v>
      </c>
      <c r="D27" s="164">
        <v>2710000</v>
      </c>
      <c r="E27" s="21" t="s">
        <v>325</v>
      </c>
      <c r="F27" s="21" t="s">
        <v>326</v>
      </c>
      <c r="G27" s="8" t="str">
        <f t="shared" si="0"/>
        <v>SIMMONS SHYHESHA</v>
      </c>
    </row>
    <row r="28" spans="1:7" x14ac:dyDescent="0.25">
      <c r="A28" s="8">
        <v>42727.216365740744</v>
      </c>
      <c r="B28" s="21" t="s">
        <v>155</v>
      </c>
      <c r="C28" s="21" t="s">
        <v>484</v>
      </c>
      <c r="D28" s="164">
        <v>1110000</v>
      </c>
      <c r="E28" s="21" t="s">
        <v>323</v>
      </c>
      <c r="F28" s="21" t="s">
        <v>324</v>
      </c>
      <c r="G28" s="8" t="str">
        <f t="shared" si="0"/>
        <v>STARKS ANGELINA</v>
      </c>
    </row>
    <row r="29" spans="1:7" x14ac:dyDescent="0.25">
      <c r="A29" s="8">
        <v>42727.227986111109</v>
      </c>
      <c r="B29" s="21" t="s">
        <v>295</v>
      </c>
      <c r="C29" s="21" t="s">
        <v>485</v>
      </c>
      <c r="D29" s="164">
        <v>2720000</v>
      </c>
      <c r="E29" s="21" t="s">
        <v>486</v>
      </c>
      <c r="F29" s="21" t="s">
        <v>487</v>
      </c>
      <c r="G29" s="8" t="str">
        <f t="shared" si="0"/>
        <v>SIMONEAUX TERA</v>
      </c>
    </row>
    <row r="30" spans="1:7" x14ac:dyDescent="0.25">
      <c r="A30" s="8">
        <v>42727.230046296296</v>
      </c>
      <c r="B30" s="21" t="s">
        <v>420</v>
      </c>
      <c r="C30" s="21" t="s">
        <v>488</v>
      </c>
      <c r="D30" s="164">
        <v>2680000</v>
      </c>
      <c r="E30" s="21" t="s">
        <v>328</v>
      </c>
      <c r="F30" s="21" t="s">
        <v>329</v>
      </c>
      <c r="G30" s="8" t="str">
        <f t="shared" si="0"/>
        <v>DUNCAN SHEILA</v>
      </c>
    </row>
    <row r="31" spans="1:7" x14ac:dyDescent="0.25">
      <c r="A31" s="8">
        <v>42727.230520833335</v>
      </c>
      <c r="B31" s="21" t="s">
        <v>204</v>
      </c>
      <c r="C31" s="21" t="s">
        <v>489</v>
      </c>
      <c r="D31" s="164">
        <v>1990000</v>
      </c>
      <c r="E31" s="21" t="s">
        <v>264</v>
      </c>
      <c r="F31" s="21" t="s">
        <v>469</v>
      </c>
      <c r="G31" s="8" t="str">
        <f t="shared" si="0"/>
        <v>DAVIS WENDY</v>
      </c>
    </row>
    <row r="32" spans="1:7" x14ac:dyDescent="0.25">
      <c r="A32" s="8">
        <v>42727.234016203707</v>
      </c>
      <c r="B32" s="21" t="s">
        <v>225</v>
      </c>
      <c r="C32" s="21" t="s">
        <v>424</v>
      </c>
      <c r="D32" s="164">
        <v>2710000</v>
      </c>
      <c r="E32" s="21" t="s">
        <v>325</v>
      </c>
      <c r="F32" s="21" t="s">
        <v>326</v>
      </c>
      <c r="G32" s="8" t="str">
        <f t="shared" si="0"/>
        <v>SIMMONS SHYHESHA</v>
      </c>
    </row>
    <row r="33" spans="1:7" x14ac:dyDescent="0.25">
      <c r="A33" s="8">
        <v>42727.239548611113</v>
      </c>
      <c r="B33" s="21" t="s">
        <v>296</v>
      </c>
      <c r="C33" s="21" t="s">
        <v>425</v>
      </c>
      <c r="D33" s="164">
        <v>940000</v>
      </c>
      <c r="E33" s="21" t="s">
        <v>368</v>
      </c>
      <c r="F33" s="21" t="s">
        <v>369</v>
      </c>
      <c r="G33" s="8" t="str">
        <f t="shared" si="0"/>
        <v>BONDS REYNALDO</v>
      </c>
    </row>
    <row r="34" spans="1:7" x14ac:dyDescent="0.25">
      <c r="A34" s="8">
        <v>42727.241469907407</v>
      </c>
      <c r="B34" s="21" t="s">
        <v>322</v>
      </c>
      <c r="C34" s="21" t="s">
        <v>490</v>
      </c>
      <c r="D34" s="164">
        <v>2020000</v>
      </c>
      <c r="E34" s="21" t="s">
        <v>491</v>
      </c>
      <c r="F34" s="21" t="s">
        <v>249</v>
      </c>
      <c r="G34" s="8" t="str">
        <f t="shared" si="0"/>
        <v>SHOOK JOHN</v>
      </c>
    </row>
    <row r="35" spans="1:7" x14ac:dyDescent="0.25">
      <c r="A35" s="8">
        <v>42727.248969907407</v>
      </c>
      <c r="B35" s="21" t="s">
        <v>243</v>
      </c>
      <c r="C35" s="21" t="s">
        <v>492</v>
      </c>
      <c r="D35" s="164">
        <v>2140000</v>
      </c>
      <c r="E35" s="21" t="s">
        <v>472</v>
      </c>
      <c r="F35" s="21" t="s">
        <v>473</v>
      </c>
      <c r="G35" s="8" t="str">
        <f t="shared" si="0"/>
        <v>ROBINSON KADDIBA</v>
      </c>
    </row>
    <row r="36" spans="1:7" x14ac:dyDescent="0.25">
      <c r="A36" s="8">
        <v>42727.251168981478</v>
      </c>
      <c r="B36" s="21" t="s">
        <v>232</v>
      </c>
      <c r="C36" s="21" t="s">
        <v>493</v>
      </c>
      <c r="D36" s="164">
        <v>2100000</v>
      </c>
      <c r="E36" s="21" t="s">
        <v>364</v>
      </c>
      <c r="F36" s="21" t="s">
        <v>365</v>
      </c>
      <c r="G36" s="8" t="str">
        <f t="shared" si="0"/>
        <v>ISHMAEL JOSEPH</v>
      </c>
    </row>
    <row r="37" spans="1:7" x14ac:dyDescent="0.25">
      <c r="A37" s="8">
        <v>42727.25304398148</v>
      </c>
      <c r="B37" s="21" t="s">
        <v>327</v>
      </c>
      <c r="C37" s="21" t="s">
        <v>494</v>
      </c>
      <c r="D37" s="164">
        <v>2020000</v>
      </c>
      <c r="E37" s="21" t="s">
        <v>491</v>
      </c>
      <c r="F37" s="21" t="s">
        <v>249</v>
      </c>
      <c r="G37" s="8" t="str">
        <f t="shared" si="0"/>
        <v>SHOOK JOHN</v>
      </c>
    </row>
    <row r="38" spans="1:7" x14ac:dyDescent="0.25">
      <c r="A38" s="8">
        <v>42727.255543981482</v>
      </c>
      <c r="B38" s="21" t="s">
        <v>271</v>
      </c>
      <c r="C38" s="21" t="s">
        <v>495</v>
      </c>
      <c r="D38" s="164">
        <v>2710000</v>
      </c>
      <c r="E38" s="21" t="s">
        <v>325</v>
      </c>
      <c r="F38" s="21" t="s">
        <v>326</v>
      </c>
      <c r="G38" s="8" t="str">
        <f t="shared" si="0"/>
        <v>SIMMONS SHYHESHA</v>
      </c>
    </row>
    <row r="39" spans="1:7" x14ac:dyDescent="0.25">
      <c r="A39" s="8">
        <v>42727.258009259262</v>
      </c>
      <c r="B39" s="21" t="s">
        <v>154</v>
      </c>
      <c r="C39" s="21" t="s">
        <v>426</v>
      </c>
      <c r="D39" s="164">
        <v>1110000</v>
      </c>
      <c r="E39" s="21" t="s">
        <v>323</v>
      </c>
      <c r="F39" s="21" t="s">
        <v>324</v>
      </c>
      <c r="G39" s="8" t="str">
        <f t="shared" si="0"/>
        <v>STARKS ANGELINA</v>
      </c>
    </row>
    <row r="40" spans="1:7" x14ac:dyDescent="0.25">
      <c r="A40" s="8">
        <v>42727.266886574071</v>
      </c>
      <c r="B40" s="26" t="s">
        <v>477</v>
      </c>
      <c r="C40" s="21" t="s">
        <v>496</v>
      </c>
      <c r="D40" s="164">
        <v>2680000</v>
      </c>
      <c r="E40" s="21" t="s">
        <v>328</v>
      </c>
      <c r="F40" s="21" t="s">
        <v>329</v>
      </c>
      <c r="G40" s="8" t="str">
        <f t="shared" si="0"/>
        <v>DUNCAN SHEILA</v>
      </c>
    </row>
    <row r="41" spans="1:7" x14ac:dyDescent="0.25">
      <c r="A41" s="8">
        <v>42727.267118055555</v>
      </c>
      <c r="B41" s="21" t="s">
        <v>235</v>
      </c>
      <c r="C41" s="21" t="s">
        <v>497</v>
      </c>
      <c r="D41" s="164">
        <v>2720000</v>
      </c>
      <c r="E41" s="21" t="s">
        <v>486</v>
      </c>
      <c r="F41" s="21" t="s">
        <v>487</v>
      </c>
      <c r="G41" s="8" t="str">
        <f t="shared" si="0"/>
        <v>SIMONEAUX TERA</v>
      </c>
    </row>
    <row r="42" spans="1:7" x14ac:dyDescent="0.25">
      <c r="A42" s="8">
        <v>42727.273148148146</v>
      </c>
      <c r="B42" s="21" t="s">
        <v>210</v>
      </c>
      <c r="C42" s="21" t="s">
        <v>498</v>
      </c>
      <c r="D42" s="164">
        <v>1990000</v>
      </c>
      <c r="E42" s="21" t="s">
        <v>264</v>
      </c>
      <c r="F42" s="21" t="s">
        <v>469</v>
      </c>
      <c r="G42" s="8" t="str">
        <f t="shared" si="0"/>
        <v>DAVIS WENDY</v>
      </c>
    </row>
    <row r="43" spans="1:7" x14ac:dyDescent="0.25">
      <c r="A43" s="8">
        <v>42727.278009259258</v>
      </c>
      <c r="B43" s="21" t="s">
        <v>322</v>
      </c>
      <c r="C43" s="21" t="s">
        <v>499</v>
      </c>
      <c r="D43" s="164">
        <v>2020000</v>
      </c>
      <c r="E43" s="21" t="s">
        <v>491</v>
      </c>
      <c r="F43" s="21" t="s">
        <v>249</v>
      </c>
      <c r="G43" s="8" t="str">
        <f t="shared" si="0"/>
        <v>SHOOK JOHN</v>
      </c>
    </row>
    <row r="44" spans="1:7" x14ac:dyDescent="0.25">
      <c r="A44" s="8">
        <v>42727.280381944445</v>
      </c>
      <c r="B44" s="21" t="s">
        <v>427</v>
      </c>
      <c r="C44" s="21" t="s">
        <v>428</v>
      </c>
      <c r="D44" s="164">
        <v>940000</v>
      </c>
      <c r="E44" s="21" t="s">
        <v>368</v>
      </c>
      <c r="F44" s="21" t="s">
        <v>369</v>
      </c>
      <c r="G44" s="8" t="str">
        <f t="shared" si="0"/>
        <v>BONDS REYNALDO</v>
      </c>
    </row>
    <row r="45" spans="1:7" x14ac:dyDescent="0.25">
      <c r="A45" s="8">
        <v>42727.282557870371</v>
      </c>
      <c r="B45" s="21" t="s">
        <v>258</v>
      </c>
      <c r="C45" s="21" t="s">
        <v>500</v>
      </c>
      <c r="D45" s="164">
        <v>2140000</v>
      </c>
      <c r="E45" s="21" t="s">
        <v>472</v>
      </c>
      <c r="F45" s="21" t="s">
        <v>473</v>
      </c>
      <c r="G45" s="8" t="str">
        <f t="shared" si="0"/>
        <v>ROBINSON KADDIBA</v>
      </c>
    </row>
    <row r="46" spans="1:7" x14ac:dyDescent="0.25">
      <c r="A46" s="8">
        <v>42727.283217592594</v>
      </c>
      <c r="B46" s="21" t="s">
        <v>225</v>
      </c>
      <c r="C46" s="21" t="s">
        <v>501</v>
      </c>
      <c r="D46" s="164">
        <v>2710000</v>
      </c>
      <c r="E46" s="21" t="s">
        <v>325</v>
      </c>
      <c r="F46" s="21" t="s">
        <v>326</v>
      </c>
      <c r="G46" s="8" t="str">
        <f t="shared" si="0"/>
        <v>SIMMONS SHYHESHA</v>
      </c>
    </row>
    <row r="47" spans="1:7" x14ac:dyDescent="0.25">
      <c r="A47" s="8">
        <v>42727.287222222221</v>
      </c>
      <c r="B47" s="21" t="s">
        <v>231</v>
      </c>
      <c r="C47" s="21" t="s">
        <v>502</v>
      </c>
      <c r="D47" s="164">
        <v>2100000</v>
      </c>
      <c r="E47" s="21" t="s">
        <v>364</v>
      </c>
      <c r="F47" s="21" t="s">
        <v>365</v>
      </c>
      <c r="G47" s="8" t="str">
        <f t="shared" si="0"/>
        <v>ISHMAEL JOSEPH</v>
      </c>
    </row>
    <row r="48" spans="1:7" x14ac:dyDescent="0.25">
      <c r="A48" s="8">
        <v>42727.29414351852</v>
      </c>
      <c r="B48" s="21" t="s">
        <v>327</v>
      </c>
      <c r="C48" s="21" t="s">
        <v>503</v>
      </c>
      <c r="D48" s="164">
        <v>2020000</v>
      </c>
      <c r="E48" s="21" t="s">
        <v>491</v>
      </c>
      <c r="F48" s="21" t="s">
        <v>249</v>
      </c>
      <c r="G48" s="8" t="str">
        <f t="shared" si="0"/>
        <v>SHOOK JOHN</v>
      </c>
    </row>
    <row r="49" spans="1:7" x14ac:dyDescent="0.25">
      <c r="A49" s="8">
        <v>42727.296261574076</v>
      </c>
      <c r="B49" s="21" t="s">
        <v>155</v>
      </c>
      <c r="C49" s="21" t="s">
        <v>504</v>
      </c>
      <c r="D49" s="164">
        <v>1110000</v>
      </c>
      <c r="E49" s="21" t="s">
        <v>323</v>
      </c>
      <c r="F49" s="21" t="s">
        <v>324</v>
      </c>
      <c r="G49" s="8" t="str">
        <f t="shared" si="0"/>
        <v>STARKS ANGELINA</v>
      </c>
    </row>
    <row r="50" spans="1:7" x14ac:dyDescent="0.25">
      <c r="A50" s="8">
        <v>42727.296898148146</v>
      </c>
      <c r="B50" s="21" t="s">
        <v>271</v>
      </c>
      <c r="C50" s="21" t="s">
        <v>495</v>
      </c>
      <c r="D50" s="164">
        <v>2710000</v>
      </c>
      <c r="E50" s="21" t="s">
        <v>325</v>
      </c>
      <c r="F50" s="21" t="s">
        <v>326</v>
      </c>
      <c r="G50" s="8" t="str">
        <f t="shared" si="0"/>
        <v>SIMMONS SHYHESHA</v>
      </c>
    </row>
    <row r="51" spans="1:7" x14ac:dyDescent="0.25">
      <c r="A51" s="8">
        <v>42727.297442129631</v>
      </c>
      <c r="B51" s="21" t="s">
        <v>295</v>
      </c>
      <c r="C51" s="21" t="s">
        <v>505</v>
      </c>
      <c r="D51" s="164">
        <v>2720000</v>
      </c>
      <c r="E51" s="21" t="s">
        <v>486</v>
      </c>
      <c r="F51" s="21" t="s">
        <v>487</v>
      </c>
      <c r="G51" s="8" t="str">
        <f t="shared" si="0"/>
        <v>SIMONEAUX TERA</v>
      </c>
    </row>
    <row r="52" spans="1:7" x14ac:dyDescent="0.25">
      <c r="A52" s="8">
        <v>42727.298171296294</v>
      </c>
      <c r="B52" s="21" t="s">
        <v>271</v>
      </c>
      <c r="C52" s="21" t="s">
        <v>506</v>
      </c>
      <c r="D52" s="164">
        <v>2710000</v>
      </c>
      <c r="E52" s="21" t="s">
        <v>325</v>
      </c>
      <c r="F52" s="21" t="s">
        <v>326</v>
      </c>
      <c r="G52" s="8" t="str">
        <f t="shared" si="0"/>
        <v>SIMMONS SHYHESHA</v>
      </c>
    </row>
    <row r="53" spans="1:7" x14ac:dyDescent="0.25">
      <c r="A53" s="8">
        <v>42727.303402777776</v>
      </c>
      <c r="B53" s="21" t="s">
        <v>420</v>
      </c>
      <c r="C53" s="21" t="s">
        <v>430</v>
      </c>
      <c r="D53" s="164">
        <v>2680000</v>
      </c>
      <c r="E53" s="21" t="s">
        <v>328</v>
      </c>
      <c r="F53" s="21" t="s">
        <v>329</v>
      </c>
      <c r="G53" s="8" t="str">
        <f t="shared" si="0"/>
        <v>DUNCAN SHEILA</v>
      </c>
    </row>
    <row r="54" spans="1:7" x14ac:dyDescent="0.25">
      <c r="A54" s="8">
        <v>42727.309421296297</v>
      </c>
      <c r="B54" s="21" t="s">
        <v>204</v>
      </c>
      <c r="C54" s="21" t="s">
        <v>429</v>
      </c>
      <c r="D54" s="164">
        <v>1990000</v>
      </c>
      <c r="E54" s="21" t="s">
        <v>264</v>
      </c>
      <c r="F54" s="21" t="s">
        <v>469</v>
      </c>
      <c r="G54" s="8" t="str">
        <f t="shared" si="0"/>
        <v>DAVIS WENDY</v>
      </c>
    </row>
    <row r="55" spans="1:7" x14ac:dyDescent="0.25">
      <c r="A55" s="8">
        <v>42727.311157407406</v>
      </c>
      <c r="B55" s="21" t="s">
        <v>204</v>
      </c>
      <c r="C55" s="21" t="s">
        <v>429</v>
      </c>
      <c r="D55" s="164">
        <v>1990000</v>
      </c>
      <c r="E55" s="21" t="s">
        <v>264</v>
      </c>
      <c r="F55" s="21" t="s">
        <v>469</v>
      </c>
      <c r="G55" s="8" t="str">
        <f t="shared" si="0"/>
        <v>DAVIS WENDY</v>
      </c>
    </row>
    <row r="56" spans="1:7" x14ac:dyDescent="0.25">
      <c r="A56" s="8">
        <v>42727.313148148147</v>
      </c>
      <c r="B56" s="21" t="s">
        <v>225</v>
      </c>
      <c r="C56" s="21" t="s">
        <v>507</v>
      </c>
      <c r="D56" s="164">
        <v>2710000</v>
      </c>
      <c r="E56" s="21" t="s">
        <v>325</v>
      </c>
      <c r="F56" s="21" t="s">
        <v>326</v>
      </c>
      <c r="G56" s="8" t="str">
        <f t="shared" si="0"/>
        <v>SIMMONS SHYHESHA</v>
      </c>
    </row>
    <row r="57" spans="1:7" x14ac:dyDescent="0.25">
      <c r="A57" s="8">
        <v>42727.313796296294</v>
      </c>
      <c r="B57" s="21" t="s">
        <v>454</v>
      </c>
      <c r="C57" s="21" t="s">
        <v>508</v>
      </c>
      <c r="D57" s="164">
        <v>940000</v>
      </c>
      <c r="E57" s="21" t="s">
        <v>368</v>
      </c>
      <c r="F57" s="21" t="s">
        <v>369</v>
      </c>
      <c r="G57" s="8" t="str">
        <f t="shared" si="0"/>
        <v>BONDS REYNALDO</v>
      </c>
    </row>
    <row r="58" spans="1:7" x14ac:dyDescent="0.25">
      <c r="A58" s="8">
        <v>42727.318726851852</v>
      </c>
      <c r="B58" s="21" t="s">
        <v>243</v>
      </c>
      <c r="C58" s="21" t="s">
        <v>509</v>
      </c>
      <c r="D58" s="164">
        <v>2140000</v>
      </c>
      <c r="E58" s="21" t="s">
        <v>472</v>
      </c>
      <c r="F58" s="21" t="s">
        <v>473</v>
      </c>
      <c r="G58" s="8" t="str">
        <f t="shared" si="0"/>
        <v>ROBINSON KADDIBA</v>
      </c>
    </row>
    <row r="59" spans="1:7" x14ac:dyDescent="0.25">
      <c r="A59" s="8">
        <v>42727.319780092592</v>
      </c>
      <c r="B59" s="21" t="s">
        <v>322</v>
      </c>
      <c r="C59" s="21" t="s">
        <v>431</v>
      </c>
      <c r="D59" s="164">
        <v>2020000</v>
      </c>
      <c r="E59" s="21" t="s">
        <v>491</v>
      </c>
      <c r="F59" s="21" t="s">
        <v>249</v>
      </c>
      <c r="G59" s="8" t="str">
        <f t="shared" si="0"/>
        <v>SHOOK JOHN</v>
      </c>
    </row>
    <row r="60" spans="1:7" x14ac:dyDescent="0.25">
      <c r="A60" s="8">
        <v>42727.320509259262</v>
      </c>
      <c r="B60" s="21" t="s">
        <v>232</v>
      </c>
      <c r="C60" s="21" t="s">
        <v>510</v>
      </c>
      <c r="D60" s="164">
        <v>2100000</v>
      </c>
      <c r="E60" s="21" t="s">
        <v>364</v>
      </c>
      <c r="F60" s="21" t="s">
        <v>365</v>
      </c>
      <c r="G60" s="8" t="str">
        <f t="shared" si="0"/>
        <v>ISHMAEL JOSEPH</v>
      </c>
    </row>
    <row r="61" spans="1:7" x14ac:dyDescent="0.25">
      <c r="A61" s="8">
        <v>42727.329780092594</v>
      </c>
      <c r="B61" s="21" t="s">
        <v>154</v>
      </c>
      <c r="C61" s="21" t="s">
        <v>511</v>
      </c>
      <c r="D61" s="164">
        <v>1110000</v>
      </c>
      <c r="E61" s="21" t="s">
        <v>323</v>
      </c>
      <c r="F61" s="21" t="s">
        <v>324</v>
      </c>
      <c r="G61" s="8" t="str">
        <f t="shared" si="0"/>
        <v>STARKS ANGELINA</v>
      </c>
    </row>
    <row r="62" spans="1:7" x14ac:dyDescent="0.25">
      <c r="A62" s="8">
        <v>42727.336562500001</v>
      </c>
      <c r="B62" s="21" t="s">
        <v>235</v>
      </c>
      <c r="C62" s="21" t="s">
        <v>512</v>
      </c>
      <c r="D62" s="164">
        <v>2720000</v>
      </c>
      <c r="E62" s="21" t="s">
        <v>486</v>
      </c>
      <c r="F62" s="21" t="s">
        <v>487</v>
      </c>
      <c r="G62" s="8" t="str">
        <f t="shared" si="0"/>
        <v>SIMONEAUX TERA</v>
      </c>
    </row>
    <row r="63" spans="1:7" x14ac:dyDescent="0.25">
      <c r="A63" s="8">
        <v>42727.339606481481</v>
      </c>
      <c r="B63" s="21" t="s">
        <v>271</v>
      </c>
      <c r="C63" s="21" t="s">
        <v>513</v>
      </c>
      <c r="D63" s="164">
        <v>2710000</v>
      </c>
      <c r="E63" s="21" t="s">
        <v>325</v>
      </c>
      <c r="F63" s="21" t="s">
        <v>326</v>
      </c>
      <c r="G63" s="8" t="str">
        <f t="shared" si="0"/>
        <v>SIMMONS SHYHESHA</v>
      </c>
    </row>
    <row r="64" spans="1:7" x14ac:dyDescent="0.25">
      <c r="A64" s="27">
        <v>42727.342106481483</v>
      </c>
      <c r="B64" s="21" t="s">
        <v>477</v>
      </c>
      <c r="C64" s="21" t="s">
        <v>514</v>
      </c>
      <c r="D64" s="164">
        <v>1200000</v>
      </c>
      <c r="E64" s="21" t="s">
        <v>515</v>
      </c>
      <c r="F64" s="21" t="s">
        <v>516</v>
      </c>
      <c r="G64" s="8" t="str">
        <f t="shared" si="0"/>
        <v>CUSHING HARRY</v>
      </c>
    </row>
    <row r="65" spans="1:7" x14ac:dyDescent="0.25">
      <c r="A65" s="8">
        <v>42727.347916666666</v>
      </c>
      <c r="B65" s="21" t="s">
        <v>210</v>
      </c>
      <c r="C65" s="21" t="s">
        <v>435</v>
      </c>
      <c r="D65" s="164">
        <v>1990000</v>
      </c>
      <c r="E65" s="21" t="s">
        <v>264</v>
      </c>
      <c r="F65" s="21" t="s">
        <v>469</v>
      </c>
      <c r="G65" s="8" t="str">
        <f t="shared" si="0"/>
        <v>DAVIS WENDY</v>
      </c>
    </row>
    <row r="66" spans="1:7" x14ac:dyDescent="0.25">
      <c r="A66" s="8">
        <v>42727.351238425923</v>
      </c>
      <c r="B66" s="21" t="s">
        <v>427</v>
      </c>
      <c r="C66" s="21" t="s">
        <v>517</v>
      </c>
      <c r="D66" s="164">
        <v>1360000</v>
      </c>
      <c r="E66" s="21" t="s">
        <v>518</v>
      </c>
      <c r="F66" s="21" t="s">
        <v>519</v>
      </c>
      <c r="G66" s="8" t="str">
        <f t="shared" si="0"/>
        <v>SANTIZO D. EDY</v>
      </c>
    </row>
    <row r="67" spans="1:7" x14ac:dyDescent="0.25">
      <c r="A67" s="8">
        <v>42727.353043981479</v>
      </c>
      <c r="B67" s="21" t="s">
        <v>225</v>
      </c>
      <c r="C67" s="21" t="s">
        <v>520</v>
      </c>
      <c r="D67" s="164">
        <v>2020000</v>
      </c>
      <c r="E67" s="21" t="s">
        <v>491</v>
      </c>
      <c r="F67" s="21" t="s">
        <v>249</v>
      </c>
      <c r="G67" s="8" t="str">
        <f t="shared" ref="G67:G130" si="1">E67&amp;" "&amp;F67</f>
        <v>SHOOK JOHN</v>
      </c>
    </row>
    <row r="68" spans="1:7" x14ac:dyDescent="0.25">
      <c r="A68" s="8">
        <v>42727.354733796295</v>
      </c>
      <c r="B68" s="21" t="s">
        <v>327</v>
      </c>
      <c r="C68" s="21" t="s">
        <v>432</v>
      </c>
      <c r="D68" s="164">
        <v>2710000</v>
      </c>
      <c r="E68" s="21" t="s">
        <v>325</v>
      </c>
      <c r="F68" s="21" t="s">
        <v>326</v>
      </c>
      <c r="G68" s="8" t="str">
        <f t="shared" si="1"/>
        <v>SIMMONS SHYHESHA</v>
      </c>
    </row>
    <row r="69" spans="1:7" x14ac:dyDescent="0.25">
      <c r="A69" s="8">
        <v>42727.355069444442</v>
      </c>
      <c r="B69" s="21" t="s">
        <v>258</v>
      </c>
      <c r="C69" s="21" t="s">
        <v>521</v>
      </c>
      <c r="D69" s="164">
        <v>2140000</v>
      </c>
      <c r="E69" s="21" t="s">
        <v>472</v>
      </c>
      <c r="F69" s="21" t="s">
        <v>473</v>
      </c>
      <c r="G69" s="8" t="str">
        <f t="shared" si="1"/>
        <v>ROBINSON KADDIBA</v>
      </c>
    </row>
    <row r="70" spans="1:7" x14ac:dyDescent="0.25">
      <c r="A70" s="8">
        <v>42727.359351851854</v>
      </c>
      <c r="B70" s="21" t="s">
        <v>231</v>
      </c>
      <c r="C70" s="21" t="s">
        <v>522</v>
      </c>
      <c r="D70" s="164">
        <v>2100000</v>
      </c>
      <c r="E70" s="21" t="s">
        <v>364</v>
      </c>
      <c r="F70" s="21" t="s">
        <v>365</v>
      </c>
      <c r="G70" s="8" t="str">
        <f t="shared" si="1"/>
        <v>ISHMAEL JOSEPH</v>
      </c>
    </row>
    <row r="71" spans="1:7" x14ac:dyDescent="0.25">
      <c r="A71" s="8">
        <v>42727.366203703707</v>
      </c>
      <c r="B71" s="21" t="s">
        <v>271</v>
      </c>
      <c r="C71" s="21" t="s">
        <v>523</v>
      </c>
      <c r="D71" s="164">
        <v>2020000</v>
      </c>
      <c r="E71" s="21" t="s">
        <v>491</v>
      </c>
      <c r="F71" s="21" t="s">
        <v>249</v>
      </c>
      <c r="G71" s="8" t="str">
        <f t="shared" si="1"/>
        <v>SHOOK JOHN</v>
      </c>
    </row>
    <row r="72" spans="1:7" x14ac:dyDescent="0.25">
      <c r="A72" s="8">
        <v>42727.370752314811</v>
      </c>
      <c r="B72" s="21" t="s">
        <v>155</v>
      </c>
      <c r="C72" s="21" t="s">
        <v>524</v>
      </c>
      <c r="D72" s="164">
        <v>1110000</v>
      </c>
      <c r="E72" s="21" t="s">
        <v>323</v>
      </c>
      <c r="F72" s="21" t="s">
        <v>324</v>
      </c>
      <c r="G72" s="8" t="str">
        <f t="shared" si="1"/>
        <v>STARKS ANGELINA</v>
      </c>
    </row>
    <row r="73" spans="1:7" x14ac:dyDescent="0.25">
      <c r="A73" s="8">
        <v>42727.371064814812</v>
      </c>
      <c r="B73" s="21" t="s">
        <v>295</v>
      </c>
      <c r="C73" s="21" t="s">
        <v>525</v>
      </c>
      <c r="D73" s="164">
        <v>2720000</v>
      </c>
      <c r="E73" s="21" t="s">
        <v>486</v>
      </c>
      <c r="F73" s="21" t="s">
        <v>487</v>
      </c>
      <c r="G73" s="8" t="str">
        <f t="shared" si="1"/>
        <v>SIMONEAUX TERA</v>
      </c>
    </row>
    <row r="74" spans="1:7" x14ac:dyDescent="0.25">
      <c r="A74" s="8">
        <v>42727.377500000002</v>
      </c>
      <c r="B74" s="21" t="s">
        <v>420</v>
      </c>
      <c r="C74" s="21" t="s">
        <v>526</v>
      </c>
      <c r="D74" s="164">
        <v>1200000</v>
      </c>
      <c r="E74" s="21" t="s">
        <v>515</v>
      </c>
      <c r="F74" s="21" t="s">
        <v>516</v>
      </c>
      <c r="G74" s="8" t="str">
        <f t="shared" si="1"/>
        <v>CUSHING HARRY</v>
      </c>
    </row>
    <row r="75" spans="1:7" x14ac:dyDescent="0.25">
      <c r="A75" s="8">
        <v>42727.378877314812</v>
      </c>
      <c r="B75" s="21" t="s">
        <v>225</v>
      </c>
      <c r="C75" s="21" t="s">
        <v>527</v>
      </c>
      <c r="D75" s="164">
        <v>2020000</v>
      </c>
      <c r="E75" s="21" t="s">
        <v>491</v>
      </c>
      <c r="F75" s="21" t="s">
        <v>249</v>
      </c>
      <c r="G75" s="8" t="str">
        <f t="shared" si="1"/>
        <v>SHOOK JOHN</v>
      </c>
    </row>
    <row r="76" spans="1:7" x14ac:dyDescent="0.25">
      <c r="A76" s="8">
        <v>42727.380590277775</v>
      </c>
      <c r="B76" s="21" t="s">
        <v>454</v>
      </c>
      <c r="C76" s="21" t="s">
        <v>528</v>
      </c>
      <c r="D76" s="164">
        <v>1360000</v>
      </c>
      <c r="E76" s="21" t="s">
        <v>518</v>
      </c>
      <c r="F76" s="21" t="s">
        <v>519</v>
      </c>
      <c r="G76" s="8" t="str">
        <f t="shared" si="1"/>
        <v>SANTIZO D. EDY</v>
      </c>
    </row>
    <row r="77" spans="1:7" x14ac:dyDescent="0.25">
      <c r="A77" s="8">
        <v>42727.380624999998</v>
      </c>
      <c r="B77" s="21" t="s">
        <v>204</v>
      </c>
      <c r="C77" s="21" t="s">
        <v>529</v>
      </c>
      <c r="D77" s="164">
        <v>1990000</v>
      </c>
      <c r="E77" s="21" t="s">
        <v>264</v>
      </c>
      <c r="F77" s="21" t="s">
        <v>469</v>
      </c>
      <c r="G77" s="8" t="str">
        <f t="shared" si="1"/>
        <v>DAVIS WENDY</v>
      </c>
    </row>
    <row r="78" spans="1:7" x14ac:dyDescent="0.25">
      <c r="A78" s="8">
        <v>42727.392222222225</v>
      </c>
      <c r="B78" s="21" t="s">
        <v>243</v>
      </c>
      <c r="C78" s="21" t="s">
        <v>530</v>
      </c>
      <c r="D78" s="164">
        <v>2140000</v>
      </c>
      <c r="E78" s="21" t="s">
        <v>472</v>
      </c>
      <c r="F78" s="21" t="s">
        <v>473</v>
      </c>
      <c r="G78" s="8" t="str">
        <f t="shared" si="1"/>
        <v>ROBINSON KADDIBA</v>
      </c>
    </row>
    <row r="79" spans="1:7" x14ac:dyDescent="0.25">
      <c r="A79" s="8">
        <v>42727.398831018516</v>
      </c>
      <c r="B79" s="21" t="s">
        <v>232</v>
      </c>
      <c r="C79" s="21" t="s">
        <v>531</v>
      </c>
      <c r="D79" s="164">
        <v>2100000</v>
      </c>
      <c r="E79" s="21" t="s">
        <v>364</v>
      </c>
      <c r="F79" s="21" t="s">
        <v>365</v>
      </c>
      <c r="G79" s="8" t="str">
        <f t="shared" si="1"/>
        <v>ISHMAEL JOSEPH</v>
      </c>
    </row>
    <row r="80" spans="1:7" x14ac:dyDescent="0.25">
      <c r="A80" s="8">
        <v>42727.401863425926</v>
      </c>
      <c r="B80" s="21" t="s">
        <v>154</v>
      </c>
      <c r="C80" s="21" t="s">
        <v>532</v>
      </c>
      <c r="D80" s="164">
        <v>1110000</v>
      </c>
      <c r="E80" s="21" t="s">
        <v>323</v>
      </c>
      <c r="F80" s="21" t="s">
        <v>324</v>
      </c>
      <c r="G80" s="8" t="str">
        <f t="shared" si="1"/>
        <v>STARKS ANGELINA</v>
      </c>
    </row>
    <row r="81" spans="1:7" x14ac:dyDescent="0.25">
      <c r="A81" s="8">
        <v>42727.40215277778</v>
      </c>
      <c r="B81" s="21" t="s">
        <v>271</v>
      </c>
      <c r="C81" s="21" t="s">
        <v>533</v>
      </c>
      <c r="D81" s="164">
        <v>2020000</v>
      </c>
      <c r="E81" s="21" t="s">
        <v>491</v>
      </c>
      <c r="F81" s="21" t="s">
        <v>249</v>
      </c>
      <c r="G81" s="8" t="str">
        <f t="shared" si="1"/>
        <v>SHOOK JOHN</v>
      </c>
    </row>
    <row r="82" spans="1:7" x14ac:dyDescent="0.25">
      <c r="A82" s="8">
        <v>42727.40861111111</v>
      </c>
      <c r="B82" s="21" t="s">
        <v>235</v>
      </c>
      <c r="C82" s="21" t="s">
        <v>534</v>
      </c>
      <c r="D82" s="164">
        <v>2720000</v>
      </c>
      <c r="E82" s="21" t="s">
        <v>486</v>
      </c>
      <c r="F82" s="21" t="s">
        <v>487</v>
      </c>
      <c r="G82" s="8" t="str">
        <f t="shared" si="1"/>
        <v>SIMONEAUX TERA</v>
      </c>
    </row>
    <row r="83" spans="1:7" x14ac:dyDescent="0.25">
      <c r="A83" s="8">
        <v>42727.415694444448</v>
      </c>
      <c r="B83" s="21" t="s">
        <v>477</v>
      </c>
      <c r="C83" s="21" t="s">
        <v>535</v>
      </c>
      <c r="D83" s="164">
        <v>2680000</v>
      </c>
      <c r="E83" s="21" t="s">
        <v>328</v>
      </c>
      <c r="F83" s="21" t="s">
        <v>329</v>
      </c>
      <c r="G83" s="8" t="str">
        <f t="shared" si="1"/>
        <v>DUNCAN SHEILA</v>
      </c>
    </row>
    <row r="84" spans="1:7" x14ac:dyDescent="0.25">
      <c r="A84" s="8">
        <v>42727.416678240741</v>
      </c>
      <c r="B84" s="21" t="s">
        <v>225</v>
      </c>
      <c r="C84" s="21" t="s">
        <v>536</v>
      </c>
      <c r="D84" s="164">
        <v>2020000</v>
      </c>
      <c r="E84" s="21" t="s">
        <v>491</v>
      </c>
      <c r="F84" s="21" t="s">
        <v>249</v>
      </c>
      <c r="G84" s="8" t="str">
        <f t="shared" si="1"/>
        <v>SHOOK JOHN</v>
      </c>
    </row>
    <row r="85" spans="1:7" x14ac:dyDescent="0.25">
      <c r="A85" s="8">
        <v>42727.419803240744</v>
      </c>
      <c r="B85" s="21" t="s">
        <v>210</v>
      </c>
      <c r="C85" s="21" t="s">
        <v>437</v>
      </c>
      <c r="D85" s="164">
        <v>1990000</v>
      </c>
      <c r="E85" s="21" t="s">
        <v>264</v>
      </c>
      <c r="F85" s="21" t="s">
        <v>469</v>
      </c>
      <c r="G85" s="8" t="str">
        <f t="shared" si="1"/>
        <v>DAVIS WENDY</v>
      </c>
    </row>
    <row r="86" spans="1:7" x14ac:dyDescent="0.25">
      <c r="A86" s="8">
        <v>42727.422673611109</v>
      </c>
      <c r="B86" s="21" t="s">
        <v>427</v>
      </c>
      <c r="C86" s="21" t="s">
        <v>537</v>
      </c>
      <c r="D86" s="164">
        <v>940000</v>
      </c>
      <c r="E86" s="21" t="s">
        <v>368</v>
      </c>
      <c r="F86" s="21" t="s">
        <v>369</v>
      </c>
      <c r="G86" s="8" t="str">
        <f t="shared" si="1"/>
        <v>BONDS REYNALDO</v>
      </c>
    </row>
    <row r="87" spans="1:7" x14ac:dyDescent="0.25">
      <c r="A87" s="8">
        <v>42727.432037037041</v>
      </c>
      <c r="B87" s="21" t="s">
        <v>258</v>
      </c>
      <c r="C87" s="21" t="s">
        <v>436</v>
      </c>
      <c r="D87" s="164">
        <v>2140000</v>
      </c>
      <c r="E87" s="21" t="s">
        <v>472</v>
      </c>
      <c r="F87" s="21" t="s">
        <v>473</v>
      </c>
      <c r="G87" s="8" t="str">
        <f t="shared" si="1"/>
        <v>ROBINSON KADDIBA</v>
      </c>
    </row>
    <row r="88" spans="1:7" x14ac:dyDescent="0.25">
      <c r="A88" s="8">
        <v>42727.433888888889</v>
      </c>
      <c r="B88" s="21" t="s">
        <v>231</v>
      </c>
      <c r="C88" s="21" t="s">
        <v>538</v>
      </c>
      <c r="D88" s="164">
        <v>1100000</v>
      </c>
      <c r="E88" s="21" t="s">
        <v>366</v>
      </c>
      <c r="F88" s="21" t="s">
        <v>367</v>
      </c>
      <c r="G88" s="8" t="str">
        <f t="shared" si="1"/>
        <v>GEBRETEKLE DAGNEW</v>
      </c>
    </row>
    <row r="89" spans="1:7" x14ac:dyDescent="0.25">
      <c r="A89" s="8">
        <v>42727.443078703705</v>
      </c>
      <c r="B89" s="21" t="s">
        <v>155</v>
      </c>
      <c r="C89" s="21" t="s">
        <v>438</v>
      </c>
      <c r="D89" s="164">
        <v>1110000</v>
      </c>
      <c r="E89" s="21" t="s">
        <v>323</v>
      </c>
      <c r="F89" s="21" t="s">
        <v>324</v>
      </c>
      <c r="G89" s="8" t="str">
        <f t="shared" si="1"/>
        <v>STARKS ANGELINA</v>
      </c>
    </row>
    <row r="90" spans="1:7" x14ac:dyDescent="0.25">
      <c r="A90" s="8">
        <v>42727.443726851852</v>
      </c>
      <c r="B90" s="21" t="s">
        <v>271</v>
      </c>
      <c r="C90" s="21" t="s">
        <v>539</v>
      </c>
      <c r="D90" s="164">
        <v>2020000</v>
      </c>
      <c r="E90" s="21" t="s">
        <v>491</v>
      </c>
      <c r="F90" s="21" t="s">
        <v>249</v>
      </c>
      <c r="G90" s="8" t="str">
        <f t="shared" si="1"/>
        <v>SHOOK JOHN</v>
      </c>
    </row>
    <row r="91" spans="1:7" x14ac:dyDescent="0.25">
      <c r="A91" s="8">
        <v>42727.446064814816</v>
      </c>
      <c r="B91" s="21" t="s">
        <v>295</v>
      </c>
      <c r="C91" s="21" t="s">
        <v>540</v>
      </c>
      <c r="D91" s="164">
        <v>2720000</v>
      </c>
      <c r="E91" s="21" t="s">
        <v>486</v>
      </c>
      <c r="F91" s="21" t="s">
        <v>487</v>
      </c>
      <c r="G91" s="8" t="str">
        <f t="shared" si="1"/>
        <v>SIMONEAUX TERA</v>
      </c>
    </row>
    <row r="92" spans="1:7" x14ac:dyDescent="0.25">
      <c r="A92" s="8">
        <v>42727.449930555558</v>
      </c>
      <c r="B92" s="21" t="s">
        <v>420</v>
      </c>
      <c r="C92" s="21" t="s">
        <v>541</v>
      </c>
      <c r="D92" s="164">
        <v>2630000</v>
      </c>
      <c r="E92" s="21" t="s">
        <v>542</v>
      </c>
      <c r="F92" s="21" t="s">
        <v>543</v>
      </c>
      <c r="G92" s="8" t="str">
        <f t="shared" si="1"/>
        <v>SAFIEF AEIMEN</v>
      </c>
    </row>
    <row r="93" spans="1:7" x14ac:dyDescent="0.25">
      <c r="A93" s="8">
        <v>42727.455775462964</v>
      </c>
      <c r="B93" s="21" t="s">
        <v>204</v>
      </c>
      <c r="C93" s="21" t="s">
        <v>544</v>
      </c>
      <c r="D93" s="164">
        <v>880000</v>
      </c>
      <c r="E93" s="21" t="s">
        <v>545</v>
      </c>
      <c r="F93" s="21" t="s">
        <v>263</v>
      </c>
      <c r="G93" s="8" t="str">
        <f t="shared" si="1"/>
        <v>STEWART MICHAEL</v>
      </c>
    </row>
    <row r="94" spans="1:7" x14ac:dyDescent="0.25">
      <c r="A94" s="8">
        <v>42727.458506944444</v>
      </c>
      <c r="B94" s="21" t="s">
        <v>225</v>
      </c>
      <c r="C94" s="21" t="s">
        <v>546</v>
      </c>
      <c r="D94" s="164">
        <v>2020000</v>
      </c>
      <c r="E94" s="21" t="s">
        <v>491</v>
      </c>
      <c r="F94" s="21" t="s">
        <v>249</v>
      </c>
      <c r="G94" s="8" t="str">
        <f t="shared" si="1"/>
        <v>SHOOK JOHN</v>
      </c>
    </row>
    <row r="95" spans="1:7" x14ac:dyDescent="0.25">
      <c r="A95" s="8">
        <v>42727.462129629632</v>
      </c>
      <c r="B95" s="21" t="s">
        <v>454</v>
      </c>
      <c r="C95" s="21" t="s">
        <v>547</v>
      </c>
      <c r="D95" s="164">
        <v>940000</v>
      </c>
      <c r="E95" s="21" t="s">
        <v>368</v>
      </c>
      <c r="F95" s="21" t="s">
        <v>369</v>
      </c>
      <c r="G95" s="8" t="str">
        <f t="shared" si="1"/>
        <v>BONDS REYNALDO</v>
      </c>
    </row>
    <row r="96" spans="1:7" x14ac:dyDescent="0.25">
      <c r="A96" s="8">
        <v>42727.46497685185</v>
      </c>
      <c r="B96" s="21" t="s">
        <v>243</v>
      </c>
      <c r="C96" s="21" t="s">
        <v>548</v>
      </c>
      <c r="D96" s="164">
        <v>1780000</v>
      </c>
      <c r="E96" s="21" t="s">
        <v>549</v>
      </c>
      <c r="F96" s="21" t="s">
        <v>550</v>
      </c>
      <c r="G96" s="8" t="str">
        <f t="shared" si="1"/>
        <v>DE LA ROSA ALEX</v>
      </c>
    </row>
    <row r="97" spans="1:7" x14ac:dyDescent="0.25">
      <c r="A97" s="8">
        <v>42727.467789351853</v>
      </c>
      <c r="B97" s="21" t="s">
        <v>232</v>
      </c>
      <c r="C97" s="21" t="s">
        <v>439</v>
      </c>
      <c r="D97" s="164">
        <v>1100000</v>
      </c>
      <c r="E97" s="21" t="s">
        <v>366</v>
      </c>
      <c r="F97" s="21" t="s">
        <v>367</v>
      </c>
      <c r="G97" s="8" t="str">
        <f t="shared" si="1"/>
        <v>GEBRETEKLE DAGNEW</v>
      </c>
    </row>
    <row r="98" spans="1:7" x14ac:dyDescent="0.25">
      <c r="A98" s="8">
        <v>42727.477199074077</v>
      </c>
      <c r="B98" s="21" t="s">
        <v>154</v>
      </c>
      <c r="C98" s="21" t="s">
        <v>551</v>
      </c>
      <c r="D98" s="164">
        <v>930000</v>
      </c>
      <c r="E98" s="21" t="s">
        <v>330</v>
      </c>
      <c r="F98" s="21" t="s">
        <v>331</v>
      </c>
      <c r="G98" s="8" t="str">
        <f t="shared" si="1"/>
        <v>CLARK KATHLEEN</v>
      </c>
    </row>
    <row r="99" spans="1:7" x14ac:dyDescent="0.25">
      <c r="A99" s="8">
        <v>42727.478032407409</v>
      </c>
      <c r="B99" s="21" t="s">
        <v>552</v>
      </c>
      <c r="C99" s="21" t="s">
        <v>553</v>
      </c>
      <c r="D99" s="164">
        <v>1540000</v>
      </c>
      <c r="E99" s="21" t="s">
        <v>370</v>
      </c>
      <c r="F99" s="21" t="s">
        <v>371</v>
      </c>
      <c r="G99" s="8" t="str">
        <f t="shared" si="1"/>
        <v>HELVIE ADAM</v>
      </c>
    </row>
    <row r="100" spans="1:7" x14ac:dyDescent="0.25">
      <c r="A100" s="8">
        <v>42727.481516203705</v>
      </c>
      <c r="B100" s="21" t="s">
        <v>235</v>
      </c>
      <c r="C100" s="21" t="s">
        <v>554</v>
      </c>
      <c r="D100" s="164">
        <v>2720000</v>
      </c>
      <c r="E100" s="21" t="s">
        <v>486</v>
      </c>
      <c r="F100" s="21" t="s">
        <v>487</v>
      </c>
      <c r="G100" s="8" t="str">
        <f t="shared" si="1"/>
        <v>SIMONEAUX TERA</v>
      </c>
    </row>
    <row r="101" spans="1:7" x14ac:dyDescent="0.25">
      <c r="A101" s="8">
        <v>42727.485451388886</v>
      </c>
      <c r="B101" s="21" t="s">
        <v>271</v>
      </c>
      <c r="C101" s="21" t="s">
        <v>555</v>
      </c>
      <c r="D101" s="164">
        <v>2020000</v>
      </c>
      <c r="E101" s="21" t="s">
        <v>491</v>
      </c>
      <c r="F101" s="21" t="s">
        <v>249</v>
      </c>
      <c r="G101" s="8" t="str">
        <f t="shared" si="1"/>
        <v>SHOOK JOHN</v>
      </c>
    </row>
    <row r="102" spans="1:7" x14ac:dyDescent="0.25">
      <c r="A102" s="8">
        <v>42727.487569444442</v>
      </c>
      <c r="B102" s="21" t="s">
        <v>477</v>
      </c>
      <c r="C102" s="21" t="s">
        <v>556</v>
      </c>
      <c r="D102" s="164">
        <v>1770000</v>
      </c>
      <c r="E102" s="21" t="s">
        <v>374</v>
      </c>
      <c r="F102" s="21" t="s">
        <v>375</v>
      </c>
      <c r="G102" s="8" t="str">
        <f t="shared" si="1"/>
        <v>BRUDER RICHARD</v>
      </c>
    </row>
    <row r="103" spans="1:7" x14ac:dyDescent="0.25">
      <c r="A103" s="8">
        <v>42727.494606481479</v>
      </c>
      <c r="B103" s="21" t="s">
        <v>210</v>
      </c>
      <c r="C103" s="21" t="s">
        <v>557</v>
      </c>
      <c r="D103" s="164">
        <v>880000</v>
      </c>
      <c r="E103" s="21" t="s">
        <v>545</v>
      </c>
      <c r="F103" s="21" t="s">
        <v>263</v>
      </c>
      <c r="G103" s="8" t="str">
        <f t="shared" si="1"/>
        <v>STEWART MICHAEL</v>
      </c>
    </row>
    <row r="104" spans="1:7" x14ac:dyDescent="0.25">
      <c r="A104" s="8">
        <v>42727.496053240742</v>
      </c>
      <c r="B104" s="21" t="s">
        <v>427</v>
      </c>
      <c r="C104" s="21" t="s">
        <v>558</v>
      </c>
      <c r="D104" s="164">
        <v>1540000</v>
      </c>
      <c r="E104" s="21" t="s">
        <v>370</v>
      </c>
      <c r="F104" s="21" t="s">
        <v>371</v>
      </c>
      <c r="G104" s="8" t="str">
        <f t="shared" si="1"/>
        <v>HELVIE ADAM</v>
      </c>
    </row>
    <row r="105" spans="1:7" x14ac:dyDescent="0.25">
      <c r="A105" s="8">
        <v>42727.505694444444</v>
      </c>
      <c r="B105" s="21" t="s">
        <v>225</v>
      </c>
      <c r="C105" s="21" t="s">
        <v>559</v>
      </c>
      <c r="D105" s="164">
        <v>2020000</v>
      </c>
      <c r="E105" s="21" t="s">
        <v>491</v>
      </c>
      <c r="F105" s="21" t="s">
        <v>249</v>
      </c>
      <c r="G105" s="8" t="str">
        <f t="shared" si="1"/>
        <v>SHOOK JOHN</v>
      </c>
    </row>
    <row r="106" spans="1:7" x14ac:dyDescent="0.25">
      <c r="A106" s="8">
        <v>42727.50644675926</v>
      </c>
      <c r="B106" s="21" t="s">
        <v>258</v>
      </c>
      <c r="C106" s="21" t="s">
        <v>560</v>
      </c>
      <c r="D106" s="164">
        <v>1780000</v>
      </c>
      <c r="E106" s="21" t="s">
        <v>549</v>
      </c>
      <c r="F106" s="21" t="s">
        <v>550</v>
      </c>
      <c r="G106" s="8" t="str">
        <f t="shared" si="1"/>
        <v>DE LA ROSA ALEX</v>
      </c>
    </row>
    <row r="107" spans="1:7" x14ac:dyDescent="0.25">
      <c r="A107" s="8">
        <v>42727.513402777775</v>
      </c>
      <c r="B107" s="21" t="s">
        <v>561</v>
      </c>
      <c r="C107" s="21" t="s">
        <v>562</v>
      </c>
      <c r="D107" s="164">
        <v>1760000</v>
      </c>
      <c r="E107" s="21" t="s">
        <v>563</v>
      </c>
      <c r="F107" s="21" t="s">
        <v>564</v>
      </c>
      <c r="G107" s="8" t="str">
        <f t="shared" si="1"/>
        <v>STRICKLAND EVAN</v>
      </c>
    </row>
    <row r="108" spans="1:7" x14ac:dyDescent="0.25">
      <c r="A108" s="8">
        <v>42727.513483796298</v>
      </c>
      <c r="B108" s="21" t="s">
        <v>155</v>
      </c>
      <c r="C108" s="21" t="s">
        <v>565</v>
      </c>
      <c r="D108" s="164">
        <v>930000</v>
      </c>
      <c r="E108" s="21" t="s">
        <v>330</v>
      </c>
      <c r="F108" s="21" t="s">
        <v>331</v>
      </c>
      <c r="G108" s="8" t="str">
        <f t="shared" si="1"/>
        <v>CLARK KATHLEEN</v>
      </c>
    </row>
    <row r="109" spans="1:7" x14ac:dyDescent="0.25">
      <c r="A109" s="8">
        <v>42727.513726851852</v>
      </c>
      <c r="B109" s="21" t="s">
        <v>231</v>
      </c>
      <c r="C109" s="21" t="s">
        <v>566</v>
      </c>
      <c r="D109" s="164">
        <v>2030000</v>
      </c>
      <c r="E109" s="21" t="s">
        <v>567</v>
      </c>
      <c r="F109" s="21" t="s">
        <v>250</v>
      </c>
      <c r="G109" s="8" t="str">
        <f t="shared" si="1"/>
        <v>KILLION DAVID</v>
      </c>
    </row>
    <row r="110" spans="1:7" x14ac:dyDescent="0.25">
      <c r="A110" s="8">
        <v>42727.514456018522</v>
      </c>
      <c r="B110" s="21" t="s">
        <v>225</v>
      </c>
      <c r="C110" s="21" t="s">
        <v>559</v>
      </c>
      <c r="D110" s="164">
        <v>2020000</v>
      </c>
      <c r="E110" s="21" t="s">
        <v>491</v>
      </c>
      <c r="F110" s="21" t="s">
        <v>249</v>
      </c>
      <c r="G110" s="8" t="str">
        <f t="shared" si="1"/>
        <v>SHOOK JOHN</v>
      </c>
    </row>
    <row r="111" spans="1:7" x14ac:dyDescent="0.25">
      <c r="A111" s="8">
        <v>42727.516006944446</v>
      </c>
      <c r="B111" s="21" t="s">
        <v>225</v>
      </c>
      <c r="C111" s="21" t="s">
        <v>559</v>
      </c>
      <c r="D111" s="164">
        <v>2020000</v>
      </c>
      <c r="E111" s="21" t="s">
        <v>491</v>
      </c>
      <c r="F111" s="21" t="s">
        <v>249</v>
      </c>
      <c r="G111" s="8" t="str">
        <f t="shared" si="1"/>
        <v>SHOOK JOHN</v>
      </c>
    </row>
    <row r="112" spans="1:7" x14ac:dyDescent="0.25">
      <c r="A112" s="8">
        <v>42727.517939814818</v>
      </c>
      <c r="B112" s="21" t="s">
        <v>225</v>
      </c>
      <c r="C112" s="21" t="s">
        <v>559</v>
      </c>
      <c r="D112" s="164">
        <v>2020000</v>
      </c>
      <c r="E112" s="21" t="s">
        <v>491</v>
      </c>
      <c r="F112" s="21" t="s">
        <v>249</v>
      </c>
      <c r="G112" s="8" t="str">
        <f t="shared" si="1"/>
        <v>SHOOK JOHN</v>
      </c>
    </row>
    <row r="113" spans="1:7" x14ac:dyDescent="0.25">
      <c r="A113" s="8">
        <v>42727.521944444445</v>
      </c>
      <c r="B113" s="21" t="s">
        <v>295</v>
      </c>
      <c r="C113" s="21" t="s">
        <v>568</v>
      </c>
      <c r="D113" s="164">
        <v>1190000</v>
      </c>
      <c r="E113" s="21" t="s">
        <v>372</v>
      </c>
      <c r="F113" s="21" t="s">
        <v>373</v>
      </c>
      <c r="G113" s="8" t="str">
        <f t="shared" si="1"/>
        <v>BRANNON JEFFREY</v>
      </c>
    </row>
    <row r="114" spans="1:7" x14ac:dyDescent="0.25">
      <c r="A114" s="8">
        <v>42727.525462962964</v>
      </c>
      <c r="B114" s="21" t="s">
        <v>420</v>
      </c>
      <c r="C114" s="21" t="s">
        <v>440</v>
      </c>
      <c r="D114" s="164">
        <v>1770000</v>
      </c>
      <c r="E114" s="21" t="s">
        <v>374</v>
      </c>
      <c r="F114" s="21" t="s">
        <v>375</v>
      </c>
      <c r="G114" s="8" t="str">
        <f t="shared" si="1"/>
        <v>BRUDER RICHARD</v>
      </c>
    </row>
    <row r="115" spans="1:7" x14ac:dyDescent="0.25">
      <c r="A115" s="8">
        <v>42727.530659722222</v>
      </c>
      <c r="B115" s="21" t="s">
        <v>204</v>
      </c>
      <c r="C115" s="21" t="s">
        <v>569</v>
      </c>
      <c r="D115" s="164">
        <v>880000</v>
      </c>
      <c r="E115" s="21" t="s">
        <v>545</v>
      </c>
      <c r="F115" s="21" t="s">
        <v>263</v>
      </c>
      <c r="G115" s="8" t="str">
        <f t="shared" si="1"/>
        <v>STEWART MICHAEL</v>
      </c>
    </row>
    <row r="116" spans="1:7" x14ac:dyDescent="0.25">
      <c r="A116" s="8">
        <v>42727.533472222225</v>
      </c>
      <c r="B116" s="21" t="s">
        <v>271</v>
      </c>
      <c r="C116" s="21" t="s">
        <v>570</v>
      </c>
      <c r="D116" s="164">
        <v>2020000</v>
      </c>
      <c r="E116" s="21" t="s">
        <v>491</v>
      </c>
      <c r="F116" s="21" t="s">
        <v>249</v>
      </c>
      <c r="G116" s="8" t="str">
        <f t="shared" si="1"/>
        <v>SHOOK JOHN</v>
      </c>
    </row>
    <row r="117" spans="1:7" x14ac:dyDescent="0.25">
      <c r="A117" s="8">
        <v>42727.537222222221</v>
      </c>
      <c r="B117" s="21" t="s">
        <v>454</v>
      </c>
      <c r="C117" s="21" t="s">
        <v>571</v>
      </c>
      <c r="D117" s="164">
        <v>1540000</v>
      </c>
      <c r="E117" s="21" t="s">
        <v>370</v>
      </c>
      <c r="F117" s="21" t="s">
        <v>371</v>
      </c>
      <c r="G117" s="8" t="str">
        <f t="shared" si="1"/>
        <v>HELVIE ADAM</v>
      </c>
    </row>
    <row r="118" spans="1:7" x14ac:dyDescent="0.25">
      <c r="A118" s="8">
        <v>42727.539039351854</v>
      </c>
      <c r="B118" s="21" t="s">
        <v>243</v>
      </c>
      <c r="C118" s="21" t="s">
        <v>572</v>
      </c>
      <c r="D118" s="164">
        <v>1780000</v>
      </c>
      <c r="E118" s="21" t="s">
        <v>549</v>
      </c>
      <c r="F118" s="21" t="s">
        <v>550</v>
      </c>
      <c r="G118" s="8" t="str">
        <f t="shared" si="1"/>
        <v>DE LA ROSA ALEX</v>
      </c>
    </row>
    <row r="119" spans="1:7" x14ac:dyDescent="0.25">
      <c r="A119" s="8">
        <v>42727.547025462962</v>
      </c>
      <c r="B119" s="21" t="s">
        <v>232</v>
      </c>
      <c r="C119" s="21" t="s">
        <v>441</v>
      </c>
      <c r="D119" s="164">
        <v>2030000</v>
      </c>
      <c r="E119" s="21" t="s">
        <v>567</v>
      </c>
      <c r="F119" s="21" t="s">
        <v>250</v>
      </c>
      <c r="G119" s="8" t="str">
        <f t="shared" si="1"/>
        <v>KILLION DAVID</v>
      </c>
    </row>
    <row r="120" spans="1:7" x14ac:dyDescent="0.25">
      <c r="A120" s="8">
        <v>42727.550902777781</v>
      </c>
      <c r="B120" s="21" t="s">
        <v>225</v>
      </c>
      <c r="C120" s="21" t="s">
        <v>573</v>
      </c>
      <c r="D120" s="164">
        <v>2670000</v>
      </c>
      <c r="E120" s="21" t="s">
        <v>332</v>
      </c>
      <c r="F120" s="21" t="s">
        <v>333</v>
      </c>
      <c r="G120" s="8" t="str">
        <f t="shared" si="1"/>
        <v>COMELLA JUSTIN</v>
      </c>
    </row>
    <row r="121" spans="1:7" x14ac:dyDescent="0.25">
      <c r="A121" s="8">
        <v>42727.552314814813</v>
      </c>
      <c r="B121" s="21" t="s">
        <v>154</v>
      </c>
      <c r="C121" s="21" t="s">
        <v>574</v>
      </c>
      <c r="D121" s="164">
        <v>930000</v>
      </c>
      <c r="E121" s="21" t="s">
        <v>330</v>
      </c>
      <c r="F121" s="21" t="s">
        <v>331</v>
      </c>
      <c r="G121" s="8" t="str">
        <f t="shared" si="1"/>
        <v>CLARK KATHLEEN</v>
      </c>
    </row>
    <row r="122" spans="1:7" x14ac:dyDescent="0.25">
      <c r="A122" s="8">
        <v>42727.558113425926</v>
      </c>
      <c r="B122" s="26" t="s">
        <v>235</v>
      </c>
      <c r="C122" s="21" t="s">
        <v>575</v>
      </c>
      <c r="D122" s="164">
        <v>1190000</v>
      </c>
      <c r="E122" s="21" t="s">
        <v>372</v>
      </c>
      <c r="F122" s="21" t="s">
        <v>373</v>
      </c>
      <c r="G122" s="8" t="str">
        <f t="shared" si="1"/>
        <v>BRANNON JEFFREY</v>
      </c>
    </row>
    <row r="123" spans="1:7" x14ac:dyDescent="0.25">
      <c r="A123" s="8">
        <v>42727.561180555553</v>
      </c>
      <c r="B123" s="21" t="s">
        <v>477</v>
      </c>
      <c r="C123" s="21" t="s">
        <v>576</v>
      </c>
      <c r="D123" s="164">
        <v>1770000</v>
      </c>
      <c r="E123" s="21" t="s">
        <v>374</v>
      </c>
      <c r="F123" s="21" t="s">
        <v>375</v>
      </c>
      <c r="G123" s="8" t="str">
        <f t="shared" si="1"/>
        <v>BRUDER RICHARD</v>
      </c>
    </row>
    <row r="124" spans="1:7" x14ac:dyDescent="0.25">
      <c r="A124" s="8">
        <v>42727.568101851852</v>
      </c>
      <c r="B124" s="21" t="s">
        <v>210</v>
      </c>
      <c r="C124" s="21" t="s">
        <v>577</v>
      </c>
      <c r="D124" s="164">
        <v>880000</v>
      </c>
      <c r="E124" s="21" t="s">
        <v>545</v>
      </c>
      <c r="F124" s="21" t="s">
        <v>263</v>
      </c>
      <c r="G124" s="8" t="str">
        <f t="shared" si="1"/>
        <v>STEWART MICHAEL</v>
      </c>
    </row>
    <row r="125" spans="1:7" x14ac:dyDescent="0.25">
      <c r="A125" s="8">
        <v>42727.568229166667</v>
      </c>
      <c r="B125" s="21" t="s">
        <v>271</v>
      </c>
      <c r="C125" s="21" t="s">
        <v>442</v>
      </c>
      <c r="D125" s="164">
        <v>2670000</v>
      </c>
      <c r="E125" s="21" t="s">
        <v>332</v>
      </c>
      <c r="F125" s="21" t="s">
        <v>333</v>
      </c>
      <c r="G125" s="8" t="str">
        <f t="shared" si="1"/>
        <v>COMELLA JUSTIN</v>
      </c>
    </row>
    <row r="126" spans="1:7" x14ac:dyDescent="0.25">
      <c r="A126" s="8">
        <v>42727.570092592592</v>
      </c>
      <c r="B126" s="21" t="s">
        <v>427</v>
      </c>
      <c r="C126" s="21" t="s">
        <v>578</v>
      </c>
      <c r="D126" s="164">
        <v>1540000</v>
      </c>
      <c r="E126" s="21" t="s">
        <v>370</v>
      </c>
      <c r="F126" s="21" t="s">
        <v>371</v>
      </c>
      <c r="G126" s="8" t="str">
        <f t="shared" si="1"/>
        <v>HELVIE ADAM</v>
      </c>
    </row>
    <row r="127" spans="1:7" x14ac:dyDescent="0.25">
      <c r="A127" s="8">
        <v>42727.577361111114</v>
      </c>
      <c r="B127" s="21" t="s">
        <v>258</v>
      </c>
      <c r="C127" s="21" t="s">
        <v>579</v>
      </c>
      <c r="D127" s="164">
        <v>1780000</v>
      </c>
      <c r="E127" s="21" t="s">
        <v>549</v>
      </c>
      <c r="F127" s="21" t="s">
        <v>550</v>
      </c>
      <c r="G127" s="8" t="str">
        <f t="shared" si="1"/>
        <v>DE LA ROSA ALEX</v>
      </c>
    </row>
    <row r="128" spans="1:7" x14ac:dyDescent="0.25">
      <c r="A128" s="8">
        <v>42727.579837962963</v>
      </c>
      <c r="B128" s="21" t="s">
        <v>231</v>
      </c>
      <c r="C128" s="21" t="s">
        <v>580</v>
      </c>
      <c r="D128" s="164">
        <v>2030000</v>
      </c>
      <c r="E128" s="21" t="s">
        <v>567</v>
      </c>
      <c r="F128" s="21" t="s">
        <v>250</v>
      </c>
      <c r="G128" s="8" t="str">
        <f t="shared" si="1"/>
        <v>KILLION DAVID</v>
      </c>
    </row>
    <row r="129" spans="1:7" x14ac:dyDescent="0.25">
      <c r="A129" s="8">
        <v>42727.587372685186</v>
      </c>
      <c r="B129" s="21" t="s">
        <v>155</v>
      </c>
      <c r="C129" s="21" t="s">
        <v>581</v>
      </c>
      <c r="D129" s="164">
        <v>930000</v>
      </c>
      <c r="E129" s="21" t="s">
        <v>330</v>
      </c>
      <c r="F129" s="21" t="s">
        <v>331</v>
      </c>
      <c r="G129" s="8" t="str">
        <f t="shared" si="1"/>
        <v>CLARK KATHLEEN</v>
      </c>
    </row>
    <row r="130" spans="1:7" x14ac:dyDescent="0.25">
      <c r="A130" s="8">
        <v>42727.589409722219</v>
      </c>
      <c r="B130" s="21" t="s">
        <v>295</v>
      </c>
      <c r="C130" s="21" t="s">
        <v>582</v>
      </c>
      <c r="D130" s="164">
        <v>1190000</v>
      </c>
      <c r="E130" s="21" t="s">
        <v>372</v>
      </c>
      <c r="F130" s="21" t="s">
        <v>373</v>
      </c>
      <c r="G130" s="8" t="str">
        <f t="shared" si="1"/>
        <v>BRANNON JEFFREY</v>
      </c>
    </row>
    <row r="131" spans="1:7" x14ac:dyDescent="0.25">
      <c r="A131" s="8">
        <v>42727.591087962966</v>
      </c>
      <c r="B131" s="21" t="s">
        <v>225</v>
      </c>
      <c r="C131" s="21" t="s">
        <v>583</v>
      </c>
      <c r="D131" s="164">
        <v>2670000</v>
      </c>
      <c r="E131" s="21" t="s">
        <v>332</v>
      </c>
      <c r="F131" s="21" t="s">
        <v>333</v>
      </c>
      <c r="G131" s="8" t="str">
        <f t="shared" ref="G131:G194" si="2">E131&amp;" "&amp;F131</f>
        <v>COMELLA JUSTIN</v>
      </c>
    </row>
    <row r="132" spans="1:7" x14ac:dyDescent="0.25">
      <c r="A132" s="8">
        <v>42727.597326388888</v>
      </c>
      <c r="B132" s="21" t="s">
        <v>420</v>
      </c>
      <c r="C132" s="21" t="s">
        <v>584</v>
      </c>
      <c r="D132" s="164">
        <v>1770000</v>
      </c>
      <c r="E132" s="21" t="s">
        <v>374</v>
      </c>
      <c r="F132" s="21" t="s">
        <v>375</v>
      </c>
      <c r="G132" s="8" t="str">
        <f t="shared" si="2"/>
        <v>BRUDER RICHARD</v>
      </c>
    </row>
    <row r="133" spans="1:7" x14ac:dyDescent="0.25">
      <c r="A133" s="8">
        <v>42727.602129629631</v>
      </c>
      <c r="B133" s="21" t="s">
        <v>204</v>
      </c>
      <c r="C133" s="21" t="s">
        <v>585</v>
      </c>
      <c r="D133" s="164">
        <v>880000</v>
      </c>
      <c r="E133" s="21" t="s">
        <v>545</v>
      </c>
      <c r="F133" s="21" t="s">
        <v>263</v>
      </c>
      <c r="G133" s="8" t="str">
        <f t="shared" si="2"/>
        <v>STEWART MICHAEL</v>
      </c>
    </row>
    <row r="134" spans="1:7" x14ac:dyDescent="0.25">
      <c r="A134" s="8">
        <v>42727.609895833331</v>
      </c>
      <c r="B134" s="21" t="s">
        <v>454</v>
      </c>
      <c r="C134" s="21" t="s">
        <v>586</v>
      </c>
      <c r="D134" s="164">
        <v>1540000</v>
      </c>
      <c r="E134" s="21" t="s">
        <v>370</v>
      </c>
      <c r="F134" s="21" t="s">
        <v>371</v>
      </c>
      <c r="G134" s="8" t="str">
        <f t="shared" si="2"/>
        <v>HELVIE ADAM</v>
      </c>
    </row>
    <row r="135" spans="1:7" x14ac:dyDescent="0.25">
      <c r="A135" s="8">
        <v>42727.610266203701</v>
      </c>
      <c r="B135" s="21" t="s">
        <v>243</v>
      </c>
      <c r="C135" s="21" t="s">
        <v>587</v>
      </c>
      <c r="D135" s="164">
        <v>1780000</v>
      </c>
      <c r="E135" s="21" t="s">
        <v>549</v>
      </c>
      <c r="F135" s="21" t="s">
        <v>550</v>
      </c>
      <c r="G135" s="8" t="str">
        <f t="shared" si="2"/>
        <v>DE LA ROSA ALEX</v>
      </c>
    </row>
    <row r="136" spans="1:7" x14ac:dyDescent="0.25">
      <c r="A136" s="8">
        <v>42727.610960648148</v>
      </c>
      <c r="B136" s="21" t="s">
        <v>271</v>
      </c>
      <c r="C136" s="21" t="s">
        <v>588</v>
      </c>
      <c r="D136" s="164">
        <v>2670000</v>
      </c>
      <c r="E136" s="21" t="s">
        <v>332</v>
      </c>
      <c r="F136" s="21" t="s">
        <v>333</v>
      </c>
      <c r="G136" s="8" t="str">
        <f t="shared" si="2"/>
        <v>COMELLA JUSTIN</v>
      </c>
    </row>
    <row r="137" spans="1:7" x14ac:dyDescent="0.25">
      <c r="A137" s="8">
        <v>42727.617708333331</v>
      </c>
      <c r="B137" s="21" t="s">
        <v>232</v>
      </c>
      <c r="C137" s="21" t="s">
        <v>589</v>
      </c>
      <c r="D137" s="164">
        <v>2030000</v>
      </c>
      <c r="E137" s="21" t="s">
        <v>567</v>
      </c>
      <c r="F137" s="21" t="s">
        <v>250</v>
      </c>
      <c r="G137" s="8" t="str">
        <f t="shared" si="2"/>
        <v>KILLION DAVID</v>
      </c>
    </row>
    <row r="138" spans="1:7" x14ac:dyDescent="0.25">
      <c r="A138" s="8">
        <v>42727.622303240743</v>
      </c>
      <c r="B138" s="21" t="s">
        <v>154</v>
      </c>
      <c r="C138" s="21" t="s">
        <v>590</v>
      </c>
      <c r="D138" s="164">
        <v>930000</v>
      </c>
      <c r="E138" s="21" t="s">
        <v>330</v>
      </c>
      <c r="F138" s="21" t="s">
        <v>331</v>
      </c>
      <c r="G138" s="8" t="str">
        <f t="shared" si="2"/>
        <v>CLARK KATHLEEN</v>
      </c>
    </row>
    <row r="139" spans="1:7" x14ac:dyDescent="0.25">
      <c r="A139" s="8">
        <v>42727.625937500001</v>
      </c>
      <c r="B139" s="21" t="s">
        <v>235</v>
      </c>
      <c r="C139" s="21" t="s">
        <v>591</v>
      </c>
      <c r="D139" s="164">
        <v>1190000</v>
      </c>
      <c r="E139" s="21" t="s">
        <v>372</v>
      </c>
      <c r="F139" s="21" t="s">
        <v>373</v>
      </c>
      <c r="G139" s="8" t="str">
        <f t="shared" si="2"/>
        <v>BRANNON JEFFREY</v>
      </c>
    </row>
    <row r="140" spans="1:7" x14ac:dyDescent="0.25">
      <c r="A140" s="8">
        <v>42727.630659722221</v>
      </c>
      <c r="B140" s="21" t="s">
        <v>477</v>
      </c>
      <c r="C140" s="21" t="s">
        <v>592</v>
      </c>
      <c r="D140" s="164">
        <v>1770000</v>
      </c>
      <c r="E140" s="21" t="s">
        <v>374</v>
      </c>
      <c r="F140" s="21" t="s">
        <v>375</v>
      </c>
      <c r="G140" s="8" t="str">
        <f t="shared" si="2"/>
        <v>BRUDER RICHARD</v>
      </c>
    </row>
    <row r="141" spans="1:7" x14ac:dyDescent="0.25">
      <c r="A141" s="8">
        <v>42727.631631944445</v>
      </c>
      <c r="B141" s="21" t="s">
        <v>225</v>
      </c>
      <c r="C141" s="21" t="s">
        <v>593</v>
      </c>
      <c r="D141" s="164">
        <v>2670000</v>
      </c>
      <c r="E141" s="21" t="s">
        <v>332</v>
      </c>
      <c r="F141" s="21" t="s">
        <v>333</v>
      </c>
      <c r="G141" s="8" t="str">
        <f t="shared" si="2"/>
        <v>COMELLA JUSTIN</v>
      </c>
    </row>
    <row r="142" spans="1:7" x14ac:dyDescent="0.25">
      <c r="A142" s="8">
        <v>42727.640856481485</v>
      </c>
      <c r="B142" s="21" t="s">
        <v>210</v>
      </c>
      <c r="C142" s="21" t="s">
        <v>594</v>
      </c>
      <c r="D142" s="164">
        <v>880000</v>
      </c>
      <c r="E142" s="21" t="s">
        <v>545</v>
      </c>
      <c r="F142" s="21" t="s">
        <v>263</v>
      </c>
      <c r="G142" s="8" t="str">
        <f t="shared" si="2"/>
        <v>STEWART MICHAEL</v>
      </c>
    </row>
    <row r="143" spans="1:7" x14ac:dyDescent="0.25">
      <c r="A143" s="8">
        <v>42727.64199074074</v>
      </c>
      <c r="B143" s="21" t="s">
        <v>427</v>
      </c>
      <c r="C143" s="21" t="s">
        <v>595</v>
      </c>
      <c r="D143" s="164">
        <v>1180000</v>
      </c>
      <c r="E143" s="21" t="s">
        <v>596</v>
      </c>
      <c r="F143" s="21" t="s">
        <v>597</v>
      </c>
      <c r="G143" s="8" t="str">
        <f t="shared" si="2"/>
        <v>LEVERE CRAIG</v>
      </c>
    </row>
    <row r="144" spans="1:7" x14ac:dyDescent="0.25">
      <c r="A144" s="8">
        <v>42727.646134259259</v>
      </c>
      <c r="B144" s="21" t="s">
        <v>322</v>
      </c>
      <c r="C144" s="21" t="s">
        <v>598</v>
      </c>
      <c r="D144" s="164">
        <v>2230000</v>
      </c>
      <c r="E144" s="21" t="s">
        <v>283</v>
      </c>
      <c r="F144" s="21" t="s">
        <v>263</v>
      </c>
      <c r="G144" s="8" t="str">
        <f t="shared" si="2"/>
        <v>SMITH MICHAEL</v>
      </c>
    </row>
    <row r="145" spans="1:7" x14ac:dyDescent="0.25">
      <c r="A145" s="8">
        <v>42727.650092592594</v>
      </c>
      <c r="B145" s="21" t="s">
        <v>258</v>
      </c>
      <c r="C145" s="21" t="s">
        <v>599</v>
      </c>
      <c r="D145" s="164">
        <v>1780000</v>
      </c>
      <c r="E145" s="21" t="s">
        <v>549</v>
      </c>
      <c r="F145" s="21" t="s">
        <v>550</v>
      </c>
      <c r="G145" s="8" t="str">
        <f t="shared" si="2"/>
        <v>DE LA ROSA ALEX</v>
      </c>
    </row>
    <row r="146" spans="1:7" x14ac:dyDescent="0.25">
      <c r="A146" s="8">
        <v>42727.65247685185</v>
      </c>
      <c r="B146" s="21" t="s">
        <v>271</v>
      </c>
      <c r="C146" s="21" t="s">
        <v>600</v>
      </c>
      <c r="D146" s="164">
        <v>2670000</v>
      </c>
      <c r="E146" s="21" t="s">
        <v>332</v>
      </c>
      <c r="F146" s="21" t="s">
        <v>333</v>
      </c>
      <c r="G146" s="8" t="str">
        <f t="shared" si="2"/>
        <v>COMELLA JUSTIN</v>
      </c>
    </row>
    <row r="147" spans="1:7" x14ac:dyDescent="0.25">
      <c r="A147" s="8">
        <v>42727.653865740744</v>
      </c>
      <c r="B147" s="21" t="s">
        <v>231</v>
      </c>
      <c r="C147" s="21" t="s">
        <v>443</v>
      </c>
      <c r="D147" s="164">
        <v>2030000</v>
      </c>
      <c r="E147" s="21" t="s">
        <v>567</v>
      </c>
      <c r="F147" s="21" t="s">
        <v>250</v>
      </c>
      <c r="G147" s="8" t="str">
        <f t="shared" si="2"/>
        <v>KILLION DAVID</v>
      </c>
    </row>
    <row r="148" spans="1:7" x14ac:dyDescent="0.25">
      <c r="A148" s="8">
        <v>42727.655787037038</v>
      </c>
      <c r="B148" s="21" t="s">
        <v>327</v>
      </c>
      <c r="C148" s="21" t="s">
        <v>601</v>
      </c>
      <c r="D148" s="164">
        <v>2230000</v>
      </c>
      <c r="E148" s="21" t="s">
        <v>283</v>
      </c>
      <c r="F148" s="21" t="s">
        <v>263</v>
      </c>
      <c r="G148" s="8" t="str">
        <f t="shared" si="2"/>
        <v>SMITH MICHAEL</v>
      </c>
    </row>
    <row r="149" spans="1:7" x14ac:dyDescent="0.25">
      <c r="A149" s="8">
        <v>42727.656585648147</v>
      </c>
      <c r="B149" s="21" t="s">
        <v>155</v>
      </c>
      <c r="C149" s="21" t="s">
        <v>602</v>
      </c>
      <c r="D149" s="164">
        <v>930000</v>
      </c>
      <c r="E149" s="21" t="s">
        <v>330</v>
      </c>
      <c r="F149" s="21" t="s">
        <v>331</v>
      </c>
      <c r="G149" s="8" t="str">
        <f t="shared" si="2"/>
        <v>CLARK KATHLEEN</v>
      </c>
    </row>
    <row r="150" spans="1:7" x14ac:dyDescent="0.25">
      <c r="A150" s="8">
        <v>42727.662407407406</v>
      </c>
      <c r="B150" s="21" t="s">
        <v>295</v>
      </c>
      <c r="C150" s="21" t="s">
        <v>603</v>
      </c>
      <c r="D150" s="164">
        <v>2370000</v>
      </c>
      <c r="E150" s="21" t="s">
        <v>604</v>
      </c>
      <c r="F150" s="21" t="s">
        <v>605</v>
      </c>
      <c r="G150" s="8" t="str">
        <f t="shared" si="2"/>
        <v>DELGADO DIANAH</v>
      </c>
    </row>
    <row r="151" spans="1:7" x14ac:dyDescent="0.25">
      <c r="A151" s="8">
        <v>42727.668703703705</v>
      </c>
      <c r="B151" s="21" t="s">
        <v>231</v>
      </c>
      <c r="C151" s="21" t="s">
        <v>443</v>
      </c>
      <c r="D151" s="164">
        <v>2030000</v>
      </c>
      <c r="E151" s="21" t="s">
        <v>567</v>
      </c>
      <c r="F151" s="21" t="s">
        <v>250</v>
      </c>
      <c r="G151" s="8" t="str">
        <f t="shared" si="2"/>
        <v>KILLION DAVID</v>
      </c>
    </row>
    <row r="152" spans="1:7" x14ac:dyDescent="0.25">
      <c r="A152" s="8">
        <v>42727.670092592591</v>
      </c>
      <c r="B152" s="21" t="s">
        <v>420</v>
      </c>
      <c r="C152" s="21" t="s">
        <v>606</v>
      </c>
      <c r="D152" s="164">
        <v>1770000</v>
      </c>
      <c r="E152" s="21" t="s">
        <v>374</v>
      </c>
      <c r="F152" s="21" t="s">
        <v>375</v>
      </c>
      <c r="G152" s="8" t="str">
        <f t="shared" si="2"/>
        <v>BRUDER RICHARD</v>
      </c>
    </row>
    <row r="153" spans="1:7" x14ac:dyDescent="0.25">
      <c r="A153" s="8">
        <v>42727.673356481479</v>
      </c>
      <c r="B153" s="21" t="s">
        <v>204</v>
      </c>
      <c r="C153" s="21" t="s">
        <v>607</v>
      </c>
      <c r="D153" s="164">
        <v>880000</v>
      </c>
      <c r="E153" s="21" t="s">
        <v>545</v>
      </c>
      <c r="F153" s="21" t="s">
        <v>263</v>
      </c>
      <c r="G153" s="8" t="str">
        <f t="shared" si="2"/>
        <v>STEWART MICHAEL</v>
      </c>
    </row>
    <row r="154" spans="1:7" x14ac:dyDescent="0.25">
      <c r="A154" s="8">
        <v>42727.674074074072</v>
      </c>
      <c r="B154" s="21" t="s">
        <v>225</v>
      </c>
      <c r="C154" s="21" t="s">
        <v>608</v>
      </c>
      <c r="D154" s="164">
        <v>2670000</v>
      </c>
      <c r="E154" s="21" t="s">
        <v>332</v>
      </c>
      <c r="F154" s="21" t="s">
        <v>333</v>
      </c>
      <c r="G154" s="8" t="str">
        <f t="shared" si="2"/>
        <v>COMELLA JUSTIN</v>
      </c>
    </row>
    <row r="155" spans="1:7" x14ac:dyDescent="0.25">
      <c r="A155" s="8">
        <v>42727.674085648148</v>
      </c>
      <c r="B155" s="21" t="s">
        <v>322</v>
      </c>
      <c r="C155" s="21" t="s">
        <v>609</v>
      </c>
      <c r="D155" s="164">
        <v>2230000</v>
      </c>
      <c r="E155" s="21" t="s">
        <v>283</v>
      </c>
      <c r="F155" s="21" t="s">
        <v>263</v>
      </c>
      <c r="G155" s="8" t="str">
        <f t="shared" si="2"/>
        <v>SMITH MICHAEL</v>
      </c>
    </row>
    <row r="156" spans="1:7" x14ac:dyDescent="0.25">
      <c r="A156" s="8">
        <v>42727.678981481484</v>
      </c>
      <c r="B156" s="21" t="s">
        <v>454</v>
      </c>
      <c r="C156" s="21" t="s">
        <v>610</v>
      </c>
      <c r="D156" s="164">
        <v>1180000</v>
      </c>
      <c r="E156" s="21" t="s">
        <v>596</v>
      </c>
      <c r="F156" s="21" t="s">
        <v>597</v>
      </c>
      <c r="G156" s="8" t="str">
        <f t="shared" si="2"/>
        <v>LEVERE CRAIG</v>
      </c>
    </row>
    <row r="157" spans="1:7" x14ac:dyDescent="0.25">
      <c r="A157" s="8">
        <v>42727.684340277781</v>
      </c>
      <c r="B157" s="21" t="s">
        <v>243</v>
      </c>
      <c r="C157" s="21" t="s">
        <v>611</v>
      </c>
      <c r="D157" s="164">
        <v>1780000</v>
      </c>
      <c r="E157" s="21" t="s">
        <v>549</v>
      </c>
      <c r="F157" s="21" t="s">
        <v>550</v>
      </c>
      <c r="G157" s="8" t="str">
        <f t="shared" si="2"/>
        <v>DE LA ROSA ALEX</v>
      </c>
    </row>
    <row r="158" spans="1:7" x14ac:dyDescent="0.25">
      <c r="A158" s="8">
        <v>42727.688668981478</v>
      </c>
      <c r="B158" s="21" t="s">
        <v>327</v>
      </c>
      <c r="C158" s="21" t="s">
        <v>445</v>
      </c>
      <c r="D158" s="164">
        <v>2230000</v>
      </c>
      <c r="E158" s="21" t="s">
        <v>283</v>
      </c>
      <c r="F158" s="21" t="s">
        <v>263</v>
      </c>
      <c r="G158" s="8" t="str">
        <f t="shared" si="2"/>
        <v>SMITH MICHAEL</v>
      </c>
    </row>
    <row r="159" spans="1:7" x14ac:dyDescent="0.25">
      <c r="A159" s="8">
        <v>42727.690057870372</v>
      </c>
      <c r="B159" s="21" t="s">
        <v>232</v>
      </c>
      <c r="C159" s="21" t="s">
        <v>446</v>
      </c>
      <c r="D159" s="164">
        <v>2030000</v>
      </c>
      <c r="E159" s="21" t="s">
        <v>567</v>
      </c>
      <c r="F159" s="21" t="s">
        <v>250</v>
      </c>
      <c r="G159" s="8" t="str">
        <f t="shared" si="2"/>
        <v>KILLION DAVID</v>
      </c>
    </row>
    <row r="160" spans="1:7" x14ac:dyDescent="0.25">
      <c r="A160" s="8">
        <v>42727.693414351852</v>
      </c>
      <c r="B160" s="21" t="s">
        <v>271</v>
      </c>
      <c r="C160" s="21" t="s">
        <v>444</v>
      </c>
      <c r="D160" s="164">
        <v>2670000</v>
      </c>
      <c r="E160" s="21" t="s">
        <v>332</v>
      </c>
      <c r="F160" s="21" t="s">
        <v>333</v>
      </c>
      <c r="G160" s="8" t="str">
        <f t="shared" si="2"/>
        <v>COMELLA JUSTIN</v>
      </c>
    </row>
    <row r="161" spans="1:7" x14ac:dyDescent="0.25">
      <c r="A161" s="8">
        <v>42727.697233796294</v>
      </c>
      <c r="B161" s="21" t="s">
        <v>154</v>
      </c>
      <c r="C161" s="21" t="s">
        <v>612</v>
      </c>
      <c r="D161" s="164">
        <v>930000</v>
      </c>
      <c r="E161" s="21" t="s">
        <v>330</v>
      </c>
      <c r="F161" s="21" t="s">
        <v>331</v>
      </c>
      <c r="G161" s="8" t="str">
        <f t="shared" si="2"/>
        <v>CLARK KATHLEEN</v>
      </c>
    </row>
    <row r="162" spans="1:7" x14ac:dyDescent="0.25">
      <c r="A162" s="8">
        <v>42727.698078703703</v>
      </c>
      <c r="B162" s="21" t="s">
        <v>235</v>
      </c>
      <c r="C162" s="21" t="s">
        <v>613</v>
      </c>
      <c r="D162" s="164">
        <v>2370000</v>
      </c>
      <c r="E162" s="21" t="s">
        <v>604</v>
      </c>
      <c r="F162" s="21" t="s">
        <v>605</v>
      </c>
      <c r="G162" s="8" t="str">
        <f t="shared" si="2"/>
        <v>DELGADO DIANAH</v>
      </c>
    </row>
    <row r="163" spans="1:7" x14ac:dyDescent="0.25">
      <c r="A163" s="8">
        <v>42727.705347222225</v>
      </c>
      <c r="B163" s="21" t="s">
        <v>477</v>
      </c>
      <c r="C163" s="21" t="s">
        <v>614</v>
      </c>
      <c r="D163" s="164">
        <v>1770000</v>
      </c>
      <c r="E163" s="21" t="s">
        <v>374</v>
      </c>
      <c r="F163" s="21" t="s">
        <v>375</v>
      </c>
      <c r="G163" s="8" t="str">
        <f t="shared" si="2"/>
        <v>BRUDER RICHARD</v>
      </c>
    </row>
    <row r="164" spans="1:7" x14ac:dyDescent="0.25">
      <c r="A164" s="8">
        <v>42727.712719907409</v>
      </c>
      <c r="B164" s="21" t="s">
        <v>210</v>
      </c>
      <c r="C164" s="21" t="s">
        <v>615</v>
      </c>
      <c r="D164" s="164">
        <v>880000</v>
      </c>
      <c r="E164" s="21" t="s">
        <v>545</v>
      </c>
      <c r="F164" s="21" t="s">
        <v>263</v>
      </c>
      <c r="G164" s="8" t="str">
        <f t="shared" si="2"/>
        <v>STEWART MICHAEL</v>
      </c>
    </row>
    <row r="165" spans="1:7" x14ac:dyDescent="0.25">
      <c r="A165" s="8">
        <v>42727.71471064815</v>
      </c>
      <c r="B165" s="21" t="s">
        <v>322</v>
      </c>
      <c r="C165" s="21" t="s">
        <v>616</v>
      </c>
      <c r="D165" s="164">
        <v>2230000</v>
      </c>
      <c r="E165" s="21" t="s">
        <v>283</v>
      </c>
      <c r="F165" s="21" t="s">
        <v>263</v>
      </c>
      <c r="G165" s="8" t="str">
        <f t="shared" si="2"/>
        <v>SMITH MICHAEL</v>
      </c>
    </row>
    <row r="166" spans="1:7" x14ac:dyDescent="0.25">
      <c r="A166" s="8">
        <v>42727.71770833333</v>
      </c>
      <c r="B166" s="21" t="s">
        <v>427</v>
      </c>
      <c r="C166" s="21" t="s">
        <v>617</v>
      </c>
      <c r="D166" s="164">
        <v>1540000</v>
      </c>
      <c r="E166" s="21" t="s">
        <v>370</v>
      </c>
      <c r="F166" s="21" t="s">
        <v>371</v>
      </c>
      <c r="G166" s="8" t="str">
        <f t="shared" si="2"/>
        <v>HELVIE ADAM</v>
      </c>
    </row>
    <row r="167" spans="1:7" x14ac:dyDescent="0.25">
      <c r="A167" s="8">
        <v>42727.719965277778</v>
      </c>
      <c r="B167" s="21" t="s">
        <v>225</v>
      </c>
      <c r="C167" s="21" t="s">
        <v>618</v>
      </c>
      <c r="D167" s="164">
        <v>2670000</v>
      </c>
      <c r="E167" s="21" t="s">
        <v>332</v>
      </c>
      <c r="F167" s="21" t="s">
        <v>333</v>
      </c>
      <c r="G167" s="8" t="str">
        <f t="shared" si="2"/>
        <v>COMELLA JUSTIN</v>
      </c>
    </row>
    <row r="168" spans="1:7" x14ac:dyDescent="0.25">
      <c r="A168" s="8">
        <v>42727.723194444443</v>
      </c>
      <c r="B168" s="21" t="s">
        <v>258</v>
      </c>
      <c r="C168" s="21" t="s">
        <v>619</v>
      </c>
      <c r="D168" s="164">
        <v>1780000</v>
      </c>
      <c r="E168" s="21" t="s">
        <v>549</v>
      </c>
      <c r="F168" s="21" t="s">
        <v>550</v>
      </c>
      <c r="G168" s="8" t="str">
        <f t="shared" si="2"/>
        <v>DE LA ROSA ALEX</v>
      </c>
    </row>
    <row r="169" spans="1:7" x14ac:dyDescent="0.25">
      <c r="A169" s="8">
        <v>42727.725300925929</v>
      </c>
      <c r="B169" s="21" t="s">
        <v>231</v>
      </c>
      <c r="C169" s="21" t="s">
        <v>620</v>
      </c>
      <c r="D169" s="164">
        <v>2030000</v>
      </c>
      <c r="E169" s="21" t="s">
        <v>567</v>
      </c>
      <c r="F169" s="21" t="s">
        <v>250</v>
      </c>
      <c r="G169" s="8" t="str">
        <f t="shared" si="2"/>
        <v>KILLION DAVID</v>
      </c>
    </row>
    <row r="170" spans="1:7" x14ac:dyDescent="0.25">
      <c r="A170" s="8">
        <v>42727.729039351849</v>
      </c>
      <c r="B170" s="21" t="s">
        <v>327</v>
      </c>
      <c r="C170" s="21" t="s">
        <v>447</v>
      </c>
      <c r="D170" s="164">
        <v>2230000</v>
      </c>
      <c r="E170" s="21" t="s">
        <v>283</v>
      </c>
      <c r="F170" s="21" t="s">
        <v>263</v>
      </c>
      <c r="G170" s="8" t="str">
        <f t="shared" si="2"/>
        <v>SMITH MICHAEL</v>
      </c>
    </row>
    <row r="171" spans="1:7" x14ac:dyDescent="0.25">
      <c r="A171" s="8">
        <v>42727.732141203705</v>
      </c>
      <c r="B171" s="21" t="s">
        <v>155</v>
      </c>
      <c r="C171" s="21" t="s">
        <v>621</v>
      </c>
      <c r="D171" s="164">
        <v>930000</v>
      </c>
      <c r="E171" s="21" t="s">
        <v>330</v>
      </c>
      <c r="F171" s="21" t="s">
        <v>331</v>
      </c>
      <c r="G171" s="8" t="str">
        <f t="shared" si="2"/>
        <v>CLARK KATHLEEN</v>
      </c>
    </row>
    <row r="172" spans="1:7" x14ac:dyDescent="0.25">
      <c r="A172" s="8">
        <v>42727.733483796299</v>
      </c>
      <c r="B172" s="21" t="s">
        <v>294</v>
      </c>
      <c r="C172" s="21" t="s">
        <v>622</v>
      </c>
      <c r="D172" s="164">
        <v>2260000</v>
      </c>
      <c r="E172" s="21" t="s">
        <v>623</v>
      </c>
      <c r="F172" s="21" t="s">
        <v>624</v>
      </c>
      <c r="G172" s="8" t="str">
        <f t="shared" si="2"/>
        <v>ARVIDSON DANIEL</v>
      </c>
    </row>
    <row r="173" spans="1:7" x14ac:dyDescent="0.25">
      <c r="A173" s="8">
        <v>42727.733553240738</v>
      </c>
      <c r="B173" s="21" t="s">
        <v>327</v>
      </c>
      <c r="C173" s="21" t="s">
        <v>447</v>
      </c>
      <c r="D173" s="164">
        <v>2230000</v>
      </c>
      <c r="E173" s="21" t="s">
        <v>283</v>
      </c>
      <c r="F173" s="21" t="s">
        <v>263</v>
      </c>
      <c r="G173" s="8" t="str">
        <f t="shared" si="2"/>
        <v>SMITH MICHAEL</v>
      </c>
    </row>
    <row r="174" spans="1:7" x14ac:dyDescent="0.25">
      <c r="A174" s="8">
        <v>42727.735335648147</v>
      </c>
      <c r="B174" s="21" t="s">
        <v>271</v>
      </c>
      <c r="C174" s="21" t="s">
        <v>625</v>
      </c>
      <c r="D174" s="164">
        <v>2670000</v>
      </c>
      <c r="E174" s="21" t="s">
        <v>332</v>
      </c>
      <c r="F174" s="21" t="s">
        <v>333</v>
      </c>
      <c r="G174" s="8" t="str">
        <f t="shared" si="2"/>
        <v>COMELLA JUSTIN</v>
      </c>
    </row>
    <row r="175" spans="1:7" x14ac:dyDescent="0.25">
      <c r="A175" s="8">
        <v>42727.737754629627</v>
      </c>
      <c r="B175" s="21" t="s">
        <v>295</v>
      </c>
      <c r="C175" s="21" t="s">
        <v>626</v>
      </c>
      <c r="D175" s="164">
        <v>2730000</v>
      </c>
      <c r="E175" s="21" t="s">
        <v>334</v>
      </c>
      <c r="F175" s="21" t="s">
        <v>335</v>
      </c>
      <c r="G175" s="8" t="str">
        <f t="shared" si="2"/>
        <v>YANG JAN</v>
      </c>
    </row>
    <row r="176" spans="1:7" x14ac:dyDescent="0.25">
      <c r="A176" s="8">
        <v>42727.744108796294</v>
      </c>
      <c r="B176" s="21" t="s">
        <v>420</v>
      </c>
      <c r="C176" s="21" t="s">
        <v>627</v>
      </c>
      <c r="D176" s="164">
        <v>1770000</v>
      </c>
      <c r="E176" s="21" t="s">
        <v>374</v>
      </c>
      <c r="F176" s="21" t="s">
        <v>375</v>
      </c>
      <c r="G176" s="8" t="str">
        <f t="shared" si="2"/>
        <v>BRUDER RICHARD</v>
      </c>
    </row>
    <row r="177" spans="1:7" x14ac:dyDescent="0.25">
      <c r="A177" s="8">
        <v>42727.747210648151</v>
      </c>
      <c r="B177" s="21" t="s">
        <v>204</v>
      </c>
      <c r="C177" s="21" t="s">
        <v>628</v>
      </c>
      <c r="D177" s="164">
        <v>1190000</v>
      </c>
      <c r="E177" s="21" t="s">
        <v>372</v>
      </c>
      <c r="F177" s="21" t="s">
        <v>373</v>
      </c>
      <c r="G177" s="8" t="str">
        <f t="shared" si="2"/>
        <v>BRANNON JEFFREY</v>
      </c>
    </row>
    <row r="178" spans="1:7" x14ac:dyDescent="0.25">
      <c r="A178" s="8">
        <v>42727.75209490741</v>
      </c>
      <c r="B178" s="21" t="s">
        <v>552</v>
      </c>
      <c r="C178" s="21" t="s">
        <v>629</v>
      </c>
      <c r="D178" s="164">
        <v>2220000</v>
      </c>
      <c r="E178" s="21" t="s">
        <v>376</v>
      </c>
      <c r="F178" s="21" t="s">
        <v>377</v>
      </c>
      <c r="G178" s="8" t="str">
        <f t="shared" si="2"/>
        <v>HILLS DUSTIN</v>
      </c>
    </row>
    <row r="179" spans="1:7" x14ac:dyDescent="0.25">
      <c r="A179" s="8">
        <v>42727.755243055559</v>
      </c>
      <c r="B179" s="21" t="s">
        <v>454</v>
      </c>
      <c r="C179" s="21" t="s">
        <v>630</v>
      </c>
      <c r="D179" s="164">
        <v>1540000</v>
      </c>
      <c r="E179" s="21" t="s">
        <v>370</v>
      </c>
      <c r="F179" s="21" t="s">
        <v>371</v>
      </c>
      <c r="G179" s="8" t="str">
        <f t="shared" si="2"/>
        <v>HELVIE ADAM</v>
      </c>
    </row>
    <row r="180" spans="1:7" x14ac:dyDescent="0.25">
      <c r="A180" s="8">
        <v>42727.755983796298</v>
      </c>
      <c r="B180" s="21" t="s">
        <v>322</v>
      </c>
      <c r="C180" s="21" t="s">
        <v>631</v>
      </c>
      <c r="D180" s="164">
        <v>2230000</v>
      </c>
      <c r="E180" s="21" t="s">
        <v>283</v>
      </c>
      <c r="F180" s="21" t="s">
        <v>263</v>
      </c>
      <c r="G180" s="8" t="str">
        <f t="shared" si="2"/>
        <v>SMITH MICHAEL</v>
      </c>
    </row>
    <row r="181" spans="1:7" x14ac:dyDescent="0.25">
      <c r="A181" s="8">
        <v>42727.756064814814</v>
      </c>
      <c r="B181" s="21" t="s">
        <v>243</v>
      </c>
      <c r="C181" s="21" t="s">
        <v>632</v>
      </c>
      <c r="D181" s="164">
        <v>2000000</v>
      </c>
      <c r="E181" s="21" t="s">
        <v>209</v>
      </c>
      <c r="F181" s="21" t="s">
        <v>251</v>
      </c>
      <c r="G181" s="8" t="str">
        <f t="shared" si="2"/>
        <v>STAMBAUGH JAMES</v>
      </c>
    </row>
    <row r="182" spans="1:7" x14ac:dyDescent="0.25">
      <c r="A182" s="8">
        <v>42727.761354166665</v>
      </c>
      <c r="B182" s="21" t="s">
        <v>225</v>
      </c>
      <c r="C182" s="21" t="s">
        <v>633</v>
      </c>
      <c r="D182" s="164">
        <v>2670000</v>
      </c>
      <c r="E182" s="21" t="s">
        <v>332</v>
      </c>
      <c r="F182" s="21" t="s">
        <v>333</v>
      </c>
      <c r="G182" s="8" t="str">
        <f t="shared" si="2"/>
        <v>COMELLA JUSTIN</v>
      </c>
    </row>
    <row r="183" spans="1:7" x14ac:dyDescent="0.25">
      <c r="A183" s="8">
        <v>42727.76326388889</v>
      </c>
      <c r="B183" s="21" t="s">
        <v>232</v>
      </c>
      <c r="C183" s="21" t="s">
        <v>634</v>
      </c>
      <c r="D183" s="164">
        <v>2030000</v>
      </c>
      <c r="E183" s="21" t="s">
        <v>567</v>
      </c>
      <c r="F183" s="21" t="s">
        <v>250</v>
      </c>
      <c r="G183" s="8" t="str">
        <f t="shared" si="2"/>
        <v>KILLION DAVID</v>
      </c>
    </row>
    <row r="184" spans="1:7" x14ac:dyDescent="0.25">
      <c r="A184" s="8">
        <v>42727.769178240742</v>
      </c>
      <c r="B184" s="21" t="s">
        <v>154</v>
      </c>
      <c r="C184" s="21" t="s">
        <v>635</v>
      </c>
      <c r="D184" s="164">
        <v>2220000</v>
      </c>
      <c r="E184" s="21" t="s">
        <v>376</v>
      </c>
      <c r="F184" s="21" t="s">
        <v>377</v>
      </c>
      <c r="G184" s="8" t="str">
        <f t="shared" si="2"/>
        <v>HILLS DUSTIN</v>
      </c>
    </row>
    <row r="185" spans="1:7" x14ac:dyDescent="0.25">
      <c r="A185" s="8">
        <v>42727.77039351852</v>
      </c>
      <c r="B185" s="21" t="s">
        <v>327</v>
      </c>
      <c r="C185" s="21" t="s">
        <v>448</v>
      </c>
      <c r="D185" s="164">
        <v>2230000</v>
      </c>
      <c r="E185" s="21" t="s">
        <v>283</v>
      </c>
      <c r="F185" s="21" t="s">
        <v>263</v>
      </c>
      <c r="G185" s="8" t="str">
        <f t="shared" si="2"/>
        <v>SMITH MICHAEL</v>
      </c>
    </row>
    <row r="186" spans="1:7" x14ac:dyDescent="0.25">
      <c r="A186" s="8">
        <v>42727.772372685184</v>
      </c>
      <c r="B186" s="21" t="s">
        <v>235</v>
      </c>
      <c r="C186" s="21" t="s">
        <v>636</v>
      </c>
      <c r="D186" s="164">
        <v>2730000</v>
      </c>
      <c r="E186" s="21" t="s">
        <v>334</v>
      </c>
      <c r="F186" s="21" t="s">
        <v>335</v>
      </c>
      <c r="G186" s="8" t="str">
        <f t="shared" si="2"/>
        <v>YANG JAN</v>
      </c>
    </row>
    <row r="187" spans="1:7" x14ac:dyDescent="0.25">
      <c r="A187" s="8">
        <v>42727.77511574074</v>
      </c>
      <c r="B187" s="21" t="s">
        <v>561</v>
      </c>
      <c r="C187" s="21" t="s">
        <v>637</v>
      </c>
      <c r="D187" s="164">
        <v>930000</v>
      </c>
      <c r="E187" s="21" t="s">
        <v>330</v>
      </c>
      <c r="F187" s="21" t="s">
        <v>331</v>
      </c>
      <c r="G187" s="8" t="str">
        <f t="shared" si="2"/>
        <v>CLARK KATHLEEN</v>
      </c>
    </row>
    <row r="188" spans="1:7" x14ac:dyDescent="0.25">
      <c r="A188" s="8">
        <v>42727.776701388888</v>
      </c>
      <c r="B188" s="21" t="s">
        <v>271</v>
      </c>
      <c r="C188" s="21" t="s">
        <v>638</v>
      </c>
      <c r="D188" s="164">
        <v>2670000</v>
      </c>
      <c r="E188" s="21" t="s">
        <v>332</v>
      </c>
      <c r="F188" s="21" t="s">
        <v>333</v>
      </c>
      <c r="G188" s="8" t="str">
        <f t="shared" si="2"/>
        <v>COMELLA JUSTIN</v>
      </c>
    </row>
    <row r="189" spans="1:7" x14ac:dyDescent="0.25">
      <c r="A189" s="8">
        <v>42727.77789351852</v>
      </c>
      <c r="B189" s="21" t="s">
        <v>477</v>
      </c>
      <c r="C189" s="21" t="s">
        <v>639</v>
      </c>
      <c r="D189" s="164">
        <v>1770000</v>
      </c>
      <c r="E189" s="21" t="s">
        <v>374</v>
      </c>
      <c r="F189" s="21" t="s">
        <v>375</v>
      </c>
      <c r="G189" s="8" t="str">
        <f t="shared" si="2"/>
        <v>BRUDER RICHARD</v>
      </c>
    </row>
    <row r="190" spans="1:7" x14ac:dyDescent="0.25">
      <c r="A190" s="8">
        <v>42727.783564814818</v>
      </c>
      <c r="B190" s="21" t="s">
        <v>210</v>
      </c>
      <c r="C190" s="21" t="s">
        <v>640</v>
      </c>
      <c r="D190" s="164">
        <v>1190000</v>
      </c>
      <c r="E190" s="21" t="s">
        <v>372</v>
      </c>
      <c r="F190" s="21" t="s">
        <v>373</v>
      </c>
      <c r="G190" s="8" t="str">
        <f t="shared" si="2"/>
        <v>BRANNON JEFFREY</v>
      </c>
    </row>
    <row r="191" spans="1:7" x14ac:dyDescent="0.25">
      <c r="A191" s="8">
        <v>42727.790995370371</v>
      </c>
      <c r="B191" s="21" t="s">
        <v>427</v>
      </c>
      <c r="C191" s="21" t="s">
        <v>641</v>
      </c>
      <c r="D191" s="164">
        <v>2270000</v>
      </c>
      <c r="E191" s="21" t="s">
        <v>378</v>
      </c>
      <c r="F191" s="21" t="s">
        <v>379</v>
      </c>
      <c r="G191" s="8" t="str">
        <f t="shared" si="2"/>
        <v>BROWN JACOB</v>
      </c>
    </row>
    <row r="192" spans="1:7" x14ac:dyDescent="0.25">
      <c r="A192" s="8">
        <v>42727.79755787037</v>
      </c>
      <c r="B192" s="21" t="s">
        <v>258</v>
      </c>
      <c r="C192" s="21" t="s">
        <v>642</v>
      </c>
      <c r="D192" s="164">
        <v>2000000</v>
      </c>
      <c r="E192" s="21" t="s">
        <v>209</v>
      </c>
      <c r="F192" s="21" t="s">
        <v>251</v>
      </c>
      <c r="G192" s="8" t="str">
        <f t="shared" si="2"/>
        <v>STAMBAUGH JAMES</v>
      </c>
    </row>
    <row r="193" spans="1:7" x14ac:dyDescent="0.25">
      <c r="A193" s="8">
        <v>42727.798657407409</v>
      </c>
      <c r="B193" s="21" t="s">
        <v>322</v>
      </c>
      <c r="C193" s="21" t="s">
        <v>643</v>
      </c>
      <c r="D193" s="164">
        <v>2230000</v>
      </c>
      <c r="E193" s="21" t="s">
        <v>283</v>
      </c>
      <c r="F193" s="21" t="s">
        <v>263</v>
      </c>
      <c r="G193" s="8" t="str">
        <f t="shared" si="2"/>
        <v>SMITH MICHAEL</v>
      </c>
    </row>
    <row r="194" spans="1:7" x14ac:dyDescent="0.25">
      <c r="A194" s="8">
        <v>42727.798715277779</v>
      </c>
      <c r="B194" s="21" t="s">
        <v>231</v>
      </c>
      <c r="C194" s="21" t="s">
        <v>644</v>
      </c>
      <c r="D194" s="164">
        <v>2030000</v>
      </c>
      <c r="E194" s="21" t="s">
        <v>567</v>
      </c>
      <c r="F194" s="21" t="s">
        <v>250</v>
      </c>
      <c r="G194" s="8" t="str">
        <f t="shared" si="2"/>
        <v>KILLION DAVID</v>
      </c>
    </row>
    <row r="195" spans="1:7" x14ac:dyDescent="0.25">
      <c r="A195" s="8">
        <v>42727.801631944443</v>
      </c>
      <c r="B195" s="21" t="s">
        <v>225</v>
      </c>
      <c r="C195" s="21" t="s">
        <v>645</v>
      </c>
      <c r="D195" s="164">
        <v>2670000</v>
      </c>
      <c r="E195" s="21" t="s">
        <v>332</v>
      </c>
      <c r="F195" s="21" t="s">
        <v>333</v>
      </c>
      <c r="G195" s="8" t="str">
        <f t="shared" ref="G195:G258" si="3">E195&amp;" "&amp;F195</f>
        <v>COMELLA JUSTIN</v>
      </c>
    </row>
    <row r="196" spans="1:7" x14ac:dyDescent="0.25">
      <c r="A196" s="8">
        <v>42727.802175925928</v>
      </c>
      <c r="B196" s="21" t="s">
        <v>155</v>
      </c>
      <c r="C196" s="21" t="s">
        <v>449</v>
      </c>
      <c r="D196" s="164">
        <v>2220000</v>
      </c>
      <c r="E196" s="21" t="s">
        <v>376</v>
      </c>
      <c r="F196" s="21" t="s">
        <v>377</v>
      </c>
      <c r="G196" s="8" t="str">
        <f t="shared" si="3"/>
        <v>HILLS DUSTIN</v>
      </c>
    </row>
    <row r="197" spans="1:7" x14ac:dyDescent="0.25">
      <c r="A197" s="8">
        <v>42727.810127314813</v>
      </c>
      <c r="B197" s="21" t="s">
        <v>295</v>
      </c>
      <c r="C197" s="21" t="s">
        <v>636</v>
      </c>
      <c r="D197" s="164">
        <v>2730000</v>
      </c>
      <c r="E197" s="21" t="s">
        <v>334</v>
      </c>
      <c r="F197" s="21" t="s">
        <v>335</v>
      </c>
      <c r="G197" s="8" t="str">
        <f t="shared" si="3"/>
        <v>YANG JAN</v>
      </c>
    </row>
    <row r="198" spans="1:7" x14ac:dyDescent="0.25">
      <c r="A198" s="8">
        <v>42727.810694444444</v>
      </c>
      <c r="B198" s="21" t="s">
        <v>295</v>
      </c>
      <c r="C198" s="21" t="s">
        <v>646</v>
      </c>
      <c r="D198" s="164">
        <v>2730000</v>
      </c>
      <c r="E198" s="21" t="s">
        <v>334</v>
      </c>
      <c r="F198" s="21" t="s">
        <v>335</v>
      </c>
      <c r="G198" s="8" t="str">
        <f t="shared" si="3"/>
        <v>YANG JAN</v>
      </c>
    </row>
    <row r="199" spans="1:7" x14ac:dyDescent="0.25">
      <c r="A199" s="8">
        <v>42727.818703703706</v>
      </c>
      <c r="B199" s="21" t="s">
        <v>204</v>
      </c>
      <c r="C199" s="21" t="s">
        <v>647</v>
      </c>
      <c r="D199" s="164">
        <v>1190000</v>
      </c>
      <c r="E199" s="21" t="s">
        <v>372</v>
      </c>
      <c r="F199" s="21" t="s">
        <v>373</v>
      </c>
      <c r="G199" s="8" t="str">
        <f t="shared" si="3"/>
        <v>BRANNON JEFFREY</v>
      </c>
    </row>
    <row r="200" spans="1:7" x14ac:dyDescent="0.25">
      <c r="A200" s="8">
        <v>42727.81894675926</v>
      </c>
      <c r="B200" s="21" t="s">
        <v>271</v>
      </c>
      <c r="C200" s="21" t="s">
        <v>648</v>
      </c>
      <c r="D200" s="164">
        <v>2670000</v>
      </c>
      <c r="E200" s="21" t="s">
        <v>332</v>
      </c>
      <c r="F200" s="21" t="s">
        <v>333</v>
      </c>
      <c r="G200" s="8" t="str">
        <f t="shared" si="3"/>
        <v>COMELLA JUSTIN</v>
      </c>
    </row>
    <row r="201" spans="1:7" x14ac:dyDescent="0.25">
      <c r="A201" s="8">
        <v>42727.826041666667</v>
      </c>
      <c r="B201" s="21" t="s">
        <v>454</v>
      </c>
      <c r="C201" s="21" t="s">
        <v>641</v>
      </c>
      <c r="D201" s="164">
        <v>2270000</v>
      </c>
      <c r="E201" s="21" t="s">
        <v>378</v>
      </c>
      <c r="F201" s="21" t="s">
        <v>379</v>
      </c>
      <c r="G201" s="8" t="str">
        <f t="shared" si="3"/>
        <v>BROWN JACOB</v>
      </c>
    </row>
    <row r="202" spans="1:7" x14ac:dyDescent="0.25">
      <c r="A202" s="27">
        <v>42727.826689814814</v>
      </c>
      <c r="B202" s="21" t="s">
        <v>454</v>
      </c>
      <c r="C202" s="21" t="s">
        <v>649</v>
      </c>
      <c r="D202" s="164">
        <v>2270000</v>
      </c>
      <c r="E202" s="21" t="s">
        <v>378</v>
      </c>
      <c r="F202" s="21" t="s">
        <v>379</v>
      </c>
      <c r="G202" s="8" t="str">
        <f t="shared" si="3"/>
        <v>BROWN JACOB</v>
      </c>
    </row>
    <row r="203" spans="1:7" x14ac:dyDescent="0.25">
      <c r="A203" s="8">
        <v>42727.830277777779</v>
      </c>
      <c r="B203" s="21" t="s">
        <v>243</v>
      </c>
      <c r="C203" s="21" t="s">
        <v>650</v>
      </c>
      <c r="D203" s="164">
        <v>2000000</v>
      </c>
      <c r="E203" s="21" t="s">
        <v>209</v>
      </c>
      <c r="F203" s="21" t="s">
        <v>251</v>
      </c>
      <c r="G203" s="8" t="str">
        <f t="shared" si="3"/>
        <v>STAMBAUGH JAMES</v>
      </c>
    </row>
    <row r="204" spans="1:7" x14ac:dyDescent="0.25">
      <c r="A204" s="8">
        <v>42727.843553240738</v>
      </c>
      <c r="B204" s="21" t="s">
        <v>229</v>
      </c>
      <c r="C204" s="21" t="s">
        <v>450</v>
      </c>
      <c r="D204" s="164">
        <v>2220000</v>
      </c>
      <c r="E204" s="21" t="s">
        <v>376</v>
      </c>
      <c r="F204" s="21" t="s">
        <v>377</v>
      </c>
      <c r="G204" s="8" t="str">
        <f t="shared" si="3"/>
        <v>HILLS DUSTIN</v>
      </c>
    </row>
    <row r="205" spans="1:7" x14ac:dyDescent="0.25">
      <c r="A205" s="8">
        <v>42727.844907407409</v>
      </c>
      <c r="B205" s="21" t="s">
        <v>225</v>
      </c>
      <c r="C205" s="21" t="s">
        <v>651</v>
      </c>
      <c r="D205" s="164">
        <v>2670000</v>
      </c>
      <c r="E205" s="21" t="s">
        <v>332</v>
      </c>
      <c r="F205" s="21" t="s">
        <v>333</v>
      </c>
      <c r="G205" s="8" t="str">
        <f t="shared" si="3"/>
        <v>COMELLA JUSTIN</v>
      </c>
    </row>
    <row r="206" spans="1:7" x14ac:dyDescent="0.25">
      <c r="A206" s="8">
        <v>42727.847372685188</v>
      </c>
      <c r="B206" s="21" t="s">
        <v>235</v>
      </c>
      <c r="C206" s="21" t="s">
        <v>652</v>
      </c>
      <c r="D206" s="164">
        <v>2730000</v>
      </c>
      <c r="E206" s="21" t="s">
        <v>334</v>
      </c>
      <c r="F206" s="21" t="s">
        <v>335</v>
      </c>
      <c r="G206" s="8" t="str">
        <f t="shared" si="3"/>
        <v>YANG JAN</v>
      </c>
    </row>
    <row r="207" spans="1:7" x14ac:dyDescent="0.25">
      <c r="A207" s="8">
        <v>42727.861111111109</v>
      </c>
      <c r="B207" s="21" t="s">
        <v>271</v>
      </c>
      <c r="C207" s="21" t="s">
        <v>653</v>
      </c>
      <c r="D207" s="164">
        <v>2670000</v>
      </c>
      <c r="E207" s="21" t="s">
        <v>332</v>
      </c>
      <c r="F207" s="21" t="s">
        <v>333</v>
      </c>
      <c r="G207" s="8" t="str">
        <f t="shared" si="3"/>
        <v>COMELLA JUSTIN</v>
      </c>
    </row>
    <row r="208" spans="1:7" x14ac:dyDescent="0.25">
      <c r="A208" s="8">
        <v>42727.86928240741</v>
      </c>
      <c r="B208" s="21" t="s">
        <v>427</v>
      </c>
      <c r="C208" s="21" t="s">
        <v>654</v>
      </c>
      <c r="D208" s="164">
        <v>2270000</v>
      </c>
      <c r="E208" s="21" t="s">
        <v>378</v>
      </c>
      <c r="F208" s="21" t="s">
        <v>379</v>
      </c>
      <c r="G208" s="8" t="str">
        <f t="shared" si="3"/>
        <v>BROWN JACOB</v>
      </c>
    </row>
    <row r="209" spans="1:7" x14ac:dyDescent="0.25">
      <c r="A209" s="8">
        <v>42727.870185185187</v>
      </c>
      <c r="B209" s="21" t="s">
        <v>258</v>
      </c>
      <c r="C209" s="21" t="s">
        <v>655</v>
      </c>
      <c r="D209" s="164">
        <v>2000000</v>
      </c>
      <c r="E209" s="21" t="s">
        <v>209</v>
      </c>
      <c r="F209" s="21" t="s">
        <v>251</v>
      </c>
      <c r="G209" s="8" t="str">
        <f t="shared" si="3"/>
        <v>STAMBAUGH JAMES</v>
      </c>
    </row>
    <row r="210" spans="1:7" x14ac:dyDescent="0.25">
      <c r="A210" s="8">
        <v>42727.879444444443</v>
      </c>
      <c r="B210" s="21" t="s">
        <v>225</v>
      </c>
      <c r="C210" s="21" t="s">
        <v>656</v>
      </c>
      <c r="D210" s="164">
        <v>2230000</v>
      </c>
      <c r="E210" s="21" t="s">
        <v>283</v>
      </c>
      <c r="F210" s="21" t="s">
        <v>263</v>
      </c>
      <c r="G210" s="8" t="str">
        <f t="shared" si="3"/>
        <v>SMITH MICHAEL</v>
      </c>
    </row>
    <row r="211" spans="1:7" x14ac:dyDescent="0.25">
      <c r="A211" s="8">
        <v>42727.88208333333</v>
      </c>
      <c r="B211" s="21" t="s">
        <v>260</v>
      </c>
      <c r="C211" s="21" t="s">
        <v>657</v>
      </c>
      <c r="D211" s="164">
        <v>2220000</v>
      </c>
      <c r="E211" s="21" t="s">
        <v>376</v>
      </c>
      <c r="F211" s="21" t="s">
        <v>377</v>
      </c>
      <c r="G211" s="8" t="str">
        <f t="shared" si="3"/>
        <v>HILLS DUSTIN</v>
      </c>
    </row>
    <row r="212" spans="1:7" x14ac:dyDescent="0.25">
      <c r="A212" s="8">
        <v>42727.890763888892</v>
      </c>
      <c r="B212" s="21" t="s">
        <v>295</v>
      </c>
      <c r="C212" s="21" t="s">
        <v>658</v>
      </c>
      <c r="D212" s="164">
        <v>2730000</v>
      </c>
      <c r="E212" s="21" t="s">
        <v>334</v>
      </c>
      <c r="F212" s="21" t="s">
        <v>335</v>
      </c>
      <c r="G212" s="8" t="str">
        <f t="shared" si="3"/>
        <v>YANG JAN</v>
      </c>
    </row>
    <row r="213" spans="1:7" x14ac:dyDescent="0.25">
      <c r="A213" s="8">
        <v>42727.900925925926</v>
      </c>
      <c r="B213" s="21" t="s">
        <v>243</v>
      </c>
      <c r="C213" s="21" t="s">
        <v>453</v>
      </c>
      <c r="D213" s="164">
        <v>2000000</v>
      </c>
      <c r="E213" s="21" t="s">
        <v>209</v>
      </c>
      <c r="F213" s="21" t="s">
        <v>251</v>
      </c>
      <c r="G213" s="8" t="str">
        <f t="shared" si="3"/>
        <v>STAMBAUGH JAMES</v>
      </c>
    </row>
    <row r="214" spans="1:7" x14ac:dyDescent="0.25">
      <c r="A214" s="8">
        <v>42727.903645833336</v>
      </c>
      <c r="B214" s="21" t="s">
        <v>271</v>
      </c>
      <c r="C214" s="21" t="s">
        <v>451</v>
      </c>
      <c r="D214" s="164">
        <v>2230000</v>
      </c>
      <c r="E214" s="21" t="s">
        <v>283</v>
      </c>
      <c r="F214" s="21" t="s">
        <v>263</v>
      </c>
      <c r="G214" s="8" t="str">
        <f t="shared" si="3"/>
        <v>SMITH MICHAEL</v>
      </c>
    </row>
    <row r="215" spans="1:7" x14ac:dyDescent="0.25">
      <c r="A215" s="8">
        <v>42727.911249999997</v>
      </c>
      <c r="B215" s="21" t="s">
        <v>454</v>
      </c>
      <c r="C215" s="21" t="s">
        <v>455</v>
      </c>
      <c r="D215" s="164">
        <v>2270000</v>
      </c>
      <c r="E215" s="21" t="s">
        <v>378</v>
      </c>
      <c r="F215" s="21" t="s">
        <v>379</v>
      </c>
      <c r="G215" s="8" t="str">
        <f t="shared" si="3"/>
        <v>BROWN JACOB</v>
      </c>
    </row>
    <row r="216" spans="1:7" x14ac:dyDescent="0.25">
      <c r="A216" s="8">
        <v>42727.921111111114</v>
      </c>
      <c r="B216" s="21" t="s">
        <v>225</v>
      </c>
      <c r="C216" s="21" t="s">
        <v>456</v>
      </c>
      <c r="D216" s="164">
        <v>2230000</v>
      </c>
      <c r="E216" s="21" t="s">
        <v>283</v>
      </c>
      <c r="F216" s="21" t="s">
        <v>263</v>
      </c>
      <c r="G216" s="8" t="str">
        <f t="shared" si="3"/>
        <v>SMITH MICHAEL</v>
      </c>
    </row>
    <row r="217" spans="1:7" x14ac:dyDescent="0.25">
      <c r="A217" s="8">
        <v>42727.922083333331</v>
      </c>
      <c r="B217" s="21" t="s">
        <v>229</v>
      </c>
      <c r="C217" s="21" t="s">
        <v>659</v>
      </c>
      <c r="D217" s="164">
        <v>2220000</v>
      </c>
      <c r="E217" s="21" t="s">
        <v>376</v>
      </c>
      <c r="F217" s="21" t="s">
        <v>377</v>
      </c>
      <c r="G217" s="8" t="str">
        <f t="shared" si="3"/>
        <v>HILLS DUSTIN</v>
      </c>
    </row>
    <row r="218" spans="1:7" x14ac:dyDescent="0.25">
      <c r="A218" s="8">
        <v>42727.9296412037</v>
      </c>
      <c r="B218" s="21" t="s">
        <v>235</v>
      </c>
      <c r="C218" s="21" t="s">
        <v>452</v>
      </c>
      <c r="D218" s="164">
        <v>2730000</v>
      </c>
      <c r="E218" s="21" t="s">
        <v>334</v>
      </c>
      <c r="F218" s="21" t="s">
        <v>335</v>
      </c>
      <c r="G218" s="8" t="str">
        <f t="shared" si="3"/>
        <v>YANG JAN</v>
      </c>
    </row>
    <row r="219" spans="1:7" x14ac:dyDescent="0.25">
      <c r="A219" s="8">
        <v>42727.945104166669</v>
      </c>
      <c r="B219" s="21" t="s">
        <v>271</v>
      </c>
      <c r="C219" s="21" t="s">
        <v>660</v>
      </c>
      <c r="D219" s="164">
        <v>2230000</v>
      </c>
      <c r="E219" s="21" t="s">
        <v>283</v>
      </c>
      <c r="F219" s="21" t="s">
        <v>263</v>
      </c>
      <c r="G219" s="8" t="str">
        <f t="shared" si="3"/>
        <v>SMITH MICHAEL</v>
      </c>
    </row>
    <row r="220" spans="1:7" x14ac:dyDescent="0.25">
      <c r="A220" s="8">
        <v>42727.953923611109</v>
      </c>
      <c r="B220" s="21" t="s">
        <v>258</v>
      </c>
      <c r="C220" s="21" t="s">
        <v>457</v>
      </c>
      <c r="D220" s="164">
        <v>2000000</v>
      </c>
      <c r="E220" s="21" t="s">
        <v>209</v>
      </c>
      <c r="F220" s="21" t="s">
        <v>251</v>
      </c>
      <c r="G220" s="8" t="str">
        <f t="shared" si="3"/>
        <v>STAMBAUGH JAMES</v>
      </c>
    </row>
    <row r="221" spans="1:7" x14ac:dyDescent="0.25">
      <c r="A221" s="8">
        <v>42727.95584490741</v>
      </c>
      <c r="B221" s="21" t="s">
        <v>427</v>
      </c>
      <c r="C221" s="21" t="s">
        <v>661</v>
      </c>
      <c r="D221" s="164">
        <v>2270000</v>
      </c>
      <c r="E221" s="21" t="s">
        <v>378</v>
      </c>
      <c r="F221" s="21" t="s">
        <v>379</v>
      </c>
      <c r="G221" s="8" t="str">
        <f t="shared" si="3"/>
        <v>BROWN JACOB</v>
      </c>
    </row>
    <row r="222" spans="1:7" x14ac:dyDescent="0.25">
      <c r="A222" s="8">
        <v>42727.96366898148</v>
      </c>
      <c r="B222" s="21" t="s">
        <v>260</v>
      </c>
      <c r="C222" s="21" t="s">
        <v>458</v>
      </c>
      <c r="D222" s="164">
        <v>2220000</v>
      </c>
      <c r="E222" s="21" t="s">
        <v>376</v>
      </c>
      <c r="F222" s="21" t="s">
        <v>377</v>
      </c>
      <c r="G222" s="8" t="str">
        <f t="shared" si="3"/>
        <v>HILLS DUSTIN</v>
      </c>
    </row>
    <row r="223" spans="1:7" x14ac:dyDescent="0.25">
      <c r="A223" s="8">
        <v>42727.975891203707</v>
      </c>
      <c r="B223" s="21" t="s">
        <v>295</v>
      </c>
      <c r="C223" s="21" t="s">
        <v>662</v>
      </c>
      <c r="D223" s="164">
        <v>2730000</v>
      </c>
      <c r="E223" s="21" t="s">
        <v>334</v>
      </c>
      <c r="F223" s="21" t="s">
        <v>335</v>
      </c>
      <c r="G223" s="8" t="str">
        <f t="shared" si="3"/>
        <v>YANG JAN</v>
      </c>
    </row>
    <row r="224" spans="1:7" x14ac:dyDescent="0.25">
      <c r="A224" s="8">
        <v>42727.985219907408</v>
      </c>
      <c r="B224" t="s">
        <v>243</v>
      </c>
      <c r="C224" t="s">
        <v>663</v>
      </c>
      <c r="D224" s="164">
        <v>2000000</v>
      </c>
      <c r="E224" t="s">
        <v>209</v>
      </c>
      <c r="F224" s="21" t="s">
        <v>251</v>
      </c>
      <c r="G224" s="8" t="str">
        <f t="shared" si="3"/>
        <v>STAMBAUGH JAMES</v>
      </c>
    </row>
    <row r="225" spans="1:7" x14ac:dyDescent="0.25">
      <c r="A225" s="8">
        <v>42727.989201388889</v>
      </c>
      <c r="B225" t="s">
        <v>454</v>
      </c>
      <c r="C225" t="s">
        <v>459</v>
      </c>
      <c r="D225" s="164">
        <v>2270000</v>
      </c>
      <c r="E225" t="s">
        <v>378</v>
      </c>
      <c r="F225" s="21" t="s">
        <v>379</v>
      </c>
      <c r="G225" s="8" t="str">
        <f t="shared" si="3"/>
        <v>BROWN JACOB</v>
      </c>
    </row>
    <row r="226" spans="1:7" x14ac:dyDescent="0.25">
      <c r="A226" s="8">
        <v>42728.010208333333</v>
      </c>
      <c r="B226" t="s">
        <v>154</v>
      </c>
      <c r="C226" t="s">
        <v>664</v>
      </c>
      <c r="D226" s="164">
        <v>2220000</v>
      </c>
      <c r="E226" t="s">
        <v>376</v>
      </c>
      <c r="F226" s="21" t="s">
        <v>377</v>
      </c>
      <c r="G226" s="8" t="str">
        <f t="shared" si="3"/>
        <v>HILLS DUSTIN</v>
      </c>
    </row>
    <row r="227" spans="1:7" x14ac:dyDescent="0.25">
      <c r="A227" s="8">
        <v>42728.014178240737</v>
      </c>
      <c r="B227" t="s">
        <v>235</v>
      </c>
      <c r="C227" t="s">
        <v>665</v>
      </c>
      <c r="D227" s="164">
        <v>2730000</v>
      </c>
      <c r="E227" t="s">
        <v>334</v>
      </c>
      <c r="F227" s="21" t="s">
        <v>335</v>
      </c>
      <c r="G227" s="8" t="str">
        <f t="shared" si="3"/>
        <v>YANG JAN</v>
      </c>
    </row>
    <row r="228" spans="1:7" x14ac:dyDescent="0.25">
      <c r="A228" s="8">
        <v>42728.034085648149</v>
      </c>
      <c r="B228" t="s">
        <v>427</v>
      </c>
      <c r="C228" t="s">
        <v>666</v>
      </c>
      <c r="D228" s="164">
        <v>2270000</v>
      </c>
      <c r="E228" t="s">
        <v>378</v>
      </c>
      <c r="F228" s="21" t="s">
        <v>379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258</v>
      </c>
      <c r="C229" t="s">
        <v>460</v>
      </c>
      <c r="D229" s="164">
        <v>2000000</v>
      </c>
      <c r="E229" t="s">
        <v>209</v>
      </c>
      <c r="F229" s="21" t="s">
        <v>251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667</v>
      </c>
      <c r="D230" s="164">
        <v>2220000</v>
      </c>
      <c r="E230" t="s">
        <v>376</v>
      </c>
      <c r="F230" s="21" t="s">
        <v>377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667</v>
      </c>
      <c r="D231" s="164">
        <v>2220000</v>
      </c>
      <c r="E231" t="s">
        <v>376</v>
      </c>
      <c r="F231" s="21" t="s">
        <v>377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427</v>
      </c>
      <c r="C232" t="s">
        <v>666</v>
      </c>
      <c r="D232" s="164">
        <v>2270000</v>
      </c>
      <c r="E232" t="s">
        <v>378</v>
      </c>
      <c r="F232" s="21" t="s">
        <v>379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295</v>
      </c>
      <c r="C233" t="s">
        <v>668</v>
      </c>
      <c r="D233" s="164">
        <v>2730000</v>
      </c>
      <c r="E233" t="s">
        <v>334</v>
      </c>
      <c r="F233" s="21" t="s">
        <v>335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667</v>
      </c>
      <c r="D234" s="164">
        <v>2220000</v>
      </c>
      <c r="E234" t="s">
        <v>376</v>
      </c>
      <c r="F234" s="21" t="s">
        <v>377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667</v>
      </c>
      <c r="D235" s="164">
        <v>2220000</v>
      </c>
      <c r="E235" t="s">
        <v>376</v>
      </c>
      <c r="F235" s="21" t="s">
        <v>377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667</v>
      </c>
      <c r="D236" s="164">
        <v>2220000</v>
      </c>
      <c r="E236" t="s">
        <v>376</v>
      </c>
      <c r="F236" s="21" t="s">
        <v>377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667</v>
      </c>
      <c r="D237" s="164">
        <v>2220000</v>
      </c>
      <c r="E237" t="s">
        <v>376</v>
      </c>
      <c r="F237" s="21" t="s">
        <v>377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667</v>
      </c>
      <c r="D238" s="164">
        <v>2220000</v>
      </c>
      <c r="E238" t="s">
        <v>376</v>
      </c>
      <c r="F238" s="21" t="s">
        <v>377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667</v>
      </c>
      <c r="D239" s="164">
        <v>2220000</v>
      </c>
      <c r="E239" t="s">
        <v>376</v>
      </c>
      <c r="F239" s="21" t="s">
        <v>377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667</v>
      </c>
      <c r="D240" s="164">
        <v>2220000</v>
      </c>
      <c r="E240" t="s">
        <v>376</v>
      </c>
      <c r="F240" s="21" t="s">
        <v>377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243</v>
      </c>
      <c r="C241" t="s">
        <v>669</v>
      </c>
      <c r="D241" s="164">
        <v>2000000</v>
      </c>
      <c r="E241" t="s">
        <v>209</v>
      </c>
      <c r="F241" s="21" t="s">
        <v>251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454</v>
      </c>
      <c r="C242" t="s">
        <v>670</v>
      </c>
      <c r="D242" s="164">
        <v>2270000</v>
      </c>
      <c r="E242" t="s">
        <v>378</v>
      </c>
      <c r="F242" s="21" t="s">
        <v>379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671</v>
      </c>
      <c r="D243" s="164">
        <v>2220000</v>
      </c>
      <c r="E243" t="s">
        <v>376</v>
      </c>
      <c r="F243" s="21" t="s">
        <v>377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671</v>
      </c>
      <c r="D244" s="164">
        <v>2220000</v>
      </c>
      <c r="E244" t="s">
        <v>376</v>
      </c>
      <c r="F244" s="21" t="s">
        <v>377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427</v>
      </c>
      <c r="C245" t="s">
        <v>672</v>
      </c>
      <c r="D245" s="164">
        <v>2270000</v>
      </c>
      <c r="E245" t="s">
        <v>378</v>
      </c>
      <c r="F245" s="21" t="s">
        <v>379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296</v>
      </c>
      <c r="C246" t="s">
        <v>299</v>
      </c>
      <c r="D246" s="164">
        <v>2000000</v>
      </c>
      <c r="E246" t="s">
        <v>209</v>
      </c>
      <c r="F246" s="21" t="s">
        <v>251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273</v>
      </c>
      <c r="C247" t="s">
        <v>300</v>
      </c>
      <c r="D247" s="164">
        <v>1810000</v>
      </c>
      <c r="E247" t="s">
        <v>284</v>
      </c>
      <c r="F247" s="21" t="s">
        <v>251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301</v>
      </c>
      <c r="D248" s="164">
        <v>2230000</v>
      </c>
      <c r="E248" t="s">
        <v>283</v>
      </c>
      <c r="F248" s="21" t="s">
        <v>263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302</v>
      </c>
      <c r="D249" s="164">
        <v>1800000</v>
      </c>
      <c r="E249" t="s">
        <v>236</v>
      </c>
      <c r="F249" s="21" t="s">
        <v>254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272</v>
      </c>
      <c r="C250" t="s">
        <v>303</v>
      </c>
      <c r="D250" s="164">
        <v>1810000</v>
      </c>
      <c r="E250" t="s">
        <v>284</v>
      </c>
      <c r="F250" s="21" t="s">
        <v>251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294</v>
      </c>
      <c r="C251" t="s">
        <v>304</v>
      </c>
      <c r="D251" s="164">
        <v>2000000</v>
      </c>
      <c r="E251" t="s">
        <v>209</v>
      </c>
      <c r="F251" s="21" t="s">
        <v>251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305</v>
      </c>
      <c r="D252" s="164">
        <v>1800000</v>
      </c>
      <c r="E252" t="s">
        <v>236</v>
      </c>
      <c r="F252" s="21" t="s">
        <v>254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271</v>
      </c>
      <c r="C253" t="s">
        <v>306</v>
      </c>
      <c r="D253" s="164">
        <v>2230000</v>
      </c>
      <c r="E253" t="s">
        <v>283</v>
      </c>
      <c r="F253" s="21" t="s">
        <v>263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273</v>
      </c>
      <c r="C254" t="s">
        <v>307</v>
      </c>
      <c r="D254" s="164">
        <v>1810000</v>
      </c>
      <c r="E254" t="s">
        <v>284</v>
      </c>
      <c r="F254" s="21" t="s">
        <v>251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296</v>
      </c>
      <c r="C255" t="s">
        <v>308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309</v>
      </c>
      <c r="D256" s="164">
        <v>2230000</v>
      </c>
      <c r="E256" t="s">
        <v>283</v>
      </c>
      <c r="F256" s="21" t="s">
        <v>263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294</v>
      </c>
      <c r="C257" t="s">
        <v>310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311</v>
      </c>
      <c r="D258" s="164">
        <v>2110000</v>
      </c>
      <c r="E258" t="s">
        <v>297</v>
      </c>
      <c r="F258" s="21" t="s">
        <v>298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311</v>
      </c>
      <c r="D259" s="164">
        <v>2110000</v>
      </c>
      <c r="E259" t="s">
        <v>297</v>
      </c>
      <c r="F259" s="21" t="s">
        <v>298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239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4">
        <v>2530000</v>
      </c>
      <c r="E261" t="s">
        <v>237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240</v>
      </c>
      <c r="D262" s="164">
        <v>2600000</v>
      </c>
      <c r="E262" t="s">
        <v>233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53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9" t="s">
        <v>165</v>
      </c>
      <c r="B1" s="169" t="s">
        <v>168</v>
      </c>
      <c r="C1" s="169" t="s">
        <v>161</v>
      </c>
      <c r="D1" s="159" t="s">
        <v>173</v>
      </c>
      <c r="E1" s="169" t="s">
        <v>162</v>
      </c>
      <c r="F1" s="169" t="s">
        <v>160</v>
      </c>
      <c r="G1" s="169" t="s">
        <v>158</v>
      </c>
      <c r="H1" s="169" t="s">
        <v>673</v>
      </c>
      <c r="I1" s="169" t="s">
        <v>171</v>
      </c>
      <c r="J1" s="169" t="s">
        <v>172</v>
      </c>
      <c r="K1" s="169" t="s">
        <v>674</v>
      </c>
      <c r="L1" s="169" t="s">
        <v>166</v>
      </c>
      <c r="M1" s="169" t="s">
        <v>164</v>
      </c>
      <c r="N1" s="169" t="s">
        <v>159</v>
      </c>
      <c r="O1" s="169" t="s">
        <v>169</v>
      </c>
      <c r="P1" s="169" t="s">
        <v>163</v>
      </c>
      <c r="Q1" s="169" t="s">
        <v>170</v>
      </c>
      <c r="R1" s="169" t="s">
        <v>167</v>
      </c>
    </row>
    <row r="2" spans="1:18" x14ac:dyDescent="0.25">
      <c r="A2" s="165">
        <v>31.3</v>
      </c>
      <c r="B2" s="165">
        <v>0.61</v>
      </c>
      <c r="C2" s="165">
        <v>24.92</v>
      </c>
      <c r="D2" s="8">
        <v>42727</v>
      </c>
      <c r="E2" s="165">
        <v>0.77</v>
      </c>
      <c r="F2" s="165" t="s">
        <v>241</v>
      </c>
      <c r="G2" s="165">
        <v>279.95</v>
      </c>
      <c r="H2" s="165">
        <v>7.0000000000000001E-3</v>
      </c>
      <c r="I2" s="165">
        <v>8.9999999999999998E-4</v>
      </c>
      <c r="J2" s="165">
        <v>0.01</v>
      </c>
      <c r="K2" s="165" t="s">
        <v>675</v>
      </c>
      <c r="L2" s="165">
        <v>1010.79</v>
      </c>
      <c r="M2" s="165" t="s">
        <v>337</v>
      </c>
      <c r="N2" s="165">
        <v>31.3</v>
      </c>
      <c r="O2" s="165">
        <v>1482476400</v>
      </c>
      <c r="P2" s="165">
        <v>6.55</v>
      </c>
      <c r="Q2" s="165">
        <v>309</v>
      </c>
      <c r="R2" s="165">
        <v>0.36</v>
      </c>
    </row>
    <row r="3" spans="1:18" x14ac:dyDescent="0.25">
      <c r="A3" s="165">
        <v>30.45</v>
      </c>
      <c r="B3" s="165">
        <v>0.55000000000000004</v>
      </c>
      <c r="C3" s="165">
        <v>24.34</v>
      </c>
      <c r="D3" s="8">
        <v>42727.041666666664</v>
      </c>
      <c r="E3" s="165">
        <v>0.78</v>
      </c>
      <c r="F3" s="165" t="s">
        <v>241</v>
      </c>
      <c r="G3" s="165">
        <v>281.51</v>
      </c>
      <c r="H3" s="165"/>
      <c r="I3" s="165">
        <v>0</v>
      </c>
      <c r="J3" s="165">
        <v>0</v>
      </c>
      <c r="K3" s="165"/>
      <c r="L3" s="165">
        <v>1009.91</v>
      </c>
      <c r="M3" s="165" t="s">
        <v>246</v>
      </c>
      <c r="N3" s="165">
        <v>30.45</v>
      </c>
      <c r="O3" s="165">
        <v>1482480000</v>
      </c>
      <c r="P3" s="165">
        <v>6.68</v>
      </c>
      <c r="Q3" s="165">
        <v>245</v>
      </c>
      <c r="R3" s="165">
        <v>0.99</v>
      </c>
    </row>
    <row r="4" spans="1:18" x14ac:dyDescent="0.25">
      <c r="A4" s="165">
        <v>30.09</v>
      </c>
      <c r="B4" s="165">
        <v>0.54</v>
      </c>
      <c r="C4" s="165">
        <v>24.17</v>
      </c>
      <c r="D4" s="8">
        <v>42727.083333333336</v>
      </c>
      <c r="E4" s="165">
        <v>0.78</v>
      </c>
      <c r="F4" s="165" t="s">
        <v>675</v>
      </c>
      <c r="G4" s="165">
        <v>283.07</v>
      </c>
      <c r="H4" s="165">
        <v>2.1000000000000001E-2</v>
      </c>
      <c r="I4" s="165">
        <v>2.3E-3</v>
      </c>
      <c r="J4" s="165">
        <v>0.06</v>
      </c>
      <c r="K4" s="165" t="s">
        <v>675</v>
      </c>
      <c r="L4" s="165">
        <v>1009.05</v>
      </c>
      <c r="M4" s="165" t="s">
        <v>676</v>
      </c>
      <c r="N4" s="165">
        <v>30.09</v>
      </c>
      <c r="O4" s="165">
        <v>1482483600</v>
      </c>
      <c r="P4" s="165">
        <v>6.82</v>
      </c>
      <c r="Q4" s="165">
        <v>291</v>
      </c>
      <c r="R4" s="165">
        <v>1.1200000000000001</v>
      </c>
    </row>
    <row r="5" spans="1:18" x14ac:dyDescent="0.25">
      <c r="A5" s="165">
        <v>29.25</v>
      </c>
      <c r="B5" s="165">
        <v>0.5</v>
      </c>
      <c r="C5" s="165">
        <v>23.65</v>
      </c>
      <c r="D5" s="8">
        <v>42727.125</v>
      </c>
      <c r="E5" s="165">
        <v>0.79</v>
      </c>
      <c r="F5" s="165" t="s">
        <v>241</v>
      </c>
      <c r="G5" s="165">
        <v>281.58999999999997</v>
      </c>
      <c r="H5" s="165"/>
      <c r="I5" s="165">
        <v>0</v>
      </c>
      <c r="J5" s="165">
        <v>0</v>
      </c>
      <c r="K5" s="165"/>
      <c r="L5" s="165">
        <v>1009.04</v>
      </c>
      <c r="M5" s="165" t="s">
        <v>246</v>
      </c>
      <c r="N5" s="165">
        <v>29.25</v>
      </c>
      <c r="O5" s="165">
        <v>1482487200</v>
      </c>
      <c r="P5" s="165">
        <v>7.1</v>
      </c>
      <c r="Q5" s="165">
        <v>288</v>
      </c>
      <c r="R5" s="165">
        <v>1.32</v>
      </c>
    </row>
    <row r="6" spans="1:18" x14ac:dyDescent="0.25">
      <c r="A6" s="165">
        <v>28.73</v>
      </c>
      <c r="B6" s="165">
        <v>0.55000000000000004</v>
      </c>
      <c r="C6" s="165">
        <v>23.24</v>
      </c>
      <c r="D6" s="8">
        <v>42727.166666666664</v>
      </c>
      <c r="E6" s="165">
        <v>0.8</v>
      </c>
      <c r="F6" s="165" t="s">
        <v>241</v>
      </c>
      <c r="G6" s="165">
        <v>278.91000000000003</v>
      </c>
      <c r="H6" s="165"/>
      <c r="I6" s="165">
        <v>0</v>
      </c>
      <c r="J6" s="165">
        <v>0</v>
      </c>
      <c r="K6" s="165"/>
      <c r="L6" s="165">
        <v>1009.42</v>
      </c>
      <c r="M6" s="165" t="s">
        <v>246</v>
      </c>
      <c r="N6" s="165">
        <v>28.73</v>
      </c>
      <c r="O6" s="165">
        <v>1482490800</v>
      </c>
      <c r="P6" s="165">
        <v>7.22</v>
      </c>
      <c r="Q6" s="165">
        <v>296</v>
      </c>
      <c r="R6" s="165">
        <v>1.33</v>
      </c>
    </row>
    <row r="7" spans="1:18" x14ac:dyDescent="0.25">
      <c r="A7" s="165">
        <v>28.88</v>
      </c>
      <c r="B7" s="165">
        <v>0.55000000000000004</v>
      </c>
      <c r="C7" s="165">
        <v>23.33</v>
      </c>
      <c r="D7" s="8">
        <v>42727.208333333336</v>
      </c>
      <c r="E7" s="165">
        <v>0.79</v>
      </c>
      <c r="F7" s="165" t="s">
        <v>241</v>
      </c>
      <c r="G7" s="165">
        <v>277</v>
      </c>
      <c r="H7" s="165"/>
      <c r="I7" s="165">
        <v>0</v>
      </c>
      <c r="J7" s="165">
        <v>0</v>
      </c>
      <c r="K7" s="165"/>
      <c r="L7" s="165">
        <v>1009.95</v>
      </c>
      <c r="M7" s="165" t="s">
        <v>246</v>
      </c>
      <c r="N7" s="165">
        <v>28.88</v>
      </c>
      <c r="O7" s="165">
        <v>1482494400</v>
      </c>
      <c r="P7" s="165">
        <v>7.4</v>
      </c>
      <c r="Q7" s="165">
        <v>249</v>
      </c>
      <c r="R7" s="165">
        <v>1.48</v>
      </c>
    </row>
    <row r="8" spans="1:18" x14ac:dyDescent="0.25">
      <c r="A8" s="165">
        <v>28.3</v>
      </c>
      <c r="B8" s="165">
        <v>0.46</v>
      </c>
      <c r="C8" s="165">
        <v>23.54</v>
      </c>
      <c r="D8" s="8">
        <v>42727.25</v>
      </c>
      <c r="E8" s="165">
        <v>0.82</v>
      </c>
      <c r="F8" s="165" t="s">
        <v>241</v>
      </c>
      <c r="G8" s="165">
        <v>277</v>
      </c>
      <c r="H8" s="165"/>
      <c r="I8" s="165">
        <v>0</v>
      </c>
      <c r="J8" s="165">
        <v>0</v>
      </c>
      <c r="K8" s="165"/>
      <c r="L8" s="165">
        <v>1010.71</v>
      </c>
      <c r="M8" s="165" t="s">
        <v>246</v>
      </c>
      <c r="N8" s="165">
        <v>28.3</v>
      </c>
      <c r="O8" s="165">
        <v>1482498000</v>
      </c>
      <c r="P8" s="165">
        <v>7.44</v>
      </c>
      <c r="Q8" s="165">
        <v>237</v>
      </c>
      <c r="R8" s="165">
        <v>2</v>
      </c>
    </row>
    <row r="9" spans="1:18" x14ac:dyDescent="0.25">
      <c r="A9" s="165">
        <v>28.67</v>
      </c>
      <c r="B9" s="165">
        <v>0.28000000000000003</v>
      </c>
      <c r="C9" s="165">
        <v>22.81</v>
      </c>
      <c r="D9" s="8">
        <v>42727.291666666664</v>
      </c>
      <c r="E9" s="165">
        <v>0.78</v>
      </c>
      <c r="F9" s="165" t="s">
        <v>241</v>
      </c>
      <c r="G9" s="165">
        <v>277.77999999999997</v>
      </c>
      <c r="H9" s="165"/>
      <c r="I9" s="165">
        <v>0</v>
      </c>
      <c r="J9" s="165">
        <v>0</v>
      </c>
      <c r="K9" s="165"/>
      <c r="L9" s="165">
        <v>1011.61</v>
      </c>
      <c r="M9" s="165" t="s">
        <v>246</v>
      </c>
      <c r="N9" s="165">
        <v>28.67</v>
      </c>
      <c r="O9" s="165">
        <v>1482501600</v>
      </c>
      <c r="P9" s="165">
        <v>6.59</v>
      </c>
      <c r="Q9" s="165">
        <v>222</v>
      </c>
      <c r="R9" s="165">
        <v>2.64</v>
      </c>
    </row>
    <row r="10" spans="1:18" x14ac:dyDescent="0.25">
      <c r="A10" s="165">
        <v>25.77</v>
      </c>
      <c r="B10" s="165">
        <v>0.19</v>
      </c>
      <c r="C10" s="165">
        <v>22.69</v>
      </c>
      <c r="D10" s="8">
        <v>42727.333333333336</v>
      </c>
      <c r="E10" s="165">
        <v>0.76</v>
      </c>
      <c r="F10" s="165" t="s">
        <v>677</v>
      </c>
      <c r="G10" s="165">
        <v>277.92</v>
      </c>
      <c r="H10" s="165"/>
      <c r="I10" s="165">
        <v>0</v>
      </c>
      <c r="J10" s="165">
        <v>0</v>
      </c>
      <c r="K10" s="165"/>
      <c r="L10" s="165">
        <v>1012.12</v>
      </c>
      <c r="M10" s="165" t="s">
        <v>678</v>
      </c>
      <c r="N10" s="165">
        <v>29.34</v>
      </c>
      <c r="O10" s="165">
        <v>1482505200</v>
      </c>
      <c r="P10" s="165">
        <v>6.82</v>
      </c>
      <c r="Q10" s="165">
        <v>242</v>
      </c>
      <c r="R10" s="165">
        <v>3.39</v>
      </c>
    </row>
    <row r="11" spans="1:18" x14ac:dyDescent="0.25">
      <c r="A11" s="165">
        <v>34.86</v>
      </c>
      <c r="B11" s="165">
        <v>0.18</v>
      </c>
      <c r="C11" s="165">
        <v>25.83</v>
      </c>
      <c r="D11" s="8">
        <v>42727.375</v>
      </c>
      <c r="E11" s="165">
        <v>0.69</v>
      </c>
      <c r="F11" s="165" t="s">
        <v>677</v>
      </c>
      <c r="G11" s="165">
        <v>276.62</v>
      </c>
      <c r="H11" s="165"/>
      <c r="I11" s="165">
        <v>0</v>
      </c>
      <c r="J11" s="165">
        <v>0</v>
      </c>
      <c r="K11" s="165"/>
      <c r="L11" s="165">
        <v>1011.72</v>
      </c>
      <c r="M11" s="165" t="s">
        <v>678</v>
      </c>
      <c r="N11" s="165">
        <v>34.86</v>
      </c>
      <c r="O11" s="165">
        <v>1482508800</v>
      </c>
      <c r="P11" s="165">
        <v>6.82</v>
      </c>
      <c r="Q11" s="165">
        <v>267</v>
      </c>
      <c r="R11" s="165">
        <v>2.52</v>
      </c>
    </row>
    <row r="12" spans="1:18" x14ac:dyDescent="0.25">
      <c r="A12" s="165">
        <v>40.520000000000003</v>
      </c>
      <c r="B12" s="165">
        <v>0.22</v>
      </c>
      <c r="C12" s="165">
        <v>25.36</v>
      </c>
      <c r="D12" s="8">
        <v>42727.416666666664</v>
      </c>
      <c r="E12" s="165">
        <v>0.54</v>
      </c>
      <c r="F12" s="165" t="s">
        <v>677</v>
      </c>
      <c r="G12" s="165">
        <v>274.68</v>
      </c>
      <c r="H12" s="165"/>
      <c r="I12" s="165">
        <v>0</v>
      </c>
      <c r="J12" s="165">
        <v>0</v>
      </c>
      <c r="K12" s="165"/>
      <c r="L12" s="165">
        <v>1010.95</v>
      </c>
      <c r="M12" s="165" t="s">
        <v>678</v>
      </c>
      <c r="N12" s="165">
        <v>40.520000000000003</v>
      </c>
      <c r="O12" s="165">
        <v>1482512400</v>
      </c>
      <c r="P12" s="165">
        <v>6.87</v>
      </c>
      <c r="Q12" s="165">
        <v>300</v>
      </c>
      <c r="R12" s="165">
        <v>2.61</v>
      </c>
    </row>
    <row r="13" spans="1:18" x14ac:dyDescent="0.25">
      <c r="A13" s="165">
        <v>44.63</v>
      </c>
      <c r="B13" s="165">
        <v>0.28000000000000003</v>
      </c>
      <c r="C13" s="165">
        <v>24.92</v>
      </c>
      <c r="D13" s="8">
        <v>42727.458333333336</v>
      </c>
      <c r="E13" s="165">
        <v>0.46</v>
      </c>
      <c r="F13" s="165" t="s">
        <v>336</v>
      </c>
      <c r="G13" s="165">
        <v>273.12</v>
      </c>
      <c r="H13" s="165"/>
      <c r="I13" s="165">
        <v>0</v>
      </c>
      <c r="J13" s="165">
        <v>0</v>
      </c>
      <c r="K13" s="165"/>
      <c r="L13" s="165">
        <v>1010.38</v>
      </c>
      <c r="M13" s="165" t="s">
        <v>246</v>
      </c>
      <c r="N13" s="165">
        <v>44.63</v>
      </c>
      <c r="O13" s="165">
        <v>1482516000</v>
      </c>
      <c r="P13" s="165">
        <v>6.93</v>
      </c>
      <c r="Q13" s="165">
        <v>293</v>
      </c>
      <c r="R13" s="165">
        <v>1.86</v>
      </c>
    </row>
    <row r="14" spans="1:18" x14ac:dyDescent="0.25">
      <c r="A14" s="165">
        <v>47.06</v>
      </c>
      <c r="B14" s="165">
        <v>0.3</v>
      </c>
      <c r="C14" s="165">
        <v>24.31</v>
      </c>
      <c r="D14" s="8">
        <v>42727.5</v>
      </c>
      <c r="E14" s="165">
        <v>0.41</v>
      </c>
      <c r="F14" s="165" t="s">
        <v>336</v>
      </c>
      <c r="G14" s="165">
        <v>272.56</v>
      </c>
      <c r="H14" s="165"/>
      <c r="I14" s="165">
        <v>0</v>
      </c>
      <c r="J14" s="165">
        <v>0</v>
      </c>
      <c r="K14" s="165"/>
      <c r="L14" s="165">
        <v>1010.13</v>
      </c>
      <c r="M14" s="165" t="s">
        <v>246</v>
      </c>
      <c r="N14" s="165">
        <v>47.06</v>
      </c>
      <c r="O14" s="165">
        <v>1482519600</v>
      </c>
      <c r="P14" s="165">
        <v>6.99</v>
      </c>
      <c r="Q14" s="165">
        <v>328</v>
      </c>
      <c r="R14" s="165">
        <v>1.87</v>
      </c>
    </row>
    <row r="15" spans="1:18" x14ac:dyDescent="0.25">
      <c r="A15" s="165">
        <v>50.24</v>
      </c>
      <c r="B15" s="165">
        <v>0.28000000000000003</v>
      </c>
      <c r="C15" s="165">
        <v>23.76</v>
      </c>
      <c r="D15" s="8">
        <v>42727.541666666664</v>
      </c>
      <c r="E15" s="165">
        <v>0.35</v>
      </c>
      <c r="F15" s="165" t="s">
        <v>336</v>
      </c>
      <c r="G15" s="165">
        <v>272.39</v>
      </c>
      <c r="H15" s="165"/>
      <c r="I15" s="165">
        <v>0</v>
      </c>
      <c r="J15" s="165">
        <v>0</v>
      </c>
      <c r="K15" s="165"/>
      <c r="L15" s="165">
        <v>1010.08</v>
      </c>
      <c r="M15" s="165" t="s">
        <v>246</v>
      </c>
      <c r="N15" s="165">
        <v>50.24</v>
      </c>
      <c r="O15" s="165">
        <v>1482523200</v>
      </c>
      <c r="P15" s="165">
        <v>4.84</v>
      </c>
      <c r="Q15" s="165">
        <v>4</v>
      </c>
      <c r="R15" s="165">
        <v>1.96</v>
      </c>
    </row>
    <row r="16" spans="1:18" x14ac:dyDescent="0.25">
      <c r="A16" s="165">
        <v>49.66</v>
      </c>
      <c r="B16" s="165">
        <v>0.25</v>
      </c>
      <c r="C16" s="165">
        <v>24.63</v>
      </c>
      <c r="D16" s="8">
        <v>42727.583333333336</v>
      </c>
      <c r="E16" s="165">
        <v>0.37</v>
      </c>
      <c r="F16" s="165" t="s">
        <v>336</v>
      </c>
      <c r="G16" s="165">
        <v>271.73</v>
      </c>
      <c r="H16" s="165"/>
      <c r="I16" s="165">
        <v>0</v>
      </c>
      <c r="J16" s="165">
        <v>0</v>
      </c>
      <c r="K16" s="165"/>
      <c r="L16" s="165">
        <v>1010.28</v>
      </c>
      <c r="M16" s="165" t="s">
        <v>246</v>
      </c>
      <c r="N16" s="165">
        <v>49.66</v>
      </c>
      <c r="O16" s="165">
        <v>1482526800</v>
      </c>
      <c r="P16" s="165">
        <v>4.79</v>
      </c>
      <c r="Q16" s="165">
        <v>99</v>
      </c>
      <c r="R16" s="165">
        <v>1.79</v>
      </c>
    </row>
    <row r="17" spans="1:18" x14ac:dyDescent="0.25">
      <c r="A17" s="165">
        <v>47.89</v>
      </c>
      <c r="B17" s="165">
        <v>0.26</v>
      </c>
      <c r="C17" s="165">
        <v>23.6</v>
      </c>
      <c r="D17" s="8">
        <v>42727.625</v>
      </c>
      <c r="E17" s="165">
        <v>0.37</v>
      </c>
      <c r="F17" s="165" t="s">
        <v>336</v>
      </c>
      <c r="G17" s="165">
        <v>269.83</v>
      </c>
      <c r="H17" s="165"/>
      <c r="I17" s="165">
        <v>0</v>
      </c>
      <c r="J17" s="165">
        <v>0</v>
      </c>
      <c r="K17" s="165"/>
      <c r="L17" s="165">
        <v>1010.81</v>
      </c>
      <c r="M17" s="165" t="s">
        <v>246</v>
      </c>
      <c r="N17" s="165">
        <v>48.6</v>
      </c>
      <c r="O17" s="165">
        <v>1482530400</v>
      </c>
      <c r="P17" s="165">
        <v>4.8899999999999997</v>
      </c>
      <c r="Q17" s="165">
        <v>89</v>
      </c>
      <c r="R17" s="165">
        <v>3.21</v>
      </c>
    </row>
    <row r="18" spans="1:18" x14ac:dyDescent="0.25">
      <c r="A18" s="165">
        <v>45</v>
      </c>
      <c r="B18" s="165">
        <v>0.24</v>
      </c>
      <c r="C18" s="165">
        <v>21.23</v>
      </c>
      <c r="D18" s="8">
        <v>42727.666666666664</v>
      </c>
      <c r="E18" s="165">
        <v>0.37</v>
      </c>
      <c r="F18" s="165" t="s">
        <v>677</v>
      </c>
      <c r="G18" s="165">
        <v>267.45</v>
      </c>
      <c r="H18" s="165"/>
      <c r="I18" s="165">
        <v>0</v>
      </c>
      <c r="J18" s="165">
        <v>0</v>
      </c>
      <c r="K18" s="165"/>
      <c r="L18" s="165">
        <v>1011.38</v>
      </c>
      <c r="M18" s="165" t="s">
        <v>678</v>
      </c>
      <c r="N18" s="165">
        <v>46.24</v>
      </c>
      <c r="O18" s="165">
        <v>1482534000</v>
      </c>
      <c r="P18" s="165">
        <v>5.2</v>
      </c>
      <c r="Q18" s="165">
        <v>94</v>
      </c>
      <c r="R18" s="165">
        <v>3.45</v>
      </c>
    </row>
    <row r="19" spans="1:18" x14ac:dyDescent="0.25">
      <c r="A19" s="165">
        <v>43.26</v>
      </c>
      <c r="B19" s="165">
        <v>0.15</v>
      </c>
      <c r="C19" s="165">
        <v>19.73</v>
      </c>
      <c r="D19" s="8">
        <v>42727.708333333336</v>
      </c>
      <c r="E19" s="165">
        <v>0.39</v>
      </c>
      <c r="F19" s="165" t="s">
        <v>679</v>
      </c>
      <c r="G19" s="165">
        <v>265.97000000000003</v>
      </c>
      <c r="H19" s="165"/>
      <c r="I19" s="165">
        <v>0</v>
      </c>
      <c r="J19" s="165">
        <v>0</v>
      </c>
      <c r="K19" s="165"/>
      <c r="L19" s="165">
        <v>1011.89</v>
      </c>
      <c r="M19" s="165" t="s">
        <v>678</v>
      </c>
      <c r="N19" s="165">
        <v>43.26</v>
      </c>
      <c r="O19" s="165">
        <v>1482537600</v>
      </c>
      <c r="P19" s="165">
        <v>5.89</v>
      </c>
      <c r="Q19" s="165">
        <v>102</v>
      </c>
      <c r="R19" s="165">
        <v>1.72</v>
      </c>
    </row>
    <row r="20" spans="1:18" x14ac:dyDescent="0.25">
      <c r="A20" s="165">
        <v>40.32</v>
      </c>
      <c r="B20" s="165">
        <v>0.11</v>
      </c>
      <c r="C20" s="165">
        <v>21.18</v>
      </c>
      <c r="D20" s="8">
        <v>42727.75</v>
      </c>
      <c r="E20" s="165">
        <v>0.46</v>
      </c>
      <c r="F20" s="165" t="s">
        <v>679</v>
      </c>
      <c r="G20" s="165">
        <v>266.19</v>
      </c>
      <c r="H20" s="165"/>
      <c r="I20" s="165">
        <v>0</v>
      </c>
      <c r="J20" s="165">
        <v>0</v>
      </c>
      <c r="K20" s="165"/>
      <c r="L20" s="165">
        <v>1012.61</v>
      </c>
      <c r="M20" s="165" t="s">
        <v>678</v>
      </c>
      <c r="N20" s="165">
        <v>40.32</v>
      </c>
      <c r="O20" s="165">
        <v>1482541200</v>
      </c>
      <c r="P20" s="165">
        <v>6.91</v>
      </c>
      <c r="Q20" s="165">
        <v>127</v>
      </c>
      <c r="R20" s="165">
        <v>0.88</v>
      </c>
    </row>
    <row r="21" spans="1:18" x14ac:dyDescent="0.25">
      <c r="A21" s="165">
        <v>38.74</v>
      </c>
      <c r="B21" s="165">
        <v>0.24</v>
      </c>
      <c r="C21" s="165">
        <v>23.77</v>
      </c>
      <c r="D21" s="8">
        <v>42727.791666666664</v>
      </c>
      <c r="E21" s="165">
        <v>0.55000000000000004</v>
      </c>
      <c r="F21" s="165" t="s">
        <v>679</v>
      </c>
      <c r="G21" s="165">
        <v>267.3</v>
      </c>
      <c r="H21" s="165"/>
      <c r="I21" s="165">
        <v>0</v>
      </c>
      <c r="J21" s="165">
        <v>0</v>
      </c>
      <c r="K21" s="165"/>
      <c r="L21" s="165">
        <v>1014.08</v>
      </c>
      <c r="M21" s="165" t="s">
        <v>678</v>
      </c>
      <c r="N21" s="165">
        <v>38.74</v>
      </c>
      <c r="O21" s="165">
        <v>1482544800</v>
      </c>
      <c r="P21" s="165">
        <v>8.23</v>
      </c>
      <c r="Q21" s="165">
        <v>194</v>
      </c>
      <c r="R21" s="165">
        <v>1.2</v>
      </c>
    </row>
    <row r="22" spans="1:18" x14ac:dyDescent="0.25">
      <c r="A22" s="165">
        <v>36.549999999999997</v>
      </c>
      <c r="B22" s="165">
        <v>0.34</v>
      </c>
      <c r="C22" s="165">
        <v>23.26</v>
      </c>
      <c r="D22" s="8">
        <v>42727.833333333336</v>
      </c>
      <c r="E22" s="165">
        <v>0.57999999999999996</v>
      </c>
      <c r="F22" s="165" t="s">
        <v>241</v>
      </c>
      <c r="G22" s="165">
        <v>268.26</v>
      </c>
      <c r="H22" s="165"/>
      <c r="I22" s="165">
        <v>0</v>
      </c>
      <c r="J22" s="165">
        <v>0</v>
      </c>
      <c r="K22" s="165"/>
      <c r="L22" s="165">
        <v>1014.99</v>
      </c>
      <c r="M22" s="165" t="s">
        <v>246</v>
      </c>
      <c r="N22" s="165">
        <v>36.549999999999997</v>
      </c>
      <c r="O22" s="165">
        <v>1482548400</v>
      </c>
      <c r="P22" s="165">
        <v>7.29</v>
      </c>
      <c r="Q22" s="165">
        <v>214</v>
      </c>
      <c r="R22" s="165">
        <v>2.57</v>
      </c>
    </row>
    <row r="23" spans="1:18" x14ac:dyDescent="0.25">
      <c r="A23" s="165">
        <v>36.130000000000003</v>
      </c>
      <c r="B23" s="165">
        <v>0.53</v>
      </c>
      <c r="C23" s="165">
        <v>22.66</v>
      </c>
      <c r="D23" s="8">
        <v>42727.875</v>
      </c>
      <c r="E23" s="165">
        <v>0.57999999999999996</v>
      </c>
      <c r="F23" s="165" t="s">
        <v>241</v>
      </c>
      <c r="G23" s="165">
        <v>268.67</v>
      </c>
      <c r="H23" s="165"/>
      <c r="I23" s="165">
        <v>0</v>
      </c>
      <c r="J23" s="165">
        <v>0</v>
      </c>
      <c r="K23" s="165"/>
      <c r="L23" s="165">
        <v>1014.21</v>
      </c>
      <c r="M23" s="165" t="s">
        <v>246</v>
      </c>
      <c r="N23" s="165">
        <v>36.130000000000003</v>
      </c>
      <c r="O23" s="165">
        <v>1482552000</v>
      </c>
      <c r="P23" s="165">
        <v>6.74</v>
      </c>
      <c r="Q23" s="165">
        <v>225</v>
      </c>
      <c r="R23" s="165">
        <v>2.09</v>
      </c>
    </row>
    <row r="24" spans="1:18" x14ac:dyDescent="0.25">
      <c r="A24" s="165">
        <v>34.979999999999997</v>
      </c>
      <c r="B24" s="165">
        <v>0.55000000000000004</v>
      </c>
      <c r="C24" s="165">
        <v>21.22</v>
      </c>
      <c r="D24" s="8">
        <v>42727.916666666664</v>
      </c>
      <c r="E24" s="165">
        <v>0.56999999999999995</v>
      </c>
      <c r="F24" s="165" t="s">
        <v>241</v>
      </c>
      <c r="G24" s="165">
        <v>268.92</v>
      </c>
      <c r="H24" s="165"/>
      <c r="I24" s="165">
        <v>0</v>
      </c>
      <c r="J24" s="165">
        <v>0</v>
      </c>
      <c r="K24" s="165"/>
      <c r="L24" s="165">
        <v>1012.76</v>
      </c>
      <c r="M24" s="165" t="s">
        <v>246</v>
      </c>
      <c r="N24" s="165">
        <v>34.979999999999997</v>
      </c>
      <c r="O24" s="165">
        <v>1482555600</v>
      </c>
      <c r="P24" s="165">
        <v>6.94</v>
      </c>
      <c r="Q24" s="165">
        <v>268</v>
      </c>
      <c r="R24" s="165">
        <v>1.56</v>
      </c>
    </row>
    <row r="25" spans="1:18" x14ac:dyDescent="0.25">
      <c r="A25" s="165">
        <v>34.43</v>
      </c>
      <c r="B25" s="165">
        <v>0.55000000000000004</v>
      </c>
      <c r="C25" s="165">
        <v>20.85</v>
      </c>
      <c r="D25" s="8">
        <v>42727.958333333336</v>
      </c>
      <c r="E25" s="165">
        <v>0.56999999999999995</v>
      </c>
      <c r="F25" s="165" t="s">
        <v>241</v>
      </c>
      <c r="G25" s="165">
        <v>269.22000000000003</v>
      </c>
      <c r="H25" s="165"/>
      <c r="I25" s="165">
        <v>0</v>
      </c>
      <c r="J25" s="165">
        <v>0</v>
      </c>
      <c r="K25" s="165"/>
      <c r="L25" s="165">
        <v>1011.75</v>
      </c>
      <c r="M25" s="165" t="s">
        <v>246</v>
      </c>
      <c r="N25" s="165">
        <v>34.43</v>
      </c>
      <c r="O25" s="165">
        <v>1482559200</v>
      </c>
      <c r="P25" s="165">
        <v>7.51</v>
      </c>
      <c r="Q25" s="165">
        <v>221</v>
      </c>
      <c r="R25" s="165">
        <v>1.87</v>
      </c>
    </row>
    <row r="26" spans="1:18" x14ac:dyDescent="0.25">
      <c r="A26" s="165">
        <v>35.75</v>
      </c>
      <c r="B26" s="165">
        <v>0.71</v>
      </c>
      <c r="C26" s="165">
        <v>22.48</v>
      </c>
      <c r="D26" s="8">
        <v>42728</v>
      </c>
      <c r="E26" s="165">
        <v>0.57999999999999996</v>
      </c>
      <c r="F26" s="165" t="s">
        <v>241</v>
      </c>
      <c r="G26" s="165">
        <v>269.64999999999998</v>
      </c>
      <c r="H26" s="165"/>
      <c r="I26" s="165">
        <v>0</v>
      </c>
      <c r="J26" s="165">
        <v>0</v>
      </c>
      <c r="K26" s="165"/>
      <c r="L26" s="165">
        <v>1012.18</v>
      </c>
      <c r="M26" s="165" t="s">
        <v>337</v>
      </c>
      <c r="N26" s="165">
        <v>35.75</v>
      </c>
      <c r="O26" s="165">
        <v>1482562800</v>
      </c>
      <c r="P26" s="165">
        <v>7.98</v>
      </c>
      <c r="Q26" s="165">
        <v>229</v>
      </c>
      <c r="R26" s="165">
        <v>1.83</v>
      </c>
    </row>
    <row r="27" spans="1:18" x14ac:dyDescent="0.25">
      <c r="A27" s="165">
        <v>34.799999999999997</v>
      </c>
      <c r="B27" s="165">
        <v>0.74</v>
      </c>
      <c r="C27" s="165">
        <v>20.86</v>
      </c>
      <c r="D27" s="8">
        <v>42728.041666666664</v>
      </c>
      <c r="E27" s="165">
        <v>0.56000000000000005</v>
      </c>
      <c r="F27" s="165" t="s">
        <v>241</v>
      </c>
      <c r="G27" s="165">
        <v>270.08999999999997</v>
      </c>
      <c r="H27" s="165"/>
      <c r="I27" s="165">
        <v>0</v>
      </c>
      <c r="J27" s="165">
        <v>0</v>
      </c>
      <c r="K27" s="165"/>
      <c r="L27" s="165">
        <v>1012.44</v>
      </c>
      <c r="M27" s="165" t="s">
        <v>337</v>
      </c>
      <c r="N27" s="165">
        <v>34.799999999999997</v>
      </c>
      <c r="O27" s="165">
        <v>1482566400</v>
      </c>
      <c r="P27" s="165">
        <v>7.82</v>
      </c>
      <c r="Q27" s="165">
        <v>259</v>
      </c>
      <c r="R27" s="165">
        <v>1.71</v>
      </c>
    </row>
    <row r="28" spans="1:18" x14ac:dyDescent="0.25">
      <c r="A28" s="165">
        <v>34.5</v>
      </c>
      <c r="B28" s="165">
        <v>0.63</v>
      </c>
      <c r="C28" s="165">
        <v>20.55</v>
      </c>
      <c r="D28" s="8">
        <v>42728.083333333336</v>
      </c>
      <c r="E28" s="165">
        <v>0.56000000000000005</v>
      </c>
      <c r="F28" s="165" t="s">
        <v>241</v>
      </c>
      <c r="G28" s="165">
        <v>270.52</v>
      </c>
      <c r="H28" s="165"/>
      <c r="I28" s="165">
        <v>0</v>
      </c>
      <c r="J28" s="165">
        <v>0</v>
      </c>
      <c r="K28" s="165"/>
      <c r="L28" s="165">
        <v>1012.63</v>
      </c>
      <c r="M28" s="165" t="s">
        <v>337</v>
      </c>
      <c r="N28" s="165">
        <v>34.5</v>
      </c>
      <c r="O28" s="165">
        <v>1482570000</v>
      </c>
      <c r="P28" s="165">
        <v>5.96</v>
      </c>
      <c r="Q28" s="165">
        <v>281</v>
      </c>
      <c r="R28" s="165">
        <v>1.4</v>
      </c>
    </row>
    <row r="29" spans="1:18" x14ac:dyDescent="0.25">
      <c r="A29" s="165">
        <v>33.159999999999997</v>
      </c>
      <c r="B29" s="165">
        <v>0.62</v>
      </c>
      <c r="C29" s="165">
        <v>20.420000000000002</v>
      </c>
      <c r="D29" s="8">
        <v>42728.125</v>
      </c>
      <c r="E29" s="165">
        <v>0.59</v>
      </c>
      <c r="F29" s="165" t="s">
        <v>241</v>
      </c>
      <c r="G29" s="165">
        <v>271.89</v>
      </c>
      <c r="H29" s="165"/>
      <c r="I29" s="165">
        <v>0</v>
      </c>
      <c r="J29" s="165">
        <v>0</v>
      </c>
      <c r="K29" s="165"/>
      <c r="L29" s="165">
        <v>1012.77</v>
      </c>
      <c r="M29" s="165" t="s">
        <v>337</v>
      </c>
      <c r="N29" s="165">
        <v>33.159999999999997</v>
      </c>
      <c r="O29" s="165">
        <v>1482573600</v>
      </c>
      <c r="P29" s="165">
        <v>7.53</v>
      </c>
      <c r="Q29" s="165">
        <v>245</v>
      </c>
      <c r="R29" s="165">
        <v>1.99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67" t="s">
        <v>202</v>
      </c>
    </row>
    <row r="33" spans="1:1" x14ac:dyDescent="0.25">
      <c r="A33" s="167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8"/>
  <sheetViews>
    <sheetView topLeftCell="A3" workbookViewId="0">
      <selection activeCell="C18" sqref="C18:C3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42727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834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835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836</v>
      </c>
      <c r="J20" t="s">
        <v>87</v>
      </c>
      <c r="M20" s="164" t="s">
        <v>245</v>
      </c>
    </row>
    <row r="21" spans="3:13" x14ac:dyDescent="0.25">
      <c r="C21" t="s">
        <v>837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838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839</v>
      </c>
      <c r="J23" s="29" t="s">
        <v>95</v>
      </c>
      <c r="K23" s="21"/>
      <c r="M23" s="164">
        <v>-7</v>
      </c>
    </row>
    <row r="24" spans="3:13" x14ac:dyDescent="0.25">
      <c r="C24" t="s">
        <v>840</v>
      </c>
      <c r="J24" s="21" t="s">
        <v>108</v>
      </c>
      <c r="K24" s="21"/>
      <c r="M24" s="164" t="s">
        <v>110</v>
      </c>
    </row>
    <row r="25" spans="3:13" x14ac:dyDescent="0.25">
      <c r="C25" t="s">
        <v>841</v>
      </c>
      <c r="J25" t="s">
        <v>151</v>
      </c>
      <c r="M25" s="164" t="b">
        <v>1</v>
      </c>
    </row>
    <row r="26" spans="3:13" x14ac:dyDescent="0.25">
      <c r="C26" t="s">
        <v>842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C:\Users\stu\Documents\GitHub\eaglep3-reporting\EC\2016-12-23-refined-times.txt</v>
      </c>
    </row>
    <row r="27" spans="3:13" x14ac:dyDescent="0.25">
      <c r="C27" t="s">
        <v>843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C:\Users\stu\Documents\GitHub\eaglep3-reporting\EC\2016-12-23-Enforcements.txt</v>
      </c>
    </row>
    <row r="28" spans="3:13" x14ac:dyDescent="0.25">
      <c r="C28" t="s">
        <v>844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C:\Users\stu\Documents\GitHub\eaglep3-reporting\EC\2016-12-23-Runs-refined.txt</v>
      </c>
    </row>
    <row r="29" spans="3:13" x14ac:dyDescent="0.25">
      <c r="C29" t="s">
        <v>845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C:\Users\stu\Documents\GitHub\eaglep3-reporting\EC\2016-12-23-Trips.txt</v>
      </c>
    </row>
    <row r="30" spans="3:13" x14ac:dyDescent="0.25">
      <c r="C30" t="s">
        <v>846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C:\Users\stu\Documents\GitHub\eaglep3-reporting\EC\2016-12-23-Weather.txt</v>
      </c>
    </row>
    <row r="31" spans="3:13" x14ac:dyDescent="0.25">
      <c r="C31" t="s">
        <v>847</v>
      </c>
    </row>
    <row r="32" spans="3:13" x14ac:dyDescent="0.25">
      <c r="C32" t="s">
        <v>848</v>
      </c>
    </row>
    <row r="33" spans="3:3" x14ac:dyDescent="0.25">
      <c r="C33" t="s">
        <v>849</v>
      </c>
    </row>
    <row r="34" spans="3:3" x14ac:dyDescent="0.25">
      <c r="C34" t="s">
        <v>850</v>
      </c>
    </row>
    <row r="35" spans="3:3" x14ac:dyDescent="0.25">
      <c r="C35" t="s">
        <v>851</v>
      </c>
    </row>
    <row r="36" spans="3:3" x14ac:dyDescent="0.25">
      <c r="C36" t="s">
        <v>852</v>
      </c>
    </row>
    <row r="37" spans="3:3" x14ac:dyDescent="0.25">
      <c r="C37" t="s">
        <v>853</v>
      </c>
    </row>
    <row r="38" spans="3:3" x14ac:dyDescent="0.25">
      <c r="C38" t="s">
        <v>854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864</v>
      </c>
      <c r="B1" t="str">
        <f t="shared" ref="B1:B52" si="0">MID(A1,6,23)</f>
        <v>2016/12/23 11:34:02.972</v>
      </c>
      <c r="C1" t="e">
        <f>ABS(B1-#REF!)</f>
        <v>#REF!</v>
      </c>
    </row>
    <row r="2" spans="1:3" x14ac:dyDescent="0.25">
      <c r="A2" t="s">
        <v>865</v>
      </c>
      <c r="B2" s="21" t="str">
        <f t="shared" si="0"/>
        <v>2016/12/23 11:34:03.470</v>
      </c>
      <c r="C2">
        <f>ABS(B2-B1)</f>
        <v>5.7638826547190547E-6</v>
      </c>
    </row>
    <row r="3" spans="1:3" x14ac:dyDescent="0.25">
      <c r="A3" t="s">
        <v>866</v>
      </c>
      <c r="B3" s="21" t="str">
        <f t="shared" si="0"/>
        <v>2016/12/23 11:34:03.842</v>
      </c>
      <c r="C3" s="21">
        <f t="shared" ref="C3:C52" si="1">ABS(B3-B2)</f>
        <v>4.3055551941506565E-6</v>
      </c>
    </row>
    <row r="4" spans="1:3" x14ac:dyDescent="0.25">
      <c r="A4" t="s">
        <v>867</v>
      </c>
      <c r="B4" s="21" t="str">
        <f t="shared" si="0"/>
        <v>2016/12/23 11:41:31.105</v>
      </c>
      <c r="C4" s="21">
        <f t="shared" si="1"/>
        <v>5.176655096875038E-3</v>
      </c>
    </row>
    <row r="5" spans="1:3" x14ac:dyDescent="0.25">
      <c r="A5" t="s">
        <v>868</v>
      </c>
      <c r="B5" s="21" t="str">
        <f t="shared" si="0"/>
        <v>2016/12/23 11:41:31.341</v>
      </c>
      <c r="C5" s="21">
        <f t="shared" si="1"/>
        <v>2.7314817998558283E-6</v>
      </c>
    </row>
    <row r="6" spans="1:3" x14ac:dyDescent="0.25">
      <c r="A6" t="s">
        <v>869</v>
      </c>
      <c r="B6" s="21" t="str">
        <f t="shared" si="0"/>
        <v>2016/12/23 11:41:31.935</v>
      </c>
      <c r="C6" s="21">
        <f t="shared" si="1"/>
        <v>6.8750014179386199E-6</v>
      </c>
    </row>
    <row r="7" spans="1:3" x14ac:dyDescent="0.25">
      <c r="A7" t="s">
        <v>870</v>
      </c>
      <c r="B7" s="21" t="str">
        <f t="shared" si="0"/>
        <v>2016/12/23 11:52:00.189</v>
      </c>
      <c r="C7" s="21">
        <f t="shared" si="1"/>
        <v>7.27145832934184E-3</v>
      </c>
    </row>
    <row r="8" spans="1:3" x14ac:dyDescent="0.25">
      <c r="A8" t="s">
        <v>871</v>
      </c>
      <c r="B8" s="21" t="str">
        <f t="shared" si="0"/>
        <v>2016/12/23 11:52:00.571</v>
      </c>
      <c r="C8" s="21">
        <f t="shared" si="1"/>
        <v>4.4213011278770864E-6</v>
      </c>
    </row>
    <row r="9" spans="1:3" x14ac:dyDescent="0.25">
      <c r="A9" t="s">
        <v>872</v>
      </c>
      <c r="B9" s="21" t="str">
        <f t="shared" si="0"/>
        <v>2016/12/23 12:23:00.317</v>
      </c>
      <c r="C9" s="21">
        <f t="shared" si="1"/>
        <v>2.1524837960896548E-2</v>
      </c>
    </row>
    <row r="10" spans="1:3" x14ac:dyDescent="0.25">
      <c r="A10" t="s">
        <v>873</v>
      </c>
      <c r="B10" s="21" t="str">
        <f t="shared" si="0"/>
        <v>2016/12/23 13:04:27.274</v>
      </c>
      <c r="C10" s="21">
        <f t="shared" si="1"/>
        <v>2.8784224537957925E-2</v>
      </c>
    </row>
    <row r="11" spans="1:3" x14ac:dyDescent="0.25">
      <c r="A11" t="s">
        <v>874</v>
      </c>
      <c r="B11" s="21" t="str">
        <f t="shared" si="0"/>
        <v>2016/12/23 13:04:29.072</v>
      </c>
      <c r="C11" s="21">
        <f t="shared" si="1"/>
        <v>2.0810184651054442E-5</v>
      </c>
    </row>
    <row r="12" spans="1:3" x14ac:dyDescent="0.25">
      <c r="A12" t="s">
        <v>875</v>
      </c>
      <c r="B12" s="21" t="str">
        <f t="shared" si="0"/>
        <v>2016/12/23 13:06:48.944</v>
      </c>
      <c r="C12" s="21">
        <f t="shared" si="1"/>
        <v>1.6188888839678839E-3</v>
      </c>
    </row>
    <row r="13" spans="1:3" x14ac:dyDescent="0.25">
      <c r="A13" t="s">
        <v>876</v>
      </c>
      <c r="B13" s="21" t="str">
        <f t="shared" si="0"/>
        <v>2016/12/23 13:13:38.113</v>
      </c>
      <c r="C13" s="21">
        <f t="shared" si="1"/>
        <v>4.7357523144455627E-3</v>
      </c>
    </row>
    <row r="14" spans="1:3" x14ac:dyDescent="0.25">
      <c r="A14" t="s">
        <v>877</v>
      </c>
      <c r="B14" s="21" t="str">
        <f t="shared" si="0"/>
        <v>2016/12/23 13:20:48.094</v>
      </c>
      <c r="C14" s="21">
        <f t="shared" si="1"/>
        <v>4.9766319498303346E-3</v>
      </c>
    </row>
    <row r="15" spans="1:3" x14ac:dyDescent="0.25">
      <c r="A15" t="s">
        <v>878</v>
      </c>
      <c r="B15" s="21" t="str">
        <f t="shared" si="0"/>
        <v>2016/12/23 13:20:49.039</v>
      </c>
      <c r="C15" s="21">
        <f t="shared" si="1"/>
        <v>1.0937495972029865E-5</v>
      </c>
    </row>
    <row r="16" spans="1:3" x14ac:dyDescent="0.25">
      <c r="A16" t="s">
        <v>879</v>
      </c>
      <c r="B16" s="21" t="str">
        <f t="shared" si="0"/>
        <v>2016/12/23 13:20:49.300</v>
      </c>
      <c r="C16" s="21">
        <f t="shared" si="1"/>
        <v>3.0208320822566748E-6</v>
      </c>
    </row>
    <row r="17" spans="1:3" x14ac:dyDescent="0.25">
      <c r="A17" t="s">
        <v>880</v>
      </c>
      <c r="B17" s="21" t="str">
        <f t="shared" si="0"/>
        <v>2016/12/23 14:20:47.256</v>
      </c>
      <c r="C17" s="21">
        <f t="shared" si="1"/>
        <v>4.1643009259132668E-2</v>
      </c>
    </row>
    <row r="18" spans="1:3" x14ac:dyDescent="0.25">
      <c r="A18" t="s">
        <v>881</v>
      </c>
      <c r="B18" s="21" t="str">
        <f t="shared" si="0"/>
        <v>2016/12/23 14:37:31.254</v>
      </c>
      <c r="C18" s="21">
        <f t="shared" si="1"/>
        <v>1.1620347228017636E-2</v>
      </c>
    </row>
    <row r="19" spans="1:3" x14ac:dyDescent="0.25">
      <c r="A19" t="s">
        <v>882</v>
      </c>
      <c r="B19" s="21" t="str">
        <f t="shared" si="0"/>
        <v>2016/12/23 14:37:32.221</v>
      </c>
      <c r="C19" s="21">
        <f t="shared" si="1"/>
        <v>1.1192125384695828E-5</v>
      </c>
    </row>
    <row r="20" spans="1:3" x14ac:dyDescent="0.25">
      <c r="A20" t="s">
        <v>883</v>
      </c>
      <c r="B20" s="21" t="str">
        <f t="shared" si="0"/>
        <v>2016/12/23 14:37:32.594</v>
      </c>
      <c r="C20" s="21">
        <f t="shared" si="1"/>
        <v>4.3171312427148223E-6</v>
      </c>
    </row>
    <row r="21" spans="1:3" x14ac:dyDescent="0.25">
      <c r="A21" t="s">
        <v>884</v>
      </c>
      <c r="B21" s="21" t="str">
        <f t="shared" si="0"/>
        <v>2016/12/23 14:47:58.848</v>
      </c>
      <c r="C21" s="21">
        <f t="shared" si="1"/>
        <v>7.2483101830584928E-3</v>
      </c>
    </row>
    <row r="22" spans="1:3" x14ac:dyDescent="0.25">
      <c r="A22" t="s">
        <v>885</v>
      </c>
      <c r="B22" s="21" t="str">
        <f t="shared" si="0"/>
        <v>2016/12/23 14:47:59.476</v>
      </c>
      <c r="C22" s="21">
        <f t="shared" si="1"/>
        <v>7.2685215855017304E-6</v>
      </c>
    </row>
    <row r="23" spans="1:3" x14ac:dyDescent="0.25">
      <c r="A23" t="s">
        <v>886</v>
      </c>
      <c r="B23" s="21" t="str">
        <f t="shared" si="0"/>
        <v>2016/12/23 14:47:59.963</v>
      </c>
      <c r="C23" s="21">
        <f t="shared" si="1"/>
        <v>5.6365752243436873E-6</v>
      </c>
    </row>
    <row r="24" spans="1:3" x14ac:dyDescent="0.25">
      <c r="A24" t="s">
        <v>887</v>
      </c>
      <c r="B24" s="21" t="str">
        <f t="shared" si="0"/>
        <v>2016/12/23 14:53:15.418</v>
      </c>
      <c r="C24" s="21">
        <f t="shared" si="1"/>
        <v>3.6510995341814123E-3</v>
      </c>
    </row>
    <row r="25" spans="1:3" x14ac:dyDescent="0.25">
      <c r="A25" t="s">
        <v>888</v>
      </c>
      <c r="B25" s="21" t="str">
        <f t="shared" si="0"/>
        <v>2016/12/23 14:53:16.126</v>
      </c>
      <c r="C25" s="21">
        <f t="shared" si="1"/>
        <v>8.1944453995674849E-6</v>
      </c>
    </row>
    <row r="26" spans="1:3" x14ac:dyDescent="0.25">
      <c r="A26" t="s">
        <v>889</v>
      </c>
      <c r="B26" s="21" t="str">
        <f t="shared" si="0"/>
        <v>2016/12/23 14:53:16.567</v>
      </c>
      <c r="C26" s="21">
        <f t="shared" si="1"/>
        <v>5.1041643018834293E-6</v>
      </c>
    </row>
    <row r="27" spans="1:3" x14ac:dyDescent="0.25">
      <c r="A27" t="s">
        <v>890</v>
      </c>
      <c r="B27" s="21" t="str">
        <f t="shared" si="0"/>
        <v>2016/12/23 15:57:55.921</v>
      </c>
      <c r="C27" s="21">
        <f t="shared" si="1"/>
        <v>4.4899930559040513E-2</v>
      </c>
    </row>
    <row r="28" spans="1:3" x14ac:dyDescent="0.25">
      <c r="A28" t="s">
        <v>891</v>
      </c>
      <c r="B28" s="21" t="str">
        <f t="shared" si="0"/>
        <v>2016/12/23 15:57:56.324</v>
      </c>
      <c r="C28" s="21">
        <f t="shared" si="1"/>
        <v>4.6643544919788837E-6</v>
      </c>
    </row>
    <row r="29" spans="1:3" x14ac:dyDescent="0.25">
      <c r="A29" t="s">
        <v>892</v>
      </c>
      <c r="B29" s="21" t="str">
        <f t="shared" si="0"/>
        <v>2016/12/23 15:57:57.092</v>
      </c>
      <c r="C29" s="21">
        <f t="shared" si="1"/>
        <v>8.8888846221379936E-6</v>
      </c>
    </row>
    <row r="30" spans="1:3" x14ac:dyDescent="0.25">
      <c r="A30" t="s">
        <v>893</v>
      </c>
      <c r="B30" s="21" t="str">
        <f t="shared" si="0"/>
        <v>2016/12/23 17:47:35.775</v>
      </c>
      <c r="C30" s="21">
        <f t="shared" si="1"/>
        <v>7.6142164354678243E-2</v>
      </c>
    </row>
    <row r="31" spans="1:3" x14ac:dyDescent="0.25">
      <c r="A31" t="s">
        <v>894</v>
      </c>
      <c r="B31" s="21" t="str">
        <f t="shared" si="0"/>
        <v>2016/12/23 17:47:35.996</v>
      </c>
      <c r="C31" s="21">
        <f t="shared" si="1"/>
        <v>2.5578701752237976E-6</v>
      </c>
    </row>
    <row r="32" spans="1:3" x14ac:dyDescent="0.25">
      <c r="A32" t="s">
        <v>895</v>
      </c>
      <c r="B32" s="21" t="str">
        <f t="shared" si="0"/>
        <v>2016/12/23 17:47:36.209</v>
      </c>
      <c r="C32" s="21">
        <f t="shared" si="1"/>
        <v>2.4652763386256993E-6</v>
      </c>
    </row>
    <row r="33" spans="1:3" x14ac:dyDescent="0.25">
      <c r="A33" t="s">
        <v>896</v>
      </c>
      <c r="B33" s="21" t="str">
        <f t="shared" si="0"/>
        <v>2016/12/23 17:50:19.320</v>
      </c>
      <c r="C33" s="21">
        <f t="shared" si="1"/>
        <v>1.8878587943618186E-3</v>
      </c>
    </row>
    <row r="34" spans="1:3" x14ac:dyDescent="0.25">
      <c r="A34" t="s">
        <v>897</v>
      </c>
      <c r="B34" s="21" t="str">
        <f t="shared" si="0"/>
        <v>2016/12/23 17:50:19.910</v>
      </c>
      <c r="C34" s="21">
        <f t="shared" si="1"/>
        <v>6.8287044996395707E-6</v>
      </c>
    </row>
    <row r="35" spans="1:3" x14ac:dyDescent="0.25">
      <c r="A35" t="s">
        <v>898</v>
      </c>
      <c r="B35" s="21" t="str">
        <f t="shared" si="0"/>
        <v>2016/12/23 17:50:20.090</v>
      </c>
      <c r="C35" s="21">
        <f t="shared" si="1"/>
        <v>2.0833322196267545E-6</v>
      </c>
    </row>
    <row r="36" spans="1:3" x14ac:dyDescent="0.25">
      <c r="A36" t="s">
        <v>899</v>
      </c>
      <c r="B36" s="21" t="str">
        <f t="shared" si="0"/>
        <v>2016/12/23 18:03:50.133</v>
      </c>
      <c r="C36" s="21">
        <f t="shared" si="1"/>
        <v>9.3754976842319593E-3</v>
      </c>
    </row>
    <row r="37" spans="1:3" x14ac:dyDescent="0.25">
      <c r="A37" t="s">
        <v>900</v>
      </c>
      <c r="B37" s="21" t="str">
        <f t="shared" si="0"/>
        <v>2016/12/23 18:03:50.967</v>
      </c>
      <c r="C37" s="21">
        <f t="shared" si="1"/>
        <v>9.6527801360934973E-6</v>
      </c>
    </row>
    <row r="38" spans="1:3" x14ac:dyDescent="0.25">
      <c r="A38" t="s">
        <v>901</v>
      </c>
      <c r="B38" s="21" t="str">
        <f t="shared" si="0"/>
        <v>2016/12/23 18:31:32.206</v>
      </c>
      <c r="C38" s="21">
        <f t="shared" si="1"/>
        <v>1.9227303244406357E-2</v>
      </c>
    </row>
    <row r="39" spans="1:3" x14ac:dyDescent="0.25">
      <c r="A39" t="s">
        <v>902</v>
      </c>
      <c r="B39" s="21" t="str">
        <f t="shared" si="0"/>
        <v>2016/12/23 18:31:32.587</v>
      </c>
      <c r="C39" s="21">
        <f t="shared" si="1"/>
        <v>4.4097178033553064E-6</v>
      </c>
    </row>
    <row r="40" spans="1:3" x14ac:dyDescent="0.25">
      <c r="A40" t="s">
        <v>903</v>
      </c>
      <c r="B40" s="21" t="str">
        <f t="shared" si="0"/>
        <v>2016/12/23 18:31:32.926</v>
      </c>
      <c r="C40" s="21">
        <f t="shared" si="1"/>
        <v>3.9236110751517117E-6</v>
      </c>
    </row>
    <row r="41" spans="1:3" x14ac:dyDescent="0.25">
      <c r="A41" t="s">
        <v>904</v>
      </c>
      <c r="B41" s="21" t="str">
        <f t="shared" si="0"/>
        <v>2016/12/23 20:26:18.834</v>
      </c>
      <c r="C41" s="21">
        <f t="shared" si="1"/>
        <v>7.9698009263665881E-2</v>
      </c>
    </row>
    <row r="42" spans="1:3" x14ac:dyDescent="0.25">
      <c r="A42" t="s">
        <v>905</v>
      </c>
      <c r="B42" s="21" t="str">
        <f t="shared" si="0"/>
        <v>2016/12/23 20:26:18.945</v>
      </c>
      <c r="C42" s="21">
        <f t="shared" si="1"/>
        <v>1.2847158359363675E-6</v>
      </c>
    </row>
    <row r="43" spans="1:3" x14ac:dyDescent="0.25">
      <c r="A43" t="s">
        <v>906</v>
      </c>
      <c r="B43" s="21" t="str">
        <f t="shared" si="0"/>
        <v>2016/12/23 20:26:19.441</v>
      </c>
      <c r="C43" s="21">
        <f t="shared" si="1"/>
        <v>5.7407451095059514E-6</v>
      </c>
    </row>
    <row r="44" spans="1:3" x14ac:dyDescent="0.25">
      <c r="A44" t="s">
        <v>907</v>
      </c>
      <c r="B44" s="21" t="str">
        <f t="shared" si="0"/>
        <v>2016/12/23 20:52:24.185</v>
      </c>
      <c r="C44" s="21">
        <f t="shared" si="1"/>
        <v>1.8110462959157303E-2</v>
      </c>
    </row>
    <row r="45" spans="1:3" x14ac:dyDescent="0.25">
      <c r="A45" t="s">
        <v>908</v>
      </c>
      <c r="B45" s="21" t="str">
        <f t="shared" si="0"/>
        <v>2016/12/23 20:52:24.577</v>
      </c>
      <c r="C45" s="21">
        <f t="shared" si="1"/>
        <v>4.5370397856459022E-6</v>
      </c>
    </row>
    <row r="46" spans="1:3" x14ac:dyDescent="0.25">
      <c r="A46" t="s">
        <v>909</v>
      </c>
      <c r="B46" s="21" t="str">
        <f t="shared" si="0"/>
        <v>2016/12/23 20:55:58.713</v>
      </c>
      <c r="C46" s="21">
        <f t="shared" si="1"/>
        <v>2.4784259294392541E-3</v>
      </c>
    </row>
    <row r="47" spans="1:3" x14ac:dyDescent="0.25">
      <c r="A47" t="s">
        <v>910</v>
      </c>
      <c r="B47" s="21" t="str">
        <f t="shared" si="0"/>
        <v>2016/12/23 20:55:58.884</v>
      </c>
      <c r="C47" s="21">
        <f t="shared" si="1"/>
        <v>1.9791623344644904E-6</v>
      </c>
    </row>
    <row r="48" spans="1:3" x14ac:dyDescent="0.25">
      <c r="A48" t="s">
        <v>911</v>
      </c>
      <c r="B48" s="21" t="str">
        <f t="shared" si="0"/>
        <v>2016/12/23 20:55:58.995</v>
      </c>
      <c r="C48" s="21">
        <f t="shared" si="1"/>
        <v>1.2847231118939817E-6</v>
      </c>
    </row>
    <row r="49" spans="1:3" x14ac:dyDescent="0.25">
      <c r="A49" t="s">
        <v>912</v>
      </c>
      <c r="B49" s="21" t="str">
        <f t="shared" si="0"/>
        <v>2016/12/23 22:54:07.463</v>
      </c>
      <c r="C49" s="21">
        <f t="shared" si="1"/>
        <v>8.204245370143326E-2</v>
      </c>
    </row>
    <row r="50" spans="1:3" x14ac:dyDescent="0.25">
      <c r="A50" t="s">
        <v>913</v>
      </c>
      <c r="B50" s="21" t="str">
        <f t="shared" si="0"/>
        <v>2016/12/23 22:54:07.606</v>
      </c>
      <c r="C50" s="21">
        <f t="shared" si="1"/>
        <v>1.6550911823287606E-6</v>
      </c>
    </row>
    <row r="51" spans="1:3" x14ac:dyDescent="0.25">
      <c r="A51" t="s">
        <v>914</v>
      </c>
      <c r="B51" s="21" t="str">
        <f t="shared" si="0"/>
        <v>2016/12/23 22:54:07.860</v>
      </c>
      <c r="C51" s="21">
        <f t="shared" si="1"/>
        <v>2.9398215701803565E-6</v>
      </c>
    </row>
    <row r="52" spans="1:3" x14ac:dyDescent="0.25">
      <c r="A52" t="s">
        <v>915</v>
      </c>
      <c r="B52" s="21" t="str">
        <f t="shared" si="0"/>
        <v>2016/12/23 22:54:52.446</v>
      </c>
      <c r="C52" s="21">
        <f t="shared" si="1"/>
        <v>5.160416621947661E-4</v>
      </c>
    </row>
    <row r="53" spans="1:3" x14ac:dyDescent="0.25">
      <c r="A53" t="s">
        <v>916</v>
      </c>
      <c r="B53" s="21" t="str">
        <f t="shared" ref="B53:B80" si="2">MID(A53,6,23)</f>
        <v>2016/12/23 22:54:52.584</v>
      </c>
      <c r="C53" s="21">
        <f t="shared" ref="C53:C80" si="3">ABS(B53-B52)</f>
        <v>1.5972254914231598E-6</v>
      </c>
    </row>
    <row r="54" spans="1:3" x14ac:dyDescent="0.25">
      <c r="A54" t="s">
        <v>917</v>
      </c>
      <c r="B54" s="21" t="str">
        <f t="shared" si="2"/>
        <v>2016/12/23 22:54:52.844</v>
      </c>
      <c r="C54" s="21">
        <f t="shared" si="3"/>
        <v>3.0092560336925089E-6</v>
      </c>
    </row>
    <row r="55" spans="1:3" x14ac:dyDescent="0.25">
      <c r="A55" t="s">
        <v>918</v>
      </c>
      <c r="B55" s="21" t="str">
        <f t="shared" si="2"/>
        <v>2016/12/23 23:52:18.709</v>
      </c>
      <c r="C55" s="21">
        <f t="shared" si="3"/>
        <v>3.9882696757558733E-2</v>
      </c>
    </row>
    <row r="56" spans="1:3" x14ac:dyDescent="0.25">
      <c r="A56" t="s">
        <v>919</v>
      </c>
      <c r="B56" s="21" t="str">
        <f t="shared" si="2"/>
        <v>2016/12/23 23:52:18.907</v>
      </c>
      <c r="C56" s="21">
        <f t="shared" si="3"/>
        <v>2.2916719899512827E-6</v>
      </c>
    </row>
    <row r="57" spans="1:3" x14ac:dyDescent="0.25">
      <c r="A57" t="s">
        <v>920</v>
      </c>
      <c r="B57" s="21" t="str">
        <f t="shared" si="2"/>
        <v>2016/12/23 23:52:18.994</v>
      </c>
      <c r="C57" s="21">
        <f t="shared" si="3"/>
        <v>1.0069416020996869E-6</v>
      </c>
    </row>
    <row r="58" spans="1:3" x14ac:dyDescent="0.25">
      <c r="A58" t="s">
        <v>921</v>
      </c>
      <c r="B58" s="21" t="str">
        <f t="shared" si="2"/>
        <v>2016/12/24 00:06:31.467</v>
      </c>
      <c r="C58" s="21">
        <f t="shared" si="3"/>
        <v>9.8665856494335458E-3</v>
      </c>
    </row>
    <row r="59" spans="1:3" x14ac:dyDescent="0.25">
      <c r="A59" t="s">
        <v>922</v>
      </c>
      <c r="B59" s="21" t="str">
        <f t="shared" si="2"/>
        <v>2016/12/24 00:06:31.776</v>
      </c>
      <c r="C59" s="21">
        <f t="shared" si="3"/>
        <v>3.5763878258876503E-6</v>
      </c>
    </row>
    <row r="60" spans="1:3" x14ac:dyDescent="0.25">
      <c r="A60" t="s">
        <v>923</v>
      </c>
      <c r="B60" s="21" t="str">
        <f t="shared" si="2"/>
        <v>2016/12/24 00:06:32.434</v>
      </c>
      <c r="C60" s="21">
        <f t="shared" si="3"/>
        <v>7.6157375588081777E-6</v>
      </c>
    </row>
    <row r="61" spans="1:3" x14ac:dyDescent="0.25">
      <c r="A61" t="s">
        <v>924</v>
      </c>
      <c r="B61" s="21" t="str">
        <f t="shared" si="2"/>
        <v>2016/12/24 00:07:09.774</v>
      </c>
      <c r="C61" s="21">
        <f t="shared" si="3"/>
        <v>4.3217592610744759E-4</v>
      </c>
    </row>
    <row r="62" spans="1:3" x14ac:dyDescent="0.25">
      <c r="A62" t="s">
        <v>925</v>
      </c>
      <c r="B62" s="21" t="str">
        <f t="shared" si="2"/>
        <v>2016/12/24 00:07:10.432</v>
      </c>
      <c r="C62" s="21">
        <f t="shared" si="3"/>
        <v>7.6157448347657919E-6</v>
      </c>
    </row>
    <row r="63" spans="1:3" x14ac:dyDescent="0.25">
      <c r="A63" t="s">
        <v>926</v>
      </c>
      <c r="B63" s="21" t="str">
        <f t="shared" si="2"/>
        <v>2016/12/24 00:07:10.471</v>
      </c>
      <c r="C63" s="21">
        <f t="shared" si="3"/>
        <v>4.5138585846871138E-7</v>
      </c>
    </row>
    <row r="64" spans="1:3" x14ac:dyDescent="0.25">
      <c r="A64" t="s">
        <v>927</v>
      </c>
      <c r="B64" s="21" t="str">
        <f t="shared" si="2"/>
        <v>2016/12/24 00:21:10.572</v>
      </c>
      <c r="C64" s="21">
        <f t="shared" si="3"/>
        <v>9.7233912092633545E-3</v>
      </c>
    </row>
    <row r="65" spans="1:3" x14ac:dyDescent="0.25">
      <c r="A65" t="s">
        <v>928</v>
      </c>
      <c r="B65" s="21" t="str">
        <f t="shared" si="2"/>
        <v>2016/12/24 00:21:11.192</v>
      </c>
      <c r="C65" s="21">
        <f t="shared" si="3"/>
        <v>7.175920472946018E-6</v>
      </c>
    </row>
    <row r="66" spans="1:3" x14ac:dyDescent="0.25">
      <c r="A66" t="s">
        <v>929</v>
      </c>
      <c r="B66" s="21" t="str">
        <f t="shared" si="2"/>
        <v>2016/12/24 01:05:47.438</v>
      </c>
      <c r="C66" s="21">
        <f t="shared" si="3"/>
        <v>3.0975069443229586E-2</v>
      </c>
    </row>
    <row r="67" spans="1:3" x14ac:dyDescent="0.25">
      <c r="A67" t="s">
        <v>930</v>
      </c>
      <c r="B67" s="21" t="str">
        <f t="shared" si="2"/>
        <v>2016/12/24 01:05:47.467</v>
      </c>
      <c r="C67" s="21">
        <f t="shared" si="3"/>
        <v>3.356544766575098E-7</v>
      </c>
    </row>
    <row r="68" spans="1:3" x14ac:dyDescent="0.25">
      <c r="A68" t="s">
        <v>931</v>
      </c>
      <c r="B68" s="21" t="str">
        <f t="shared" si="2"/>
        <v>2016/12/24 01:05:47.780</v>
      </c>
      <c r="C68" s="21">
        <f t="shared" si="3"/>
        <v>3.6226847441866994E-6</v>
      </c>
    </row>
    <row r="69" spans="1:3" x14ac:dyDescent="0.25">
      <c r="A69" t="s">
        <v>932</v>
      </c>
      <c r="B69" s="21" t="str">
        <f t="shared" si="2"/>
        <v>2016/12/24 01:06:30.435</v>
      </c>
      <c r="C69" s="21">
        <f t="shared" si="3"/>
        <v>4.9369212501915172E-4</v>
      </c>
    </row>
    <row r="70" spans="1:3" x14ac:dyDescent="0.25">
      <c r="A70" t="s">
        <v>933</v>
      </c>
      <c r="B70" s="21" t="str">
        <f t="shared" si="2"/>
        <v>2016/12/24 01:06:30.468</v>
      </c>
      <c r="C70" s="21">
        <f t="shared" si="3"/>
        <v>3.8194411899894476E-7</v>
      </c>
    </row>
    <row r="71" spans="1:3" x14ac:dyDescent="0.25">
      <c r="A71" t="s">
        <v>934</v>
      </c>
      <c r="B71" s="21" t="str">
        <f t="shared" si="2"/>
        <v>2016/12/24 01:06:30.774</v>
      </c>
      <c r="C71" s="21">
        <f t="shared" si="3"/>
        <v>3.5416669561527669E-6</v>
      </c>
    </row>
    <row r="72" spans="1:3" x14ac:dyDescent="0.25">
      <c r="A72" t="s">
        <v>935</v>
      </c>
      <c r="B72" s="21" t="str">
        <f t="shared" si="2"/>
        <v>2016/12/24 02:06:18.435</v>
      </c>
      <c r="C72" s="21">
        <f t="shared" si="3"/>
        <v>4.1523854168190155E-2</v>
      </c>
    </row>
    <row r="73" spans="1:3" x14ac:dyDescent="0.25">
      <c r="A73" t="s">
        <v>936</v>
      </c>
      <c r="B73" s="21" t="str">
        <f t="shared" si="2"/>
        <v>2016/12/24 02:06:18.478</v>
      </c>
      <c r="C73" s="21">
        <f t="shared" si="3"/>
        <v>4.9768277676776052E-7</v>
      </c>
    </row>
    <row r="74" spans="1:3" x14ac:dyDescent="0.25">
      <c r="A74" t="s">
        <v>937</v>
      </c>
      <c r="B74" s="21" t="str">
        <f t="shared" si="2"/>
        <v>2016/12/24 02:06:18.773</v>
      </c>
      <c r="C74" s="21">
        <f t="shared" si="3"/>
        <v>3.4143522498197854E-6</v>
      </c>
    </row>
    <row r="75" spans="1:3" x14ac:dyDescent="0.25">
      <c r="A75" t="s">
        <v>938</v>
      </c>
      <c r="B75" s="21" t="str">
        <f t="shared" si="2"/>
        <v>2016/12/24 02:06:58.433</v>
      </c>
      <c r="C75" s="21">
        <f t="shared" si="3"/>
        <v>4.59027782198973E-4</v>
      </c>
    </row>
    <row r="76" spans="1:3" x14ac:dyDescent="0.25">
      <c r="A76" t="s">
        <v>939</v>
      </c>
      <c r="B76" s="21" t="str">
        <f t="shared" si="2"/>
        <v>2016/12/24 02:06:58.472</v>
      </c>
      <c r="C76" s="21">
        <f t="shared" si="3"/>
        <v>4.5138585846871138E-7</v>
      </c>
    </row>
    <row r="77" spans="1:3" x14ac:dyDescent="0.25">
      <c r="A77" t="s">
        <v>940</v>
      </c>
      <c r="B77" s="21" t="str">
        <f t="shared" si="2"/>
        <v>2016/12/24 02:06:58.774</v>
      </c>
      <c r="C77" s="21">
        <f t="shared" si="3"/>
        <v>3.4953700378537178E-6</v>
      </c>
    </row>
    <row r="78" spans="1:3" x14ac:dyDescent="0.25">
      <c r="A78" t="s">
        <v>941</v>
      </c>
      <c r="B78" s="21" t="str">
        <f t="shared" si="2"/>
        <v>2016/12/24 02:07:30.432</v>
      </c>
      <c r="C78" s="21">
        <f t="shared" si="3"/>
        <v>3.6641203769249842E-4</v>
      </c>
    </row>
    <row r="79" spans="1:3" x14ac:dyDescent="0.25">
      <c r="A79" t="s">
        <v>942</v>
      </c>
      <c r="B79" s="21" t="str">
        <f t="shared" si="2"/>
        <v>2016/12/24 02:07:30.470</v>
      </c>
      <c r="C79" s="21">
        <f t="shared" si="3"/>
        <v>4.3981708586215973E-7</v>
      </c>
    </row>
    <row r="80" spans="1:3" x14ac:dyDescent="0.25">
      <c r="A80" t="s">
        <v>943</v>
      </c>
      <c r="B80" s="21" t="str">
        <f t="shared" si="2"/>
        <v>2016/12/24 02:07:30.773</v>
      </c>
      <c r="C80" s="21">
        <f t="shared" si="3"/>
        <v>3.5069460864178836E-6</v>
      </c>
    </row>
    <row r="81" spans="1:3" x14ac:dyDescent="0.25">
      <c r="A81" t="s">
        <v>944</v>
      </c>
      <c r="B81" s="21" t="str">
        <f t="shared" ref="B81:B85" si="4">MID(A81,6,23)</f>
        <v>2016/12/24 03:07:18.946</v>
      </c>
      <c r="C81" s="21">
        <f t="shared" ref="C81:C85" si="5">ABS(B81-B80)</f>
        <v>4.1529780086420942E-2</v>
      </c>
    </row>
    <row r="82" spans="1:3" x14ac:dyDescent="0.25">
      <c r="A82" t="s">
        <v>945</v>
      </c>
      <c r="B82" s="21" t="str">
        <f t="shared" si="4"/>
        <v>2016/12/24 03:07:19.125</v>
      </c>
      <c r="C82" s="21">
        <f t="shared" si="5"/>
        <v>2.0717634470202029E-6</v>
      </c>
    </row>
    <row r="83" spans="1:3" x14ac:dyDescent="0.25">
      <c r="A83" t="s">
        <v>946</v>
      </c>
      <c r="B83" s="21" t="str">
        <f t="shared" si="4"/>
        <v>2016/12/24 03:08:07.944</v>
      </c>
      <c r="C83" s="21">
        <f t="shared" si="5"/>
        <v>5.6503472296753898E-4</v>
      </c>
    </row>
    <row r="84" spans="1:3" x14ac:dyDescent="0.25">
      <c r="A84" t="s">
        <v>947</v>
      </c>
      <c r="B84" s="21" t="str">
        <f t="shared" si="4"/>
        <v>2016/12/24 03:08:08.123</v>
      </c>
      <c r="C84" s="21">
        <f t="shared" si="5"/>
        <v>2.0717561710625887E-6</v>
      </c>
    </row>
    <row r="85" spans="1:3" x14ac:dyDescent="0.25">
      <c r="A85" t="s">
        <v>948</v>
      </c>
      <c r="B85" s="21" t="str">
        <f t="shared" si="4"/>
        <v>2016/12/24 04:05:57.006</v>
      </c>
      <c r="C85" s="21">
        <f t="shared" si="5"/>
        <v>4.0149108797777444E-2</v>
      </c>
    </row>
    <row r="86" spans="1:3" x14ac:dyDescent="0.25">
      <c r="A86" t="s">
        <v>949</v>
      </c>
      <c r="B86" s="21" t="str">
        <f t="shared" ref="B86:B87" si="6">MID(A86,6,23)</f>
        <v>2016/12/24 04:05:57.046</v>
      </c>
      <c r="C86" s="21">
        <f t="shared" ref="C86:C87" si="7">ABS(B86-B85)</f>
        <v>4.6296190703287721E-7</v>
      </c>
    </row>
    <row r="87" spans="1:3" x14ac:dyDescent="0.25">
      <c r="A87" t="s">
        <v>950</v>
      </c>
      <c r="B87" s="21" t="str">
        <f t="shared" si="6"/>
        <v>2016/12/24 04:05:57.988</v>
      </c>
      <c r="C87" s="21">
        <f t="shared" si="7"/>
        <v>1.0902775102294981E-5</v>
      </c>
    </row>
    <row r="88" spans="1:3" x14ac:dyDescent="0.25">
      <c r="A88" t="s">
        <v>951</v>
      </c>
      <c r="B88" s="21" t="str">
        <f t="shared" ref="B88:B111" si="8">MID(A88,6,23)</f>
        <v>2016/12/24 04:59:04.989</v>
      </c>
      <c r="C88" s="21">
        <f t="shared" ref="C88:C111" si="9">ABS(B88-B87)</f>
        <v>3.6886585650790948E-2</v>
      </c>
    </row>
    <row r="89" spans="1:3" x14ac:dyDescent="0.25">
      <c r="A89" t="s">
        <v>952</v>
      </c>
      <c r="B89" s="21" t="str">
        <f t="shared" si="8"/>
        <v>2016/12/24 04:59:05.214</v>
      </c>
      <c r="C89" s="21">
        <f t="shared" si="9"/>
        <v>2.6041670935228467E-6</v>
      </c>
    </row>
    <row r="90" spans="1:3" x14ac:dyDescent="0.25">
      <c r="A90" t="s">
        <v>953</v>
      </c>
      <c r="B90" s="21" t="str">
        <f t="shared" si="8"/>
        <v>2016/12/24 04:59:05.530</v>
      </c>
      <c r="C90" s="21">
        <f t="shared" si="9"/>
        <v>3.6574056139215827E-6</v>
      </c>
    </row>
    <row r="91" spans="1:3" x14ac:dyDescent="0.25">
      <c r="A91" t="s">
        <v>954</v>
      </c>
      <c r="B91" s="21" t="str">
        <f t="shared" si="8"/>
        <v>2016/12/24 05:28:15.488</v>
      </c>
      <c r="C91" s="21">
        <f t="shared" si="9"/>
        <v>2.0254143521015067E-2</v>
      </c>
    </row>
    <row r="92" spans="1:3" x14ac:dyDescent="0.25">
      <c r="A92" t="s">
        <v>955</v>
      </c>
      <c r="B92" s="21" t="str">
        <f t="shared" si="8"/>
        <v>2016/12/24 05:28:16.002</v>
      </c>
      <c r="C92" s="21">
        <f t="shared" si="9"/>
        <v>5.9490703279152513E-6</v>
      </c>
    </row>
    <row r="93" spans="1:3" x14ac:dyDescent="0.25">
      <c r="A93" t="s">
        <v>956</v>
      </c>
      <c r="B93" s="21" t="str">
        <f t="shared" si="8"/>
        <v>2016/12/24 05:28:16.547</v>
      </c>
      <c r="C93" s="21">
        <f t="shared" si="9"/>
        <v>6.3078769017010927E-6</v>
      </c>
    </row>
    <row r="94" spans="1:3" x14ac:dyDescent="0.25">
      <c r="A94" t="s">
        <v>957</v>
      </c>
      <c r="B94" s="21" t="str">
        <f t="shared" si="8"/>
        <v>2016/12/24 05:35:02.302</v>
      </c>
      <c r="C94" s="21">
        <f t="shared" si="9"/>
        <v>4.6962384221842512E-3</v>
      </c>
    </row>
    <row r="95" spans="1:3" x14ac:dyDescent="0.25">
      <c r="A95" t="s">
        <v>958</v>
      </c>
      <c r="B95" s="21" t="str">
        <f t="shared" si="8"/>
        <v>2016/12/24 05:35:03.031</v>
      </c>
      <c r="C95" s="21">
        <f t="shared" si="9"/>
        <v>8.4374987636692822E-6</v>
      </c>
    </row>
    <row r="96" spans="1:3" x14ac:dyDescent="0.25">
      <c r="A96" t="s">
        <v>959</v>
      </c>
      <c r="B96" s="21" t="str">
        <f t="shared" si="8"/>
        <v>2016/12/24 05:36:37.324</v>
      </c>
      <c r="C96" s="21">
        <f t="shared" si="9"/>
        <v>1.0913541700574569E-3</v>
      </c>
    </row>
    <row r="97" spans="1:3" x14ac:dyDescent="0.25">
      <c r="A97" t="s">
        <v>960</v>
      </c>
      <c r="B97" s="21" t="str">
        <f t="shared" si="8"/>
        <v>2016/12/24 05:36:38.574</v>
      </c>
      <c r="C97" s="21">
        <f t="shared" si="9"/>
        <v>1.446759415557608E-5</v>
      </c>
    </row>
    <row r="98" spans="1:3" x14ac:dyDescent="0.25">
      <c r="A98" t="s">
        <v>961</v>
      </c>
      <c r="B98" s="21" t="str">
        <f t="shared" si="8"/>
        <v>2016/12/24 05:36:39.235</v>
      </c>
      <c r="C98" s="21">
        <f t="shared" si="9"/>
        <v>7.650458428543061E-6</v>
      </c>
    </row>
    <row r="99" spans="1:3" x14ac:dyDescent="0.25">
      <c r="A99" t="s">
        <v>962</v>
      </c>
      <c r="B99" s="21" t="str">
        <f t="shared" si="8"/>
        <v>2016/12/24 05:36:39.569</v>
      </c>
      <c r="C99" s="21">
        <f t="shared" si="9"/>
        <v>3.8657453842461109E-6</v>
      </c>
    </row>
    <row r="100" spans="1:3" x14ac:dyDescent="0.25">
      <c r="A100" t="s">
        <v>963</v>
      </c>
      <c r="B100" s="21" t="str">
        <f t="shared" si="8"/>
        <v>2016/12/24 06:18:35.779</v>
      </c>
      <c r="C100" s="21">
        <f t="shared" si="9"/>
        <v>2.9122800922777969E-2</v>
      </c>
    </row>
    <row r="101" spans="1:3" x14ac:dyDescent="0.25">
      <c r="A101" t="s">
        <v>964</v>
      </c>
      <c r="B101" s="21" t="str">
        <f t="shared" si="8"/>
        <v>2016/12/24 06:18:35.988</v>
      </c>
      <c r="C101" s="21">
        <f t="shared" si="9"/>
        <v>2.4189794203266501E-6</v>
      </c>
    </row>
    <row r="102" spans="1:3" x14ac:dyDescent="0.25">
      <c r="A102" t="s">
        <v>965</v>
      </c>
      <c r="B102" s="21" t="str">
        <f t="shared" si="8"/>
        <v>2016/12/24 07:06:33.746</v>
      </c>
      <c r="C102" s="21">
        <f t="shared" si="9"/>
        <v>3.3307384263025597E-2</v>
      </c>
    </row>
    <row r="103" spans="1:3" x14ac:dyDescent="0.25">
      <c r="A103" t="s">
        <v>966</v>
      </c>
      <c r="B103" s="21" t="str">
        <f t="shared" si="8"/>
        <v>2016/12/24 07:06:34.755</v>
      </c>
      <c r="C103" s="21">
        <f t="shared" si="9"/>
        <v>1.1678239388857037E-5</v>
      </c>
    </row>
    <row r="104" spans="1:3" x14ac:dyDescent="0.25">
      <c r="A104" t="s">
        <v>967</v>
      </c>
      <c r="B104" s="21" t="str">
        <f t="shared" si="8"/>
        <v>2016/12/24 07:06:35.193</v>
      </c>
      <c r="C104" s="21">
        <f t="shared" si="9"/>
        <v>5.069443432148546E-6</v>
      </c>
    </row>
    <row r="105" spans="1:3" x14ac:dyDescent="0.25">
      <c r="A105" t="s">
        <v>968</v>
      </c>
      <c r="B105" s="21" t="str">
        <f t="shared" si="8"/>
        <v>2016/12/24 07:19:53.585</v>
      </c>
      <c r="C105" s="21">
        <f t="shared" si="9"/>
        <v>9.2406481489888392E-3</v>
      </c>
    </row>
    <row r="106" spans="1:3" x14ac:dyDescent="0.25">
      <c r="A106" t="s">
        <v>969</v>
      </c>
      <c r="B106" s="21" t="str">
        <f t="shared" si="8"/>
        <v>2016/12/24 07:19:55.246</v>
      </c>
      <c r="C106" s="21">
        <f t="shared" si="9"/>
        <v>1.9224535208195448E-5</v>
      </c>
    </row>
    <row r="107" spans="1:3" x14ac:dyDescent="0.25">
      <c r="A107" t="s">
        <v>970</v>
      </c>
      <c r="B107" s="21" t="str">
        <f t="shared" si="8"/>
        <v>2016/12/24 07:19:55.816</v>
      </c>
      <c r="C107" s="21">
        <f t="shared" si="9"/>
        <v>6.5972271841019392E-6</v>
      </c>
    </row>
    <row r="108" spans="1:3" x14ac:dyDescent="0.25">
      <c r="A108" t="s">
        <v>971</v>
      </c>
      <c r="B108" s="21" t="str">
        <f t="shared" si="8"/>
        <v>2016/12/24 07:37:30.575</v>
      </c>
      <c r="C108" s="21">
        <f t="shared" si="9"/>
        <v>1.2207858795591164E-2</v>
      </c>
    </row>
    <row r="109" spans="1:3" x14ac:dyDescent="0.25">
      <c r="A109" t="s">
        <v>972</v>
      </c>
      <c r="B109" s="21" t="str">
        <f t="shared" si="8"/>
        <v>2016/12/24 08:30:54.004</v>
      </c>
      <c r="C109" s="21">
        <f t="shared" si="9"/>
        <v>3.7076724533108063E-2</v>
      </c>
    </row>
    <row r="110" spans="1:3" x14ac:dyDescent="0.25">
      <c r="A110" t="s">
        <v>973</v>
      </c>
      <c r="B110" s="21" t="str">
        <f t="shared" si="8"/>
        <v>2016/12/24 08:30:54.766</v>
      </c>
      <c r="C110" s="21">
        <f t="shared" si="9"/>
        <v>8.819442882668227E-6</v>
      </c>
    </row>
    <row r="111" spans="1:3" x14ac:dyDescent="0.25">
      <c r="A111" t="s">
        <v>974</v>
      </c>
      <c r="B111" s="21" t="str">
        <f t="shared" si="8"/>
        <v>2016/12/24 08:31:40.953</v>
      </c>
      <c r="C111" s="21">
        <f t="shared" si="9"/>
        <v>5.3457176545634866E-4</v>
      </c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2016-12-27T19:10:23Z</dcterms:modified>
</cp:coreProperties>
</file>