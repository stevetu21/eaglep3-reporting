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Trips'!$A$2:$J$78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4" i="1" l="1"/>
  <c r="P149" i="1"/>
  <c r="X144" i="1"/>
  <c r="X145" i="1"/>
  <c r="X146" i="1"/>
  <c r="P143" i="1"/>
  <c r="K144" i="1"/>
  <c r="L144" i="1"/>
  <c r="M144" i="1"/>
  <c r="V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X133" i="1"/>
  <c r="X134" i="1"/>
  <c r="X135" i="1"/>
  <c r="X136" i="1"/>
  <c r="X137" i="1"/>
  <c r="X138" i="1"/>
  <c r="X139" i="1"/>
  <c r="X140" i="1"/>
  <c r="P134" i="1"/>
  <c r="K135" i="1"/>
  <c r="L135" i="1"/>
  <c r="M135" i="1"/>
  <c r="T135" i="1"/>
  <c r="U135" i="1"/>
  <c r="V135" i="1"/>
  <c r="Z135" i="1"/>
  <c r="AA135" i="1" s="1"/>
  <c r="W135" i="1" s="1"/>
  <c r="AB135" i="1"/>
  <c r="AC135" i="1"/>
  <c r="AD135" i="1"/>
  <c r="AE135" i="1"/>
  <c r="AF135" i="1"/>
  <c r="AG135" i="1"/>
  <c r="AH135" i="1"/>
  <c r="AM135" i="1"/>
  <c r="AN135" i="1"/>
  <c r="X164" i="1"/>
  <c r="X165" i="1"/>
  <c r="X166" i="1"/>
  <c r="X167" i="1"/>
  <c r="X168" i="1"/>
  <c r="X169" i="1"/>
  <c r="X170" i="1"/>
  <c r="P6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/>
  <c r="W36" i="1" s="1"/>
  <c r="AB36" i="1"/>
  <c r="AC36" i="1"/>
  <c r="AD36" i="1"/>
  <c r="AG36" i="1" s="1"/>
  <c r="AE36" i="1"/>
  <c r="AF36" i="1"/>
  <c r="AH36" i="1"/>
  <c r="AI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T38" i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X41" i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AA45" i="1" s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X52" i="1"/>
  <c r="Y52" i="1"/>
  <c r="Z52" i="1"/>
  <c r="AB52" i="1"/>
  <c r="AC52" i="1"/>
  <c r="AD52" i="1"/>
  <c r="T52" i="1" s="1"/>
  <c r="AE52" i="1"/>
  <c r="AF52" i="1"/>
  <c r="AG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I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R12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G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T60" i="1"/>
  <c r="V60" i="1"/>
  <c r="Y60" i="1"/>
  <c r="Z60" i="1"/>
  <c r="AB60" i="1"/>
  <c r="AC60" i="1"/>
  <c r="AD60" i="1"/>
  <c r="AE60" i="1"/>
  <c r="AF60" i="1"/>
  <c r="AG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G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V67" i="1"/>
  <c r="Y67" i="1"/>
  <c r="Z67" i="1"/>
  <c r="AA67" i="1" s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/>
  <c r="T71" i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G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I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K77" i="1"/>
  <c r="L77" i="1"/>
  <c r="M77" i="1"/>
  <c r="N77" i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S34" i="3" s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X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K89" i="1"/>
  <c r="L89" i="1"/>
  <c r="M89" i="1"/>
  <c r="N89" i="1"/>
  <c r="V89" i="1"/>
  <c r="Y89" i="1"/>
  <c r="Z89" i="1"/>
  <c r="AA89" i="1"/>
  <c r="AB89" i="1"/>
  <c r="AC89" i="1"/>
  <c r="AD89" i="1"/>
  <c r="T89" i="1" s="1"/>
  <c r="AE89" i="1"/>
  <c r="R30" i="3" s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K91" i="1"/>
  <c r="L91" i="1"/>
  <c r="M91" i="1"/>
  <c r="P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W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R36" i="3" s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98" i="1"/>
  <c r="AM98" i="1"/>
  <c r="AN9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9" i="1"/>
  <c r="AM99" i="1"/>
  <c r="AN99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0" i="1"/>
  <c r="AM100" i="1"/>
  <c r="AN100" i="1"/>
  <c r="K169" i="1"/>
  <c r="L169" i="1"/>
  <c r="M169" i="1"/>
  <c r="N169" i="1" s="1"/>
  <c r="V169" i="1"/>
  <c r="Y169" i="1"/>
  <c r="AA169" i="1" s="1"/>
  <c r="Z169" i="1"/>
  <c r="AB169" i="1"/>
  <c r="AC169" i="1"/>
  <c r="AD169" i="1"/>
  <c r="AG169" i="1" s="1"/>
  <c r="AE169" i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2" i="1"/>
  <c r="AM102" i="1"/>
  <c r="AN102" i="1"/>
  <c r="K171" i="1"/>
  <c r="L171" i="1"/>
  <c r="M171" i="1"/>
  <c r="N171" i="1" s="1"/>
  <c r="T171" i="1"/>
  <c r="V171" i="1"/>
  <c r="Y171" i="1"/>
  <c r="Z171" i="1"/>
  <c r="AB171" i="1"/>
  <c r="AC171" i="1"/>
  <c r="AD171" i="1"/>
  <c r="AE171" i="1"/>
  <c r="AF171" i="1"/>
  <c r="AH103" i="1"/>
  <c r="AM103" i="1"/>
  <c r="AN103" i="1"/>
  <c r="K172" i="1"/>
  <c r="L172" i="1"/>
  <c r="M172" i="1"/>
  <c r="N172" i="1" s="1"/>
  <c r="V172" i="1"/>
  <c r="Y172" i="1"/>
  <c r="Z172" i="1"/>
  <c r="AB172" i="1"/>
  <c r="AC172" i="1"/>
  <c r="AD172" i="1"/>
  <c r="X173" i="1" s="1"/>
  <c r="AE172" i="1"/>
  <c r="AF172" i="1"/>
  <c r="AH104" i="1"/>
  <c r="AM104" i="1"/>
  <c r="AN104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05" i="1"/>
  <c r="AM105" i="1"/>
  <c r="AN105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06" i="1"/>
  <c r="AM106" i="1"/>
  <c r="AN10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7" i="1"/>
  <c r="AM107" i="1"/>
  <c r="AN10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108" i="1"/>
  <c r="AM108" i="1"/>
  <c r="AN108" i="1"/>
  <c r="K176" i="1"/>
  <c r="L176" i="1"/>
  <c r="M176" i="1"/>
  <c r="N176" i="1" s="1"/>
  <c r="V176" i="1"/>
  <c r="S40" i="3" s="1"/>
  <c r="Y176" i="1"/>
  <c r="Z176" i="1"/>
  <c r="AB176" i="1"/>
  <c r="AC176" i="1"/>
  <c r="AD176" i="1"/>
  <c r="AG176" i="1" s="1"/>
  <c r="AE176" i="1"/>
  <c r="AF176" i="1"/>
  <c r="AH109" i="1"/>
  <c r="AM109" i="1"/>
  <c r="AN10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0" i="1"/>
  <c r="AM110" i="1"/>
  <c r="AN110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G179" i="1"/>
  <c r="AH112" i="1"/>
  <c r="AM112" i="1"/>
  <c r="AN11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3" i="1"/>
  <c r="AM113" i="1"/>
  <c r="AN11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4" i="1"/>
  <c r="AM114" i="1"/>
  <c r="AN11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5" i="1"/>
  <c r="AM115" i="1"/>
  <c r="AN115" i="1"/>
  <c r="K183" i="1"/>
  <c r="L183" i="1"/>
  <c r="M183" i="1"/>
  <c r="N183" i="1"/>
  <c r="V183" i="1"/>
  <c r="Y183" i="1"/>
  <c r="Z183" i="1"/>
  <c r="AB183" i="1"/>
  <c r="AC183" i="1"/>
  <c r="AD183" i="1"/>
  <c r="AG183" i="1" s="1"/>
  <c r="AE183" i="1"/>
  <c r="AF183" i="1"/>
  <c r="AH116" i="1"/>
  <c r="AM116" i="1"/>
  <c r="AN116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17" i="1"/>
  <c r="AM117" i="1"/>
  <c r="AN11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18" i="1"/>
  <c r="AM118" i="1"/>
  <c r="AN11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19" i="1"/>
  <c r="AM119" i="1"/>
  <c r="AN11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AG187" i="1" s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G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123" i="1"/>
  <c r="AM123" i="1"/>
  <c r="AN12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4" i="1"/>
  <c r="AM124" i="1"/>
  <c r="AN124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5" i="1"/>
  <c r="AM125" i="1"/>
  <c r="AN125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126" i="1"/>
  <c r="AM126" i="1"/>
  <c r="AN12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7" i="1"/>
  <c r="AM127" i="1"/>
  <c r="AN127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28" i="1"/>
  <c r="AM128" i="1"/>
  <c r="AN128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29" i="1"/>
  <c r="AM129" i="1"/>
  <c r="AN129" i="1"/>
  <c r="K100" i="1"/>
  <c r="L100" i="1"/>
  <c r="M100" i="1"/>
  <c r="N100" i="1" s="1"/>
  <c r="V100" i="1"/>
  <c r="S25" i="3" s="1"/>
  <c r="Y100" i="1"/>
  <c r="Z100" i="1"/>
  <c r="AB100" i="1"/>
  <c r="AC100" i="1"/>
  <c r="AD100" i="1"/>
  <c r="T100" i="1" s="1"/>
  <c r="AE100" i="1"/>
  <c r="AF100" i="1"/>
  <c r="AH130" i="1"/>
  <c r="AM130" i="1"/>
  <c r="AN13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31" i="1"/>
  <c r="AM131" i="1"/>
  <c r="AN13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32" i="1"/>
  <c r="AM132" i="1"/>
  <c r="AN132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33" i="1"/>
  <c r="AM133" i="1"/>
  <c r="AN13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AM137" i="1"/>
  <c r="AN137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38" i="1"/>
  <c r="AM138" i="1"/>
  <c r="AN138" i="1"/>
  <c r="K104" i="1"/>
  <c r="L104" i="1"/>
  <c r="M104" i="1"/>
  <c r="N104" i="1" s="1"/>
  <c r="T104" i="1"/>
  <c r="V104" i="1"/>
  <c r="Y104" i="1"/>
  <c r="Z104" i="1"/>
  <c r="AB104" i="1"/>
  <c r="AC104" i="1"/>
  <c r="AD104" i="1"/>
  <c r="X104" i="1" s="1"/>
  <c r="AE104" i="1"/>
  <c r="AF104" i="1"/>
  <c r="AH139" i="1"/>
  <c r="AM139" i="1"/>
  <c r="AN139" i="1"/>
  <c r="K105" i="1"/>
  <c r="L105" i="1"/>
  <c r="M105" i="1"/>
  <c r="N105" i="1" s="1"/>
  <c r="V105" i="1"/>
  <c r="S17" i="3" s="1"/>
  <c r="Y105" i="1"/>
  <c r="Z105" i="1"/>
  <c r="AB105" i="1"/>
  <c r="AC105" i="1"/>
  <c r="AD105" i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2" i="1"/>
  <c r="AM142" i="1"/>
  <c r="AN142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43" i="1"/>
  <c r="AM143" i="1"/>
  <c r="AN143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45" i="1"/>
  <c r="AM145" i="1"/>
  <c r="AN145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46" i="1"/>
  <c r="AM146" i="1"/>
  <c r="AN146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G109" i="1"/>
  <c r="AI109" i="1" s="1"/>
  <c r="AH147" i="1"/>
  <c r="AM147" i="1"/>
  <c r="AN147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8" i="1"/>
  <c r="AM148" i="1"/>
  <c r="AN148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9" i="1"/>
  <c r="AM149" i="1"/>
  <c r="AN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0" i="1"/>
  <c r="AM150" i="1"/>
  <c r="AN150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51" i="1"/>
  <c r="AM151" i="1"/>
  <c r="AN151" i="1"/>
  <c r="K114" i="1"/>
  <c r="L114" i="1"/>
  <c r="M114" i="1"/>
  <c r="N114" i="1" s="1"/>
  <c r="T114" i="1"/>
  <c r="V114" i="1"/>
  <c r="Y114" i="1"/>
  <c r="Z114" i="1"/>
  <c r="AA114" i="1" s="1"/>
  <c r="AB114" i="1"/>
  <c r="AC114" i="1"/>
  <c r="AD114" i="1"/>
  <c r="X114" i="1" s="1"/>
  <c r="AE114" i="1"/>
  <c r="AF114" i="1"/>
  <c r="AH152" i="1"/>
  <c r="AM152" i="1"/>
  <c r="AN152" i="1"/>
  <c r="K115" i="1"/>
  <c r="L115" i="1"/>
  <c r="M115" i="1"/>
  <c r="N115" i="1" s="1"/>
  <c r="V115" i="1"/>
  <c r="S19" i="3" s="1"/>
  <c r="Y115" i="1"/>
  <c r="Z115" i="1"/>
  <c r="AB115" i="1"/>
  <c r="AC115" i="1"/>
  <c r="AD115" i="1"/>
  <c r="AE115" i="1"/>
  <c r="AF115" i="1"/>
  <c r="AH153" i="1"/>
  <c r="AM153" i="1"/>
  <c r="AN153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4" i="1"/>
  <c r="AM154" i="1"/>
  <c r="AN154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5" i="1"/>
  <c r="AM155" i="1"/>
  <c r="AN15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6" i="1"/>
  <c r="AM156" i="1"/>
  <c r="AN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8" i="1"/>
  <c r="AM158" i="1"/>
  <c r="AN158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59" i="1"/>
  <c r="AM159" i="1"/>
  <c r="AN159" i="1"/>
  <c r="K122" i="1"/>
  <c r="L122" i="1"/>
  <c r="M122" i="1"/>
  <c r="N122" i="1" s="1"/>
  <c r="T122" i="1"/>
  <c r="V122" i="1"/>
  <c r="X122" i="1"/>
  <c r="Y122" i="1"/>
  <c r="Z122" i="1"/>
  <c r="AB122" i="1"/>
  <c r="AC122" i="1"/>
  <c r="AD122" i="1"/>
  <c r="AE122" i="1"/>
  <c r="AF122" i="1"/>
  <c r="AG122" i="1"/>
  <c r="AI122" i="1" s="1"/>
  <c r="AH160" i="1"/>
  <c r="AM160" i="1"/>
  <c r="AN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2" i="1"/>
  <c r="AM162" i="1"/>
  <c r="AN162" i="1"/>
  <c r="K125" i="1"/>
  <c r="L125" i="1"/>
  <c r="M125" i="1"/>
  <c r="N125" i="1" s="1"/>
  <c r="V125" i="1"/>
  <c r="X125" i="1"/>
  <c r="Y125" i="1"/>
  <c r="Z125" i="1"/>
  <c r="AA125" i="1"/>
  <c r="AB125" i="1"/>
  <c r="AC125" i="1"/>
  <c r="AD125" i="1"/>
  <c r="T125" i="1" s="1"/>
  <c r="AE125" i="1"/>
  <c r="AF125" i="1"/>
  <c r="AH163" i="1"/>
  <c r="AM163" i="1"/>
  <c r="AN163" i="1"/>
  <c r="K126" i="1"/>
  <c r="L126" i="1"/>
  <c r="M126" i="1"/>
  <c r="N126" i="1" s="1"/>
  <c r="V126" i="1"/>
  <c r="S39" i="3" s="1"/>
  <c r="Y126" i="1"/>
  <c r="Z126" i="1"/>
  <c r="AB126" i="1"/>
  <c r="AC126" i="1"/>
  <c r="AD126" i="1"/>
  <c r="AE126" i="1"/>
  <c r="AF126" i="1"/>
  <c r="AH164" i="1"/>
  <c r="AM164" i="1"/>
  <c r="AN164" i="1"/>
  <c r="K127" i="1"/>
  <c r="L127" i="1"/>
  <c r="M127" i="1"/>
  <c r="N127" i="1" s="1"/>
  <c r="V127" i="1"/>
  <c r="Y127" i="1"/>
  <c r="Z127" i="1"/>
  <c r="AA127" i="1" s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5" i="1"/>
  <c r="AM165" i="1"/>
  <c r="AN165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G129" i="1"/>
  <c r="AH166" i="1"/>
  <c r="AI166" i="1"/>
  <c r="AM166" i="1"/>
  <c r="AN166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7" i="1"/>
  <c r="AM167" i="1"/>
  <c r="AN167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8" i="1"/>
  <c r="AM168" i="1"/>
  <c r="AN168" i="1"/>
  <c r="K132" i="1"/>
  <c r="L132" i="1"/>
  <c r="M132" i="1"/>
  <c r="N132" i="1" s="1"/>
  <c r="V132" i="1"/>
  <c r="Y132" i="1"/>
  <c r="Z132" i="1"/>
  <c r="AA132" i="1" s="1"/>
  <c r="W132" i="1" s="1"/>
  <c r="AB132" i="1"/>
  <c r="AC132" i="1"/>
  <c r="AD132" i="1"/>
  <c r="AG132" i="1" s="1"/>
  <c r="AE132" i="1"/>
  <c r="AF132" i="1"/>
  <c r="AH169" i="1"/>
  <c r="AI169" i="1"/>
  <c r="AM169" i="1"/>
  <c r="AN169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0" i="1"/>
  <c r="AM170" i="1"/>
  <c r="AN170" i="1"/>
  <c r="K134" i="1"/>
  <c r="L134" i="1"/>
  <c r="M134" i="1"/>
  <c r="V134" i="1"/>
  <c r="Y134" i="1"/>
  <c r="AB134" i="1"/>
  <c r="AC134" i="1"/>
  <c r="AD134" i="1"/>
  <c r="AE134" i="1"/>
  <c r="AF134" i="1"/>
  <c r="AH171" i="1"/>
  <c r="AM171" i="1"/>
  <c r="AN171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3" i="1"/>
  <c r="AI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AI176" i="1"/>
  <c r="AM176" i="1"/>
  <c r="AN176" i="1"/>
  <c r="K141" i="1"/>
  <c r="L141" i="1"/>
  <c r="M141" i="1"/>
  <c r="N141" i="1" s="1"/>
  <c r="V141" i="1"/>
  <c r="S14" i="3" s="1"/>
  <c r="Y141" i="1"/>
  <c r="Z141" i="1"/>
  <c r="AB141" i="1"/>
  <c r="AC141" i="1"/>
  <c r="AD141" i="1"/>
  <c r="AE141" i="1"/>
  <c r="AF141" i="1"/>
  <c r="AH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AM178" i="1"/>
  <c r="AN178" i="1"/>
  <c r="K143" i="1"/>
  <c r="L143" i="1"/>
  <c r="M143" i="1"/>
  <c r="V143" i="1"/>
  <c r="Y143" i="1"/>
  <c r="AB143" i="1"/>
  <c r="AC143" i="1"/>
  <c r="AD143" i="1"/>
  <c r="T143" i="1" s="1"/>
  <c r="AE143" i="1"/>
  <c r="AF143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G145" i="1"/>
  <c r="AH180" i="1"/>
  <c r="AM180" i="1"/>
  <c r="AN180" i="1"/>
  <c r="K146" i="1"/>
  <c r="L146" i="1"/>
  <c r="M146" i="1"/>
  <c r="N146" i="1" s="1"/>
  <c r="V146" i="1"/>
  <c r="Y146" i="1"/>
  <c r="AA146" i="1" s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3" i="1"/>
  <c r="AM183" i="1"/>
  <c r="AN183" i="1"/>
  <c r="K149" i="1"/>
  <c r="L149" i="1"/>
  <c r="M149" i="1"/>
  <c r="V149" i="1"/>
  <c r="Y149" i="1"/>
  <c r="Z149" i="1"/>
  <c r="AB149" i="1"/>
  <c r="AC149" i="1"/>
  <c r="AD149" i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A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8" i="1"/>
  <c r="AM188" i="1"/>
  <c r="AN188" i="1"/>
  <c r="K154" i="1"/>
  <c r="L154" i="1"/>
  <c r="M154" i="1"/>
  <c r="T154" i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T155" i="1"/>
  <c r="V155" i="1"/>
  <c r="Y155" i="1"/>
  <c r="Z155" i="1"/>
  <c r="AB155" i="1"/>
  <c r="AC155" i="1"/>
  <c r="AD155" i="1"/>
  <c r="X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3" i="1"/>
  <c r="AM193" i="1"/>
  <c r="AN19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4" i="1"/>
  <c r="AM194" i="1"/>
  <c r="AN194" i="1"/>
  <c r="K160" i="1"/>
  <c r="L160" i="1"/>
  <c r="M160" i="1"/>
  <c r="N160" i="1" s="1"/>
  <c r="V160" i="1"/>
  <c r="X160" i="1"/>
  <c r="Y160" i="1"/>
  <c r="Z160" i="1"/>
  <c r="AB160" i="1"/>
  <c r="AC160" i="1"/>
  <c r="AD160" i="1"/>
  <c r="T160" i="1" s="1"/>
  <c r="AE160" i="1"/>
  <c r="AF160" i="1"/>
  <c r="AG160" i="1"/>
  <c r="AH195" i="1"/>
  <c r="AM195" i="1"/>
  <c r="AN195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6" i="1"/>
  <c r="AM196" i="1"/>
  <c r="AN196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7" i="1"/>
  <c r="AM197" i="1"/>
  <c r="AN1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8" i="1"/>
  <c r="AM198" i="1"/>
  <c r="AN1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9" i="1"/>
  <c r="AM199" i="1"/>
  <c r="AN199" i="1"/>
  <c r="AH200" i="1"/>
  <c r="AM200" i="1"/>
  <c r="AN2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201" i="1"/>
  <c r="AM201" i="1"/>
  <c r="AN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/>
  <c r="V203" i="1"/>
  <c r="Y203" i="1"/>
  <c r="Z203" i="1"/>
  <c r="AA203" i="1" s="1"/>
  <c r="W203" i="1" s="1"/>
  <c r="AB203" i="1"/>
  <c r="AC203" i="1"/>
  <c r="AD203" i="1"/>
  <c r="AG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/>
  <c r="V206" i="1"/>
  <c r="Y206" i="1"/>
  <c r="AA206" i="1" s="1"/>
  <c r="Z206" i="1"/>
  <c r="AB206" i="1"/>
  <c r="AC206" i="1"/>
  <c r="AD206" i="1"/>
  <c r="AG206" i="1" s="1"/>
  <c r="AI206" i="1" s="1"/>
  <c r="AE206" i="1"/>
  <c r="AF206" i="1"/>
  <c r="AH208" i="1"/>
  <c r="AM208" i="1"/>
  <c r="AN208" i="1"/>
  <c r="K207" i="1"/>
  <c r="L207" i="1"/>
  <c r="M207" i="1"/>
  <c r="N207" i="1"/>
  <c r="V207" i="1"/>
  <c r="Y207" i="1"/>
  <c r="Z207" i="1"/>
  <c r="AB207" i="1"/>
  <c r="AC207" i="1"/>
  <c r="AD207" i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2" i="1"/>
  <c r="AM212" i="1"/>
  <c r="AN212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3" i="1"/>
  <c r="AM213" i="1"/>
  <c r="AN21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4" i="1"/>
  <c r="AM214" i="1"/>
  <c r="AN21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5" i="1"/>
  <c r="AM215" i="1"/>
  <c r="AN215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216" i="1"/>
  <c r="AM216" i="1"/>
  <c r="AN216" i="1"/>
  <c r="K215" i="1"/>
  <c r="L215" i="1"/>
  <c r="M215" i="1"/>
  <c r="N215" i="1"/>
  <c r="V215" i="1"/>
  <c r="Y215" i="1"/>
  <c r="Z215" i="1"/>
  <c r="AB215" i="1"/>
  <c r="AC215" i="1"/>
  <c r="AD215" i="1"/>
  <c r="AG215" i="1" s="1"/>
  <c r="AE215" i="1"/>
  <c r="AF215" i="1"/>
  <c r="AH217" i="1"/>
  <c r="AM217" i="1"/>
  <c r="AN217" i="1"/>
  <c r="K218" i="1"/>
  <c r="L218" i="1"/>
  <c r="M218" i="1"/>
  <c r="N218" i="1" s="1"/>
  <c r="V218" i="1"/>
  <c r="Y218" i="1"/>
  <c r="AA218" i="1" s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220" i="1"/>
  <c r="AM220" i="1"/>
  <c r="AN220" i="1"/>
  <c r="K221" i="1"/>
  <c r="L221" i="1"/>
  <c r="M221" i="1"/>
  <c r="N221" i="1"/>
  <c r="T221" i="1"/>
  <c r="V221" i="1"/>
  <c r="Y221" i="1"/>
  <c r="Z221" i="1"/>
  <c r="AA221" i="1" s="1"/>
  <c r="W221" i="1" s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/>
  <c r="V222" i="1"/>
  <c r="X222" i="1"/>
  <c r="Y222" i="1"/>
  <c r="Z222" i="1"/>
  <c r="AI222" i="1" s="1"/>
  <c r="AB222" i="1"/>
  <c r="AC222" i="1"/>
  <c r="AD222" i="1"/>
  <c r="AG222" i="1" s="1"/>
  <c r="AE222" i="1"/>
  <c r="AF222" i="1"/>
  <c r="AH222" i="1"/>
  <c r="AM222" i="1"/>
  <c r="AN222" i="1"/>
  <c r="K223" i="1"/>
  <c r="L223" i="1"/>
  <c r="M223" i="1"/>
  <c r="N223" i="1" s="1"/>
  <c r="T223" i="1"/>
  <c r="V223" i="1"/>
  <c r="Y223" i="1"/>
  <c r="Z223" i="1"/>
  <c r="AB223" i="1"/>
  <c r="AC223" i="1"/>
  <c r="AD223" i="1"/>
  <c r="X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G228" i="1"/>
  <c r="U228" i="1" s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AM229" i="1"/>
  <c r="AN229" i="1"/>
  <c r="K230" i="1"/>
  <c r="L230" i="1"/>
  <c r="M230" i="1"/>
  <c r="N230" i="1" s="1"/>
  <c r="V230" i="1"/>
  <c r="Y230" i="1"/>
  <c r="Z230" i="1"/>
  <c r="AA230" i="1" s="1"/>
  <c r="AB230" i="1"/>
  <c r="AC230" i="1"/>
  <c r="AD230" i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31" i="1"/>
  <c r="AM231" i="1"/>
  <c r="AN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32" i="1"/>
  <c r="AM232" i="1"/>
  <c r="AN232" i="1"/>
  <c r="K233" i="1"/>
  <c r="L233" i="1"/>
  <c r="M233" i="1"/>
  <c r="N233" i="1"/>
  <c r="V233" i="1"/>
  <c r="Y233" i="1"/>
  <c r="Z233" i="1"/>
  <c r="AB233" i="1"/>
  <c r="AC233" i="1"/>
  <c r="AD233" i="1"/>
  <c r="AE233" i="1"/>
  <c r="AF233" i="1"/>
  <c r="AH233" i="1"/>
  <c r="AM233" i="1"/>
  <c r="AN233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234" i="1"/>
  <c r="AI234" i="1"/>
  <c r="AM234" i="1"/>
  <c r="AN234" i="1"/>
  <c r="K235" i="1"/>
  <c r="L235" i="1"/>
  <c r="M235" i="1"/>
  <c r="N235" i="1" s="1"/>
  <c r="V235" i="1"/>
  <c r="Y235" i="1"/>
  <c r="Z235" i="1"/>
  <c r="AB235" i="1"/>
  <c r="AC235" i="1"/>
  <c r="AD235" i="1"/>
  <c r="X235" i="1" s="1"/>
  <c r="AE235" i="1"/>
  <c r="AF235" i="1"/>
  <c r="AH235" i="1"/>
  <c r="AM235" i="1"/>
  <c r="AN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6" i="1"/>
  <c r="AM236" i="1"/>
  <c r="AN236" i="1"/>
  <c r="K237" i="1"/>
  <c r="L237" i="1"/>
  <c r="M237" i="1"/>
  <c r="N237" i="1" s="1"/>
  <c r="V237" i="1"/>
  <c r="Y237" i="1"/>
  <c r="Z237" i="1"/>
  <c r="AB237" i="1"/>
  <c r="AC237" i="1"/>
  <c r="AD237" i="1"/>
  <c r="X238" i="1" s="1"/>
  <c r="AE237" i="1"/>
  <c r="AF237" i="1"/>
  <c r="AH237" i="1"/>
  <c r="AM237" i="1"/>
  <c r="AN237" i="1"/>
  <c r="K238" i="1"/>
  <c r="L238" i="1"/>
  <c r="M238" i="1"/>
  <c r="N238" i="1" s="1"/>
  <c r="V238" i="1"/>
  <c r="Y238" i="1"/>
  <c r="Z238" i="1"/>
  <c r="AI238" i="1" s="1"/>
  <c r="AB238" i="1"/>
  <c r="AC238" i="1"/>
  <c r="AD238" i="1"/>
  <c r="AG238" i="1" s="1"/>
  <c r="AE238" i="1"/>
  <c r="AF238" i="1"/>
  <c r="AH238" i="1"/>
  <c r="AM238" i="1"/>
  <c r="AN238" i="1"/>
  <c r="K239" i="1"/>
  <c r="L239" i="1"/>
  <c r="M239" i="1"/>
  <c r="N239" i="1" s="1"/>
  <c r="T239" i="1"/>
  <c r="V239" i="1"/>
  <c r="Y239" i="1"/>
  <c r="Z239" i="1"/>
  <c r="AB239" i="1"/>
  <c r="AC239" i="1"/>
  <c r="AD239" i="1"/>
  <c r="X239" i="1" s="1"/>
  <c r="AE239" i="1"/>
  <c r="AF239" i="1"/>
  <c r="AH239" i="1"/>
  <c r="AM239" i="1"/>
  <c r="AN239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240" i="1"/>
  <c r="AM240" i="1"/>
  <c r="AN240" i="1"/>
  <c r="K241" i="1"/>
  <c r="L241" i="1"/>
  <c r="M241" i="1"/>
  <c r="N241" i="1" s="1"/>
  <c r="V241" i="1"/>
  <c r="Y241" i="1"/>
  <c r="Z241" i="1"/>
  <c r="AA241" i="1" s="1"/>
  <c r="AB241" i="1"/>
  <c r="AC241" i="1"/>
  <c r="AD241" i="1"/>
  <c r="AE241" i="1"/>
  <c r="AF241" i="1"/>
  <c r="AH241" i="1"/>
  <c r="AM241" i="1"/>
  <c r="AN241" i="1"/>
  <c r="K242" i="1"/>
  <c r="L242" i="1"/>
  <c r="M242" i="1"/>
  <c r="N242" i="1"/>
  <c r="V242" i="1"/>
  <c r="Y242" i="1"/>
  <c r="AA242" i="1" s="1"/>
  <c r="Z242" i="1"/>
  <c r="AB242" i="1"/>
  <c r="AC242" i="1"/>
  <c r="AD242" i="1"/>
  <c r="AG242" i="1" s="1"/>
  <c r="AE242" i="1"/>
  <c r="AF242" i="1"/>
  <c r="AH242" i="1"/>
  <c r="AI242" i="1"/>
  <c r="AM242" i="1"/>
  <c r="AN242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243" i="1"/>
  <c r="AM243" i="1"/>
  <c r="AN243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244" i="1"/>
  <c r="AM244" i="1"/>
  <c r="AN244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245" i="1"/>
  <c r="AM245" i="1"/>
  <c r="AN245" i="1"/>
  <c r="K246" i="1"/>
  <c r="L246" i="1"/>
  <c r="M246" i="1"/>
  <c r="N246" i="1" s="1"/>
  <c r="V246" i="1"/>
  <c r="Y246" i="1"/>
  <c r="Z246" i="1"/>
  <c r="AA246" i="1" s="1"/>
  <c r="W246" i="1" s="1"/>
  <c r="AB246" i="1"/>
  <c r="AC246" i="1"/>
  <c r="AD246" i="1"/>
  <c r="AG246" i="1" s="1"/>
  <c r="AE246" i="1"/>
  <c r="AF246" i="1"/>
  <c r="AH246" i="1"/>
  <c r="AM246" i="1"/>
  <c r="AN246" i="1"/>
  <c r="K247" i="1"/>
  <c r="L247" i="1"/>
  <c r="M247" i="1"/>
  <c r="N247" i="1" s="1"/>
  <c r="V247" i="1"/>
  <c r="Y247" i="1"/>
  <c r="Z247" i="1"/>
  <c r="AB247" i="1"/>
  <c r="AC247" i="1"/>
  <c r="AD247" i="1"/>
  <c r="X247" i="1" s="1"/>
  <c r="AE247" i="1"/>
  <c r="AF247" i="1"/>
  <c r="AH247" i="1"/>
  <c r="AM247" i="1"/>
  <c r="AN247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248" i="1"/>
  <c r="AM248" i="1"/>
  <c r="AN248" i="1"/>
  <c r="K249" i="1"/>
  <c r="L249" i="1"/>
  <c r="M249" i="1"/>
  <c r="N249" i="1"/>
  <c r="V249" i="1"/>
  <c r="Y249" i="1"/>
  <c r="AA249" i="1" s="1"/>
  <c r="Z249" i="1"/>
  <c r="AB249" i="1"/>
  <c r="AC249" i="1"/>
  <c r="AD249" i="1"/>
  <c r="AE249" i="1"/>
  <c r="AF249" i="1"/>
  <c r="AH249" i="1"/>
  <c r="AM249" i="1"/>
  <c r="AN249" i="1"/>
  <c r="K250" i="1"/>
  <c r="L250" i="1"/>
  <c r="M250" i="1"/>
  <c r="N250" i="1"/>
  <c r="V250" i="1"/>
  <c r="Y250" i="1"/>
  <c r="Z250" i="1"/>
  <c r="AB250" i="1"/>
  <c r="AC250" i="1"/>
  <c r="AD250" i="1"/>
  <c r="AG250" i="1" s="1"/>
  <c r="AE250" i="1"/>
  <c r="AF250" i="1"/>
  <c r="AH250" i="1"/>
  <c r="AI250" i="1"/>
  <c r="AM250" i="1"/>
  <c r="AN250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251" i="1"/>
  <c r="AM251" i="1"/>
  <c r="AN251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52" i="1"/>
  <c r="AM252" i="1"/>
  <c r="AN252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253" i="1"/>
  <c r="AM253" i="1"/>
  <c r="AN253" i="1"/>
  <c r="K254" i="1"/>
  <c r="L254" i="1"/>
  <c r="M254" i="1"/>
  <c r="N254" i="1" s="1"/>
  <c r="V254" i="1"/>
  <c r="Y254" i="1"/>
  <c r="Z254" i="1"/>
  <c r="AA254" i="1" s="1"/>
  <c r="W254" i="1" s="1"/>
  <c r="AB254" i="1"/>
  <c r="AC254" i="1"/>
  <c r="AD254" i="1"/>
  <c r="AG254" i="1" s="1"/>
  <c r="AE254" i="1"/>
  <c r="AF254" i="1"/>
  <c r="AH254" i="1"/>
  <c r="AI254" i="1"/>
  <c r="AM254" i="1"/>
  <c r="AN254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55" i="1"/>
  <c r="AM255" i="1"/>
  <c r="AN255" i="1"/>
  <c r="K256" i="1"/>
  <c r="L256" i="1"/>
  <c r="M256" i="1"/>
  <c r="N256" i="1" s="1"/>
  <c r="V256" i="1"/>
  <c r="Y256" i="1"/>
  <c r="Z256" i="1"/>
  <c r="AB256" i="1"/>
  <c r="AC256" i="1"/>
  <c r="AD256" i="1"/>
  <c r="AG256" i="1" s="1"/>
  <c r="AE256" i="1"/>
  <c r="AF256" i="1"/>
  <c r="AH256" i="1"/>
  <c r="AM256" i="1"/>
  <c r="AN256" i="1"/>
  <c r="K257" i="1"/>
  <c r="L257" i="1"/>
  <c r="M257" i="1"/>
  <c r="N257" i="1" s="1"/>
  <c r="V257" i="1"/>
  <c r="Y257" i="1"/>
  <c r="Z257" i="1"/>
  <c r="AB257" i="1"/>
  <c r="AC257" i="1"/>
  <c r="AD257" i="1"/>
  <c r="AE257" i="1"/>
  <c r="AF257" i="1"/>
  <c r="AH257" i="1"/>
  <c r="AM257" i="1"/>
  <c r="AN257" i="1"/>
  <c r="K258" i="1"/>
  <c r="L258" i="1"/>
  <c r="M258" i="1"/>
  <c r="N258" i="1" s="1"/>
  <c r="V258" i="1"/>
  <c r="X258" i="1"/>
  <c r="Y258" i="1"/>
  <c r="Z258" i="1"/>
  <c r="AI258" i="1" s="1"/>
  <c r="AB258" i="1"/>
  <c r="AC258" i="1"/>
  <c r="AD258" i="1"/>
  <c r="AG258" i="1" s="1"/>
  <c r="AE258" i="1"/>
  <c r="AF258" i="1"/>
  <c r="AH258" i="1"/>
  <c r="AM258" i="1"/>
  <c r="AN258" i="1"/>
  <c r="K259" i="1"/>
  <c r="L259" i="1"/>
  <c r="M259" i="1"/>
  <c r="N259" i="1" s="1"/>
  <c r="T259" i="1"/>
  <c r="V259" i="1"/>
  <c r="Y259" i="1"/>
  <c r="Z259" i="1"/>
  <c r="AB259" i="1"/>
  <c r="AC259" i="1"/>
  <c r="AD259" i="1"/>
  <c r="X259" i="1" s="1"/>
  <c r="AE259" i="1"/>
  <c r="AF259" i="1"/>
  <c r="AH259" i="1"/>
  <c r="AM259" i="1"/>
  <c r="AN259" i="1"/>
  <c r="K260" i="1"/>
  <c r="L260" i="1"/>
  <c r="M260" i="1"/>
  <c r="N260" i="1" s="1"/>
  <c r="V260" i="1"/>
  <c r="Y260" i="1"/>
  <c r="Z260" i="1"/>
  <c r="AB260" i="1"/>
  <c r="AC260" i="1"/>
  <c r="AD260" i="1"/>
  <c r="AG260" i="1" s="1"/>
  <c r="AE260" i="1"/>
  <c r="AF260" i="1"/>
  <c r="AH260" i="1"/>
  <c r="AM260" i="1"/>
  <c r="AN260" i="1"/>
  <c r="K261" i="1"/>
  <c r="L261" i="1"/>
  <c r="M261" i="1"/>
  <c r="N261" i="1" s="1"/>
  <c r="V261" i="1"/>
  <c r="Y261" i="1"/>
  <c r="Z261" i="1"/>
  <c r="AA261" i="1" s="1"/>
  <c r="AB261" i="1"/>
  <c r="AC261" i="1"/>
  <c r="AD261" i="1"/>
  <c r="AE261" i="1"/>
  <c r="AF261" i="1"/>
  <c r="AH261" i="1"/>
  <c r="AM261" i="1"/>
  <c r="AN261" i="1"/>
  <c r="K262" i="1"/>
  <c r="L262" i="1"/>
  <c r="M262" i="1"/>
  <c r="N262" i="1"/>
  <c r="V262" i="1"/>
  <c r="S50" i="3" s="1"/>
  <c r="Y262" i="1"/>
  <c r="Z262" i="1"/>
  <c r="AB262" i="1"/>
  <c r="AC262" i="1"/>
  <c r="AD262" i="1"/>
  <c r="AG262" i="1" s="1"/>
  <c r="AE262" i="1"/>
  <c r="AF262" i="1"/>
  <c r="AH262" i="1"/>
  <c r="AI262" i="1"/>
  <c r="AM262" i="1"/>
  <c r="AN262" i="1"/>
  <c r="K263" i="1"/>
  <c r="L263" i="1"/>
  <c r="M263" i="1"/>
  <c r="N263" i="1" s="1"/>
  <c r="V263" i="1"/>
  <c r="Y263" i="1"/>
  <c r="Z263" i="1"/>
  <c r="AB263" i="1"/>
  <c r="AC263" i="1"/>
  <c r="AD263" i="1"/>
  <c r="T263" i="1" s="1"/>
  <c r="AE263" i="1"/>
  <c r="AF263" i="1"/>
  <c r="AH263" i="1"/>
  <c r="AM263" i="1"/>
  <c r="AN263" i="1"/>
  <c r="K264" i="1"/>
  <c r="L264" i="1"/>
  <c r="M264" i="1"/>
  <c r="N264" i="1"/>
  <c r="V264" i="1"/>
  <c r="Y264" i="1"/>
  <c r="Z264" i="1"/>
  <c r="AB264" i="1"/>
  <c r="AC264" i="1"/>
  <c r="AD264" i="1"/>
  <c r="AG264" i="1" s="1"/>
  <c r="AE264" i="1"/>
  <c r="AF264" i="1"/>
  <c r="AH264" i="1"/>
  <c r="AM264" i="1"/>
  <c r="AN264" i="1"/>
  <c r="K265" i="1"/>
  <c r="L265" i="1"/>
  <c r="M265" i="1"/>
  <c r="N265" i="1" s="1"/>
  <c r="V265" i="1"/>
  <c r="S46" i="3" s="1"/>
  <c r="Y265" i="1"/>
  <c r="Z265" i="1"/>
  <c r="AB265" i="1"/>
  <c r="AC265" i="1"/>
  <c r="AD265" i="1"/>
  <c r="AE265" i="1"/>
  <c r="AF265" i="1"/>
  <c r="AH265" i="1"/>
  <c r="AM265" i="1"/>
  <c r="AN265" i="1"/>
  <c r="K266" i="1"/>
  <c r="L266" i="1"/>
  <c r="M266" i="1"/>
  <c r="N266" i="1" s="1"/>
  <c r="V266" i="1"/>
  <c r="Y266" i="1"/>
  <c r="AA266" i="1" s="1"/>
  <c r="Z266" i="1"/>
  <c r="AB266" i="1"/>
  <c r="AC266" i="1"/>
  <c r="AD266" i="1"/>
  <c r="AE266" i="1"/>
  <c r="AF266" i="1"/>
  <c r="AH266" i="1"/>
  <c r="AM266" i="1"/>
  <c r="AN266" i="1"/>
  <c r="K267" i="1"/>
  <c r="L267" i="1"/>
  <c r="M267" i="1"/>
  <c r="N267" i="1" s="1"/>
  <c r="V267" i="1"/>
  <c r="Y267" i="1"/>
  <c r="Z267" i="1"/>
  <c r="AB267" i="1"/>
  <c r="AC267" i="1"/>
  <c r="AD267" i="1"/>
  <c r="AE267" i="1"/>
  <c r="AF267" i="1"/>
  <c r="AH267" i="1"/>
  <c r="AM267" i="1"/>
  <c r="AN267" i="1"/>
  <c r="K268" i="1"/>
  <c r="L268" i="1"/>
  <c r="M268" i="1"/>
  <c r="N268" i="1" s="1"/>
  <c r="V268" i="1"/>
  <c r="Y268" i="1"/>
  <c r="Z268" i="1"/>
  <c r="AA268" i="1" s="1"/>
  <c r="AB268" i="1"/>
  <c r="AC268" i="1"/>
  <c r="AD268" i="1"/>
  <c r="AE268" i="1"/>
  <c r="AF268" i="1"/>
  <c r="AH268" i="1"/>
  <c r="AM268" i="1"/>
  <c r="AN268" i="1"/>
  <c r="K269" i="1"/>
  <c r="L269" i="1"/>
  <c r="M269" i="1"/>
  <c r="N269" i="1"/>
  <c r="V269" i="1"/>
  <c r="Y269" i="1"/>
  <c r="Z269" i="1"/>
  <c r="AA269" i="1"/>
  <c r="AB269" i="1"/>
  <c r="AC269" i="1"/>
  <c r="AD269" i="1"/>
  <c r="AE269" i="1"/>
  <c r="AF269" i="1"/>
  <c r="AH269" i="1"/>
  <c r="AM269" i="1"/>
  <c r="AN269" i="1"/>
  <c r="K270" i="1"/>
  <c r="L270" i="1"/>
  <c r="M270" i="1"/>
  <c r="N270" i="1"/>
  <c r="V270" i="1"/>
  <c r="X270" i="1"/>
  <c r="Y270" i="1"/>
  <c r="Z270" i="1"/>
  <c r="AI270" i="1" s="1"/>
  <c r="AB270" i="1"/>
  <c r="AC270" i="1"/>
  <c r="AD270" i="1"/>
  <c r="AG270" i="1" s="1"/>
  <c r="AE270" i="1"/>
  <c r="AF270" i="1"/>
  <c r="AH270" i="1"/>
  <c r="AM270" i="1"/>
  <c r="AN270" i="1"/>
  <c r="K271" i="1"/>
  <c r="L271" i="1"/>
  <c r="M271" i="1"/>
  <c r="N271" i="1" s="1"/>
  <c r="V271" i="1"/>
  <c r="Y271" i="1"/>
  <c r="Z271" i="1"/>
  <c r="AB271" i="1"/>
  <c r="AC271" i="1"/>
  <c r="AD271" i="1"/>
  <c r="X271" i="1" s="1"/>
  <c r="AE271" i="1"/>
  <c r="R48" i="3" s="1"/>
  <c r="AF271" i="1"/>
  <c r="AH271" i="1"/>
  <c r="AM271" i="1"/>
  <c r="AN271" i="1"/>
  <c r="K272" i="1"/>
  <c r="L272" i="1"/>
  <c r="M272" i="1"/>
  <c r="N272" i="1" s="1"/>
  <c r="V272" i="1"/>
  <c r="S49" i="3" s="1"/>
  <c r="Y272" i="1"/>
  <c r="Z272" i="1"/>
  <c r="AA272" i="1" s="1"/>
  <c r="AB272" i="1"/>
  <c r="AC272" i="1"/>
  <c r="AD272" i="1"/>
  <c r="AG272" i="1" s="1"/>
  <c r="AE272" i="1"/>
  <c r="AF272" i="1"/>
  <c r="AH272" i="1"/>
  <c r="AM272" i="1"/>
  <c r="AN272" i="1"/>
  <c r="K273" i="1"/>
  <c r="L273" i="1"/>
  <c r="M273" i="1"/>
  <c r="N273" i="1" s="1"/>
  <c r="V273" i="1"/>
  <c r="Y273" i="1"/>
  <c r="Z273" i="1"/>
  <c r="AA273" i="1" s="1"/>
  <c r="AB273" i="1"/>
  <c r="AC273" i="1"/>
  <c r="AD273" i="1"/>
  <c r="AE273" i="1"/>
  <c r="AF273" i="1"/>
  <c r="AH273" i="1"/>
  <c r="AM273" i="1"/>
  <c r="AN273" i="1"/>
  <c r="K274" i="1"/>
  <c r="L274" i="1"/>
  <c r="M274" i="1"/>
  <c r="N274" i="1"/>
  <c r="V274" i="1"/>
  <c r="Y274" i="1"/>
  <c r="Z274" i="1"/>
  <c r="AB274" i="1"/>
  <c r="AC274" i="1"/>
  <c r="AD274" i="1"/>
  <c r="AG274" i="1" s="1"/>
  <c r="AE274" i="1"/>
  <c r="AF274" i="1"/>
  <c r="AH274" i="1"/>
  <c r="AI274" i="1"/>
  <c r="AM274" i="1"/>
  <c r="AN274" i="1"/>
  <c r="K275" i="1"/>
  <c r="L275" i="1"/>
  <c r="M275" i="1"/>
  <c r="N275" i="1" s="1"/>
  <c r="V275" i="1"/>
  <c r="Y275" i="1"/>
  <c r="Z275" i="1"/>
  <c r="AB275" i="1"/>
  <c r="AC275" i="1"/>
  <c r="AD275" i="1"/>
  <c r="T275" i="1" s="1"/>
  <c r="AE275" i="1"/>
  <c r="AF275" i="1"/>
  <c r="AG275" i="1"/>
  <c r="AH275" i="1"/>
  <c r="AM275" i="1"/>
  <c r="AN275" i="1"/>
  <c r="K276" i="1"/>
  <c r="L276" i="1"/>
  <c r="M276" i="1"/>
  <c r="N276" i="1" s="1"/>
  <c r="V276" i="1"/>
  <c r="Y276" i="1"/>
  <c r="Z276" i="1"/>
  <c r="AB276" i="1"/>
  <c r="AC276" i="1"/>
  <c r="AD276" i="1"/>
  <c r="AG276" i="1" s="1"/>
  <c r="AE276" i="1"/>
  <c r="AF276" i="1"/>
  <c r="AH276" i="1"/>
  <c r="AM276" i="1"/>
  <c r="AN276" i="1"/>
  <c r="M27" i="3"/>
  <c r="R27" i="3"/>
  <c r="S27" i="3"/>
  <c r="U27" i="3"/>
  <c r="T27" i="3" s="1"/>
  <c r="V27" i="3"/>
  <c r="W27" i="3"/>
  <c r="X27" i="3"/>
  <c r="M43" i="3"/>
  <c r="R43" i="3"/>
  <c r="S43" i="3"/>
  <c r="U43" i="3"/>
  <c r="T43" i="3" s="1"/>
  <c r="V43" i="3"/>
  <c r="W43" i="3"/>
  <c r="X43" i="3"/>
  <c r="AC43" i="3"/>
  <c r="M32" i="3"/>
  <c r="R32" i="3"/>
  <c r="S32" i="3"/>
  <c r="U32" i="3"/>
  <c r="AC32" i="3" s="1"/>
  <c r="V32" i="3"/>
  <c r="W32" i="3"/>
  <c r="Y32" i="3" s="1"/>
  <c r="X32" i="3"/>
  <c r="M28" i="3"/>
  <c r="R28" i="3"/>
  <c r="S28" i="3"/>
  <c r="U28" i="3"/>
  <c r="AC28" i="3" s="1"/>
  <c r="V28" i="3"/>
  <c r="W28" i="3"/>
  <c r="X28" i="3"/>
  <c r="M16" i="3"/>
  <c r="R16" i="3"/>
  <c r="S16" i="3"/>
  <c r="U16" i="3"/>
  <c r="V16" i="3"/>
  <c r="W16" i="3"/>
  <c r="X16" i="3"/>
  <c r="M12" i="3"/>
  <c r="S12" i="3"/>
  <c r="U12" i="3"/>
  <c r="AE12" i="3" s="1"/>
  <c r="V12" i="3"/>
  <c r="W12" i="3"/>
  <c r="X12" i="3"/>
  <c r="AC12" i="3"/>
  <c r="M33" i="3"/>
  <c r="R33" i="3"/>
  <c r="S33" i="3"/>
  <c r="U33" i="3"/>
  <c r="AC33" i="3" s="1"/>
  <c r="V33" i="3"/>
  <c r="W33" i="3"/>
  <c r="X33" i="3"/>
  <c r="M40" i="3"/>
  <c r="R40" i="3"/>
  <c r="U40" i="3"/>
  <c r="AC40" i="3" s="1"/>
  <c r="V40" i="3"/>
  <c r="W40" i="3"/>
  <c r="Y40" i="3" s="1"/>
  <c r="X40" i="3"/>
  <c r="M41" i="3"/>
  <c r="R41" i="3"/>
  <c r="S41" i="3"/>
  <c r="U41" i="3"/>
  <c r="AC41" i="3" s="1"/>
  <c r="V41" i="3"/>
  <c r="W41" i="3"/>
  <c r="X41" i="3"/>
  <c r="M34" i="3"/>
  <c r="R34" i="3"/>
  <c r="U34" i="3"/>
  <c r="T34" i="3" s="1"/>
  <c r="V34" i="3"/>
  <c r="W34" i="3"/>
  <c r="X34" i="3"/>
  <c r="AC34" i="3"/>
  <c r="M26" i="3"/>
  <c r="R26" i="3"/>
  <c r="S26" i="3"/>
  <c r="U26" i="3"/>
  <c r="AC26" i="3" s="1"/>
  <c r="V26" i="3"/>
  <c r="W26" i="3"/>
  <c r="X26" i="3"/>
  <c r="Y26" i="3"/>
  <c r="M35" i="3"/>
  <c r="R35" i="3"/>
  <c r="S35" i="3"/>
  <c r="U35" i="3"/>
  <c r="AC35" i="3" s="1"/>
  <c r="V35" i="3"/>
  <c r="W35" i="3"/>
  <c r="X35" i="3"/>
  <c r="M13" i="3"/>
  <c r="R13" i="3"/>
  <c r="S13" i="3"/>
  <c r="U13" i="3"/>
  <c r="V13" i="3"/>
  <c r="W13" i="3"/>
  <c r="X13" i="3"/>
  <c r="M21" i="3"/>
  <c r="R21" i="3"/>
  <c r="S21" i="3"/>
  <c r="U21" i="3"/>
  <c r="AD21" i="3" s="1"/>
  <c r="V21" i="3"/>
  <c r="W21" i="3"/>
  <c r="X21" i="3"/>
  <c r="AC21" i="3"/>
  <c r="M29" i="3"/>
  <c r="R29" i="3"/>
  <c r="S29" i="3"/>
  <c r="U29" i="3"/>
  <c r="V29" i="3"/>
  <c r="W29" i="3"/>
  <c r="X29" i="3"/>
  <c r="M42" i="3"/>
  <c r="R42" i="3"/>
  <c r="S42" i="3"/>
  <c r="U42" i="3"/>
  <c r="AC42" i="3" s="1"/>
  <c r="V42" i="3"/>
  <c r="W42" i="3"/>
  <c r="X42" i="3"/>
  <c r="Y42" i="3"/>
  <c r="M20" i="3"/>
  <c r="R20" i="3"/>
  <c r="S20" i="3"/>
  <c r="U20" i="3"/>
  <c r="AC20" i="3" s="1"/>
  <c r="V20" i="3"/>
  <c r="W20" i="3"/>
  <c r="X20" i="3"/>
  <c r="M36" i="3"/>
  <c r="S36" i="3"/>
  <c r="U36" i="3"/>
  <c r="T36" i="3" s="1"/>
  <c r="V36" i="3"/>
  <c r="AE36" i="3" s="1"/>
  <c r="W36" i="3"/>
  <c r="X36" i="3"/>
  <c r="AC36" i="3"/>
  <c r="M30" i="3"/>
  <c r="S30" i="3"/>
  <c r="U30" i="3"/>
  <c r="V30" i="3"/>
  <c r="W30" i="3"/>
  <c r="X30" i="3"/>
  <c r="AC30" i="3"/>
  <c r="M23" i="3"/>
  <c r="R23" i="3"/>
  <c r="S23" i="3"/>
  <c r="U23" i="3"/>
  <c r="AC23" i="3" s="1"/>
  <c r="V23" i="3"/>
  <c r="W23" i="3"/>
  <c r="X23" i="3"/>
  <c r="M25" i="3"/>
  <c r="R25" i="3"/>
  <c r="U25" i="3"/>
  <c r="AC25" i="3" s="1"/>
  <c r="V25" i="3"/>
  <c r="W25" i="3"/>
  <c r="X25" i="3"/>
  <c r="AD28" i="3"/>
  <c r="AE28" i="3"/>
  <c r="M17" i="3"/>
  <c r="R17" i="3"/>
  <c r="U17" i="3"/>
  <c r="T17" i="3" s="1"/>
  <c r="V17" i="3"/>
  <c r="W17" i="3"/>
  <c r="X17" i="3"/>
  <c r="AC17" i="3"/>
  <c r="M37" i="3"/>
  <c r="R37" i="3"/>
  <c r="S37" i="3"/>
  <c r="U37" i="3"/>
  <c r="AD30" i="3" s="1"/>
  <c r="V37" i="3"/>
  <c r="W37" i="3"/>
  <c r="X37" i="3"/>
  <c r="Y37" i="3"/>
  <c r="M7" i="3"/>
  <c r="R7" i="3"/>
  <c r="S7" i="3"/>
  <c r="U7" i="3"/>
  <c r="AC7" i="3" s="1"/>
  <c r="V7" i="3"/>
  <c r="W7" i="3"/>
  <c r="X7" i="3"/>
  <c r="M8" i="3"/>
  <c r="R8" i="3"/>
  <c r="S8" i="3"/>
  <c r="U8" i="3"/>
  <c r="AC8" i="3" s="1"/>
  <c r="V8" i="3"/>
  <c r="W8" i="3"/>
  <c r="X8" i="3"/>
  <c r="AD32" i="3"/>
  <c r="M19" i="3"/>
  <c r="R19" i="3"/>
  <c r="U19" i="3"/>
  <c r="T19" i="3" s="1"/>
  <c r="V19" i="3"/>
  <c r="W19" i="3"/>
  <c r="X19" i="3"/>
  <c r="AC19" i="3"/>
  <c r="M38" i="3"/>
  <c r="R38" i="3"/>
  <c r="S38" i="3"/>
  <c r="U38" i="3"/>
  <c r="V38" i="3"/>
  <c r="W38" i="3"/>
  <c r="Y38" i="3" s="1"/>
  <c r="X38" i="3"/>
  <c r="M44" i="3"/>
  <c r="S44" i="3"/>
  <c r="U44" i="3"/>
  <c r="AC44" i="3" s="1"/>
  <c r="V44" i="3"/>
  <c r="W44" i="3"/>
  <c r="X44" i="3"/>
  <c r="M39" i="3"/>
  <c r="R39" i="3"/>
  <c r="U39" i="3"/>
  <c r="AC39" i="3" s="1"/>
  <c r="V39" i="3"/>
  <c r="W39" i="3"/>
  <c r="X39" i="3"/>
  <c r="AD36" i="3"/>
  <c r="M11" i="3"/>
  <c r="R11" i="3"/>
  <c r="S11" i="3"/>
  <c r="U11" i="3"/>
  <c r="V11" i="3"/>
  <c r="W11" i="3"/>
  <c r="X11" i="3"/>
  <c r="AC11" i="3"/>
  <c r="M50" i="3"/>
  <c r="U50" i="3"/>
  <c r="V50" i="3"/>
  <c r="W50" i="3"/>
  <c r="X50" i="3"/>
  <c r="M22" i="3"/>
  <c r="R22" i="3"/>
  <c r="S22" i="3"/>
  <c r="U22" i="3"/>
  <c r="AC22" i="3" s="1"/>
  <c r="V22" i="3"/>
  <c r="W22" i="3"/>
  <c r="X22" i="3"/>
  <c r="M31" i="3"/>
  <c r="R31" i="3"/>
  <c r="S31" i="3"/>
  <c r="U31" i="3"/>
  <c r="AC31" i="3" s="1"/>
  <c r="V31" i="3"/>
  <c r="W31" i="3"/>
  <c r="X31" i="3"/>
  <c r="M14" i="3"/>
  <c r="R14" i="3"/>
  <c r="U14" i="3"/>
  <c r="T14" i="3" s="1"/>
  <c r="V14" i="3"/>
  <c r="W14" i="3"/>
  <c r="X14" i="3"/>
  <c r="AC14" i="3"/>
  <c r="AD41" i="3"/>
  <c r="M24" i="3"/>
  <c r="R24" i="3"/>
  <c r="S24" i="3"/>
  <c r="U24" i="3"/>
  <c r="V24" i="3"/>
  <c r="W24" i="3"/>
  <c r="X24" i="3"/>
  <c r="AC24" i="3"/>
  <c r="M45" i="3"/>
  <c r="U45" i="3"/>
  <c r="AC45" i="3" s="1"/>
  <c r="V45" i="3"/>
  <c r="W45" i="3"/>
  <c r="Y45" i="3" s="1"/>
  <c r="X45" i="3"/>
  <c r="M46" i="3"/>
  <c r="U46" i="3"/>
  <c r="AC46" i="3" s="1"/>
  <c r="V46" i="3"/>
  <c r="W46" i="3"/>
  <c r="X46" i="3"/>
  <c r="M18" i="3"/>
  <c r="R18" i="3"/>
  <c r="S18" i="3"/>
  <c r="U18" i="3"/>
  <c r="T18" i="3" s="1"/>
  <c r="V18" i="3"/>
  <c r="W18" i="3"/>
  <c r="X18" i="3"/>
  <c r="AC18" i="3"/>
  <c r="M10" i="3"/>
  <c r="R10" i="3"/>
  <c r="S10" i="3"/>
  <c r="U10" i="3"/>
  <c r="V10" i="3"/>
  <c r="W10" i="3"/>
  <c r="X10" i="3"/>
  <c r="M9" i="3"/>
  <c r="R9" i="3"/>
  <c r="S9" i="3"/>
  <c r="U9" i="3"/>
  <c r="AC9" i="3" s="1"/>
  <c r="V9" i="3"/>
  <c r="W9" i="3"/>
  <c r="X9" i="3"/>
  <c r="M48" i="3"/>
  <c r="S48" i="3"/>
  <c r="U48" i="3"/>
  <c r="AC48" i="3" s="1"/>
  <c r="V48" i="3"/>
  <c r="W48" i="3"/>
  <c r="X48" i="3"/>
  <c r="M15" i="3"/>
  <c r="R15" i="3"/>
  <c r="S15" i="3"/>
  <c r="U15" i="3"/>
  <c r="T15" i="3" s="1"/>
  <c r="V15" i="3"/>
  <c r="W15" i="3"/>
  <c r="X15" i="3"/>
  <c r="AC15" i="3"/>
  <c r="M49" i="3"/>
  <c r="R49" i="3"/>
  <c r="U49" i="3"/>
  <c r="AD50" i="3" s="1"/>
  <c r="V49" i="3"/>
  <c r="W49" i="3"/>
  <c r="X49" i="3"/>
  <c r="AC49" i="3"/>
  <c r="AD48" i="3" l="1"/>
  <c r="T46" i="3"/>
  <c r="Y48" i="3"/>
  <c r="Y49" i="3"/>
  <c r="Y10" i="3"/>
  <c r="AD46" i="3"/>
  <c r="T25" i="3"/>
  <c r="AG144" i="1"/>
  <c r="AI135" i="1"/>
  <c r="AD12" i="3"/>
  <c r="AC16" i="3"/>
  <c r="AD16" i="3"/>
  <c r="AD40" i="3"/>
  <c r="Y50" i="3"/>
  <c r="Y20" i="3"/>
  <c r="AC13" i="3"/>
  <c r="T13" i="3"/>
  <c r="AA263" i="1"/>
  <c r="AA204" i="1"/>
  <c r="AG147" i="1"/>
  <c r="AI147" i="1" s="1"/>
  <c r="T147" i="1"/>
  <c r="AG142" i="1"/>
  <c r="AA140" i="1"/>
  <c r="AG139" i="1"/>
  <c r="AG138" i="1"/>
  <c r="AI138" i="1" s="1"/>
  <c r="T132" i="1"/>
  <c r="T77" i="1"/>
  <c r="X78" i="1"/>
  <c r="AD26" i="3"/>
  <c r="Y34" i="3"/>
  <c r="U275" i="1"/>
  <c r="AG266" i="1"/>
  <c r="AI266" i="1" s="1"/>
  <c r="T266" i="1"/>
  <c r="T235" i="1"/>
  <c r="AG159" i="1"/>
  <c r="T159" i="1"/>
  <c r="R45" i="3"/>
  <c r="R46" i="3"/>
  <c r="AE44" i="3"/>
  <c r="AD44" i="3"/>
  <c r="AD34" i="3"/>
  <c r="AD33" i="3"/>
  <c r="AE33" i="3"/>
  <c r="AE16" i="3"/>
  <c r="X267" i="1"/>
  <c r="T267" i="1"/>
  <c r="X254" i="1"/>
  <c r="AA229" i="1"/>
  <c r="AA224" i="1"/>
  <c r="X219" i="1"/>
  <c r="AG218" i="1"/>
  <c r="AI218" i="1" s="1"/>
  <c r="T212" i="1"/>
  <c r="AG212" i="1"/>
  <c r="AI208" i="1"/>
  <c r="AA150" i="1"/>
  <c r="AA134" i="1"/>
  <c r="T133" i="1"/>
  <c r="AG133" i="1"/>
  <c r="AA120" i="1"/>
  <c r="AA106" i="1"/>
  <c r="AA96" i="1"/>
  <c r="AA81" i="1"/>
  <c r="AA78" i="1"/>
  <c r="AA75" i="1"/>
  <c r="AA51" i="1"/>
  <c r="W51" i="1" s="1"/>
  <c r="AA25" i="1"/>
  <c r="T21" i="1"/>
  <c r="AA16" i="1"/>
  <c r="X198" i="1"/>
  <c r="AG100" i="1"/>
  <c r="X192" i="1"/>
  <c r="X113" i="1"/>
  <c r="AI58" i="1"/>
  <c r="Y9" i="3"/>
  <c r="Y46" i="3"/>
  <c r="AD42" i="3"/>
  <c r="AE41" i="3"/>
  <c r="Y44" i="3"/>
  <c r="Y19" i="3"/>
  <c r="Y17" i="3"/>
  <c r="Y23" i="3"/>
  <c r="Y30" i="3"/>
  <c r="Y33" i="3"/>
  <c r="Y28" i="3"/>
  <c r="AA265" i="1"/>
  <c r="AA262" i="1"/>
  <c r="W262" i="1" s="1"/>
  <c r="AA258" i="1"/>
  <c r="AA250" i="1"/>
  <c r="W250" i="1" s="1"/>
  <c r="AA238" i="1"/>
  <c r="W238" i="1" s="1"/>
  <c r="AA236" i="1"/>
  <c r="AA201" i="1"/>
  <c r="AA165" i="1"/>
  <c r="W165" i="1" s="1"/>
  <c r="AG155" i="1"/>
  <c r="X152" i="1"/>
  <c r="AG151" i="1"/>
  <c r="W151" i="1" s="1"/>
  <c r="AA139" i="1"/>
  <c r="X126" i="1"/>
  <c r="AG125" i="1"/>
  <c r="W125" i="1" s="1"/>
  <c r="AG114" i="1"/>
  <c r="U114" i="1" s="1"/>
  <c r="S114" i="1" s="1"/>
  <c r="AA112" i="1"/>
  <c r="AA109" i="1"/>
  <c r="AG104" i="1"/>
  <c r="AA102" i="1"/>
  <c r="AA197" i="1"/>
  <c r="AG181" i="1"/>
  <c r="AI181" i="1" s="1"/>
  <c r="AA180" i="1"/>
  <c r="AA177" i="1"/>
  <c r="X174" i="1"/>
  <c r="T173" i="1"/>
  <c r="AG170" i="1"/>
  <c r="AI170" i="1" s="1"/>
  <c r="X90" i="1"/>
  <c r="X87" i="1"/>
  <c r="AG86" i="1"/>
  <c r="AA85" i="1"/>
  <c r="AA74" i="1"/>
  <c r="X67" i="1"/>
  <c r="AA63" i="1"/>
  <c r="W63" i="1" s="1"/>
  <c r="AA43" i="1"/>
  <c r="AA35" i="1"/>
  <c r="AG21" i="1"/>
  <c r="X20" i="1"/>
  <c r="AA93" i="1"/>
  <c r="X68" i="1"/>
  <c r="X69" i="1"/>
  <c r="W67" i="1"/>
  <c r="AA68" i="1"/>
  <c r="W68" i="1" s="1"/>
  <c r="X255" i="1"/>
  <c r="AA255" i="1"/>
  <c r="AA226" i="1"/>
  <c r="AI226" i="1"/>
  <c r="T271" i="1"/>
  <c r="W266" i="1"/>
  <c r="T262" i="1"/>
  <c r="W258" i="1"/>
  <c r="AA253" i="1"/>
  <c r="T250" i="1"/>
  <c r="T247" i="1"/>
  <c r="AA245" i="1"/>
  <c r="W242" i="1"/>
  <c r="AA274" i="1"/>
  <c r="W274" i="1" s="1"/>
  <c r="AA270" i="1"/>
  <c r="W270" i="1" s="1"/>
  <c r="AG263" i="1"/>
  <c r="X263" i="1"/>
  <c r="X251" i="1"/>
  <c r="AA251" i="1"/>
  <c r="AG247" i="1"/>
  <c r="AI246" i="1"/>
  <c r="AG230" i="1"/>
  <c r="AI230" i="1" s="1"/>
  <c r="T230" i="1"/>
  <c r="X227" i="1"/>
  <c r="AG227" i="1"/>
  <c r="T227" i="1"/>
  <c r="AA225" i="1"/>
  <c r="AA212" i="1"/>
  <c r="AG205" i="1"/>
  <c r="AI205" i="1" s="1"/>
  <c r="X205" i="1"/>
  <c r="AA202" i="1"/>
  <c r="AA158" i="1"/>
  <c r="AA153" i="1"/>
  <c r="AA149" i="1"/>
  <c r="AA129" i="1"/>
  <c r="W129" i="1" s="1"/>
  <c r="T126" i="1"/>
  <c r="AA123" i="1"/>
  <c r="X117" i="1"/>
  <c r="AA115" i="1"/>
  <c r="W109" i="1"/>
  <c r="AA107" i="1"/>
  <c r="AG103" i="1"/>
  <c r="W103" i="1" s="1"/>
  <c r="AA198" i="1"/>
  <c r="T192" i="1"/>
  <c r="AA191" i="1"/>
  <c r="W191" i="1" s="1"/>
  <c r="T191" i="1"/>
  <c r="AA190" i="1"/>
  <c r="AA184" i="1"/>
  <c r="AA183" i="1"/>
  <c r="U60" i="1"/>
  <c r="S60" i="1" s="1"/>
  <c r="AA59" i="1"/>
  <c r="AA58" i="1"/>
  <c r="W58" i="1" s="1"/>
  <c r="AA55" i="1"/>
  <c r="W55" i="1" s="1"/>
  <c r="AA52" i="1"/>
  <c r="AI51" i="1"/>
  <c r="AA23" i="1"/>
  <c r="AA17" i="1"/>
  <c r="W150" i="1"/>
  <c r="W140" i="1"/>
  <c r="U129" i="1"/>
  <c r="S129" i="1" s="1"/>
  <c r="AG79" i="1"/>
  <c r="X79" i="1"/>
  <c r="AA42" i="1"/>
  <c r="AA40" i="1"/>
  <c r="W40" i="1" s="1"/>
  <c r="AA37" i="1"/>
  <c r="AA31" i="1"/>
  <c r="X242" i="1"/>
  <c r="AA237" i="1"/>
  <c r="AA234" i="1"/>
  <c r="X231" i="1"/>
  <c r="AA231" i="1"/>
  <c r="AA222" i="1"/>
  <c r="W222" i="1" s="1"/>
  <c r="AA215" i="1"/>
  <c r="W215" i="1" s="1"/>
  <c r="AA211" i="1"/>
  <c r="W211" i="1" s="1"/>
  <c r="AA205" i="1"/>
  <c r="X204" i="1"/>
  <c r="T203" i="1"/>
  <c r="X201" i="1"/>
  <c r="X200" i="1"/>
  <c r="AA163" i="1"/>
  <c r="AA161" i="1"/>
  <c r="AI159" i="1"/>
  <c r="AA159" i="1"/>
  <c r="AA152" i="1"/>
  <c r="X150" i="1"/>
  <c r="AG143" i="1"/>
  <c r="X143" i="1"/>
  <c r="U142" i="1"/>
  <c r="AA142" i="1"/>
  <c r="AA133" i="1"/>
  <c r="W133" i="1" s="1"/>
  <c r="X132" i="1"/>
  <c r="AA128" i="1"/>
  <c r="AG126" i="1"/>
  <c r="AI126" i="1" s="1"/>
  <c r="AA124" i="1"/>
  <c r="AG121" i="1"/>
  <c r="AI121" i="1" s="1"/>
  <c r="AA117" i="1"/>
  <c r="AA116" i="1"/>
  <c r="AG113" i="1"/>
  <c r="W113" i="1" s="1"/>
  <c r="X107" i="1"/>
  <c r="AA105" i="1"/>
  <c r="AA194" i="1"/>
  <c r="W194" i="1" s="1"/>
  <c r="AG192" i="1"/>
  <c r="AI192" i="1" s="1"/>
  <c r="X191" i="1"/>
  <c r="AA189" i="1"/>
  <c r="AA188" i="1"/>
  <c r="W188" i="1" s="1"/>
  <c r="AA186" i="1"/>
  <c r="AG182" i="1"/>
  <c r="X182" i="1"/>
  <c r="AA181" i="1"/>
  <c r="AG177" i="1"/>
  <c r="W177" i="1" s="1"/>
  <c r="X177" i="1"/>
  <c r="X175" i="1"/>
  <c r="AA173" i="1"/>
  <c r="W173" i="1" s="1"/>
  <c r="X91" i="1"/>
  <c r="T87" i="1"/>
  <c r="AA70" i="1"/>
  <c r="X56" i="1"/>
  <c r="AG49" i="1"/>
  <c r="AA47" i="1"/>
  <c r="AA24" i="1"/>
  <c r="AA22" i="1"/>
  <c r="AA20" i="1"/>
  <c r="T165" i="1"/>
  <c r="AA162" i="1"/>
  <c r="W162" i="1" s="1"/>
  <c r="AA157" i="1"/>
  <c r="W157" i="1" s="1"/>
  <c r="AI155" i="1"/>
  <c r="W146" i="1"/>
  <c r="AI142" i="1"/>
  <c r="T137" i="1"/>
  <c r="AI133" i="1"/>
  <c r="X216" i="1"/>
  <c r="U188" i="1"/>
  <c r="S188" i="1" s="1"/>
  <c r="W179" i="1"/>
  <c r="W169" i="1"/>
  <c r="T166" i="1"/>
  <c r="AA86" i="1"/>
  <c r="W86" i="1" s="1"/>
  <c r="AG82" i="1"/>
  <c r="AI82" i="1" s="1"/>
  <c r="AA77" i="1"/>
  <c r="AG75" i="1"/>
  <c r="X75" i="1"/>
  <c r="X74" i="1"/>
  <c r="AA72" i="1"/>
  <c r="W72" i="1" s="1"/>
  <c r="AA69" i="1"/>
  <c r="AI67" i="1"/>
  <c r="AA64" i="1"/>
  <c r="AI63" i="1"/>
  <c r="AA44" i="1"/>
  <c r="W44" i="1" s="1"/>
  <c r="AG41" i="1"/>
  <c r="AI41" i="1" s="1"/>
  <c r="X36" i="1"/>
  <c r="T33" i="1"/>
  <c r="AA32" i="1"/>
  <c r="AA29" i="1"/>
  <c r="U263" i="1"/>
  <c r="X275" i="1"/>
  <c r="T274" i="1"/>
  <c r="W263" i="1"/>
  <c r="AA257" i="1"/>
  <c r="AA256" i="1"/>
  <c r="T255" i="1"/>
  <c r="AA252" i="1"/>
  <c r="T251" i="1"/>
  <c r="W206" i="1"/>
  <c r="AA271" i="1"/>
  <c r="AA267" i="1"/>
  <c r="AA259" i="1"/>
  <c r="AG255" i="1"/>
  <c r="AI255" i="1" s="1"/>
  <c r="T254" i="1"/>
  <c r="U254" i="1" s="1"/>
  <c r="S254" i="1" s="1"/>
  <c r="AG251" i="1"/>
  <c r="U250" i="1"/>
  <c r="S250" i="1" s="1"/>
  <c r="AA247" i="1"/>
  <c r="W247" i="1" s="1"/>
  <c r="T246" i="1"/>
  <c r="X243" i="1"/>
  <c r="AG243" i="1"/>
  <c r="U243" i="1" s="1"/>
  <c r="S243" i="1" s="1"/>
  <c r="AA243" i="1"/>
  <c r="W117" i="1"/>
  <c r="AA275" i="1"/>
  <c r="W275" i="1" s="1"/>
  <c r="AG271" i="1"/>
  <c r="T270" i="1"/>
  <c r="U270" i="1" s="1"/>
  <c r="S270" i="1" s="1"/>
  <c r="AG267" i="1"/>
  <c r="U267" i="1" s="1"/>
  <c r="S267" i="1" s="1"/>
  <c r="U266" i="1"/>
  <c r="AA264" i="1"/>
  <c r="AG259" i="1"/>
  <c r="U259" i="1" s="1"/>
  <c r="S259" i="1" s="1"/>
  <c r="T258" i="1"/>
  <c r="U247" i="1"/>
  <c r="AA240" i="1"/>
  <c r="AI117" i="1"/>
  <c r="X246" i="1"/>
  <c r="T242" i="1"/>
  <c r="AA233" i="1"/>
  <c r="AA232" i="1"/>
  <c r="T231" i="1"/>
  <c r="AA227" i="1"/>
  <c r="W227" i="1" s="1"/>
  <c r="T226" i="1"/>
  <c r="U226" i="1" s="1"/>
  <c r="S226" i="1" s="1"/>
  <c r="AG224" i="1"/>
  <c r="U224" i="1" s="1"/>
  <c r="S224" i="1" s="1"/>
  <c r="AG223" i="1"/>
  <c r="U223" i="1" s="1"/>
  <c r="S223" i="1" s="1"/>
  <c r="T222" i="1"/>
  <c r="U222" i="1" s="1"/>
  <c r="S222" i="1" s="1"/>
  <c r="X218" i="1"/>
  <c r="T215" i="1"/>
  <c r="W212" i="1"/>
  <c r="AA210" i="1"/>
  <c r="T208" i="1"/>
  <c r="AA207" i="1"/>
  <c r="U205" i="1"/>
  <c r="S205" i="1" s="1"/>
  <c r="X203" i="1"/>
  <c r="AG200" i="1"/>
  <c r="W200" i="1" s="1"/>
  <c r="AA156" i="1"/>
  <c r="X151" i="1"/>
  <c r="T150" i="1"/>
  <c r="AA147" i="1"/>
  <c r="W147" i="1" s="1"/>
  <c r="AA131" i="1"/>
  <c r="X129" i="1"/>
  <c r="U122" i="1"/>
  <c r="X121" i="1"/>
  <c r="AG118" i="1"/>
  <c r="X118" i="1"/>
  <c r="T113" i="1"/>
  <c r="AA111" i="1"/>
  <c r="AA110" i="1"/>
  <c r="AA217" i="1"/>
  <c r="T216" i="1"/>
  <c r="AG107" i="1"/>
  <c r="U107" i="1" s="1"/>
  <c r="S107" i="1" s="1"/>
  <c r="X103" i="1"/>
  <c r="AG199" i="1"/>
  <c r="U199" i="1" s="1"/>
  <c r="S199" i="1" s="1"/>
  <c r="X199" i="1"/>
  <c r="AG196" i="1"/>
  <c r="X196" i="1"/>
  <c r="AA100" i="1"/>
  <c r="T187" i="1"/>
  <c r="W184" i="1"/>
  <c r="AI56" i="1"/>
  <c r="T204" i="1"/>
  <c r="T117" i="1"/>
  <c r="U117" i="1" s="1"/>
  <c r="S117" i="1" s="1"/>
  <c r="T110" i="1"/>
  <c r="T198" i="1"/>
  <c r="AA239" i="1"/>
  <c r="AA235" i="1"/>
  <c r="T234" i="1"/>
  <c r="AG232" i="1"/>
  <c r="U232" i="1" s="1"/>
  <c r="S232" i="1" s="1"/>
  <c r="AG231" i="1"/>
  <c r="U231" i="1" s="1"/>
  <c r="U230" i="1"/>
  <c r="S230" i="1" s="1"/>
  <c r="AG209" i="1"/>
  <c r="X209" i="1"/>
  <c r="AA208" i="1"/>
  <c r="W208" i="1" s="1"/>
  <c r="AG204" i="1"/>
  <c r="W204" i="1" s="1"/>
  <c r="AG163" i="1"/>
  <c r="AI163" i="1" s="1"/>
  <c r="AG156" i="1"/>
  <c r="U156" i="1" s="1"/>
  <c r="S156" i="1" s="1"/>
  <c r="X156" i="1"/>
  <c r="AA155" i="1"/>
  <c r="W155" i="1" s="1"/>
  <c r="AA154" i="1"/>
  <c r="W154" i="1" s="1"/>
  <c r="AA141" i="1"/>
  <c r="AA138" i="1"/>
  <c r="W138" i="1" s="1"/>
  <c r="AA137" i="1"/>
  <c r="W137" i="1" s="1"/>
  <c r="AA119" i="1"/>
  <c r="AG110" i="1"/>
  <c r="X109" i="1"/>
  <c r="AG216" i="1"/>
  <c r="U216" i="1" s="1"/>
  <c r="S216" i="1" s="1"/>
  <c r="AA101" i="1"/>
  <c r="AA199" i="1"/>
  <c r="AG198" i="1"/>
  <c r="W198" i="1" s="1"/>
  <c r="AA195" i="1"/>
  <c r="AG193" i="1"/>
  <c r="U193" i="1" s="1"/>
  <c r="S193" i="1" s="1"/>
  <c r="X193" i="1"/>
  <c r="X188" i="1"/>
  <c r="T185" i="1"/>
  <c r="AG185" i="1"/>
  <c r="AI185" i="1" s="1"/>
  <c r="AA185" i="1"/>
  <c r="AI94" i="1"/>
  <c r="AI68" i="1"/>
  <c r="AG239" i="1"/>
  <c r="T238" i="1"/>
  <c r="U238" i="1" s="1"/>
  <c r="S238" i="1" s="1"/>
  <c r="AG236" i="1"/>
  <c r="U236" i="1" s="1"/>
  <c r="AG235" i="1"/>
  <c r="U235" i="1" s="1"/>
  <c r="U234" i="1"/>
  <c r="S234" i="1" s="1"/>
  <c r="AA223" i="1"/>
  <c r="W223" i="1" s="1"/>
  <c r="AI221" i="1"/>
  <c r="U218" i="1"/>
  <c r="S218" i="1" s="1"/>
  <c r="W205" i="1"/>
  <c r="W159" i="1"/>
  <c r="U151" i="1"/>
  <c r="S151" i="1" s="1"/>
  <c r="U139" i="1"/>
  <c r="U138" i="1"/>
  <c r="U133" i="1"/>
  <c r="S133" i="1" s="1"/>
  <c r="U125" i="1"/>
  <c r="S125" i="1" s="1"/>
  <c r="AI125" i="1"/>
  <c r="U121" i="1"/>
  <c r="S121" i="1" s="1"/>
  <c r="AI151" i="1"/>
  <c r="U103" i="1"/>
  <c r="S103" i="1" s="1"/>
  <c r="AI78" i="1"/>
  <c r="U75" i="1"/>
  <c r="S75" i="1" s="1"/>
  <c r="T174" i="1"/>
  <c r="T90" i="1"/>
  <c r="U86" i="1"/>
  <c r="S86" i="1" s="1"/>
  <c r="W78" i="1"/>
  <c r="W74" i="1"/>
  <c r="U72" i="1"/>
  <c r="S72" i="1" s="1"/>
  <c r="U57" i="1"/>
  <c r="W56" i="1"/>
  <c r="U51" i="1"/>
  <c r="S51" i="1" s="1"/>
  <c r="T51" i="1"/>
  <c r="W47" i="1"/>
  <c r="T37" i="1"/>
  <c r="W35" i="1"/>
  <c r="AG29" i="1"/>
  <c r="U29" i="1" s="1"/>
  <c r="X29" i="1"/>
  <c r="T28" i="1"/>
  <c r="AA26" i="1"/>
  <c r="T25" i="1"/>
  <c r="T17" i="1"/>
  <c r="X187" i="1"/>
  <c r="W183" i="1"/>
  <c r="X176" i="1"/>
  <c r="AG174" i="1"/>
  <c r="AG167" i="1"/>
  <c r="AA166" i="1"/>
  <c r="AG95" i="1"/>
  <c r="U95" i="1" s="1"/>
  <c r="S95" i="1" s="1"/>
  <c r="X95" i="1"/>
  <c r="T94" i="1"/>
  <c r="U94" i="1" s="1"/>
  <c r="S94" i="1" s="1"/>
  <c r="T91" i="1"/>
  <c r="AG90" i="1"/>
  <c r="AI90" i="1" s="1"/>
  <c r="X86" i="1"/>
  <c r="AG83" i="1"/>
  <c r="AI83" i="1" s="1"/>
  <c r="X83" i="1"/>
  <c r="T78" i="1"/>
  <c r="U78" i="1" s="1"/>
  <c r="S78" i="1" s="1"/>
  <c r="W75" i="1"/>
  <c r="T74" i="1"/>
  <c r="X72" i="1"/>
  <c r="AI71" i="1"/>
  <c r="T68" i="1"/>
  <c r="U68" i="1" s="1"/>
  <c r="AG61" i="1"/>
  <c r="X61" i="1"/>
  <c r="AA60" i="1"/>
  <c r="W60" i="1" s="1"/>
  <c r="AG57" i="1"/>
  <c r="X57" i="1"/>
  <c r="T56" i="1"/>
  <c r="U56" i="1" s="1"/>
  <c r="S56" i="1" s="1"/>
  <c r="AG53" i="1"/>
  <c r="AG50" i="1"/>
  <c r="X50" i="1"/>
  <c r="AA49" i="1"/>
  <c r="AG46" i="1"/>
  <c r="X46" i="1"/>
  <c r="AG45" i="1"/>
  <c r="W45" i="1" s="1"/>
  <c r="X45" i="1"/>
  <c r="AI44" i="1"/>
  <c r="AI40" i="1"/>
  <c r="X40" i="1"/>
  <c r="AG37" i="1"/>
  <c r="W37" i="1" s="1"/>
  <c r="AG34" i="1"/>
  <c r="X34" i="1"/>
  <c r="AA33" i="1"/>
  <c r="T32" i="1"/>
  <c r="T24" i="1"/>
  <c r="AG17" i="1"/>
  <c r="T16" i="1"/>
  <c r="AA14" i="1"/>
  <c r="AA193" i="1"/>
  <c r="W193" i="1" s="1"/>
  <c r="AG178" i="1"/>
  <c r="U178" i="1" s="1"/>
  <c r="S178" i="1" s="1"/>
  <c r="X178" i="1"/>
  <c r="AA172" i="1"/>
  <c r="AA170" i="1"/>
  <c r="W170" i="1" s="1"/>
  <c r="AG91" i="1"/>
  <c r="U91" i="1" s="1"/>
  <c r="S91" i="1" s="1"/>
  <c r="AG87" i="1"/>
  <c r="U87" i="1" s="1"/>
  <c r="S87" i="1" s="1"/>
  <c r="AI86" i="1"/>
  <c r="AA80" i="1"/>
  <c r="X73" i="1"/>
  <c r="AI72" i="1"/>
  <c r="X71" i="1"/>
  <c r="T67" i="1"/>
  <c r="W64" i="1"/>
  <c r="T55" i="1"/>
  <c r="X51" i="1"/>
  <c r="AG42" i="1"/>
  <c r="W42" i="1" s="1"/>
  <c r="X42" i="1"/>
  <c r="T36" i="1"/>
  <c r="AG33" i="1"/>
  <c r="AA30" i="1"/>
  <c r="X28" i="1"/>
  <c r="AG25" i="1"/>
  <c r="U25" i="1" s="1"/>
  <c r="AA21" i="1"/>
  <c r="T20" i="1"/>
  <c r="AA176" i="1"/>
  <c r="W176" i="1" s="1"/>
  <c r="T176" i="1"/>
  <c r="AA175" i="1"/>
  <c r="AA168" i="1"/>
  <c r="W168" i="1" s="1"/>
  <c r="AA167" i="1"/>
  <c r="AA97" i="1"/>
  <c r="AA95" i="1"/>
  <c r="AA84" i="1"/>
  <c r="U79" i="1"/>
  <c r="AA66" i="1"/>
  <c r="AA57" i="1"/>
  <c r="W57" i="1" s="1"/>
  <c r="AA54" i="1"/>
  <c r="W52" i="1"/>
  <c r="AA48" i="1"/>
  <c r="AA46" i="1"/>
  <c r="T44" i="1"/>
  <c r="U41" i="1"/>
  <c r="S41" i="1" s="1"/>
  <c r="T40" i="1"/>
  <c r="X32" i="1"/>
  <c r="X24" i="1"/>
  <c r="AA18" i="1"/>
  <c r="X16" i="1"/>
  <c r="AI276" i="1"/>
  <c r="AI264" i="1"/>
  <c r="T273" i="1"/>
  <c r="X273" i="1"/>
  <c r="AG273" i="1"/>
  <c r="AI272" i="1"/>
  <c r="X274" i="1"/>
  <c r="AI271" i="1"/>
  <c r="T261" i="1"/>
  <c r="X261" i="1"/>
  <c r="AG261" i="1"/>
  <c r="W261" i="1" s="1"/>
  <c r="AI260" i="1"/>
  <c r="T214" i="1"/>
  <c r="X214" i="1"/>
  <c r="AG214" i="1"/>
  <c r="W214" i="1" s="1"/>
  <c r="S45" i="3"/>
  <c r="S275" i="1"/>
  <c r="AI275" i="1"/>
  <c r="T265" i="1"/>
  <c r="X265" i="1"/>
  <c r="AG265" i="1"/>
  <c r="X262" i="1"/>
  <c r="AI259" i="1"/>
  <c r="AI243" i="1"/>
  <c r="W240" i="1"/>
  <c r="W236" i="1"/>
  <c r="W234" i="1"/>
  <c r="W230" i="1"/>
  <c r="W228" i="1"/>
  <c r="W226" i="1"/>
  <c r="W224" i="1"/>
  <c r="W210" i="1"/>
  <c r="AI210" i="1"/>
  <c r="AG207" i="1"/>
  <c r="W207" i="1" s="1"/>
  <c r="X207" i="1"/>
  <c r="T207" i="1"/>
  <c r="X208" i="1"/>
  <c r="W161" i="1"/>
  <c r="AI194" i="1"/>
  <c r="AG158" i="1"/>
  <c r="W158" i="1" s="1"/>
  <c r="X158" i="1"/>
  <c r="T158" i="1"/>
  <c r="X159" i="1"/>
  <c r="X148" i="1"/>
  <c r="AG148" i="1"/>
  <c r="U126" i="1"/>
  <c r="S126" i="1" s="1"/>
  <c r="T123" i="1"/>
  <c r="X123" i="1"/>
  <c r="AG123" i="1"/>
  <c r="AI156" i="1"/>
  <c r="U118" i="1"/>
  <c r="S118" i="1" s="1"/>
  <c r="T217" i="1"/>
  <c r="X217" i="1"/>
  <c r="AG217" i="1"/>
  <c r="AI217" i="1" s="1"/>
  <c r="AI139" i="1"/>
  <c r="U104" i="1"/>
  <c r="S104" i="1" s="1"/>
  <c r="T264" i="1"/>
  <c r="U264" i="1" s="1"/>
  <c r="S264" i="1" s="1"/>
  <c r="X264" i="1"/>
  <c r="T248" i="1"/>
  <c r="X248" i="1"/>
  <c r="T245" i="1"/>
  <c r="X245" i="1"/>
  <c r="AG245" i="1"/>
  <c r="AI244" i="1"/>
  <c r="AI239" i="1"/>
  <c r="AI211" i="1"/>
  <c r="U209" i="1"/>
  <c r="S209" i="1" s="1"/>
  <c r="U160" i="1"/>
  <c r="S160" i="1" s="1"/>
  <c r="W272" i="1"/>
  <c r="T268" i="1"/>
  <c r="X268" i="1"/>
  <c r="W256" i="1"/>
  <c r="T252" i="1"/>
  <c r="X252" i="1"/>
  <c r="T249" i="1"/>
  <c r="X249" i="1"/>
  <c r="AG249" i="1"/>
  <c r="AG248" i="1"/>
  <c r="AA276" i="1"/>
  <c r="W276" i="1" s="1"/>
  <c r="U274" i="1"/>
  <c r="S274" i="1" s="1"/>
  <c r="T272" i="1"/>
  <c r="U272" i="1" s="1"/>
  <c r="S272" i="1" s="1"/>
  <c r="X272" i="1"/>
  <c r="U271" i="1"/>
  <c r="S271" i="1" s="1"/>
  <c r="T269" i="1"/>
  <c r="X269" i="1"/>
  <c r="AG269" i="1"/>
  <c r="AG268" i="1"/>
  <c r="W268" i="1" s="1"/>
  <c r="W267" i="1"/>
  <c r="X266" i="1"/>
  <c r="S266" i="1"/>
  <c r="AI263" i="1"/>
  <c r="S263" i="1"/>
  <c r="R44" i="3"/>
  <c r="R50" i="3"/>
  <c r="AA260" i="1"/>
  <c r="W260" i="1" s="1"/>
  <c r="U258" i="1"/>
  <c r="S258" i="1" s="1"/>
  <c r="T256" i="1"/>
  <c r="U256" i="1" s="1"/>
  <c r="S256" i="1" s="1"/>
  <c r="X256" i="1"/>
  <c r="U255" i="1"/>
  <c r="S255" i="1" s="1"/>
  <c r="T253" i="1"/>
  <c r="X253" i="1"/>
  <c r="AG253" i="1"/>
  <c r="AG252" i="1"/>
  <c r="W252" i="1" s="1"/>
  <c r="W251" i="1"/>
  <c r="X250" i="1"/>
  <c r="AI247" i="1"/>
  <c r="S247" i="1"/>
  <c r="AA244" i="1"/>
  <c r="W244" i="1" s="1"/>
  <c r="U242" i="1"/>
  <c r="S242" i="1" s="1"/>
  <c r="T240" i="1"/>
  <c r="U240" i="1" s="1"/>
  <c r="S240" i="1" s="1"/>
  <c r="X240" i="1"/>
  <c r="U239" i="1"/>
  <c r="S239" i="1" s="1"/>
  <c r="T237" i="1"/>
  <c r="X237" i="1"/>
  <c r="AG237" i="1"/>
  <c r="X234" i="1"/>
  <c r="T233" i="1"/>
  <c r="X233" i="1"/>
  <c r="AG233" i="1"/>
  <c r="X230" i="1"/>
  <c r="T229" i="1"/>
  <c r="X229" i="1"/>
  <c r="AG229" i="1"/>
  <c r="W229" i="1" s="1"/>
  <c r="X226" i="1"/>
  <c r="T225" i="1"/>
  <c r="X225" i="1"/>
  <c r="AG225" i="1"/>
  <c r="W225" i="1" s="1"/>
  <c r="U208" i="1"/>
  <c r="S208" i="1" s="1"/>
  <c r="U204" i="1"/>
  <c r="S204" i="1" s="1"/>
  <c r="U159" i="1"/>
  <c r="S159" i="1" s="1"/>
  <c r="U155" i="1"/>
  <c r="T149" i="1"/>
  <c r="X149" i="1"/>
  <c r="AG149" i="1"/>
  <c r="AI179" i="1"/>
  <c r="U143" i="1"/>
  <c r="S143" i="1" s="1"/>
  <c r="W142" i="1"/>
  <c r="X130" i="1"/>
  <c r="AG130" i="1"/>
  <c r="AI130" i="1" s="1"/>
  <c r="AG195" i="1"/>
  <c r="AI195" i="1" s="1"/>
  <c r="X195" i="1"/>
  <c r="T195" i="1"/>
  <c r="X100" i="1"/>
  <c r="AG180" i="1"/>
  <c r="AI180" i="1" s="1"/>
  <c r="X180" i="1"/>
  <c r="T180" i="1"/>
  <c r="X181" i="1"/>
  <c r="AG97" i="1"/>
  <c r="X97" i="1"/>
  <c r="T97" i="1"/>
  <c r="T276" i="1"/>
  <c r="U276" i="1" s="1"/>
  <c r="S276" i="1" s="1"/>
  <c r="X276" i="1"/>
  <c r="AI267" i="1"/>
  <c r="W264" i="1"/>
  <c r="U262" i="1"/>
  <c r="S262" i="1" s="1"/>
  <c r="T260" i="1"/>
  <c r="U260" i="1" s="1"/>
  <c r="S260" i="1" s="1"/>
  <c r="X260" i="1"/>
  <c r="T257" i="1"/>
  <c r="X257" i="1"/>
  <c r="AG257" i="1"/>
  <c r="W257" i="1" s="1"/>
  <c r="AI256" i="1"/>
  <c r="W255" i="1"/>
  <c r="AI251" i="1"/>
  <c r="AA248" i="1"/>
  <c r="W248" i="1" s="1"/>
  <c r="U246" i="1"/>
  <c r="S246" i="1" s="1"/>
  <c r="T244" i="1"/>
  <c r="U244" i="1" s="1"/>
  <c r="S244" i="1" s="1"/>
  <c r="X244" i="1"/>
  <c r="T241" i="1"/>
  <c r="X241" i="1"/>
  <c r="AG241" i="1"/>
  <c r="W241" i="1" s="1"/>
  <c r="AI240" i="1"/>
  <c r="W239" i="1"/>
  <c r="S236" i="1"/>
  <c r="AI236" i="1"/>
  <c r="AI232" i="1"/>
  <c r="S228" i="1"/>
  <c r="AI228" i="1"/>
  <c r="AI224" i="1"/>
  <c r="X215" i="1"/>
  <c r="X213" i="1"/>
  <c r="AG213" i="1"/>
  <c r="AI213" i="1" s="1"/>
  <c r="AI212" i="1"/>
  <c r="AG164" i="1"/>
  <c r="AI164" i="1" s="1"/>
  <c r="AI196" i="1"/>
  <c r="T148" i="1"/>
  <c r="AA145" i="1"/>
  <c r="W145" i="1" s="1"/>
  <c r="S142" i="1"/>
  <c r="AI178" i="1"/>
  <c r="AG141" i="1"/>
  <c r="X141" i="1"/>
  <c r="T141" i="1"/>
  <c r="X142" i="1"/>
  <c r="T131" i="1"/>
  <c r="X131" i="1"/>
  <c r="AG131" i="1"/>
  <c r="W131" i="1" s="1"/>
  <c r="U100" i="1"/>
  <c r="S100" i="1" s="1"/>
  <c r="AI114" i="1"/>
  <c r="U181" i="1"/>
  <c r="S181" i="1" s="1"/>
  <c r="U166" i="1"/>
  <c r="S166" i="1" s="1"/>
  <c r="S235" i="1"/>
  <c r="X224" i="1"/>
  <c r="AI223" i="1"/>
  <c r="X221" i="1"/>
  <c r="T202" i="1"/>
  <c r="X202" i="1"/>
  <c r="T201" i="1"/>
  <c r="U163" i="1"/>
  <c r="S163" i="1" s="1"/>
  <c r="X154" i="1"/>
  <c r="T153" i="1"/>
  <c r="X153" i="1"/>
  <c r="T152" i="1"/>
  <c r="U147" i="1"/>
  <c r="S147" i="1" s="1"/>
  <c r="W139" i="1"/>
  <c r="AI174" i="1"/>
  <c r="S138" i="1"/>
  <c r="T136" i="1"/>
  <c r="T134" i="1"/>
  <c r="W127" i="1"/>
  <c r="S122" i="1"/>
  <c r="AI160" i="1"/>
  <c r="W114" i="1"/>
  <c r="T111" i="1"/>
  <c r="X111" i="1"/>
  <c r="AG111" i="1"/>
  <c r="W111" i="1" s="1"/>
  <c r="U109" i="1"/>
  <c r="S109" i="1" s="1"/>
  <c r="AI143" i="1"/>
  <c r="W199" i="1"/>
  <c r="U192" i="1"/>
  <c r="S192" i="1" s="1"/>
  <c r="U177" i="1"/>
  <c r="S177" i="1" s="1"/>
  <c r="X236" i="1"/>
  <c r="AI235" i="1"/>
  <c r="X232" i="1"/>
  <c r="AI231" i="1"/>
  <c r="S231" i="1"/>
  <c r="X228" i="1"/>
  <c r="AI227" i="1"/>
  <c r="T220" i="1"/>
  <c r="X220" i="1"/>
  <c r="T219" i="1"/>
  <c r="U212" i="1"/>
  <c r="S212" i="1" s="1"/>
  <c r="AG220" i="1"/>
  <c r="AG219" i="1"/>
  <c r="U215" i="1"/>
  <c r="S215" i="1" s="1"/>
  <c r="X212" i="1"/>
  <c r="T211" i="1"/>
  <c r="U211" i="1" s="1"/>
  <c r="S211" i="1" s="1"/>
  <c r="AA209" i="1"/>
  <c r="W209" i="1" s="1"/>
  <c r="T206" i="1"/>
  <c r="U206" i="1" s="1"/>
  <c r="S206" i="1" s="1"/>
  <c r="X206" i="1"/>
  <c r="AG202" i="1"/>
  <c r="AI202" i="1" s="1"/>
  <c r="AG201" i="1"/>
  <c r="AI201" i="1" s="1"/>
  <c r="U165" i="1"/>
  <c r="S165" i="1" s="1"/>
  <c r="X163" i="1"/>
  <c r="T162" i="1"/>
  <c r="U162" i="1" s="1"/>
  <c r="S162" i="1" s="1"/>
  <c r="AA160" i="1"/>
  <c r="W160" i="1" s="1"/>
  <c r="T157" i="1"/>
  <c r="X157" i="1"/>
  <c r="U157" i="1"/>
  <c r="S157" i="1" s="1"/>
  <c r="AG153" i="1"/>
  <c r="W153" i="1" s="1"/>
  <c r="AG152" i="1"/>
  <c r="U150" i="1"/>
  <c r="S150" i="1" s="1"/>
  <c r="X147" i="1"/>
  <c r="T146" i="1"/>
  <c r="U146" i="1" s="1"/>
  <c r="S146" i="1" s="1"/>
  <c r="AA143" i="1"/>
  <c r="W143" i="1" s="1"/>
  <c r="T140" i="1"/>
  <c r="U140" i="1" s="1"/>
  <c r="S140" i="1" s="1"/>
  <c r="AG136" i="1"/>
  <c r="W136" i="1" s="1"/>
  <c r="AG134" i="1"/>
  <c r="U132" i="1"/>
  <c r="S132" i="1" s="1"/>
  <c r="T127" i="1"/>
  <c r="U127" i="1" s="1"/>
  <c r="S127" i="1" s="1"/>
  <c r="X127" i="1"/>
  <c r="AA126" i="1"/>
  <c r="W126" i="1" s="1"/>
  <c r="T124" i="1"/>
  <c r="X124" i="1"/>
  <c r="AG124" i="1"/>
  <c r="AA118" i="1"/>
  <c r="W118" i="1" s="1"/>
  <c r="T115" i="1"/>
  <c r="X115" i="1"/>
  <c r="AG115" i="1"/>
  <c r="W115" i="1" s="1"/>
  <c r="U113" i="1"/>
  <c r="S113" i="1" s="1"/>
  <c r="AI148" i="1"/>
  <c r="AA104" i="1"/>
  <c r="W104" i="1" s="1"/>
  <c r="T101" i="1"/>
  <c r="X101" i="1"/>
  <c r="AG101" i="1"/>
  <c r="U198" i="1"/>
  <c r="S198" i="1" s="1"/>
  <c r="X99" i="1"/>
  <c r="AG99" i="1"/>
  <c r="X171" i="1"/>
  <c r="AG171" i="1"/>
  <c r="AI100" i="1"/>
  <c r="U221" i="1"/>
  <c r="S221" i="1" s="1"/>
  <c r="AA213" i="1"/>
  <c r="W213" i="1" s="1"/>
  <c r="AI214" i="1"/>
  <c r="X211" i="1"/>
  <c r="T210" i="1"/>
  <c r="U210" i="1" s="1"/>
  <c r="S210" i="1" s="1"/>
  <c r="X210" i="1"/>
  <c r="AI207" i="1"/>
  <c r="U203" i="1"/>
  <c r="S203" i="1" s="1"/>
  <c r="AA164" i="1"/>
  <c r="W164" i="1" s="1"/>
  <c r="AI198" i="1"/>
  <c r="X162" i="1"/>
  <c r="T161" i="1"/>
  <c r="U161" i="1" s="1"/>
  <c r="S161" i="1" s="1"/>
  <c r="X161" i="1"/>
  <c r="AI191" i="1"/>
  <c r="U154" i="1"/>
  <c r="S154" i="1" s="1"/>
  <c r="AA148" i="1"/>
  <c r="W148" i="1" s="1"/>
  <c r="AI182" i="1"/>
  <c r="T145" i="1"/>
  <c r="U145" i="1" s="1"/>
  <c r="S145" i="1" s="1"/>
  <c r="S139" i="1"/>
  <c r="U137" i="1"/>
  <c r="S137" i="1" s="1"/>
  <c r="AA130" i="1"/>
  <c r="W130" i="1" s="1"/>
  <c r="T128" i="1"/>
  <c r="X128" i="1"/>
  <c r="AG128" i="1"/>
  <c r="W123" i="1"/>
  <c r="AA122" i="1"/>
  <c r="W122" i="1" s="1"/>
  <c r="T119" i="1"/>
  <c r="X119" i="1"/>
  <c r="AG119" i="1"/>
  <c r="AI152" i="1"/>
  <c r="W217" i="1"/>
  <c r="AA216" i="1"/>
  <c r="W216" i="1" s="1"/>
  <c r="T105" i="1"/>
  <c r="X105" i="1"/>
  <c r="AG105" i="1"/>
  <c r="AI105" i="1" s="1"/>
  <c r="AI134" i="1"/>
  <c r="AI131" i="1"/>
  <c r="U196" i="1"/>
  <c r="S196" i="1" s="1"/>
  <c r="W100" i="1"/>
  <c r="W195" i="1"/>
  <c r="T186" i="1"/>
  <c r="X186" i="1"/>
  <c r="AG186" i="1"/>
  <c r="AI186" i="1" s="1"/>
  <c r="AI115" i="1"/>
  <c r="U182" i="1"/>
  <c r="S182" i="1" s="1"/>
  <c r="W181" i="1"/>
  <c r="W180" i="1"/>
  <c r="T172" i="1"/>
  <c r="X172" i="1"/>
  <c r="AG172" i="1"/>
  <c r="W172" i="1" s="1"/>
  <c r="AI99" i="1"/>
  <c r="U167" i="1"/>
  <c r="S167" i="1" s="1"/>
  <c r="W166" i="1"/>
  <c r="W97" i="1"/>
  <c r="T92" i="1"/>
  <c r="X92" i="1"/>
  <c r="AG92" i="1"/>
  <c r="T88" i="1"/>
  <c r="X88" i="1"/>
  <c r="AG88" i="1"/>
  <c r="W88" i="1" s="1"/>
  <c r="U83" i="1"/>
  <c r="T190" i="1"/>
  <c r="X190" i="1"/>
  <c r="T189" i="1"/>
  <c r="U185" i="1"/>
  <c r="S185" i="1" s="1"/>
  <c r="T98" i="1"/>
  <c r="X98" i="1"/>
  <c r="T175" i="1"/>
  <c r="U170" i="1"/>
  <c r="S170" i="1" s="1"/>
  <c r="T93" i="1"/>
  <c r="X93" i="1"/>
  <c r="AG93" i="1"/>
  <c r="U90" i="1"/>
  <c r="S90" i="1" s="1"/>
  <c r="AI87" i="1"/>
  <c r="AA79" i="1"/>
  <c r="W79" i="1" s="1"/>
  <c r="T76" i="1"/>
  <c r="X76" i="1"/>
  <c r="AG76" i="1"/>
  <c r="U74" i="1"/>
  <c r="S74" i="1" s="1"/>
  <c r="X65" i="1"/>
  <c r="AG65" i="1"/>
  <c r="AI62" i="1"/>
  <c r="AG48" i="1"/>
  <c r="X48" i="1"/>
  <c r="T48" i="1"/>
  <c r="X49" i="1"/>
  <c r="U20" i="1"/>
  <c r="S20" i="1" s="1"/>
  <c r="AI20" i="1"/>
  <c r="AG120" i="1"/>
  <c r="AG116" i="1"/>
  <c r="AI116" i="1" s="1"/>
  <c r="AG112" i="1"/>
  <c r="AI112" i="1" s="1"/>
  <c r="AG108" i="1"/>
  <c r="AG106" i="1"/>
  <c r="AI106" i="1" s="1"/>
  <c r="AG102" i="1"/>
  <c r="AG197" i="1"/>
  <c r="AI197" i="1" s="1"/>
  <c r="AA196" i="1"/>
  <c r="W196" i="1" s="1"/>
  <c r="T194" i="1"/>
  <c r="U194" i="1" s="1"/>
  <c r="S194" i="1" s="1"/>
  <c r="X194" i="1"/>
  <c r="AG190" i="1"/>
  <c r="AI190" i="1" s="1"/>
  <c r="AG189" i="1"/>
  <c r="U187" i="1"/>
  <c r="S187" i="1" s="1"/>
  <c r="X185" i="1"/>
  <c r="T184" i="1"/>
  <c r="U184" i="1" s="1"/>
  <c r="S184" i="1" s="1"/>
  <c r="AA182" i="1"/>
  <c r="W182" i="1" s="1"/>
  <c r="T179" i="1"/>
  <c r="U179" i="1" s="1"/>
  <c r="S179" i="1" s="1"/>
  <c r="X179" i="1"/>
  <c r="AG98" i="1"/>
  <c r="W98" i="1" s="1"/>
  <c r="AG175" i="1"/>
  <c r="AI175" i="1" s="1"/>
  <c r="U173" i="1"/>
  <c r="S173" i="1" s="1"/>
  <c r="T169" i="1"/>
  <c r="U169" i="1" s="1"/>
  <c r="S169" i="1" s="1"/>
  <c r="W167" i="1"/>
  <c r="T96" i="1"/>
  <c r="X96" i="1"/>
  <c r="AA83" i="1"/>
  <c r="W83" i="1" s="1"/>
  <c r="T80" i="1"/>
  <c r="X80" i="1"/>
  <c r="AG80" i="1"/>
  <c r="W80" i="1" s="1"/>
  <c r="AI75" i="1"/>
  <c r="T66" i="1"/>
  <c r="X66" i="1"/>
  <c r="AG66" i="1"/>
  <c r="AI61" i="1"/>
  <c r="U61" i="1"/>
  <c r="S61" i="1" s="1"/>
  <c r="AI49" i="1"/>
  <c r="U49" i="1"/>
  <c r="S49" i="1" s="1"/>
  <c r="X120" i="1"/>
  <c r="X116" i="1"/>
  <c r="X112" i="1"/>
  <c r="X108" i="1"/>
  <c r="X106" i="1"/>
  <c r="X102" i="1"/>
  <c r="X197" i="1"/>
  <c r="AI127" i="1"/>
  <c r="U191" i="1"/>
  <c r="S191" i="1" s="1"/>
  <c r="AA99" i="1"/>
  <c r="W99" i="1" s="1"/>
  <c r="AI118" i="1"/>
  <c r="X184" i="1"/>
  <c r="T183" i="1"/>
  <c r="U183" i="1" s="1"/>
  <c r="S183" i="1" s="1"/>
  <c r="X183" i="1"/>
  <c r="AI111" i="1"/>
  <c r="U176" i="1"/>
  <c r="S176" i="1" s="1"/>
  <c r="AA171" i="1"/>
  <c r="W171" i="1" s="1"/>
  <c r="AI102" i="1"/>
  <c r="T168" i="1"/>
  <c r="U168" i="1" s="1"/>
  <c r="S168" i="1" s="1"/>
  <c r="AG96" i="1"/>
  <c r="AI95" i="1"/>
  <c r="X94" i="1"/>
  <c r="AA92" i="1"/>
  <c r="AA87" i="1"/>
  <c r="W87" i="1" s="1"/>
  <c r="T84" i="1"/>
  <c r="X84" i="1"/>
  <c r="AG84" i="1"/>
  <c r="S79" i="1"/>
  <c r="AI79" i="1"/>
  <c r="T65" i="1"/>
  <c r="AA62" i="1"/>
  <c r="W62" i="1" s="1"/>
  <c r="AI60" i="1"/>
  <c r="AG59" i="1"/>
  <c r="W59" i="1" s="1"/>
  <c r="X59" i="1"/>
  <c r="T59" i="1"/>
  <c r="X60" i="1"/>
  <c r="T54" i="1"/>
  <c r="X54" i="1"/>
  <c r="AG54" i="1"/>
  <c r="W54" i="1" s="1"/>
  <c r="X55" i="1"/>
  <c r="T70" i="1"/>
  <c r="X70" i="1"/>
  <c r="T69" i="1"/>
  <c r="U64" i="1"/>
  <c r="S64" i="1" s="1"/>
  <c r="AI53" i="1"/>
  <c r="U52" i="1"/>
  <c r="S52" i="1" s="1"/>
  <c r="AI21" i="1"/>
  <c r="U21" i="1"/>
  <c r="S21" i="1" s="1"/>
  <c r="AG89" i="1"/>
  <c r="AG85" i="1"/>
  <c r="AG81" i="1"/>
  <c r="AG77" i="1"/>
  <c r="AG73" i="1"/>
  <c r="W73" i="1" s="1"/>
  <c r="T73" i="1"/>
  <c r="AG70" i="1"/>
  <c r="W70" i="1" s="1"/>
  <c r="AG69" i="1"/>
  <c r="U67" i="1"/>
  <c r="S67" i="1" s="1"/>
  <c r="X64" i="1"/>
  <c r="T63" i="1"/>
  <c r="U63" i="1" s="1"/>
  <c r="S63" i="1" s="1"/>
  <c r="AA61" i="1"/>
  <c r="W61" i="1" s="1"/>
  <c r="T58" i="1"/>
  <c r="U58" i="1" s="1"/>
  <c r="S58" i="1" s="1"/>
  <c r="X58" i="1"/>
  <c r="U53" i="1"/>
  <c r="S53" i="1" s="1"/>
  <c r="U46" i="1"/>
  <c r="S46" i="1" s="1"/>
  <c r="U45" i="1"/>
  <c r="S45" i="1" s="1"/>
  <c r="X38" i="1"/>
  <c r="AG38" i="1"/>
  <c r="AI35" i="1"/>
  <c r="AI34" i="1"/>
  <c r="U34" i="1"/>
  <c r="S34" i="1" s="1"/>
  <c r="U32" i="1"/>
  <c r="S32" i="1" s="1"/>
  <c r="AI32" i="1"/>
  <c r="X89" i="1"/>
  <c r="X85" i="1"/>
  <c r="X81" i="1"/>
  <c r="X77" i="1"/>
  <c r="U71" i="1"/>
  <c r="S71" i="1" s="1"/>
  <c r="AA65" i="1"/>
  <c r="W65" i="1" s="1"/>
  <c r="AI64" i="1"/>
  <c r="X63" i="1"/>
  <c r="T62" i="1"/>
  <c r="U62" i="1" s="1"/>
  <c r="S62" i="1" s="1"/>
  <c r="X62" i="1"/>
  <c r="S57" i="1"/>
  <c r="AI57" i="1"/>
  <c r="U55" i="1"/>
  <c r="S55" i="1" s="1"/>
  <c r="AA53" i="1"/>
  <c r="W53" i="1" s="1"/>
  <c r="AI50" i="1"/>
  <c r="U50" i="1"/>
  <c r="S50" i="1" s="1"/>
  <c r="W49" i="1"/>
  <c r="W48" i="1"/>
  <c r="T39" i="1"/>
  <c r="X39" i="1"/>
  <c r="AG39" i="1"/>
  <c r="W39" i="1" s="1"/>
  <c r="U33" i="1"/>
  <c r="S33" i="1" s="1"/>
  <c r="AI33" i="1"/>
  <c r="X53" i="1"/>
  <c r="AI52" i="1"/>
  <c r="AI47" i="1"/>
  <c r="W46" i="1"/>
  <c r="AI45" i="1"/>
  <c r="X44" i="1"/>
  <c r="T43" i="1"/>
  <c r="X43" i="1"/>
  <c r="U36" i="1"/>
  <c r="S36" i="1" s="1"/>
  <c r="T30" i="1"/>
  <c r="X30" i="1"/>
  <c r="AG30" i="1"/>
  <c r="W30" i="1" s="1"/>
  <c r="W29" i="1"/>
  <c r="W28" i="1"/>
  <c r="T18" i="1"/>
  <c r="X18" i="1"/>
  <c r="AG18" i="1"/>
  <c r="W17" i="1"/>
  <c r="W16" i="1"/>
  <c r="AA50" i="1"/>
  <c r="W50" i="1" s="1"/>
  <c r="T47" i="1"/>
  <c r="U47" i="1" s="1"/>
  <c r="S47" i="1" s="1"/>
  <c r="X47" i="1"/>
  <c r="AG43" i="1"/>
  <c r="AI42" i="1"/>
  <c r="U40" i="1"/>
  <c r="S40" i="1" s="1"/>
  <c r="AA34" i="1"/>
  <c r="W34" i="1" s="1"/>
  <c r="S29" i="1"/>
  <c r="AI29" i="1"/>
  <c r="U28" i="1"/>
  <c r="S28" i="1" s="1"/>
  <c r="AI28" i="1"/>
  <c r="T26" i="1"/>
  <c r="X26" i="1"/>
  <c r="AG26" i="1"/>
  <c r="W26" i="1" s="1"/>
  <c r="W25" i="1"/>
  <c r="W24" i="1"/>
  <c r="AI17" i="1"/>
  <c r="U16" i="1"/>
  <c r="S16" i="1" s="1"/>
  <c r="AI16" i="1"/>
  <c r="T14" i="1"/>
  <c r="AG14" i="1"/>
  <c r="W14" i="1" s="1"/>
  <c r="AI46" i="1"/>
  <c r="U44" i="1"/>
  <c r="S44" i="1" s="1"/>
  <c r="AA38" i="1"/>
  <c r="T35" i="1"/>
  <c r="U35" i="1" s="1"/>
  <c r="S35" i="1" s="1"/>
  <c r="X35" i="1"/>
  <c r="W33" i="1"/>
  <c r="W32" i="1"/>
  <c r="S25" i="1"/>
  <c r="AI25" i="1"/>
  <c r="U24" i="1"/>
  <c r="S24" i="1" s="1"/>
  <c r="AI24" i="1"/>
  <c r="T22" i="1"/>
  <c r="X22" i="1"/>
  <c r="AG22" i="1"/>
  <c r="W21" i="1"/>
  <c r="W20" i="1"/>
  <c r="AG31" i="1"/>
  <c r="W31" i="1" s="1"/>
  <c r="AG27" i="1"/>
  <c r="AG23" i="1"/>
  <c r="AG19" i="1"/>
  <c r="AG15" i="1"/>
  <c r="W15" i="1" s="1"/>
  <c r="X31" i="1"/>
  <c r="X27" i="1"/>
  <c r="X23" i="1"/>
  <c r="X19" i="1"/>
  <c r="X15" i="1"/>
  <c r="Y15" i="3"/>
  <c r="AD38" i="3"/>
  <c r="T39" i="3"/>
  <c r="Y7" i="3"/>
  <c r="Y25" i="3"/>
  <c r="Y29" i="3"/>
  <c r="AE20" i="3"/>
  <c r="Y35" i="3"/>
  <c r="Y41" i="3"/>
  <c r="T16" i="3"/>
  <c r="Y43" i="3"/>
  <c r="AD49" i="3"/>
  <c r="AE49" i="3"/>
  <c r="Y24" i="3"/>
  <c r="Y31" i="3"/>
  <c r="Y22" i="3"/>
  <c r="AD37" i="3"/>
  <c r="AC38" i="3"/>
  <c r="AD24" i="3"/>
  <c r="AD20" i="3"/>
  <c r="AD13" i="3"/>
  <c r="Y16" i="3"/>
  <c r="Y27" i="3"/>
  <c r="AD25" i="3"/>
  <c r="AE25" i="3"/>
  <c r="AD22" i="3"/>
  <c r="T41" i="3"/>
  <c r="AD8" i="3"/>
  <c r="Y18" i="3"/>
  <c r="T48" i="3"/>
  <c r="AD45" i="3"/>
  <c r="AE45" i="3"/>
  <c r="Y14" i="3"/>
  <c r="AE40" i="3"/>
  <c r="AC50" i="3"/>
  <c r="T11" i="3"/>
  <c r="Y39" i="3"/>
  <c r="T8" i="3"/>
  <c r="AD29" i="3"/>
  <c r="AE29" i="3"/>
  <c r="Y36" i="3"/>
  <c r="AE24" i="3"/>
  <c r="AC29" i="3"/>
  <c r="T21" i="3"/>
  <c r="Y13" i="3"/>
  <c r="AE19" i="3"/>
  <c r="AD17" i="3"/>
  <c r="AE17" i="3"/>
  <c r="T40" i="3"/>
  <c r="T12" i="3"/>
  <c r="AE11" i="3"/>
  <c r="AD9" i="3"/>
  <c r="AE9" i="3"/>
  <c r="Y11" i="3"/>
  <c r="Y8" i="3"/>
  <c r="Y21" i="3"/>
  <c r="Y12" i="3"/>
  <c r="AE48" i="3"/>
  <c r="AC10" i="3"/>
  <c r="T31" i="3"/>
  <c r="AE37" i="3"/>
  <c r="AE32" i="3"/>
  <c r="AC37" i="3"/>
  <c r="T20" i="3"/>
  <c r="AE21" i="3"/>
  <c r="T35" i="3"/>
  <c r="AE15" i="3"/>
  <c r="AE13" i="3"/>
  <c r="T28" i="3"/>
  <c r="AE35" i="3"/>
  <c r="T44" i="3"/>
  <c r="AE31" i="3"/>
  <c r="T7" i="3"/>
  <c r="T9" i="3"/>
  <c r="AE43" i="3"/>
  <c r="T45" i="3"/>
  <c r="AE39" i="3"/>
  <c r="T22" i="3"/>
  <c r="AE27" i="3"/>
  <c r="T23" i="3"/>
  <c r="AE23" i="3"/>
  <c r="T42" i="3"/>
  <c r="AE50" i="3"/>
  <c r="T49" i="3"/>
  <c r="AE46" i="3"/>
  <c r="T10" i="3"/>
  <c r="AD43" i="3"/>
  <c r="AE42" i="3"/>
  <c r="T24" i="3"/>
  <c r="AD39" i="3"/>
  <c r="AE38" i="3"/>
  <c r="T50" i="3"/>
  <c r="AD35" i="3"/>
  <c r="AE34" i="3"/>
  <c r="T38" i="3"/>
  <c r="AD31" i="3"/>
  <c r="AE30" i="3"/>
  <c r="T37" i="3"/>
  <c r="AD27" i="3"/>
  <c r="AE26" i="3"/>
  <c r="T30" i="3"/>
  <c r="AD23" i="3"/>
  <c r="AE22" i="3"/>
  <c r="T29" i="3"/>
  <c r="AD19" i="3"/>
  <c r="AE18" i="3"/>
  <c r="T26" i="3"/>
  <c r="AD15" i="3"/>
  <c r="AE14" i="3"/>
  <c r="T33" i="3"/>
  <c r="AD11" i="3"/>
  <c r="AE10" i="3"/>
  <c r="T32" i="3"/>
  <c r="AC27" i="3"/>
  <c r="AD18" i="3"/>
  <c r="AD14" i="3"/>
  <c r="AD10" i="3"/>
  <c r="AE8" i="3"/>
  <c r="AI144" i="1" l="1"/>
  <c r="U144" i="1"/>
  <c r="W144" i="1"/>
  <c r="W134" i="1"/>
  <c r="U174" i="1"/>
  <c r="S174" i="1" s="1"/>
  <c r="W38" i="1"/>
  <c r="W232" i="1"/>
  <c r="W218" i="1"/>
  <c r="AI91" i="1"/>
  <c r="U82" i="1"/>
  <c r="S82" i="1" s="1"/>
  <c r="W95" i="1"/>
  <c r="U251" i="1"/>
  <c r="S251" i="1" s="1"/>
  <c r="W82" i="1"/>
  <c r="W192" i="1"/>
  <c r="U227" i="1"/>
  <c r="S227" i="1" s="1"/>
  <c r="W41" i="1"/>
  <c r="U17" i="1"/>
  <c r="S17" i="1" s="1"/>
  <c r="W121" i="1"/>
  <c r="W189" i="1"/>
  <c r="AI189" i="1"/>
  <c r="W235" i="1"/>
  <c r="U200" i="1"/>
  <c r="S200" i="1" s="1"/>
  <c r="W243" i="1"/>
  <c r="W271" i="1"/>
  <c r="W190" i="1"/>
  <c r="AI98" i="1"/>
  <c r="W163" i="1"/>
  <c r="W231" i="1"/>
  <c r="W107" i="1"/>
  <c r="W128" i="1"/>
  <c r="AI128" i="1"/>
  <c r="W175" i="1"/>
  <c r="U42" i="1"/>
  <c r="S42" i="1" s="1"/>
  <c r="W178" i="1"/>
  <c r="W90" i="1"/>
  <c r="W259" i="1"/>
  <c r="W101" i="1"/>
  <c r="AI101" i="1"/>
  <c r="U37" i="1"/>
  <c r="S37" i="1" s="1"/>
  <c r="AI37" i="1"/>
  <c r="W91" i="1"/>
  <c r="W174" i="1"/>
  <c r="W185" i="1"/>
  <c r="AI110" i="1"/>
  <c r="U110" i="1"/>
  <c r="S110" i="1" s="1"/>
  <c r="W110" i="1"/>
  <c r="W156" i="1"/>
  <c r="AI22" i="1"/>
  <c r="U22" i="1"/>
  <c r="S22" i="1" s="1"/>
  <c r="U19" i="1"/>
  <c r="S19" i="1" s="1"/>
  <c r="AI19" i="1"/>
  <c r="U23" i="1"/>
  <c r="S23" i="1" s="1"/>
  <c r="AI23" i="1"/>
  <c r="W23" i="1"/>
  <c r="AI26" i="1"/>
  <c r="U26" i="1"/>
  <c r="S26" i="1" s="1"/>
  <c r="U43" i="1"/>
  <c r="S43" i="1" s="1"/>
  <c r="AI43" i="1"/>
  <c r="AI18" i="1"/>
  <c r="U18" i="1"/>
  <c r="S18" i="1" s="1"/>
  <c r="U85" i="1"/>
  <c r="S85" i="1" s="1"/>
  <c r="AI85" i="1"/>
  <c r="W92" i="1"/>
  <c r="U96" i="1"/>
  <c r="S96" i="1" s="1"/>
  <c r="AI96" i="1"/>
  <c r="W96" i="1"/>
  <c r="AI107" i="1"/>
  <c r="U175" i="1"/>
  <c r="S175" i="1" s="1"/>
  <c r="U102" i="1"/>
  <c r="S102" i="1" s="1"/>
  <c r="AI137" i="1"/>
  <c r="U116" i="1"/>
  <c r="S116" i="1" s="1"/>
  <c r="AI154" i="1"/>
  <c r="U48" i="1"/>
  <c r="S48" i="1" s="1"/>
  <c r="AI48" i="1"/>
  <c r="AI65" i="1"/>
  <c r="U65" i="1"/>
  <c r="S65" i="1" s="1"/>
  <c r="AI157" i="1"/>
  <c r="U119" i="1"/>
  <c r="S119" i="1" s="1"/>
  <c r="U124" i="1"/>
  <c r="S124" i="1" s="1"/>
  <c r="AI162" i="1"/>
  <c r="W124" i="1"/>
  <c r="U136" i="1"/>
  <c r="S136" i="1" s="1"/>
  <c r="AI172" i="1"/>
  <c r="AI187" i="1"/>
  <c r="U152" i="1"/>
  <c r="S152" i="1" s="1"/>
  <c r="W85" i="1"/>
  <c r="AI149" i="1"/>
  <c r="U111" i="1"/>
  <c r="S111" i="1" s="1"/>
  <c r="W116" i="1"/>
  <c r="U253" i="1"/>
  <c r="S253" i="1" s="1"/>
  <c r="AI253" i="1"/>
  <c r="W253" i="1"/>
  <c r="U269" i="1"/>
  <c r="S269" i="1" s="1"/>
  <c r="AI269" i="1"/>
  <c r="W269" i="1"/>
  <c r="AI248" i="1"/>
  <c r="U248" i="1"/>
  <c r="S248" i="1" s="1"/>
  <c r="U245" i="1"/>
  <c r="S245" i="1" s="1"/>
  <c r="AI245" i="1"/>
  <c r="AI145" i="1"/>
  <c r="U217" i="1"/>
  <c r="S217" i="1" s="1"/>
  <c r="U54" i="1"/>
  <c r="S54" i="1" s="1"/>
  <c r="AI54" i="1"/>
  <c r="AI66" i="1"/>
  <c r="U66" i="1"/>
  <c r="S66" i="1" s="1"/>
  <c r="S98" i="1"/>
  <c r="U98" i="1"/>
  <c r="AI108" i="1"/>
  <c r="AI123" i="1"/>
  <c r="U189" i="1"/>
  <c r="S189" i="1" s="1"/>
  <c r="U106" i="1"/>
  <c r="S106" i="1" s="1"/>
  <c r="AI141" i="1"/>
  <c r="U120" i="1"/>
  <c r="S120" i="1"/>
  <c r="AI158" i="1"/>
  <c r="AI92" i="1"/>
  <c r="U92" i="1"/>
  <c r="AI104" i="1"/>
  <c r="U172" i="1"/>
  <c r="S172" i="1" s="1"/>
  <c r="AI140" i="1"/>
  <c r="U105" i="1"/>
  <c r="S105" i="1" s="1"/>
  <c r="AI119" i="1"/>
  <c r="U99" i="1"/>
  <c r="S99" i="1" s="1"/>
  <c r="U153" i="1"/>
  <c r="S153" i="1" s="1"/>
  <c r="AI188" i="1"/>
  <c r="AI203" i="1"/>
  <c r="U201" i="1"/>
  <c r="S201" i="1" s="1"/>
  <c r="W102" i="1"/>
  <c r="W120" i="1"/>
  <c r="U97" i="1"/>
  <c r="S97" i="1" s="1"/>
  <c r="AI97" i="1"/>
  <c r="U180" i="1"/>
  <c r="S180" i="1" s="1"/>
  <c r="AI113" i="1"/>
  <c r="U195" i="1"/>
  <c r="S195" i="1" s="1"/>
  <c r="AI129" i="1"/>
  <c r="AI184" i="1"/>
  <c r="U149" i="1"/>
  <c r="S149" i="1" s="1"/>
  <c r="U249" i="1"/>
  <c r="S249" i="1" s="1"/>
  <c r="AI249" i="1"/>
  <c r="W149" i="1"/>
  <c r="AI216" i="1"/>
  <c r="U214" i="1"/>
  <c r="S214" i="1" s="1"/>
  <c r="U261" i="1"/>
  <c r="S261" i="1" s="1"/>
  <c r="AI261" i="1"/>
  <c r="U27" i="1"/>
  <c r="S27" i="1" s="1"/>
  <c r="AI27" i="1"/>
  <c r="AI14" i="1"/>
  <c r="U14" i="1"/>
  <c r="S14" i="1" s="1"/>
  <c r="W22" i="1"/>
  <c r="U73" i="1"/>
  <c r="S73" i="1" s="1"/>
  <c r="AI73" i="1"/>
  <c r="U89" i="1"/>
  <c r="S89" i="1" s="1"/>
  <c r="AI89" i="1"/>
  <c r="W89" i="1"/>
  <c r="U15" i="1"/>
  <c r="S15" i="1" s="1"/>
  <c r="AI15" i="1"/>
  <c r="U31" i="1"/>
  <c r="S31" i="1" s="1"/>
  <c r="AI31" i="1"/>
  <c r="AI30" i="1"/>
  <c r="U30" i="1"/>
  <c r="S30" i="1" s="1"/>
  <c r="AI39" i="1"/>
  <c r="U39" i="1"/>
  <c r="S39" i="1" s="1"/>
  <c r="W27" i="1"/>
  <c r="W43" i="1"/>
  <c r="AI69" i="1"/>
  <c r="U69" i="1"/>
  <c r="U77" i="1"/>
  <c r="S77" i="1" s="1"/>
  <c r="AI77" i="1"/>
  <c r="W18" i="1"/>
  <c r="U190" i="1"/>
  <c r="S190" i="1" s="1"/>
  <c r="AI124" i="1"/>
  <c r="U108" i="1"/>
  <c r="S108" i="1" s="1"/>
  <c r="AI146" i="1"/>
  <c r="W108" i="1"/>
  <c r="W66" i="1"/>
  <c r="AI76" i="1"/>
  <c r="U76" i="1"/>
  <c r="S76" i="1" s="1"/>
  <c r="U93" i="1"/>
  <c r="AI93" i="1"/>
  <c r="AI88" i="1"/>
  <c r="U88" i="1"/>
  <c r="S88" i="1" s="1"/>
  <c r="AI120" i="1"/>
  <c r="U186" i="1"/>
  <c r="S186" i="1" s="1"/>
  <c r="AI103" i="1"/>
  <c r="U171" i="1"/>
  <c r="S171" i="1" s="1"/>
  <c r="U202" i="1"/>
  <c r="S202" i="1" s="1"/>
  <c r="AI204" i="1"/>
  <c r="AI219" i="1"/>
  <c r="U219" i="1"/>
  <c r="S219" i="1" s="1"/>
  <c r="W76" i="1"/>
  <c r="W106" i="1"/>
  <c r="AI168" i="1"/>
  <c r="U131" i="1"/>
  <c r="S131" i="1" s="1"/>
  <c r="U141" i="1"/>
  <c r="S141" i="1" s="1"/>
  <c r="AI177" i="1"/>
  <c r="AI225" i="1"/>
  <c r="U225" i="1"/>
  <c r="S225" i="1" s="1"/>
  <c r="AI229" i="1"/>
  <c r="U229" i="1"/>
  <c r="S229" i="1" s="1"/>
  <c r="AI233" i="1"/>
  <c r="U233" i="1"/>
  <c r="S233" i="1" s="1"/>
  <c r="U237" i="1"/>
  <c r="S237" i="1" s="1"/>
  <c r="AI237" i="1"/>
  <c r="W202" i="1"/>
  <c r="AI161" i="1"/>
  <c r="U123" i="1"/>
  <c r="S123" i="1" s="1"/>
  <c r="W152" i="1"/>
  <c r="U158" i="1"/>
  <c r="S158" i="1" s="1"/>
  <c r="AI193" i="1"/>
  <c r="U207" i="1"/>
  <c r="S207" i="1" s="1"/>
  <c r="AI209" i="1"/>
  <c r="W237" i="1"/>
  <c r="U265" i="1"/>
  <c r="S265" i="1" s="1"/>
  <c r="W265" i="1"/>
  <c r="AI265" i="1"/>
  <c r="U273" i="1"/>
  <c r="S273" i="1" s="1"/>
  <c r="AI273" i="1"/>
  <c r="W273" i="1"/>
  <c r="AI38" i="1"/>
  <c r="U38" i="1"/>
  <c r="S38" i="1" s="1"/>
  <c r="U70" i="1"/>
  <c r="S70" i="1" s="1"/>
  <c r="AI70" i="1"/>
  <c r="U81" i="1"/>
  <c r="S81" i="1" s="1"/>
  <c r="W81" i="1"/>
  <c r="AI81" i="1"/>
  <c r="W19" i="1"/>
  <c r="U59" i="1"/>
  <c r="S59" i="1" s="1"/>
  <c r="AI59" i="1"/>
  <c r="AI84" i="1"/>
  <c r="U84" i="1"/>
  <c r="S84" i="1" s="1"/>
  <c r="AI80" i="1"/>
  <c r="U80" i="1"/>
  <c r="S80" i="1" s="1"/>
  <c r="W84" i="1"/>
  <c r="U197" i="1"/>
  <c r="S197" i="1" s="1"/>
  <c r="AI132" i="1"/>
  <c r="W197" i="1"/>
  <c r="U112" i="1"/>
  <c r="S112" i="1" s="1"/>
  <c r="AI150" i="1"/>
  <c r="W112" i="1"/>
  <c r="W69" i="1"/>
  <c r="U128" i="1"/>
  <c r="S128" i="1" s="1"/>
  <c r="AI165" i="1"/>
  <c r="W93" i="1"/>
  <c r="W186" i="1"/>
  <c r="AI136" i="1"/>
  <c r="U101" i="1"/>
  <c r="S101" i="1" s="1"/>
  <c r="W105" i="1"/>
  <c r="AI153" i="1"/>
  <c r="U115" i="1"/>
  <c r="S115" i="1" s="1"/>
  <c r="W119" i="1"/>
  <c r="AI171" i="1"/>
  <c r="U134" i="1"/>
  <c r="S134" i="1" s="1"/>
  <c r="U220" i="1"/>
  <c r="S220" i="1" s="1"/>
  <c r="AI220" i="1"/>
  <c r="W77" i="1"/>
  <c r="AI199" i="1"/>
  <c r="U164" i="1"/>
  <c r="S164" i="1" s="1"/>
  <c r="W201" i="1"/>
  <c r="AI215" i="1"/>
  <c r="U213" i="1"/>
  <c r="S213" i="1" s="1"/>
  <c r="W219" i="1"/>
  <c r="U241" i="1"/>
  <c r="S241" i="1" s="1"/>
  <c r="AI241" i="1"/>
  <c r="U257" i="1"/>
  <c r="S257" i="1"/>
  <c r="AI257" i="1"/>
  <c r="AI167" i="1"/>
  <c r="U130" i="1"/>
  <c r="S130" i="1" s="1"/>
  <c r="W141" i="1"/>
  <c r="AI252" i="1"/>
  <c r="U252" i="1"/>
  <c r="S252" i="1" s="1"/>
  <c r="AI268" i="1"/>
  <c r="U268" i="1"/>
  <c r="S268" i="1" s="1"/>
  <c r="AI200" i="1"/>
  <c r="W220" i="1"/>
  <c r="AI183" i="1"/>
  <c r="U148" i="1"/>
  <c r="S148" i="1" s="1"/>
  <c r="W233" i="1"/>
  <c r="W249" i="1"/>
  <c r="W245" i="1"/>
  <c r="R47" i="3"/>
  <c r="M47" i="3"/>
  <c r="S47" i="3"/>
  <c r="U47" i="3"/>
  <c r="V47" i="3"/>
  <c r="W47" i="3"/>
  <c r="X47" i="3"/>
  <c r="AC47" i="3" l="1"/>
  <c r="AE47" i="3"/>
  <c r="AD47" i="3"/>
  <c r="B8" i="6"/>
  <c r="J8" i="6" s="1"/>
  <c r="Y47" i="3"/>
  <c r="T47" i="3"/>
  <c r="B9" i="6" l="1"/>
  <c r="F8" i="6"/>
  <c r="I8" i="6"/>
  <c r="G8" i="6"/>
  <c r="G9" i="6" l="1"/>
  <c r="I9" i="6"/>
  <c r="J9" i="6"/>
  <c r="F9" i="6"/>
  <c r="B10" i="6"/>
  <c r="F10" i="6" l="1"/>
  <c r="G10" i="6"/>
  <c r="I10" i="6"/>
  <c r="J10" i="6"/>
  <c r="B11" i="6"/>
  <c r="O2" i="3"/>
  <c r="G11" i="6" l="1"/>
  <c r="I11" i="6"/>
  <c r="J11" i="6"/>
  <c r="F11" i="6"/>
  <c r="B12" i="6"/>
  <c r="M28" i="5"/>
  <c r="B13" i="6" l="1"/>
  <c r="F12" i="6"/>
  <c r="I12" i="6"/>
  <c r="G12" i="6"/>
  <c r="J12" i="6"/>
  <c r="M23" i="5"/>
  <c r="B14" i="6" l="1"/>
  <c r="G13" i="6"/>
  <c r="I13" i="6"/>
  <c r="J13" i="6"/>
  <c r="F13" i="6"/>
  <c r="AD7" i="3"/>
  <c r="AN13" i="1"/>
  <c r="F14" i="6" l="1"/>
  <c r="I14" i="6"/>
  <c r="G14" i="6"/>
  <c r="J14" i="6"/>
  <c r="B15" i="6"/>
  <c r="AE7" i="3"/>
  <c r="G15" i="6" l="1"/>
  <c r="I15" i="6"/>
  <c r="F15" i="6"/>
  <c r="J15" i="6"/>
  <c r="B16" i="6"/>
  <c r="K13" i="1"/>
  <c r="M13" i="1"/>
  <c r="N13" i="1" s="1"/>
  <c r="Y13" i="1"/>
  <c r="Z13" i="1"/>
  <c r="AB13" i="1"/>
  <c r="AC13" i="1"/>
  <c r="AD13" i="1"/>
  <c r="X14" i="1" s="1"/>
  <c r="AE13" i="1"/>
  <c r="AM13" i="1"/>
  <c r="F16" i="6" l="1"/>
  <c r="I16" i="6"/>
  <c r="G16" i="6"/>
  <c r="J16" i="6"/>
  <c r="B17" i="6"/>
  <c r="AG13" i="1"/>
  <c r="AI13" i="1" s="1"/>
  <c r="X13" i="1"/>
  <c r="AA13" i="1"/>
  <c r="T13" i="1"/>
  <c r="G17" i="6" l="1"/>
  <c r="I17" i="6"/>
  <c r="J17" i="6"/>
  <c r="F17" i="6"/>
  <c r="B18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9" i="6" l="1"/>
  <c r="F18" i="6"/>
  <c r="G18" i="6"/>
  <c r="I18" i="6"/>
  <c r="J18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9" i="6" l="1"/>
  <c r="I19" i="6"/>
  <c r="J19" i="6"/>
  <c r="F19" i="6"/>
  <c r="B20" i="6"/>
  <c r="B87" i="9"/>
  <c r="B88" i="9"/>
  <c r="B89" i="9"/>
  <c r="B90" i="9"/>
  <c r="B91" i="9"/>
  <c r="B92" i="9"/>
  <c r="B21" i="6" l="1"/>
  <c r="F20" i="6"/>
  <c r="G20" i="6"/>
  <c r="I20" i="6"/>
  <c r="J20" i="6"/>
  <c r="C88" i="9"/>
  <c r="C92" i="9"/>
  <c r="C93" i="9"/>
  <c r="C90" i="9"/>
  <c r="C89" i="9"/>
  <c r="C91" i="9"/>
  <c r="B22" i="6" l="1"/>
  <c r="G21" i="6"/>
  <c r="I21" i="6"/>
  <c r="J21" i="6"/>
  <c r="F21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2" i="6" l="1"/>
  <c r="G22" i="6"/>
  <c r="I22" i="6"/>
  <c r="J22" i="6"/>
  <c r="B23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3" i="6" l="1"/>
  <c r="F23" i="6"/>
  <c r="G23" i="6"/>
  <c r="J23" i="6"/>
  <c r="B24" i="6"/>
  <c r="B55" i="9"/>
  <c r="B56" i="9"/>
  <c r="B57" i="9"/>
  <c r="B58" i="9"/>
  <c r="B59" i="9"/>
  <c r="B60" i="9"/>
  <c r="B61" i="9"/>
  <c r="B62" i="9"/>
  <c r="C63" i="9" s="1"/>
  <c r="F24" i="6" l="1"/>
  <c r="I24" i="6"/>
  <c r="G24" i="6"/>
  <c r="J24" i="6"/>
  <c r="B25" i="6"/>
  <c r="C61" i="9"/>
  <c r="C57" i="9"/>
  <c r="C59" i="9"/>
  <c r="C62" i="9"/>
  <c r="C60" i="9"/>
  <c r="C58" i="9"/>
  <c r="C56" i="9"/>
  <c r="G25" i="6" l="1"/>
  <c r="I25" i="6"/>
  <c r="J25" i="6"/>
  <c r="F25" i="6"/>
  <c r="B26" i="6"/>
  <c r="B50" i="9"/>
  <c r="B51" i="9"/>
  <c r="B52" i="9"/>
  <c r="B53" i="9"/>
  <c r="B54" i="9"/>
  <c r="F26" i="6" l="1"/>
  <c r="G26" i="6"/>
  <c r="I26" i="6"/>
  <c r="J26" i="6"/>
  <c r="B27" i="6"/>
  <c r="C52" i="9"/>
  <c r="C54" i="9"/>
  <c r="C55" i="9"/>
  <c r="C53" i="9"/>
  <c r="C51" i="9"/>
  <c r="G27" i="6" l="1"/>
  <c r="I27" i="6"/>
  <c r="J27" i="6"/>
  <c r="F27" i="6"/>
  <c r="B2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9" i="6" l="1"/>
  <c r="F28" i="6"/>
  <c r="G28" i="6"/>
  <c r="I28" i="6"/>
  <c r="J2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9" i="6" l="1"/>
  <c r="I29" i="6"/>
  <c r="J29" i="6"/>
  <c r="F29" i="6"/>
  <c r="B30" i="6"/>
  <c r="V13" i="1"/>
  <c r="B31" i="9"/>
  <c r="B32" i="9"/>
  <c r="C33" i="9" s="1"/>
  <c r="F30" i="6" l="1"/>
  <c r="G30" i="6"/>
  <c r="I30" i="6"/>
  <c r="J30" i="6"/>
  <c r="B31" i="6"/>
  <c r="C32" i="9"/>
  <c r="G31" i="6" l="1"/>
  <c r="I31" i="6"/>
  <c r="F31" i="6"/>
  <c r="H31" i="6"/>
  <c r="J31" i="6"/>
  <c r="B32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27" i="3" s="1"/>
  <c r="G60" i="4"/>
  <c r="G61" i="4"/>
  <c r="G62" i="4"/>
  <c r="N43" i="3" s="1"/>
  <c r="G63" i="4"/>
  <c r="G64" i="4"/>
  <c r="G65" i="4"/>
  <c r="G66" i="4"/>
  <c r="N32" i="3" s="1"/>
  <c r="G67" i="4"/>
  <c r="G68" i="4"/>
  <c r="N47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N28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6" i="3" s="1"/>
  <c r="G100" i="4"/>
  <c r="G101" i="4"/>
  <c r="G102" i="4"/>
  <c r="G103" i="4"/>
  <c r="G104" i="4"/>
  <c r="G105" i="4"/>
  <c r="G106" i="4"/>
  <c r="G107" i="4"/>
  <c r="G108" i="4"/>
  <c r="G109" i="4"/>
  <c r="N12" i="3" s="1"/>
  <c r="G110" i="4"/>
  <c r="G111" i="4"/>
  <c r="H8" i="6" s="1"/>
  <c r="G112" i="4"/>
  <c r="G113" i="4"/>
  <c r="G114" i="4"/>
  <c r="G115" i="4"/>
  <c r="G116" i="4"/>
  <c r="G117" i="4"/>
  <c r="G118" i="4"/>
  <c r="G119" i="4"/>
  <c r="G120" i="4"/>
  <c r="G121" i="4"/>
  <c r="G122" i="4"/>
  <c r="N40" i="3" s="1"/>
  <c r="G123" i="4"/>
  <c r="G124" i="4"/>
  <c r="G125" i="4"/>
  <c r="G126" i="4"/>
  <c r="H11" i="6" s="1"/>
  <c r="G127" i="4"/>
  <c r="G128" i="4"/>
  <c r="G129" i="4"/>
  <c r="G130" i="4"/>
  <c r="G131" i="4"/>
  <c r="G132" i="4"/>
  <c r="H10" i="6" s="1"/>
  <c r="G133" i="4"/>
  <c r="G134" i="4"/>
  <c r="N41" i="3" s="1"/>
  <c r="G135" i="4"/>
  <c r="G136" i="4"/>
  <c r="N34" i="3" s="1"/>
  <c r="G137" i="4"/>
  <c r="G138" i="4"/>
  <c r="H15" i="6" s="1"/>
  <c r="G139" i="4"/>
  <c r="H12" i="6" s="1"/>
  <c r="G140" i="4"/>
  <c r="G141" i="4"/>
  <c r="H13" i="6" s="1"/>
  <c r="G142" i="4"/>
  <c r="G143" i="4"/>
  <c r="H17" i="6" s="1"/>
  <c r="G144" i="4"/>
  <c r="G145" i="4"/>
  <c r="H14" i="6" s="1"/>
  <c r="G146" i="4"/>
  <c r="N13" i="3" s="1"/>
  <c r="G147" i="4"/>
  <c r="G148" i="4"/>
  <c r="G149" i="4"/>
  <c r="G150" i="4"/>
  <c r="G151" i="4"/>
  <c r="H20" i="6" s="1"/>
  <c r="G152" i="4"/>
  <c r="H18" i="6" s="1"/>
  <c r="G153" i="4"/>
  <c r="G154" i="4"/>
  <c r="N36" i="3" s="1"/>
  <c r="G155" i="4"/>
  <c r="N42" i="3" s="1"/>
  <c r="G156" i="4"/>
  <c r="N30" i="3" s="1"/>
  <c r="G157" i="4"/>
  <c r="H22" i="6" s="1"/>
  <c r="G158" i="4"/>
  <c r="H19" i="6" s="1"/>
  <c r="G159" i="4"/>
  <c r="G160" i="4"/>
  <c r="G161" i="4"/>
  <c r="G162" i="4"/>
  <c r="H24" i="6" s="1"/>
  <c r="G163" i="4"/>
  <c r="G164" i="4"/>
  <c r="G165" i="4"/>
  <c r="H21" i="6" s="1"/>
  <c r="G166" i="4"/>
  <c r="G167" i="4"/>
  <c r="G168" i="4"/>
  <c r="G169" i="4"/>
  <c r="G170" i="4"/>
  <c r="G171" i="4"/>
  <c r="H26" i="6" s="1"/>
  <c r="G172" i="4"/>
  <c r="H23" i="6" s="1"/>
  <c r="G173" i="4"/>
  <c r="G174" i="4"/>
  <c r="G175" i="4"/>
  <c r="G176" i="4"/>
  <c r="G177" i="4"/>
  <c r="G178" i="4"/>
  <c r="G179" i="4"/>
  <c r="G180" i="4"/>
  <c r="G181" i="4"/>
  <c r="H30" i="6" s="1"/>
  <c r="G182" i="4"/>
  <c r="H27" i="6" s="1"/>
  <c r="G183" i="4"/>
  <c r="N7" i="3" s="1"/>
  <c r="G184" i="4"/>
  <c r="N8" i="3" s="1"/>
  <c r="G185" i="4"/>
  <c r="G186" i="4"/>
  <c r="G187" i="4"/>
  <c r="H29" i="6" s="1"/>
  <c r="G188" i="4"/>
  <c r="G189" i="4"/>
  <c r="N19" i="3" s="1"/>
  <c r="G190" i="4"/>
  <c r="G191" i="4"/>
  <c r="G192" i="4"/>
  <c r="G193" i="4"/>
  <c r="N38" i="3" s="1"/>
  <c r="G194" i="4"/>
  <c r="G195" i="4"/>
  <c r="N39" i="3" s="1"/>
  <c r="G196" i="4"/>
  <c r="G197" i="4"/>
  <c r="G198" i="4"/>
  <c r="G199" i="4"/>
  <c r="G200" i="4"/>
  <c r="G201" i="4"/>
  <c r="G202" i="4"/>
  <c r="G203" i="4"/>
  <c r="G204" i="4"/>
  <c r="G205" i="4"/>
  <c r="N31" i="3" s="1"/>
  <c r="G206" i="4"/>
  <c r="N11" i="3" s="1"/>
  <c r="G207" i="4"/>
  <c r="G208" i="4"/>
  <c r="G209" i="4"/>
  <c r="N22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14" i="3" s="1"/>
  <c r="G224" i="4"/>
  <c r="G225" i="4"/>
  <c r="G226" i="4"/>
  <c r="G227" i="4"/>
  <c r="N24" i="3" s="1"/>
  <c r="G228" i="4"/>
  <c r="G229" i="4"/>
  <c r="G230" i="4"/>
  <c r="G231" i="4"/>
  <c r="G232" i="4"/>
  <c r="G233" i="4"/>
  <c r="G234" i="4"/>
  <c r="G235" i="4"/>
  <c r="N18" i="3" s="1"/>
  <c r="G236" i="4"/>
  <c r="G237" i="4"/>
  <c r="G238" i="4"/>
  <c r="G239" i="4"/>
  <c r="G240" i="4"/>
  <c r="G241" i="4"/>
  <c r="N48" i="3" s="1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6" i="3" l="1"/>
  <c r="N35" i="3"/>
  <c r="N37" i="3"/>
  <c r="H28" i="6"/>
  <c r="N10" i="3"/>
  <c r="N9" i="3"/>
  <c r="N45" i="3"/>
  <c r="N46" i="3"/>
  <c r="N44" i="3"/>
  <c r="N50" i="3"/>
  <c r="N33" i="3"/>
  <c r="H9" i="6"/>
  <c r="N20" i="3"/>
  <c r="N23" i="3"/>
  <c r="N25" i="3"/>
  <c r="N21" i="3"/>
  <c r="N29" i="3"/>
  <c r="H16" i="6"/>
  <c r="N17" i="3"/>
  <c r="H25" i="6"/>
  <c r="F32" i="6"/>
  <c r="I32" i="6"/>
  <c r="G32" i="6"/>
  <c r="H32" i="6"/>
  <c r="J32" i="6"/>
  <c r="B33" i="6"/>
  <c r="L13" i="1"/>
  <c r="G33" i="6" l="1"/>
  <c r="I33" i="6"/>
  <c r="J33" i="6"/>
  <c r="F33" i="6"/>
  <c r="H33" i="6"/>
  <c r="B3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4" i="6" l="1"/>
  <c r="G34" i="6"/>
  <c r="I34" i="6"/>
  <c r="J34" i="6"/>
  <c r="H34" i="6"/>
  <c r="B3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5" i="6" l="1"/>
  <c r="H35" i="6"/>
  <c r="J35" i="6"/>
  <c r="I35" i="6"/>
  <c r="F35" i="6"/>
  <c r="B3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7" i="6" l="1"/>
  <c r="F36" i="6"/>
  <c r="G36" i="6"/>
  <c r="I36" i="6"/>
  <c r="H36" i="6"/>
  <c r="J36" i="6"/>
  <c r="M30" i="5"/>
  <c r="M29" i="5"/>
  <c r="M27" i="5"/>
  <c r="G37" i="6" l="1"/>
  <c r="I37" i="6"/>
  <c r="J37" i="6"/>
  <c r="H37" i="6"/>
  <c r="F37" i="6"/>
  <c r="B38" i="6"/>
  <c r="M26" i="5"/>
  <c r="B39" i="6" l="1"/>
  <c r="F38" i="6"/>
  <c r="G38" i="6"/>
  <c r="H38" i="6"/>
  <c r="J38" i="6"/>
  <c r="I38" i="6"/>
  <c r="AH13" i="1"/>
  <c r="J7" i="1"/>
  <c r="G39" i="6" l="1"/>
  <c r="F39" i="6"/>
  <c r="H39" i="6"/>
  <c r="J39" i="6"/>
  <c r="I39" i="6"/>
  <c r="B40" i="6"/>
  <c r="X6" i="1"/>
  <c r="W6" i="1"/>
  <c r="V6" i="1"/>
  <c r="S6" i="1"/>
  <c r="R2" i="1"/>
  <c r="I2" i="1"/>
  <c r="O6" i="1"/>
  <c r="N6" i="1"/>
  <c r="M6" i="1"/>
  <c r="J6" i="1"/>
  <c r="B41" i="6" l="1"/>
  <c r="I40" i="6"/>
  <c r="G40" i="6"/>
  <c r="H40" i="6"/>
  <c r="J40" i="6"/>
  <c r="F40" i="6"/>
  <c r="P3" i="5"/>
  <c r="G41" i="6" l="1"/>
  <c r="I41" i="6"/>
  <c r="J41" i="6"/>
  <c r="F41" i="6"/>
  <c r="H41" i="6"/>
  <c r="B42" i="6"/>
  <c r="M18" i="5"/>
  <c r="B43" i="6" l="1"/>
  <c r="F42" i="6"/>
  <c r="G42" i="6"/>
  <c r="I42" i="6"/>
  <c r="J42" i="6"/>
  <c r="H4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3" i="6" l="1"/>
  <c r="I43" i="6"/>
  <c r="J43" i="6"/>
  <c r="F43" i="6"/>
  <c r="H43" i="6"/>
  <c r="B44" i="6"/>
  <c r="V5" i="1"/>
  <c r="V8" i="1" s="1"/>
  <c r="G266" i="4"/>
  <c r="G267" i="4"/>
  <c r="N49" i="3" s="1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5" i="6" l="1"/>
  <c r="F44" i="6"/>
  <c r="G44" i="6"/>
  <c r="I44" i="6"/>
  <c r="H44" i="6"/>
  <c r="J44" i="6"/>
  <c r="G259" i="4"/>
  <c r="G260" i="4"/>
  <c r="G261" i="4"/>
  <c r="N15" i="3" s="1"/>
  <c r="G262" i="4"/>
  <c r="G263" i="4"/>
  <c r="G264" i="4"/>
  <c r="G265" i="4"/>
  <c r="B46" i="6" l="1"/>
  <c r="G45" i="6"/>
  <c r="I45" i="6"/>
  <c r="H45" i="6"/>
  <c r="J45" i="6"/>
  <c r="F45" i="6"/>
  <c r="M14" i="5"/>
  <c r="M13" i="5"/>
  <c r="M12" i="5"/>
  <c r="M11" i="5"/>
  <c r="M10" i="5"/>
  <c r="M9" i="5"/>
  <c r="M8" i="5"/>
  <c r="M7" i="5"/>
  <c r="M6" i="5"/>
  <c r="M5" i="5"/>
  <c r="M4" i="5"/>
  <c r="M3" i="5"/>
  <c r="F46" i="6" l="1"/>
  <c r="G46" i="6"/>
  <c r="I46" i="6"/>
  <c r="J46" i="6"/>
  <c r="H46" i="6"/>
  <c r="B47" i="6"/>
  <c r="U13" i="1"/>
  <c r="S13" i="1" s="1"/>
  <c r="O3" i="3"/>
  <c r="H47" i="6" l="1"/>
  <c r="I47" i="6"/>
  <c r="F47" i="6"/>
  <c r="G47" i="6"/>
  <c r="J47" i="6"/>
  <c r="B4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9" i="6" l="1"/>
  <c r="F49" i="6" s="1"/>
  <c r="F48" i="6"/>
  <c r="G48" i="6"/>
  <c r="I48" i="6"/>
  <c r="H48" i="6"/>
  <c r="J48" i="6"/>
  <c r="J8" i="1"/>
  <c r="J4" i="1"/>
  <c r="S8" i="1"/>
  <c r="S4" i="1"/>
  <c r="J49" i="6" l="1"/>
  <c r="I49" i="6"/>
  <c r="G49" i="6"/>
  <c r="H49" i="6"/>
  <c r="B50" i="6"/>
  <c r="S9" i="1"/>
  <c r="J9" i="1"/>
  <c r="B51" i="6" l="1"/>
  <c r="H50" i="6"/>
  <c r="J50" i="6"/>
  <c r="F50" i="6"/>
  <c r="G50" i="6"/>
  <c r="I50" i="6"/>
  <c r="S11" i="1"/>
  <c r="A11" i="1"/>
  <c r="B52" i="6" l="1"/>
  <c r="F51" i="6"/>
  <c r="I51" i="6"/>
  <c r="J51" i="6"/>
  <c r="G51" i="6"/>
  <c r="H51" i="6"/>
  <c r="B1" i="6"/>
  <c r="A5" i="3"/>
  <c r="B53" i="6" l="1"/>
  <c r="G52" i="6"/>
  <c r="H52" i="6"/>
  <c r="F52" i="6"/>
  <c r="I52" i="6"/>
  <c r="J52" i="6"/>
  <c r="B3" i="6"/>
  <c r="G53" i="6" l="1"/>
  <c r="H53" i="6"/>
  <c r="I53" i="6"/>
  <c r="J53" i="6"/>
  <c r="F53" i="6"/>
  <c r="B54" i="6"/>
  <c r="I3" i="6"/>
  <c r="F3" i="6"/>
  <c r="G3" i="6"/>
  <c r="H3" i="6"/>
  <c r="J3" i="6"/>
  <c r="H54" i="6" l="1"/>
  <c r="F54" i="6"/>
  <c r="G54" i="6"/>
  <c r="I54" i="6"/>
  <c r="J54" i="6"/>
  <c r="B55" i="6"/>
  <c r="B4" i="6"/>
  <c r="B56" i="6" l="1"/>
  <c r="G55" i="6"/>
  <c r="H55" i="6"/>
  <c r="I55" i="6"/>
  <c r="J55" i="6"/>
  <c r="F55" i="6"/>
  <c r="I4" i="6"/>
  <c r="F4" i="6"/>
  <c r="G4" i="6"/>
  <c r="H4" i="6"/>
  <c r="J4" i="6"/>
  <c r="B57" i="6" l="1"/>
  <c r="I56" i="6"/>
  <c r="G56" i="6"/>
  <c r="F56" i="6"/>
  <c r="H56" i="6"/>
  <c r="J56" i="6"/>
  <c r="B5" i="6"/>
  <c r="G57" i="6" l="1"/>
  <c r="F57" i="6"/>
  <c r="H57" i="6"/>
  <c r="I57" i="6"/>
  <c r="J57" i="6"/>
  <c r="B58" i="6"/>
  <c r="I5" i="6"/>
  <c r="F5" i="6"/>
  <c r="J5" i="6"/>
  <c r="G5" i="6"/>
  <c r="H5" i="6"/>
  <c r="B6" i="6"/>
  <c r="H58" i="6" l="1"/>
  <c r="J58" i="6"/>
  <c r="F58" i="6"/>
  <c r="G58" i="6"/>
  <c r="I58" i="6"/>
  <c r="B59" i="6"/>
  <c r="I6" i="6"/>
  <c r="F6" i="6"/>
  <c r="B7" i="6"/>
  <c r="G6" i="6"/>
  <c r="J6" i="6"/>
  <c r="H6" i="6"/>
  <c r="B60" i="6" l="1"/>
  <c r="F59" i="6"/>
  <c r="G59" i="6"/>
  <c r="I59" i="6"/>
  <c r="H59" i="6"/>
  <c r="J59" i="6"/>
  <c r="I7" i="6"/>
  <c r="F7" i="6"/>
  <c r="G7" i="6"/>
  <c r="J7" i="6"/>
  <c r="H7" i="6"/>
  <c r="F60" i="6" l="1"/>
  <c r="G60" i="6"/>
  <c r="J60" i="6"/>
  <c r="H60" i="6"/>
  <c r="I60" i="6"/>
  <c r="B61" i="6"/>
  <c r="G61" i="6" l="1"/>
  <c r="J61" i="6"/>
  <c r="F61" i="6"/>
  <c r="H61" i="6"/>
  <c r="I61" i="6"/>
  <c r="B62" i="6"/>
  <c r="B63" i="6" l="1"/>
  <c r="F62" i="6"/>
  <c r="G62" i="6"/>
  <c r="H62" i="6"/>
  <c r="I62" i="6"/>
  <c r="J62" i="6"/>
  <c r="B64" i="6" l="1"/>
  <c r="J63" i="6"/>
  <c r="F63" i="6"/>
  <c r="I63" i="6"/>
  <c r="G63" i="6"/>
  <c r="H63" i="6"/>
  <c r="B65" i="6" l="1"/>
  <c r="G64" i="6"/>
  <c r="H64" i="6"/>
  <c r="F64" i="6"/>
  <c r="I64" i="6"/>
  <c r="J64" i="6"/>
  <c r="G65" i="6" l="1"/>
  <c r="I65" i="6"/>
  <c r="J65" i="6"/>
  <c r="F65" i="6"/>
  <c r="H65" i="6"/>
  <c r="B66" i="6"/>
  <c r="B67" i="6" l="1"/>
  <c r="J66" i="6"/>
  <c r="F66" i="6"/>
  <c r="H66" i="6"/>
  <c r="G66" i="6"/>
  <c r="I66" i="6"/>
  <c r="B68" i="6" l="1"/>
  <c r="H67" i="6"/>
  <c r="F67" i="6"/>
  <c r="I67" i="6"/>
  <c r="J67" i="6"/>
  <c r="G67" i="6"/>
  <c r="B70" i="6" l="1"/>
  <c r="B69" i="6"/>
  <c r="G68" i="6"/>
  <c r="H68" i="6"/>
  <c r="F68" i="6"/>
  <c r="I68" i="6"/>
  <c r="J68" i="6"/>
  <c r="G69" i="6" l="1"/>
  <c r="H69" i="6"/>
  <c r="I69" i="6"/>
  <c r="J69" i="6"/>
  <c r="F69" i="6"/>
  <c r="H70" i="6"/>
  <c r="J70" i="6"/>
  <c r="G70" i="6"/>
  <c r="I70" i="6"/>
  <c r="F7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<sst xmlns="http://schemas.openxmlformats.org/spreadsheetml/2006/main" count="3079" uniqueCount="1075">
  <si>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</si>
  <si>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</si>
  <si>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</si>
  <si>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</si>
  <si>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</si>
  <si>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</si>
  <si>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</si>
  <si>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</si>
  <si>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</si>
  <si>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</si>
  <si>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</si>
  <si>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</si>
  <si>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</si>
  <si>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</si>
  <si>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</si>
  <si>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</si>
  <si>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</si>
  <si>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</si>
  <si>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</si>
  <si>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</si>
  <si>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</si>
  <si>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</si>
  <si>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</si>
  <si>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</si>
  <si>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</si>
  <si>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</si>
  <si>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</si>
  <si>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</si>
  <si>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</si>
  <si>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</si>
  <si>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</si>
  <si>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</si>
  <si>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</si>
  <si>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</si>
  <si>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</si>
  <si>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</si>
  <si>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</si>
  <si>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</si>
  <si>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</si>
  <si>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</si>
  <si>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</si>
  <si>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</si>
  <si>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</si>
  <si>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</si>
  <si>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</si>
  <si>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</si>
  <si>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</si>
  <si>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</si>
  <si>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</si>
  <si>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</si>
  <si>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</si>
  <si>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</si>
  <si>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</si>
  <si>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</si>
  <si>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</si>
  <si>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</si>
  <si>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</si>
  <si>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</si>
  <si>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</si>
  <si>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</si>
  <si>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</si>
  <si>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</si>
  <si>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</si>
  <si>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</si>
  <si>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</si>
  <si>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</si>
  <si>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</si>
  <si>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</si>
  <si>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</si>
  <si>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</si>
  <si>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</si>
  <si>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</si>
  <si>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</si>
  <si>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</si>
  <si>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</si>
  <si>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</si>
  <si>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</si>
  <si>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</si>
  <si>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</si>
  <si>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</si>
  <si>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</si>
  <si>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</si>
  <si>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</si>
  <si>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</si>
  <si>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</si>
  <si>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</si>
  <si>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</si>
  <si>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</si>
  <si>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</si>
  <si>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</si>
  <si>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</si>
  <si>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</si>
  <si>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</si>
  <si>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</si>
  <si>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</si>
  <si>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</si>
  <si>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</si>
  <si>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</si>
  <si>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</si>
  <si>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</si>
  <si>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</si>
  <si>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</si>
  <si>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</si>
  <si>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</si>
  <si>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</si>
  <si>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</si>
  <si>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</si>
  <si>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</si>
  <si>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</si>
  <si>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</si>
  <si>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</si>
  <si>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</si>
  <si>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</si>
  <si>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</si>
  <si>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</si>
  <si>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</si>
  <si>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</si>
  <si>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</si>
  <si>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</si>
  <si>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</si>
  <si>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</si>
  <si>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</si>
  <si>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</si>
  <si>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</si>
  <si>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</si>
  <si>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</si>
  <si>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</si>
  <si>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</si>
  <si>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</si>
  <si>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</si>
  <si>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</si>
  <si>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</si>
  <si>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</si>
  <si>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</si>
  <si>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</si>
  <si>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</si>
  <si>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</si>
  <si>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</si>
  <si>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</si>
  <si>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</si>
  <si>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</si>
  <si>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</si>
  <si>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</si>
  <si>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</si>
  <si>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</si>
  <si>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</si>
  <si>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</si>
  <si>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</si>
  <si>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</si>
  <si>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</si>
  <si>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</si>
  <si>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</si>
  <si>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</si>
  <si>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</si>
  <si>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</si>
  <si>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</si>
  <si>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</si>
  <si>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</si>
  <si>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</si>
  <si>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</si>
  <si>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</si>
  <si>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</si>
  <si>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</si>
  <si>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</si>
  <si>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</si>
  <si>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</si>
  <si>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</si>
  <si>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</si>
  <si>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</si>
  <si>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</si>
  <si>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</si>
  <si>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</si>
  <si>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</si>
  <si>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</si>
  <si>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</si>
  <si>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</si>
  <si>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</si>
  <si>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</si>
  <si>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</si>
  <si>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</si>
  <si>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</si>
  <si>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</si>
  <si>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</si>
  <si>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</si>
  <si>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</si>
  <si>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</si>
  <si>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</si>
  <si>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</si>
  <si>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</si>
  <si>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</si>
  <si>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</si>
  <si>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</si>
  <si>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</si>
  <si>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</si>
  <si>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</si>
  <si>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</si>
  <si>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</si>
  <si>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</si>
  <si>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</si>
  <si>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</si>
  <si>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</si>
  <si>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</si>
  <si>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</si>
  <si>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</si>
  <si>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</si>
  <si>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</si>
  <si>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</si>
  <si>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</si>
  <si>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</si>
  <si>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</si>
  <si>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</si>
  <si>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</si>
  <si>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</si>
  <si>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</si>
  <si>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</si>
  <si>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</si>
  <si>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</si>
  <si>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</si>
  <si>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</si>
  <si>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</si>
  <si>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</si>
  <si>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</si>
  <si>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</si>
  <si>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</si>
  <si>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</si>
  <si>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</si>
  <si>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</si>
  <si>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</si>
  <si>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</si>
  <si>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</si>
  <si>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</si>
  <si>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</si>
  <si>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</si>
  <si>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</si>
  <si>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</si>
  <si>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</si>
  <si>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</si>
  <si>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</si>
  <si>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</si>
  <si>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</si>
  <si>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</si>
  <si>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</si>
  <si>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</si>
  <si>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</si>
  <si>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</si>
  <si>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</si>
  <si>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</si>
  <si>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</si>
  <si>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</si>
  <si>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</si>
  <si>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</si>
  <si>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</si>
  <si>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</si>
  <si>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</si>
  <si>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</si>
  <si>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</si>
  <si>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</si>
  <si>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</si>
  <si>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</si>
  <si>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</si>
  <si>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</si>
  <si>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</si>
  <si>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</si>
  <si>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</si>
  <si>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</si>
  <si>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</si>
  <si>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</si>
  <si>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</si>
  <si>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</si>
  <si>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</si>
  <si>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</si>
  <si>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</si>
  <si>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</si>
  <si>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</si>
  <si>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</si>
  <si>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</si>
  <si>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</si>
  <si>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</si>
  <si>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</si>
  <si>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</si>
  <si>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</si>
  <si>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</si>
  <si>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</si>
  <si>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</si>
  <si>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</si>
  <si>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</si>
  <si>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</si>
  <si>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</si>
  <si>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</si>
  <si>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</si>
  <si>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</si>
  <si>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</si>
  <si>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</si>
  <si>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</si>
  <si>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</si>
  <si>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</si>
  <si>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</si>
  <si>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</si>
  <si>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</si>
  <si>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</si>
  <si>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</si>
  <si>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</si>
  <si>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</si>
  <si>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</si>
  <si>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</si>
  <si>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</si>
  <si>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</si>
  <si>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</si>
  <si>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</si>
  <si>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</si>
  <si>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</si>
  <si>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</si>
  <si>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</si>
  <si>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</si>
  <si>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</si>
  <si>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</si>
  <si>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</si>
  <si>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</si>
  <si>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</si>
  <si>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</si>
  <si>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</si>
  <si>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</si>
  <si>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</si>
  <si>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</si>
  <si>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</si>
  <si>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</si>
  <si>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</si>
  <si>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</si>
  <si>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</si>
  <si>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</si>
  <si>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</si>
  <si>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</si>
  <si>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</si>
  <si>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</si>
  <si>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</si>
  <si>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</si>
  <si>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</si>
  <si>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</si>
  <si>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</si>
  <si>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</si>
  <si>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</si>
  <si>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</si>
  <si>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</si>
  <si>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</si>
  <si>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</si>
  <si>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</si>
  <si>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</si>
  <si>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</si>
  <si>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</si>
  <si>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</si>
  <si>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</si>
  <si>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</si>
  <si>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</si>
  <si>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</si>
  <si>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204:458</t>
  </si>
  <si>
    <t>rtdc.l.rtdc.4004:itc</t>
  </si>
  <si>
    <t>rtdc.l.rtdc.4003:itc</t>
  </si>
  <si>
    <t>204:150</t>
  </si>
  <si>
    <t>204:149</t>
  </si>
  <si>
    <t>204:143</t>
  </si>
  <si>
    <t>204:466</t>
  </si>
  <si>
    <t>204:469</t>
  </si>
  <si>
    <t>204:451</t>
  </si>
  <si>
    <t>300:23346</t>
  </si>
  <si>
    <t>204:233314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</si>
  <si>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</si>
  <si>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</si>
  <si>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</si>
  <si>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</si>
  <si>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</si>
  <si>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</si>
  <si>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</si>
  <si>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</si>
  <si>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</si>
  <si>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</si>
  <si>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204:442</t>
  </si>
  <si>
    <t>204:437</t>
  </si>
  <si>
    <t>SIGNAL</t>
  </si>
  <si>
    <t>Signal based authority (5)</t>
  </si>
  <si>
    <t>rtdc.l.rtdc.4051:itc</t>
  </si>
  <si>
    <t>Y</t>
  </si>
  <si>
    <t>rtdc.l.rtdc.4052:itc</t>
  </si>
  <si>
    <t>204:232987</t>
  </si>
  <si>
    <t>rtdc.l.rtdc.4041:itc</t>
  </si>
  <si>
    <t>204:233301</t>
  </si>
  <si>
    <t>204:455</t>
  </si>
  <si>
    <t>rtdc.l.rtdc.4033:itc</t>
  </si>
  <si>
    <t>rtdc.l.rtdc.4034:itc</t>
  </si>
  <si>
    <t>partly-cloudy-day</t>
  </si>
  <si>
    <t>204:233312</t>
  </si>
  <si>
    <t>204:478</t>
  </si>
  <si>
    <t>204:232998</t>
  </si>
  <si>
    <t>204:232992</t>
  </si>
  <si>
    <t>rtdc.l.rtdc.4021:itc</t>
  </si>
  <si>
    <t>rtdc.l.rtdc.4012:itc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</si>
  <si>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</si>
  <si>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</si>
  <si>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</si>
  <si>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</si>
  <si>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</si>
  <si>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</si>
  <si>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</si>
  <si>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</si>
  <si>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</si>
  <si>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243-08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</si>
  <si>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</si>
  <si>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</si>
  <si>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</si>
  <si>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</si>
  <si>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</si>
  <si>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</si>
  <si>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</si>
  <si>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</si>
  <si>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</si>
  <si>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</si>
  <si>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</si>
  <si>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</si>
  <si>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</si>
  <si>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236-08</t>
  </si>
  <si>
    <t>238-08</t>
  </si>
  <si>
    <t>240-08</t>
  </si>
  <si>
    <t>315-08</t>
  </si>
  <si>
    <t>242-08</t>
  </si>
  <si>
    <t>309-08</t>
  </si>
  <si>
    <t>311-08</t>
  </si>
  <si>
    <t>313-08</t>
  </si>
  <si>
    <t>204:462</t>
  </si>
  <si>
    <t>204:232978</t>
  </si>
  <si>
    <t>204:232994</t>
  </si>
  <si>
    <t>204:433</t>
  </si>
  <si>
    <t>204:233309</t>
  </si>
  <si>
    <t>204:233280</t>
  </si>
  <si>
    <t>204:477</t>
  </si>
  <si>
    <t>204:948</t>
  </si>
  <si>
    <t>204:979</t>
  </si>
  <si>
    <t>rtdc.l.rtdc.4005:itc</t>
  </si>
  <si>
    <t>rtdc.l.rtdc.4006:itc</t>
  </si>
  <si>
    <t>rtdc.l.rtdc.4007:itc</t>
  </si>
  <si>
    <t>rtdc.l.rtdc.4032:itc</t>
  </si>
  <si>
    <t>rtdc.l.rtdc.4008:itc</t>
  </si>
  <si>
    <t>SWANSON</t>
  </si>
  <si>
    <t>BRYCE</t>
  </si>
  <si>
    <t>FORTUNATO</t>
  </si>
  <si>
    <t>FRANK</t>
  </si>
  <si>
    <t>204:232977</t>
  </si>
  <si>
    <t>204:438</t>
  </si>
  <si>
    <t>204:232988</t>
  </si>
  <si>
    <t>204:232996</t>
  </si>
  <si>
    <t>204:435</t>
  </si>
  <si>
    <t>204:233320</t>
  </si>
  <si>
    <t>204:471</t>
  </si>
  <si>
    <t>204:232973</t>
  </si>
  <si>
    <t>300:23302</t>
  </si>
  <si>
    <t>204:142</t>
  </si>
  <si>
    <t>300:58956</t>
  </si>
  <si>
    <t>204:684</t>
  </si>
  <si>
    <t>300:58624</t>
  </si>
  <si>
    <t>300:58634</t>
  </si>
  <si>
    <t>rtdc.l.rtdc.4015:itc</t>
  </si>
  <si>
    <t>rtdc.l.rtdc.4001:itc</t>
  </si>
  <si>
    <t>BADERTSCHER</t>
  </si>
  <si>
    <t>DIANE</t>
  </si>
  <si>
    <t>DELGADO</t>
  </si>
  <si>
    <t>DIANAH</t>
  </si>
  <si>
    <t>rtdc.l.rtdc.4016:itc</t>
  </si>
  <si>
    <t>HELVIE</t>
  </si>
  <si>
    <t>ADAM</t>
  </si>
  <si>
    <t>BROWN</t>
  </si>
  <si>
    <t>JACOB</t>
  </si>
  <si>
    <t>204:424</t>
  </si>
  <si>
    <t>204:781</t>
  </si>
  <si>
    <t>204:233274</t>
  </si>
  <si>
    <t>204:134</t>
  </si>
  <si>
    <t>204:427</t>
  </si>
  <si>
    <t>204:232965</t>
  </si>
  <si>
    <t>204:233006</t>
  </si>
  <si>
    <t>204:130</t>
  </si>
  <si>
    <t>204:121</t>
  </si>
  <si>
    <t>204:129</t>
  </si>
  <si>
    <t>300:23308</t>
  </si>
  <si>
    <t>204:682</t>
  </si>
  <si>
    <t>300:58933</t>
  </si>
  <si>
    <t>204:668</t>
  </si>
  <si>
    <t>SWITCH UNKNOWN</t>
  </si>
  <si>
    <t>Track device (7)</t>
  </si>
  <si>
    <t>rtdc.l.rtdc.4053:itc</t>
  </si>
  <si>
    <t>rtdc.l.rtdc.4054:itc</t>
  </si>
  <si>
    <t>ROBINSON</t>
  </si>
  <si>
    <t>KADDIBA</t>
  </si>
  <si>
    <t>COOLAHAN</t>
  </si>
  <si>
    <t>JOHN</t>
  </si>
  <si>
    <t>MACDONALD</t>
  </si>
  <si>
    <t>BRANDNER</t>
  </si>
  <si>
    <t>MELINDA</t>
  </si>
  <si>
    <t>rtdc.l.rtdc.4002:itc</t>
  </si>
  <si>
    <t>WHITED</t>
  </si>
  <si>
    <t>DUSTIN</t>
  </si>
  <si>
    <t>MOSES</t>
  </si>
  <si>
    <t>BRADLEY</t>
  </si>
  <si>
    <t>309-11</t>
  </si>
  <si>
    <t>311-11</t>
  </si>
  <si>
    <t>313-11</t>
  </si>
  <si>
    <t>Partly Cloudy</t>
  </si>
  <si>
    <t>Clear</t>
  </si>
  <si>
    <t>clear-night</t>
  </si>
  <si>
    <t>204:233289</t>
  </si>
  <si>
    <t>204:232673</t>
  </si>
  <si>
    <t>204:775</t>
  </si>
  <si>
    <t>204:233291</t>
  </si>
  <si>
    <t>204:750</t>
  </si>
  <si>
    <t>204:233304</t>
  </si>
  <si>
    <t>204:431</t>
  </si>
  <si>
    <t>204:713</t>
  </si>
  <si>
    <t>204:154</t>
  </si>
  <si>
    <t>204:163</t>
  </si>
  <si>
    <t>204:232963</t>
  </si>
  <si>
    <t>204:233311</t>
  </si>
  <si>
    <t>204:233380</t>
  </si>
  <si>
    <t>204:233083</t>
  </si>
  <si>
    <t>204:233125</t>
  </si>
  <si>
    <t>204:232989</t>
  </si>
  <si>
    <t>204:174</t>
  </si>
  <si>
    <t>300:30966</t>
  </si>
  <si>
    <t>204:140</t>
  </si>
  <si>
    <t>204:146</t>
  </si>
  <si>
    <t>204:161</t>
  </si>
  <si>
    <t>300:58944</t>
  </si>
  <si>
    <t>300:58954</t>
  </si>
  <si>
    <t>300:58640</t>
  </si>
  <si>
    <t>300:58638</t>
  </si>
  <si>
    <t>204:664</t>
  </si>
  <si>
    <t>204:974</t>
  </si>
  <si>
    <t>300:58935</t>
  </si>
  <si>
    <t>300:58615</t>
  </si>
  <si>
    <t>300:58608</t>
  </si>
  <si>
    <t>300:58960</t>
  </si>
  <si>
    <t>300:58943</t>
  </si>
  <si>
    <t>204:685</t>
  </si>
  <si>
    <t>204:441</t>
  </si>
  <si>
    <t>Onboard in-route failure</t>
  </si>
  <si>
    <t>Wi-MAX data drop</t>
  </si>
  <si>
    <t>Early arrival</t>
  </si>
  <si>
    <t>rtdc.l.rtdc.4031:itc</t>
  </si>
  <si>
    <t>302-13</t>
  </si>
  <si>
    <t>112-13</t>
  </si>
  <si>
    <t>1801-13</t>
  </si>
  <si>
    <t>121-13</t>
  </si>
  <si>
    <t>122-13</t>
  </si>
  <si>
    <t>132-13</t>
  </si>
  <si>
    <t>145-13</t>
  </si>
  <si>
    <t>149-13</t>
  </si>
  <si>
    <t>1810-13</t>
  </si>
  <si>
    <t>1812-13</t>
  </si>
  <si>
    <t>165-13</t>
  </si>
  <si>
    <t>169-13</t>
  </si>
  <si>
    <t>173-13</t>
  </si>
  <si>
    <t>168-13</t>
  </si>
  <si>
    <t>1816-13</t>
  </si>
  <si>
    <t>183-13</t>
  </si>
  <si>
    <t>179-13</t>
  </si>
  <si>
    <t>174-13</t>
  </si>
  <si>
    <t>188-13</t>
  </si>
  <si>
    <t>193-13</t>
  </si>
  <si>
    <t>199-13</t>
  </si>
  <si>
    <t>194-13</t>
  </si>
  <si>
    <t>198-13</t>
  </si>
  <si>
    <t>207-13</t>
  </si>
  <si>
    <t>76-13</t>
  </si>
  <si>
    <t>209-13</t>
  </si>
  <si>
    <t>215-13</t>
  </si>
  <si>
    <t>217-13</t>
  </si>
  <si>
    <t>208-13</t>
  </si>
  <si>
    <t>223-13</t>
  </si>
  <si>
    <t>225-13</t>
  </si>
  <si>
    <t>rtdc.l.rtdc.4062:itc</t>
  </si>
  <si>
    <t>80-13</t>
  </si>
  <si>
    <t>226-13</t>
  </si>
  <si>
    <t>230-13</t>
  </si>
  <si>
    <t>rtdc.l.rtdc.4061:itc</t>
  </si>
  <si>
    <t>81-13</t>
  </si>
  <si>
    <t>240-13</t>
  </si>
  <si>
    <t>89-13</t>
  </si>
  <si>
    <t>rtdc.l.rtdc.4046:itc</t>
  </si>
  <si>
    <t>245-12</t>
  </si>
  <si>
    <t>309-12</t>
  </si>
  <si>
    <t>244-12</t>
  </si>
  <si>
    <t>63-12</t>
  </si>
  <si>
    <t>311-12</t>
  </si>
  <si>
    <t>MAGEE</t>
  </si>
  <si>
    <t>KENYA</t>
  </si>
  <si>
    <t>rtdc.l.rtdc.4045:itc</t>
  </si>
  <si>
    <t>246-12</t>
  </si>
  <si>
    <t>313-12</t>
  </si>
  <si>
    <t>315-12</t>
  </si>
  <si>
    <t>53-13</t>
  </si>
  <si>
    <t>BEAM</t>
  </si>
  <si>
    <t>ROSS</t>
  </si>
  <si>
    <t>101-13</t>
  </si>
  <si>
    <t>54-13</t>
  </si>
  <si>
    <t>304-13</t>
  </si>
  <si>
    <t>103-13</t>
  </si>
  <si>
    <t>306-13</t>
  </si>
  <si>
    <t>MAELZER</t>
  </si>
  <si>
    <t>KURT</t>
  </si>
  <si>
    <t>102-13</t>
  </si>
  <si>
    <t>105-13</t>
  </si>
  <si>
    <t>308-13</t>
  </si>
  <si>
    <t>DAVIS</t>
  </si>
  <si>
    <t>WENDY</t>
  </si>
  <si>
    <t>310-13</t>
  </si>
  <si>
    <t>SANTIZO</t>
  </si>
  <si>
    <t>D. EDY</t>
  </si>
  <si>
    <t>107-13</t>
  </si>
  <si>
    <t>104-13</t>
  </si>
  <si>
    <t>109-13</t>
  </si>
  <si>
    <t>111-13</t>
  </si>
  <si>
    <t>106-13</t>
  </si>
  <si>
    <t>113-13</t>
  </si>
  <si>
    <t>1901-13</t>
  </si>
  <si>
    <t>110-13</t>
  </si>
  <si>
    <t>108-13</t>
  </si>
  <si>
    <t>115-13</t>
  </si>
  <si>
    <t>GEBRETEKLE</t>
  </si>
  <si>
    <t>DAGNEW</t>
  </si>
  <si>
    <t>117-13</t>
  </si>
  <si>
    <t>1800-13</t>
  </si>
  <si>
    <t>51-13</t>
  </si>
  <si>
    <t>119-13</t>
  </si>
  <si>
    <t>114-13</t>
  </si>
  <si>
    <t>52-13</t>
  </si>
  <si>
    <t>116-13</t>
  </si>
  <si>
    <t>123-13</t>
  </si>
  <si>
    <t>1802-13</t>
  </si>
  <si>
    <t>125-13</t>
  </si>
  <si>
    <t>118-13</t>
  </si>
  <si>
    <t>120-13</t>
  </si>
  <si>
    <t>1803-13</t>
  </si>
  <si>
    <t>127-13</t>
  </si>
  <si>
    <t>124-13</t>
  </si>
  <si>
    <t>129-13</t>
  </si>
  <si>
    <t>131-13</t>
  </si>
  <si>
    <t>1804-13</t>
  </si>
  <si>
    <t>126-13</t>
  </si>
  <si>
    <t>133-13</t>
  </si>
  <si>
    <t>128-13</t>
  </si>
  <si>
    <t>135-13</t>
  </si>
  <si>
    <t>130-13</t>
  </si>
  <si>
    <t>137-13</t>
  </si>
  <si>
    <t>1805-13</t>
  </si>
  <si>
    <t>139-13</t>
  </si>
  <si>
    <t>134-13</t>
  </si>
  <si>
    <t>1806-13</t>
  </si>
  <si>
    <t>141-13</t>
  </si>
  <si>
    <t>143-13</t>
  </si>
  <si>
    <t>138-13</t>
  </si>
  <si>
    <t>136-13</t>
  </si>
  <si>
    <t>1807-13</t>
  </si>
  <si>
    <t>140-13</t>
  </si>
  <si>
    <t>147-13</t>
  </si>
  <si>
    <t>142-13</t>
  </si>
  <si>
    <t>1808-13</t>
  </si>
  <si>
    <t>144-13</t>
  </si>
  <si>
    <t>151-13</t>
  </si>
  <si>
    <t>1809-13</t>
  </si>
  <si>
    <t>146-13</t>
  </si>
  <si>
    <t>153-13</t>
  </si>
  <si>
    <t>148-13</t>
  </si>
  <si>
    <t>155-13</t>
  </si>
  <si>
    <t>ROMERO</t>
  </si>
  <si>
    <t>CHAD</t>
  </si>
  <si>
    <t>150-13</t>
  </si>
  <si>
    <t>152-13</t>
  </si>
  <si>
    <t>157-13</t>
  </si>
  <si>
    <t>1811-13</t>
  </si>
  <si>
    <t>159-13</t>
  </si>
  <si>
    <t>STEWART</t>
  </si>
  <si>
    <t>154-13</t>
  </si>
  <si>
    <t>161-13</t>
  </si>
  <si>
    <t>156-13</t>
  </si>
  <si>
    <t>163-13</t>
  </si>
  <si>
    <t>MCREYNOLDS</t>
  </si>
  <si>
    <t>KYLE</t>
  </si>
  <si>
    <t>158-13</t>
  </si>
  <si>
    <t>160-13</t>
  </si>
  <si>
    <t>167-13</t>
  </si>
  <si>
    <t>LEVIN</t>
  </si>
  <si>
    <t>SCOTT</t>
  </si>
  <si>
    <t>162-13</t>
  </si>
  <si>
    <t>164-13</t>
  </si>
  <si>
    <t>1813-13</t>
  </si>
  <si>
    <t>171-13</t>
  </si>
  <si>
    <t>1814-13</t>
  </si>
  <si>
    <t>166-13</t>
  </si>
  <si>
    <t>170-13</t>
  </si>
  <si>
    <t>1815-13</t>
  </si>
  <si>
    <t>175-13</t>
  </si>
  <si>
    <t>177-13</t>
  </si>
  <si>
    <t>172-13</t>
  </si>
  <si>
    <t>181-13</t>
  </si>
  <si>
    <t>176-13</t>
  </si>
  <si>
    <t>178-13</t>
  </si>
  <si>
    <t>185-13</t>
  </si>
  <si>
    <t>1817-13</t>
  </si>
  <si>
    <t>180-13</t>
  </si>
  <si>
    <t>187-13</t>
  </si>
  <si>
    <t>55-13</t>
  </si>
  <si>
    <t>182-13</t>
  </si>
  <si>
    <t>1818-13</t>
  </si>
  <si>
    <t>189-13</t>
  </si>
  <si>
    <t>184-13</t>
  </si>
  <si>
    <t>191-13</t>
  </si>
  <si>
    <t>186-13</t>
  </si>
  <si>
    <t>1819-13</t>
  </si>
  <si>
    <t>195-13</t>
  </si>
  <si>
    <t>1820-13</t>
  </si>
  <si>
    <t>190-13</t>
  </si>
  <si>
    <t>197-13</t>
  </si>
  <si>
    <t>192-13</t>
  </si>
  <si>
    <t>201-13</t>
  </si>
  <si>
    <t>1821-13</t>
  </si>
  <si>
    <t>196-13</t>
  </si>
  <si>
    <t>203-13</t>
  </si>
  <si>
    <t>1822-13</t>
  </si>
  <si>
    <t>205-13</t>
  </si>
  <si>
    <t>200-13</t>
  </si>
  <si>
    <t>202-13</t>
  </si>
  <si>
    <t>1823-13</t>
  </si>
  <si>
    <t>204-13</t>
  </si>
  <si>
    <t>211-13</t>
  </si>
  <si>
    <t>59-13</t>
  </si>
  <si>
    <t>NELSON</t>
  </si>
  <si>
    <t>ARIANE</t>
  </si>
  <si>
    <t>206-13</t>
  </si>
  <si>
    <t>1824-13</t>
  </si>
  <si>
    <t>213-13</t>
  </si>
  <si>
    <t>rtdc.l.rtdc.4049:itc</t>
  </si>
  <si>
    <t>70-13</t>
  </si>
  <si>
    <t>210-13</t>
  </si>
  <si>
    <t>DUNCAN</t>
  </si>
  <si>
    <t>SHEILA</t>
  </si>
  <si>
    <t>212-13</t>
  </si>
  <si>
    <t>1825-13</t>
  </si>
  <si>
    <t>219-13</t>
  </si>
  <si>
    <t>214-13</t>
  </si>
  <si>
    <t>rtdc.l.rtdc.4050:itc</t>
  </si>
  <si>
    <t>79-13</t>
  </si>
  <si>
    <t>1826-13</t>
  </si>
  <si>
    <t>303-13</t>
  </si>
  <si>
    <t>216-13</t>
  </si>
  <si>
    <t>221-13</t>
  </si>
  <si>
    <t>218-13</t>
  </si>
  <si>
    <t>305-13</t>
  </si>
  <si>
    <t>220-13</t>
  </si>
  <si>
    <t>1827-13</t>
  </si>
  <si>
    <t>1828-13</t>
  </si>
  <si>
    <t>307-13</t>
  </si>
  <si>
    <t>222-13</t>
  </si>
  <si>
    <t>78-13</t>
  </si>
  <si>
    <t>1829-13</t>
  </si>
  <si>
    <t>224-13</t>
  </si>
  <si>
    <t>227-13</t>
  </si>
  <si>
    <t>1830-13</t>
  </si>
  <si>
    <t>229-13</t>
  </si>
  <si>
    <t>228-13</t>
  </si>
  <si>
    <t>231-13</t>
  </si>
  <si>
    <t>1831-13</t>
  </si>
  <si>
    <t>1832-13</t>
  </si>
  <si>
    <t>233-13</t>
  </si>
  <si>
    <t>235-13</t>
  </si>
  <si>
    <t>232-13</t>
  </si>
  <si>
    <t>1833-13</t>
  </si>
  <si>
    <t>1902-13</t>
  </si>
  <si>
    <t>234-13</t>
  </si>
  <si>
    <t>237-13</t>
  </si>
  <si>
    <t>239-13</t>
  </si>
  <si>
    <t>241-13</t>
  </si>
  <si>
    <t>238-13</t>
  </si>
  <si>
    <t>243-13</t>
  </si>
  <si>
    <t>242-13</t>
  </si>
  <si>
    <t>245-13</t>
  </si>
  <si>
    <t>309-13</t>
  </si>
  <si>
    <t>244-13</t>
  </si>
  <si>
    <t>311-13</t>
  </si>
  <si>
    <t>246-13</t>
  </si>
  <si>
    <t>313-13</t>
  </si>
  <si>
    <t>315-13</t>
  </si>
  <si>
    <t>partly-cloudy-night</t>
  </si>
  <si>
    <t>204:743</t>
  </si>
  <si>
    <t>204:233300</t>
  </si>
  <si>
    <t>204:233341</t>
  </si>
  <si>
    <t>204:232777</t>
  </si>
  <si>
    <t>204:786</t>
  </si>
  <si>
    <t>204:233346</t>
  </si>
  <si>
    <t>204:232719</t>
  </si>
  <si>
    <t>204:233297</t>
  </si>
  <si>
    <t>204:232986</t>
  </si>
  <si>
    <t>204:233329</t>
  </si>
  <si>
    <t>204:748</t>
  </si>
  <si>
    <t>204:233263</t>
  </si>
  <si>
    <t>204:232944</t>
  </si>
  <si>
    <t>204:125</t>
  </si>
  <si>
    <t>204:233321</t>
  </si>
  <si>
    <t>204:233002</t>
  </si>
  <si>
    <t>204:772</t>
  </si>
  <si>
    <t>204:233315</t>
  </si>
  <si>
    <t>204:233019</t>
  </si>
  <si>
    <t>204:757</t>
  </si>
  <si>
    <t>204:233000</t>
  </si>
  <si>
    <t>204:233332</t>
  </si>
  <si>
    <t>204:233015</t>
  </si>
  <si>
    <t>204:440</t>
  </si>
  <si>
    <t>204:233331</t>
  </si>
  <si>
    <t>204:233013</t>
  </si>
  <si>
    <t>204:233295</t>
  </si>
  <si>
    <t>204:232982</t>
  </si>
  <si>
    <t>204:233318</t>
  </si>
  <si>
    <t>204:233004</t>
  </si>
  <si>
    <t>204:233339</t>
  </si>
  <si>
    <t>204:233007</t>
  </si>
  <si>
    <t>204:233336</t>
  </si>
  <si>
    <t>204:233025</t>
  </si>
  <si>
    <t>204:233343</t>
  </si>
  <si>
    <t>204:233021</t>
  </si>
  <si>
    <t>204:233308</t>
  </si>
  <si>
    <t>204:233282</t>
  </si>
  <si>
    <t>204:486</t>
  </si>
  <si>
    <t>204:233414</t>
  </si>
  <si>
    <t>204:233076</t>
  </si>
  <si>
    <t>204:19119</t>
  </si>
  <si>
    <t>204:233357</t>
  </si>
  <si>
    <t>204:37196</t>
  </si>
  <si>
    <t>204:3767</t>
  </si>
  <si>
    <t>204:6616</t>
  </si>
  <si>
    <t>204:233026</t>
  </si>
  <si>
    <t>204:233325</t>
  </si>
  <si>
    <t>204:233303</t>
  </si>
  <si>
    <t>204:233398</t>
  </si>
  <si>
    <t>204:233403</t>
  </si>
  <si>
    <t>204:233069</t>
  </si>
  <si>
    <t>204:36785</t>
  </si>
  <si>
    <t>204:36788</t>
  </si>
  <si>
    <t>204:233381</t>
  </si>
  <si>
    <t>204:233324</t>
  </si>
  <si>
    <t>204:233005</t>
  </si>
  <si>
    <t>204:232991</t>
  </si>
  <si>
    <t>204:491</t>
  </si>
  <si>
    <t>204:127877</t>
  </si>
  <si>
    <t>204:1162</t>
  </si>
  <si>
    <t>204:513</t>
  </si>
  <si>
    <t>204:233383</t>
  </si>
  <si>
    <t>204:233059</t>
  </si>
  <si>
    <t>204:114</t>
  </si>
  <si>
    <t>300:58664</t>
  </si>
  <si>
    <t>300:58937</t>
  </si>
  <si>
    <t>300:58621</t>
  </si>
  <si>
    <t>204:727</t>
  </si>
  <si>
    <t>204:1014</t>
  </si>
  <si>
    <t>300:58626</t>
  </si>
  <si>
    <t>204:1007</t>
  </si>
  <si>
    <t>300:58873</t>
  </si>
  <si>
    <t>300:58560</t>
  </si>
  <si>
    <t>204:964</t>
  </si>
  <si>
    <t>204:960</t>
  </si>
  <si>
    <t>300:58971</t>
  </si>
  <si>
    <t>204:233397</t>
  </si>
  <si>
    <t>300:58649</t>
  </si>
  <si>
    <t>300:58969</t>
  </si>
  <si>
    <t>204:741</t>
  </si>
  <si>
    <t>204:1023</t>
  </si>
  <si>
    <t>300:58623</t>
  </si>
  <si>
    <t>204:717</t>
  </si>
  <si>
    <t>300:58928</t>
  </si>
  <si>
    <t>300:58611</t>
  </si>
  <si>
    <t>204:755</t>
  </si>
  <si>
    <t>204:1051</t>
  </si>
  <si>
    <t>204:233087</t>
  </si>
  <si>
    <t>204:810</t>
  </si>
  <si>
    <t>204:1118</t>
  </si>
  <si>
    <t>204:1039</t>
  </si>
  <si>
    <t>300:58927</t>
  </si>
  <si>
    <t>300:58606</t>
  </si>
  <si>
    <t>204:762</t>
  </si>
  <si>
    <t>204:1070</t>
  </si>
  <si>
    <t>300:58918</t>
  </si>
  <si>
    <t>300:58602</t>
  </si>
  <si>
    <t>300:58924</t>
  </si>
  <si>
    <t>300:58613</t>
  </si>
  <si>
    <t>204:1060</t>
  </si>
  <si>
    <t>300:58916</t>
  </si>
  <si>
    <t>204:233385</t>
  </si>
  <si>
    <t>300:58600</t>
  </si>
  <si>
    <t>204:827</t>
  </si>
  <si>
    <t>204:1112</t>
  </si>
  <si>
    <t>300:58922</t>
  </si>
  <si>
    <t>204:233063</t>
  </si>
  <si>
    <t>204:110</t>
  </si>
  <si>
    <t>204:165</t>
  </si>
  <si>
    <t>204:233340</t>
  </si>
  <si>
    <t>204:233023</t>
  </si>
  <si>
    <t>204:123</t>
  </si>
  <si>
    <t>300:29803</t>
  </si>
  <si>
    <t>300:58984</t>
  </si>
  <si>
    <t>300:58598</t>
  </si>
  <si>
    <t>300:21765</t>
  </si>
  <si>
    <t>204:233328</t>
  </si>
  <si>
    <t>204:233017</t>
  </si>
  <si>
    <t>204:170</t>
  </si>
  <si>
    <t>204:233306</t>
  </si>
  <si>
    <t>204:233334</t>
  </si>
  <si>
    <t>204:422</t>
  </si>
  <si>
    <t>204:233391</t>
  </si>
  <si>
    <t>204:233102</t>
  </si>
  <si>
    <t>204:119</t>
  </si>
  <si>
    <t>204:233009</t>
  </si>
  <si>
    <t>204:191</t>
  </si>
  <si>
    <t>204:232974</t>
  </si>
  <si>
    <t>204:233045</t>
  </si>
  <si>
    <t>204:233080</t>
  </si>
  <si>
    <t>204:913</t>
  </si>
  <si>
    <t>204:233319</t>
  </si>
  <si>
    <t>204:404</t>
  </si>
  <si>
    <t>204:233353</t>
  </si>
  <si>
    <t>204:233028</t>
  </si>
  <si>
    <t>204:488</t>
  </si>
  <si>
    <t>204:233338</t>
  </si>
  <si>
    <t>204:233305</t>
  </si>
  <si>
    <t>204:233298</t>
  </si>
  <si>
    <t>204:233382</t>
  </si>
  <si>
    <t>204:233051</t>
  </si>
  <si>
    <t>204:172</t>
  </si>
  <si>
    <t>204:233281</t>
  </si>
  <si>
    <t>204:233091</t>
  </si>
  <si>
    <t>204:27407</t>
  </si>
  <si>
    <t>204:232967</t>
  </si>
  <si>
    <t>204:415</t>
  </si>
  <si>
    <t>204:233302</t>
  </si>
  <si>
    <t>204:102243</t>
  </si>
  <si>
    <t>204:96829</t>
  </si>
  <si>
    <t>204:102562</t>
  </si>
  <si>
    <t>204:233330</t>
  </si>
  <si>
    <t>204:232957</t>
  </si>
  <si>
    <t>204:233268</t>
  </si>
  <si>
    <t>204:232980</t>
  </si>
  <si>
    <t>204:233376</t>
  </si>
  <si>
    <t>204:233077</t>
  </si>
  <si>
    <t>300:22785</t>
  </si>
  <si>
    <t>204:118</t>
  </si>
  <si>
    <t>204:1240</t>
  </si>
  <si>
    <t>300:23034</t>
  </si>
  <si>
    <t>300:23898</t>
  </si>
  <si>
    <t>300:16722</t>
  </si>
  <si>
    <t>204:450</t>
  </si>
  <si>
    <t>300:23314</t>
  </si>
  <si>
    <t>300:22331</t>
  </si>
  <si>
    <t>300:23293</t>
  </si>
  <si>
    <t>300:19596</t>
  </si>
  <si>
    <t>300:31279</t>
  </si>
  <si>
    <t>300:23316</t>
  </si>
  <si>
    <t>204:3639</t>
  </si>
  <si>
    <t>204:3324</t>
  </si>
  <si>
    <t>204:1158</t>
  </si>
  <si>
    <t>204:1090</t>
  </si>
  <si>
    <t>300:31411</t>
  </si>
  <si>
    <t>204:375</t>
  </si>
  <si>
    <t>300:31240</t>
  </si>
  <si>
    <t>204:381</t>
  </si>
  <si>
    <t>300:31308</t>
  </si>
  <si>
    <t>300:31297</t>
  </si>
  <si>
    <t>300:31335</t>
  </si>
  <si>
    <t>204:468</t>
  </si>
  <si>
    <t>300:31388</t>
  </si>
  <si>
    <t>204:524</t>
  </si>
  <si>
    <t>300:31280</t>
  </si>
  <si>
    <t>204:560</t>
  </si>
  <si>
    <t>300:31316</t>
  </si>
  <si>
    <t>204:602</t>
  </si>
  <si>
    <t>300:31356</t>
  </si>
  <si>
    <t>204:632</t>
  </si>
  <si>
    <t>300:31288</t>
  </si>
  <si>
    <t>204:734</t>
  </si>
  <si>
    <t>204:862</t>
  </si>
  <si>
    <t>300:31426</t>
  </si>
  <si>
    <t>204:947</t>
  </si>
  <si>
    <t>300:31328</t>
  </si>
  <si>
    <t>300:30924</t>
  </si>
  <si>
    <t>204:135</t>
  </si>
  <si>
    <t>300:30954</t>
  </si>
  <si>
    <t>204:82</t>
  </si>
  <si>
    <t>300:28765</t>
  </si>
  <si>
    <t>300:30976</t>
  </si>
  <si>
    <t>204:319</t>
  </si>
  <si>
    <t>300:30981</t>
  </si>
  <si>
    <t>204:283</t>
  </si>
  <si>
    <t>300:30996</t>
  </si>
  <si>
    <t>204:576</t>
  </si>
  <si>
    <t>300:31000</t>
  </si>
  <si>
    <t>204:663</t>
  </si>
  <si>
    <t>300:31006</t>
  </si>
  <si>
    <t>204:328</t>
  </si>
  <si>
    <t>204:167</t>
  </si>
  <si>
    <t>300:31046</t>
  </si>
  <si>
    <t>300:31072</t>
  </si>
  <si>
    <t>300:31087</t>
  </si>
  <si>
    <t>204:229</t>
  </si>
  <si>
    <t>300:31100</t>
  </si>
  <si>
    <t>204:794</t>
  </si>
  <si>
    <t>204:3078</t>
  </si>
  <si>
    <t>204:1475</t>
  </si>
  <si>
    <t>204:3419</t>
  </si>
  <si>
    <t>204:1469</t>
  </si>
  <si>
    <t>300:23312</t>
  </si>
  <si>
    <t>204:232723</t>
  </si>
  <si>
    <t>204:137</t>
  </si>
  <si>
    <t>204:232172</t>
  </si>
  <si>
    <t>204:232975</t>
  </si>
  <si>
    <t>204:153971</t>
  </si>
  <si>
    <t>204:153990</t>
  </si>
  <si>
    <t>204:233107</t>
  </si>
  <si>
    <t>204:232124</t>
  </si>
  <si>
    <t>204:154234</t>
  </si>
  <si>
    <t>204:154245</t>
  </si>
  <si>
    <t>204:233437</t>
  </si>
  <si>
    <t>204:154257</t>
  </si>
  <si>
    <t>204:232443</t>
  </si>
  <si>
    <t>204:232498</t>
  </si>
  <si>
    <t>204:233038</t>
  </si>
  <si>
    <t>300:21581</t>
  </si>
  <si>
    <t>300:23321</t>
  </si>
  <si>
    <t>300:23457</t>
  </si>
  <si>
    <t>204:84</t>
  </si>
  <si>
    <t>204:430</t>
  </si>
  <si>
    <t>300:23306</t>
  </si>
  <si>
    <t>204:385</t>
  </si>
  <si>
    <t>204:390</t>
  </si>
  <si>
    <t>204:467</t>
  </si>
  <si>
    <t>204:616</t>
  </si>
  <si>
    <t>204:233061</t>
  </si>
  <si>
    <t>204:95</t>
  </si>
  <si>
    <t>204:91</t>
  </si>
  <si>
    <t>300:58653</t>
  </si>
  <si>
    <t>204:97</t>
  </si>
  <si>
    <t>204:1032</t>
  </si>
  <si>
    <t>204:399</t>
  </si>
  <si>
    <t>300:58965</t>
  </si>
  <si>
    <t>204:408</t>
  </si>
  <si>
    <t>300:58950</t>
  </si>
  <si>
    <t>start /low /b %USERPROFILE%\Documents\GitHub\eaglep3\Utilities\DownloadLogsFromS3.py --loco 4032 --day 2017-05-13</t>
  </si>
  <si>
    <t>start /low /b %USERPROFILE%\Documents\GitHub\eaglep3\Utilities\DownloadLogsFromS3.py --loco 4041 --day 2017-05-13</t>
  </si>
  <si>
    <t>start /low /b %USERPROFILE%\Documents\GitHub\eaglep3\Utilities\DownloadLogsFromS3.py --loco 4007 --day 2017-05-13</t>
  </si>
  <si>
    <t>start /low /b %USERPROFILE%\Documents\GitHub\eaglep3\Utilities\DownloadLogsFromS3.py --loco 4041 --day 2017-05-14</t>
  </si>
  <si>
    <t>start /low /b %USERPROFILE%\Documents\GitHub\eaglep3\Utilities\DownloadLogsFromS3.py --loco 4013 --day 2017-05-14</t>
  </si>
  <si>
    <t>start /low /b %USERPROFILE%\Documents\GitHub\eaglep3\Utilities\DownloadLogsFromS3.py --loco 4014 --day 2017-05-13</t>
  </si>
  <si>
    <t>start /low /b %USERPROFILE%\Documents\GitHub\eaglep3\Utilities\DownloadLogsFromS3.py --loco 4054 --day 2017-05-13</t>
  </si>
  <si>
    <t>start /low /b %USERPROFILE%\Documents\GitHub\eaglep3\Utilities\DownloadLogsFromS3.py --loco 4001 --day 2017-05-13</t>
  </si>
  <si>
    <t>start /low /b %USERPROFILE%\Documents\GitHub\eaglep3\Utilities\DownloadLogsFromS3.py --loco 4028 --day 2017-05-14</t>
  </si>
  <si>
    <t>start /low /b %USERPROFILE%\Documents\GitHub\eaglep3\Utilities\DownloadLogsFromS3.py --loco 4028 --day 2017-05-13</t>
  </si>
  <si>
    <t>start /low /b %USERPROFILE%\Documents\GitHub\eaglep3\Utilities\DownloadLogsFromS3.py --loco 4054 --day 2017-05-14</t>
  </si>
  <si>
    <t>start /low /b %USERPROFILE%\Documents\GitHub\eaglep3\Utilities\DownloadLogsFromS3.py --loco 4053 --day 2017-05-14</t>
  </si>
  <si>
    <t>start /low /b %USERPROFILE%\Documents\GitHub\eaglep3\Utilities\DownloadLogsFromS3.py --loco 4027 --day 2017-05-13</t>
  </si>
  <si>
    <t>start /low /b %USERPROFILE%\Documents\GitHub\eaglep3\Utilities\DownloadLogsFromS3.py --loco 4003 --day 2017-05-14</t>
  </si>
  <si>
    <t>start /low /b %USERPROFILE%\Documents\GitHub\eaglep3\Utilities\DownloadLogsFromS3.py --loco 4031 --day 2017-05-13</t>
  </si>
  <si>
    <t>start /low /b %USERPROFILE%\Documents\GitHub\eaglep3\Utilities\DownloadLogsFromS3.py --loco 4004 --day 2017-05-14</t>
  </si>
  <si>
    <t>start /low /b %USERPROFILE%\Documents\GitHub\eaglep3\Utilities\DownloadLogsFromS3.py --loco 4013 --day 2017-05-13</t>
  </si>
  <si>
    <t>start /low /b %USERPROFILE%\Documents\GitHub\eaglep3\Utilities\DownloadLogsFromS3.py --loco 4001 --day 2017-05-14</t>
  </si>
  <si>
    <t>start /low /b %USERPROFILE%\Documents\GitHub\eaglep3\Utilities\DownloadLogsFromS3.py --loco 4002 --day 2017-05-13</t>
  </si>
  <si>
    <t>start /low /b %USERPROFILE%\Documents\GitHub\eaglep3\Utilities\DownloadLogsFromS3.py --loco 4042 --day 2017-05-13</t>
  </si>
  <si>
    <t>start /low /b %USERPROFILE%\Documents\GitHub\eaglep3\Utilities\DownloadLogsFromS3.py --loco 4051 --day 2017-05-13</t>
  </si>
  <si>
    <t>start /low /b %USERPROFILE%\Documents\GitHub\eaglep3\Utilities\DownloadLogsFromS3.py --loco 4052 --day 2017-05-13</t>
  </si>
  <si>
    <t>Re-init after minor onboard in-route failure</t>
  </si>
  <si>
    <t>Cut out after early arrival</t>
  </si>
  <si>
    <t>CP Sable switch out of correspondence</t>
  </si>
  <si>
    <t>Cancelled due to CP Sable switch out of correspondence</t>
  </si>
  <si>
    <t>Chambers 2N STOP, cleared afterward</t>
  </si>
  <si>
    <t>Pena 2N STOP, cleared afterward</t>
  </si>
  <si>
    <t>Delayed by departure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</si>
</sst>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42868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42868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145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34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COUNTIFS($N$13:$N$9320,"&gt;0",$AG$13:$AG$9320,I1)</f>
        <v>139</v>
      </c>
      <c r="K5" s="39"/>
      <c r="L5" s="39"/>
      <c r="M5" s="40">
        <f>AVERAGEIFS($N$13:$N$9320,$AG$13:$AG$9320,I1)</f>
        <v>38.841366906894919</v>
      </c>
      <c r="N5" s="38">
        <f t="array" ref="N5">MIN(IF($AG$13:$AG$9320=I1,IF(ISNUMBER($N$13:$N$9320),IF($N$13:$N$9320&gt;0,$N$13:$N$9320))))</f>
        <v>34.949999997625127</v>
      </c>
      <c r="O5" s="3">
        <f t="array" ref="O5">MAX(IF($AG$13:$AG$9320=I1,IF(ISNUMBER($N$13:$N$9320),IF($N$13:$N$9320&gt;0,$N$13:$N$9320))))</f>
        <v>52.866666672052816</v>
      </c>
      <c r="P5" s="2"/>
      <c r="R5" s="177" t="s">
        <v>17</v>
      </c>
      <c r="S5" s="199">
        <f>COUNTIFS($N$13:$N$9320,"&gt;0",$AG$13:$AG$9320,R1)</f>
        <v>34</v>
      </c>
      <c r="T5" s="179"/>
      <c r="U5" s="179"/>
      <c r="V5" s="176">
        <f>AVERAGEIFS($N$13:$N$9320,$AG$13:$AG$9320,R1)</f>
        <v>14.704411765149629</v>
      </c>
      <c r="W5" s="177">
        <f t="array" ref="W5">MIN(IF($AG$13:$AG$9320=R1,IF(ISNUMBER($N$13:$N$9320),IF($N$13:$N$9320&gt;0,$N$13:$N$9320))))</f>
        <v>12.266666663344949</v>
      </c>
      <c r="X5" s="178">
        <f t="array" ref="X5">MAX(IF($AG$13:$AG$9320=R1,IF(ISNUMBER($N$13:$N$9320),IF($N$13:$N$9320&gt;0,$N$13:$N$9320))))</f>
        <v>20.133333335397765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COUNT($O$13:$O$113)</f>
        <v>0</v>
      </c>
      <c r="K6" s="39"/>
      <c r="L6" s="39"/>
      <c r="M6" s="40">
        <f>IFERROR(AVERAGE($O$13:$O$113),0)</f>
        <v>0</v>
      </c>
      <c r="N6" s="38">
        <f>MIN($O$13:$O$113)</f>
        <v>0</v>
      </c>
      <c r="O6" s="3">
        <f>MAX($O$13:$O$113)</f>
        <v>0</v>
      </c>
      <c r="P6" s="2"/>
      <c r="R6" s="180" t="s">
        <v>43</v>
      </c>
      <c r="S6" s="199">
        <f>COUNT($O$13:$O$113)</f>
        <v>0</v>
      </c>
      <c r="T6" s="179"/>
      <c r="U6" s="179"/>
      <c r="V6" s="176">
        <f>IFERROR(AVERAGE($O$13:$O$113),0)</f>
        <v>0</v>
      </c>
      <c r="W6" s="177">
        <f>MIN($O$13:$O$113)</f>
        <v>0</v>
      </c>
      <c r="X6" s="178">
        <f>MAX($O$13:$O$113)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COUNTIFS($P$13:$P$9320,"&gt;0",$AG$13:$AG$9320,I1)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COUNTIFS($P$13:$P$9320,"&gt;0",$AG$13:$AG$9320,R1)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139</v>
      </c>
      <c r="K8" s="39"/>
      <c r="L8" s="39"/>
      <c r="M8" s="40">
        <f>M5</f>
        <v>38.841366906894919</v>
      </c>
      <c r="N8" s="38">
        <f>N5</f>
        <v>34.949999997625127</v>
      </c>
      <c r="O8" s="3">
        <f>O5</f>
        <v>52.866666672052816</v>
      </c>
      <c r="P8" s="2"/>
      <c r="R8" s="177" t="s">
        <v>16</v>
      </c>
      <c r="S8" s="199">
        <f>S5</f>
        <v>34</v>
      </c>
      <c r="T8" s="179"/>
      <c r="U8" s="179"/>
      <c r="V8" s="176">
        <f>V5</f>
        <v>14.704411765149629</v>
      </c>
      <c r="W8" s="177">
        <f>W5</f>
        <v>12.266666663344949</v>
      </c>
      <c r="X8" s="178">
        <f>X5</f>
        <v>20.133333335397765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0.95862068965517244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- 2017-05-13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AVERAGE(S13:S89)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597</v>
      </c>
      <c r="B13" s="7">
        <v>4042</v>
      </c>
      <c r="C13" s="21" t="s">
        <v>206</v>
      </c>
      <c r="D13" s="21" t="s">
        <v>787</v>
      </c>
      <c r="E13" s="13">
        <v>42868.13077546296</v>
      </c>
      <c r="F13" s="13">
        <v>42868.13559027778</v>
      </c>
      <c r="G13" s="7">
        <v>1</v>
      </c>
      <c r="H13" s="21" t="s">
        <v>788</v>
      </c>
      <c r="I13" s="13">
        <v>42868.161493055559</v>
      </c>
      <c r="J13" s="7">
        <v>0</v>
      </c>
      <c r="K13" s="92" t="str">
        <f t="shared" ref="K13:K76" si="0">IF(ISEVEN(B13),(B13-1)&amp;"/"&amp;B13,B13&amp;"/"&amp;(B13+1))</f>
        <v>4041/4042</v>
      </c>
      <c r="L13" s="21" t="str">
        <f>VLOOKUP(A13,'Trips&amp;Operators'!$C$1:$G$99999,5,FALSE)</f>
        <v>BADERTSCHER DIANE</v>
      </c>
      <c r="M13" s="6">
        <f t="shared" ref="M13:M76" si="1">I13-F13</f>
        <v>2.5902777779265307E-2</v>
      </c>
      <c r="N13" s="7">
        <f t="shared" ref="N13:N44" si="2">24*60*SUM($M13:$M13)</f>
        <v>37.300000002142042</v>
      </c>
      <c r="O13" s="7"/>
      <c r="P13" s="7"/>
      <c r="Q13" s="22"/>
      <c r="R13" s="190"/>
      <c r="S13" s="196">
        <f t="shared" ref="S13:S44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-13T02:08:19-0600',mode:absolute,to:'2017-05-13T04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92" t="str">
        <f t="shared" ref="W13:W76" si="6">IF(AA13&lt;IF(AG13="EC",23,5.65),"Y","N")</f>
        <v>N</v>
      </c>
      <c r="X13" s="192" t="e">
        <f t="shared" ref="X13:X44" si="7">VALUE(LEFT(AD13,4))-VALUE(LEFT(AD12,4))</f>
        <v>#VALUE!</v>
      </c>
      <c r="Y13" s="192">
        <f t="shared" ref="Y13:Y44" si="8">RIGHT(D13,LEN(D13)-4)/10000</f>
        <v>7.4300000000000005E-2</v>
      </c>
      <c r="Z13" s="192">
        <f t="shared" ref="Z13:Z44" si="9">RIGHT(H13,LEN(H13)-4)/10000</f>
        <v>23.33</v>
      </c>
      <c r="AA13" s="192">
        <f t="shared" ref="AA13:AA76" si="10">ABS(Z13-Y13)</f>
        <v>23.255699999999997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0101-13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/stypes="app*4042*20170513*"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4042 --swversion DE.1.0.9.0 --startMP 204:743 --initTime 2017-05-13T03:08:19 --startdatetime 2017-05-13T03:15:15 --delay 1 --endMP 204:233300 --enddatetime 2017-05-13T03:52:33 --enforcementcount 0 &gt;&gt;C:\Users\stu\Documents\GitHub\eaglep3-reporting\EC\2017-05-13-refined-times.txt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{"issue":{"subject":"","project_id":79,"tracker_id":40,"status_id":1,"priority_id":2,"assigned_to_id":23,"start_date":"2017-05-13","description":"","custom_fields":[{"id":1,"name":"Subdivision","value":"EC"},{"id":4,"name":"Milepost","value":"23.33"},{"id":17,"name":"Train ID","value":"101-13"},{"id":16,"name":"Locomotive ID","value":"4042"},{"id":130,"name":"Impact","value":""},{"id":150,"name":"Time of Event (Mountain Time)","value":"03:52:33"},{"id":151,"name":"Denver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4042 --day 2017-05-13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604</v>
      </c>
      <c r="B14" s="7">
        <v>4031</v>
      </c>
      <c r="C14" s="21" t="s">
        <v>206</v>
      </c>
      <c r="D14" s="21" t="s">
        <v>506</v>
      </c>
      <c r="E14" s="13">
        <v>42868.167858796296</v>
      </c>
      <c r="F14" s="13">
        <v>42868.174490740741</v>
      </c>
      <c r="G14" s="7">
        <v>1</v>
      </c>
      <c r="H14" s="21" t="s">
        <v>348</v>
      </c>
      <c r="I14" s="13">
        <v>42868.201874999999</v>
      </c>
      <c r="J14" s="7">
        <v>0</v>
      </c>
      <c r="K14" s="92" t="str">
        <f t="shared" si="0"/>
        <v>4031/4032</v>
      </c>
      <c r="L14" s="21" t="str">
        <f>VLOOKUP(A14,'Trips&amp;Operators'!$C$1:$G$99999,5,FALSE)</f>
        <v>BADERTSCHER DIANE</v>
      </c>
      <c r="M14" s="6">
        <f t="shared" si="1"/>
        <v>2.7384259257814847E-2</v>
      </c>
      <c r="N14" s="7">
        <f t="shared" si="2"/>
        <v>39.43333333125338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-13T03:01:43-0600',mode:absolute,to:'2017-05-13T05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23.267299999999999</v>
      </c>
      <c r="Z14" s="192">
        <f t="shared" si="9"/>
        <v>1.38E-2</v>
      </c>
      <c r="AA14" s="192">
        <f t="shared" si="10"/>
        <v>23.253499999999999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0102-13</v>
      </c>
      <c r="AE14" s="80" t="str">
        <f t="shared" si="12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14" s="77" t="str">
        <f t="shared" si="13"/>
        <v>"C:\Program Files (x86)\AstroGrep\AstroGrep.exe" /e /r /s /spath="%USERPROFILE%\AppData\Local\Temp\OnboardLogs" /stypes="app*4031*20170513*"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4031 --swversion DE.1.0.9.0 --startMP 204:232673 --initTime 2017-05-13T04:01:43 --startdatetime 2017-05-13T04:11:16 --delay 1 --endMP 204:138 --enddatetime 2017-05-13T04:50:42 --enforcementcount 0 &gt;&gt;C:\Users\stu\Documents\GitHub\eaglep3-reporting\EC\2017-05-13-refined-times.txt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{"issue":{"subject":"","project_id":79,"tracker_id":40,"status_id":1,"priority_id":2,"assigned_to_id":23,"start_date":"2017-05-13","description":"","custom_fields":[{"id":1,"name":"Subdivision","value":"EC"},{"id":4,"name":"Milepost","value":"0.0138"},{"id":17,"name":"Train ID","value":"102-13"},{"id":16,"name":"Locomotive ID","value":"4031"},{"id":130,"name":"Impact","value":""},{"id":150,"name":"Time of Event (Mountain Time)","value":"04:50:42"},{"id":151,"name":"Denver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4031 --day 2017-05-13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600</v>
      </c>
      <c r="B15" s="7">
        <v>4054</v>
      </c>
      <c r="C15" s="21" t="s">
        <v>206</v>
      </c>
      <c r="D15" s="21" t="s">
        <v>470</v>
      </c>
      <c r="E15" s="13">
        <v>42868.146921296298</v>
      </c>
      <c r="F15" s="13">
        <v>42868.156435185185</v>
      </c>
      <c r="G15" s="7">
        <v>1</v>
      </c>
      <c r="H15" s="21" t="s">
        <v>789</v>
      </c>
      <c r="I15" s="13">
        <v>42868.181469907409</v>
      </c>
      <c r="J15" s="7">
        <v>0</v>
      </c>
      <c r="K15" s="92" t="str">
        <f t="shared" si="0"/>
        <v>4053/4054</v>
      </c>
      <c r="L15" s="21" t="str">
        <f>VLOOKUP(A15,'Trips&amp;Operators'!$C$1:$G$99999,5,FALSE)</f>
        <v>ROBINSON KADDIBA</v>
      </c>
      <c r="M15" s="6">
        <f t="shared" si="1"/>
        <v>2.5034722224518191E-2</v>
      </c>
      <c r="N15" s="7">
        <f t="shared" si="2"/>
        <v>36.050000003306195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-13T02:31:34-0600',mode:absolute,to:'2017-05-13T05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7.8100000000000003E-2</v>
      </c>
      <c r="Z15" s="192">
        <f t="shared" si="9"/>
        <v>23.334099999999999</v>
      </c>
      <c r="AA15" s="192">
        <f t="shared" si="10"/>
        <v>23.256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0103-13</v>
      </c>
      <c r="AE15" s="80" t="str">
        <f t="shared" si="12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15" s="77" t="str">
        <f t="shared" si="13"/>
        <v>"C:\Program Files (x86)\AstroGrep\AstroGrep.exe" /e /r /s /spath="%USERPROFILE%\AppData\Local\Temp\OnboardLogs" /stypes="app*4054*20170513*"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103-13 --locoid 4054 --swversion DE.1.0.9.0 --startMP 204:781 --initTime 2017-05-13T03:31:34 --startdatetime 2017-05-13T03:45:16 --delay 1 --endMP 204:233341 --enddatetime 2017-05-13T04:21:19 --enforcementcount 0 &gt;&gt;C:\Users\stu\Documents\GitHub\eaglep3-reporting\EC\2017-05-13-refined-times.txt</v>
      </c>
      <c r="AI15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{"issue":{"subject":"","project_id":79,"tracker_id":40,"status_id":1,"priority_id":2,"assigned_to_id":23,"start_date":"2017-05-13","description":"","custom_fields":[{"id":1,"name":"Subdivision","value":"EC"},{"id":4,"name":"Milepost","value":"23.3341"},{"id":17,"name":"Train ID","value":"103-13"},{"id":16,"name":"Locomotive ID","value":"4054"},{"id":130,"name":"Impact","value":""},{"id":150,"name":"Time of Event (Mountain Time)","value":"04:21:19"},{"id":151,"name":"Denver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4054 --day 2017-05-13</v>
      </c>
      <c r="AN15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613</v>
      </c>
      <c r="B16" s="7">
        <v>4027</v>
      </c>
      <c r="C16" s="21" t="s">
        <v>206</v>
      </c>
      <c r="D16" s="21" t="s">
        <v>790</v>
      </c>
      <c r="E16" s="13">
        <v>42868.187280092592</v>
      </c>
      <c r="F16" s="13">
        <v>42868.195324074077</v>
      </c>
      <c r="G16" s="7">
        <v>1</v>
      </c>
      <c r="H16" s="21" t="s">
        <v>521</v>
      </c>
      <c r="I16" s="13">
        <v>42868.224351851852</v>
      </c>
      <c r="J16" s="7">
        <v>0</v>
      </c>
      <c r="K16" s="92" t="str">
        <f t="shared" si="0"/>
        <v>4027/4028</v>
      </c>
      <c r="L16" s="21" t="str">
        <f>VLOOKUP(A16,'Trips&amp;Operators'!$C$1:$G$99999,5,FALSE)</f>
        <v>ROBINSON KADDIBA</v>
      </c>
      <c r="M16" s="6">
        <f t="shared" si="1"/>
        <v>2.9027777774899732E-2</v>
      </c>
      <c r="N16" s="7">
        <f t="shared" si="2"/>
        <v>41.799999995855615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-13T03:29:41-0600',mode:absolute,to:'2017-05-13T06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23.277699999999999</v>
      </c>
      <c r="Z16" s="192">
        <f t="shared" si="9"/>
        <v>1.7399999999999999E-2</v>
      </c>
      <c r="AA16" s="192">
        <f t="shared" si="10"/>
        <v>23.260300000000001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0104-13</v>
      </c>
      <c r="AE16" s="80" t="str">
        <f t="shared" si="12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16" s="77" t="str">
        <f t="shared" si="13"/>
        <v>"C:\Program Files (x86)\AstroGrep\AstroGrep.exe" /e /r /s /spath="%USERPROFILE%\AppData\Local\Temp\OnboardLogs" /stypes="app*4027*20170513*"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104-13 --locoid 4027 --swversion DE.1.0.9.0 --startMP 204:232777 --initTime 2017-05-13T04:29:41 --startdatetime 2017-05-13T04:41:16 --delay 1 --endMP 204:174 --enddatetime 2017-05-13T05:23:04 --enforcementcount 0 &gt;&gt;C:\Users\stu\Documents\GitHub\eaglep3-reporting\EC\2017-05-13-refined-times.txt</v>
      </c>
      <c r="AI16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{"issue":{"subject":"","project_id":79,"tracker_id":40,"status_id":1,"priority_id":2,"assigned_to_id":23,"start_date":"2017-05-13","description":"","custom_fields":[{"id":1,"name":"Subdivision","value":"EC"},{"id":4,"name":"Milepost","value":"0.0174"},{"id":17,"name":"Train ID","value":"104-13"},{"id":16,"name":"Locomotive ID","value":"4027"},{"id":130,"name":"Impact","value":""},{"id":150,"name":"Time of Event (Mountain Time)","value":"05:23:04"},{"id":151,"name":"Denver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4027 --day 2017-05-13</v>
      </c>
      <c r="AN16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605</v>
      </c>
      <c r="B17" s="7">
        <v>4008</v>
      </c>
      <c r="C17" s="21" t="s">
        <v>206</v>
      </c>
      <c r="D17" s="21" t="s">
        <v>791</v>
      </c>
      <c r="E17" s="13">
        <v>42868.171284722222</v>
      </c>
      <c r="F17" s="13">
        <v>42868.177719907406</v>
      </c>
      <c r="G17" s="7">
        <v>1</v>
      </c>
      <c r="H17" s="21" t="s">
        <v>792</v>
      </c>
      <c r="I17" s="13">
        <v>42868.202800925923</v>
      </c>
      <c r="J17" s="7">
        <v>0</v>
      </c>
      <c r="K17" s="92" t="str">
        <f t="shared" si="0"/>
        <v>4007/4008</v>
      </c>
      <c r="L17" s="21" t="str">
        <f>VLOOKUP(A17,'Trips&amp;Operators'!$C$1:$G$99999,5,FALSE)</f>
        <v>MAELZER KURT</v>
      </c>
      <c r="M17" s="6">
        <f t="shared" si="1"/>
        <v>2.5081018517084885E-2</v>
      </c>
      <c r="N17" s="7">
        <f t="shared" si="2"/>
        <v>36.116666664602235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-13T03:06:39-0600',mode:absolute,to:'2017-05-13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7.8600000000000003E-2</v>
      </c>
      <c r="Z17" s="192">
        <f t="shared" si="9"/>
        <v>23.334599999999998</v>
      </c>
      <c r="AA17" s="192">
        <f t="shared" si="10"/>
        <v>23.255999999999997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0105-13</v>
      </c>
      <c r="AE17" s="80" t="str">
        <f t="shared" si="12"/>
        <v>aws s3 cp s3://rtdc.mdm.uploadarchive.raw/RTDC4008/ "%USERPROFILE%\AppData\Local\Temp\OnboardLogs"\RTDC4008\2017-05-13 --exclude "*" --recursive --include "*20170513*" &amp; "%USERPROFILE%\Documents\GitHub\mrs-test-scripts\Headless Mode &amp; Sideloading\WalkAndUnGZ.bat" "%USERPROFILE%\AppData\Local\Temp\OnboardLogs"\RTDC4008\2017-05-13 &amp; aws s3 cp s3://rtdc.mdm.uploadarchive.raw/RTDC4008/ "%USERPROFILE%\AppData\Local\Temp\OnboardLogs"\RTDC4008\2017-05-14 --exclude "*" --recursive --include "*20170514*" &amp; "%USERPROFILE%\Documents\GitHub\mrs-test-scripts\Headless Mode &amp; Sideloading\WalkAndUnGZ.bat" "%USERPROFILE%\AppData\Local\Temp\OnboardLogs"\RTDC4008\2017-05-14</v>
      </c>
      <c r="AF17" s="77" t="str">
        <f t="shared" si="13"/>
        <v>"C:\Program Files (x86)\AstroGrep\AstroGrep.exe" /e /r /s /spath="%USERPROFILE%\AppData\Local\Temp\OnboardLogs" /stypes="app*4008*20170513*"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105-13 --locoid 4008 --swversion DE.1.0.9.0 --startMP 204:786 --initTime 2017-05-13T04:06:39 --startdatetime 2017-05-13T04:15:55 --delay 1 --endMP 204:233346 --enddatetime 2017-05-13T04:52:02 --enforcementcount 0 &gt;&gt;C:\Users\stu\Documents\GitHub\eaglep3-reporting\EC\2017-05-13-refined-times.txt</v>
      </c>
      <c r="AI17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{"issue":{"subject":"","project_id":79,"tracker_id":40,"status_id":1,"priority_id":2,"assigned_to_id":23,"start_date":"2017-05-13","description":"","custom_fields":[{"id":1,"name":"Subdivision","value":"EC"},{"id":4,"name":"Milepost","value":"23.3346"},{"id":17,"name":"Train ID","value":"105-13"},{"id":16,"name":"Locomotive ID","value":"4008"},{"id":130,"name":"Impact","value":""},{"id":150,"name":"Time of Event (Mountain Time)","value":"04:52:02"},{"id":151,"name":"Denver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4008 --day 2017-05-13</v>
      </c>
      <c r="AN17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616</v>
      </c>
      <c r="B18" s="7">
        <v>4003</v>
      </c>
      <c r="C18" s="21" t="s">
        <v>206</v>
      </c>
      <c r="D18" s="21" t="s">
        <v>793</v>
      </c>
      <c r="E18" s="13">
        <v>42868.209293981483</v>
      </c>
      <c r="F18" s="13">
        <v>42868.216365740744</v>
      </c>
      <c r="G18" s="7">
        <v>1</v>
      </c>
      <c r="H18" s="21" t="s">
        <v>514</v>
      </c>
      <c r="I18" s="13">
        <v>42868.242951388886</v>
      </c>
      <c r="J18" s="7">
        <v>0</v>
      </c>
      <c r="K18" s="92" t="str">
        <f t="shared" si="0"/>
        <v>4003/4004</v>
      </c>
      <c r="L18" s="21" t="str">
        <f>VLOOKUP(A18,'Trips&amp;Operators'!$C$1:$G$99999,5,FALSE)</f>
        <v>MAELZER KURT</v>
      </c>
      <c r="M18" s="6">
        <f t="shared" si="1"/>
        <v>2.6585648141917773E-2</v>
      </c>
      <c r="N18" s="7">
        <f t="shared" si="2"/>
        <v>38.283333324361593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-13T04:01:23-0600',mode:absolute,to:'2017-05-13T06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23.271899999999999</v>
      </c>
      <c r="Z18" s="192">
        <f t="shared" si="9"/>
        <v>1.6299999999999999E-2</v>
      </c>
      <c r="AA18" s="192">
        <f t="shared" si="10"/>
        <v>23.255599999999998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0106-13</v>
      </c>
      <c r="AE18" s="80" t="str">
        <f t="shared" si="12"/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18" s="77" t="str">
        <f t="shared" si="13"/>
        <v>"C:\Program Files (x86)\AstroGrep\AstroGrep.exe" /e /r /s /spath="%USERPROFILE%\AppData\Local\Temp\OnboardLogs" /stypes="app*4003*20170513*"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106-13 --locoid 4003 --swversion DE.1.0.9.0 --startMP 204:232719 --initTime 2017-05-13T05:01:23 --startdatetime 2017-05-13T05:11:34 --delay 1 --endMP 204:163 --enddatetime 2017-05-13T05:49:51 --enforcementcount 0 &gt;&gt;C:\Users\stu\Documents\GitHub\eaglep3-reporting\EC\2017-05-13-refined-times.txt</v>
      </c>
      <c r="AI18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{"issue":{"subject":"","project_id":79,"tracker_id":40,"status_id":1,"priority_id":2,"assigned_to_id":23,"start_date":"2017-05-13","description":"","custom_fields":[{"id":1,"name":"Subdivision","value":"EC"},{"id":4,"name":"Milepost","value":"0.0163"},{"id":17,"name":"Train ID","value":"106-13"},{"id":16,"name":"Locomotive ID","value":"4003"},{"id":130,"name":"Impact","value":""},{"id":150,"name":"Time of Event (Mountain Time)","value":"05:49:51"},{"id":151,"name":"Denver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4003 --day 2017-05-13</v>
      </c>
      <c r="AN18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612</v>
      </c>
      <c r="B19" s="7">
        <v>4014</v>
      </c>
      <c r="C19" s="21" t="s">
        <v>206</v>
      </c>
      <c r="D19" s="21" t="s">
        <v>203</v>
      </c>
      <c r="E19" s="13">
        <v>42868.189872685187</v>
      </c>
      <c r="F19" s="13">
        <v>42868.191064814811</v>
      </c>
      <c r="G19" s="7">
        <v>1</v>
      </c>
      <c r="H19" s="21" t="s">
        <v>794</v>
      </c>
      <c r="I19" s="13">
        <v>42868.220567129632</v>
      </c>
      <c r="J19" s="7">
        <v>0</v>
      </c>
      <c r="K19" s="92" t="str">
        <f t="shared" si="0"/>
        <v>4013/4014</v>
      </c>
      <c r="L19" s="21" t="str">
        <f>VLOOKUP(A19,'Trips&amp;Operators'!$C$1:$G$99999,5,FALSE)</f>
        <v>DAVIS WENDY</v>
      </c>
      <c r="M19" s="6">
        <f t="shared" si="1"/>
        <v>2.9502314821002074E-2</v>
      </c>
      <c r="N19" s="7">
        <f t="shared" si="2"/>
        <v>42.483333342242986</v>
      </c>
      <c r="O19" s="7"/>
      <c r="P19" s="7"/>
      <c r="Q19" s="22"/>
      <c r="R19" s="190" t="s">
        <v>1074</v>
      </c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-13T03:33:25-0600',mode:absolute,to:'2017-05-13T06:17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4.5999999999999999E-2</v>
      </c>
      <c r="Z19" s="192">
        <f t="shared" si="9"/>
        <v>23.329699999999999</v>
      </c>
      <c r="AA19" s="192">
        <f t="shared" si="10"/>
        <v>23.2837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0107-13</v>
      </c>
      <c r="AE19" s="80" t="str">
        <f t="shared" si="12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19" s="77" t="str">
        <f t="shared" si="13"/>
        <v>"C:\Program Files (x86)\AstroGrep\AstroGrep.exe" /e /r /s /spath="%USERPROFILE%\AppData\Local\Temp\OnboardLogs" /stypes="app*4014*20170513*"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107-13 --locoid 4014 --swversion DE.1.0.9.0 --startMP 204:460 --initTime 2017-05-13T04:33:25 --startdatetime 2017-05-13T04:35:08 --delay 1 --endMP 204:233297 --enddatetime 2017-05-13T05:17:37 --enforcementcount 0 &gt;&gt;C:\Users\stu\Documents\GitHub\eaglep3-reporting\EC\2017-05-13-refined-times.txt</v>
      </c>
      <c r="AI19" s="99" t="str">
        <f t="shared" si="20"/>
        <v>echo {"issue":{"subject":"Delayed by departure test","project_id":79,"tracker_id":40,"status_id":1,"priority_id":2,"assigned_to_id":23,"start_date":"2017-05-13","description":"","custom_fields":[{"id":1,"name":"Subdivision","value":"EC"},{"id":4,"name":"Milepost","value":"23.3297"},{"id":17,"name":"Train ID","value":"107-13"},{"id":16,"name":"Locomotive ID","value":"4014"},{"id":130,"name":"Impact","value":""},{"id":150,"name":"Time of Event (Mountain Time)","value":"05:17:37"},{"id":151,"name":"Denver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4014 --day 2017-05-13</v>
      </c>
      <c r="AN19" s="154" t="str">
        <f t="shared" si="22"/>
        <v>echo {"issue":{"subject":"Delayed by departure test","project_id":30,"tracker_id":4,"status_id":1,"priority_id":1,"assigned_to_id":10,"start_date":"2017-05-13","description":"","custom_fields":[{"id":30,"name":"Category","value":"Issue"},{"id":3,"name":"Functional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11:17:37"},{"id":29,"name":"Sharepoint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620</v>
      </c>
      <c r="B20" s="7">
        <v>4013</v>
      </c>
      <c r="C20" s="21" t="s">
        <v>206</v>
      </c>
      <c r="D20" s="21" t="s">
        <v>795</v>
      </c>
      <c r="E20" s="13">
        <v>42868.225636574076</v>
      </c>
      <c r="F20" s="13">
        <v>42868.22693287037</v>
      </c>
      <c r="G20" s="7">
        <v>1</v>
      </c>
      <c r="H20" s="21" t="s">
        <v>353</v>
      </c>
      <c r="I20" s="13">
        <v>42868.255104166667</v>
      </c>
      <c r="J20" s="7">
        <v>0</v>
      </c>
      <c r="K20" s="92" t="str">
        <f t="shared" si="0"/>
        <v>4013/4014</v>
      </c>
      <c r="L20" s="21" t="str">
        <f>VLOOKUP(A20,'Trips&amp;Operators'!$C$1:$G$99999,5,FALSE)</f>
        <v>DAVIS WENDY</v>
      </c>
      <c r="M20" s="6">
        <f t="shared" si="1"/>
        <v>2.8171296296932269E-2</v>
      </c>
      <c r="N20" s="7">
        <f t="shared" si="2"/>
        <v>40.566666667582467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-13T04:24:55-0600',mode:absolute,to:'2017-05-13T07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23.2986</v>
      </c>
      <c r="Z20" s="192">
        <f t="shared" si="9"/>
        <v>1.4500000000000001E-2</v>
      </c>
      <c r="AA20" s="192">
        <f t="shared" si="10"/>
        <v>23.284099999999999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0108-13</v>
      </c>
      <c r="AE20" s="80" t="str">
        <f t="shared" si="12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20" s="77" t="str">
        <f t="shared" si="13"/>
        <v>"C:\Program Files (x86)\AstroGrep\AstroGrep.exe" /e /r /s /spath="%USERPROFILE%\AppData\Local\Temp\OnboardLogs" /stypes="app*4013*20170513*"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108-13 --locoid 4013 --swversion DE.1.0.9.0 --startMP 204:232986 --initTime 2017-05-13T05:24:55 --startdatetime 2017-05-13T05:26:47 --delay 1 --endMP 204:145 --enddatetime 2017-05-13T06:07:21 --enforcementcount 0 &gt;&gt;C:\Users\stu\Documents\GitHub\eaglep3-reporting\EC\2017-05-13-refined-times.txt</v>
      </c>
      <c r="AI20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{"issue":{"subject":"","project_id":79,"tracker_id":40,"status_id":1,"priority_id":2,"assigned_to_id":23,"start_date":"2017-05-13","description":"","custom_fields":[{"id":1,"name":"Subdivision","value":"EC"},{"id":4,"name":"Milepost","value":"0.0145"},{"id":17,"name":"Train ID","value":"108-13"},{"id":16,"name":"Locomotive ID","value":"4013"},{"id":130,"name":"Impact","value":""},{"id":150,"name":"Time of Event (Mountain Time)","value":"06:07:21"},{"id":151,"name":"Denver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4013 --day 2017-05-13</v>
      </c>
      <c r="AN20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614</v>
      </c>
      <c r="B21" s="7">
        <v>4002</v>
      </c>
      <c r="C21" s="21" t="s">
        <v>206</v>
      </c>
      <c r="D21" s="21" t="s">
        <v>202</v>
      </c>
      <c r="E21" s="13">
        <v>42868.191168981481</v>
      </c>
      <c r="F21" s="13">
        <v>42868.198194444441</v>
      </c>
      <c r="G21" s="7">
        <v>1</v>
      </c>
      <c r="H21" s="21" t="s">
        <v>796</v>
      </c>
      <c r="I21" s="13">
        <v>42868.223819444444</v>
      </c>
      <c r="J21" s="7">
        <v>0</v>
      </c>
      <c r="K21" s="92" t="str">
        <f t="shared" si="0"/>
        <v>4001/4002</v>
      </c>
      <c r="L21" s="21" t="str">
        <f>VLOOKUP(A21,'Trips&amp;Operators'!$C$1:$G$99999,5,FALSE)</f>
        <v>SANTIZO D. EDY</v>
      </c>
      <c r="M21" s="6">
        <f t="shared" si="1"/>
        <v>2.5625000002037268E-2</v>
      </c>
      <c r="N21" s="7">
        <f t="shared" si="2"/>
        <v>36.900000002933666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-13T03:35:17-0600',mode:absolute,to:'2017-05-13T06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4.5699999999999998E-2</v>
      </c>
      <c r="Z21" s="192">
        <f t="shared" si="9"/>
        <v>23.332899999999999</v>
      </c>
      <c r="AA21" s="192">
        <f t="shared" si="10"/>
        <v>23.287199999999999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0109-13</v>
      </c>
      <c r="AE21" s="80" t="str">
        <f t="shared" si="12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21" s="77" t="str">
        <f t="shared" si="13"/>
        <v>"C:\Program Files (x86)\AstroGrep\AstroGrep.exe" /e /r /s /spath="%USERPROFILE%\AppData\Local\Temp\OnboardLogs" /stypes="app*4002*20170513*"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109-13 --locoid 4002 --swversion DE.1.0.9.0 --startMP 204:457 --initTime 2017-05-13T04:35:17 --startdatetime 2017-05-13T04:45:24 --delay 1 --endMP 204:233329 --enddatetime 2017-05-13T05:22:18 --enforcementcount 0 &gt;&gt;C:\Users\stu\Documents\GitHub\eaglep3-reporting\EC\2017-05-13-refined-times.txt</v>
      </c>
      <c r="AI21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{"issue":{"subject":"","project_id":79,"tracker_id":40,"status_id":1,"priority_id":2,"assigned_to_id":23,"start_date":"2017-05-13","description":"","custom_fields":[{"id":1,"name":"Subdivision","value":"EC"},{"id":4,"name":"Milepost","value":"23.3329"},{"id":17,"name":"Train ID","value":"109-13"},{"id":16,"name":"Locomotive ID","value":"4002"},{"id":130,"name":"Impact","value":""},{"id":150,"name":"Time of Event (Mountain Time)","value":"05:22:18"},{"id":151,"name":"Denver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4002 --day 2017-05-13</v>
      </c>
      <c r="AN21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619</v>
      </c>
      <c r="B22" s="7">
        <v>4001</v>
      </c>
      <c r="C22" s="21" t="s">
        <v>206</v>
      </c>
      <c r="D22" s="21" t="s">
        <v>447</v>
      </c>
      <c r="E22" s="13">
        <v>42868.225104166668</v>
      </c>
      <c r="F22" s="13">
        <v>42868.236967592595</v>
      </c>
      <c r="G22" s="7">
        <v>1</v>
      </c>
      <c r="H22" s="21" t="s">
        <v>348</v>
      </c>
      <c r="I22" s="13">
        <v>42868.264039351852</v>
      </c>
      <c r="J22" s="7">
        <v>0</v>
      </c>
      <c r="K22" s="92" t="str">
        <f t="shared" si="0"/>
        <v>4001/4002</v>
      </c>
      <c r="L22" s="21" t="str">
        <f>VLOOKUP(A22,'Trips&amp;Operators'!$C$1:$G$99999,5,FALSE)</f>
        <v>SANTIZO D. EDY</v>
      </c>
      <c r="M22" s="6">
        <f t="shared" si="1"/>
        <v>2.7071759257523809E-2</v>
      </c>
      <c r="N22" s="7">
        <f t="shared" si="2"/>
        <v>38.983333330834284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-13T04:24:09-0600',mode:absolute,to:'2017-05-13T07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23.299600000000002</v>
      </c>
      <c r="Z22" s="192">
        <f t="shared" si="9"/>
        <v>1.38E-2</v>
      </c>
      <c r="AA22" s="192">
        <f t="shared" si="10"/>
        <v>23.285800000000002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0110-13</v>
      </c>
      <c r="AE22" s="80" t="str">
        <f t="shared" si="12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22" s="77" t="str">
        <f t="shared" si="13"/>
        <v>"C:\Program Files (x86)\AstroGrep\AstroGrep.exe" /e /r /s /spath="%USERPROFILE%\AppData\Local\Temp\OnboardLogs" /stypes="app*4001*20170513*"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110-13 --locoid 4001 --swversion DE.1.0.9.0 --startMP 204:232996 --initTime 2017-05-13T05:24:09 --startdatetime 2017-05-13T05:41:14 --delay 1 --endMP 204:138 --enddatetime 2017-05-13T06:20:13 --enforcementcount 0 &gt;&gt;C:\Users\stu\Documents\GitHub\eaglep3-reporting\EC\2017-05-13-refined-times.txt</v>
      </c>
      <c r="AI22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{"issue":{"subject":"","project_id":79,"tracker_id":40,"status_id":1,"priority_id":2,"assigned_to_id":23,"start_date":"2017-05-13","description":"","custom_fields":[{"id":1,"name":"Subdivision","value":"EC"},{"id":4,"name":"Milepost","value":"0.0138"},{"id":17,"name":"Train ID","value":"110-13"},{"id":16,"name":"Locomotive ID","value":"4001"},{"id":130,"name":"Impact","value":""},{"id":150,"name":"Time of Event (Mountain Time)","value":"06:20:13"},{"id":151,"name":"Denver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4001 --day 2017-05-13</v>
      </c>
      <c r="AN22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615</v>
      </c>
      <c r="B23" s="7">
        <v>4042</v>
      </c>
      <c r="C23" s="21" t="s">
        <v>206</v>
      </c>
      <c r="D23" s="21" t="s">
        <v>797</v>
      </c>
      <c r="E23" s="13">
        <v>42868.203506944446</v>
      </c>
      <c r="F23" s="13">
        <v>42868.208506944444</v>
      </c>
      <c r="G23" s="7">
        <v>1</v>
      </c>
      <c r="H23" s="21" t="s">
        <v>798</v>
      </c>
      <c r="I23" s="13">
        <v>42868.232812499999</v>
      </c>
      <c r="J23" s="7">
        <v>0</v>
      </c>
      <c r="K23" s="92" t="str">
        <f t="shared" si="0"/>
        <v>4041/4042</v>
      </c>
      <c r="L23" s="21" t="str">
        <f>VLOOKUP(A23,'Trips&amp;Operators'!$C$1:$G$99999,5,FALSE)</f>
        <v>DELGADO DIANAH</v>
      </c>
      <c r="M23" s="6">
        <f t="shared" si="1"/>
        <v>2.4305555554747116E-2</v>
      </c>
      <c r="N23" s="7">
        <f t="shared" si="2"/>
        <v>34.999999998835847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-13T03:53:03-0600',mode:absolute,to:'2017-05-13T06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7.4800000000000005E-2</v>
      </c>
      <c r="Z23" s="192">
        <f t="shared" si="9"/>
        <v>23.3263</v>
      </c>
      <c r="AA23" s="192">
        <f t="shared" si="10"/>
        <v>23.2515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0111-13</v>
      </c>
      <c r="AE23" s="80" t="str">
        <f t="shared" si="12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23" s="77" t="str">
        <f t="shared" si="13"/>
        <v>"C:\Program Files (x86)\AstroGrep\AstroGrep.exe" /e /r /s /spath="%USERPROFILE%\AppData\Local\Temp\OnboardLogs" /stypes="app*4042*20170513*"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111-13 --locoid 4042 --swversion DE.1.0.9.0 --startMP 204:748 --initTime 2017-05-13T04:53:03 --startdatetime 2017-05-13T05:00:15 --delay 1 --endMP 204:233263 --enddatetime 2017-05-13T05:35:15 --enforcementcount 0 &gt;&gt;C:\Users\stu\Documents\GitHub\eaglep3-reporting\EC\2017-05-13-refined-times.txt</v>
      </c>
      <c r="AI23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{"issue":{"subject":"","project_id":79,"tracker_id":40,"status_id":1,"priority_id":2,"assigned_to_id":23,"start_date":"2017-05-13","description":"","custom_fields":[{"id":1,"name":"Subdivision","value":"EC"},{"id":4,"name":"Milepost","value":"23.3263"},{"id":17,"name":"Train ID","value":"111-13"},{"id":16,"name":"Locomotive ID","value":"4042"},{"id":130,"name":"Impact","value":""},{"id":150,"name":"Time of Event (Mountain Time)","value":"05:35:15"},{"id":151,"name":"Denver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4042 --day 2017-05-13</v>
      </c>
      <c r="AN23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544</v>
      </c>
      <c r="B24" s="7">
        <v>4041</v>
      </c>
      <c r="C24" s="21" t="s">
        <v>206</v>
      </c>
      <c r="D24" s="21" t="s">
        <v>799</v>
      </c>
      <c r="E24" s="13">
        <v>42868.240439814814</v>
      </c>
      <c r="F24" s="13">
        <v>42868.247361111113</v>
      </c>
      <c r="G24" s="7">
        <v>1</v>
      </c>
      <c r="H24" s="21" t="s">
        <v>800</v>
      </c>
      <c r="I24" s="13">
        <v>42868.273414351854</v>
      </c>
      <c r="J24" s="7">
        <v>0</v>
      </c>
      <c r="K24" s="92" t="str">
        <f t="shared" si="0"/>
        <v>4041/4042</v>
      </c>
      <c r="L24" s="21" t="str">
        <f>VLOOKUP(A24,'Trips&amp;Operators'!$C$1:$G$99999,5,FALSE)</f>
        <v>DELGADO DIANAH</v>
      </c>
      <c r="M24" s="6">
        <f t="shared" si="1"/>
        <v>2.6053240741021E-2</v>
      </c>
      <c r="N24" s="7">
        <f t="shared" si="2"/>
        <v>37.51666666707024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-13T04:46:14-0600',mode:absolute,to:'2017-05-13T07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23.2944</v>
      </c>
      <c r="Z24" s="192">
        <f t="shared" si="9"/>
        <v>1.2500000000000001E-2</v>
      </c>
      <c r="AA24" s="192">
        <f t="shared" si="10"/>
        <v>23.2819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0112-13</v>
      </c>
      <c r="AE24" s="80" t="str">
        <f t="shared" si="12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24" s="77" t="str">
        <f t="shared" si="13"/>
        <v>"C:\Program Files (x86)\AstroGrep\AstroGrep.exe" /e /r /s /spath="%USERPROFILE%\AppData\Local\Temp\OnboardLogs" /stypes="app*4041*20170513*"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112-13 --locoid 4041 --swversion DE.1.0.9.0 --startMP 204:232944 --initTime 2017-05-13T05:46:14 --startdatetime 2017-05-13T05:56:12 --delay 1 --endMP 204:125 --enddatetime 2017-05-13T06:33:43 --enforcementcount 0 &gt;&gt;C:\Users\stu\Documents\GitHub\eaglep3-reporting\EC\2017-05-13-refined-times.txt</v>
      </c>
      <c r="AI24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{"issue":{"subject":"","project_id":79,"tracker_id":40,"status_id":1,"priority_id":2,"assigned_to_id":23,"start_date":"2017-05-13","description":"","custom_fields":[{"id":1,"name":"Subdivision","value":"EC"},{"id":4,"name":"Milepost","value":"0.0125"},{"id":17,"name":"Train ID","value":"112-13"},{"id":16,"name":"Locomotive ID","value":"4041"},{"id":130,"name":"Impact","value":""},{"id":150,"name":"Time of Event (Mountain Time)","value":"06:33:43"},{"id":151,"name":"Denver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4041 --day 2017-05-13</v>
      </c>
      <c r="AN24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617</v>
      </c>
      <c r="B25" s="7">
        <v>4032</v>
      </c>
      <c r="C25" s="21" t="s">
        <v>206</v>
      </c>
      <c r="D25" s="21" t="s">
        <v>368</v>
      </c>
      <c r="E25" s="13">
        <v>42868.210370370369</v>
      </c>
      <c r="F25" s="13">
        <v>42868.219004629631</v>
      </c>
      <c r="G25" s="7">
        <v>1</v>
      </c>
      <c r="H25" s="21" t="s">
        <v>801</v>
      </c>
      <c r="I25" s="13">
        <v>42868.24459490741</v>
      </c>
      <c r="J25" s="7">
        <v>0</v>
      </c>
      <c r="K25" s="92" t="str">
        <f t="shared" si="0"/>
        <v>4031/4032</v>
      </c>
      <c r="L25" s="21" t="str">
        <f>VLOOKUP(A25,'Trips&amp;Operators'!$C$1:$G$99999,5,FALSE)</f>
        <v>BADERTSCHER DIANE</v>
      </c>
      <c r="M25" s="6">
        <f t="shared" si="1"/>
        <v>2.5590277778974269E-2</v>
      </c>
      <c r="N25" s="7">
        <f t="shared" si="2"/>
        <v>36.850000001722947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-13T04:02:56-0600',mode:absolute,to:'2017-05-13T06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4.4400000000000002E-2</v>
      </c>
      <c r="Z25" s="192">
        <f t="shared" si="9"/>
        <v>23.332100000000001</v>
      </c>
      <c r="AA25" s="192">
        <f t="shared" si="10"/>
        <v>23.287700000000001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0113-13</v>
      </c>
      <c r="AE25" s="80" t="str">
        <f t="shared" si="12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25" s="77" t="str">
        <f t="shared" si="13"/>
        <v>"C:\Program Files (x86)\AstroGrep\AstroGrep.exe" /e /r /s /spath="%USERPROFILE%\AppData\Local\Temp\OnboardLogs" /stypes="app*4032*20170513*"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113-13 --locoid 4032 --swversion DE.1.0.9.0 --startMP 204:444 --initTime 2017-05-13T05:02:56 --startdatetime 2017-05-13T05:15:22 --delay 1 --endMP 204:233321 --enddatetime 2017-05-13T05:52:13 --enforcementcount 0 &gt;&gt;C:\Users\stu\Documents\GitHub\eaglep3-reporting\EC\2017-05-13-refined-times.txt</v>
      </c>
      <c r="AI25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{"issue":{"subject":"","project_id":79,"tracker_id":40,"status_id":1,"priority_id":2,"assigned_to_id":23,"start_date":"2017-05-13","description":"","custom_fields":[{"id":1,"name":"Subdivision","value":"EC"},{"id":4,"name":"Milepost","value":"23.3321"},{"id":17,"name":"Train ID","value":"113-13"},{"id":16,"name":"Locomotive ID","value":"4032"},{"id":130,"name":"Impact","value":""},{"id":150,"name":"Time of Event (Mountain Time)","value":"05:52:13"},{"id":151,"name":"Denver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4032 --day 2017-05-13</v>
      </c>
      <c r="AN25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628</v>
      </c>
      <c r="B26" s="7">
        <v>4031</v>
      </c>
      <c r="C26" s="21" t="s">
        <v>206</v>
      </c>
      <c r="D26" s="21" t="s">
        <v>802</v>
      </c>
      <c r="E26" s="13">
        <v>42868.25105324074</v>
      </c>
      <c r="F26" s="13">
        <v>42868.257800925923</v>
      </c>
      <c r="G26" s="7">
        <v>1</v>
      </c>
      <c r="H26" s="21" t="s">
        <v>476</v>
      </c>
      <c r="I26" s="13">
        <v>42868.284918981481</v>
      </c>
      <c r="J26" s="7">
        <v>0</v>
      </c>
      <c r="K26" s="92" t="str">
        <f t="shared" si="0"/>
        <v>4031/4032</v>
      </c>
      <c r="L26" s="21" t="str">
        <f>VLOOKUP(A26,'Trips&amp;Operators'!$C$1:$G$99999,5,FALSE)</f>
        <v>BADERTSCHER DIANE</v>
      </c>
      <c r="M26" s="6">
        <f t="shared" si="1"/>
        <v>2.7118055557366461E-2</v>
      </c>
      <c r="N26" s="7">
        <f t="shared" si="2"/>
        <v>39.050000002607703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-13T05:01:31-0600',mode:absolute,to:'2017-05-13T07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23.3002</v>
      </c>
      <c r="Z26" s="192">
        <f t="shared" si="9"/>
        <v>1.2999999999999999E-2</v>
      </c>
      <c r="AA26" s="192">
        <f t="shared" si="10"/>
        <v>23.287199999999999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0114-13</v>
      </c>
      <c r="AE26" s="80" t="str">
        <f t="shared" si="12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26" s="77" t="str">
        <f t="shared" si="13"/>
        <v>"C:\Program Files (x86)\AstroGrep\AstroGrep.exe" /e /r /s /spath="%USERPROFILE%\AppData\Local\Temp\OnboardLogs" /stypes="app*4031*20170513*"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114-13 --locoid 4031 --swversion DE.1.0.9.0 --startMP 204:233002 --initTime 2017-05-13T06:01:31 --startdatetime 2017-05-13T06:11:14 --delay 1 --endMP 204:130 --enddatetime 2017-05-13T06:50:17 --enforcementcount 0 &gt;&gt;C:\Users\stu\Documents\GitHub\eaglep3-reporting\EC\2017-05-13-refined-times.txt</v>
      </c>
      <c r="AI26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{"issue":{"subject":"","project_id":79,"tracker_id":40,"status_id":1,"priority_id":2,"assigned_to_id":23,"start_date":"2017-05-13","description":"","custom_fields":[{"id":1,"name":"Subdivision","value":"EC"},{"id":4,"name":"Milepost","value":"0.013"},{"id":17,"name":"Train ID","value":"114-13"},{"id":16,"name":"Locomotive ID","value":"4031"},{"id":130,"name":"Impact","value":""},{"id":150,"name":"Time of Event (Mountain Time)","value":"06:50:17"},{"id":151,"name":"Denver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4031 --day 2017-05-13</v>
      </c>
      <c r="AN26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621</v>
      </c>
      <c r="B27" s="7">
        <v>4054</v>
      </c>
      <c r="C27" s="21" t="s">
        <v>206</v>
      </c>
      <c r="D27" s="21" t="s">
        <v>803</v>
      </c>
      <c r="E27" s="13">
        <v>42868.226770833331</v>
      </c>
      <c r="F27" s="13">
        <v>42868.229351851849</v>
      </c>
      <c r="G27" s="7">
        <v>1</v>
      </c>
      <c r="H27" s="21" t="s">
        <v>389</v>
      </c>
      <c r="I27" s="13">
        <v>42868.253761574073</v>
      </c>
      <c r="J27" s="7">
        <v>0</v>
      </c>
      <c r="K27" s="92" t="str">
        <f t="shared" si="0"/>
        <v>4053/4054</v>
      </c>
      <c r="L27" s="21" t="str">
        <f>VLOOKUP(A27,'Trips&amp;Operators'!$C$1:$G$99999,5,FALSE)</f>
        <v>GEBRETEKLE DAGNEW</v>
      </c>
      <c r="M27" s="6">
        <f t="shared" si="1"/>
        <v>2.4409722223936114E-2</v>
      </c>
      <c r="N27" s="7">
        <f t="shared" si="2"/>
        <v>35.150000002468005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-13T04:26:33-0600',mode:absolute,to:'2017-05-13T07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7.7200000000000005E-2</v>
      </c>
      <c r="Z27" s="192">
        <f t="shared" si="9"/>
        <v>23.331199999999999</v>
      </c>
      <c r="AA27" s="192">
        <f t="shared" si="10"/>
        <v>23.253999999999998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0115-13</v>
      </c>
      <c r="AE27" s="80" t="str">
        <f t="shared" si="12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27" s="77" t="str">
        <f t="shared" si="13"/>
        <v>"C:\Program Files (x86)\AstroGrep\AstroGrep.exe" /e /r /s /spath="%USERPROFILE%\AppData\Local\Temp\OnboardLogs" /stypes="app*4054*20170513*"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115-13 --locoid 4054 --swversion DE.1.0.9.0 --startMP 204:772 --initTime 2017-05-13T05:26:33 --startdatetime 2017-05-13T05:30:16 --delay 1 --endMP 204:233312 --enddatetime 2017-05-13T06:05:25 --enforcementcount 0 &gt;&gt;C:\Users\stu\Documents\GitHub\eaglep3-reporting\EC\2017-05-13-refined-times.txt</v>
      </c>
      <c r="AI27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{"issue":{"subject":"","project_id":79,"tracker_id":40,"status_id":1,"priority_id":2,"assigned_to_id":23,"start_date":"2017-05-13","description":"","custom_fields":[{"id":1,"name":"Subdivision","value":"EC"},{"id":4,"name":"Milepost","value":"23.3312"},{"id":17,"name":"Train ID","value":"115-13"},{"id":16,"name":"Locomotive ID","value":"4054"},{"id":130,"name":"Impact","value":""},{"id":150,"name":"Time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4054 --day 2017-05-13</v>
      </c>
      <c r="AN27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630</v>
      </c>
      <c r="B28" s="7">
        <v>4053</v>
      </c>
      <c r="C28" s="21" t="s">
        <v>206</v>
      </c>
      <c r="D28" s="21" t="s">
        <v>391</v>
      </c>
      <c r="E28" s="13">
        <v>42868.264780092592</v>
      </c>
      <c r="F28" s="13">
        <v>42868.268553240741</v>
      </c>
      <c r="G28" s="7">
        <v>1</v>
      </c>
      <c r="H28" s="21" t="s">
        <v>359</v>
      </c>
      <c r="I28" s="13">
        <v>42868.295173611114</v>
      </c>
      <c r="J28" s="7">
        <v>0</v>
      </c>
      <c r="K28" s="92" t="str">
        <f t="shared" si="0"/>
        <v>4053/4054</v>
      </c>
      <c r="L28" s="21" t="str">
        <f>VLOOKUP(A28,'Trips&amp;Operators'!$C$1:$G$99999,5,FALSE)</f>
        <v>GEBRETEKLE DAGNEW</v>
      </c>
      <c r="M28" s="6">
        <f t="shared" si="1"/>
        <v>2.662037037225673E-2</v>
      </c>
      <c r="N28" s="7">
        <f t="shared" si="2"/>
        <v>38.333333336049691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-13T05:21:17-0600',mode:absolute,to:'2017-05-13T08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23.299800000000001</v>
      </c>
      <c r="Z28" s="192">
        <f t="shared" si="9"/>
        <v>1.43E-2</v>
      </c>
      <c r="AA28" s="192">
        <f t="shared" si="10"/>
        <v>23.285500000000003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0116-13</v>
      </c>
      <c r="AE28" s="80" t="str">
        <f t="shared" si="12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28" s="77" t="str">
        <f t="shared" si="13"/>
        <v>"C:\Program Files (x86)\AstroGrep\AstroGrep.exe" /e /r /s /spath="%USERPROFILE%\AppData\Local\Temp\OnboardLogs" /stypes="app*4053*20170513*"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116-13 --locoid 4053 --swversion DE.1.0.9.0 --startMP 204:232998 --initTime 2017-05-13T06:21:17 --startdatetime 2017-05-13T06:26:43 --delay 1 --endMP 204:143 --enddatetime 2017-05-13T07:05:03 --enforcementcount 0 &gt;&gt;C:\Users\stu\Documents\GitHub\eaglep3-reporting\EC\2017-05-13-refined-times.txt</v>
      </c>
      <c r="AI28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{"issue":{"subject":"","project_id":79,"tracker_id":40,"status_id":1,"priority_id":2,"assigned_to_id":23,"start_date":"2017-05-13","description":"","custom_fields":[{"id":1,"name":"Subdivision","value":"EC"},{"id":4,"name":"Milepost","value":"0.0143"},{"id":17,"name":"Train ID","value":"116-13"},{"id":16,"name":"Locomotive ID","value":"4053"},{"id":130,"name":"Impact","value":""},{"id":150,"name":"Time of Event (Mountain Time)","value":"07:05:03"},{"id":151,"name":"Denver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4053 --day 2017-05-13</v>
      </c>
      <c r="AN28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624</v>
      </c>
      <c r="B29" s="7">
        <v>4028</v>
      </c>
      <c r="C29" s="21" t="s">
        <v>206</v>
      </c>
      <c r="D29" s="21" t="s">
        <v>347</v>
      </c>
      <c r="E29" s="13">
        <v>42868.234525462962</v>
      </c>
      <c r="F29" s="13">
        <v>42868.23978009259</v>
      </c>
      <c r="G29" s="7">
        <v>1</v>
      </c>
      <c r="H29" s="21" t="s">
        <v>804</v>
      </c>
      <c r="I29" s="13">
        <v>42868.264756944445</v>
      </c>
      <c r="J29" s="7">
        <v>0</v>
      </c>
      <c r="K29" s="92" t="str">
        <f t="shared" si="0"/>
        <v>4027/4028</v>
      </c>
      <c r="L29" s="21" t="str">
        <f>VLOOKUP(A29,'Trips&amp;Operators'!$C$1:$G$99999,5,FALSE)</f>
        <v>ROBINSON KADDIBA</v>
      </c>
      <c r="M29" s="6">
        <f t="shared" si="1"/>
        <v>2.4976851855171844E-2</v>
      </c>
      <c r="N29" s="7">
        <f t="shared" si="2"/>
        <v>35.966666671447456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-13T04:37:43-0600',mode:absolute,to:'2017-05-13T07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4.4900000000000002E-2</v>
      </c>
      <c r="Z29" s="192">
        <f t="shared" si="9"/>
        <v>23.331499999999998</v>
      </c>
      <c r="AA29" s="192">
        <f t="shared" si="10"/>
        <v>23.2866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0117-13</v>
      </c>
      <c r="AE29" s="80" t="str">
        <f t="shared" si="12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29" s="77" t="str">
        <f t="shared" si="13"/>
        <v>"C:\Program Files (x86)\AstroGrep\AstroGrep.exe" /e /r /s /spath="%USERPROFILE%\AppData\Local\Temp\OnboardLogs" /stypes="app*4028*20170513*"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117-13 --locoid 4028 --swversion DE.1.0.9.0 --startMP 204:449 --initTime 2017-05-13T05:37:43 --startdatetime 2017-05-13T05:45:17 --delay 1 --endMP 204:233315 --enddatetime 2017-05-13T06:21:15 --enforcementcount 0 &gt;&gt;C:\Users\stu\Documents\GitHub\eaglep3-reporting\EC\2017-05-13-refined-times.txt</v>
      </c>
      <c r="AI29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{"issue":{"subject":"","project_id":79,"tracker_id":40,"status_id":1,"priority_id":2,"assigned_to_id":23,"start_date":"2017-05-13","description":"","custom_fields":[{"id":1,"name":"Subdivision","value":"EC"},{"id":4,"name":"Milepost","value":"23.3315"},{"id":17,"name":"Train ID","value":"117-13"},{"id":16,"name":"Locomotive ID","value":"4028"},{"id":130,"name":"Impact","value":""},{"id":150,"name":"Time of Event (Mountain Time)","value":"06:21:15"},{"id":151,"name":"Denver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4028 --day 2017-05-13</v>
      </c>
      <c r="AN29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634</v>
      </c>
      <c r="B30" s="7">
        <v>4027</v>
      </c>
      <c r="C30" s="21" t="s">
        <v>206</v>
      </c>
      <c r="D30" s="21" t="s">
        <v>805</v>
      </c>
      <c r="E30" s="13">
        <v>42868.275243055556</v>
      </c>
      <c r="F30" s="13">
        <v>42868.278657407405</v>
      </c>
      <c r="G30" s="7">
        <v>1</v>
      </c>
      <c r="H30" s="21" t="s">
        <v>513</v>
      </c>
      <c r="I30" s="13">
        <v>42868.305590277778</v>
      </c>
      <c r="J30" s="7">
        <v>0</v>
      </c>
      <c r="K30" s="92" t="str">
        <f t="shared" si="0"/>
        <v>4027/4028</v>
      </c>
      <c r="L30" s="21" t="str">
        <f>VLOOKUP(A30,'Trips&amp;Operators'!$C$1:$G$99999,5,FALSE)</f>
        <v>ROBINSON KADDIBA</v>
      </c>
      <c r="M30" s="6">
        <f t="shared" si="1"/>
        <v>2.6932870372547768E-2</v>
      </c>
      <c r="N30" s="7">
        <f t="shared" si="2"/>
        <v>38.783333336468786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-13T05:36:21-0600',mode:absolute,to:'2017-05-13T08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23.3019</v>
      </c>
      <c r="Z30" s="192">
        <f t="shared" si="9"/>
        <v>1.54E-2</v>
      </c>
      <c r="AA30" s="192">
        <f t="shared" si="10"/>
        <v>23.2865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0118-13</v>
      </c>
      <c r="AE30" s="80" t="str">
        <f t="shared" si="12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30" s="77" t="str">
        <f t="shared" si="13"/>
        <v>"C:\Program Files (x86)\AstroGrep\AstroGrep.exe" /e /r /s /spath="%USERPROFILE%\AppData\Local\Temp\OnboardLogs" /stypes="app*4027*20170513*"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118-13 --locoid 4027 --swversion DE.1.0.9.0 --startMP 204:233019 --initTime 2017-05-13T06:36:21 --startdatetime 2017-05-13T06:41:16 --delay 1 --endMP 204:154 --enddatetime 2017-05-13T07:20:03 --enforcementcount 0 &gt;&gt;C:\Users\stu\Documents\GitHub\eaglep3-reporting\EC\2017-05-13-refined-times.txt</v>
      </c>
      <c r="AI30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{"issue":{"subject":"","project_id":79,"tracker_id":40,"status_id":1,"priority_id":2,"assigned_to_id":23,"start_date":"2017-05-13","description":"","custom_fields":[{"id":1,"name":"Subdivision","value":"EC"},{"id":4,"name":"Milepost","value":"0.0154"},{"id":17,"name":"Train ID","value":"118-13"},{"id":16,"name":"Locomotive ID","value":"4027"},{"id":130,"name":"Impact","value":""},{"id":150,"name":"Time of Event (Mountain Time)","value":"07:20:03"},{"id":151,"name":"Denver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4027 --day 2017-05-13</v>
      </c>
      <c r="AN30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627</v>
      </c>
      <c r="B31" s="7">
        <v>4008</v>
      </c>
      <c r="C31" s="21" t="s">
        <v>206</v>
      </c>
      <c r="D31" s="21" t="s">
        <v>806</v>
      </c>
      <c r="E31" s="13">
        <v>42868.247002314813</v>
      </c>
      <c r="F31" s="13">
        <v>42868.250208333331</v>
      </c>
      <c r="G31" s="7">
        <v>2</v>
      </c>
      <c r="H31" s="21" t="s">
        <v>516</v>
      </c>
      <c r="I31" s="13">
        <v>42868.276122685187</v>
      </c>
      <c r="J31" s="7">
        <v>0</v>
      </c>
      <c r="K31" s="92" t="str">
        <f t="shared" si="0"/>
        <v>4007/4008</v>
      </c>
      <c r="L31" s="21" t="str">
        <f>VLOOKUP(A31,'Trips&amp;Operators'!$C$1:$G$99999,5,FALSE)</f>
        <v>MAELZER KURT</v>
      </c>
      <c r="M31" s="6">
        <f t="shared" si="1"/>
        <v>2.5914351856044959E-2</v>
      </c>
      <c r="N31" s="7">
        <f t="shared" si="2"/>
        <v>37.316666672704741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-13T04:55:41-0600',mode:absolute,to:'2017-05-13T07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7.5700000000000003E-2</v>
      </c>
      <c r="Z31" s="192">
        <f t="shared" si="9"/>
        <v>23.331099999999999</v>
      </c>
      <c r="AA31" s="192">
        <f t="shared" si="10"/>
        <v>23.255399999999998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0119-13</v>
      </c>
      <c r="AE31" s="80" t="str">
        <f t="shared" si="12"/>
        <v>aws s3 cp s3://rtdc.mdm.uploadarchive.raw/RTDC4008/ "%USERPROFILE%\AppData\Local\Temp\OnboardLogs"\RTDC4008\2017-05-13 --exclude "*" --recursive --include "*20170513*" &amp; "%USERPROFILE%\Documents\GitHub\mrs-test-scripts\Headless Mode &amp; Sideloading\WalkAndUnGZ.bat" "%USERPROFILE%\AppData\Local\Temp\OnboardLogs"\RTDC4008\2017-05-13 &amp; aws s3 cp s3://rtdc.mdm.uploadarchive.raw/RTDC4008/ "%USERPROFILE%\AppData\Local\Temp\OnboardLogs"\RTDC4008\2017-05-14 --exclude "*" --recursive --include "*20170514*" &amp; "%USERPROFILE%\Documents\GitHub\mrs-test-scripts\Headless Mode &amp; Sideloading\WalkAndUnGZ.bat" "%USERPROFILE%\AppData\Local\Temp\OnboardLogs"\RTDC4008\2017-05-14</v>
      </c>
      <c r="AF31" s="77" t="str">
        <f t="shared" si="13"/>
        <v>"C:\Program Files (x86)\AstroGrep\AstroGrep.exe" /e /r /s /spath="%USERPROFILE%\AppData\Local\Temp\OnboardLogs" /stypes="app*4008*20170513*"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119-13 --locoid 4008 --swversion DE.1.0.9.0 --startMP 204:757 --initTime 2017-05-13T05:55:41 --startdatetime 2017-05-13T06:00:18 --delay 2 --endMP 204:233311 --enddatetime 2017-05-13T06:37:37 --enforcementcount 0 &gt;&gt;C:\Users\stu\Documents\GitHub\eaglep3-reporting\EC\2017-05-13-refined-times.txt</v>
      </c>
      <c r="AI31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{"issue":{"subject":"","project_id":79,"tracker_id":40,"status_id":1,"priority_id":2,"assigned_to_id":23,"start_date":"2017-05-13","description":"","custom_fields":[{"id":1,"name":"Subdivision","value":"EC"},{"id":4,"name":"Milepost","value":"23.3311"},{"id":17,"name":"Train ID","value":"119-13"},{"id":16,"name":"Locomotive ID","value":"4008"},{"id":130,"name":"Impact","value":""},{"id":150,"name":"Time of Event (Mountain Time)","value":"06:37:37"},{"id":151,"name":"Denver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4008 --day 2017-05-13</v>
      </c>
      <c r="AN31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635</v>
      </c>
      <c r="B32" s="7">
        <v>4007</v>
      </c>
      <c r="C32" s="21" t="s">
        <v>206</v>
      </c>
      <c r="D32" s="21" t="s">
        <v>807</v>
      </c>
      <c r="E32" s="13">
        <v>42868.284421296295</v>
      </c>
      <c r="F32" s="13">
        <v>42868.2891087963</v>
      </c>
      <c r="G32" s="7">
        <v>1</v>
      </c>
      <c r="H32" s="21" t="s">
        <v>370</v>
      </c>
      <c r="I32" s="13">
        <v>42868.315381944441</v>
      </c>
      <c r="J32" s="7">
        <v>0</v>
      </c>
      <c r="K32" s="92" t="str">
        <f t="shared" si="0"/>
        <v>4007/4008</v>
      </c>
      <c r="L32" s="21" t="str">
        <f>VLOOKUP(A32,'Trips&amp;Operators'!$C$1:$G$99999,5,FALSE)</f>
        <v>MAELZER KURT</v>
      </c>
      <c r="M32" s="6">
        <f t="shared" si="1"/>
        <v>2.6273148141626734E-2</v>
      </c>
      <c r="N32" s="7">
        <f t="shared" si="2"/>
        <v>37.833333323942497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-13T05:49:34-0600',mode:absolute,to:'2017-05-13T08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23.3</v>
      </c>
      <c r="Z32" s="192">
        <f t="shared" si="9"/>
        <v>1.3899999999999999E-2</v>
      </c>
      <c r="AA32" s="192">
        <f t="shared" si="10"/>
        <v>23.286100000000001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0120-13</v>
      </c>
      <c r="AE32" s="80" t="str">
        <f t="shared" si="12"/>
        <v>aws s3 cp s3://rtdc.mdm.uploadarchive.raw/RTDC4007/ "%USERPROFILE%\AppData\Local\Temp\OnboardLogs"\RTDC4007\2017-05-13 --exclude "*" --recursive --include "*20170513*" &amp; "%USERPROFILE%\Documents\GitHub\mrs-test-scripts\Headless Mode &amp; Sideloading\WalkAndUnGZ.bat" "%USERPROFILE%\AppData\Local\Temp\OnboardLogs"\RTDC4007\2017-05-13 &amp; aws s3 cp s3://rtdc.mdm.uploadarchive.raw/RTDC4007/ "%USERPROFILE%\AppData\Local\Temp\OnboardLogs"\RTDC4007\2017-05-14 --exclude "*" --recursive --include "*20170514*" &amp; "%USERPROFILE%\Documents\GitHub\mrs-test-scripts\Headless Mode &amp; Sideloading\WalkAndUnGZ.bat" "%USERPROFILE%\AppData\Local\Temp\OnboardLogs"\RTDC4007\2017-05-14</v>
      </c>
      <c r="AF32" s="77" t="str">
        <f t="shared" si="13"/>
        <v>"C:\Program Files (x86)\AstroGrep\AstroGrep.exe" /e /r /s /spath="%USERPROFILE%\AppData\Local\Temp\OnboardLogs" /stypes="app*4007*20170513*"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120-13 --locoid 4007 --swversion DE.1.0.9.0 --startMP 204:233000 --initTime 2017-05-13T06:49:34 --startdatetime 2017-05-13T06:56:19 --delay 1 --endMP 204:139 --enddatetime 2017-05-13T07:34:09 --enforcementcount 0 &gt;&gt;C:\Users\stu\Documents\GitHub\eaglep3-reporting\EC\2017-05-13-refined-times.txt</v>
      </c>
      <c r="AI32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{"issue":{"subject":"","project_id":79,"tracker_id":40,"status_id":1,"priority_id":2,"assigned_to_id":23,"start_date":"2017-05-13","description":"","custom_fields":[{"id":1,"name":"Subdivision","value":"EC"},{"id":4,"name":"Milepost","value":"0.0139"},{"id":17,"name":"Train ID","value":"120-13"},{"id":16,"name":"Locomotive ID","value":"4007"},{"id":130,"name":"Impact","value":""},{"id":150,"name":"Time of Event (Mountain Time)","value":"07:34:09"},{"id":151,"name":"Denver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4007 --day 2017-05-13</v>
      </c>
      <c r="AN32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546</v>
      </c>
      <c r="B33" s="7">
        <v>4014</v>
      </c>
      <c r="C33" s="21" t="s">
        <v>206</v>
      </c>
      <c r="D33" s="21" t="s">
        <v>385</v>
      </c>
      <c r="E33" s="13">
        <v>42868.256712962961</v>
      </c>
      <c r="F33" s="13">
        <v>42868.260601851849</v>
      </c>
      <c r="G33" s="7">
        <v>1</v>
      </c>
      <c r="H33" s="21" t="s">
        <v>808</v>
      </c>
      <c r="I33" s="13">
        <v>42868.286527777775</v>
      </c>
      <c r="J33" s="7">
        <v>0</v>
      </c>
      <c r="K33" s="92" t="str">
        <f t="shared" si="0"/>
        <v>4013/4014</v>
      </c>
      <c r="L33" s="21" t="str">
        <f>VLOOKUP(A33,'Trips&amp;Operators'!$C$1:$G$99999,5,FALSE)</f>
        <v>DAVIS WENDY</v>
      </c>
      <c r="M33" s="6">
        <f t="shared" si="1"/>
        <v>2.5925925925548654E-2</v>
      </c>
      <c r="N33" s="7">
        <f t="shared" si="2"/>
        <v>37.333333332790062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-13T05:09:40-0600',mode:absolute,to:'2017-05-13T07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4.5499999999999999E-2</v>
      </c>
      <c r="Z33" s="192">
        <f t="shared" si="9"/>
        <v>23.333200000000001</v>
      </c>
      <c r="AA33" s="192">
        <f t="shared" si="10"/>
        <v>23.287700000000001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0121-13</v>
      </c>
      <c r="AE33" s="80" t="str">
        <f t="shared" si="12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33" s="77" t="str">
        <f t="shared" si="13"/>
        <v>"C:\Program Files (x86)\AstroGrep\AstroGrep.exe" /e /r /s /spath="%USERPROFILE%\AppData\Local\Temp\OnboardLogs" /stypes="app*4014*20170513*"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121-13 --locoid 4014 --swversion DE.1.0.9.0 --startMP 204:455 --initTime 2017-05-13T06:09:40 --startdatetime 2017-05-13T06:15:16 --delay 1 --endMP 204:233332 --enddatetime 2017-05-13T06:52:36 --enforcementcount 0 &gt;&gt;C:\Users\stu\Documents\GitHub\eaglep3-reporting\EC\2017-05-13-refined-times.txt</v>
      </c>
      <c r="AI33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{"issue":{"subject":"","project_id":79,"tracker_id":40,"status_id":1,"priority_id":2,"assigned_to_id":23,"start_date":"2017-05-13","description":"","custom_fields":[{"id":1,"name":"Subdivision","value":"EC"},{"id":4,"name":"Milepost","value":"23.3332"},{"id":17,"name":"Train ID","value":"121-13"},{"id":16,"name":"Locomotive ID","value":"4014"},{"id":130,"name":"Impact","value":""},{"id":150,"name":"Time of Event (Mountain Time)","value":"06:52:36"},{"id":151,"name":"Denver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4014 --day 2017-05-13</v>
      </c>
      <c r="AN33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547</v>
      </c>
      <c r="B34" s="7">
        <v>4013</v>
      </c>
      <c r="C34" s="21" t="s">
        <v>206</v>
      </c>
      <c r="D34" s="21" t="s">
        <v>809</v>
      </c>
      <c r="E34" s="13">
        <v>42868.295925925922</v>
      </c>
      <c r="F34" s="13">
        <v>42868.299479166664</v>
      </c>
      <c r="G34" s="7">
        <v>1</v>
      </c>
      <c r="H34" s="21" t="s">
        <v>358</v>
      </c>
      <c r="I34" s="13">
        <v>42868.327222222222</v>
      </c>
      <c r="J34" s="7">
        <v>0</v>
      </c>
      <c r="K34" s="92" t="str">
        <f t="shared" si="0"/>
        <v>4013/4014</v>
      </c>
      <c r="L34" s="21" t="str">
        <f>VLOOKUP(A34,'Trips&amp;Operators'!$C$1:$G$99999,5,FALSE)</f>
        <v>DAVIS WENDY</v>
      </c>
      <c r="M34" s="6">
        <f t="shared" si="1"/>
        <v>2.7743055557948537E-2</v>
      </c>
      <c r="N34" s="7">
        <f t="shared" si="2"/>
        <v>39.950000003445894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-13T06:06:08-0600',mode:absolute,to:'2017-05-13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23.301500000000001</v>
      </c>
      <c r="Z34" s="192">
        <f t="shared" si="9"/>
        <v>1.49E-2</v>
      </c>
      <c r="AA34" s="192">
        <f t="shared" si="10"/>
        <v>23.2866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0122-13</v>
      </c>
      <c r="AE34" s="80" t="str">
        <f t="shared" si="12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34" s="77" t="str">
        <f t="shared" si="13"/>
        <v>"C:\Program Files (x86)\AstroGrep\AstroGrep.exe" /e /r /s /spath="%USERPROFILE%\AppData\Local\Temp\OnboardLogs" /stypes="app*4013*20170513*"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122-13 --locoid 4013 --swversion DE.1.0.9.0 --startMP 204:233015 --initTime 2017-05-13T07:06:08 --startdatetime 2017-05-13T07:11:15 --delay 1 --endMP 204:149 --enddatetime 2017-05-13T07:51:12 --enforcementcount 0 &gt;&gt;C:\Users\stu\Documents\GitHub\eaglep3-reporting\EC\2017-05-13-refined-times.txt</v>
      </c>
      <c r="AI34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{"issue":{"subject":"","project_id":79,"tracker_id":40,"status_id":1,"priority_id":2,"assigned_to_id":23,"start_date":"2017-05-13","description":"","custom_fields":[{"id":1,"name":"Subdivision","value":"EC"},{"id":4,"name":"Milepost","value":"0.0149"},{"id":17,"name":"Train ID","value":"122-13"},{"id":16,"name":"Locomotive ID","value":"4013"},{"id":130,"name":"Impact","value":""},{"id":150,"name":"Time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4013 --day 2017-05-13</v>
      </c>
      <c r="AN34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631</v>
      </c>
      <c r="B35" s="7">
        <v>4002</v>
      </c>
      <c r="C35" s="21" t="s">
        <v>206</v>
      </c>
      <c r="D35" s="21" t="s">
        <v>354</v>
      </c>
      <c r="E35" s="13">
        <v>42868.265057870369</v>
      </c>
      <c r="F35" s="13">
        <v>42868.270972222221</v>
      </c>
      <c r="G35" s="7">
        <v>1</v>
      </c>
      <c r="H35" s="21" t="s">
        <v>430</v>
      </c>
      <c r="I35" s="13">
        <v>42868.295694444445</v>
      </c>
      <c r="J35" s="7">
        <v>0</v>
      </c>
      <c r="K35" s="92" t="str">
        <f t="shared" si="0"/>
        <v>4001/4002</v>
      </c>
      <c r="L35" s="21" t="str">
        <f>VLOOKUP(A35,'Trips&amp;Operators'!$C$1:$G$99999,5,FALSE)</f>
        <v>SANTIZO D. EDY</v>
      </c>
      <c r="M35" s="6">
        <f t="shared" si="1"/>
        <v>2.4722222224227153E-2</v>
      </c>
      <c r="N35" s="7">
        <f t="shared" si="2"/>
        <v>35.6000000028871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-13T05:21:41-0600',mode:absolute,to:'2017-05-13T08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4.58E-2</v>
      </c>
      <c r="Z35" s="192">
        <f t="shared" si="9"/>
        <v>23.3309</v>
      </c>
      <c r="AA35" s="192">
        <f t="shared" si="10"/>
        <v>23.2851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0123-13</v>
      </c>
      <c r="AE35" s="80" t="str">
        <f t="shared" si="12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35" s="77" t="str">
        <f t="shared" si="13"/>
        <v>"C:\Program Files (x86)\AstroGrep\AstroGrep.exe" /e /r /s /spath="%USERPROFILE%\AppData\Local\Temp\OnboardLogs" /stypes="app*4002*20170513*"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123-13 --locoid 4002 --swversion DE.1.0.9.0 --startMP 204:458 --initTime 2017-05-13T06:21:41 --startdatetime 2017-05-13T06:30:12 --delay 1 --endMP 204:233309 --enddatetime 2017-05-13T07:05:48 --enforcementcount 0 &gt;&gt;C:\Users\stu\Documents\GitHub\eaglep3-reporting\EC\2017-05-13-refined-times.txt</v>
      </c>
      <c r="AI35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{"issue":{"subject":"","project_id":79,"tracker_id":40,"status_id":1,"priority_id":2,"assigned_to_id":23,"start_date":"2017-05-13","description":"","custom_fields":[{"id":1,"name":"Subdivision","value":"EC"},{"id":4,"name":"Milepost","value":"23.3309"},{"id":17,"name":"Train ID","value":"123-13"},{"id":16,"name":"Locomotive ID","value":"4002"},{"id":130,"name":"Impact","value":""},{"id":150,"name":"Time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4002 --day 2017-05-13</v>
      </c>
      <c r="AN35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638</v>
      </c>
      <c r="B36" s="7">
        <v>4001</v>
      </c>
      <c r="C36" s="21" t="s">
        <v>206</v>
      </c>
      <c r="D36" s="21" t="s">
        <v>428</v>
      </c>
      <c r="E36" s="13">
        <v>42868.29650462963</v>
      </c>
      <c r="F36" s="13">
        <v>42868.310011574074</v>
      </c>
      <c r="G36" s="7">
        <v>1</v>
      </c>
      <c r="H36" s="21" t="s">
        <v>373</v>
      </c>
      <c r="I36" s="13">
        <v>42868.335787037038</v>
      </c>
      <c r="J36" s="7">
        <v>0</v>
      </c>
      <c r="K36" s="92" t="str">
        <f t="shared" si="0"/>
        <v>4001/4002</v>
      </c>
      <c r="L36" s="21" t="str">
        <f>VLOOKUP(A36,'Trips&amp;Operators'!$C$1:$G$99999,5,FALSE)</f>
        <v>SANTIZO D. EDY</v>
      </c>
      <c r="M36" s="6">
        <f t="shared" si="1"/>
        <v>2.5775462963792961E-2</v>
      </c>
      <c r="N36" s="7">
        <f t="shared" si="2"/>
        <v>37.116666667861864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-13T06:06:58-0600',mode:absolute,to:'2017-05-13T09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23.299399999999999</v>
      </c>
      <c r="Z36" s="192">
        <f t="shared" si="9"/>
        <v>1.47E-2</v>
      </c>
      <c r="AA36" s="192">
        <f t="shared" si="10"/>
        <v>23.284699999999997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0124-13</v>
      </c>
      <c r="AE36" s="80" t="str">
        <f t="shared" si="12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36" s="77" t="str">
        <f t="shared" si="13"/>
        <v>"C:\Program Files (x86)\AstroGrep\AstroGrep.exe" /e /r /s /spath="%USERPROFILE%\AppData\Local\Temp\OnboardLogs" /stypes="app*4001*20170513*"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124-13 --locoid 4001 --swversion DE.1.0.9.0 --startMP 204:232994 --initTime 2017-05-13T07:06:58 --startdatetime 2017-05-13T07:26:25 --delay 1 --endMP 204:147 --enddatetime 2017-05-13T08:03:32 --enforcementcount 0 &gt;&gt;C:\Users\stu\Documents\GitHub\eaglep3-reporting\EC\2017-05-13-refined-times.txt</v>
      </c>
      <c r="AI36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{"issue":{"subject":"","project_id":79,"tracker_id":40,"status_id":1,"priority_id":2,"assigned_to_id":23,"start_date":"2017-05-13","description":"","custom_fields":[{"id":1,"name":"Subdivision","value":"EC"},{"id":4,"name":"Milepost","value":"0.0147"},{"id":17,"name":"Train ID","value":"124-13"},{"id":16,"name":"Locomotive ID","value":"4001"},{"id":130,"name":"Impact","value":""},{"id":150,"name":"Time of Event (Mountain Time)","value":"08:03:32"},{"id":151,"name":"Denver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4001 --day 2017-05-13</v>
      </c>
      <c r="AN36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633</v>
      </c>
      <c r="B37" s="7">
        <v>4042</v>
      </c>
      <c r="C37" s="21" t="s">
        <v>206</v>
      </c>
      <c r="D37" s="21" t="s">
        <v>473</v>
      </c>
      <c r="E37" s="13">
        <v>42868.275243055556</v>
      </c>
      <c r="F37" s="13">
        <v>42868.281412037039</v>
      </c>
      <c r="G37" s="7">
        <v>1</v>
      </c>
      <c r="H37" s="21" t="s">
        <v>804</v>
      </c>
      <c r="I37" s="13">
        <v>42868.30605324074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DELGADO DIANAH</v>
      </c>
      <c r="M37" s="6">
        <f t="shared" si="1"/>
        <v>2.4641203701321501E-2</v>
      </c>
      <c r="N37" s="7">
        <f t="shared" si="2"/>
        <v>35.483333329902962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-13T05:36:21-0600',mode:absolute,to:'2017-05-13T08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4.2700000000000002E-2</v>
      </c>
      <c r="Z37" s="192">
        <f t="shared" si="9"/>
        <v>23.331499999999998</v>
      </c>
      <c r="AA37" s="192">
        <f t="shared" si="10"/>
        <v>23.288799999999998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0125-13</v>
      </c>
      <c r="AE37" s="80" t="str">
        <f t="shared" si="12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37" s="77" t="str">
        <f t="shared" si="13"/>
        <v>"C:\Program Files (x86)\AstroGrep\AstroGrep.exe" /e /r /s /spath="%USERPROFILE%\AppData\Local\Temp\OnboardLogs" /stypes="app*4042*20170513*"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125-13 --locoid 4042 --swversion DE.1.0.9.0 --startMP 204:427 --initTime 2017-05-13T06:36:21 --startdatetime 2017-05-13T06:45:14 --delay 1 --endMP 204:233315 --enddatetime 2017-05-13T07:20:43 --enforcementcount 0 &gt;&gt;C:\Users\stu\Documents\GitHub\eaglep3-reporting\EC\2017-05-13-refined-times.txt</v>
      </c>
      <c r="AI37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{"issue":{"subject":"","project_id":79,"tracker_id":40,"status_id":1,"priority_id":2,"assigned_to_id":23,"start_date":"2017-05-13","description":"","custom_fields":[{"id":1,"name":"Subdivision","value":"EC"},{"id":4,"name":"Milepost","value":"23.3315"},{"id":17,"name":"Train ID","value":"125-13"},{"id":16,"name":"Locomotive ID","value":"4042"},{"id":130,"name":"Impact","value":""},{"id":150,"name":"Time of Event (Mountain Time)","value":"07:20:43"},{"id":151,"name":"Denver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4042 --day 2017-05-13</v>
      </c>
      <c r="AN37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642</v>
      </c>
      <c r="B38" s="7">
        <v>4041</v>
      </c>
      <c r="C38" s="21" t="s">
        <v>206</v>
      </c>
      <c r="D38" s="21" t="s">
        <v>807</v>
      </c>
      <c r="E38" s="13">
        <v>42868.316851851851</v>
      </c>
      <c r="F38" s="13">
        <v>42868.320289351854</v>
      </c>
      <c r="G38" s="7">
        <v>1</v>
      </c>
      <c r="H38" s="21" t="s">
        <v>197</v>
      </c>
      <c r="I38" s="13">
        <v>42868.345995370371</v>
      </c>
      <c r="J38" s="7">
        <v>0</v>
      </c>
      <c r="K38" s="92" t="str">
        <f t="shared" si="0"/>
        <v>4041/4042</v>
      </c>
      <c r="L38" s="21" t="str">
        <f>VLOOKUP(A38,'Trips&amp;Operators'!$C$1:$G$99999,5,FALSE)</f>
        <v>DELGADO DIANAH</v>
      </c>
      <c r="M38" s="6">
        <f t="shared" si="1"/>
        <v>2.5706018517666962E-2</v>
      </c>
      <c r="N38" s="7">
        <f t="shared" si="2"/>
        <v>37.016666665440425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-13T06:36:16-0600',mode:absolute,to:'2017-05-13T09:18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23.3</v>
      </c>
      <c r="Z38" s="192">
        <f t="shared" si="9"/>
        <v>1.52E-2</v>
      </c>
      <c r="AA38" s="192">
        <f t="shared" si="10"/>
        <v>23.284800000000001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0126-13</v>
      </c>
      <c r="AE38" s="80" t="str">
        <f t="shared" si="12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38" s="77" t="str">
        <f t="shared" si="13"/>
        <v>"C:\Program Files (x86)\AstroGrep\AstroGrep.exe" /e /r /s /spath="%USERPROFILE%\AppData\Local\Temp\OnboardLogs" /stypes="app*4041*20170513*"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126-13 --locoid 4041 --swversion DE.1.0.9.0 --startMP 204:233000 --initTime 2017-05-13T07:36:16 --startdatetime 2017-05-13T07:41:13 --delay 1 --endMP 204:152 --enddatetime 2017-05-13T08:18:14 --enforcementcount 0 &gt;&gt;C:\Users\stu\Documents\GitHub\eaglep3-reporting\EC\2017-05-13-refined-times.txt</v>
      </c>
      <c r="AI38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{"issue":{"subject":"","project_id":79,"tracker_id":40,"status_id":1,"priority_id":2,"assigned_to_id":23,"start_date":"2017-05-13","description":"","custom_fields":[{"id":1,"name":"Subdivision","value":"EC"},{"id":4,"name":"Milepost","value":"0.0152"},{"id":17,"name":"Train ID","value":"126-13"},{"id":16,"name":"Locomotive ID","value":"4041"},{"id":130,"name":"Impact","value":""},{"id":150,"name":"Time of Event (Mountain Time)","value":"08:18:14"},{"id":151,"name":"Denver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4041 --day 2017-05-13</v>
      </c>
      <c r="AN38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637</v>
      </c>
      <c r="B39" s="7">
        <v>4032</v>
      </c>
      <c r="C39" s="21" t="s">
        <v>206</v>
      </c>
      <c r="D39" s="21" t="s">
        <v>810</v>
      </c>
      <c r="E39" s="13">
        <v>42868.289155092592</v>
      </c>
      <c r="F39" s="13">
        <v>42868.292071759257</v>
      </c>
      <c r="G39" s="7">
        <v>1</v>
      </c>
      <c r="H39" s="21" t="s">
        <v>430</v>
      </c>
      <c r="I39" s="13">
        <v>42868.316793981481</v>
      </c>
      <c r="J39" s="7">
        <v>0</v>
      </c>
      <c r="K39" s="92" t="str">
        <f t="shared" si="0"/>
        <v>4031/4032</v>
      </c>
      <c r="L39" s="21" t="str">
        <f>VLOOKUP(A39,'Trips&amp;Operators'!$C$1:$G$99999,5,FALSE)</f>
        <v>BADERTSCHER DIANE</v>
      </c>
      <c r="M39" s="6">
        <f t="shared" si="1"/>
        <v>2.4722222224227153E-2</v>
      </c>
      <c r="N39" s="7">
        <f t="shared" si="2"/>
        <v>35.6000000028871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-13T05:56:23-0600',mode:absolute,to:'2017-05-13T08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4.3999999999999997E-2</v>
      </c>
      <c r="Z39" s="192">
        <f t="shared" si="9"/>
        <v>23.3309</v>
      </c>
      <c r="AA39" s="192">
        <f t="shared" si="10"/>
        <v>23.286899999999999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0127-13</v>
      </c>
      <c r="AE39" s="80" t="str">
        <f t="shared" si="12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39" s="77" t="str">
        <f t="shared" si="13"/>
        <v>"C:\Program Files (x86)\AstroGrep\AstroGrep.exe" /e /r /s /spath="%USERPROFILE%\AppData\Local\Temp\OnboardLogs" /stypes="app*4032*20170513*"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127-13 --locoid 4032 --swversion DE.1.0.9.0 --startMP 204:440 --initTime 2017-05-13T06:56:23 --startdatetime 2017-05-13T07:00:35 --delay 1 --endMP 204:233309 --enddatetime 2017-05-13T07:36:11 --enforcementcount 0 &gt;&gt;C:\Users\stu\Documents\GitHub\eaglep3-reporting\EC\2017-05-13-refined-times.txt</v>
      </c>
      <c r="AI39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{"issue":{"subject":"","project_id":79,"tracker_id":40,"status_id":1,"priority_id":2,"assigned_to_id":23,"start_date":"2017-05-13","description":"","custom_fields":[{"id":1,"name":"Subdivision","value":"EC"},{"id":4,"name":"Milepost","value":"23.3309"},{"id":17,"name":"Train ID","value":"127-13"},{"id":16,"name":"Locomotive ID","value":"4032"},{"id":130,"name":"Impact","value":""},{"id":150,"name":"Time of Event (Mountain Time)","value":"07:36:11"},{"id":151,"name":"Denver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4032 --day 2017-05-13</v>
      </c>
      <c r="AN39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644</v>
      </c>
      <c r="B40" s="7">
        <v>4031</v>
      </c>
      <c r="C40" s="21" t="s">
        <v>206</v>
      </c>
      <c r="D40" s="21" t="s">
        <v>451</v>
      </c>
      <c r="E40" s="13">
        <v>42868.320381944446</v>
      </c>
      <c r="F40" s="13">
        <v>42868.330717592595</v>
      </c>
      <c r="G40" s="7">
        <v>1</v>
      </c>
      <c r="H40" s="21" t="s">
        <v>800</v>
      </c>
      <c r="I40" s="13">
        <v>42868.357835648145</v>
      </c>
      <c r="J40" s="7">
        <v>0</v>
      </c>
      <c r="K40" s="92" t="str">
        <f t="shared" si="0"/>
        <v>4031/4032</v>
      </c>
      <c r="L40" s="21" t="str">
        <f>VLOOKUP(A40,'Trips&amp;Operators'!$C$1:$G$99999,5,FALSE)</f>
        <v>BADERTSCHER DIANE</v>
      </c>
      <c r="M40" s="6">
        <f t="shared" si="1"/>
        <v>2.7118055550090503E-2</v>
      </c>
      <c r="N40" s="7">
        <f t="shared" si="2"/>
        <v>39.049999992130324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-13T06:41:21-0600',mode:absolute,to:'2017-05-13T09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23.2973</v>
      </c>
      <c r="Z40" s="192">
        <f t="shared" si="9"/>
        <v>1.2500000000000001E-2</v>
      </c>
      <c r="AA40" s="192">
        <f t="shared" si="10"/>
        <v>23.284800000000001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0128-13</v>
      </c>
      <c r="AE40" s="80" t="str">
        <f t="shared" si="12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40" s="77" t="str">
        <f t="shared" si="13"/>
        <v>"C:\Program Files (x86)\AstroGrep\AstroGrep.exe" /e /r /s /spath="%USERPROFILE%\AppData\Local\Temp\OnboardLogs" /stypes="app*4031*20170513*"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128-13 --locoid 4031 --swversion DE.1.0.9.0 --startMP 204:232973 --initTime 2017-05-13T07:41:21 --startdatetime 2017-05-13T07:56:14 --delay 1 --endMP 204:125 --enddatetime 2017-05-13T08:35:17 --enforcementcount 0 &gt;&gt;C:\Users\stu\Documents\GitHub\eaglep3-reporting\EC\2017-05-13-refined-times.txt</v>
      </c>
      <c r="AI40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{"issue":{"subject":"","project_id":79,"tracker_id":40,"status_id":1,"priority_id":2,"assigned_to_id":23,"start_date":"2017-05-13","description":"","custom_fields":[{"id":1,"name":"Subdivision","value":"EC"},{"id":4,"name":"Milepost","value":"0.0125"},{"id":17,"name":"Train ID","value":"128-13"},{"id":16,"name":"Locomotive ID","value":"4031"},{"id":130,"name":"Impact","value":""},{"id":150,"name":"Time of Event (Mountain Time)","value":"08:35:17"},{"id":151,"name":"Denver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4031 --day 2017-05-13</v>
      </c>
      <c r="AN40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639</v>
      </c>
      <c r="B41" s="7">
        <v>4054</v>
      </c>
      <c r="C41" s="21" t="s">
        <v>206</v>
      </c>
      <c r="D41" s="21" t="s">
        <v>375</v>
      </c>
      <c r="E41" s="13">
        <v>42868.298229166663</v>
      </c>
      <c r="F41" s="13">
        <v>42868.302361111113</v>
      </c>
      <c r="G41" s="7">
        <v>1</v>
      </c>
      <c r="H41" s="21" t="s">
        <v>811</v>
      </c>
      <c r="I41" s="13">
        <v>42868.327164351853</v>
      </c>
      <c r="J41" s="7">
        <v>0</v>
      </c>
      <c r="K41" s="92" t="str">
        <f t="shared" si="0"/>
        <v>4053/4054</v>
      </c>
      <c r="L41" s="21" t="str">
        <f>VLOOKUP(A41,'Trips&amp;Operators'!$C$1:$G$99999,5,FALSE)</f>
        <v>GEBRETEKLE DAGNEW</v>
      </c>
      <c r="M41" s="6">
        <f t="shared" si="1"/>
        <v>2.4803240739856847E-2</v>
      </c>
      <c r="N41" s="7">
        <f t="shared" si="2"/>
        <v>35.716666665393859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-13T06:09:27-0600',mode:absolute,to:'2017-05-13T08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4.4200000000000003E-2</v>
      </c>
      <c r="Z41" s="192">
        <f t="shared" si="9"/>
        <v>23.333100000000002</v>
      </c>
      <c r="AA41" s="192">
        <f t="shared" si="10"/>
        <v>23.288900000000002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0129-13</v>
      </c>
      <c r="AE41" s="80" t="str">
        <f t="shared" si="12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41" s="77" t="str">
        <f t="shared" si="13"/>
        <v>"C:\Program Files (x86)\AstroGrep\AstroGrep.exe" /e /r /s /spath="%USERPROFILE%\AppData\Local\Temp\OnboardLogs" /stypes="app*4054*20170513*"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129-13 --locoid 4054 --swversion DE.1.0.9.0 --startMP 204:442 --initTime 2017-05-13T07:09:27 --startdatetime 2017-05-13T07:15:24 --delay 1 --endMP 204:233331 --enddatetime 2017-05-13T07:51:07 --enforcementcount 0 &gt;&gt;C:\Users\stu\Documents\GitHub\eaglep3-reporting\EC\2017-05-13-refined-times.txt</v>
      </c>
      <c r="AI41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{"issue":{"subject":"","project_id":79,"tracker_id":40,"status_id":1,"priority_id":2,"assigned_to_id":23,"start_date":"2017-05-13","description":"","custom_fields":[{"id":1,"name":"Subdivision","value":"EC"},{"id":4,"name":"Milepost","value":"23.3331"},{"id":17,"name":"Train ID","value":"129-13"},{"id":16,"name":"Locomotive ID","value":"4054"},{"id":130,"name":"Impact","value":""},{"id":150,"name":"Time of Event (Mountain Time)","value":"07:51:07"},{"id":151,"name":"Denver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4054 --day 2017-05-13</v>
      </c>
      <c r="AN41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646</v>
      </c>
      <c r="B42" s="7">
        <v>4053</v>
      </c>
      <c r="C42" s="21" t="s">
        <v>206</v>
      </c>
      <c r="D42" s="21" t="s">
        <v>812</v>
      </c>
      <c r="E42" s="13">
        <v>42868.336689814816</v>
      </c>
      <c r="F42" s="13">
        <v>42868.341168981482</v>
      </c>
      <c r="G42" s="7">
        <v>1</v>
      </c>
      <c r="H42" s="21" t="s">
        <v>353</v>
      </c>
      <c r="I42" s="13">
        <v>42868.367511574077</v>
      </c>
      <c r="J42" s="7">
        <v>0</v>
      </c>
      <c r="K42" s="92" t="str">
        <f t="shared" si="0"/>
        <v>4053/4054</v>
      </c>
      <c r="L42" s="21" t="str">
        <f>VLOOKUP(A42,'Trips&amp;Operators'!$C$1:$G$99999,5,FALSE)</f>
        <v>GEBRETEKLE DAGNEW</v>
      </c>
      <c r="M42" s="6">
        <f t="shared" si="1"/>
        <v>2.6342592595028691E-2</v>
      </c>
      <c r="N42" s="7">
        <f t="shared" si="2"/>
        <v>37.933333336841315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-13T07:04:50-0600',mode:absolute,to:'2017-05-13T09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23.301300000000001</v>
      </c>
      <c r="Z42" s="192">
        <f t="shared" si="9"/>
        <v>1.4500000000000001E-2</v>
      </c>
      <c r="AA42" s="192">
        <f t="shared" si="10"/>
        <v>23.286799999999999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0130-13</v>
      </c>
      <c r="AE42" s="80" t="str">
        <f t="shared" si="12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42" s="77" t="str">
        <f t="shared" si="13"/>
        <v>"C:\Program Files (x86)\AstroGrep\AstroGrep.exe" /e /r /s /spath="%USERPROFILE%\AppData\Local\Temp\OnboardLogs" /stypes="app*4053*20170513*"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130-13 --locoid 4053 --swversion DE.1.0.9.0 --startMP 204:233013 --initTime 2017-05-13T08:04:50 --startdatetime 2017-05-13T08:11:17 --delay 1 --endMP 204:145 --enddatetime 2017-05-13T08:49:13 --enforcementcount 0 &gt;&gt;C:\Users\stu\Documents\GitHub\eaglep3-reporting\EC\2017-05-13-refined-times.txt</v>
      </c>
      <c r="AI42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{"issue":{"subject":"","project_id":79,"tracker_id":40,"status_id":1,"priority_id":2,"assigned_to_id":23,"start_date":"2017-05-13","description":"","custom_fields":[{"id":1,"name":"Subdivision","value":"EC"},{"id":4,"name":"Milepost","value":"0.0145"},{"id":17,"name":"Train ID","value":"130-13"},{"id":16,"name":"Locomotive ID","value":"4053"},{"id":130,"name":"Impact","value":""},{"id":150,"name":"Time of Event (Mountain Time)","value":"08:49:13"},{"id":151,"name":"Denver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4053 --day 2017-05-13</v>
      </c>
      <c r="AN42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640</v>
      </c>
      <c r="B43" s="7">
        <v>4028</v>
      </c>
      <c r="C43" s="21" t="s">
        <v>206</v>
      </c>
      <c r="D43" s="21" t="s">
        <v>426</v>
      </c>
      <c r="E43" s="13">
        <v>42868.307488425926</v>
      </c>
      <c r="F43" s="13">
        <v>42868.312650462962</v>
      </c>
      <c r="G43" s="7">
        <v>2</v>
      </c>
      <c r="H43" s="21" t="s">
        <v>813</v>
      </c>
      <c r="I43" s="13">
        <v>42868.337048611109</v>
      </c>
      <c r="J43" s="7">
        <v>0</v>
      </c>
      <c r="K43" s="92" t="str">
        <f t="shared" si="0"/>
        <v>4027/4028</v>
      </c>
      <c r="L43" s="21" t="str">
        <f>VLOOKUP(A43,'Trips&amp;Operators'!$C$1:$G$99999,5,FALSE)</f>
        <v>ROBINSON KADDIBA</v>
      </c>
      <c r="M43" s="6">
        <f t="shared" si="1"/>
        <v>2.4398148147156462E-2</v>
      </c>
      <c r="N43" s="7">
        <f t="shared" si="2"/>
        <v>35.133333331905305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-13T06:22:47-0600',mode:absolute,to:'2017-05-13T09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4.6199999999999998E-2</v>
      </c>
      <c r="Z43" s="192">
        <f t="shared" si="9"/>
        <v>23.329499999999999</v>
      </c>
      <c r="AA43" s="192">
        <f t="shared" si="10"/>
        <v>23.283300000000001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0131-13</v>
      </c>
      <c r="AE43" s="80" t="str">
        <f t="shared" si="12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43" s="77" t="str">
        <f t="shared" si="13"/>
        <v>"C:\Program Files (x86)\AstroGrep\AstroGrep.exe" /e /r /s /spath="%USERPROFILE%\AppData\Local\Temp\OnboardLogs" /stypes="app*4028*20170513*"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131-13 --locoid 4028 --swversion DE.1.0.9.0 --startMP 204:462 --initTime 2017-05-13T07:22:47 --startdatetime 2017-05-13T07:30:13 --delay 2 --endMP 204:233295 --enddatetime 2017-05-13T08:05:21 --enforcementcount 0 &gt;&gt;C:\Users\stu\Documents\GitHub\eaglep3-reporting\EC\2017-05-13-refined-times.txt</v>
      </c>
      <c r="AI43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{"issue":{"subject":"","project_id":79,"tracker_id":40,"status_id":1,"priority_id":2,"assigned_to_id":23,"start_date":"2017-05-13","description":"","custom_fields":[{"id":1,"name":"Subdivision","value":"EC"},{"id":4,"name":"Milepost","value":"23.3295"},{"id":17,"name":"Train ID","value":"131-13"},{"id":16,"name":"Locomotive ID","value":"4028"},{"id":130,"name":"Impact","value":""},{"id":150,"name":"Time of Event (Mountain Time)","value":"08:05:21"},{"id":151,"name":"Denver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4028 --day 2017-05-13</v>
      </c>
      <c r="AN43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548</v>
      </c>
      <c r="B44" s="7">
        <v>4027</v>
      </c>
      <c r="C44" s="21" t="s">
        <v>206</v>
      </c>
      <c r="D44" s="21" t="s">
        <v>814</v>
      </c>
      <c r="E44" s="13">
        <v>42868.343043981484</v>
      </c>
      <c r="F44" s="13">
        <v>42868.3515625</v>
      </c>
      <c r="G44" s="7">
        <v>11</v>
      </c>
      <c r="H44" s="21" t="s">
        <v>359</v>
      </c>
      <c r="I44" s="13">
        <v>42868.37945601852</v>
      </c>
      <c r="J44" s="7">
        <v>0</v>
      </c>
      <c r="K44" s="92" t="str">
        <f t="shared" si="0"/>
        <v>4027/4028</v>
      </c>
      <c r="L44" s="21" t="str">
        <f>VLOOKUP(A44,'Trips&amp;Operators'!$C$1:$G$99999,5,FALSE)</f>
        <v>ROBINSON KADDIBA</v>
      </c>
      <c r="M44" s="6">
        <f t="shared" si="1"/>
        <v>2.789351851970423E-2</v>
      </c>
      <c r="N44" s="7">
        <f t="shared" si="2"/>
        <v>40.166666668374091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-13T07:13:59-0600',mode:absolute,to:'2017-05-13T10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23.298200000000001</v>
      </c>
      <c r="Z44" s="192">
        <f t="shared" si="9"/>
        <v>1.43E-2</v>
      </c>
      <c r="AA44" s="192">
        <f t="shared" si="10"/>
        <v>23.283900000000003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0132-13</v>
      </c>
      <c r="AE44" s="80" t="str">
        <f t="shared" si="12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44" s="77" t="str">
        <f t="shared" si="13"/>
        <v>"C:\Program Files (x86)\AstroGrep\AstroGrep.exe" /e /r /s /spath="%USERPROFILE%\AppData\Local\Temp\OnboardLogs" /stypes="app*4027*20170513*"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132-13 --locoid 4027 --swversion DE.1.0.9.0 --startMP 204:232982 --initTime 2017-05-13T08:13:59 --startdatetime 2017-05-13T08:26:15 --delay 11 --endMP 204:143 --enddatetime 2017-05-13T09:06:25 --enforcementcount 0 &gt;&gt;C:\Users\stu\Documents\GitHub\eaglep3-reporting\EC\2017-05-13-refined-times.txt</v>
      </c>
      <c r="AI44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{"issue":{"subject":"","project_id":79,"tracker_id":40,"status_id":1,"priority_id":2,"assigned_to_id":23,"start_date":"2017-05-13","description":"","custom_fields":[{"id":1,"name":"Subdivision","value":"EC"},{"id":4,"name":"Milepost","value":"0.0143"},{"id":17,"name":"Train ID","value":"132-13"},{"id":16,"name":"Locomotive ID","value":"4027"},{"id":130,"name":"Impact","value":""},{"id":150,"name":"Time of Event (Mountain Time)","value":"09:06:25"},{"id":151,"name":"Denver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4027 --day 2017-05-13</v>
      </c>
      <c r="AN44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643</v>
      </c>
      <c r="B45" s="7">
        <v>4008</v>
      </c>
      <c r="C45" s="21" t="s">
        <v>206</v>
      </c>
      <c r="D45" s="21" t="s">
        <v>352</v>
      </c>
      <c r="E45" s="13">
        <v>42868.319074074076</v>
      </c>
      <c r="F45" s="13">
        <v>42868.323136574072</v>
      </c>
      <c r="G45" s="7">
        <v>1</v>
      </c>
      <c r="H45" s="21" t="s">
        <v>804</v>
      </c>
      <c r="I45" s="13">
        <v>42868.347951388889</v>
      </c>
      <c r="J45" s="7">
        <v>0</v>
      </c>
      <c r="K45" s="92" t="str">
        <f t="shared" si="0"/>
        <v>4007/4008</v>
      </c>
      <c r="L45" s="21" t="str">
        <f>VLOOKUP(A45,'Trips&amp;Operators'!$C$1:$G$99999,5,FALSE)</f>
        <v>MAELZER KURT</v>
      </c>
      <c r="M45" s="6">
        <f t="shared" si="1"/>
        <v>2.4814814816636499E-2</v>
      </c>
      <c r="N45" s="7">
        <f t="shared" ref="N45:N66" si="23">24*60*SUM($M45:$M45)</f>
        <v>35.733333335956559</v>
      </c>
      <c r="O45" s="7"/>
      <c r="P45" s="7"/>
      <c r="Q45" s="22"/>
      <c r="R45" s="190"/>
      <c r="S45" s="196">
        <f t="shared" ref="S45:S67" si="24">SUM(U45:U45)/IF(AG45="EC",12,1)</f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-13T06:39:28-0600',mode:absolute,to:'2017-05-13T09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92" t="str">
        <f t="shared" si="6"/>
        <v>N</v>
      </c>
      <c r="X45" s="192">
        <f t="shared" ref="X45:X76" si="25">VALUE(LEFT(AD45,4))-VALUE(LEFT(AD44,4))</f>
        <v>1</v>
      </c>
      <c r="Y45" s="192">
        <f t="shared" ref="Y45:Y76" si="26">RIGHT(D45,LEN(D45)-4)/10000</f>
        <v>4.4600000000000001E-2</v>
      </c>
      <c r="Z45" s="192">
        <f t="shared" ref="Z45:Z76" si="27">RIGHT(H45,LEN(H45)-4)/10000</f>
        <v>23.331499999999998</v>
      </c>
      <c r="AA45" s="192">
        <f t="shared" si="10"/>
        <v>23.286899999999999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0133-13</v>
      </c>
      <c r="AE45" s="80" t="str">
        <f t="shared" si="12"/>
        <v>aws s3 cp s3://rtdc.mdm.uploadarchive.raw/RTDC4008/ "%USERPROFILE%\AppData\Local\Temp\OnboardLogs"\RTDC4008\2017-05-13 --exclude "*" --recursive --include "*20170513*" &amp; "%USERPROFILE%\Documents\GitHub\mrs-test-scripts\Headless Mode &amp; Sideloading\WalkAndUnGZ.bat" "%USERPROFILE%\AppData\Local\Temp\OnboardLogs"\RTDC4008\2017-05-13 &amp; aws s3 cp s3://rtdc.mdm.uploadarchive.raw/RTDC4008/ "%USERPROFILE%\AppData\Local\Temp\OnboardLogs"\RTDC4008\2017-05-14 --exclude "*" --recursive --include "*20170514*" &amp; "%USERPROFILE%\Documents\GitHub\mrs-test-scripts\Headless Mode &amp; Sideloading\WalkAndUnGZ.bat" "%USERPROFILE%\AppData\Local\Temp\OnboardLogs"\RTDC4008\2017-05-14</v>
      </c>
      <c r="AF45" s="77" t="str">
        <f t="shared" si="13"/>
        <v>"C:\Program Files (x86)\AstroGrep\AstroGrep.exe" /e /r /s /spath="%USERPROFILE%\AppData\Local\Temp\OnboardLogs" /stypes="app*4008*20170513*"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133-13 --locoid 4008 --swversion DE.1.0.9.0 --startMP 204:446 --initTime 2017-05-13T07:39:28 --startdatetime 2017-05-13T07:45:19 --delay 1 --endMP 204:233315 --enddatetime 2017-05-13T08:21:03 --enforcementcount 0 &gt;&gt;C:\Users\stu\Documents\GitHub\eaglep3-reporting\EC\2017-05-13-refined-times.txt</v>
      </c>
      <c r="AI45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{"issue":{"subject":"","project_id":79,"tracker_id":40,"status_id":1,"priority_id":2,"assigned_to_id":23,"start_date":"2017-05-13","description":"","custom_fields":[{"id":1,"name":"Subdivision","value":"EC"},{"id":4,"name":"Milepost","value":"23.3315"},{"id":17,"name":"Train ID","value":"133-13"},{"id":16,"name":"Locomotive ID","value":"4008"},{"id":130,"name":"Impact","value":""},{"id":150,"name":"Time of Event (Mountain Time)","value":"08:21:03"},{"id":151,"name":"Denver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4008 --day 2017-05-13</v>
      </c>
      <c r="AN45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650</v>
      </c>
      <c r="B46" s="7">
        <v>4007</v>
      </c>
      <c r="C46" s="21" t="s">
        <v>206</v>
      </c>
      <c r="D46" s="21" t="s">
        <v>447</v>
      </c>
      <c r="E46" s="13">
        <v>42868.355555555558</v>
      </c>
      <c r="F46" s="13">
        <v>42868.36204861111</v>
      </c>
      <c r="G46" s="7">
        <v>0</v>
      </c>
      <c r="H46" s="21" t="s">
        <v>353</v>
      </c>
      <c r="I46" s="13">
        <v>42868.388645833336</v>
      </c>
      <c r="J46" s="7">
        <v>0</v>
      </c>
      <c r="K46" s="92" t="str">
        <f t="shared" si="0"/>
        <v>4007/4008</v>
      </c>
      <c r="L46" s="21" t="str">
        <f>VLOOKUP(A46,'Trips&amp;Operators'!$C$1:$G$99999,5,FALSE)</f>
        <v>MAELZER KURT</v>
      </c>
      <c r="M46" s="6">
        <f t="shared" si="1"/>
        <v>2.6597222225973383E-2</v>
      </c>
      <c r="N46" s="7">
        <f t="shared" si="23"/>
        <v>38.300000005401671</v>
      </c>
      <c r="O46" s="7"/>
      <c r="P46" s="7"/>
      <c r="Q46" s="22"/>
      <c r="R46" s="190"/>
      <c r="S46" s="196">
        <f t="shared" si="24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-13T07:32:00-0600',mode:absolute,to:'2017-05-13T10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192" t="str">
        <f t="shared" si="6"/>
        <v>N</v>
      </c>
      <c r="X46" s="192">
        <f t="shared" si="25"/>
        <v>1</v>
      </c>
      <c r="Y46" s="192">
        <f t="shared" si="26"/>
        <v>23.299600000000002</v>
      </c>
      <c r="Z46" s="192">
        <f t="shared" si="27"/>
        <v>1.4500000000000001E-2</v>
      </c>
      <c r="AA46" s="192">
        <f t="shared" si="10"/>
        <v>23.2851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0134-13</v>
      </c>
      <c r="AE46" s="80" t="str">
        <f t="shared" si="12"/>
        <v>aws s3 cp s3://rtdc.mdm.uploadarchive.raw/RTDC4007/ "%USERPROFILE%\AppData\Local\Temp\OnboardLogs"\RTDC4007\2017-05-13 --exclude "*" --recursive --include "*20170513*" &amp; "%USERPROFILE%\Documents\GitHub\mrs-test-scripts\Headless Mode &amp; Sideloading\WalkAndUnGZ.bat" "%USERPROFILE%\AppData\Local\Temp\OnboardLogs"\RTDC4007\2017-05-13 &amp; aws s3 cp s3://rtdc.mdm.uploadarchive.raw/RTDC4007/ "%USERPROFILE%\AppData\Local\Temp\OnboardLogs"\RTDC4007\2017-05-14 --exclude "*" --recursive --include "*20170514*" &amp; "%USERPROFILE%\Documents\GitHub\mrs-test-scripts\Headless Mode &amp; Sideloading\WalkAndUnGZ.bat" "%USERPROFILE%\AppData\Local\Temp\OnboardLogs"\RTDC4007\2017-05-14</v>
      </c>
      <c r="AF46" s="77" t="str">
        <f t="shared" si="13"/>
        <v>"C:\Program Files (x86)\AstroGrep\AstroGrep.exe" /e /r /s /spath="%USERPROFILE%\AppData\Local\Temp\OnboardLogs" /stypes="app*4007*20170513*"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134-13 --locoid 4007 --swversion DE.1.0.9.0 --startMP 204:232996 --initTime 2017-05-13T08:32:00 --startdatetime 2017-05-13T08:41:21 --delay 0 --endMP 204:145 --enddatetime 2017-05-13T09:19:39 --enforcementcount 0 &gt;&gt;C:\Users\stu\Documents\GitHub\eaglep3-reporting\EC\2017-05-13-refined-times.txt</v>
      </c>
      <c r="AI46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{"issue":{"subject":"","project_id":79,"tracker_id":40,"status_id":1,"priority_id":2,"assigned_to_id":23,"start_date":"2017-05-13","description":"","custom_fields":[{"id":1,"name":"Subdivision","value":"EC"},{"id":4,"name":"Milepost","value":"0.0145"},{"id":17,"name":"Train ID","value":"134-13"},{"id":16,"name":"Locomotive ID","value":"4007"},{"id":130,"name":"Impact","value":""},{"id":150,"name":"Time of Event (Mountain Time)","value":"09:19:39"},{"id":151,"name":"Denver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4007 --day 2017-05-13</v>
      </c>
      <c r="AN46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645</v>
      </c>
      <c r="B47" s="7">
        <v>4014</v>
      </c>
      <c r="C47" s="21" t="s">
        <v>206</v>
      </c>
      <c r="D47" s="21" t="s">
        <v>352</v>
      </c>
      <c r="E47" s="13">
        <v>42868.329953703702</v>
      </c>
      <c r="F47" s="13">
        <v>42868.333680555559</v>
      </c>
      <c r="G47" s="7">
        <v>1</v>
      </c>
      <c r="H47" s="21" t="s">
        <v>815</v>
      </c>
      <c r="I47" s="13">
        <v>42868.359606481485</v>
      </c>
      <c r="J47" s="7">
        <v>0</v>
      </c>
      <c r="K47" s="92" t="str">
        <f t="shared" si="0"/>
        <v>4013/4014</v>
      </c>
      <c r="L47" s="21" t="str">
        <f>VLOOKUP(A47,'Trips&amp;Operators'!$C$1:$G$99999,5,FALSE)</f>
        <v>DAVIS WENDY</v>
      </c>
      <c r="M47" s="6">
        <f t="shared" si="1"/>
        <v>2.5925925925548654E-2</v>
      </c>
      <c r="N47" s="7">
        <f t="shared" si="23"/>
        <v>37.333333332790062</v>
      </c>
      <c r="O47" s="7"/>
      <c r="P47" s="7"/>
      <c r="Q47" s="22"/>
      <c r="R47" s="190"/>
      <c r="S47" s="196">
        <f t="shared" si="24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-13T06:55:08-0600',mode:absolute,to:'2017-05-13T09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7" s="192" t="str">
        <f t="shared" si="6"/>
        <v>N</v>
      </c>
      <c r="X47" s="192">
        <f t="shared" si="25"/>
        <v>1</v>
      </c>
      <c r="Y47" s="192">
        <f t="shared" si="26"/>
        <v>4.4600000000000001E-2</v>
      </c>
      <c r="Z47" s="192">
        <f t="shared" si="27"/>
        <v>23.331800000000001</v>
      </c>
      <c r="AA47" s="192">
        <f t="shared" si="10"/>
        <v>23.287200000000002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0135-13</v>
      </c>
      <c r="AE47" s="80" t="str">
        <f t="shared" si="12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47" s="77" t="str">
        <f t="shared" si="13"/>
        <v>"C:\Program Files (x86)\AstroGrep\AstroGrep.exe" /e /r /s /spath="%USERPROFILE%\AppData\Local\Temp\OnboardLogs" /stypes="app*4014*20170513*"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135-13 --locoid 4014 --swversion DE.1.0.9.0 --startMP 204:446 --initTime 2017-05-13T07:55:08 --startdatetime 2017-05-13T08:00:30 --delay 1 --endMP 204:233318 --enddatetime 2017-05-13T08:37:50 --enforcementcount 0 &gt;&gt;C:\Users\stu\Documents\GitHub\eaglep3-reporting\EC\2017-05-13-refined-times.txt</v>
      </c>
      <c r="AI47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{"issue":{"subject":"","project_id":79,"tracker_id":40,"status_id":1,"priority_id":2,"assigned_to_id":23,"start_date":"2017-05-13","description":"","custom_fields":[{"id":1,"name":"Subdivision","value":"EC"},{"id":4,"name":"Milepost","value":"23.3318"},{"id":17,"name":"Train ID","value":"135-13"},{"id":16,"name":"Locomotive ID","value":"4014"},{"id":130,"name":"Impact","value":""},{"id":150,"name":"Time of Event (Mountain Time)","value":"08:37:50"},{"id":151,"name":"Denver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4014 --day 2017-05-13</v>
      </c>
      <c r="AN47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655</v>
      </c>
      <c r="B48" s="7">
        <v>4013</v>
      </c>
      <c r="C48" s="21" t="s">
        <v>206</v>
      </c>
      <c r="D48" s="21" t="s">
        <v>446</v>
      </c>
      <c r="E48" s="13">
        <v>42868.370428240742</v>
      </c>
      <c r="F48" s="13">
        <v>42868.372361111113</v>
      </c>
      <c r="G48" s="7">
        <v>1</v>
      </c>
      <c r="H48" s="21" t="s">
        <v>358</v>
      </c>
      <c r="I48" s="13">
        <v>42868.400393518517</v>
      </c>
      <c r="J48" s="7">
        <v>0</v>
      </c>
      <c r="K48" s="92" t="str">
        <f t="shared" si="0"/>
        <v>4013/4014</v>
      </c>
      <c r="L48" s="21" t="str">
        <f>VLOOKUP(A48,'Trips&amp;Operators'!$C$1:$G$99999,5,FALSE)</f>
        <v>DAVIS WENDY</v>
      </c>
      <c r="M48" s="6">
        <f t="shared" si="1"/>
        <v>2.8032407404680271E-2</v>
      </c>
      <c r="N48" s="7">
        <f t="shared" si="23"/>
        <v>40.36666666273959</v>
      </c>
      <c r="O48" s="7"/>
      <c r="P48" s="7"/>
      <c r="Q48" s="22"/>
      <c r="R48" s="190"/>
      <c r="S48" s="196">
        <f t="shared" si="24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-13T07:53:25-0600',mode:absolute,to:'2017-05-13T10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8" s="192" t="str">
        <f t="shared" si="6"/>
        <v>N</v>
      </c>
      <c r="X48" s="192">
        <f t="shared" si="25"/>
        <v>1</v>
      </c>
      <c r="Y48" s="192">
        <f t="shared" si="26"/>
        <v>23.2988</v>
      </c>
      <c r="Z48" s="192">
        <f t="shared" si="27"/>
        <v>1.49E-2</v>
      </c>
      <c r="AA48" s="192">
        <f t="shared" si="10"/>
        <v>23.283899999999999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0136-13</v>
      </c>
      <c r="AE48" s="80" t="str">
        <f t="shared" si="12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48" s="77" t="str">
        <f t="shared" si="13"/>
        <v>"C:\Program Files (x86)\AstroGrep\AstroGrep.exe" /e /r /s /spath="%USERPROFILE%\AppData\Local\Temp\OnboardLogs" /stypes="app*4013*20170513*"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136-13 --locoid 4013 --swversion DE.1.0.9.0 --startMP 204:232988 --initTime 2017-05-13T08:53:25 --startdatetime 2017-05-13T08:56:12 --delay 1 --endMP 204:149 --enddatetime 2017-05-13T09:36:34 --enforcementcount 0 &gt;&gt;C:\Users\stu\Documents\GitHub\eaglep3-reporting\EC\2017-05-13-refined-times.txt</v>
      </c>
      <c r="AI48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{"issue":{"subject":"","project_id":79,"tracker_id":40,"status_id":1,"priority_id":2,"assigned_to_id":23,"start_date":"2017-05-13","description":"","custom_fields":[{"id":1,"name":"Subdivision","value":"EC"},{"id":4,"name":"Milepost","value":"0.0149"},{"id":17,"name":"Train ID","value":"136-13"},{"id":16,"name":"Locomotive ID","value":"4013"},{"id":130,"name":"Impact","value":""},{"id":150,"name":"Time of Event (Mountain Time)","value":"09:36:34"},{"id":151,"name":"Denver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4013 --day 2017-05-13</v>
      </c>
      <c r="AN48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647</v>
      </c>
      <c r="B49" s="7">
        <v>4002</v>
      </c>
      <c r="C49" s="21" t="s">
        <v>206</v>
      </c>
      <c r="D49" s="21" t="s">
        <v>360</v>
      </c>
      <c r="E49" s="13">
        <v>42868.337071759262</v>
      </c>
      <c r="F49" s="13">
        <v>42868.343912037039</v>
      </c>
      <c r="G49" s="7">
        <v>1</v>
      </c>
      <c r="H49" s="21" t="s">
        <v>510</v>
      </c>
      <c r="I49" s="13">
        <v>42868.369490740741</v>
      </c>
      <c r="J49" s="7">
        <v>0</v>
      </c>
      <c r="K49" s="92" t="str">
        <f t="shared" si="0"/>
        <v>4001/4002</v>
      </c>
      <c r="L49" s="21" t="str">
        <f>VLOOKUP(A49,'Trips&amp;Operators'!$C$1:$G$99999,5,FALSE)</f>
        <v>SANTIZO D. EDY</v>
      </c>
      <c r="M49" s="6">
        <f t="shared" si="1"/>
        <v>2.5578703702194616E-2</v>
      </c>
      <c r="N49" s="7">
        <f t="shared" si="23"/>
        <v>36.833333331160247</v>
      </c>
      <c r="O49" s="7"/>
      <c r="P49" s="7"/>
      <c r="Q49" s="22"/>
      <c r="R49" s="190"/>
      <c r="S49" s="196">
        <f t="shared" si="24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-13T07:05:23-0600',mode:absolute,to:'2017-05-13T09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192" t="str">
        <f t="shared" si="6"/>
        <v>N</v>
      </c>
      <c r="X49" s="192">
        <f t="shared" si="25"/>
        <v>1</v>
      </c>
      <c r="Y49" s="192">
        <f t="shared" si="26"/>
        <v>4.6600000000000003E-2</v>
      </c>
      <c r="Z49" s="192">
        <f t="shared" si="27"/>
        <v>23.330400000000001</v>
      </c>
      <c r="AA49" s="192">
        <f t="shared" si="10"/>
        <v>23.283799999999999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0137-13</v>
      </c>
      <c r="AE49" s="80" t="str">
        <f t="shared" si="12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49" s="77" t="str">
        <f t="shared" si="13"/>
        <v>"C:\Program Files (x86)\AstroGrep\AstroGrep.exe" /e /r /s /spath="%USERPROFILE%\AppData\Local\Temp\OnboardLogs" /stypes="app*4002*20170513*"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137-13 --locoid 4002 --swversion DE.1.0.9.0 --startMP 204:466 --initTime 2017-05-13T08:05:23 --startdatetime 2017-05-13T08:15:14 --delay 1 --endMP 204:233304 --enddatetime 2017-05-13T08:52:04 --enforcementcount 0 &gt;&gt;C:\Users\stu\Documents\GitHub\eaglep3-reporting\EC\2017-05-13-refined-times.txt</v>
      </c>
      <c r="AI49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{"issue":{"subject":"","project_id":79,"tracker_id":40,"status_id":1,"priority_id":2,"assigned_to_id":23,"start_date":"2017-05-13","description":"","custom_fields":[{"id":1,"name":"Subdivision","value":"EC"},{"id":4,"name":"Milepost","value":"23.3304"},{"id":17,"name":"Train ID","value":"137-13"},{"id":16,"name":"Locomotive ID","value":"4002"},{"id":130,"name":"Impact","value":""},{"id":150,"name":"Time of Event (Mountain Time)","value":"08:52:04"},{"id":151,"name":"Denver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4002 --day 2017-05-13</v>
      </c>
      <c r="AN49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654</v>
      </c>
      <c r="B50" s="7">
        <v>4001</v>
      </c>
      <c r="C50" s="21" t="s">
        <v>206</v>
      </c>
      <c r="D50" s="21" t="s">
        <v>520</v>
      </c>
      <c r="E50" s="13">
        <v>42868.370324074072</v>
      </c>
      <c r="F50" s="13">
        <v>42868.382824074077</v>
      </c>
      <c r="G50" s="7">
        <v>0</v>
      </c>
      <c r="H50" s="21" t="s">
        <v>358</v>
      </c>
      <c r="I50" s="13">
        <v>42868.408564814818</v>
      </c>
      <c r="J50" s="7">
        <v>0</v>
      </c>
      <c r="K50" s="92" t="str">
        <f t="shared" si="0"/>
        <v>4001/4002</v>
      </c>
      <c r="L50" s="21" t="str">
        <f>VLOOKUP(A50,'Trips&amp;Operators'!$C$1:$G$99999,5,FALSE)</f>
        <v>SANTIZO D. EDY</v>
      </c>
      <c r="M50" s="6">
        <f t="shared" si="1"/>
        <v>2.5740740740729962E-2</v>
      </c>
      <c r="N50" s="7">
        <f t="shared" si="23"/>
        <v>37.066666666651145</v>
      </c>
      <c r="O50" s="7"/>
      <c r="P50" s="7"/>
      <c r="Q50" s="22"/>
      <c r="R50" s="190"/>
      <c r="S50" s="196">
        <f t="shared" si="24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-13T07:53:16-0600',mode:absolute,to:'2017-05-13T10:48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192" t="str">
        <f t="shared" si="6"/>
        <v>N</v>
      </c>
      <c r="X50" s="192">
        <f t="shared" si="25"/>
        <v>1</v>
      </c>
      <c r="Y50" s="192">
        <f t="shared" si="26"/>
        <v>23.2989</v>
      </c>
      <c r="Z50" s="192">
        <f t="shared" si="27"/>
        <v>1.49E-2</v>
      </c>
      <c r="AA50" s="192">
        <f t="shared" si="10"/>
        <v>23.283999999999999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0138-13</v>
      </c>
      <c r="AE50" s="80" t="str">
        <f t="shared" si="12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50" s="77" t="str">
        <f t="shared" si="13"/>
        <v>"C:\Program Files (x86)\AstroGrep\AstroGrep.exe" /e /r /s /spath="%USERPROFILE%\AppData\Local\Temp\OnboardLogs" /stypes="app*4001*20170513*"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138-13 --locoid 4001 --swversion DE.1.0.9.0 --startMP 204:232989 --initTime 2017-05-13T08:53:16 --startdatetime 2017-05-13T09:11:16 --delay 0 --endMP 204:149 --enddatetime 2017-05-13T09:48:20 --enforcementcount 0 &gt;&gt;C:\Users\stu\Documents\GitHub\eaglep3-reporting\EC\2017-05-13-refined-times.txt</v>
      </c>
      <c r="AI50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{"issue":{"subject":"","project_id":79,"tracker_id":40,"status_id":1,"priority_id":2,"assigned_to_id":23,"start_date":"2017-05-13","description":"","custom_fields":[{"id":1,"name":"Subdivision","value":"EC"},{"id":4,"name":"Milepost","value":"0.0149"},{"id":17,"name":"Train ID","value":"138-13"},{"id":16,"name":"Locomotive ID","value":"4001"},{"id":130,"name":"Impact","value":""},{"id":150,"name":"Time of Event (Mountain Time)","value":"09:48:20"},{"id":151,"name":"Denver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4001 --day 2017-05-13</v>
      </c>
      <c r="AN50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15:48:20"},{"id":29,"name":"Sharepoint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649</v>
      </c>
      <c r="B51" s="7">
        <v>4042</v>
      </c>
      <c r="C51" s="21" t="s">
        <v>206</v>
      </c>
      <c r="D51" s="21" t="s">
        <v>385</v>
      </c>
      <c r="E51" s="13">
        <v>42868.349282407406</v>
      </c>
      <c r="F51" s="13">
        <v>42868.35434027778</v>
      </c>
      <c r="G51" s="7">
        <v>1</v>
      </c>
      <c r="H51" s="21" t="s">
        <v>505</v>
      </c>
      <c r="I51" s="13">
        <v>42868.378634259258</v>
      </c>
      <c r="J51" s="7">
        <v>0</v>
      </c>
      <c r="K51" s="92" t="str">
        <f t="shared" si="0"/>
        <v>4041/4042</v>
      </c>
      <c r="L51" s="21" t="str">
        <f>VLOOKUP(A51,'Trips&amp;Operators'!$C$1:$G$99999,5,FALSE)</f>
        <v>DELGADO DIANAH</v>
      </c>
      <c r="M51" s="6">
        <f t="shared" si="1"/>
        <v>2.4293981477967463E-2</v>
      </c>
      <c r="N51" s="7">
        <f t="shared" si="23"/>
        <v>34.983333328273147</v>
      </c>
      <c r="O51" s="7"/>
      <c r="P51" s="7"/>
      <c r="Q51" s="22"/>
      <c r="R51" s="190"/>
      <c r="S51" s="196">
        <f t="shared" si="24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-13T07:22:58-0600',mode:absolute,to:'2017-05-13T10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92" t="str">
        <f t="shared" si="6"/>
        <v>N</v>
      </c>
      <c r="X51" s="192">
        <f t="shared" si="25"/>
        <v>1</v>
      </c>
      <c r="Y51" s="192">
        <f t="shared" si="26"/>
        <v>4.5499999999999999E-2</v>
      </c>
      <c r="Z51" s="192">
        <f t="shared" si="27"/>
        <v>23.328900000000001</v>
      </c>
      <c r="AA51" s="192">
        <f t="shared" si="10"/>
        <v>23.2834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0139-13</v>
      </c>
      <c r="AE51" s="80" t="str">
        <f t="shared" si="12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51" s="77" t="str">
        <f t="shared" si="13"/>
        <v>"C:\Program Files (x86)\AstroGrep\AstroGrep.exe" /e /r /s /spath="%USERPROFILE%\AppData\Local\Temp\OnboardLogs" /stypes="app*4042*20170513*"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139-13 --locoid 4042 --swversion DE.1.0.9.0 --startMP 204:455 --initTime 2017-05-13T08:22:58 --startdatetime 2017-05-13T08:30:15 --delay 1 --endMP 204:233289 --enddatetime 2017-05-13T09:05:14 --enforcementcount 0 &gt;&gt;C:\Users\stu\Documents\GitHub\eaglep3-reporting\EC\2017-05-13-refined-times.txt</v>
      </c>
      <c r="AI51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{"issue":{"subject":"","project_id":79,"tracker_id":40,"status_id":1,"priority_id":2,"assigned_to_id":23,"start_date":"2017-05-13","description":"","custom_fields":[{"id":1,"name":"Subdivision","value":"EC"},{"id":4,"name":"Milepost","value":"23.3289"},{"id":17,"name":"Train ID","value":"139-13"},{"id":16,"name":"Locomotive ID","value":"4042"},{"id":130,"name":"Impact","value":""},{"id":150,"name":"Time of Event (Mountain Time)","value":"09:05:14"},{"id":151,"name":"Denver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4042 --day 2017-05-13</v>
      </c>
      <c r="AN51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657</v>
      </c>
      <c r="B52" s="7">
        <v>4041</v>
      </c>
      <c r="C52" s="21" t="s">
        <v>206</v>
      </c>
      <c r="D52" s="21" t="s">
        <v>446</v>
      </c>
      <c r="E52" s="13">
        <v>42868.385300925926</v>
      </c>
      <c r="F52" s="13">
        <v>42868.393229166664</v>
      </c>
      <c r="G52" s="7">
        <v>1</v>
      </c>
      <c r="H52" s="21" t="s">
        <v>372</v>
      </c>
      <c r="I52" s="13">
        <v>42868.420798611114</v>
      </c>
      <c r="J52" s="7">
        <v>0</v>
      </c>
      <c r="K52" s="92" t="str">
        <f t="shared" si="0"/>
        <v>4041/4042</v>
      </c>
      <c r="L52" s="21" t="str">
        <f>VLOOKUP(A52,'Trips&amp;Operators'!$C$1:$G$99999,5,FALSE)</f>
        <v>DELGADO DIANAH</v>
      </c>
      <c r="M52" s="6">
        <f t="shared" si="1"/>
        <v>2.7569444449909497E-2</v>
      </c>
      <c r="N52" s="7">
        <f t="shared" si="23"/>
        <v>39.700000007869676</v>
      </c>
      <c r="O52" s="7"/>
      <c r="P52" s="7"/>
      <c r="Q52" s="22"/>
      <c r="R52" s="190"/>
      <c r="S52" s="196">
        <f t="shared" si="24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-13T08:14:50-0600',mode:absolute,to:'2017-05-13T11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92" t="str">
        <f t="shared" si="6"/>
        <v>N</v>
      </c>
      <c r="X52" s="192">
        <f t="shared" si="25"/>
        <v>1</v>
      </c>
      <c r="Y52" s="192">
        <f t="shared" si="26"/>
        <v>23.2988</v>
      </c>
      <c r="Z52" s="192">
        <f t="shared" si="27"/>
        <v>1.41E-2</v>
      </c>
      <c r="AA52" s="192">
        <f t="shared" si="10"/>
        <v>23.284700000000001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0140-13</v>
      </c>
      <c r="AE52" s="80" t="str">
        <f t="shared" si="12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52" s="77" t="str">
        <f t="shared" si="13"/>
        <v>"C:\Program Files (x86)\AstroGrep\AstroGrep.exe" /e /r /s /spath="%USERPROFILE%\AppData\Local\Temp\OnboardLogs" /stypes="app*4041*20170513*"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140-13 --locoid 4041 --swversion DE.1.0.9.0 --startMP 204:232988 --initTime 2017-05-13T09:14:50 --startdatetime 2017-05-13T09:26:15 --delay 1 --endMP 204:141 --enddatetime 2017-05-13T10:05:57 --enforcementcount 0 &gt;&gt;C:\Users\stu\Documents\GitHub\eaglep3-reporting\EC\2017-05-13-refined-times.txt</v>
      </c>
      <c r="AI52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{"issue":{"subject":"","project_id":79,"tracker_id":40,"status_id":1,"priority_id":2,"assigned_to_id":23,"start_date":"2017-05-13","description":"","custom_fields":[{"id":1,"name":"Subdivision","value":"EC"},{"id":4,"name":"Milepost","value":"0.0141"},{"id":17,"name":"Train ID","value":"140-13"},{"id":16,"name":"Locomotive ID","value":"4041"},{"id":130,"name":"Impact","value":""},{"id":150,"name":"Time of Event (Mountain Time)","value":"10:05:57"},{"id":151,"name":"Denver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4041 --day 2017-05-13</v>
      </c>
      <c r="AN52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652</v>
      </c>
      <c r="B53" s="7">
        <v>4032</v>
      </c>
      <c r="C53" s="21" t="s">
        <v>206</v>
      </c>
      <c r="D53" s="21" t="s">
        <v>347</v>
      </c>
      <c r="E53" s="13">
        <v>42868.360289351855</v>
      </c>
      <c r="F53" s="13">
        <v>42868.364745370367</v>
      </c>
      <c r="G53" s="7">
        <v>1</v>
      </c>
      <c r="H53" s="21" t="s">
        <v>804</v>
      </c>
      <c r="I53" s="13">
        <v>42868.389884259261</v>
      </c>
      <c r="J53" s="7">
        <v>0</v>
      </c>
      <c r="K53" s="92" t="str">
        <f t="shared" si="0"/>
        <v>4031/4032</v>
      </c>
      <c r="L53" s="21" t="str">
        <f>VLOOKUP(A53,'Trips&amp;Operators'!$C$1:$G$99999,5,FALSE)</f>
        <v>BADERTSCHER DIANE</v>
      </c>
      <c r="M53" s="6">
        <f t="shared" si="1"/>
        <v>2.513888889370719E-2</v>
      </c>
      <c r="N53" s="7">
        <f t="shared" si="23"/>
        <v>36.200000006938353</v>
      </c>
      <c r="O53" s="7"/>
      <c r="P53" s="7"/>
      <c r="Q53" s="22"/>
      <c r="R53" s="190"/>
      <c r="S53" s="196">
        <f t="shared" si="24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-13T07:38:49-0600',mode:absolute,to:'2017-05-13T10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3" s="192" t="str">
        <f t="shared" si="6"/>
        <v>N</v>
      </c>
      <c r="X53" s="192">
        <f t="shared" si="25"/>
        <v>1</v>
      </c>
      <c r="Y53" s="192">
        <f t="shared" si="26"/>
        <v>4.4900000000000002E-2</v>
      </c>
      <c r="Z53" s="192">
        <f t="shared" si="27"/>
        <v>23.331499999999998</v>
      </c>
      <c r="AA53" s="192">
        <f t="shared" si="10"/>
        <v>23.2866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0141-13</v>
      </c>
      <c r="AE53" s="80" t="str">
        <f t="shared" si="12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53" s="77" t="str">
        <f t="shared" si="13"/>
        <v>"C:\Program Files (x86)\AstroGrep\AstroGrep.exe" /e /r /s /spath="%USERPROFILE%\AppData\Local\Temp\OnboardLogs" /stypes="app*4032*20170513*"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141-13 --locoid 4032 --swversion DE.1.0.9.0 --startMP 204:449 --initTime 2017-05-13T08:38:49 --startdatetime 2017-05-13T08:45:14 --delay 1 --endMP 204:233315 --enddatetime 2017-05-13T09:21:26 --enforcementcount 0 &gt;&gt;C:\Users\stu\Documents\GitHub\eaglep3-reporting\EC\2017-05-13-refined-times.txt</v>
      </c>
      <c r="AI53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{"issue":{"subject":"","project_id":79,"tracker_id":40,"status_id":1,"priority_id":2,"assigned_to_id":23,"start_date":"2017-05-13","description":"","custom_fields":[{"id":1,"name":"Subdivision","value":"EC"},{"id":4,"name":"Milepost","value":"23.3315"},{"id":17,"name":"Train ID","value":"141-13"},{"id":16,"name":"Locomotive ID","value":"4032"},{"id":130,"name":"Impact","value":""},{"id":150,"name":"Time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4032 --day 2017-05-13</v>
      </c>
      <c r="AN53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659</v>
      </c>
      <c r="B54" s="7">
        <v>4031</v>
      </c>
      <c r="C54" s="21" t="s">
        <v>206</v>
      </c>
      <c r="D54" s="21" t="s">
        <v>816</v>
      </c>
      <c r="E54" s="13">
        <v>42868.399918981479</v>
      </c>
      <c r="F54" s="13">
        <v>42868.403622685182</v>
      </c>
      <c r="G54" s="7">
        <v>1</v>
      </c>
      <c r="H54" s="21" t="s">
        <v>477</v>
      </c>
      <c r="I54" s="13">
        <v>42868.433310185188</v>
      </c>
      <c r="J54" s="7">
        <v>0</v>
      </c>
      <c r="K54" s="92" t="str">
        <f t="shared" si="0"/>
        <v>4031/4032</v>
      </c>
      <c r="L54" s="21" t="str">
        <f>VLOOKUP(A54,'Trips&amp;Operators'!$C$1:$G$99999,5,FALSE)</f>
        <v>BADERTSCHER DIANE</v>
      </c>
      <c r="M54" s="6">
        <f t="shared" si="1"/>
        <v>2.9687500005820766E-2</v>
      </c>
      <c r="N54" s="7">
        <f t="shared" si="23"/>
        <v>42.750000008381903</v>
      </c>
      <c r="O54" s="7"/>
      <c r="P54" s="7"/>
      <c r="Q54" s="22"/>
      <c r="R54" s="190"/>
      <c r="S54" s="196">
        <f t="shared" si="24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-13T08:35:53-0600',mode:absolute,to:'2017-05-13T11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4" s="192" t="str">
        <f t="shared" si="6"/>
        <v>N</v>
      </c>
      <c r="X54" s="192">
        <f t="shared" si="25"/>
        <v>1</v>
      </c>
      <c r="Y54" s="192">
        <f t="shared" si="26"/>
        <v>23.3004</v>
      </c>
      <c r="Z54" s="192">
        <f t="shared" si="27"/>
        <v>1.21E-2</v>
      </c>
      <c r="AA54" s="192">
        <f t="shared" si="10"/>
        <v>23.2883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0142-13</v>
      </c>
      <c r="AE54" s="80" t="str">
        <f t="shared" si="12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54" s="77" t="str">
        <f t="shared" si="13"/>
        <v>"C:\Program Files (x86)\AstroGrep\AstroGrep.exe" /e /r /s /spath="%USERPROFILE%\AppData\Local\Temp\OnboardLogs" /stypes="app*4031*20170513*"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142-13 --locoid 4031 --swversion DE.1.0.9.0 --startMP 204:233004 --initTime 2017-05-13T09:35:53 --startdatetime 2017-05-13T09:41:13 --delay 1 --endMP 204:121 --enddatetime 2017-05-13T10:23:58 --enforcementcount 0 &gt;&gt;C:\Users\stu\Documents\GitHub\eaglep3-reporting\EC\2017-05-13-refined-times.txt</v>
      </c>
      <c r="AI54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{"issue":{"subject":"","project_id":79,"tracker_id":40,"status_id":1,"priority_id":2,"assigned_to_id":23,"start_date":"2017-05-13","description":"","custom_fields":[{"id":1,"name":"Subdivision","value":"EC"},{"id":4,"name":"Milepost","value":"0.0121"},{"id":17,"name":"Train ID","value":"142-13"},{"id":16,"name":"Locomotive ID","value":"4031"},{"id":130,"name":"Impact","value":""},{"id":150,"name":"Time of Event (Mountain Time)","value":"10:23:58"},{"id":151,"name":"Denver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4031 --day 2017-05-13</v>
      </c>
      <c r="AN54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653</v>
      </c>
      <c r="B55" s="7">
        <v>4054</v>
      </c>
      <c r="C55" s="21" t="s">
        <v>206</v>
      </c>
      <c r="D55" s="21" t="s">
        <v>203</v>
      </c>
      <c r="E55" s="13">
        <v>42868.36923611111</v>
      </c>
      <c r="F55" s="13">
        <v>42868.375243055554</v>
      </c>
      <c r="G55" s="7">
        <v>1</v>
      </c>
      <c r="H55" s="21" t="s">
        <v>817</v>
      </c>
      <c r="I55" s="13">
        <v>42868.399513888886</v>
      </c>
      <c r="J55" s="7">
        <v>0</v>
      </c>
      <c r="K55" s="92" t="str">
        <f t="shared" si="0"/>
        <v>4053/4054</v>
      </c>
      <c r="L55" s="21" t="str">
        <f>VLOOKUP(A55,'Trips&amp;Operators'!$C$1:$G$99999,5,FALSE)</f>
        <v>GEBRETEKLE DAGNEW</v>
      </c>
      <c r="M55" s="6">
        <f t="shared" si="1"/>
        <v>2.4270833331684116E-2</v>
      </c>
      <c r="N55" s="7">
        <f t="shared" si="23"/>
        <v>34.949999997625127</v>
      </c>
      <c r="O55" s="7"/>
      <c r="P55" s="7"/>
      <c r="Q55" s="22"/>
      <c r="R55" s="190"/>
      <c r="S55" s="196">
        <f t="shared" si="24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-13T07:51:42-0600',mode:absolute,to:'2017-05-13T10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92" t="str">
        <f t="shared" si="6"/>
        <v>N</v>
      </c>
      <c r="X55" s="192">
        <f t="shared" si="25"/>
        <v>1</v>
      </c>
      <c r="Y55" s="192">
        <f t="shared" si="26"/>
        <v>4.5999999999999999E-2</v>
      </c>
      <c r="Z55" s="192">
        <f t="shared" si="27"/>
        <v>23.3339</v>
      </c>
      <c r="AA55" s="192">
        <f t="shared" si="10"/>
        <v>23.2879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0143-13</v>
      </c>
      <c r="AE55" s="80" t="str">
        <f t="shared" si="12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55" s="77" t="str">
        <f t="shared" si="13"/>
        <v>"C:\Program Files (x86)\AstroGrep\AstroGrep.exe" /e /r /s /spath="%USERPROFILE%\AppData\Local\Temp\OnboardLogs" /stypes="app*4054*20170513*"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143-13 --locoid 4054 --swversion DE.1.0.9.0 --startMP 204:460 --initTime 2017-05-13T08:51:42 --startdatetime 2017-05-13T09:00:21 --delay 1 --endMP 204:233339 --enddatetime 2017-05-13T09:35:18 --enforcementcount 0 &gt;&gt;C:\Users\stu\Documents\GitHub\eaglep3-reporting\EC\2017-05-13-refined-times.txt</v>
      </c>
      <c r="AI55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{"issue":{"subject":"","project_id":79,"tracker_id":40,"status_id":1,"priority_id":2,"assigned_to_id":23,"start_date":"2017-05-13","description":"","custom_fields":[{"id":1,"name":"Subdivision","value":"EC"},{"id":4,"name":"Milepost","value":"23.3339"},{"id":17,"name":"Train ID","value":"143-13"},{"id":16,"name":"Locomotive ID","value":"4054"},{"id":130,"name":"Impact","value":""},{"id":150,"name":"Time of Event (Mountain Time)","value":"09:35:18"},{"id":151,"name":"Denver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4054 --day 2017-05-13</v>
      </c>
      <c r="AN55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661</v>
      </c>
      <c r="B56" s="7">
        <v>4053</v>
      </c>
      <c r="C56" s="21" t="s">
        <v>206</v>
      </c>
      <c r="D56" s="21" t="s">
        <v>818</v>
      </c>
      <c r="E56" s="13">
        <v>42868.407893518517</v>
      </c>
      <c r="F56" s="13">
        <v>42868.414085648146</v>
      </c>
      <c r="G56" s="7">
        <v>1</v>
      </c>
      <c r="H56" s="21" t="s">
        <v>348</v>
      </c>
      <c r="I56" s="13">
        <v>42868.445937500001</v>
      </c>
      <c r="J56" s="7">
        <v>0</v>
      </c>
      <c r="K56" s="92" t="str">
        <f t="shared" si="0"/>
        <v>4053/4054</v>
      </c>
      <c r="L56" s="21" t="str">
        <f>VLOOKUP(A56,'Trips&amp;Operators'!$C$1:$G$99999,5,FALSE)</f>
        <v>GEBRETEKLE DAGNEW</v>
      </c>
      <c r="M56" s="6">
        <f t="shared" si="1"/>
        <v>3.1851851854298729E-2</v>
      </c>
      <c r="N56" s="7">
        <f t="shared" si="23"/>
        <v>45.86666667019017</v>
      </c>
      <c r="O56" s="7"/>
      <c r="P56" s="7"/>
      <c r="Q56" s="22"/>
      <c r="R56" s="190"/>
      <c r="S56" s="196">
        <f t="shared" si="24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-13T08:47:22-0600',mode:absolute,to:'2017-05-13T11:42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92" t="str">
        <f t="shared" si="6"/>
        <v>N</v>
      </c>
      <c r="X56" s="192">
        <f t="shared" si="25"/>
        <v>1</v>
      </c>
      <c r="Y56" s="192">
        <f t="shared" si="26"/>
        <v>23.300699999999999</v>
      </c>
      <c r="Z56" s="192">
        <f t="shared" si="27"/>
        <v>1.38E-2</v>
      </c>
      <c r="AA56" s="192">
        <f t="shared" si="10"/>
        <v>23.286899999999999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0144-13</v>
      </c>
      <c r="AE56" s="80" t="str">
        <f t="shared" si="12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56" s="77" t="str">
        <f t="shared" si="13"/>
        <v>"C:\Program Files (x86)\AstroGrep\AstroGrep.exe" /e /r /s /spath="%USERPROFILE%\AppData\Local\Temp\OnboardLogs" /stypes="app*4053*20170513*"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144-13 --locoid 4053 --swversion DE.1.0.9.0 --startMP 204:233007 --initTime 2017-05-13T09:47:22 --startdatetime 2017-05-13T09:56:17 --delay 1 --endMP 204:138 --enddatetime 2017-05-13T10:42:09 --enforcementcount 0 &gt;&gt;C:\Users\stu\Documents\GitHub\eaglep3-reporting\EC\2017-05-13-refined-times.txt</v>
      </c>
      <c r="AI56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{"issue":{"subject":"","project_id":79,"tracker_id":40,"status_id":1,"priority_id":2,"assigned_to_id":23,"start_date":"2017-05-13","description":"","custom_fields":[{"id":1,"name":"Subdivision","value":"EC"},{"id":4,"name":"Milepost","value":"0.0138"},{"id":17,"name":"Train ID","value":"144-13"},{"id":16,"name":"Locomotive ID","value":"4053"},{"id":130,"name":"Impact","value":""},{"id":150,"name":"Time of Event (Mountain Time)","value":"10:42:09"},{"id":151,"name":"Denver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4053 --day 2017-05-13</v>
      </c>
      <c r="AN56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16:42:09"},{"id":29,"name":"Sharepoint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549</v>
      </c>
      <c r="B57" s="7">
        <v>4028</v>
      </c>
      <c r="C57" s="21" t="s">
        <v>206</v>
      </c>
      <c r="D57" s="21" t="s">
        <v>354</v>
      </c>
      <c r="E57" s="13">
        <v>42868.382326388892</v>
      </c>
      <c r="F57" s="13">
        <v>42868.385891203703</v>
      </c>
      <c r="G57" s="7">
        <v>1</v>
      </c>
      <c r="H57" s="21" t="s">
        <v>819</v>
      </c>
      <c r="I57" s="13">
        <v>42868.410798611112</v>
      </c>
      <c r="J57" s="7">
        <v>0</v>
      </c>
      <c r="K57" s="92" t="str">
        <f t="shared" si="0"/>
        <v>4027/4028</v>
      </c>
      <c r="L57" s="21" t="str">
        <f>VLOOKUP(A57,'Trips&amp;Operators'!$C$1:$G$99999,5,FALSE)</f>
        <v>ROBINSON KADDIBA</v>
      </c>
      <c r="M57" s="6">
        <f t="shared" si="1"/>
        <v>2.4907407409045845E-2</v>
      </c>
      <c r="N57" s="7">
        <f t="shared" si="23"/>
        <v>35.866666669026017</v>
      </c>
      <c r="O57" s="7"/>
      <c r="P57" s="7"/>
      <c r="Q57" s="22"/>
      <c r="R57" s="190"/>
      <c r="S57" s="196">
        <f t="shared" si="24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-13T08:10:33-0600',mode:absolute,to:'2017-05-13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192" t="str">
        <f t="shared" si="6"/>
        <v>N</v>
      </c>
      <c r="X57" s="192">
        <f t="shared" si="25"/>
        <v>1</v>
      </c>
      <c r="Y57" s="192">
        <f t="shared" si="26"/>
        <v>4.58E-2</v>
      </c>
      <c r="Z57" s="192">
        <f t="shared" si="27"/>
        <v>23.333600000000001</v>
      </c>
      <c r="AA57" s="192">
        <f t="shared" si="10"/>
        <v>23.287800000000001</v>
      </c>
      <c r="AB57" s="57" t="str">
        <f>VLOOKUP(A57,Enforcements!$C$7:$K$13,8,0)</f>
        <v>Bulletin (2)</v>
      </c>
      <c r="AC57" s="53" t="str">
        <f>VLOOKUP(A57,Enforcements!$C$7:$E$13,3,0)</f>
        <v>GRADE CROSSING</v>
      </c>
      <c r="AD57" s="54" t="str">
        <f t="shared" si="11"/>
        <v>0145-13</v>
      </c>
      <c r="AE57" s="80" t="str">
        <f t="shared" si="12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57" s="77" t="str">
        <f t="shared" si="13"/>
        <v>"C:\Program Files (x86)\AstroGrep\AstroGrep.exe" /e /r /s /spath="%USERPROFILE%\AppData\Local\Temp\OnboardLogs" /stypes="app*4028*20170513*"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145-13 --locoid 4028 --swversion DE.1.0.9.0 --startMP 204:458 --initTime 2017-05-13T09:10:33 --startdatetime 2017-05-13T09:15:41 --delay 1 --endMP 204:233336 --enddatetime 2017-05-13T09:51:33 --enforcementcount 0 &gt;&gt;C:\Users\stu\Documents\GitHub\eaglep3-reporting\EC\2017-05-13-refined-times.txt</v>
      </c>
      <c r="AI57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{"issue":{"subject":"","project_id":79,"tracker_id":40,"status_id":1,"priority_id":2,"assigned_to_id":23,"start_date":"2017-05-13","description":"","custom_fields":[{"id":1,"name":"Subdivision","value":"EC"},{"id":4,"name":"Milepost","value":"23.3336"},{"id":17,"name":"Train ID","value":"145-13"},{"id":16,"name":"Locomotive ID","value":"4028"},{"id":130,"name":"Impact","value":""},{"id":150,"name":"Time of Event (Mountain Time)","value":"09:51:33"},{"id":151,"name":"Denver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4028 --day 2017-05-13</v>
      </c>
      <c r="AN57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664</v>
      </c>
      <c r="B58" s="7">
        <v>4027</v>
      </c>
      <c r="C58" s="21" t="s">
        <v>206</v>
      </c>
      <c r="D58" s="21" t="s">
        <v>820</v>
      </c>
      <c r="E58" s="13">
        <v>42868.417916666665</v>
      </c>
      <c r="F58" s="13">
        <v>42868.424490740741</v>
      </c>
      <c r="G58" s="7">
        <v>0</v>
      </c>
      <c r="H58" s="21" t="s">
        <v>513</v>
      </c>
      <c r="I58" s="13">
        <v>42868.454016203701</v>
      </c>
      <c r="J58" s="7">
        <v>0</v>
      </c>
      <c r="K58" s="92" t="str">
        <f t="shared" si="0"/>
        <v>4027/4028</v>
      </c>
      <c r="L58" s="21" t="str">
        <f>VLOOKUP(A58,'Trips&amp;Operators'!$C$1:$G$99999,5,FALSE)</f>
        <v>ROBINSON KADDIBA</v>
      </c>
      <c r="M58" s="6">
        <f t="shared" si="1"/>
        <v>2.9525462960009463E-2</v>
      </c>
      <c r="N58" s="7">
        <f t="shared" si="23"/>
        <v>42.516666662413627</v>
      </c>
      <c r="O58" s="7"/>
      <c r="P58" s="7"/>
      <c r="Q58" s="22"/>
      <c r="R58" s="190"/>
      <c r="S58" s="196">
        <f t="shared" si="24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-13T09:01:48-0600',mode:absolute,to:'2017-05-13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192" t="str">
        <f t="shared" si="6"/>
        <v>N</v>
      </c>
      <c r="X58" s="192">
        <f t="shared" si="25"/>
        <v>1</v>
      </c>
      <c r="Y58" s="192">
        <f t="shared" si="26"/>
        <v>23.302499999999998</v>
      </c>
      <c r="Z58" s="192">
        <f t="shared" si="27"/>
        <v>1.54E-2</v>
      </c>
      <c r="AA58" s="192">
        <f t="shared" si="10"/>
        <v>23.287099999999999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0146-13</v>
      </c>
      <c r="AE58" s="80" t="str">
        <f t="shared" si="12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58" s="77" t="str">
        <f t="shared" si="13"/>
        <v>"C:\Program Files (x86)\AstroGrep\AstroGrep.exe" /e /r /s /spath="%USERPROFILE%\AppData\Local\Temp\OnboardLogs" /stypes="app*4027*20170513*"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146-13 --locoid 4027 --swversion DE.1.0.9.0 --startMP 204:233025 --initTime 2017-05-13T10:01:48 --startdatetime 2017-05-13T10:11:16 --delay 0 --endMP 204:154 --enddatetime 2017-05-13T10:53:47 --enforcementcount 0 &gt;&gt;C:\Users\stu\Documents\GitHub\eaglep3-reporting\EC\2017-05-13-refined-times.txt</v>
      </c>
      <c r="AI58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{"issue":{"subject":"","project_id":79,"tracker_id":40,"status_id":1,"priority_id":2,"assigned_to_id":23,"start_date":"2017-05-13","description":"","custom_fields":[{"id":1,"name":"Subdivision","value":"EC"},{"id":4,"name":"Milepost","value":"0.0154"},{"id":17,"name":"Train ID","value":"146-13"},{"id":16,"name":"Locomotive ID","value":"4027"},{"id":130,"name":"Impact","value":""},{"id":150,"name":"Time of Event (Mountain Time)","value":"10:53:47"},{"id":151,"name":"Denver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4027 --day 2017-05-13</v>
      </c>
      <c r="AN58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658</v>
      </c>
      <c r="B59" s="7">
        <v>4008</v>
      </c>
      <c r="C59" s="21" t="s">
        <v>206</v>
      </c>
      <c r="D59" s="21" t="s">
        <v>360</v>
      </c>
      <c r="E59" s="13">
        <v>42868.391064814816</v>
      </c>
      <c r="F59" s="13">
        <v>42868.39607638889</v>
      </c>
      <c r="G59" s="7">
        <v>0</v>
      </c>
      <c r="H59" s="21" t="s">
        <v>821</v>
      </c>
      <c r="I59" s="13">
        <v>42868.42114583333</v>
      </c>
      <c r="J59" s="7">
        <v>0</v>
      </c>
      <c r="K59" s="92" t="str">
        <f t="shared" si="0"/>
        <v>4007/4008</v>
      </c>
      <c r="L59" s="21" t="str">
        <f>VLOOKUP(A59,'Trips&amp;Operators'!$C$1:$G$99999,5,FALSE)</f>
        <v>MAELZER KURT</v>
      </c>
      <c r="M59" s="6">
        <f t="shared" si="1"/>
        <v>2.5069444440305233E-2</v>
      </c>
      <c r="N59" s="7">
        <f t="shared" si="23"/>
        <v>36.099999994039536</v>
      </c>
      <c r="O59" s="7"/>
      <c r="P59" s="7"/>
      <c r="Q59" s="22"/>
      <c r="R59" s="190"/>
      <c r="S59" s="196">
        <f t="shared" si="24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-13T08:23:08-0600',mode:absolute,to:'2017-05-13T11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192" t="str">
        <f t="shared" si="6"/>
        <v>N</v>
      </c>
      <c r="X59" s="192">
        <f t="shared" si="25"/>
        <v>1</v>
      </c>
      <c r="Y59" s="192">
        <f t="shared" si="26"/>
        <v>4.6600000000000003E-2</v>
      </c>
      <c r="Z59" s="192">
        <f t="shared" si="27"/>
        <v>23.334299999999999</v>
      </c>
      <c r="AA59" s="192">
        <f t="shared" si="10"/>
        <v>23.287699999999997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0147-13</v>
      </c>
      <c r="AE59" s="80" t="str">
        <f t="shared" si="12"/>
        <v>aws s3 cp s3://rtdc.mdm.uploadarchive.raw/RTDC4008/ "%USERPROFILE%\AppData\Local\Temp\OnboardLogs"\RTDC4008\2017-05-13 --exclude "*" --recursive --include "*20170513*" &amp; "%USERPROFILE%\Documents\GitHub\mrs-test-scripts\Headless Mode &amp; Sideloading\WalkAndUnGZ.bat" "%USERPROFILE%\AppData\Local\Temp\OnboardLogs"\RTDC4008\2017-05-13 &amp; aws s3 cp s3://rtdc.mdm.uploadarchive.raw/RTDC4008/ "%USERPROFILE%\AppData\Local\Temp\OnboardLogs"\RTDC4008\2017-05-14 --exclude "*" --recursive --include "*20170514*" &amp; "%USERPROFILE%\Documents\GitHub\mrs-test-scripts\Headless Mode &amp; Sideloading\WalkAndUnGZ.bat" "%USERPROFILE%\AppData\Local\Temp\OnboardLogs"\RTDC4008\2017-05-14</v>
      </c>
      <c r="AF59" s="77" t="str">
        <f t="shared" si="13"/>
        <v>"C:\Program Files (x86)\AstroGrep\AstroGrep.exe" /e /r /s /spath="%USERPROFILE%\AppData\Local\Temp\OnboardLogs" /stypes="app*4008*20170513*"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147-13 --locoid 4008 --swversion DE.1.0.9.0 --startMP 204:466 --initTime 2017-05-13T09:23:08 --startdatetime 2017-05-13T09:30:21 --delay 0 --endMP 204:233343 --enddatetime 2017-05-13T10:06:27 --enforcementcount 0 &gt;&gt;C:\Users\stu\Documents\GitHub\eaglep3-reporting\EC\2017-05-13-refined-times.txt</v>
      </c>
      <c r="AI59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{"issue":{"subject":"","project_id":79,"tracker_id":40,"status_id":1,"priority_id":2,"assigned_to_id":23,"start_date":"2017-05-13","description":"","custom_fields":[{"id":1,"name":"Subdivision","value":"EC"},{"id":4,"name":"Milepost","value":"23.3343"},{"id":17,"name":"Train ID","value":"147-13"},{"id":16,"name":"Locomotive ID","value":"4008"},{"id":130,"name":"Impact","value":""},{"id":150,"name":"Time of Event (Mountain Time)","value":"10:06:27"},{"id":151,"name":"Denver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4008 --day 2017-05-13</v>
      </c>
      <c r="AN59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666</v>
      </c>
      <c r="B60" s="7">
        <v>4007</v>
      </c>
      <c r="C60" s="21" t="s">
        <v>206</v>
      </c>
      <c r="D60" s="21" t="s">
        <v>822</v>
      </c>
      <c r="E60" s="13">
        <v>42868.427453703705</v>
      </c>
      <c r="F60" s="13">
        <v>42868.434942129628</v>
      </c>
      <c r="G60" s="7">
        <v>0</v>
      </c>
      <c r="H60" s="21" t="s">
        <v>197</v>
      </c>
      <c r="I60" s="13">
        <v>42868.462395833332</v>
      </c>
      <c r="J60" s="7">
        <v>0</v>
      </c>
      <c r="K60" s="92" t="str">
        <f t="shared" si="0"/>
        <v>4007/4008</v>
      </c>
      <c r="L60" s="21" t="str">
        <f>VLOOKUP(A60,'Trips&amp;Operators'!$C$1:$G$99999,5,FALSE)</f>
        <v>MAELZER KURT</v>
      </c>
      <c r="M60" s="6">
        <f t="shared" si="1"/>
        <v>2.7453703703940846E-2</v>
      </c>
      <c r="N60" s="7">
        <f t="shared" si="23"/>
        <v>39.533333333674818</v>
      </c>
      <c r="O60" s="7"/>
      <c r="P60" s="7"/>
      <c r="Q60" s="22"/>
      <c r="R60" s="190"/>
      <c r="S60" s="196">
        <f t="shared" si="24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-13T09:15:32-0600',mode:absolute,to:'2017-05-13T12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0" s="192" t="str">
        <f t="shared" si="6"/>
        <v>N</v>
      </c>
      <c r="X60" s="192">
        <f t="shared" si="25"/>
        <v>1</v>
      </c>
      <c r="Y60" s="192">
        <f t="shared" si="26"/>
        <v>23.302099999999999</v>
      </c>
      <c r="Z60" s="192">
        <f t="shared" si="27"/>
        <v>1.52E-2</v>
      </c>
      <c r="AA60" s="192">
        <f t="shared" si="10"/>
        <v>23.286899999999999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0148-13</v>
      </c>
      <c r="AE60" s="80" t="str">
        <f t="shared" si="12"/>
        <v>aws s3 cp s3://rtdc.mdm.uploadarchive.raw/RTDC4007/ "%USERPROFILE%\AppData\Local\Temp\OnboardLogs"\RTDC4007\2017-05-13 --exclude "*" --recursive --include "*20170513*" &amp; "%USERPROFILE%\Documents\GitHub\mrs-test-scripts\Headless Mode &amp; Sideloading\WalkAndUnGZ.bat" "%USERPROFILE%\AppData\Local\Temp\OnboardLogs"\RTDC4007\2017-05-13 &amp; aws s3 cp s3://rtdc.mdm.uploadarchive.raw/RTDC4007/ "%USERPROFILE%\AppData\Local\Temp\OnboardLogs"\RTDC4007\2017-05-14 --exclude "*" --recursive --include "*20170514*" &amp; "%USERPROFILE%\Documents\GitHub\mrs-test-scripts\Headless Mode &amp; Sideloading\WalkAndUnGZ.bat" "%USERPROFILE%\AppData\Local\Temp\OnboardLogs"\RTDC4007\2017-05-14</v>
      </c>
      <c r="AF60" s="77" t="str">
        <f t="shared" si="13"/>
        <v>"C:\Program Files (x86)\AstroGrep\AstroGrep.exe" /e /r /s /spath="%USERPROFILE%\AppData\Local\Temp\OnboardLogs" /stypes="app*4007*20170513*"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148-13 --locoid 4007 --swversion DE.1.0.9.0 --startMP 204:233021 --initTime 2017-05-13T10:15:32 --startdatetime 2017-05-13T10:26:19 --delay 0 --endMP 204:152 --enddatetime 2017-05-13T11:05:51 --enforcementcount 0 &gt;&gt;C:\Users\stu\Documents\GitHub\eaglep3-reporting\EC\2017-05-13-refined-times.txt</v>
      </c>
      <c r="AI60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{"issue":{"subject":"","project_id":79,"tracker_id":40,"status_id":1,"priority_id":2,"assigned_to_id":23,"start_date":"2017-05-13","description":"","custom_fields":[{"id":1,"name":"Subdivision","value":"EC"},{"id":4,"name":"Milepost","value":"0.0152"},{"id":17,"name":"Train ID","value":"148-13"},{"id":16,"name":"Locomotive ID","value":"4007"},{"id":130,"name":"Impact","value":""},{"id":150,"name":"Time of Event (Mountain Time)","value":"11:05:51"},{"id":151,"name":"Denver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4007 --day 2017-05-13</v>
      </c>
      <c r="AN60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550</v>
      </c>
      <c r="B61" s="7">
        <v>4014</v>
      </c>
      <c r="C61" s="21" t="s">
        <v>206</v>
      </c>
      <c r="D61" s="21" t="s">
        <v>450</v>
      </c>
      <c r="E61" s="13">
        <v>42868.40215277778</v>
      </c>
      <c r="F61" s="13">
        <v>42868.406493055554</v>
      </c>
      <c r="G61" s="7">
        <v>1</v>
      </c>
      <c r="H61" s="21" t="s">
        <v>823</v>
      </c>
      <c r="I61" s="13">
        <v>42868.434155092589</v>
      </c>
      <c r="J61" s="7">
        <v>0</v>
      </c>
      <c r="K61" s="92" t="str">
        <f t="shared" si="0"/>
        <v>4013/4014</v>
      </c>
      <c r="L61" s="21" t="str">
        <f>VLOOKUP(A61,'Trips&amp;Operators'!$C$1:$G$99999,5,FALSE)</f>
        <v>DAVIS WENDY</v>
      </c>
      <c r="M61" s="6">
        <f t="shared" si="1"/>
        <v>2.7662037035042886E-2</v>
      </c>
      <c r="N61" s="7">
        <f t="shared" si="23"/>
        <v>39.833333330461755</v>
      </c>
      <c r="O61" s="7"/>
      <c r="P61" s="7"/>
      <c r="Q61" s="22"/>
      <c r="R61" s="190"/>
      <c r="S61" s="196">
        <f t="shared" si="24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-13T08:39:06-0600',mode:absolute,to:'2017-05-13T11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1" s="192" t="str">
        <f t="shared" si="6"/>
        <v>N</v>
      </c>
      <c r="X61" s="192">
        <f t="shared" si="25"/>
        <v>1</v>
      </c>
      <c r="Y61" s="192">
        <f t="shared" si="26"/>
        <v>4.7100000000000003E-2</v>
      </c>
      <c r="Z61" s="192">
        <f t="shared" si="27"/>
        <v>23.3308</v>
      </c>
      <c r="AA61" s="192">
        <f t="shared" si="10"/>
        <v>23.2837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0149-13</v>
      </c>
      <c r="AE61" s="80" t="str">
        <f t="shared" si="12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61" s="77" t="str">
        <f t="shared" si="13"/>
        <v>"C:\Program Files (x86)\AstroGrep\AstroGrep.exe" /e /r /s /spath="%USERPROFILE%\AppData\Local\Temp\OnboardLogs" /stypes="app*4014*20170513*"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149-13 --locoid 4014 --swversion DE.1.0.9.0 --startMP 204:471 --initTime 2017-05-13T09:39:06 --startdatetime 2017-05-13T09:45:21 --delay 1 --endMP 204:233308 --enddatetime 2017-05-13T10:25:11 --enforcementcount 0 &gt;&gt;C:\Users\stu\Documents\GitHub\eaglep3-reporting\EC\2017-05-13-refined-times.txt</v>
      </c>
      <c r="AI61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{"issue":{"subject":"","project_id":79,"tracker_id":40,"status_id":1,"priority_id":2,"assigned_to_id":23,"start_date":"2017-05-13","description":"","custom_fields":[{"id":1,"name":"Subdivision","value":"EC"},{"id":4,"name":"Milepost","value":"23.3308"},{"id":17,"name":"Train ID","value":"149-13"},{"id":16,"name":"Locomotive ID","value":"4014"},{"id":130,"name":"Impact","value":""},{"id":150,"name":"Time of Event (Mountain Time)","value":"10:25:11"},{"id":151,"name":"Denver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4014 --day 2017-05-13</v>
      </c>
      <c r="AN61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670</v>
      </c>
      <c r="B62" s="7">
        <v>4013</v>
      </c>
      <c r="C62" s="21" t="s">
        <v>206</v>
      </c>
      <c r="D62" s="21" t="s">
        <v>447</v>
      </c>
      <c r="E62" s="13">
        <v>42868.442210648151</v>
      </c>
      <c r="F62" s="13">
        <v>42868.445277777777</v>
      </c>
      <c r="G62" s="7">
        <v>1</v>
      </c>
      <c r="H62" s="21" t="s">
        <v>197</v>
      </c>
      <c r="I62" s="13">
        <v>42868.47320601852</v>
      </c>
      <c r="J62" s="7">
        <v>0</v>
      </c>
      <c r="K62" s="92" t="str">
        <f t="shared" si="0"/>
        <v>4013/4014</v>
      </c>
      <c r="L62" s="21" t="str">
        <f>VLOOKUP(A62,'Trips&amp;Operators'!$C$1:$G$99999,5,FALSE)</f>
        <v>DAVIS WENDY</v>
      </c>
      <c r="M62" s="6">
        <f t="shared" si="1"/>
        <v>2.792824074276723E-2</v>
      </c>
      <c r="N62" s="7">
        <f t="shared" si="23"/>
        <v>40.216666669584811</v>
      </c>
      <c r="O62" s="7"/>
      <c r="P62" s="7"/>
      <c r="Q62" s="22"/>
      <c r="R62" s="190"/>
      <c r="S62" s="196">
        <f t="shared" si="24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-13T09:36:47-0600',mode:absolute,to:'2017-05-13T12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2" s="192" t="str">
        <f t="shared" si="6"/>
        <v>N</v>
      </c>
      <c r="X62" s="192">
        <f t="shared" si="25"/>
        <v>1</v>
      </c>
      <c r="Y62" s="192">
        <f t="shared" si="26"/>
        <v>23.299600000000002</v>
      </c>
      <c r="Z62" s="192">
        <f t="shared" si="27"/>
        <v>1.52E-2</v>
      </c>
      <c r="AA62" s="192">
        <f t="shared" si="10"/>
        <v>23.284400000000002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0150-13</v>
      </c>
      <c r="AE62" s="80" t="str">
        <f t="shared" si="12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62" s="77" t="str">
        <f t="shared" si="13"/>
        <v>"C:\Program Files (x86)\AstroGrep\AstroGrep.exe" /e /r /s /spath="%USERPROFILE%\AppData\Local\Temp\OnboardLogs" /stypes="app*4013*20170513*"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150-13 --locoid 4013 --swversion DE.1.0.9.0 --startMP 204:232996 --initTime 2017-05-13T10:36:47 --startdatetime 2017-05-13T10:41:12 --delay 1 --endMP 204:152 --enddatetime 2017-05-13T11:21:25 --enforcementcount 0 &gt;&gt;C:\Users\stu\Documents\GitHub\eaglep3-reporting\EC\2017-05-13-refined-times.txt</v>
      </c>
      <c r="AI62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{"issue":{"subject":"","project_id":79,"tracker_id":40,"status_id":1,"priority_id":2,"assigned_to_id":23,"start_date":"2017-05-13","description":"","custom_fields":[{"id":1,"name":"Subdivision","value":"EC"},{"id":4,"name":"Milepost","value":"0.0152"},{"id":17,"name":"Train ID","value":"150-13"},{"id":16,"name":"Locomotive ID","value":"4013"},{"id":130,"name":"Impact","value":""},{"id":150,"name":"Time of Event (Mountain Time)","value":"11:21:25"},{"id":151,"name":"Denver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4013 --day 2017-05-13</v>
      </c>
      <c r="AN62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662</v>
      </c>
      <c r="B63" s="7">
        <v>4002</v>
      </c>
      <c r="C63" s="21" t="s">
        <v>206</v>
      </c>
      <c r="D63" s="21" t="s">
        <v>347</v>
      </c>
      <c r="E63" s="13">
        <v>42868.40966435185</v>
      </c>
      <c r="F63" s="13">
        <v>42868.416967592595</v>
      </c>
      <c r="G63" s="7">
        <v>1</v>
      </c>
      <c r="H63" s="21" t="s">
        <v>824</v>
      </c>
      <c r="I63" s="13">
        <v>42868.44189814815</v>
      </c>
      <c r="J63" s="7">
        <v>0</v>
      </c>
      <c r="K63" s="92" t="str">
        <f t="shared" si="0"/>
        <v>4001/4002</v>
      </c>
      <c r="L63" s="21" t="str">
        <f>VLOOKUP(A63,'Trips&amp;Operators'!$C$1:$G$99999,5,FALSE)</f>
        <v>SANTIZO D. EDY</v>
      </c>
      <c r="M63" s="6">
        <f t="shared" si="1"/>
        <v>2.4930555555329192E-2</v>
      </c>
      <c r="N63" s="7">
        <f t="shared" si="23"/>
        <v>35.899999999674037</v>
      </c>
      <c r="O63" s="7"/>
      <c r="P63" s="7"/>
      <c r="Q63" s="22"/>
      <c r="R63" s="190"/>
      <c r="S63" s="196">
        <f t="shared" si="24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-13T08:49:55-0600',mode:absolute,to:'2017-05-13T11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192" t="str">
        <f t="shared" si="6"/>
        <v>N</v>
      </c>
      <c r="X63" s="192">
        <f t="shared" si="25"/>
        <v>1</v>
      </c>
      <c r="Y63" s="192">
        <f t="shared" si="26"/>
        <v>4.4900000000000002E-2</v>
      </c>
      <c r="Z63" s="192">
        <f t="shared" si="27"/>
        <v>23.328199999999999</v>
      </c>
      <c r="AA63" s="192">
        <f t="shared" si="10"/>
        <v>23.283300000000001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0151-13</v>
      </c>
      <c r="AE63" s="80" t="str">
        <f t="shared" si="12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63" s="77" t="str">
        <f t="shared" si="13"/>
        <v>"C:\Program Files (x86)\AstroGrep\AstroGrep.exe" /e /r /s /spath="%USERPROFILE%\AppData\Local\Temp\OnboardLogs" /stypes="app*4002*20170513*"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151-13 --locoid 4002 --swversion DE.1.0.9.0 --startMP 204:449 --initTime 2017-05-13T09:49:55 --startdatetime 2017-05-13T10:00:26 --delay 1 --endMP 204:233282 --enddatetime 2017-05-13T10:36:20 --enforcementcount 0 &gt;&gt;C:\Users\stu\Documents\GitHub\eaglep3-reporting\EC\2017-05-13-refined-times.txt</v>
      </c>
      <c r="AI63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{"issue":{"subject":"","project_id":79,"tracker_id":40,"status_id":1,"priority_id":2,"assigned_to_id":23,"start_date":"2017-05-13","description":"","custom_fields":[{"id":1,"name":"Subdivision","value":"EC"},{"id":4,"name":"Milepost","value":"23.3282"},{"id":17,"name":"Train ID","value":"151-13"},{"id":16,"name":"Locomotive ID","value":"4002"},{"id":130,"name":"Impact","value":""},{"id":150,"name":"Time of Event (Mountain Time)","value":"10:36:20"},{"id":151,"name":"Denver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4002 --day 2017-05-13</v>
      </c>
      <c r="AN63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671</v>
      </c>
      <c r="B64" s="7">
        <v>4001</v>
      </c>
      <c r="C64" s="21" t="s">
        <v>206</v>
      </c>
      <c r="D64" s="21" t="s">
        <v>427</v>
      </c>
      <c r="E64" s="13">
        <v>42868.442754629628</v>
      </c>
      <c r="F64" s="13">
        <v>42868.455787037034</v>
      </c>
      <c r="G64" s="7">
        <v>1</v>
      </c>
      <c r="H64" s="21" t="s">
        <v>197</v>
      </c>
      <c r="I64" s="13">
        <v>42868.483113425929</v>
      </c>
      <c r="J64" s="7">
        <v>0</v>
      </c>
      <c r="K64" s="92" t="str">
        <f t="shared" si="0"/>
        <v>4001/4002</v>
      </c>
      <c r="L64" s="21" t="str">
        <f>VLOOKUP(A64,'Trips&amp;Operators'!$C$1:$G$99999,5,FALSE)</f>
        <v>SANTIZO D. EDY</v>
      </c>
      <c r="M64" s="6">
        <f t="shared" si="1"/>
        <v>2.7326388895744458E-2</v>
      </c>
      <c r="N64" s="7">
        <f t="shared" si="23"/>
        <v>39.350000009872019</v>
      </c>
      <c r="O64" s="7"/>
      <c r="P64" s="7"/>
      <c r="Q64" s="22"/>
      <c r="R64" s="190"/>
      <c r="S64" s="196">
        <f t="shared" si="24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-13T09:37:34-0600',mode:absolute,to:'2017-05-13T12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192" t="str">
        <f t="shared" si="6"/>
        <v>N</v>
      </c>
      <c r="X64" s="192">
        <f t="shared" si="25"/>
        <v>1</v>
      </c>
      <c r="Y64" s="192">
        <f t="shared" si="26"/>
        <v>23.297799999999999</v>
      </c>
      <c r="Z64" s="192">
        <f t="shared" si="27"/>
        <v>1.52E-2</v>
      </c>
      <c r="AA64" s="192">
        <f t="shared" si="10"/>
        <v>23.282599999999999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0152-13</v>
      </c>
      <c r="AE64" s="80" t="str">
        <f t="shared" si="12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64" s="77" t="str">
        <f t="shared" si="13"/>
        <v>"C:\Program Files (x86)\AstroGrep\AstroGrep.exe" /e /r /s /spath="%USERPROFILE%\AppData\Local\Temp\OnboardLogs" /stypes="app*4001*20170513*"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152-13 --locoid 4001 --swversion DE.1.0.9.0 --startMP 204:232978 --initTime 2017-05-13T10:37:34 --startdatetime 2017-05-13T10:56:20 --delay 1 --endMP 204:152 --enddatetime 2017-05-13T11:35:41 --enforcementcount 0 &gt;&gt;C:\Users\stu\Documents\GitHub\eaglep3-reporting\EC\2017-05-13-refined-times.txt</v>
      </c>
      <c r="AI64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{"issue":{"subject":"","project_id":79,"tracker_id":40,"status_id":1,"priority_id":2,"assigned_to_id":23,"start_date":"2017-05-13","description":"","custom_fields":[{"id":1,"name":"Subdivision","value":"EC"},{"id":4,"name":"Milepost","value":"0.0152"},{"id":17,"name":"Train ID","value":"152-13"},{"id":16,"name":"Locomotive ID","value":"4001"},{"id":130,"name":"Impact","value":""},{"id":150,"name":"Time of Event (Mountain Time)","value":"11:35:41"},{"id":151,"name":"Denver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4001 --day 2017-05-13</v>
      </c>
      <c r="AN64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665</v>
      </c>
      <c r="B65" s="7">
        <v>4042</v>
      </c>
      <c r="C65" s="21" t="s">
        <v>206</v>
      </c>
      <c r="D65" s="21" t="s">
        <v>825</v>
      </c>
      <c r="E65" s="13">
        <v>42868.423125000001</v>
      </c>
      <c r="F65" s="13">
        <v>42868.427245370367</v>
      </c>
      <c r="G65" s="7">
        <v>2</v>
      </c>
      <c r="H65" s="21" t="s">
        <v>826</v>
      </c>
      <c r="I65" s="13">
        <v>42868.451979166668</v>
      </c>
      <c r="J65" s="7">
        <v>0</v>
      </c>
      <c r="K65" s="92" t="str">
        <f t="shared" si="0"/>
        <v>4041/4042</v>
      </c>
      <c r="L65" s="21" t="str">
        <f>VLOOKUP(A65,'Trips&amp;Operators'!$C$1:$G$99999,5,FALSE)</f>
        <v>DELGADO DIANAH</v>
      </c>
      <c r="M65" s="6">
        <f t="shared" si="1"/>
        <v>2.4733796301006805E-2</v>
      </c>
      <c r="N65" s="7">
        <f t="shared" si="23"/>
        <v>35.616666673449799</v>
      </c>
      <c r="O65" s="7"/>
      <c r="P65" s="7"/>
      <c r="Q65" s="22"/>
      <c r="R65" s="190"/>
      <c r="S65" s="196">
        <f t="shared" si="24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-13T09:09:18-0600',mode:absolute,to:'2017-05-13T11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92" t="str">
        <f t="shared" si="6"/>
        <v>N</v>
      </c>
      <c r="X65" s="192">
        <f t="shared" si="25"/>
        <v>1</v>
      </c>
      <c r="Y65" s="192">
        <f t="shared" si="26"/>
        <v>4.8599999999999997E-2</v>
      </c>
      <c r="Z65" s="192">
        <f t="shared" si="27"/>
        <v>23.3414</v>
      </c>
      <c r="AA65" s="192">
        <f t="shared" si="10"/>
        <v>23.2928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0153-13</v>
      </c>
      <c r="AE65" s="80" t="str">
        <f t="shared" si="12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65" s="77" t="str">
        <f t="shared" si="13"/>
        <v>"C:\Program Files (x86)\AstroGrep\AstroGrep.exe" /e /r /s /spath="%USERPROFILE%\AppData\Local\Temp\OnboardLogs" /stypes="app*4042*20170513*"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153-13 --locoid 4042 --swversion DE.1.0.9.0 --startMP 204:486 --initTime 2017-05-13T10:09:18 --startdatetime 2017-05-13T10:15:14 --delay 2 --endMP 204:233414 --enddatetime 2017-05-13T10:50:51 --enforcementcount 0 &gt;&gt;C:\Users\stu\Documents\GitHub\eaglep3-reporting\EC\2017-05-13-refined-times.txt</v>
      </c>
      <c r="AI65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{"issue":{"subject":"","project_id":79,"tracker_id":40,"status_id":1,"priority_id":2,"assigned_to_id":23,"start_date":"2017-05-13","description":"","custom_fields":[{"id":1,"name":"Subdivision","value":"EC"},{"id":4,"name":"Milepost","value":"23.3414"},{"id":17,"name":"Train ID","value":"153-13"},{"id":16,"name":"Locomotive ID","value":"4042"},{"id":130,"name":"Impact","value":""},{"id":150,"name":"Time of Event (Mountain Time)","value":"10:50:51"},{"id":151,"name":"Denver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4042 --day 2017-05-13</v>
      </c>
      <c r="AN65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676</v>
      </c>
      <c r="B66" s="7">
        <v>4041</v>
      </c>
      <c r="C66" s="21" t="s">
        <v>206</v>
      </c>
      <c r="D66" s="21" t="s">
        <v>827</v>
      </c>
      <c r="E66" s="13">
        <v>42868.460243055553</v>
      </c>
      <c r="F66" s="13">
        <v>42868.466145833336</v>
      </c>
      <c r="G66" s="7">
        <v>1</v>
      </c>
      <c r="H66" s="21" t="s">
        <v>370</v>
      </c>
      <c r="I66" s="13">
        <v>42868.493761574071</v>
      </c>
      <c r="J66" s="7">
        <v>0</v>
      </c>
      <c r="K66" s="92" t="str">
        <f t="shared" si="0"/>
        <v>4041/4042</v>
      </c>
      <c r="L66" s="21" t="str">
        <f>VLOOKUP(A66,'Trips&amp;Operators'!$C$1:$G$99999,5,FALSE)</f>
        <v>DELGADO DIANAH</v>
      </c>
      <c r="M66" s="6">
        <f t="shared" si="1"/>
        <v>2.7615740735200234E-2</v>
      </c>
      <c r="N66" s="7">
        <f t="shared" si="23"/>
        <v>39.766666658688337</v>
      </c>
      <c r="O66" s="7"/>
      <c r="P66" s="7"/>
      <c r="Q66" s="22"/>
      <c r="R66" s="190"/>
      <c r="S66" s="196">
        <f t="shared" si="24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-13T10:02:45-0600',mode:absolute,to:'2017-05-13T12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92" t="str">
        <f t="shared" si="6"/>
        <v>N</v>
      </c>
      <c r="X66" s="192">
        <f t="shared" si="25"/>
        <v>1</v>
      </c>
      <c r="Y66" s="192">
        <f t="shared" si="26"/>
        <v>23.307600000000001</v>
      </c>
      <c r="Z66" s="192">
        <f t="shared" si="27"/>
        <v>1.3899999999999999E-2</v>
      </c>
      <c r="AA66" s="192">
        <f t="shared" si="10"/>
        <v>23.293700000000001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0154-13</v>
      </c>
      <c r="AE66" s="80" t="str">
        <f t="shared" si="12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66" s="77" t="str">
        <f t="shared" si="13"/>
        <v>"C:\Program Files (x86)\AstroGrep\AstroGrep.exe" /e /r /s /spath="%USERPROFILE%\AppData\Local\Temp\OnboardLogs" /stypes="app*4041*20170513*"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154-13 --locoid 4041 --swversion DE.1.0.9.0 --startMP 204:233076 --initTime 2017-05-13T11:02:45 --startdatetime 2017-05-13T11:11:15 --delay 1 --endMP 204:139 --enddatetime 2017-05-13T11:51:01 --enforcementcount 0 &gt;&gt;C:\Users\stu\Documents\GitHub\eaglep3-reporting\EC\2017-05-13-refined-times.txt</v>
      </c>
      <c r="AI66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{"issue":{"subject":"","project_id":79,"tracker_id":40,"status_id":1,"priority_id":2,"assigned_to_id":23,"start_date":"2017-05-13","description":"","custom_fields":[{"id":1,"name":"Subdivision","value":"EC"},{"id":4,"name":"Milepost","value":"0.0139"},{"id":17,"name":"Train ID","value":"154-13"},{"id":16,"name":"Locomotive ID","value":"4041"},{"id":130,"name":"Impact","value":""},{"id":150,"name":"Time of Event (Mountain Time)","value":"11:51:01"},{"id":151,"name":"Denver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4041 --day 2017-05-13</v>
      </c>
      <c r="AN66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667</v>
      </c>
      <c r="B67" s="7">
        <v>4032</v>
      </c>
      <c r="C67" s="21" t="s">
        <v>206</v>
      </c>
      <c r="D67" s="21" t="s">
        <v>828</v>
      </c>
      <c r="E67" s="13">
        <v>42868.442627314813</v>
      </c>
      <c r="F67" s="13">
        <v>42868.443379629629</v>
      </c>
      <c r="G67" s="7">
        <v>1</v>
      </c>
      <c r="H67" s="21" t="s">
        <v>829</v>
      </c>
      <c r="I67" s="13">
        <v>42868.469513888886</v>
      </c>
      <c r="J67" s="7">
        <v>0</v>
      </c>
      <c r="K67" s="92" t="str">
        <f t="shared" si="0"/>
        <v>4031/4032</v>
      </c>
      <c r="L67" s="21" t="str">
        <f>VLOOKUP(A67,'Trips&amp;Operators'!$C$1:$G$99999,5,FALSE)</f>
        <v>ROMERO CHAD</v>
      </c>
      <c r="M67" s="6">
        <f t="shared" si="1"/>
        <v>2.6134259256650694E-2</v>
      </c>
      <c r="N67" s="7"/>
      <c r="O67" s="7"/>
      <c r="P67" s="7">
        <f>24*60*SUM($M67:$M67)</f>
        <v>37.633333329576999</v>
      </c>
      <c r="Q67" s="22"/>
      <c r="R67" s="190" t="s">
        <v>539</v>
      </c>
      <c r="S67" s="196">
        <f t="shared" si="24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-13T09:37:23-0600',mode:absolute,to:'2017-05-13T12:16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7" s="192" t="str">
        <f t="shared" si="6"/>
        <v>Y</v>
      </c>
      <c r="X67" s="192">
        <f t="shared" si="25"/>
        <v>1</v>
      </c>
      <c r="Y67" s="192">
        <f t="shared" si="26"/>
        <v>1.9118999999999999</v>
      </c>
      <c r="Z67" s="192">
        <f t="shared" si="27"/>
        <v>23.335699999999999</v>
      </c>
      <c r="AA67" s="192">
        <f t="shared" si="10"/>
        <v>21.4238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0155-13</v>
      </c>
      <c r="AE67" s="80" t="str">
        <f t="shared" si="12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67" s="77" t="str">
        <f t="shared" si="13"/>
        <v>"C:\Program Files (x86)\AstroGrep\AstroGrep.exe" /e /r /s /spath="%USERPROFILE%\AppData\Local\Temp\OnboardLogs" /stypes="app*4032*20170513*"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155-13 --locoid 4032 --swversion DE.1.0.9.0 --startMP 204:19119 --initTime 2017-05-13T10:37:23 --startdatetime 2017-05-13T10:38:28 --delay 1 --endMP 204:233357 --enddatetime 2017-05-13T11:16:06 --enforcementcount 0 &gt;&gt;C:\Users\stu\Documents\GitHub\eaglep3-reporting\EC\2017-05-13-refined-times.txt</v>
      </c>
      <c r="AI67" s="99" t="str">
        <f t="shared" si="20"/>
        <v>echo {"issue":{"subject":"Onboard in-route failure","project_id":79,"tracker_id":40,"status_id":1,"priority_id":2,"assigned_to_id":23,"start_date":"2017-05-13","description":"","custom_fields":[{"id":1,"name":"Subdivision","value":"EC"},{"id":4,"name":"Milepost","value":"23.3357"},{"id":17,"name":"Train ID","value":"155-13"},{"id":16,"name":"Locomotive ID","value":"4032"},{"id":130,"name":"Impact","value":""},{"id":150,"name":"Time of Event (Mountain Time)","value":"11:16:06"},{"id":151,"name":"Denver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4032 --day 2017-05-13</v>
      </c>
      <c r="AN67" s="154" t="str">
        <f t="shared" si="22"/>
        <v>echo {"issue":{"subject":"Onboard in-route failure","project_id":30,"tracker_id":4,"status_id":1,"priority_id":1,"assigned_to_id":10,"start_date":"2017-05-13","description":"","custom_fields":[{"id":30,"name":"Category","value":"Issue"},{"id":3,"name":"Functional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17:16:06"},{"id":29,"name":"Sharepoint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667</v>
      </c>
      <c r="B68" s="7">
        <v>4032</v>
      </c>
      <c r="C68" s="21" t="s">
        <v>206</v>
      </c>
      <c r="D68" s="21" t="s">
        <v>830</v>
      </c>
      <c r="E68" s="13">
        <v>42868.449305555558</v>
      </c>
      <c r="F68" s="13">
        <v>42868.450624999998</v>
      </c>
      <c r="G68" s="7">
        <v>1</v>
      </c>
      <c r="H68" s="21" t="s">
        <v>829</v>
      </c>
      <c r="I68" s="13">
        <v>42868.469513888886</v>
      </c>
      <c r="J68" s="7">
        <v>0</v>
      </c>
      <c r="K68" s="92" t="str">
        <f t="shared" si="0"/>
        <v>4031/4032</v>
      </c>
      <c r="L68" s="21" t="str">
        <f>VLOOKUP(A68,'Trips&amp;Operators'!$C$1:$G$99999,5,FALSE)</f>
        <v>ROMERO CHAD</v>
      </c>
      <c r="M68" s="6">
        <f t="shared" si="1"/>
        <v>1.8888888887886424E-2</v>
      </c>
      <c r="N68" s="7"/>
      <c r="O68" s="7"/>
      <c r="P68" s="7"/>
      <c r="Q68" s="22"/>
      <c r="R68" s="190"/>
      <c r="S68" s="196"/>
      <c r="T68" s="190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9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-13T09:47:00-0600',mode:absolute,to:'2017-05-13T12:16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8" s="192" t="str">
        <f t="shared" si="6"/>
        <v>Y</v>
      </c>
      <c r="X68" s="192">
        <f t="shared" si="25"/>
        <v>0</v>
      </c>
      <c r="Y68" s="192">
        <f t="shared" si="26"/>
        <v>3.7195999999999998</v>
      </c>
      <c r="Z68" s="192">
        <f t="shared" si="27"/>
        <v>23.335699999999999</v>
      </c>
      <c r="AA68" s="192">
        <f t="shared" si="10"/>
        <v>19.616099999999999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0155-13</v>
      </c>
      <c r="AE68" s="80" t="str">
        <f t="shared" si="12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68" s="77" t="str">
        <f t="shared" si="13"/>
        <v>"C:\Program Files (x86)\AstroGrep\AstroGrep.exe" /e /r /s /spath="%USERPROFILE%\AppData\Local\Temp\OnboardLogs" /stypes="app*4032*20170513*" /stext=" 17:.+((SYSTEM_STATE.+slice.+state.+changed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155-13 --locoid 4032 --swversion DE.1.0.9.0 --startMP 204:37196 --initTime 2017-05-13T10:47:00 --startdatetime 2017-05-13T10:48:54 --delay 1 --endMP 204:233357 --enddatetime 2017-05-13T11:16:06 --enforcementcount 0 &gt;&gt;C:\Users\stu\Documents\GitHub\eaglep3-reporting\EC\2017-05-13-refined-times.txt</v>
      </c>
      <c r="AI68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{"issue":{"subject":"","project_id":79,"tracker_id":40,"status_id":1,"priority_id":2,"assigned_to_id":23,"start_date":"2017-05-13","description":"","custom_fields":[{"id":1,"name":"Subdivision","value":"EC"},{"id":4,"name":"Milepost","value":"23.3357"},{"id":17,"name":"Train ID","value":"155-13"},{"id":16,"name":"Locomotive ID","value":"4032"},{"id":130,"name":"Impact","value":""},{"id":150,"name":"Time of Event (Mountain Time)","value":"11:16:06"},{"id":151,"name":"Denver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4032 --day 2017-05-13</v>
      </c>
      <c r="AN68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17:16:06"},{"id":29,"name":"Sharepoint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667</v>
      </c>
      <c r="B69" s="7">
        <v>4032</v>
      </c>
      <c r="C69" s="21" t="s">
        <v>206</v>
      </c>
      <c r="D69" s="21" t="s">
        <v>831</v>
      </c>
      <c r="E69" s="13">
        <v>42868.436539351853</v>
      </c>
      <c r="F69" s="13">
        <v>42868.439675925925</v>
      </c>
      <c r="G69" s="7">
        <v>4</v>
      </c>
      <c r="H69" s="21" t="s">
        <v>832</v>
      </c>
      <c r="I69" s="13">
        <v>42868.440405092595</v>
      </c>
      <c r="J69" s="7">
        <v>0</v>
      </c>
      <c r="K69" s="92" t="str">
        <f t="shared" si="0"/>
        <v>4031/4032</v>
      </c>
      <c r="L69" s="21" t="str">
        <f>VLOOKUP(A69,'Trips&amp;Operators'!$C$1:$G$99999,5,FALSE)</f>
        <v>ROMERO CHAD</v>
      </c>
      <c r="M69" s="6">
        <f t="shared" si="1"/>
        <v>7.2916666977107525E-4</v>
      </c>
      <c r="N69" s="7"/>
      <c r="O69" s="7"/>
      <c r="P69" s="7"/>
      <c r="Q69" s="22"/>
      <c r="R69" s="190"/>
      <c r="S69" s="196"/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-13T09:28:37-0600',mode:absolute,to:'2017-05-13T11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192" t="str">
        <f t="shared" si="6"/>
        <v>Y</v>
      </c>
      <c r="X69" s="192">
        <f t="shared" si="25"/>
        <v>0</v>
      </c>
      <c r="Y69" s="192">
        <f t="shared" si="26"/>
        <v>0.37669999999999998</v>
      </c>
      <c r="Z69" s="192">
        <f t="shared" si="27"/>
        <v>0.66159999999999997</v>
      </c>
      <c r="AA69" s="192">
        <f t="shared" si="10"/>
        <v>0.28489999999999999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0155-13</v>
      </c>
      <c r="AE69" s="80" t="str">
        <f t="shared" si="12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69" s="77" t="str">
        <f t="shared" si="13"/>
        <v>"C:\Program Files (x86)\AstroGrep\AstroGrep.exe" /e /r /s /spath="%USERPROFILE%\AppData\Local\Temp\OnboardLogs" /stypes="app*4032*20170513*" /stext=" 16:.+((SYSTEM_STATE.+slice.+state.+changed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155-13 --locoid 4032 --swversion DE.1.0.9.0 --startMP 204:3767 --initTime 2017-05-13T10:28:37 --startdatetime 2017-05-13T10:33:08 --delay 4 --endMP 204:6616 --enddatetime 2017-05-13T10:34:11 --enforcementcount 0 &gt;&gt;C:\Users\stu\Documents\GitHub\eaglep3-reporting\EC\2017-05-13-refined-times.txt</v>
      </c>
      <c r="AI69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{"issue":{"subject":"","project_id":79,"tracker_id":40,"status_id":1,"priority_id":2,"assigned_to_id":23,"start_date":"2017-05-13","description":"","custom_fields":[{"id":1,"name":"Subdivision","value":"EC"},{"id":4,"name":"Milepost","value":"0.6616"},{"id":17,"name":"Train ID","value":"155-13"},{"id":16,"name":"Locomotive ID","value":"4032"},{"id":130,"name":"Impact","value":""},{"id":150,"name":"Time of Event (Mountain Time)","value":"10:34:11"},{"id":151,"name":"Denver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4032 --day 2017-05-13</v>
      </c>
      <c r="AN69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678</v>
      </c>
      <c r="B70" s="7">
        <v>4031</v>
      </c>
      <c r="C70" s="21" t="s">
        <v>206</v>
      </c>
      <c r="D70" s="21" t="s">
        <v>833</v>
      </c>
      <c r="E70" s="13">
        <v>42868.472349537034</v>
      </c>
      <c r="F70" s="13">
        <v>42868.476539351854</v>
      </c>
      <c r="G70" s="7">
        <v>1</v>
      </c>
      <c r="H70" s="21" t="s">
        <v>478</v>
      </c>
      <c r="I70" s="13">
        <v>42868.503587962965</v>
      </c>
      <c r="J70" s="7">
        <v>0</v>
      </c>
      <c r="K70" s="92" t="str">
        <f t="shared" si="0"/>
        <v>4031/4032</v>
      </c>
      <c r="L70" s="21" t="str">
        <f>VLOOKUP(A70,'Trips&amp;Operators'!$C$1:$G$99999,5,FALSE)</f>
        <v>ROMERO CHAD</v>
      </c>
      <c r="M70" s="6">
        <f t="shared" si="1"/>
        <v>2.7048611111240461E-2</v>
      </c>
      <c r="N70" s="7">
        <f t="shared" ref="N70:N81" si="28">24*60*SUM($M70:$M70)</f>
        <v>38.950000000186265</v>
      </c>
      <c r="O70" s="7"/>
      <c r="P70" s="7"/>
      <c r="Q70" s="22"/>
      <c r="R70" s="190"/>
      <c r="S70" s="196">
        <f t="shared" ref="S70:S81" si="29">SUM(U70:U70)/IF(AG70="EC",12,1)</f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-13T10:20:11-0600',mode:absolute,to:'2017-05-13T13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192" t="str">
        <f t="shared" si="6"/>
        <v>N</v>
      </c>
      <c r="X70" s="192">
        <f t="shared" si="25"/>
        <v>1</v>
      </c>
      <c r="Y70" s="192">
        <f t="shared" si="26"/>
        <v>23.302600000000002</v>
      </c>
      <c r="Z70" s="192">
        <f t="shared" si="27"/>
        <v>1.29E-2</v>
      </c>
      <c r="AA70" s="192">
        <f t="shared" si="10"/>
        <v>23.289700000000003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0156-13</v>
      </c>
      <c r="AE70" s="80" t="str">
        <f t="shared" si="12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70" s="77" t="str">
        <f t="shared" si="13"/>
        <v>"C:\Program Files (x86)\AstroGrep\AstroGrep.exe" /e /r /s /spath="%USERPROFILE%\AppData\Local\Temp\OnboardLogs" /stypes="app*4031*20170513*"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156-13 --locoid 4031 --swversion DE.1.0.9.0 --startMP 204:233026 --initTime 2017-05-13T11:20:11 --startdatetime 2017-05-13T11:26:13 --delay 1 --endMP 204:129 --enddatetime 2017-05-13T12:05:10 --enforcementcount 0 &gt;&gt;C:\Users\stu\Documents\GitHub\eaglep3-reporting\EC\2017-05-13-refined-times.txt</v>
      </c>
      <c r="AI70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{"issue":{"subject":"","project_id":79,"tracker_id":40,"status_id":1,"priority_id":2,"assigned_to_id":23,"start_date":"2017-05-13","description":"","custom_fields":[{"id":1,"name":"Subdivision","value":"EC"},{"id":4,"name":"Milepost","value":"0.0129"},{"id":17,"name":"Train ID","value":"156-13"},{"id":16,"name":"Locomotive ID","value":"4031"},{"id":130,"name":"Impact","value":""},{"id":150,"name":"Time of Event (Mountain Time)","value":"12:05:10"},{"id":151,"name":"Denver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4031 --day 2017-05-13</v>
      </c>
      <c r="AN70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672</v>
      </c>
      <c r="B71" s="7">
        <v>4054</v>
      </c>
      <c r="C71" s="21" t="s">
        <v>206</v>
      </c>
      <c r="D71" s="21" t="s">
        <v>511</v>
      </c>
      <c r="E71" s="13">
        <v>42868.446979166663</v>
      </c>
      <c r="F71" s="13">
        <v>42868.448483796295</v>
      </c>
      <c r="G71" s="7">
        <v>1</v>
      </c>
      <c r="H71" s="21" t="s">
        <v>834</v>
      </c>
      <c r="I71" s="13">
        <v>42868.474340277775</v>
      </c>
      <c r="J71" s="7">
        <v>0</v>
      </c>
      <c r="K71" s="92" t="str">
        <f t="shared" si="0"/>
        <v>4053/4054</v>
      </c>
      <c r="L71" s="21" t="str">
        <f>VLOOKUP(A71,'Trips&amp;Operators'!$C$1:$G$99999,5,FALSE)</f>
        <v>GEBRETEKLE DAGNEW</v>
      </c>
      <c r="M71" s="6">
        <f t="shared" si="1"/>
        <v>2.5856481479422655E-2</v>
      </c>
      <c r="N71" s="7">
        <f t="shared" si="28"/>
        <v>37.233333330368623</v>
      </c>
      <c r="O71" s="7"/>
      <c r="P71" s="7"/>
      <c r="Q71" s="22"/>
      <c r="R71" s="190"/>
      <c r="S71" s="196">
        <f t="shared" si="29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-13T09:43:39-0600',mode:absolute,to:'2017-05-13T12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1" s="192" t="str">
        <f t="shared" si="6"/>
        <v>N</v>
      </c>
      <c r="X71" s="192">
        <f t="shared" si="25"/>
        <v>1</v>
      </c>
      <c r="Y71" s="192">
        <f t="shared" si="26"/>
        <v>4.3099999999999999E-2</v>
      </c>
      <c r="Z71" s="192">
        <f t="shared" si="27"/>
        <v>23.3325</v>
      </c>
      <c r="AA71" s="192">
        <f t="shared" si="10"/>
        <v>23.289400000000001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0157-13</v>
      </c>
      <c r="AE71" s="80" t="str">
        <f t="shared" si="12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71" s="77" t="str">
        <f t="shared" si="13"/>
        <v>"C:\Program Files (x86)\AstroGrep\AstroGrep.exe" /e /r /s /spath="%USERPROFILE%\AppData\Local\Temp\OnboardLogs" /stypes="app*4054*20170513*"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157-13 --locoid 4054 --swversion DE.1.0.9.0 --startMP 204:431 --initTime 2017-05-13T10:43:39 --startdatetime 2017-05-13T10:45:49 --delay 1 --endMP 204:233325 --enddatetime 2017-05-13T11:23:03 --enforcementcount 0 &gt;&gt;C:\Users\stu\Documents\GitHub\eaglep3-reporting\EC\2017-05-13-refined-times.txt</v>
      </c>
      <c r="AI71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{"issue":{"subject":"","project_id":79,"tracker_id":40,"status_id":1,"priority_id":2,"assigned_to_id":23,"start_date":"2017-05-13","description":"","custom_fields":[{"id":1,"name":"Subdivision","value":"EC"},{"id":4,"name":"Milepost","value":"23.3325"},{"id":17,"name":"Train ID","value":"157-13"},{"id":16,"name":"Locomotive ID","value":"4054"},{"id":130,"name":"Impact","value":""},{"id":150,"name":"Time of Event (Mountain Time)","value":"11:23:03"},{"id":151,"name":"Denver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4054 --day 2017-05-13</v>
      </c>
      <c r="AN71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682</v>
      </c>
      <c r="B72" s="7">
        <v>4053</v>
      </c>
      <c r="C72" s="21" t="s">
        <v>206</v>
      </c>
      <c r="D72" s="21" t="s">
        <v>816</v>
      </c>
      <c r="E72" s="13">
        <v>42868.483298611114</v>
      </c>
      <c r="F72" s="13">
        <v>42868.487025462964</v>
      </c>
      <c r="G72" s="7">
        <v>1</v>
      </c>
      <c r="H72" s="21" t="s">
        <v>198</v>
      </c>
      <c r="I72" s="13">
        <v>42868.51425925926</v>
      </c>
      <c r="J72" s="7">
        <v>0</v>
      </c>
      <c r="K72" s="92" t="str">
        <f t="shared" si="0"/>
        <v>4053/4054</v>
      </c>
      <c r="L72" s="21" t="str">
        <f>VLOOKUP(A72,'Trips&amp;Operators'!$C$1:$G$99999,5,FALSE)</f>
        <v>GEBRETEKLE DAGNEW</v>
      </c>
      <c r="M72" s="6">
        <f t="shared" si="1"/>
        <v>2.7233796296059154E-2</v>
      </c>
      <c r="N72" s="7">
        <f t="shared" si="28"/>
        <v>39.216666666325182</v>
      </c>
      <c r="O72" s="7"/>
      <c r="P72" s="7"/>
      <c r="Q72" s="22"/>
      <c r="R72" s="190"/>
      <c r="S72" s="196">
        <f t="shared" si="29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-13T10:35:57-0600',mode:absolute,to:'2017-05-13T13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192" t="str">
        <f t="shared" si="6"/>
        <v>N</v>
      </c>
      <c r="X72" s="192">
        <f t="shared" si="25"/>
        <v>1</v>
      </c>
      <c r="Y72" s="192">
        <f t="shared" si="26"/>
        <v>23.3004</v>
      </c>
      <c r="Z72" s="192">
        <f t="shared" si="27"/>
        <v>1.5800000000000002E-2</v>
      </c>
      <c r="AA72" s="192">
        <f t="shared" si="10"/>
        <v>23.284600000000001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0158-13</v>
      </c>
      <c r="AE72" s="80" t="str">
        <f t="shared" si="12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72" s="77" t="str">
        <f t="shared" si="13"/>
        <v>"C:\Program Files (x86)\AstroGrep\AstroGrep.exe" /e /r /s /spath="%USERPROFILE%\AppData\Local\Temp\OnboardLogs" /stypes="app*4053*20170513*"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158-13 --locoid 4053 --swversion DE.1.0.9.0 --startMP 204:233004 --initTime 2017-05-13T11:35:57 --startdatetime 2017-05-13T11:41:19 --delay 1 --endMP 204:158 --enddatetime 2017-05-13T12:20:32 --enforcementcount 0 &gt;&gt;C:\Users\stu\Documents\GitHub\eaglep3-reporting\EC\2017-05-13-refined-times.txt</v>
      </c>
      <c r="AI72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{"issue":{"subject":"","project_id":79,"tracker_id":40,"status_id":1,"priority_id":2,"assigned_to_id":23,"start_date":"2017-05-13","description":"","custom_fields":[{"id":1,"name":"Subdivision","value":"EC"},{"id":4,"name":"Milepost","value":"0.0158"},{"id":17,"name":"Train ID","value":"158-13"},{"id":16,"name":"Locomotive ID","value":"4053"},{"id":130,"name":"Impact","value":""},{"id":150,"name":"Time of Event (Mountain Time)","value":"12:20:32"},{"id":151,"name":"Denver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4053 --day 2017-05-13</v>
      </c>
      <c r="AN72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674</v>
      </c>
      <c r="B73" s="7">
        <v>4028</v>
      </c>
      <c r="C73" s="21" t="s">
        <v>206</v>
      </c>
      <c r="D73" s="21" t="s">
        <v>202</v>
      </c>
      <c r="E73" s="13">
        <v>42868.456076388888</v>
      </c>
      <c r="F73" s="13">
        <v>42868.459074074075</v>
      </c>
      <c r="G73" s="7">
        <v>1</v>
      </c>
      <c r="H73" s="21" t="s">
        <v>389</v>
      </c>
      <c r="I73" s="13">
        <v>42868.485243055555</v>
      </c>
      <c r="J73" s="7">
        <v>0</v>
      </c>
      <c r="K73" s="92" t="str">
        <f t="shared" si="0"/>
        <v>4027/4028</v>
      </c>
      <c r="L73" s="21" t="str">
        <f>VLOOKUP(A73,'Trips&amp;Operators'!$C$1:$G$99999,5,FALSE)</f>
        <v>STEWART MICHAEL</v>
      </c>
      <c r="M73" s="6">
        <f t="shared" si="1"/>
        <v>2.6168981479713693E-2</v>
      </c>
      <c r="N73" s="7">
        <f t="shared" si="28"/>
        <v>37.683333330787718</v>
      </c>
      <c r="O73" s="7"/>
      <c r="P73" s="7"/>
      <c r="Q73" s="22"/>
      <c r="R73" s="190"/>
      <c r="S73" s="196">
        <f t="shared" si="29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-13T09:56:45-0600',mode:absolute,to:'2017-05-13T12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2" t="str">
        <f t="shared" si="6"/>
        <v>N</v>
      </c>
      <c r="X73" s="192">
        <f t="shared" si="25"/>
        <v>1</v>
      </c>
      <c r="Y73" s="192">
        <f t="shared" si="26"/>
        <v>4.5699999999999998E-2</v>
      </c>
      <c r="Z73" s="192">
        <f t="shared" si="27"/>
        <v>23.331199999999999</v>
      </c>
      <c r="AA73" s="192">
        <f t="shared" si="10"/>
        <v>23.285499999999999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0159-13</v>
      </c>
      <c r="AE73" s="80" t="str">
        <f t="shared" si="12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73" s="77" t="str">
        <f t="shared" si="13"/>
        <v>"C:\Program Files (x86)\AstroGrep\AstroGrep.exe" /e /r /s /spath="%USERPROFILE%\AppData\Local\Temp\OnboardLogs" /stypes="app*4028*20170513*"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159-13 --locoid 4028 --swversion DE.1.0.9.0 --startMP 204:457 --initTime 2017-05-13T10:56:45 --startdatetime 2017-05-13T11:01:04 --delay 1 --endMP 204:233312 --enddatetime 2017-05-13T11:38:45 --enforcementcount 0 &gt;&gt;C:\Users\stu\Documents\GitHub\eaglep3-reporting\EC\2017-05-13-refined-times.txt</v>
      </c>
      <c r="AI73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{"issue":{"subject":"","project_id":79,"tracker_id":40,"status_id":1,"priority_id":2,"assigned_to_id":23,"start_date":"2017-05-13","description":"","custom_fields":[{"id":1,"name":"Subdivision","value":"EC"},{"id":4,"name":"Milepost","value":"23.3312"},{"id":17,"name":"Train ID","value":"159-13"},{"id":16,"name":"Locomotive ID","value":"4028"},{"id":130,"name":"Impact","value":""},{"id":150,"name":"Time of Event (Mountain Time)","value":"11:38:45"},{"id":151,"name":"Denver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4028 --day 2017-05-13</v>
      </c>
      <c r="AN73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683</v>
      </c>
      <c r="B74" s="7">
        <v>4027</v>
      </c>
      <c r="C74" s="21" t="s">
        <v>206</v>
      </c>
      <c r="D74" s="21" t="s">
        <v>392</v>
      </c>
      <c r="E74" s="13">
        <v>42868.493518518517</v>
      </c>
      <c r="F74" s="13">
        <v>42868.497453703705</v>
      </c>
      <c r="G74" s="7">
        <v>2</v>
      </c>
      <c r="H74" s="21" t="s">
        <v>358</v>
      </c>
      <c r="I74" s="13">
        <v>42868.525555555556</v>
      </c>
      <c r="J74" s="7">
        <v>0</v>
      </c>
      <c r="K74" s="92" t="str">
        <f t="shared" si="0"/>
        <v>4027/4028</v>
      </c>
      <c r="L74" s="21" t="str">
        <f>VLOOKUP(A74,'Trips&amp;Operators'!$C$1:$G$99999,5,FALSE)</f>
        <v>STEWART MICHAEL</v>
      </c>
      <c r="M74" s="6">
        <f t="shared" si="1"/>
        <v>2.810185185080627E-2</v>
      </c>
      <c r="N74" s="7">
        <f t="shared" si="28"/>
        <v>40.466666665161029</v>
      </c>
      <c r="O74" s="7"/>
      <c r="P74" s="7"/>
      <c r="Q74" s="22"/>
      <c r="R74" s="190"/>
      <c r="S74" s="196">
        <f t="shared" si="29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-13T10:50:40-0600',mode:absolute,to:'2017-05-13T13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2" t="str">
        <f t="shared" si="6"/>
        <v>N</v>
      </c>
      <c r="X74" s="192">
        <f t="shared" si="25"/>
        <v>1</v>
      </c>
      <c r="Y74" s="192">
        <f t="shared" si="26"/>
        <v>23.299199999999999</v>
      </c>
      <c r="Z74" s="192">
        <f t="shared" si="27"/>
        <v>1.49E-2</v>
      </c>
      <c r="AA74" s="192">
        <f t="shared" si="10"/>
        <v>23.284299999999998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0160-13</v>
      </c>
      <c r="AE74" s="80" t="str">
        <f t="shared" si="12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74" s="77" t="str">
        <f t="shared" si="13"/>
        <v>"C:\Program Files (x86)\AstroGrep\AstroGrep.exe" /e /r /s /spath="%USERPROFILE%\AppData\Local\Temp\OnboardLogs" /stypes="app*4027*20170513*"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160-13 --locoid 4027 --swversion DE.1.0.9.0 --startMP 204:232992 --initTime 2017-05-13T11:50:40 --startdatetime 2017-05-13T11:56:20 --delay 2 --endMP 204:149 --enddatetime 2017-05-13T12:36:48 --enforcementcount 0 &gt;&gt;C:\Users\stu\Documents\GitHub\eaglep3-reporting\EC\2017-05-13-refined-times.txt</v>
      </c>
      <c r="AI74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{"issue":{"subject":"","project_id":79,"tracker_id":40,"status_id":1,"priority_id":2,"assigned_to_id":23,"start_date":"2017-05-13","description":"","custom_fields":[{"id":1,"name":"Subdivision","value":"EC"},{"id":4,"name":"Milepost","value":"0.0149"},{"id":17,"name":"Train ID","value":"160-13"},{"id":16,"name":"Locomotive ID","value":"4027"},{"id":130,"name":"Impact","value":""},{"id":150,"name":"Time of Event (Mountain Time)","value":"12:36:48"},{"id":151,"name":"Denver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4027 --day 2017-05-13</v>
      </c>
      <c r="AN74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677</v>
      </c>
      <c r="B75" s="7">
        <v>4008</v>
      </c>
      <c r="C75" s="21" t="s">
        <v>206</v>
      </c>
      <c r="D75" s="21" t="s">
        <v>347</v>
      </c>
      <c r="E75" s="13">
        <v>42868.464988425927</v>
      </c>
      <c r="F75" s="13">
        <v>42868.469097222223</v>
      </c>
      <c r="G75" s="7">
        <v>1</v>
      </c>
      <c r="H75" s="21" t="s">
        <v>804</v>
      </c>
      <c r="I75" s="13">
        <v>42868.495682870373</v>
      </c>
      <c r="J75" s="7">
        <v>0</v>
      </c>
      <c r="K75" s="92" t="str">
        <f t="shared" si="0"/>
        <v>4007/4008</v>
      </c>
      <c r="L75" s="21" t="str">
        <f>VLOOKUP(A75,'Trips&amp;Operators'!$C$1:$G$99999,5,FALSE)</f>
        <v>DAVIS MICHAEL</v>
      </c>
      <c r="M75" s="6">
        <f t="shared" si="1"/>
        <v>2.658564814919373E-2</v>
      </c>
      <c r="N75" s="7">
        <f t="shared" si="28"/>
        <v>38.283333334838971</v>
      </c>
      <c r="O75" s="7"/>
      <c r="P75" s="7"/>
      <c r="Q75" s="22"/>
      <c r="R75" s="190"/>
      <c r="S75" s="196">
        <f t="shared" si="29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-13T10:09:35-0600',mode:absolute,to:'2017-05-13T12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192" t="str">
        <f t="shared" si="6"/>
        <v>N</v>
      </c>
      <c r="X75" s="192">
        <f t="shared" si="25"/>
        <v>1</v>
      </c>
      <c r="Y75" s="192">
        <f t="shared" si="26"/>
        <v>4.4900000000000002E-2</v>
      </c>
      <c r="Z75" s="192">
        <f t="shared" si="27"/>
        <v>23.331499999999998</v>
      </c>
      <c r="AA75" s="192">
        <f t="shared" si="10"/>
        <v>23.2866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0161-13</v>
      </c>
      <c r="AE75" s="80" t="str">
        <f t="shared" si="12"/>
        <v>aws s3 cp s3://rtdc.mdm.uploadarchive.raw/RTDC4008/ "%USERPROFILE%\AppData\Local\Temp\OnboardLogs"\RTDC4008\2017-05-13 --exclude "*" --recursive --include "*20170513*" &amp; "%USERPROFILE%\Documents\GitHub\mrs-test-scripts\Headless Mode &amp; Sideloading\WalkAndUnGZ.bat" "%USERPROFILE%\AppData\Local\Temp\OnboardLogs"\RTDC4008\2017-05-13 &amp; aws s3 cp s3://rtdc.mdm.uploadarchive.raw/RTDC4008/ "%USERPROFILE%\AppData\Local\Temp\OnboardLogs"\RTDC4008\2017-05-14 --exclude "*" --recursive --include "*20170514*" &amp; "%USERPROFILE%\Documents\GitHub\mrs-test-scripts\Headless Mode &amp; Sideloading\WalkAndUnGZ.bat" "%USERPROFILE%\AppData\Local\Temp\OnboardLogs"\RTDC4008\2017-05-14</v>
      </c>
      <c r="AF75" s="77" t="str">
        <f t="shared" si="13"/>
        <v>"C:\Program Files (x86)\AstroGrep\AstroGrep.exe" /e /r /s /spath="%USERPROFILE%\AppData\Local\Temp\OnboardLogs" /stypes="app*4008*20170513*" /stext=" 17:.+((SYSTEM_STATE.+slice.+state.+changed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161-13 --locoid 4008 --swversion DE.1.0.9.0 --startMP 204:449 --initTime 2017-05-13T11:09:35 --startdatetime 2017-05-13T11:15:30 --delay 1 --endMP 204:233315 --enddatetime 2017-05-13T11:53:47 --enforcementcount 0 &gt;&gt;C:\Users\stu\Documents\GitHub\eaglep3-reporting\EC\2017-05-13-refined-times.txt</v>
      </c>
      <c r="AI75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{"issue":{"subject":"","project_id":79,"tracker_id":40,"status_id":1,"priority_id":2,"assigned_to_id":23,"start_date":"2017-05-13","description":"","custom_fields":[{"id":1,"name":"Subdivision","value":"EC"},{"id":4,"name":"Milepost","value":"23.3315"},{"id":17,"name":"Train ID","value":"161-13"},{"id":16,"name":"Locomotive ID","value":"4008"},{"id":130,"name":"Impact","value":""},{"id":150,"name":"Time of Event (Mountain Time)","value":"11:53:47"},{"id":151,"name":"Denver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4008 --day 2017-05-13</v>
      </c>
      <c r="AN75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687</v>
      </c>
      <c r="B76" s="7">
        <v>4007</v>
      </c>
      <c r="C76" s="21" t="s">
        <v>206</v>
      </c>
      <c r="D76" s="21" t="s">
        <v>447</v>
      </c>
      <c r="E76" s="13">
        <v>42868.505347222221</v>
      </c>
      <c r="F76" s="13">
        <v>42868.507893518516</v>
      </c>
      <c r="G76" s="7">
        <v>1</v>
      </c>
      <c r="H76" s="21" t="s">
        <v>366</v>
      </c>
      <c r="I76" s="13">
        <v>42868.537106481483</v>
      </c>
      <c r="J76" s="7">
        <v>0</v>
      </c>
      <c r="K76" s="92" t="str">
        <f t="shared" si="0"/>
        <v>4007/4008</v>
      </c>
      <c r="L76" s="21" t="str">
        <f>VLOOKUP(A76,'Trips&amp;Operators'!$C$1:$G$99999,5,FALSE)</f>
        <v>DAVIS MICHAEL</v>
      </c>
      <c r="M76" s="6">
        <f t="shared" si="1"/>
        <v>2.9212962966994382E-2</v>
      </c>
      <c r="N76" s="7">
        <f t="shared" si="28"/>
        <v>42.066666672471911</v>
      </c>
      <c r="O76" s="7"/>
      <c r="P76" s="7"/>
      <c r="Q76" s="22"/>
      <c r="R76" s="190"/>
      <c r="S76" s="196">
        <f t="shared" si="29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-13T11:07:42-0600',mode:absolute,to:'2017-05-13T13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192" t="str">
        <f t="shared" si="6"/>
        <v>N</v>
      </c>
      <c r="X76" s="192">
        <f t="shared" si="25"/>
        <v>1</v>
      </c>
      <c r="Y76" s="192">
        <f t="shared" si="26"/>
        <v>23.299600000000002</v>
      </c>
      <c r="Z76" s="192">
        <f t="shared" si="27"/>
        <v>1.5599999999999999E-2</v>
      </c>
      <c r="AA76" s="192">
        <f t="shared" si="10"/>
        <v>23.284000000000002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0162-13</v>
      </c>
      <c r="AE76" s="80" t="str">
        <f t="shared" si="12"/>
        <v>aws s3 cp s3://rtdc.mdm.uploadarchive.raw/RTDC4007/ "%USERPROFILE%\AppData\Local\Temp\OnboardLogs"\RTDC4007\2017-05-13 --exclude "*" --recursive --include "*20170513*" &amp; "%USERPROFILE%\Documents\GitHub\mrs-test-scripts\Headless Mode &amp; Sideloading\WalkAndUnGZ.bat" "%USERPROFILE%\AppData\Local\Temp\OnboardLogs"\RTDC4007\2017-05-13 &amp; aws s3 cp s3://rtdc.mdm.uploadarchive.raw/RTDC4007/ "%USERPROFILE%\AppData\Local\Temp\OnboardLogs"\RTDC4007\2017-05-14 --exclude "*" --recursive --include "*20170514*" &amp; "%USERPROFILE%\Documents\GitHub\mrs-test-scripts\Headless Mode &amp; Sideloading\WalkAndUnGZ.bat" "%USERPROFILE%\AppData\Local\Temp\OnboardLogs"\RTDC4007\2017-05-14</v>
      </c>
      <c r="AF76" s="77" t="str">
        <f t="shared" si="13"/>
        <v>"C:\Program Files (x86)\AstroGrep\AstroGrep.exe" /e /r /s /spath="%USERPROFILE%\AppData\Local\Temp\OnboardLogs" /stypes="app*4007*20170513*" /stext=" 18:.+((SYSTEM_STATE.+slice.+state.+changed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162-13 --locoid 4007 --swversion DE.1.0.9.0 --startMP 204:232996 --initTime 2017-05-13T12:07:42 --startdatetime 2017-05-13T12:11:22 --delay 1 --endMP 204:156 --enddatetime 2017-05-13T12:53:26 --enforcementcount 0 &gt;&gt;C:\Users\stu\Documents\GitHub\eaglep3-reporting\EC\2017-05-13-refined-times.txt</v>
      </c>
      <c r="AI76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{"issue":{"subject":"","project_id":79,"tracker_id":40,"status_id":1,"priority_id":2,"assigned_to_id":23,"start_date":"2017-05-13","description":"","custom_fields":[{"id":1,"name":"Subdivision","value":"EC"},{"id":4,"name":"Milepost","value":"0.0156"},{"id":17,"name":"Train ID","value":"162-13"},{"id":16,"name":"Locomotive ID","value":"4007"},{"id":130,"name":"Impact","value":""},{"id":150,"name":"Time of Event (Mountain Time)","value":"12:53:26"},{"id":151,"name":"Denver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4007 --day 2017-05-13</v>
      </c>
      <c r="AN76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679</v>
      </c>
      <c r="B77" s="7">
        <v>4014</v>
      </c>
      <c r="C77" s="21" t="s">
        <v>206</v>
      </c>
      <c r="D77" s="21" t="s">
        <v>354</v>
      </c>
      <c r="E77" s="13">
        <v>42868.475671296299</v>
      </c>
      <c r="F77" s="13">
        <v>42868.479421296295</v>
      </c>
      <c r="G77" s="7">
        <v>1</v>
      </c>
      <c r="H77" s="21" t="s">
        <v>835</v>
      </c>
      <c r="I77" s="13">
        <v>42868.504837962966</v>
      </c>
      <c r="J77" s="7">
        <v>0</v>
      </c>
      <c r="K77" s="92" t="str">
        <f t="shared" ref="K77:K140" si="30">IF(ISEVEN(B77),(B77-1)&amp;"/"&amp;B77,B77&amp;"/"&amp;(B77+1))</f>
        <v>4013/4014</v>
      </c>
      <c r="L77" s="21" t="str">
        <f>VLOOKUP(A77,'Trips&amp;Operators'!$C$1:$G$99999,5,FALSE)</f>
        <v>MCREYNOLDS KYLE</v>
      </c>
      <c r="M77" s="6">
        <f t="shared" ref="M77:M140" si="31">I77-F77</f>
        <v>2.5416666670935228E-2</v>
      </c>
      <c r="N77" s="7">
        <f t="shared" si="28"/>
        <v>36.600000006146729</v>
      </c>
      <c r="O77" s="7"/>
      <c r="P77" s="7"/>
      <c r="Q77" s="22"/>
      <c r="R77" s="190"/>
      <c r="S77" s="196">
        <f t="shared" si="29"/>
        <v>1</v>
      </c>
      <c r="T77" s="190" t="str">
        <f t="shared" ref="T77:T140" si="32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-13T10:24:58-0600',mode:absolute,to:'2017-05-13T13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192" t="str">
        <f t="shared" ref="W77:W140" si="34">IF(AA77&lt;IF(AG77="EC",23,5.65),"Y","N")</f>
        <v>N</v>
      </c>
      <c r="X77" s="192">
        <f t="shared" ref="X77:X108" si="35">VALUE(LEFT(AD77,4))-VALUE(LEFT(AD76,4))</f>
        <v>1</v>
      </c>
      <c r="Y77" s="192">
        <f t="shared" ref="Y77:Y108" si="36">RIGHT(D77,LEN(D77)-4)/10000</f>
        <v>4.58E-2</v>
      </c>
      <c r="Z77" s="192">
        <f t="shared" ref="Z77:Z108" si="37">RIGHT(H77,LEN(H77)-4)/10000</f>
        <v>23.330300000000001</v>
      </c>
      <c r="AA77" s="192">
        <f t="shared" ref="AA77:AA140" si="38">ABS(Z77-Y77)</f>
        <v>23.284500000000001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9">IF(LEN(A77)=6,"0"&amp;A77,A77)</f>
        <v>0163-13</v>
      </c>
      <c r="AE77" s="80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77" s="77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/stypes="app*4014*20170513*"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2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163-13 --locoid 4014 --swversion DE.1.0.9.0 --startMP 204:458 --initTime 2017-05-13T11:24:58 --startdatetime 2017-05-13T11:30:22 --delay 1 --endMP 204:233303 --enddatetime 2017-05-13T12:06:58 --enforcementcount 0 &gt;&gt;C:\Users\stu\Documents\GitHub\eaglep3-reporting\EC\2017-05-13-refined-times.txt</v>
      </c>
      <c r="AI77" s="99" t="str">
        <f t="shared" si="20"/>
        <v>echo {"issue":{"subject":"","project_id":79,"tracker_id":40,"status_id":1,"priority_id":2,"assigned_to_id":23,"start_date":"2017-05-13","description":"","custom_fields":[{"id":1,"name":"Subdivision","value":"EC"},{"id":4,"name":"Milepost","value":"23.3303"},{"id":17,"name":"Train ID","value":"163-13"},{"id":16,"name":"Locomotive ID","value":"4014"},{"id":130,"name":"Impact","value":""},{"id":150,"name":"Time of Event (Mountain Time)","value":"12:06:58"},{"id":151,"name":"Denver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4014 --day 2017-05-13</v>
      </c>
      <c r="AN77" s="154" t="str">
        <f t="shared" si="22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688</v>
      </c>
      <c r="B78" s="7">
        <v>4013</v>
      </c>
      <c r="C78" s="21" t="s">
        <v>206</v>
      </c>
      <c r="D78" s="21" t="s">
        <v>444</v>
      </c>
      <c r="E78" s="13">
        <v>42868.508877314816</v>
      </c>
      <c r="F78" s="13">
        <v>42868.518240740741</v>
      </c>
      <c r="G78" s="7">
        <v>2</v>
      </c>
      <c r="H78" s="21" t="s">
        <v>358</v>
      </c>
      <c r="I78" s="13">
        <v>42868.545914351853</v>
      </c>
      <c r="J78" s="7">
        <v>0</v>
      </c>
      <c r="K78" s="92" t="str">
        <f t="shared" si="30"/>
        <v>4013/4014</v>
      </c>
      <c r="L78" s="21" t="str">
        <f>VLOOKUP(A78,'Trips&amp;Operators'!$C$1:$G$99999,5,FALSE)</f>
        <v>MCREYNOLDS KYLE</v>
      </c>
      <c r="M78" s="6">
        <f t="shared" si="31"/>
        <v>2.7673611111822538E-2</v>
      </c>
      <c r="N78" s="7">
        <f t="shared" si="28"/>
        <v>39.850000001024455</v>
      </c>
      <c r="O78" s="7"/>
      <c r="P78" s="7"/>
      <c r="Q78" s="22"/>
      <c r="R78" s="190"/>
      <c r="S78" s="196">
        <f t="shared" si="29"/>
        <v>1</v>
      </c>
      <c r="T78" s="190" t="str">
        <f t="shared" si="32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3"/>
        <v>https://d0f6bd738d7f1b3e5a7ca70fe4ff75f0.us-east-1.aws.found.io/app/kibana#/discover/Steve-Slow-Train-Analysis-(2080s-and-2083s)?_g=(refreshInterval:(display:Off,pause:!f,section:0,value:0),time:(from:'2017-05-13T11:12:47-0600',mode:absolute,to:'2017-05-13T14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192" t="str">
        <f t="shared" si="34"/>
        <v>N</v>
      </c>
      <c r="X78" s="192">
        <f t="shared" si="35"/>
        <v>1</v>
      </c>
      <c r="Y78" s="192">
        <f t="shared" si="36"/>
        <v>23.297699999999999</v>
      </c>
      <c r="Z78" s="192">
        <f t="shared" si="37"/>
        <v>1.49E-2</v>
      </c>
      <c r="AA78" s="192">
        <f t="shared" si="38"/>
        <v>23.282799999999998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9"/>
        <v>0164-13</v>
      </c>
      <c r="AE78" s="80" t="str">
        <f t="shared" si="40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78" s="77" t="str">
        <f t="shared" si="41"/>
        <v>"C:\Program Files (x86)\AstroGrep\AstroGrep.exe" /e /r /s /spath="%USERPROFILE%\AppData\Local\Temp\OnboardLogs" /stypes="app*4013*20170513*" /stext=" 19:.+((SYSTEM_STATE.+slice.+state.+changed )|(ment ac)|(multiple cpu faults)|(system.+state.+changed )|(\[timeout)|(PRM\|1\|D)|(kpr)|(kdp)|(train st.+moving)|(\|lc)|(penalty))"</v>
      </c>
      <c r="AG78" s="1" t="str">
        <f t="shared" si="42"/>
        <v>EC</v>
      </c>
      <c r="AH78" s="81" t="str">
        <f t="shared" ref="AH78:AH142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164-13 --locoid 4013 --swversion DE.1.0.9.0 --startMP 204:232977 --initTime 2017-05-13T12:12:47 --startdatetime 2017-05-13T12:26:16 --delay 2 --endMP 204:149 --enddatetime 2017-05-13T13:06:07 --enforcementcount 0 &gt;&gt;C:\Users\stu\Documents\GitHub\eaglep3-reporting\EC\2017-05-13-refined-times.txt</v>
      </c>
      <c r="AI78" s="99" t="str">
        <f t="shared" ref="AI78:AI142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{"issue":{"subject":"","project_id":79,"tracker_id":40,"status_id":1,"priority_id":2,"assigned_to_id":23,"start_date":"2017-05-13","description":"","custom_fields":[{"id":1,"name":"Subdivision","value":"EC"},{"id":4,"name":"Milepost","value":"0.0149"},{"id":17,"name":"Train ID","value":"164-13"},{"id":16,"name":"Locomotive ID","value":"4013"},{"id":130,"name":"Impact","value":""},{"id":150,"name":"Time of Event (Mountain Time)","value":"13:06:07"},{"id":151,"name":"Denver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2" si="45">"start /low /b "&amp;dls3logs&amp;" --loco "&amp;B78&amp;" --day "&amp;TEXT(F78,"YYYY-MM-DD")</f>
        <v>start /low /b %USERPROFILE%\Documents\GitHub\eaglep3\Utilities\DownloadLogsFromS3.py --loco 4013 --day 2017-05-13</v>
      </c>
      <c r="AN78" s="154" t="str">
        <f t="shared" ref="AN78:AN142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553</v>
      </c>
      <c r="B79" s="7">
        <v>4002</v>
      </c>
      <c r="C79" s="21" t="s">
        <v>206</v>
      </c>
      <c r="D79" s="21" t="s">
        <v>367</v>
      </c>
      <c r="E79" s="13">
        <v>42868.485960648148</v>
      </c>
      <c r="F79" s="13">
        <v>42868.489814814813</v>
      </c>
      <c r="G79" s="7">
        <v>1</v>
      </c>
      <c r="H79" s="21" t="s">
        <v>836</v>
      </c>
      <c r="I79" s="13">
        <v>42868.517650462964</v>
      </c>
      <c r="J79" s="7">
        <v>0</v>
      </c>
      <c r="K79" s="92" t="str">
        <f t="shared" si="30"/>
        <v>4001/4002</v>
      </c>
      <c r="L79" s="21" t="str">
        <f>VLOOKUP(A79,'Trips&amp;Operators'!$C$1:$G$99999,5,FALSE)</f>
        <v>BRANDNER MELINDA</v>
      </c>
      <c r="M79" s="6">
        <f t="shared" si="31"/>
        <v>2.7835648150357883E-2</v>
      </c>
      <c r="N79" s="7">
        <f t="shared" si="28"/>
        <v>40.083333336515352</v>
      </c>
      <c r="O79" s="7"/>
      <c r="P79" s="7"/>
      <c r="Q79" s="22"/>
      <c r="R79" s="190"/>
      <c r="S79" s="196">
        <f t="shared" si="29"/>
        <v>1</v>
      </c>
      <c r="T79" s="190" t="str">
        <f t="shared" si="32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3"/>
        <v>https://d0f6bd738d7f1b3e5a7ca70fe4ff75f0.us-east-1.aws.found.io/app/kibana#/discover/Steve-Slow-Train-Analysis-(2080s-and-2083s)?_g=(refreshInterval:(display:Off,pause:!f,section:0,value:0),time:(from:'2017-05-13T10:39:47-0600',mode:absolute,to:'2017-05-13T13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2" t="str">
        <f t="shared" si="34"/>
        <v>N</v>
      </c>
      <c r="X79" s="192">
        <f t="shared" si="35"/>
        <v>1</v>
      </c>
      <c r="Y79" s="192">
        <f t="shared" si="36"/>
        <v>4.53E-2</v>
      </c>
      <c r="Z79" s="192">
        <f t="shared" si="37"/>
        <v>23.3398</v>
      </c>
      <c r="AA79" s="192">
        <f t="shared" si="38"/>
        <v>23.294499999999999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9"/>
        <v>0165-13</v>
      </c>
      <c r="AE79" s="80" t="str">
        <f t="shared" si="40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79" s="77" t="str">
        <f t="shared" si="41"/>
        <v>"C:\Program Files (x86)\AstroGrep\AstroGrep.exe" /e /r /s /spath="%USERPROFILE%\AppData\Local\Temp\OnboardLogs" /stypes="app*4002*20170513*" /stext=" 18:.+((SYSTEM_STATE.+slice.+state.+changed )|(ment ac)|(multiple cpu faults)|(system.+state.+changed )|(\[timeout)|(PRM\|1\|D)|(kpr)|(kdp)|(train st.+moving)|(\|lc)|(penalty))"</v>
      </c>
      <c r="AG79" s="1" t="str">
        <f t="shared" si="42"/>
        <v>EC</v>
      </c>
      <c r="AH79" s="81" t="str">
        <f t="shared" si="43"/>
        <v>"%USERPROFILE%\Documents\GitHub\eaglep3\Utilities\RefineRTDCRunTimes.py" --tripid 165-13 --locoid 4002 --swversion DE.1.0.9.0 --startMP 204:453 --initTime 2017-05-13T11:39:47 --startdatetime 2017-05-13T11:45:20 --delay 1 --endMP 204:233398 --enddatetime 2017-05-13T12:25:25 --enforcementcount 0 &gt;&gt;C:\Users\stu\Documents\GitHub\eaglep3-reporting\EC\2017-05-13-refined-times.txt</v>
      </c>
      <c r="AI79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{"issue":{"subject":"","project_id":79,"tracker_id":40,"status_id":1,"priority_id":2,"assigned_to_id":23,"start_date":"2017-05-13","description":"","custom_fields":[{"id":1,"name":"Subdivision","value":"EC"},{"id":4,"name":"Milepost","value":"23.3398"},{"id":17,"name":"Train ID","value":"165-13"},{"id":16,"name":"Locomotive ID","value":"4002"},{"id":130,"name":"Impact","value":""},{"id":150,"name":"Time of Event (Mountain Time)","value":"12:25:25"},{"id":151,"name":"Denver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5"/>
        <v>start /low /b %USERPROFILE%\Documents\GitHub\eaglep3\Utilities\DownloadLogsFromS3.py --loco 4002 --day 2017-05-13</v>
      </c>
      <c r="AN79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692</v>
      </c>
      <c r="B80" s="7">
        <v>4001</v>
      </c>
      <c r="C80" s="21" t="s">
        <v>206</v>
      </c>
      <c r="D80" s="21" t="s">
        <v>519</v>
      </c>
      <c r="E80" s="13">
        <v>42868.526412037034</v>
      </c>
      <c r="F80" s="13">
        <v>42868.528738425928</v>
      </c>
      <c r="G80" s="7">
        <v>1</v>
      </c>
      <c r="H80" s="21" t="s">
        <v>358</v>
      </c>
      <c r="I80" s="13">
        <v>42868.558946759258</v>
      </c>
      <c r="J80" s="7">
        <v>0</v>
      </c>
      <c r="K80" s="92" t="str">
        <f t="shared" si="30"/>
        <v>4001/4002</v>
      </c>
      <c r="L80" s="21" t="str">
        <f>VLOOKUP(A80,'Trips&amp;Operators'!$C$1:$G$99999,5,FALSE)</f>
        <v>BRANDNER MELINDA</v>
      </c>
      <c r="M80" s="6">
        <f t="shared" si="31"/>
        <v>3.0208333329937886E-2</v>
      </c>
      <c r="N80" s="7">
        <f t="shared" si="28"/>
        <v>43.499999995110556</v>
      </c>
      <c r="O80" s="7"/>
      <c r="P80" s="7"/>
      <c r="Q80" s="22"/>
      <c r="R80" s="190"/>
      <c r="S80" s="196">
        <f t="shared" si="29"/>
        <v>1</v>
      </c>
      <c r="T80" s="190" t="str">
        <f t="shared" si="32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3"/>
        <v>https://d0f6bd738d7f1b3e5a7ca70fe4ff75f0.us-east-1.aws.found.io/app/kibana#/discover/Steve-Slow-Train-Analysis-(2080s-and-2083s)?_g=(refreshInterval:(display:Off,pause:!f,section:0,value:0),time:(from:'2017-05-13T11:38:02-0600',mode:absolute,to:'2017-05-13T14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2" t="str">
        <f t="shared" si="34"/>
        <v>N</v>
      </c>
      <c r="X80" s="192">
        <f t="shared" si="35"/>
        <v>1</v>
      </c>
      <c r="Y80" s="192">
        <f t="shared" si="36"/>
        <v>23.3125</v>
      </c>
      <c r="Z80" s="192">
        <f t="shared" si="37"/>
        <v>1.49E-2</v>
      </c>
      <c r="AA80" s="192">
        <f t="shared" si="38"/>
        <v>23.297599999999999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9"/>
        <v>0166-13</v>
      </c>
      <c r="AE80" s="80" t="str">
        <f t="shared" si="40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80" s="77" t="str">
        <f t="shared" si="41"/>
        <v>"C:\Program Files (x86)\AstroGrep\AstroGrep.exe" /e /r /s /spath="%USERPROFILE%\AppData\Local\Temp\OnboardLogs" /stypes="app*4001*20170513*" /stext=" 19:.+((SYSTEM_STATE.+slice.+state.+changed )|(ment ac)|(multiple cpu faults)|(system.+state.+changed )|(\[timeout)|(PRM\|1\|D)|(kpr)|(kdp)|(train st.+moving)|(\|lc)|(penalty))"</v>
      </c>
      <c r="AG80" s="1" t="str">
        <f t="shared" si="42"/>
        <v>EC</v>
      </c>
      <c r="AH80" s="81" t="str">
        <f t="shared" si="43"/>
        <v>"%USERPROFILE%\Documents\GitHub\eaglep3\Utilities\RefineRTDCRunTimes.py" --tripid 166-13 --locoid 4001 --swversion DE.1.0.9.0 --startMP 204:233125 --initTime 2017-05-13T12:38:02 --startdatetime 2017-05-13T12:41:23 --delay 1 --endMP 204:149 --enddatetime 2017-05-13T13:24:53 --enforcementcount 0 &gt;&gt;C:\Users\stu\Documents\GitHub\eaglep3-reporting\EC\2017-05-13-refined-times.txt</v>
      </c>
      <c r="AI80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{"issue":{"subject":"","project_id":79,"tracker_id":40,"status_id":1,"priority_id":2,"assigned_to_id":23,"start_date":"2017-05-13","description":"","custom_fields":[{"id":1,"name":"Subdivision","value":"EC"},{"id":4,"name":"Milepost","value":"0.0149"},{"id":17,"name":"Train ID","value":"166-13"},{"id":16,"name":"Locomotive ID","value":"4001"},{"id":130,"name":"Impact","value":""},{"id":150,"name":"Time of Event (Mountain Time)","value":"13:24:53"},{"id":151,"name":"Denver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5"/>
        <v>start /low /b %USERPROFILE%\Documents\GitHub\eaglep3\Utilities\DownloadLogsFromS3.py --loco 4001 --day 2017-05-13</v>
      </c>
      <c r="AN80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684</v>
      </c>
      <c r="B81" s="7">
        <v>4042</v>
      </c>
      <c r="C81" s="21" t="s">
        <v>206</v>
      </c>
      <c r="D81" s="21" t="s">
        <v>369</v>
      </c>
      <c r="E81" s="13">
        <v>42868.495821759258</v>
      </c>
      <c r="F81" s="13">
        <v>42868.500300925924</v>
      </c>
      <c r="G81" s="7">
        <v>1</v>
      </c>
      <c r="H81" s="21" t="s">
        <v>837</v>
      </c>
      <c r="I81" s="13">
        <v>42868.525567129633</v>
      </c>
      <c r="J81" s="7">
        <v>0</v>
      </c>
      <c r="K81" s="92" t="str">
        <f t="shared" si="30"/>
        <v>4041/4042</v>
      </c>
      <c r="L81" s="21" t="str">
        <f>VLOOKUP(A81,'Trips&amp;Operators'!$C$1:$G$99999,5,FALSE)</f>
        <v>LEVIN SCOTT</v>
      </c>
      <c r="M81" s="6">
        <f t="shared" si="31"/>
        <v>2.5266203709179536E-2</v>
      </c>
      <c r="N81" s="7">
        <f t="shared" si="28"/>
        <v>36.383333341218531</v>
      </c>
      <c r="O81" s="7"/>
      <c r="P81" s="7"/>
      <c r="Q81" s="22"/>
      <c r="R81" s="190"/>
      <c r="S81" s="196">
        <f t="shared" si="29"/>
        <v>1</v>
      </c>
      <c r="T81" s="190" t="str">
        <f t="shared" si="32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3"/>
        <v>https://d0f6bd738d7f1b3e5a7ca70fe4ff75f0.us-east-1.aws.found.io/app/kibana#/discover/Steve-Slow-Train-Analysis-(2080s-and-2083s)?_g=(refreshInterval:(display:Off,pause:!f,section:0,value:0),time:(from:'2017-05-13T10:53:59-0600',mode:absolute,to:'2017-05-13T13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192" t="str">
        <f t="shared" si="34"/>
        <v>N</v>
      </c>
      <c r="X81" s="192">
        <f t="shared" si="35"/>
        <v>1</v>
      </c>
      <c r="Y81" s="192">
        <f t="shared" si="36"/>
        <v>4.4699999999999997E-2</v>
      </c>
      <c r="Z81" s="192">
        <f t="shared" si="37"/>
        <v>23.340299999999999</v>
      </c>
      <c r="AA81" s="192">
        <f t="shared" si="38"/>
        <v>23.2956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9"/>
        <v>0167-13</v>
      </c>
      <c r="AE81" s="80" t="str">
        <f t="shared" si="40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81" s="77" t="str">
        <f t="shared" si="41"/>
        <v>"C:\Program Files (x86)\AstroGrep\AstroGrep.exe" /e /r /s /spath="%USERPROFILE%\AppData\Local\Temp\OnboardLogs" /stypes="app*4042*20170513*" /stext=" 18:.+((SYSTEM_STATE.+slice.+state.+changed )|(ment ac)|(multiple cpu faults)|(system.+state.+changed )|(\[timeout)|(PRM\|1\|D)|(kpr)|(kdp)|(train st.+moving)|(\|lc)|(penalty))"</v>
      </c>
      <c r="AG81" s="1" t="str">
        <f t="shared" si="42"/>
        <v>EC</v>
      </c>
      <c r="AH81" s="81" t="str">
        <f t="shared" si="43"/>
        <v>"%USERPROFILE%\Documents\GitHub\eaglep3\Utilities\RefineRTDCRunTimes.py" --tripid 167-13 --locoid 4042 --swversion DE.1.0.9.0 --startMP 204:447 --initTime 2017-05-13T11:53:59 --startdatetime 2017-05-13T12:00:26 --delay 1 --endMP 204:233403 --enddatetime 2017-05-13T12:36:49 --enforcementcount 0 &gt;&gt;C:\Users\stu\Documents\GitHub\eaglep3-reporting\EC\2017-05-13-refined-times.txt</v>
      </c>
      <c r="AI81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{"issue":{"subject":"","project_id":79,"tracker_id":40,"status_id":1,"priority_id":2,"assigned_to_id":23,"start_date":"2017-05-13","description":"","custom_fields":[{"id":1,"name":"Subdivision","value":"EC"},{"id":4,"name":"Milepost","value":"23.3403"},{"id":17,"name":"Train ID","value":"167-13"},{"id":16,"name":"Locomotive ID","value":"4042"},{"id":130,"name":"Impact","value":""},{"id":150,"name":"Time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5"/>
        <v>start /low /b %USERPROFILE%\Documents\GitHub\eaglep3\Utilities\DownloadLogsFromS3.py --loco 4042 --day 2017-05-13</v>
      </c>
      <c r="AN81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556</v>
      </c>
      <c r="B82" s="7">
        <v>4041</v>
      </c>
      <c r="C82" s="21" t="s">
        <v>206</v>
      </c>
      <c r="D82" s="21" t="s">
        <v>838</v>
      </c>
      <c r="E82" s="13">
        <v>42868.535405092596</v>
      </c>
      <c r="F82" s="13">
        <v>42868.53633101852</v>
      </c>
      <c r="G82" s="7">
        <v>1</v>
      </c>
      <c r="H82" s="21" t="s">
        <v>839</v>
      </c>
      <c r="I82" s="13">
        <v>42868.560231481482</v>
      </c>
      <c r="J82" s="7">
        <v>1</v>
      </c>
      <c r="K82" s="92" t="str">
        <f t="shared" si="30"/>
        <v>4041/4042</v>
      </c>
      <c r="L82" s="21" t="str">
        <f>VLOOKUP(A82,'Trips&amp;Operators'!$C$1:$G$99999,5,FALSE)</f>
        <v>LEVIN SCOTT</v>
      </c>
      <c r="M82" s="6">
        <f t="shared" si="31"/>
        <v>2.3900462962046731E-2</v>
      </c>
      <c r="N82" s="7">
        <f>24*60*SUM($M82:$M83)</f>
        <v>46.216666657710448</v>
      </c>
      <c r="O82" s="7"/>
      <c r="P82" s="7"/>
      <c r="Q82" s="22"/>
      <c r="R82" s="190" t="s">
        <v>1068</v>
      </c>
      <c r="S82" s="196">
        <f>SUM(U82:U83)/IF(AG82="EC",12,1)</f>
        <v>1</v>
      </c>
      <c r="T82" s="190" t="str">
        <f t="shared" si="32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9</v>
      </c>
      <c r="V82" s="191" t="str">
        <f t="shared" si="33"/>
        <v>https://d0f6bd738d7f1b3e5a7ca70fe4ff75f0.us-east-1.aws.found.io/app/kibana#/discover/Steve-Slow-Train-Analysis-(2080s-and-2083s)?_g=(refreshInterval:(display:Off,pause:!f,section:0,value:0),time:(from:'2017-05-13T11:50:59-0600',mode:absolute,to:'2017-05-13T14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192" t="str">
        <f t="shared" si="34"/>
        <v>Y</v>
      </c>
      <c r="X82" s="192">
        <f t="shared" si="35"/>
        <v>1</v>
      </c>
      <c r="Y82" s="192">
        <f t="shared" si="36"/>
        <v>23.306899999999999</v>
      </c>
      <c r="Z82" s="192">
        <f t="shared" si="37"/>
        <v>3.6785000000000001</v>
      </c>
      <c r="AA82" s="192">
        <f t="shared" si="38"/>
        <v>19.628399999999999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9"/>
        <v>0168-13</v>
      </c>
      <c r="AE82" s="80" t="str">
        <f t="shared" si="40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82" s="77" t="str">
        <f t="shared" si="41"/>
        <v>"C:\Program Files (x86)\AstroGrep\AstroGrep.exe" /e /r /s /spath="%USERPROFILE%\AppData\Local\Temp\OnboardLogs" /stypes="app*4041*20170513*" /stext=" 19:.+((SYSTEM_STATE.+slice.+state.+changed )|(ment ac)|(multiple cpu faults)|(system.+state.+changed )|(\[timeout)|(PRM\|1\|D)|(kpr)|(kdp)|(train st.+moving)|(\|lc)|(penalty))"</v>
      </c>
      <c r="AG82" s="1" t="str">
        <f t="shared" si="42"/>
        <v>EC</v>
      </c>
      <c r="AH82" s="81" t="str">
        <f t="shared" si="43"/>
        <v>"%USERPROFILE%\Documents\GitHub\eaglep3\Utilities\RefineRTDCRunTimes.py" --tripid 168-13 --locoid 4041 --swversion DE.1.0.9.0 --startMP 204:233069 --initTime 2017-05-13T12:50:59 --startdatetime 2017-05-13T12:52:19 --delay 1 --endMP 204:36785 --enddatetime 2017-05-13T13:26:44 --enforcementcount 1 &gt;&gt;C:\Users\stu\Documents\GitHub\eaglep3-reporting\EC\2017-05-13-refined-times.txt</v>
      </c>
      <c r="AI82" s="99" t="str">
        <f t="shared" si="44"/>
        <v>echo {"issue":{"subject":"Re-init after minor onboard in-route failure","project_id":79,"tracker_id":40,"status_id":1,"priority_id":2,"assigned_to_id":23,"start_date":"2017-05-13","description":"","custom_fields":[{"id":1,"name":"Subdivision","value":"EC"},{"id":4,"name":"Milepost","value":"3.6785"},{"id":17,"name":"Train ID","value":"168-13"},{"id":16,"name":"Locomotive ID","value":"4041"},{"id":130,"name":"Impact","value":""},{"id":150,"name":"Time of Event (Mountain Time)","value":"13:26:44"},{"id":151,"name":"Denver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5"/>
        <v>start /low /b %USERPROFILE%\Documents\GitHub\eaglep3\Utilities\DownloadLogsFromS3.py --loco 4041 --day 2017-05-13</v>
      </c>
      <c r="AN82" s="154" t="str">
        <f t="shared" si="46"/>
        <v>echo {"issue":{"subject":"Re-init after minor onboard in-route failure","project_id":30,"tracker_id":4,"status_id":1,"priority_id":1,"assigned_to_id":10,"start_date":"2017-05-13","description":"","custom_fields":[{"id":30,"name":"Category","value":"Issue"},{"id":3,"name":"Functional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556</v>
      </c>
      <c r="B83" s="7">
        <v>4041</v>
      </c>
      <c r="C83" s="21" t="s">
        <v>206</v>
      </c>
      <c r="D83" s="21" t="s">
        <v>840</v>
      </c>
      <c r="E83" s="13">
        <v>42868.560370370367</v>
      </c>
      <c r="F83" s="13">
        <v>42868.560983796298</v>
      </c>
      <c r="G83" s="7">
        <v>0</v>
      </c>
      <c r="H83" s="21" t="s">
        <v>472</v>
      </c>
      <c r="I83" s="13">
        <v>42868.569178240738</v>
      </c>
      <c r="J83" s="7">
        <v>1</v>
      </c>
      <c r="K83" s="92" t="str">
        <f t="shared" si="30"/>
        <v>4041/4042</v>
      </c>
      <c r="L83" s="21" t="str">
        <f>VLOOKUP(A83,'Trips&amp;Operators'!$C$1:$G$99999,5,FALSE)</f>
        <v>LEVIN SCOTT</v>
      </c>
      <c r="M83" s="6">
        <f t="shared" si="31"/>
        <v>8.1944444391410798E-3</v>
      </c>
      <c r="N83" s="7"/>
      <c r="O83" s="7"/>
      <c r="P83" s="7"/>
      <c r="Q83" s="22"/>
      <c r="R83" s="190"/>
      <c r="S83" s="196"/>
      <c r="T83" s="190" t="str">
        <f t="shared" si="32"/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3</v>
      </c>
      <c r="V83" s="191" t="str">
        <f t="shared" si="33"/>
        <v>https://d0f6bd738d7f1b3e5a7ca70fe4ff75f0.us-east-1.aws.found.io/app/kibana#/discover/Steve-Slow-Train-Analysis-(2080s-and-2083s)?_g=(refreshInterval:(display:Off,pause:!f,section:0,value:0),time:(from:'2017-05-13T12:26:56-0600',mode:absolute,to:'2017-05-13T14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3" s="192" t="str">
        <f t="shared" si="34"/>
        <v>Y</v>
      </c>
      <c r="X83" s="192">
        <f t="shared" si="35"/>
        <v>0</v>
      </c>
      <c r="Y83" s="192">
        <f t="shared" si="36"/>
        <v>3.6787999999999998</v>
      </c>
      <c r="Z83" s="192">
        <f t="shared" si="37"/>
        <v>1.34E-2</v>
      </c>
      <c r="AA83" s="192">
        <f t="shared" si="38"/>
        <v>3.6654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9"/>
        <v>0168-13</v>
      </c>
      <c r="AE83" s="80" t="str">
        <f t="shared" si="40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83" s="77" t="str">
        <f t="shared" si="41"/>
        <v>"C:\Program Files (x86)\AstroGrep\AstroGrep.exe" /e /r /s /spath="%USERPROFILE%\AppData\Local\Temp\OnboardLogs" /stypes="app*4041*20170513*" /stext=" 19:.+((SYSTEM_STATE.+slice.+state.+changed )|(ment ac)|(multiple cpu faults)|(system.+state.+changed )|(\[timeout)|(PRM\|1\|D)|(kpr)|(kdp)|(train st.+moving)|(\|lc)|(penalty))"</v>
      </c>
      <c r="AG83" s="1" t="str">
        <f t="shared" si="42"/>
        <v>EC</v>
      </c>
      <c r="AH83" s="81" t="str">
        <f t="shared" si="43"/>
        <v>"%USERPROFILE%\Documents\GitHub\eaglep3\Utilities\RefineRTDCRunTimes.py" --tripid 168-13 --locoid 4041 --swversion DE.1.0.9.0 --startMP 204:36788 --initTime 2017-05-13T13:26:56 --startdatetime 2017-05-13T13:27:49 --delay 0 --endMP 204:134 --enddatetime 2017-05-13T13:39:37 --enforcementcount 1 &gt;&gt;C:\Users\stu\Documents\GitHub\eaglep3-reporting\EC\2017-05-13-refined-times.txt</v>
      </c>
      <c r="AI83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{"issue":{"subject":"","project_id":79,"tracker_id":40,"status_id":1,"priority_id":2,"assigned_to_id":23,"start_date":"2017-05-13","description":"","custom_fields":[{"id":1,"name":"Subdivision","value":"EC"},{"id":4,"name":"Milepost","value":"0.0134"},{"id":17,"name":"Train ID","value":"168-13"},{"id":16,"name":"Locomotive ID","value":"4041"},{"id":130,"name":"Impact","value":""},{"id":150,"name":"Time of Event (Mountain Time)","value":"13:39:37"},{"id":151,"name":"Denver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5"/>
        <v>start /low /b %USERPROFILE%\Documents\GitHub\eaglep3\Utilities\DownloadLogsFromS3.py --loco 4041 --day 2017-05-13</v>
      </c>
      <c r="AN83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554</v>
      </c>
      <c r="B84" s="7">
        <v>4032</v>
      </c>
      <c r="C84" s="21" t="s">
        <v>206</v>
      </c>
      <c r="D84" s="21" t="s">
        <v>448</v>
      </c>
      <c r="E84" s="13">
        <v>42868.506215277775</v>
      </c>
      <c r="F84" s="13">
        <v>42868.51059027778</v>
      </c>
      <c r="G84" s="7">
        <v>1</v>
      </c>
      <c r="H84" s="21" t="s">
        <v>841</v>
      </c>
      <c r="I84" s="13">
        <v>42868.535381944443</v>
      </c>
      <c r="J84" s="7">
        <v>0</v>
      </c>
      <c r="K84" s="92" t="str">
        <f t="shared" si="30"/>
        <v>4031/4032</v>
      </c>
      <c r="L84" s="21" t="str">
        <f>VLOOKUP(A84,'Trips&amp;Operators'!$C$1:$G$99999,5,FALSE)</f>
        <v>ROMERO CHAD</v>
      </c>
      <c r="M84" s="6">
        <f t="shared" si="31"/>
        <v>2.4791666663077194E-2</v>
      </c>
      <c r="N84" s="7">
        <f t="shared" ref="N84:N90" si="47">24*60*SUM($M84:$M84)</f>
        <v>35.69999999483116</v>
      </c>
      <c r="O84" s="7"/>
      <c r="P84" s="7"/>
      <c r="Q84" s="22"/>
      <c r="R84" s="190"/>
      <c r="S84" s="196">
        <f t="shared" ref="S84:S91" si="48">SUM(U84:U84)/IF(AG84="EC",12,1)</f>
        <v>1</v>
      </c>
      <c r="T84" s="190" t="str">
        <f t="shared" si="32"/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3"/>
        <v>https://d0f6bd738d7f1b3e5a7ca70fe4ff75f0.us-east-1.aws.found.io/app/kibana#/discover/Steve-Slow-Train-Analysis-(2080s-and-2083s)?_g=(refreshInterval:(display:Off,pause:!f,section:0,value:0),time:(from:'2017-05-13T11:08:57-0600',mode:absolute,to:'2017-05-13T13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4" s="192" t="str">
        <f t="shared" si="34"/>
        <v>N</v>
      </c>
      <c r="X84" s="192">
        <f t="shared" si="35"/>
        <v>1</v>
      </c>
      <c r="Y84" s="192">
        <f t="shared" si="36"/>
        <v>4.3499999999999997E-2</v>
      </c>
      <c r="Z84" s="192">
        <f t="shared" si="37"/>
        <v>23.338100000000001</v>
      </c>
      <c r="AA84" s="192">
        <f t="shared" si="38"/>
        <v>23.294599999999999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9"/>
        <v>0169-13</v>
      </c>
      <c r="AE84" s="80" t="str">
        <f t="shared" si="40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84" s="77" t="str">
        <f t="shared" si="41"/>
        <v>"C:\Program Files (x86)\AstroGrep\AstroGrep.exe" /e /r /s /spath="%USERPROFILE%\AppData\Local\Temp\OnboardLogs" /stypes="app*4032*20170513*" /stext=" 18:.+((SYSTEM_STATE.+slice.+state.+changed )|(ment ac)|(multiple cpu faults)|(system.+state.+changed )|(\[timeout)|(PRM\|1\|D)|(kpr)|(kdp)|(train st.+moving)|(\|lc)|(penalty))"</v>
      </c>
      <c r="AG84" s="1" t="str">
        <f t="shared" si="42"/>
        <v>EC</v>
      </c>
      <c r="AH84" s="81" t="str">
        <f t="shared" si="43"/>
        <v>"%USERPROFILE%\Documents\GitHub\eaglep3\Utilities\RefineRTDCRunTimes.py" --tripid 169-13 --locoid 4032 --swversion DE.1.0.9.0 --startMP 204:435 --initTime 2017-05-13T12:08:57 --startdatetime 2017-05-13T12:15:15 --delay 1 --endMP 204:233381 --enddatetime 2017-05-13T12:50:57 --enforcementcount 0 &gt;&gt;C:\Users\stu\Documents\GitHub\eaglep3-reporting\EC\2017-05-13-refined-times.txt</v>
      </c>
      <c r="AI84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{"issue":{"subject":"","project_id":79,"tracker_id":40,"status_id":1,"priority_id":2,"assigned_to_id":23,"start_date":"2017-05-13","description":"","custom_fields":[{"id":1,"name":"Subdivision","value":"EC"},{"id":4,"name":"Milepost","value":"23.3381"},{"id":17,"name":"Train ID","value":"169-13"},{"id":16,"name":"Locomotive ID","value":"4032"},{"id":130,"name":"Impact","value":""},{"id":150,"name":"Time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45"/>
        <v>start /low /b %USERPROFILE%\Documents\GitHub\eaglep3\Utilities\DownloadLogsFromS3.py --loco 4032 --day 2017-05-13</v>
      </c>
      <c r="AN84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693</v>
      </c>
      <c r="B85" s="7">
        <v>4031</v>
      </c>
      <c r="C85" s="21" t="s">
        <v>206</v>
      </c>
      <c r="D85" s="21" t="s">
        <v>518</v>
      </c>
      <c r="E85" s="13">
        <v>42868.538310185184</v>
      </c>
      <c r="F85" s="13">
        <v>42868.549675925926</v>
      </c>
      <c r="G85" s="7">
        <v>1</v>
      </c>
      <c r="H85" s="21" t="s">
        <v>800</v>
      </c>
      <c r="I85" s="13">
        <v>42868.577743055554</v>
      </c>
      <c r="J85" s="7">
        <v>0</v>
      </c>
      <c r="K85" s="92" t="str">
        <f t="shared" si="30"/>
        <v>4031/4032</v>
      </c>
      <c r="L85" s="21" t="str">
        <f>VLOOKUP(A85,'Trips&amp;Operators'!$C$1:$G$99999,5,FALSE)</f>
        <v>ROMERO CHAD</v>
      </c>
      <c r="M85" s="6">
        <f t="shared" si="31"/>
        <v>2.806712962774327E-2</v>
      </c>
      <c r="N85" s="7">
        <f t="shared" si="47"/>
        <v>40.416666663950309</v>
      </c>
      <c r="O85" s="7"/>
      <c r="P85" s="7"/>
      <c r="Q85" s="22"/>
      <c r="R85" s="190"/>
      <c r="S85" s="196">
        <f t="shared" si="48"/>
        <v>1</v>
      </c>
      <c r="T85" s="190" t="str">
        <f t="shared" si="32"/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3"/>
        <v>https://d0f6bd738d7f1b3e5a7ca70fe4ff75f0.us-east-1.aws.found.io/app/kibana#/discover/Steve-Slow-Train-Analysis-(2080s-and-2083s)?_g=(refreshInterval:(display:Off,pause:!f,section:0,value:0),time:(from:'2017-05-13T11:55:10-0600',mode:absolute,to:'2017-05-13T14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5" s="192" t="str">
        <f t="shared" si="34"/>
        <v>N</v>
      </c>
      <c r="X85" s="192">
        <f t="shared" si="35"/>
        <v>1</v>
      </c>
      <c r="Y85" s="192">
        <f t="shared" si="36"/>
        <v>23.308299999999999</v>
      </c>
      <c r="Z85" s="192">
        <f t="shared" si="37"/>
        <v>1.2500000000000001E-2</v>
      </c>
      <c r="AA85" s="192">
        <f t="shared" si="38"/>
        <v>23.2958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9"/>
        <v>0170-13</v>
      </c>
      <c r="AE85" s="80" t="str">
        <f t="shared" si="40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85" s="77" t="str">
        <f t="shared" si="41"/>
        <v>"C:\Program Files (x86)\AstroGrep\AstroGrep.exe" /e /r /s /spath="%USERPROFILE%\AppData\Local\Temp\OnboardLogs" /stypes="app*4031*20170513*" /stext=" 19:.+((SYSTEM_STATE.+slice.+state.+changed )|(ment ac)|(multiple cpu faults)|(system.+state.+changed )|(\[timeout)|(PRM\|1\|D)|(kpr)|(kdp)|(train st.+moving)|(\|lc)|(penalty))"</v>
      </c>
      <c r="AG85" s="1" t="str">
        <f t="shared" si="42"/>
        <v>EC</v>
      </c>
      <c r="AH85" s="81" t="str">
        <f t="shared" si="43"/>
        <v>"%USERPROFILE%\Documents\GitHub\eaglep3\Utilities\RefineRTDCRunTimes.py" --tripid 170-13 --locoid 4031 --swversion DE.1.0.9.0 --startMP 204:233083 --initTime 2017-05-13T12:55:10 --startdatetime 2017-05-13T13:11:32 --delay 1 --endMP 204:125 --enddatetime 2017-05-13T13:51:57 --enforcementcount 0 &gt;&gt;C:\Users\stu\Documents\GitHub\eaglep3-reporting\EC\2017-05-13-refined-times.txt</v>
      </c>
      <c r="AI85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{"issue":{"subject":"","project_id":79,"tracker_id":40,"status_id":1,"priority_id":2,"assigned_to_id":23,"start_date":"2017-05-13","description":"","custom_fields":[{"id":1,"name":"Subdivision","value":"EC"},{"id":4,"name":"Milepost","value":"0.0125"},{"id":17,"name":"Train ID","value":"170-13"},{"id":16,"name":"Locomotive ID","value":"4031"},{"id":130,"name":"Impact","value":""},{"id":150,"name":"Time of Event (Mountain Time)","value":"13:51:57"},{"id":151,"name":"Denver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5"/>
        <v>start /low /b %USERPROFILE%\Documents\GitHub\eaglep3\Utilities\DownloadLogsFromS3.py --loco 4031 --day 2017-05-13</v>
      </c>
      <c r="AN85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690</v>
      </c>
      <c r="B86" s="7">
        <v>4054</v>
      </c>
      <c r="C86" s="21" t="s">
        <v>206</v>
      </c>
      <c r="D86" s="21" t="s">
        <v>361</v>
      </c>
      <c r="E86" s="13">
        <v>42868.516967592594</v>
      </c>
      <c r="F86" s="13">
        <v>42868.521261574075</v>
      </c>
      <c r="G86" s="7">
        <v>1</v>
      </c>
      <c r="H86" s="21" t="s">
        <v>842</v>
      </c>
      <c r="I86" s="13">
        <v>42868.546944444446</v>
      </c>
      <c r="J86" s="7">
        <v>0</v>
      </c>
      <c r="K86" s="92" t="str">
        <f t="shared" si="30"/>
        <v>4053/4054</v>
      </c>
      <c r="L86" s="21" t="str">
        <f>VLOOKUP(A86,'Trips&amp;Operators'!$C$1:$G$99999,5,FALSE)</f>
        <v>MOSES BRADLEY</v>
      </c>
      <c r="M86" s="6">
        <f t="shared" si="31"/>
        <v>2.5682870371383615E-2</v>
      </c>
      <c r="N86" s="7">
        <f t="shared" si="47"/>
        <v>36.983333334792405</v>
      </c>
      <c r="O86" s="7"/>
      <c r="P86" s="7"/>
      <c r="Q86" s="22"/>
      <c r="R86" s="190"/>
      <c r="S86" s="196">
        <f t="shared" si="48"/>
        <v>1</v>
      </c>
      <c r="T86" s="190" t="str">
        <f t="shared" si="32"/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3"/>
        <v>https://d0f6bd738d7f1b3e5a7ca70fe4ff75f0.us-east-1.aws.found.io/app/kibana#/discover/Steve-Slow-Train-Analysis-(2080s-and-2083s)?_g=(refreshInterval:(display:Off,pause:!f,section:0,value:0),time:(from:'2017-05-13T11:24:26-0600',mode:absolute,to:'2017-05-13T14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192" t="str">
        <f t="shared" si="34"/>
        <v>N</v>
      </c>
      <c r="X86" s="192">
        <f t="shared" si="35"/>
        <v>1</v>
      </c>
      <c r="Y86" s="192">
        <f t="shared" si="36"/>
        <v>4.6899999999999997E-2</v>
      </c>
      <c r="Z86" s="192">
        <f t="shared" si="37"/>
        <v>23.3324</v>
      </c>
      <c r="AA86" s="192">
        <f t="shared" si="38"/>
        <v>23.285499999999999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9"/>
        <v>0171-13</v>
      </c>
      <c r="AE86" s="80" t="str">
        <f t="shared" si="40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86" s="77" t="str">
        <f t="shared" si="41"/>
        <v>"C:\Program Files (x86)\AstroGrep\AstroGrep.exe" /e /r /s /spath="%USERPROFILE%\AppData\Local\Temp\OnboardLogs" /stypes="app*4054*20170513*" /stext=" 19:.+((SYSTEM_STATE.+slice.+state.+changed )|(ment ac)|(multiple cpu faults)|(system.+state.+changed )|(\[timeout)|(PRM\|1\|D)|(kpr)|(kdp)|(train st.+moving)|(\|lc)|(penalty))"</v>
      </c>
      <c r="AG86" s="1" t="str">
        <f t="shared" si="42"/>
        <v>EC</v>
      </c>
      <c r="AH86" s="81" t="str">
        <f t="shared" si="43"/>
        <v>"%USERPROFILE%\Documents\GitHub\eaglep3\Utilities\RefineRTDCRunTimes.py" --tripid 171-13 --locoid 4054 --swversion DE.1.0.9.0 --startMP 204:469 --initTime 2017-05-13T12:24:26 --startdatetime 2017-05-13T12:30:37 --delay 1 --endMP 204:233324 --enddatetime 2017-05-13T13:07:36 --enforcementcount 0 &gt;&gt;C:\Users\stu\Documents\GitHub\eaglep3-reporting\EC\2017-05-13-refined-times.txt</v>
      </c>
      <c r="AI86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{"issue":{"subject":"","project_id":79,"tracker_id":40,"status_id":1,"priority_id":2,"assigned_to_id":23,"start_date":"2017-05-13","description":"","custom_fields":[{"id":1,"name":"Subdivision","value":"EC"},{"id":4,"name":"Milepost","value":"23.3324"},{"id":17,"name":"Train ID","value":"171-13"},{"id":16,"name":"Locomotive ID","value":"4054"},{"id":130,"name":"Impact","value":""},{"id":150,"name":"Time of Event (Mountain Time)","value":"13:07:36"},{"id":151,"name":"Denver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5"/>
        <v>start /low /b %USERPROFILE%\Documents\GitHub\eaglep3\Utilities\DownloadLogsFromS3.py --loco 4054 --day 2017-05-13</v>
      </c>
      <c r="AN86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697</v>
      </c>
      <c r="B87" s="7">
        <v>4053</v>
      </c>
      <c r="C87" s="21" t="s">
        <v>206</v>
      </c>
      <c r="D87" s="21" t="s">
        <v>843</v>
      </c>
      <c r="E87" s="13">
        <v>42868.555277777778</v>
      </c>
      <c r="F87" s="13">
        <v>42868.559953703705</v>
      </c>
      <c r="G87" s="7">
        <v>1</v>
      </c>
      <c r="H87" s="21" t="s">
        <v>357</v>
      </c>
      <c r="I87" s="13">
        <v>42868.590486111112</v>
      </c>
      <c r="J87" s="7">
        <v>0</v>
      </c>
      <c r="K87" s="92" t="str">
        <f t="shared" si="30"/>
        <v>4053/4054</v>
      </c>
      <c r="L87" s="21" t="str">
        <f>VLOOKUP(A87,'Trips&amp;Operators'!$C$1:$G$99999,5,FALSE)</f>
        <v>MOSES BRADLEY</v>
      </c>
      <c r="M87" s="6">
        <f t="shared" si="31"/>
        <v>3.0532407407008577E-2</v>
      </c>
      <c r="N87" s="7">
        <f t="shared" si="47"/>
        <v>43.966666666092351</v>
      </c>
      <c r="O87" s="7"/>
      <c r="P87" s="7"/>
      <c r="Q87" s="22"/>
      <c r="R87" s="190"/>
      <c r="S87" s="196">
        <f t="shared" si="48"/>
        <v>1</v>
      </c>
      <c r="T87" s="190" t="str">
        <f t="shared" si="32"/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3"/>
        <v>https://d0f6bd738d7f1b3e5a7ca70fe4ff75f0.us-east-1.aws.found.io/app/kibana#/discover/Steve-Slow-Train-Analysis-(2080s-and-2083s)?_g=(refreshInterval:(display:Off,pause:!f,section:0,value:0),time:(from:'2017-05-13T12:19:36-0600',mode:absolute,to:'2017-05-13T15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192" t="str">
        <f t="shared" si="34"/>
        <v>N</v>
      </c>
      <c r="X87" s="192">
        <f t="shared" si="35"/>
        <v>1</v>
      </c>
      <c r="Y87" s="192">
        <f t="shared" si="36"/>
        <v>23.3005</v>
      </c>
      <c r="Z87" s="192">
        <f t="shared" si="37"/>
        <v>1.4999999999999999E-2</v>
      </c>
      <c r="AA87" s="192">
        <f t="shared" si="38"/>
        <v>23.285499999999999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9"/>
        <v>0172-13</v>
      </c>
      <c r="AE87" s="80" t="str">
        <f t="shared" si="40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87" s="77" t="str">
        <f t="shared" si="41"/>
        <v>"C:\Program Files (x86)\AstroGrep\AstroGrep.exe" /e /r /s /spath="%USERPROFILE%\AppData\Local\Temp\OnboardLogs" /stypes="app*4053*20170513*" /stext=" 20:.+((SYSTEM_STATE.+slice.+state.+changed )|(ment ac)|(multiple cpu faults)|(system.+state.+changed )|(\[timeout)|(PRM\|1\|D)|(kpr)|(kdp)|(train st.+moving)|(\|lc)|(penalty))"</v>
      </c>
      <c r="AG87" s="1" t="str">
        <f t="shared" si="42"/>
        <v>EC</v>
      </c>
      <c r="AH87" s="81" t="str">
        <f t="shared" si="43"/>
        <v>"%USERPROFILE%\Documents\GitHub\eaglep3\Utilities\RefineRTDCRunTimes.py" --tripid 172-13 --locoid 4053 --swversion DE.1.0.9.0 --startMP 204:233005 --initTime 2017-05-13T13:19:36 --startdatetime 2017-05-13T13:26:20 --delay 1 --endMP 204:150 --enddatetime 2017-05-13T14:10:18 --enforcementcount 0 &gt;&gt;C:\Users\stu\Documents\GitHub\eaglep3-reporting\EC\2017-05-13-refined-times.txt</v>
      </c>
      <c r="AI87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{"issue":{"subject":"","project_id":79,"tracker_id":40,"status_id":1,"priority_id":2,"assigned_to_id":23,"start_date":"2017-05-13","description":"","custom_fields":[{"id":1,"name":"Subdivision","value":"EC"},{"id":4,"name":"Milepost","value":"0.015"},{"id":17,"name":"Train ID","value":"172-13"},{"id":16,"name":"Locomotive ID","value":"4053"},{"id":130,"name":"Impact","value":""},{"id":150,"name":"Time of Event (Mountain Time)","value":"14:10:18"},{"id":151,"name":"Denver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5"/>
        <v>start /low /b %USERPROFILE%\Documents\GitHub\eaglep3\Utilities\DownloadLogsFromS3.py --loco 4053 --day 2017-05-13</v>
      </c>
      <c r="AN87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555</v>
      </c>
      <c r="B88" s="7">
        <v>4028</v>
      </c>
      <c r="C88" s="21" t="s">
        <v>206</v>
      </c>
      <c r="D88" s="21" t="s">
        <v>367</v>
      </c>
      <c r="E88" s="13">
        <v>42868.52789351852</v>
      </c>
      <c r="F88" s="13">
        <v>42868.5315162037</v>
      </c>
      <c r="G88" s="7">
        <v>1</v>
      </c>
      <c r="H88" s="21" t="s">
        <v>813</v>
      </c>
      <c r="I88" s="13">
        <v>42868.55736111111</v>
      </c>
      <c r="J88" s="7">
        <v>0</v>
      </c>
      <c r="K88" s="92" t="str">
        <f t="shared" si="30"/>
        <v>4027/4028</v>
      </c>
      <c r="L88" s="21" t="str">
        <f>VLOOKUP(A88,'Trips&amp;Operators'!$C$1:$G$99999,5,FALSE)</f>
        <v>STEWART MICHAEL</v>
      </c>
      <c r="M88" s="6">
        <f t="shared" si="31"/>
        <v>2.584490740991896E-2</v>
      </c>
      <c r="N88" s="7">
        <f t="shared" si="47"/>
        <v>37.216666670283303</v>
      </c>
      <c r="O88" s="7"/>
      <c r="P88" s="7"/>
      <c r="Q88" s="22"/>
      <c r="R88" s="190"/>
      <c r="S88" s="196">
        <f t="shared" si="48"/>
        <v>1</v>
      </c>
      <c r="T88" s="190" t="str">
        <f t="shared" si="32"/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3"/>
        <v>https://d0f6bd738d7f1b3e5a7ca70fe4ff75f0.us-east-1.aws.found.io/app/kibana#/discover/Steve-Slow-Train-Analysis-(2080s-and-2083s)?_g=(refreshInterval:(display:Off,pause:!f,section:0,value:0),time:(from:'2017-05-13T11:40:10-0600',mode:absolute,to:'2017-05-13T14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8" s="192" t="str">
        <f t="shared" si="34"/>
        <v>N</v>
      </c>
      <c r="X88" s="192">
        <f t="shared" si="35"/>
        <v>1</v>
      </c>
      <c r="Y88" s="192">
        <f t="shared" si="36"/>
        <v>4.53E-2</v>
      </c>
      <c r="Z88" s="192">
        <f t="shared" si="37"/>
        <v>23.329499999999999</v>
      </c>
      <c r="AA88" s="192">
        <f t="shared" si="38"/>
        <v>23.284199999999998</v>
      </c>
      <c r="AB88" s="57" t="str">
        <f>VLOOKUP(A88,Enforcements!$C$7:$K$13,8,0)</f>
        <v>Bulletin (2)</v>
      </c>
      <c r="AC88" s="53" t="str">
        <f>VLOOKUP(A88,Enforcements!$C$7:$E$13,3,0)</f>
        <v>GRADE CROSSING</v>
      </c>
      <c r="AD88" s="54" t="str">
        <f t="shared" si="39"/>
        <v>0173-13</v>
      </c>
      <c r="AE88" s="80" t="str">
        <f t="shared" si="40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88" s="77" t="str">
        <f t="shared" si="41"/>
        <v>"C:\Program Files (x86)\AstroGrep\AstroGrep.exe" /e /r /s /spath="%USERPROFILE%\AppData\Local\Temp\OnboardLogs" /stypes="app*4028*20170513*" /stext=" 19:.+((SYSTEM_STATE.+slice.+state.+changed )|(ment ac)|(multiple cpu faults)|(system.+state.+changed )|(\[timeout)|(PRM\|1\|D)|(kpr)|(kdp)|(train st.+moving)|(\|lc)|(penalty))"</v>
      </c>
      <c r="AG88" s="1" t="str">
        <f t="shared" si="42"/>
        <v>EC</v>
      </c>
      <c r="AH88" s="81" t="str">
        <f t="shared" si="43"/>
        <v>"%USERPROFILE%\Documents\GitHub\eaglep3\Utilities\RefineRTDCRunTimes.py" --tripid 173-13 --locoid 4028 --swversion DE.1.0.9.0 --startMP 204:453 --initTime 2017-05-13T12:40:10 --startdatetime 2017-05-13T12:45:23 --delay 1 --endMP 204:233295 --enddatetime 2017-05-13T13:22:36 --enforcementcount 0 &gt;&gt;C:\Users\stu\Documents\GitHub\eaglep3-reporting\EC\2017-05-13-refined-times.txt</v>
      </c>
      <c r="AI88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{"issue":{"subject":"","project_id":79,"tracker_id":40,"status_id":1,"priority_id":2,"assigned_to_id":23,"start_date":"2017-05-13","description":"","custom_fields":[{"id":1,"name":"Subdivision","value":"EC"},{"id":4,"name":"Milepost","value":"23.3295"},{"id":17,"name":"Train ID","value":"173-13"},{"id":16,"name":"Locomotive ID","value":"4028"},{"id":130,"name":"Impact","value":""},{"id":150,"name":"Time of Event (Mountain Time)","value":"13:22:36"},{"id":151,"name":"Denver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5"/>
        <v>start /low /b %USERPROFILE%\Documents\GitHub\eaglep3\Utilities\DownloadLogsFromS3.py --loco 4028 --day 2017-05-13</v>
      </c>
      <c r="AN88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560</v>
      </c>
      <c r="B89" s="7">
        <v>4027</v>
      </c>
      <c r="C89" s="21" t="s">
        <v>206</v>
      </c>
      <c r="D89" s="21" t="s">
        <v>844</v>
      </c>
      <c r="E89" s="13">
        <v>42868.566400462965</v>
      </c>
      <c r="F89" s="13">
        <v>42868.570405092592</v>
      </c>
      <c r="G89" s="7">
        <v>1</v>
      </c>
      <c r="H89" s="21" t="s">
        <v>845</v>
      </c>
      <c r="I89" s="13">
        <v>42868.598599537036</v>
      </c>
      <c r="J89" s="7">
        <v>0</v>
      </c>
      <c r="K89" s="92" t="str">
        <f t="shared" si="30"/>
        <v>4027/4028</v>
      </c>
      <c r="L89" s="21" t="str">
        <f>VLOOKUP(A89,'Trips&amp;Operators'!$C$1:$G$99999,5,FALSE)</f>
        <v>STEWART MICHAEL</v>
      </c>
      <c r="M89" s="6">
        <f t="shared" si="31"/>
        <v>2.8194444443215616E-2</v>
      </c>
      <c r="N89" s="7">
        <f t="shared" si="47"/>
        <v>40.599999998230487</v>
      </c>
      <c r="O89" s="7"/>
      <c r="P89" s="7"/>
      <c r="Q89" s="22"/>
      <c r="R89" s="190"/>
      <c r="S89" s="196">
        <f t="shared" si="48"/>
        <v>1</v>
      </c>
      <c r="T89" s="190" t="str">
        <f t="shared" si="32"/>
        <v>Southbound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3"/>
        <v>https://d0f6bd738d7f1b3e5a7ca70fe4ff75f0.us-east-1.aws.found.io/app/kibana#/discover/Steve-Slow-Train-Analysis-(2080s-and-2083s)?_g=(refreshInterval:(display:Off,pause:!f,section:0,value:0),time:(from:'2017-05-13T12:35:37-0600',mode:absolute,to:'2017-05-13T15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192" t="str">
        <f t="shared" si="34"/>
        <v>N</v>
      </c>
      <c r="X89" s="192">
        <f t="shared" si="35"/>
        <v>1</v>
      </c>
      <c r="Y89" s="192">
        <f t="shared" si="36"/>
        <v>23.299099999999999</v>
      </c>
      <c r="Z89" s="192">
        <f t="shared" si="37"/>
        <v>4.9099999999999998E-2</v>
      </c>
      <c r="AA89" s="192">
        <f t="shared" si="38"/>
        <v>23.25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9"/>
        <v>0174-13</v>
      </c>
      <c r="AE89" s="80" t="str">
        <f t="shared" si="40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89" s="77" t="str">
        <f t="shared" si="41"/>
        <v>"C:\Program Files (x86)\AstroGrep\AstroGrep.exe" /e /r /s /spath="%USERPROFILE%\AppData\Local\Temp\OnboardLogs" /stypes="app*4027*20170513*" /stext=" 20:.+((SYSTEM_STATE.+slice.+state.+changed )|(ment ac)|(multiple cpu faults)|(system.+state.+changed )|(\[timeout)|(PRM\|1\|D)|(kpr)|(kdp)|(train st.+moving)|(\|lc)|(penalty))"</v>
      </c>
      <c r="AG89" s="1" t="str">
        <f t="shared" si="42"/>
        <v>EC</v>
      </c>
      <c r="AH89" s="81" t="str">
        <f t="shared" si="43"/>
        <v>"%USERPROFILE%\Documents\GitHub\eaglep3\Utilities\RefineRTDCRunTimes.py" --tripid 174-13 --locoid 4027 --swversion DE.1.0.9.0 --startMP 204:232991 --initTime 2017-05-13T13:35:37 --startdatetime 2017-05-13T13:41:23 --delay 1 --endMP 204:491 --enddatetime 2017-05-13T14:21:59 --enforcementcount 0 &gt;&gt;C:\Users\stu\Documents\GitHub\eaglep3-reporting\EC\2017-05-13-refined-times.txt</v>
      </c>
      <c r="AI89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{"issue":{"subject":"","project_id":79,"tracker_id":40,"status_id":1,"priority_id":2,"assigned_to_id":23,"start_date":"2017-05-13","description":"","custom_fields":[{"id":1,"name":"Subdivision","value":"EC"},{"id":4,"name":"Milepost","value":"0.0491"},{"id":17,"name":"Train ID","value":"174-13"},{"id":16,"name":"Locomotive ID","value":"4027"},{"id":130,"name":"Impact","value":""},{"id":150,"name":"Time of Event (Mountain Time)","value":"14:21:59"},{"id":151,"name":"Denver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5"/>
        <v>start /low /b %USERPROFILE%\Documents\GitHub\eaglep3\Utilities\DownloadLogsFromS3.py --loco 4027 --day 2017-05-13</v>
      </c>
      <c r="AN89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695</v>
      </c>
      <c r="B90" s="7">
        <v>4008</v>
      </c>
      <c r="C90" s="21" t="s">
        <v>206</v>
      </c>
      <c r="D90" s="21" t="s">
        <v>367</v>
      </c>
      <c r="E90" s="13">
        <v>42868.539375</v>
      </c>
      <c r="F90" s="13">
        <v>42868.542071759257</v>
      </c>
      <c r="G90" s="7">
        <v>1</v>
      </c>
      <c r="H90" s="21" t="s">
        <v>364</v>
      </c>
      <c r="I90" s="13">
        <v>42868.569085648145</v>
      </c>
      <c r="J90" s="7">
        <v>0</v>
      </c>
      <c r="K90" s="92" t="str">
        <f t="shared" si="30"/>
        <v>4007/4008</v>
      </c>
      <c r="L90" s="21" t="str">
        <f>VLOOKUP(A90,'Trips&amp;Operators'!$C$1:$G$99999,5,FALSE)</f>
        <v>DAVIS MICHAEL</v>
      </c>
      <c r="M90" s="6">
        <f t="shared" si="31"/>
        <v>2.7013888888177462E-2</v>
      </c>
      <c r="N90" s="7">
        <f t="shared" si="47"/>
        <v>38.899999998975545</v>
      </c>
      <c r="O90" s="7"/>
      <c r="P90" s="7"/>
      <c r="Q90" s="22"/>
      <c r="R90" s="190"/>
      <c r="S90" s="196">
        <f t="shared" si="48"/>
        <v>1</v>
      </c>
      <c r="T90" s="190" t="str">
        <f t="shared" si="32"/>
        <v>NorthBound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3"/>
        <v>https://d0f6bd738d7f1b3e5a7ca70fe4ff75f0.us-east-1.aws.found.io/app/kibana#/discover/Steve-Slow-Train-Analysis-(2080s-and-2083s)?_g=(refreshInterval:(display:Off,pause:!f,section:0,value:0),time:(from:'2017-05-13T11:56:42-0600',mode:absolute,to:'2017-05-13T14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0" s="192" t="str">
        <f t="shared" si="34"/>
        <v>N</v>
      </c>
      <c r="X90" s="192">
        <f t="shared" si="35"/>
        <v>1</v>
      </c>
      <c r="Y90" s="192">
        <f t="shared" si="36"/>
        <v>4.53E-2</v>
      </c>
      <c r="Z90" s="192">
        <f t="shared" si="37"/>
        <v>23.331399999999999</v>
      </c>
      <c r="AA90" s="192">
        <f t="shared" si="38"/>
        <v>23.286099999999998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9"/>
        <v>0175-13</v>
      </c>
      <c r="AE90" s="80" t="str">
        <f t="shared" si="40"/>
        <v>aws s3 cp s3://rtdc.mdm.uploadarchive.raw/RTDC4008/ "%USERPROFILE%\AppData\Local\Temp\OnboardLogs"\RTDC4008\2017-05-13 --exclude "*" --recursive --include "*20170513*" &amp; "%USERPROFILE%\Documents\GitHub\mrs-test-scripts\Headless Mode &amp; Sideloading\WalkAndUnGZ.bat" "%USERPROFILE%\AppData\Local\Temp\OnboardLogs"\RTDC4008\2017-05-13 &amp; aws s3 cp s3://rtdc.mdm.uploadarchive.raw/RTDC4008/ "%USERPROFILE%\AppData\Local\Temp\OnboardLogs"\RTDC4008\2017-05-14 --exclude "*" --recursive --include "*20170514*" &amp; "%USERPROFILE%\Documents\GitHub\mrs-test-scripts\Headless Mode &amp; Sideloading\WalkAndUnGZ.bat" "%USERPROFILE%\AppData\Local\Temp\OnboardLogs"\RTDC4008\2017-05-14</v>
      </c>
      <c r="AF90" s="77" t="str">
        <f t="shared" si="41"/>
        <v>"C:\Program Files (x86)\AstroGrep\AstroGrep.exe" /e /r /s /spath="%USERPROFILE%\AppData\Local\Temp\OnboardLogs" /stypes="app*4008*20170513*" /stext=" 19:.+((SYSTEM_STATE.+slice.+state.+changed )|(ment ac)|(multiple cpu faults)|(system.+state.+changed )|(\[timeout)|(PRM\|1\|D)|(kpr)|(kdp)|(train st.+moving)|(\|lc)|(penalty))"</v>
      </c>
      <c r="AG90" s="1" t="str">
        <f t="shared" si="42"/>
        <v>EC</v>
      </c>
      <c r="AH90" s="81" t="str">
        <f t="shared" si="43"/>
        <v>"%USERPROFILE%\Documents\GitHub\eaglep3\Utilities\RefineRTDCRunTimes.py" --tripid 175-13 --locoid 4008 --swversion DE.1.0.9.0 --startMP 204:453 --initTime 2017-05-13T12:56:42 --startdatetime 2017-05-13T13:00:35 --delay 1 --endMP 204:233314 --enddatetime 2017-05-13T13:39:29 --enforcementcount 0 &gt;&gt;C:\Users\stu\Documents\GitHub\eaglep3-reporting\EC\2017-05-13-refined-times.txt</v>
      </c>
      <c r="AI90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{"issue":{"subject":"","project_id":79,"tracker_id":40,"status_id":1,"priority_id":2,"assigned_to_id":23,"start_date":"2017-05-13","description":"","custom_fields":[{"id":1,"name":"Subdivision","value":"EC"},{"id":4,"name":"Milepost","value":"23.3314"},{"id":17,"name":"Train ID","value":"175-13"},{"id":16,"name":"Locomotive ID","value":"4008"},{"id":130,"name":"Impact","value":""},{"id":150,"name":"Time of Event (Mountain Time)","value":"13:39:29"},{"id":151,"name":"Denver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5"/>
        <v>start /low /b %USERPROFILE%\Documents\GitHub\eaglep3\Utilities\DownloadLogsFromS3.py --loco 4008 --day 2017-05-13</v>
      </c>
      <c r="AN90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699</v>
      </c>
      <c r="B91" s="7">
        <v>4007</v>
      </c>
      <c r="C91" s="21" t="s">
        <v>206</v>
      </c>
      <c r="D91" s="21" t="s">
        <v>846</v>
      </c>
      <c r="E91" s="13">
        <v>42868.596134259256</v>
      </c>
      <c r="F91" s="13">
        <v>42868.597997685189</v>
      </c>
      <c r="G91" s="7">
        <v>2</v>
      </c>
      <c r="H91" s="21" t="s">
        <v>847</v>
      </c>
      <c r="I91" s="13">
        <v>42868.621099537035</v>
      </c>
      <c r="J91" s="7">
        <v>0</v>
      </c>
      <c r="K91" s="92" t="str">
        <f t="shared" si="30"/>
        <v>4007/4008</v>
      </c>
      <c r="L91" s="21" t="str">
        <f>VLOOKUP(A91,'Trips&amp;Operators'!$C$1:$G$99999,5,FALSE)</f>
        <v>DAVIS MICHAEL</v>
      </c>
      <c r="M91" s="6">
        <f t="shared" si="31"/>
        <v>2.3101851846149657E-2</v>
      </c>
      <c r="N91" s="7"/>
      <c r="O91" s="7"/>
      <c r="P91" s="7">
        <f>24*60*SUM($M91:$M91)</f>
        <v>33.266666658455506</v>
      </c>
      <c r="Q91" s="22"/>
      <c r="R91" s="190" t="s">
        <v>539</v>
      </c>
      <c r="S91" s="196">
        <f t="shared" si="48"/>
        <v>1</v>
      </c>
      <c r="T91" s="190" t="str">
        <f t="shared" si="32"/>
        <v>Southbound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3"/>
        <v>https://d0f6bd738d7f1b3e5a7ca70fe4ff75f0.us-east-1.aws.found.io/app/kibana#/discover/Steve-Slow-Train-Analysis-(2080s-and-2083s)?_g=(refreshInterval:(display:Off,pause:!f,section:0,value:0),time:(from:'2017-05-13T13:18:26-0600',mode:absolute,to:'2017-05-13T15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1" s="192" t="str">
        <f t="shared" si="34"/>
        <v>Y</v>
      </c>
      <c r="X91" s="192">
        <f t="shared" si="35"/>
        <v>1</v>
      </c>
      <c r="Y91" s="192">
        <f t="shared" si="36"/>
        <v>12.787699999999999</v>
      </c>
      <c r="Z91" s="192">
        <f t="shared" si="37"/>
        <v>0.1162</v>
      </c>
      <c r="AA91" s="192">
        <f t="shared" si="38"/>
        <v>12.6715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9"/>
        <v>0176-13</v>
      </c>
      <c r="AE91" s="80" t="str">
        <f t="shared" si="40"/>
        <v>aws s3 cp s3://rtdc.mdm.uploadarchive.raw/RTDC4007/ "%USERPROFILE%\AppData\Local\Temp\OnboardLogs"\RTDC4007\2017-05-13 --exclude "*" --recursive --include "*20170513*" &amp; "%USERPROFILE%\Documents\GitHub\mrs-test-scripts\Headless Mode &amp; Sideloading\WalkAndUnGZ.bat" "%USERPROFILE%\AppData\Local\Temp\OnboardLogs"\RTDC4007\2017-05-13 &amp; aws s3 cp s3://rtdc.mdm.uploadarchive.raw/RTDC4007/ "%USERPROFILE%\AppData\Local\Temp\OnboardLogs"\RTDC4007\2017-05-14 --exclude "*" --recursive --include "*20170514*" &amp; "%USERPROFILE%\Documents\GitHub\mrs-test-scripts\Headless Mode &amp; Sideloading\WalkAndUnGZ.bat" "%USERPROFILE%\AppData\Local\Temp\OnboardLogs"\RTDC4007\2017-05-14</v>
      </c>
      <c r="AF91" s="77" t="str">
        <f t="shared" si="41"/>
        <v>"C:\Program Files (x86)\AstroGrep\AstroGrep.exe" /e /r /s /spath="%USERPROFILE%\AppData\Local\Temp\OnboardLogs" /stypes="app*4007*20170513*" /stext=" 20:.+((SYSTEM_STATE.+slice.+state.+changed )|(ment ac)|(multiple cpu faults)|(system.+state.+changed )|(\[timeout)|(PRM\|1\|D)|(kpr)|(kdp)|(train st.+moving)|(\|lc)|(penalty))"</v>
      </c>
      <c r="AG91" s="1" t="str">
        <f t="shared" si="42"/>
        <v>EC</v>
      </c>
      <c r="AH91" s="81" t="str">
        <f t="shared" si="43"/>
        <v>"%USERPROFILE%\Documents\GitHub\eaglep3\Utilities\RefineRTDCRunTimes.py" --tripid 176-13 --locoid 4007 --swversion DE.1.0.9.0 --startMP 204:127877 --initTime 2017-05-13T14:18:26 --startdatetime 2017-05-13T14:21:07 --delay 2 --endMP 204:1162 --enddatetime 2017-05-13T14:54:23 --enforcementcount 0 &gt;&gt;C:\Users\stu\Documents\GitHub\eaglep3-reporting\EC\2017-05-13-refined-times.txt</v>
      </c>
      <c r="AI91" s="99" t="str">
        <f t="shared" si="44"/>
        <v>echo {"issue":{"subject":"Onboard in-route failure","project_id":79,"tracker_id":40,"status_id":1,"priority_id":2,"assigned_to_id":23,"start_date":"2017-05-13","description":"","custom_fields":[{"id":1,"name":"Subdivision","value":"EC"},{"id":4,"name":"Milepost","value":"0.1162"},{"id":17,"name":"Train ID","value":"176-13"},{"id":16,"name":"Locomotive ID","value":"4007"},{"id":130,"name":"Impact","value":""},{"id":150,"name":"Time of Event (Mountain Time)","value":"14:54:23"},{"id":151,"name":"Denver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5"/>
        <v>start /low /b %USERPROFILE%\Documents\GitHub\eaglep3\Utilities\DownloadLogsFromS3.py --loco 4007 --day 2017-05-13</v>
      </c>
      <c r="AN91" s="154" t="str">
        <f t="shared" si="46"/>
        <v>echo {"issue":{"subject":"Onboard in-route failure","project_id":30,"tracker_id":4,"status_id":1,"priority_id":1,"assigned_to_id":10,"start_date":"2017-05-13","description":"","custom_fields":[{"id":30,"name":"Category","value":"Issue"},{"id":3,"name":"Functional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20" customFormat="1" x14ac:dyDescent="0.25">
      <c r="A92" s="32" t="s">
        <v>699</v>
      </c>
      <c r="B92" s="7">
        <v>4007</v>
      </c>
      <c r="C92" s="21" t="s">
        <v>206</v>
      </c>
      <c r="D92" s="21" t="s">
        <v>843</v>
      </c>
      <c r="E92" s="13">
        <v>42868.578067129631</v>
      </c>
      <c r="F92" s="13">
        <v>42868.579004629632</v>
      </c>
      <c r="G92" s="7">
        <v>1</v>
      </c>
      <c r="H92" s="21" t="s">
        <v>843</v>
      </c>
      <c r="I92" s="13">
        <v>42868.58084490741</v>
      </c>
      <c r="J92" s="7">
        <v>0</v>
      </c>
      <c r="K92" s="92" t="str">
        <f t="shared" si="30"/>
        <v>4007/4008</v>
      </c>
      <c r="L92" s="21" t="str">
        <f>VLOOKUP(A92,'Trips&amp;Operators'!$C$1:$G$99999,5,FALSE)</f>
        <v>DAVIS MICHAEL</v>
      </c>
      <c r="M92" s="6">
        <f t="shared" si="31"/>
        <v>1.8402777786832303E-3</v>
      </c>
      <c r="N92" s="7"/>
      <c r="O92" s="7"/>
      <c r="P92" s="7"/>
      <c r="Q92" s="22"/>
      <c r="R92" s="190"/>
      <c r="S92" s="196"/>
      <c r="T92" s="190" t="str">
        <f t="shared" si="32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191" t="str">
        <f t="shared" si="33"/>
        <v>https://d0f6bd738d7f1b3e5a7ca70fe4ff75f0.us-east-1.aws.found.io/app/kibana#/discover/Steve-Slow-Train-Analysis-(2080s-and-2083s)?_g=(refreshInterval:(display:Off,pause:!f,section:0,value:0),time:(from:'2017-05-13T12:52:25-0600',mode:absolute,to:'2017-05-13T14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92" t="str">
        <f t="shared" si="34"/>
        <v>Y</v>
      </c>
      <c r="X92" s="192">
        <f t="shared" si="35"/>
        <v>0</v>
      </c>
      <c r="Y92" s="192">
        <f t="shared" si="36"/>
        <v>23.3005</v>
      </c>
      <c r="Z92" s="192">
        <f t="shared" si="37"/>
        <v>23.3005</v>
      </c>
      <c r="AA92" s="192">
        <f t="shared" si="38"/>
        <v>0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9"/>
        <v>0176-13</v>
      </c>
      <c r="AE92" s="80" t="str">
        <f t="shared" si="40"/>
        <v>aws s3 cp s3://rtdc.mdm.uploadarchive.raw/RTDC4007/ "%USERPROFILE%\AppData\Local\Temp\OnboardLogs"\RTDC4007\2017-05-13 --exclude "*" --recursive --include "*20170513*" &amp; "%USERPROFILE%\Documents\GitHub\mrs-test-scripts\Headless Mode &amp; Sideloading\WalkAndUnGZ.bat" "%USERPROFILE%\AppData\Local\Temp\OnboardLogs"\RTDC4007\2017-05-13 &amp; aws s3 cp s3://rtdc.mdm.uploadarchive.raw/RTDC4007/ "%USERPROFILE%\AppData\Local\Temp\OnboardLogs"\RTDC4007\2017-05-14 --exclude "*" --recursive --include "*20170514*" &amp; "%USERPROFILE%\Documents\GitHub\mrs-test-scripts\Headless Mode &amp; Sideloading\WalkAndUnGZ.bat" "%USERPROFILE%\AppData\Local\Temp\OnboardLogs"\RTDC4007\2017-05-14</v>
      </c>
      <c r="AF92" s="77" t="str">
        <f t="shared" si="41"/>
        <v>"C:\Program Files (x86)\AstroGrep\AstroGrep.exe" /e /r /s /spath="%USERPROFILE%\AppData\Local\Temp\OnboardLogs" /stypes="app*4007*20170513*" /stext=" 19:.+((SYSTEM_STATE.+slice.+state.+changed )|(ment ac)|(multiple cpu faults)|(system.+state.+changed )|(\[timeout)|(PRM\|1\|D)|(kpr)|(kdp)|(train st.+moving)|(\|lc)|(penalty))"</v>
      </c>
      <c r="AG92" s="1" t="str">
        <f t="shared" si="42"/>
        <v>EC</v>
      </c>
      <c r="AH92" s="81" t="str">
        <f t="shared" si="43"/>
        <v>"%USERPROFILE%\Documents\GitHub\eaglep3\Utilities\RefineRTDCRunTimes.py" --tripid 176-13 --locoid 4007 --swversion DE.1.0.9.0 --startMP 204:233005 --initTime 2017-05-13T13:52:25 --startdatetime 2017-05-13T13:53:46 --delay 1 --endMP 204:233005 --enddatetime 2017-05-13T13:56:25 --enforcementcount 0 &gt;&gt;C:\Users\stu\Documents\GitHub\eaglep3-reporting\EC\2017-05-13-refined-times.txt</v>
      </c>
      <c r="AI92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{"issue":{"subject":"","project_id":79,"tracker_id":40,"status_id":1,"priority_id":2,"assigned_to_id":23,"start_date":"2017-05-13","description":"","custom_fields":[{"id":1,"name":"Subdivision","value":"EC"},{"id":4,"name":"Milepost","value":"23.3005"},{"id":17,"name":"Train ID","value":"176-13"},{"id":16,"name":"Locomotive ID","value":"4007"},{"id":130,"name":"Impact","value":""},{"id":150,"name":"Time of Event (Mountain Time)","value":"13:56:25"},{"id":151,"name":"Denver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5"/>
        <v>start /low /b %USERPROFILE%\Documents\GitHub\eaglep3\Utilities\DownloadLogsFromS3.py --loco 4007 --day 2017-05-13</v>
      </c>
      <c r="AN92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699</v>
      </c>
      <c r="B93" s="7">
        <v>4007</v>
      </c>
      <c r="C93" s="21" t="s">
        <v>206</v>
      </c>
      <c r="D93" s="21" t="s">
        <v>843</v>
      </c>
      <c r="E93" s="13">
        <v>42868.578067129631</v>
      </c>
      <c r="F93" s="13">
        <v>42868.58084490741</v>
      </c>
      <c r="G93" s="7">
        <v>4</v>
      </c>
      <c r="H93" s="21" t="s">
        <v>843</v>
      </c>
      <c r="I93" s="13">
        <v>42868.58084490741</v>
      </c>
      <c r="J93" s="7">
        <v>0</v>
      </c>
      <c r="K93" s="92" t="str">
        <f t="shared" si="30"/>
        <v>4007/4008</v>
      </c>
      <c r="L93" s="21" t="str">
        <f>VLOOKUP(A93,'Trips&amp;Operators'!$C$1:$G$99999,5,FALSE)</f>
        <v>DAVIS MICHAEL</v>
      </c>
      <c r="M93" s="6">
        <f t="shared" si="31"/>
        <v>0</v>
      </c>
      <c r="N93" s="7"/>
      <c r="O93" s="7"/>
      <c r="P93" s="7"/>
      <c r="Q93" s="22"/>
      <c r="R93" s="190"/>
      <c r="S93" s="196"/>
      <c r="T93" s="190" t="str">
        <f t="shared" si="32"/>
        <v>Southbound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191" t="str">
        <f t="shared" si="33"/>
        <v>https://d0f6bd738d7f1b3e5a7ca70fe4ff75f0.us-east-1.aws.found.io/app/kibana#/discover/Steve-Slow-Train-Analysis-(2080s-and-2083s)?_g=(refreshInterval:(display:Off,pause:!f,section:0,value:0),time:(from:'2017-05-13T12:52:25-0600',mode:absolute,to:'2017-05-13T14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192" t="str">
        <f t="shared" si="34"/>
        <v>Y</v>
      </c>
      <c r="X93" s="192">
        <f t="shared" si="35"/>
        <v>0</v>
      </c>
      <c r="Y93" s="192">
        <f t="shared" si="36"/>
        <v>23.3005</v>
      </c>
      <c r="Z93" s="192">
        <f t="shared" si="37"/>
        <v>23.3005</v>
      </c>
      <c r="AA93" s="192">
        <f t="shared" si="38"/>
        <v>0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9"/>
        <v>0176-13</v>
      </c>
      <c r="AE93" s="80" t="str">
        <f t="shared" si="40"/>
        <v>aws s3 cp s3://rtdc.mdm.uploadarchive.raw/RTDC4007/ "%USERPROFILE%\AppData\Local\Temp\OnboardLogs"\RTDC4007\2017-05-13 --exclude "*" --recursive --include "*20170513*" &amp; "%USERPROFILE%\Documents\GitHub\mrs-test-scripts\Headless Mode &amp; Sideloading\WalkAndUnGZ.bat" "%USERPROFILE%\AppData\Local\Temp\OnboardLogs"\RTDC4007\2017-05-13 &amp; aws s3 cp s3://rtdc.mdm.uploadarchive.raw/RTDC4007/ "%USERPROFILE%\AppData\Local\Temp\OnboardLogs"\RTDC4007\2017-05-14 --exclude "*" --recursive --include "*20170514*" &amp; "%USERPROFILE%\Documents\GitHub\mrs-test-scripts\Headless Mode &amp; Sideloading\WalkAndUnGZ.bat" "%USERPROFILE%\AppData\Local\Temp\OnboardLogs"\RTDC4007\2017-05-14</v>
      </c>
      <c r="AF93" s="77" t="str">
        <f t="shared" si="41"/>
        <v>"C:\Program Files (x86)\AstroGrep\AstroGrep.exe" /e /r /s /spath="%USERPROFILE%\AppData\Local\Temp\OnboardLogs" /stypes="app*4007*20170513*" /stext=" 19:.+((SYSTEM_STATE.+slice.+state.+changed )|(ment ac)|(multiple cpu faults)|(system.+state.+changed )|(\[timeout)|(PRM\|1\|D)|(kpr)|(kdp)|(train st.+moving)|(\|lc)|(penalty))"</v>
      </c>
      <c r="AG93" s="1" t="str">
        <f t="shared" si="42"/>
        <v>EC</v>
      </c>
      <c r="AH93" s="81" t="str">
        <f t="shared" si="43"/>
        <v>"%USERPROFILE%\Documents\GitHub\eaglep3\Utilities\RefineRTDCRunTimes.py" --tripid 176-13 --locoid 4007 --swversion DE.1.0.9.0 --startMP 204:233005 --initTime 2017-05-13T13:52:25 --startdatetime 2017-05-13T13:56:25 --delay 4 --endMP 204:233005 --enddatetime 2017-05-13T13:56:25 --enforcementcount 0 &gt;&gt;C:\Users\stu\Documents\GitHub\eaglep3-reporting\EC\2017-05-13-refined-times.txt</v>
      </c>
      <c r="AI93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{"issue":{"subject":"","project_id":79,"tracker_id":40,"status_id":1,"priority_id":2,"assigned_to_id":23,"start_date":"2017-05-13","description":"","custom_fields":[{"id":1,"name":"Subdivision","value":"EC"},{"id":4,"name":"Milepost","value":"23.3005"},{"id":17,"name":"Train ID","value":"176-13"},{"id":16,"name":"Locomotive ID","value":"4007"},{"id":130,"name":"Impact","value":""},{"id":150,"name":"Time of Event (Mountain Time)","value":"13:56:25"},{"id":151,"name":"Denver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5"/>
        <v>start /low /b %USERPROFILE%\Documents\GitHub\eaglep3\Utilities\DownloadLogsFromS3.py --loco 4007 --day 2017-05-13</v>
      </c>
      <c r="AN93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696</v>
      </c>
      <c r="B94" s="7">
        <v>4014</v>
      </c>
      <c r="C94" s="21" t="s">
        <v>206</v>
      </c>
      <c r="D94" s="21" t="s">
        <v>848</v>
      </c>
      <c r="E94" s="13">
        <v>42868.547430555554</v>
      </c>
      <c r="F94" s="13">
        <v>42868.552337962959</v>
      </c>
      <c r="G94" s="7">
        <v>1</v>
      </c>
      <c r="H94" s="21" t="s">
        <v>801</v>
      </c>
      <c r="I94" s="13">
        <v>42868.578182870369</v>
      </c>
      <c r="J94" s="7">
        <v>0</v>
      </c>
      <c r="K94" s="92" t="str">
        <f t="shared" si="30"/>
        <v>4013/4014</v>
      </c>
      <c r="L94" s="21" t="str">
        <f>VLOOKUP(A94,'Trips&amp;Operators'!$C$1:$G$99999,5,FALSE)</f>
        <v>MCREYNOLDS KYLE</v>
      </c>
      <c r="M94" s="6">
        <f t="shared" si="31"/>
        <v>2.584490740991896E-2</v>
      </c>
      <c r="N94" s="7">
        <f t="shared" ref="N94:N133" si="49">24*60*SUM($M94:$M94)</f>
        <v>37.216666670283303</v>
      </c>
      <c r="O94" s="7"/>
      <c r="P94" s="7"/>
      <c r="Q94" s="22"/>
      <c r="R94" s="190"/>
      <c r="S94" s="196">
        <f t="shared" ref="S94:S133" si="50">SUM(U94:U94)/IF(AG94="EC",12,1)</f>
        <v>1</v>
      </c>
      <c r="T94" s="190" t="str">
        <f t="shared" si="32"/>
        <v>NorthBound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3"/>
        <v>https://d0f6bd738d7f1b3e5a7ca70fe4ff75f0.us-east-1.aws.found.io/app/kibana#/discover/Steve-Slow-Train-Analysis-(2080s-and-2083s)?_g=(refreshInterval:(display:Off,pause:!f,section:0,value:0),time:(from:'2017-05-13T12:08:18-0600',mode:absolute,to:'2017-05-13T14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192" t="str">
        <f t="shared" si="34"/>
        <v>N</v>
      </c>
      <c r="X94" s="192">
        <f t="shared" si="35"/>
        <v>1</v>
      </c>
      <c r="Y94" s="192">
        <f t="shared" si="36"/>
        <v>5.1299999999999998E-2</v>
      </c>
      <c r="Z94" s="192">
        <f t="shared" si="37"/>
        <v>23.332100000000001</v>
      </c>
      <c r="AA94" s="192">
        <f t="shared" si="38"/>
        <v>23.280799999999999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9"/>
        <v>0177-13</v>
      </c>
      <c r="AE94" s="80" t="str">
        <f t="shared" si="40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94" s="77" t="str">
        <f t="shared" si="41"/>
        <v>"C:\Program Files (x86)\AstroGrep\AstroGrep.exe" /e /r /s /spath="%USERPROFILE%\AppData\Local\Temp\OnboardLogs" /stypes="app*4014*20170513*" /stext=" 19:.+((SYSTEM_STATE.+slice.+state.+changed )|(ment ac)|(multiple cpu faults)|(system.+state.+changed )|(\[timeout)|(PRM\|1\|D)|(kpr)|(kdp)|(train st.+moving)|(\|lc)|(penalty))"</v>
      </c>
      <c r="AG94" s="1" t="str">
        <f t="shared" si="42"/>
        <v>EC</v>
      </c>
      <c r="AH94" s="81" t="str">
        <f t="shared" si="43"/>
        <v>"%USERPROFILE%\Documents\GitHub\eaglep3\Utilities\RefineRTDCRunTimes.py" --tripid 177-13 --locoid 4014 --swversion DE.1.0.9.0 --startMP 204:513 --initTime 2017-05-13T13:08:18 --startdatetime 2017-05-13T13:15:22 --delay 1 --endMP 204:233321 --enddatetime 2017-05-13T13:52:35 --enforcementcount 0 &gt;&gt;C:\Users\stu\Documents\GitHub\eaglep3-reporting\EC\2017-05-13-refined-times.txt</v>
      </c>
      <c r="AI94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{"issue":{"subject":"","project_id":79,"tracker_id":40,"status_id":1,"priority_id":2,"assigned_to_id":23,"start_date":"2017-05-13","description":"","custom_fields":[{"id":1,"name":"Subdivision","value":"EC"},{"id":4,"name":"Milepost","value":"23.3321"},{"id":17,"name":"Train ID","value":"177-13"},{"id":16,"name":"Locomotive ID","value":"4014"},{"id":130,"name":"Impact","value":""},{"id":150,"name":"Time of Event (Mountain Time)","value":"13:52:35"},{"id":151,"name":"Denver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5"/>
        <v>start /low /b %USERPROFILE%\Documents\GitHub\eaglep3\Utilities\DownloadLogsFromS3.py --loco 4014 --day 2017-05-13</v>
      </c>
      <c r="AN94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700</v>
      </c>
      <c r="B95" s="7">
        <v>4013</v>
      </c>
      <c r="C95" s="21" t="s">
        <v>206</v>
      </c>
      <c r="D95" s="21" t="s">
        <v>475</v>
      </c>
      <c r="E95" s="13">
        <v>42868.584328703706</v>
      </c>
      <c r="F95" s="13">
        <v>42868.591284722221</v>
      </c>
      <c r="G95" s="7">
        <v>1</v>
      </c>
      <c r="H95" s="21" t="s">
        <v>513</v>
      </c>
      <c r="I95" s="13">
        <v>42868.623136574075</v>
      </c>
      <c r="J95" s="7">
        <v>0</v>
      </c>
      <c r="K95" s="92" t="str">
        <f t="shared" si="30"/>
        <v>4013/4014</v>
      </c>
      <c r="L95" s="21" t="str">
        <f>VLOOKUP(A95,'Trips&amp;Operators'!$C$1:$G$99999,5,FALSE)</f>
        <v>MCREYNOLDS KYLE</v>
      </c>
      <c r="M95" s="6">
        <f t="shared" si="31"/>
        <v>3.1851851854298729E-2</v>
      </c>
      <c r="N95" s="7">
        <f t="shared" si="49"/>
        <v>45.86666667019017</v>
      </c>
      <c r="O95" s="7"/>
      <c r="P95" s="7"/>
      <c r="Q95" s="22"/>
      <c r="R95" s="190"/>
      <c r="S95" s="196">
        <f t="shared" si="50"/>
        <v>1</v>
      </c>
      <c r="T95" s="190" t="str">
        <f t="shared" si="32"/>
        <v>Southbound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3"/>
        <v>https://d0f6bd738d7f1b3e5a7ca70fe4ff75f0.us-east-1.aws.found.io/app/kibana#/discover/Steve-Slow-Train-Analysis-(2080s-and-2083s)?_g=(refreshInterval:(display:Off,pause:!f,section:0,value:0),time:(from:'2017-05-13T13:01:26-0600',mode:absolute,to:'2017-05-13T15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192" t="str">
        <f t="shared" si="34"/>
        <v>N</v>
      </c>
      <c r="X95" s="192">
        <f t="shared" si="35"/>
        <v>1</v>
      </c>
      <c r="Y95" s="192">
        <f t="shared" si="36"/>
        <v>23.300599999999999</v>
      </c>
      <c r="Z95" s="192">
        <f t="shared" si="37"/>
        <v>1.54E-2</v>
      </c>
      <c r="AA95" s="192">
        <f t="shared" si="38"/>
        <v>23.2852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9"/>
        <v>0178-13</v>
      </c>
      <c r="AE95" s="80" t="str">
        <f t="shared" si="40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95" s="77" t="str">
        <f t="shared" si="41"/>
        <v>"C:\Program Files (x86)\AstroGrep\AstroGrep.exe" /e /r /s /spath="%USERPROFILE%\AppData\Local\Temp\OnboardLogs" /stypes="app*4013*20170513*" /stext=" 20:.+((SYSTEM_STATE.+slice.+state.+changed )|(ment ac)|(multiple cpu faults)|(system.+state.+changed )|(\[timeout)|(PRM\|1\|D)|(kpr)|(kdp)|(train st.+moving)|(\|lc)|(penalty))"</v>
      </c>
      <c r="AG95" s="1" t="str">
        <f t="shared" si="42"/>
        <v>EC</v>
      </c>
      <c r="AH95" s="81" t="str">
        <f t="shared" si="43"/>
        <v>"%USERPROFILE%\Documents\GitHub\eaglep3\Utilities\RefineRTDCRunTimes.py" --tripid 178-13 --locoid 4013 --swversion DE.1.0.9.0 --startMP 204:233006 --initTime 2017-05-13T14:01:26 --startdatetime 2017-05-13T14:11:27 --delay 1 --endMP 204:154 --enddatetime 2017-05-13T14:57:19 --enforcementcount 0 &gt;&gt;C:\Users\stu\Documents\GitHub\eaglep3-reporting\EC\2017-05-13-refined-times.txt</v>
      </c>
      <c r="AI95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{"issue":{"subject":"","project_id":79,"tracker_id":40,"status_id":1,"priority_id":2,"assigned_to_id":23,"start_date":"2017-05-13","description":"","custom_fields":[{"id":1,"name":"Subdivision","value":"EC"},{"id":4,"name":"Milepost","value":"0.0154"},{"id":17,"name":"Train ID","value":"178-13"},{"id":16,"name":"Locomotive ID","value":"4013"},{"id":130,"name":"Impact","value":""},{"id":150,"name":"Time of Event (Mountain Time)","value":"14:57:19"},{"id":151,"name":"Denver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5"/>
        <v>start /low /b %USERPROFILE%\Documents\GitHub\eaglep3\Utilities\DownloadLogsFromS3.py --loco 4013 --day 2017-05-13</v>
      </c>
      <c r="AN95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559</v>
      </c>
      <c r="B96" s="7">
        <v>4002</v>
      </c>
      <c r="C96" s="21" t="s">
        <v>206</v>
      </c>
      <c r="D96" s="21" t="s">
        <v>362</v>
      </c>
      <c r="E96" s="13">
        <v>42868.560925925929</v>
      </c>
      <c r="F96" s="13">
        <v>42868.562800925924</v>
      </c>
      <c r="G96" s="7">
        <v>1</v>
      </c>
      <c r="H96" s="21" t="s">
        <v>849</v>
      </c>
      <c r="I96" s="13">
        <v>42868.59065972222</v>
      </c>
      <c r="J96" s="7">
        <v>0</v>
      </c>
      <c r="K96" s="92" t="str">
        <f t="shared" si="30"/>
        <v>4001/4002</v>
      </c>
      <c r="L96" s="21" t="str">
        <f>VLOOKUP(A96,'Trips&amp;Operators'!$C$1:$G$99999,5,FALSE)</f>
        <v>BRANDNER MELINDA</v>
      </c>
      <c r="M96" s="6">
        <f t="shared" si="31"/>
        <v>2.7858796296641231E-2</v>
      </c>
      <c r="N96" s="7">
        <f t="shared" si="49"/>
        <v>40.116666667163372</v>
      </c>
      <c r="O96" s="7"/>
      <c r="P96" s="7"/>
      <c r="Q96" s="22"/>
      <c r="R96" s="190"/>
      <c r="S96" s="196">
        <f t="shared" si="50"/>
        <v>1</v>
      </c>
      <c r="T96" s="190" t="str">
        <f t="shared" si="32"/>
        <v>NorthBound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3"/>
        <v>https://d0f6bd738d7f1b3e5a7ca70fe4ff75f0.us-east-1.aws.found.io/app/kibana#/discover/Steve-Slow-Train-Analysis-(2080s-and-2083s)?_g=(refreshInterval:(display:Off,pause:!f,section:0,value:0),time:(from:'2017-05-13T12:27:44-0600',mode:absolute,to:'2017-05-13T15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6" s="192" t="str">
        <f t="shared" si="34"/>
        <v>N</v>
      </c>
      <c r="X96" s="192">
        <f t="shared" si="35"/>
        <v>1</v>
      </c>
      <c r="Y96" s="192">
        <f t="shared" si="36"/>
        <v>4.5100000000000001E-2</v>
      </c>
      <c r="Z96" s="192">
        <f t="shared" si="37"/>
        <v>23.3383</v>
      </c>
      <c r="AA96" s="192">
        <f t="shared" si="38"/>
        <v>23.293199999999999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9"/>
        <v>0179-13</v>
      </c>
      <c r="AE96" s="80" t="str">
        <f t="shared" si="40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96" s="77" t="str">
        <f t="shared" si="41"/>
        <v>"C:\Program Files (x86)\AstroGrep\AstroGrep.exe" /e /r /s /spath="%USERPROFILE%\AppData\Local\Temp\OnboardLogs" /stypes="app*4002*20170513*" /stext=" 20:.+((SYSTEM_STATE.+slice.+state.+changed )|(ment ac)|(multiple cpu faults)|(system.+state.+changed )|(\[timeout)|(PRM\|1\|D)|(kpr)|(kdp)|(train st.+moving)|(\|lc)|(penalty))"</v>
      </c>
      <c r="AG96" s="1" t="str">
        <f t="shared" si="42"/>
        <v>EC</v>
      </c>
      <c r="AH96" s="81" t="str">
        <f t="shared" si="43"/>
        <v>"%USERPROFILE%\Documents\GitHub\eaglep3\Utilities\RefineRTDCRunTimes.py" --tripid 179-13 --locoid 4002 --swversion DE.1.0.9.0 --startMP 204:451 --initTime 2017-05-13T13:27:44 --startdatetime 2017-05-13T13:30:26 --delay 1 --endMP 204:233383 --enddatetime 2017-05-13T14:10:33 --enforcementcount 0 &gt;&gt;C:\Users\stu\Documents\GitHub\eaglep3-reporting\EC\2017-05-13-refined-times.txt</v>
      </c>
      <c r="AI96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{"issue":{"subject":"","project_id":79,"tracker_id":40,"status_id":1,"priority_id":2,"assigned_to_id":23,"start_date":"2017-05-13","description":"","custom_fields":[{"id":1,"name":"Subdivision","value":"EC"},{"id":4,"name":"Milepost","value":"23.3383"},{"id":17,"name":"Train ID","value":"179-13"},{"id":16,"name":"Locomotive ID","value":"4002"},{"id":130,"name":"Impact","value":""},{"id":150,"name":"Time of Event (Mountain Time)","value":"14:10:33"},{"id":151,"name":"Denver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5" t="str">
        <f t="shared" si="45"/>
        <v>start /low /b %USERPROFILE%\Documents\GitHub\eaglep3\Utilities\DownloadLogsFromS3.py --loco 4002 --day 2017-05-13</v>
      </c>
      <c r="AN96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20:10:33"},{"id":29,"name":"Sharepoint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7" spans="1:91" s="20" customFormat="1" x14ac:dyDescent="0.25">
      <c r="A97" s="32" t="s">
        <v>703</v>
      </c>
      <c r="B97" s="7">
        <v>4001</v>
      </c>
      <c r="C97" s="21" t="s">
        <v>206</v>
      </c>
      <c r="D97" s="21" t="s">
        <v>850</v>
      </c>
      <c r="E97" s="13">
        <v>42868.596828703703</v>
      </c>
      <c r="F97" s="13">
        <v>42868.6015625</v>
      </c>
      <c r="G97" s="7">
        <v>1</v>
      </c>
      <c r="H97" s="21" t="s">
        <v>851</v>
      </c>
      <c r="I97" s="13">
        <v>42868.630787037036</v>
      </c>
      <c r="J97" s="7">
        <v>0</v>
      </c>
      <c r="K97" s="92" t="str">
        <f t="shared" si="30"/>
        <v>4001/4002</v>
      </c>
      <c r="L97" s="21" t="str">
        <f>VLOOKUP(A97,'Trips&amp;Operators'!$C$1:$G$99999,5,FALSE)</f>
        <v>BRANDNER MELINDA</v>
      </c>
      <c r="M97" s="6">
        <f t="shared" si="31"/>
        <v>2.9224537036498077E-2</v>
      </c>
      <c r="N97" s="7">
        <f t="shared" si="49"/>
        <v>42.083333332557231</v>
      </c>
      <c r="O97" s="7"/>
      <c r="P97" s="7"/>
      <c r="Q97" s="22"/>
      <c r="R97" s="190"/>
      <c r="S97" s="196">
        <f t="shared" si="50"/>
        <v>1</v>
      </c>
      <c r="T97" s="190" t="str">
        <f t="shared" si="32"/>
        <v>Southbound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3"/>
        <v>https://d0f6bd738d7f1b3e5a7ca70fe4ff75f0.us-east-1.aws.found.io/app/kibana#/discover/Steve-Slow-Train-Analysis-(2080s-and-2083s)?_g=(refreshInterval:(display:Off,pause:!f,section:0,value:0),time:(from:'2017-05-13T13:19:26-0600',mode:absolute,to:'2017-05-13T16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7" s="192" t="str">
        <f t="shared" si="34"/>
        <v>N</v>
      </c>
      <c r="X97" s="192">
        <f t="shared" si="35"/>
        <v>1</v>
      </c>
      <c r="Y97" s="192">
        <f t="shared" si="36"/>
        <v>23.305900000000001</v>
      </c>
      <c r="Z97" s="192">
        <f t="shared" si="37"/>
        <v>1.14E-2</v>
      </c>
      <c r="AA97" s="192">
        <f t="shared" si="38"/>
        <v>23.294500000000003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9"/>
        <v>0180-13</v>
      </c>
      <c r="AE97" s="80" t="str">
        <f t="shared" si="40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97" s="77" t="str">
        <f t="shared" si="41"/>
        <v>"C:\Program Files (x86)\AstroGrep\AstroGrep.exe" /e /r /s /spath="%USERPROFILE%\AppData\Local\Temp\OnboardLogs" /stypes="app*4001*20170513*" /stext=" 21:.+((SYSTEM_STATE.+slice.+state.+changed )|(ment ac)|(multiple cpu faults)|(system.+state.+changed )|(\[timeout)|(PRM\|1\|D)|(kpr)|(kdp)|(train st.+moving)|(\|lc)|(penalty))"</v>
      </c>
      <c r="AG97" s="1" t="str">
        <f t="shared" si="42"/>
        <v>EC</v>
      </c>
      <c r="AH97" s="81" t="str">
        <f t="shared" si="43"/>
        <v>"%USERPROFILE%\Documents\GitHub\eaglep3\Utilities\RefineRTDCRunTimes.py" --tripid 180-13 --locoid 4001 --swversion DE.1.0.9.0 --startMP 204:233059 --initTime 2017-05-13T14:19:26 --startdatetime 2017-05-13T14:26:15 --delay 1 --endMP 204:114 --enddatetime 2017-05-13T15:08:20 --enforcementcount 0 &gt;&gt;C:\Users\stu\Documents\GitHub\eaglep3-reporting\EC\2017-05-13-refined-times.txt</v>
      </c>
      <c r="AI97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{"issue":{"subject":"","project_id":79,"tracker_id":40,"status_id":1,"priority_id":2,"assigned_to_id":23,"start_date":"2017-05-13","description":"","custom_fields":[{"id":1,"name":"Subdivision","value":"EC"},{"id":4,"name":"Milepost","value":"0.0114"},{"id":17,"name":"Train ID","value":"180-13"},{"id":16,"name":"Locomotive ID","value":"4001"},{"id":130,"name":"Impact","value":""},{"id":150,"name":"Time of Event (Mountain Time)","value":"15:08:20"},{"id":151,"name":"Denver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5"/>
        <v>start /low /b %USERPROFILE%\Documents\GitHub\eaglep3\Utilities\DownloadLogsFromS3.py --loco 4001 --day 2017-05-13</v>
      </c>
      <c r="AN97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698</v>
      </c>
      <c r="B98" s="7">
        <v>4042</v>
      </c>
      <c r="C98" s="21" t="s">
        <v>206</v>
      </c>
      <c r="D98" s="21" t="s">
        <v>354</v>
      </c>
      <c r="E98" s="13">
        <v>42868.570717592593</v>
      </c>
      <c r="F98" s="13">
        <v>42868.57309027778</v>
      </c>
      <c r="G98" s="7">
        <v>1</v>
      </c>
      <c r="H98" s="21" t="s">
        <v>864</v>
      </c>
      <c r="I98" s="13">
        <v>42868.601111111115</v>
      </c>
      <c r="J98" s="7">
        <v>0</v>
      </c>
      <c r="K98" s="92" t="str">
        <f t="shared" si="30"/>
        <v>4041/4042</v>
      </c>
      <c r="L98" s="21" t="str">
        <f>VLOOKUP(A98,'Trips&amp;Operators'!$C$1:$G$99999,5,FALSE)</f>
        <v>LEVIN SCOTT</v>
      </c>
      <c r="M98" s="6">
        <f t="shared" si="31"/>
        <v>2.8020833335176576E-2</v>
      </c>
      <c r="N98" s="7">
        <f t="shared" si="49"/>
        <v>40.350000002654269</v>
      </c>
      <c r="O98" s="7"/>
      <c r="P98" s="7"/>
      <c r="Q98" s="22"/>
      <c r="R98" s="190"/>
      <c r="S98" s="196">
        <f t="shared" si="50"/>
        <v>1</v>
      </c>
      <c r="T98" s="190" t="str">
        <f t="shared" si="32"/>
        <v>NorthBound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3"/>
        <v>https://d0f6bd738d7f1b3e5a7ca70fe4ff75f0.us-east-1.aws.found.io/app/kibana#/discover/Steve-Slow-Train-Analysis-(2080s-and-2083s)?_g=(refreshInterval:(display:Off,pause:!f,section:0,value:0),time:(from:'2017-05-13T12:41:50-0600',mode:absolute,to:'2017-05-13T15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192" t="str">
        <f t="shared" si="34"/>
        <v>N</v>
      </c>
      <c r="X98" s="192">
        <f t="shared" si="35"/>
        <v>1</v>
      </c>
      <c r="Y98" s="192">
        <f t="shared" si="36"/>
        <v>4.58E-2</v>
      </c>
      <c r="Z98" s="192">
        <f t="shared" si="37"/>
        <v>23.339700000000001</v>
      </c>
      <c r="AA98" s="192">
        <f t="shared" si="38"/>
        <v>23.293900000000001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9"/>
        <v>0181-13</v>
      </c>
      <c r="AE98" s="80" t="str">
        <f t="shared" si="40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98" s="77" t="str">
        <f t="shared" si="41"/>
        <v>"C:\Program Files (x86)\AstroGrep\AstroGrep.exe" /e /r /s /spath="%USERPROFILE%\AppData\Local\Temp\OnboardLogs" /stypes="app*4042*20170513*" /stext=" 20:.+((SYSTEM_STATE.+slice.+state.+changed )|(ment ac)|(multiple cpu faults)|(system.+state.+changed )|(\[timeout)|(PRM\|1\|D)|(kpr)|(kdp)|(train st.+moving)|(\|lc)|(penalty))"</v>
      </c>
      <c r="AG98" s="1" t="str">
        <f t="shared" si="42"/>
        <v>EC</v>
      </c>
      <c r="AH98" s="81" t="str">
        <f t="shared" si="43"/>
        <v>"%USERPROFILE%\Documents\GitHub\eaglep3\Utilities\RefineRTDCRunTimes.py" --tripid 181-13 --locoid 4042 --swversion DE.1.0.9.0 --startMP 204:458 --initTime 2017-05-13T13:41:50 --startdatetime 2017-05-13T13:45:15 --delay 1 --endMP 204:233397 --enddatetime 2017-05-13T14:25:36 --enforcementcount 0 &gt;&gt;C:\Users\stu\Documents\GitHub\eaglep3-reporting\EC\2017-05-13-refined-times.txt</v>
      </c>
      <c r="AI98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{"issue":{"subject":"","project_id":79,"tracker_id":40,"status_id":1,"priority_id":2,"assigned_to_id":23,"start_date":"2017-05-13","description":"","custom_fields":[{"id":1,"name":"Subdivision","value":"EC"},{"id":4,"name":"Milepost","value":"23.3397"},{"id":17,"name":"Train ID","value":"181-13"},{"id":16,"name":"Locomotive ID","value":"4042"},{"id":130,"name":"Impact","value":""},{"id":150,"name":"Time of Event (Mountain Time)","value":"14:25:36"},{"id":151,"name":"Denver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5"/>
        <v>start /low /b %USERPROFILE%\Documents\GitHub\eaglep3\Utilities\DownloadLogsFromS3.py --loco 4042 --day 2017-05-13</v>
      </c>
      <c r="AN98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706</v>
      </c>
      <c r="B99" s="7">
        <v>4041</v>
      </c>
      <c r="C99" s="21" t="s">
        <v>206</v>
      </c>
      <c r="D99" s="21" t="s">
        <v>875</v>
      </c>
      <c r="E99" s="13">
        <v>42868.608784722222</v>
      </c>
      <c r="F99" s="13">
        <v>42868.611990740741</v>
      </c>
      <c r="G99" s="7">
        <v>1</v>
      </c>
      <c r="H99" s="21" t="s">
        <v>851</v>
      </c>
      <c r="I99" s="13">
        <v>42868.639432870368</v>
      </c>
      <c r="J99" s="7">
        <v>0</v>
      </c>
      <c r="K99" s="92" t="str">
        <f t="shared" si="30"/>
        <v>4041/4042</v>
      </c>
      <c r="L99" s="21" t="str">
        <f>VLOOKUP(A99,'Trips&amp;Operators'!$C$1:$G$99999,5,FALSE)</f>
        <v>LEVIN SCOTT</v>
      </c>
      <c r="M99" s="6">
        <f t="shared" si="31"/>
        <v>2.7442129627161194E-2</v>
      </c>
      <c r="N99" s="7">
        <f t="shared" si="49"/>
        <v>39.516666663112119</v>
      </c>
      <c r="O99" s="7"/>
      <c r="P99" s="7"/>
      <c r="Q99" s="22"/>
      <c r="R99" s="190"/>
      <c r="S99" s="196">
        <f t="shared" si="50"/>
        <v>1</v>
      </c>
      <c r="T99" s="190" t="str">
        <f t="shared" si="32"/>
        <v>Southbound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3"/>
        <v>https://d0f6bd738d7f1b3e5a7ca70fe4ff75f0.us-east-1.aws.found.io/app/kibana#/discover/Steve-Slow-Train-Analysis-(2080s-and-2083s)?_g=(refreshInterval:(display:Off,pause:!f,section:0,value:0),time:(from:'2017-05-13T13:36:39-0600',mode:absolute,to:'2017-05-13T16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192" t="str">
        <f t="shared" si="34"/>
        <v>N</v>
      </c>
      <c r="X99" s="192">
        <f t="shared" si="35"/>
        <v>1</v>
      </c>
      <c r="Y99" s="192">
        <f t="shared" si="36"/>
        <v>23.308700000000002</v>
      </c>
      <c r="Z99" s="192">
        <f t="shared" si="37"/>
        <v>1.14E-2</v>
      </c>
      <c r="AA99" s="192">
        <f t="shared" si="38"/>
        <v>23.297300000000003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9"/>
        <v>0182-13</v>
      </c>
      <c r="AE99" s="80" t="str">
        <f t="shared" si="40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99" s="77" t="str">
        <f t="shared" si="41"/>
        <v>"C:\Program Files (x86)\AstroGrep\AstroGrep.exe" /e /r /s /spath="%USERPROFILE%\AppData\Local\Temp\OnboardLogs" /stypes="app*4041*20170513*" /stext=" 21:.+((SYSTEM_STATE.+slice.+state.+changed )|(ment ac)|(multiple cpu faults)|(system.+state.+changed )|(\[timeout)|(PRM\|1\|D)|(kpr)|(kdp)|(train st.+moving)|(\|lc)|(penalty))"</v>
      </c>
      <c r="AG99" s="1" t="str">
        <f t="shared" si="42"/>
        <v>EC</v>
      </c>
      <c r="AH99" s="81" t="str">
        <f t="shared" si="43"/>
        <v>"%USERPROFILE%\Documents\GitHub\eaglep3\Utilities\RefineRTDCRunTimes.py" --tripid 182-13 --locoid 4041 --swversion DE.1.0.9.0 --startMP 204:233087 --initTime 2017-05-13T14:36:39 --startdatetime 2017-05-13T14:41:16 --delay 1 --endMP 204:114 --enddatetime 2017-05-13T15:20:47 --enforcementcount 0 &gt;&gt;C:\Users\stu\Documents\GitHub\eaglep3-reporting\EC\2017-05-13-refined-times.txt</v>
      </c>
      <c r="AI99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{"issue":{"subject":"","project_id":79,"tracker_id":40,"status_id":1,"priority_id":2,"assigned_to_id":23,"start_date":"2017-05-13","description":"","custom_fields":[{"id":1,"name":"Subdivision","value":"EC"},{"id":4,"name":"Milepost","value":"0.0114"},{"id":17,"name":"Train ID","value":"182-13"},{"id":16,"name":"Locomotive ID","value":"4041"},{"id":130,"name":"Impact","value":""},{"id":150,"name":"Time of Event (Mountain Time)","value":"15:20:47"},{"id":151,"name":"Denver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5"/>
        <v>start /low /b %USERPROFILE%\Documents\GitHub\eaglep3\Utilities\DownloadLogsFromS3.py --loco 4041 --day 2017-05-13</v>
      </c>
      <c r="AN99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558</v>
      </c>
      <c r="B100" s="7">
        <v>4032</v>
      </c>
      <c r="C100" s="21" t="s">
        <v>206</v>
      </c>
      <c r="D100" s="21" t="s">
        <v>429</v>
      </c>
      <c r="E100" s="13">
        <v>42868.580092592594</v>
      </c>
      <c r="F100" s="13">
        <v>42868.583506944444</v>
      </c>
      <c r="G100" s="7">
        <v>1</v>
      </c>
      <c r="H100" s="21" t="s">
        <v>889</v>
      </c>
      <c r="I100" s="13">
        <v>42868.614895833336</v>
      </c>
      <c r="J100" s="7">
        <v>0</v>
      </c>
      <c r="K100" s="92" t="str">
        <f t="shared" si="30"/>
        <v>4031/4032</v>
      </c>
      <c r="L100" s="21" t="str">
        <f>VLOOKUP(A100,'Trips&amp;Operators'!$C$1:$G$99999,5,FALSE)</f>
        <v>ROMERO CHAD</v>
      </c>
      <c r="M100" s="6">
        <f t="shared" si="31"/>
        <v>3.1388888892251998E-2</v>
      </c>
      <c r="N100" s="7">
        <f t="shared" si="49"/>
        <v>45.200000004842877</v>
      </c>
      <c r="O100" s="7"/>
      <c r="P100" s="7"/>
      <c r="Q100" s="22"/>
      <c r="R100" s="190"/>
      <c r="S100" s="196">
        <f t="shared" si="50"/>
        <v>1</v>
      </c>
      <c r="T100" s="190" t="str">
        <f t="shared" si="32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3"/>
        <v>https://d0f6bd738d7f1b3e5a7ca70fe4ff75f0.us-east-1.aws.found.io/app/kibana#/discover/Steve-Slow-Train-Analysis-(2080s-and-2083s)?_g=(refreshInterval:(display:Off,pause:!f,section:0,value:0),time:(from:'2017-05-13T12:55:20-0600',mode:absolute,to:'2017-05-13T15:45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192" t="str">
        <f t="shared" si="34"/>
        <v>N</v>
      </c>
      <c r="X100" s="192">
        <f t="shared" si="35"/>
        <v>1</v>
      </c>
      <c r="Y100" s="192">
        <f t="shared" si="36"/>
        <v>4.3299999999999998E-2</v>
      </c>
      <c r="Z100" s="192">
        <f t="shared" si="37"/>
        <v>23.3385</v>
      </c>
      <c r="AA100" s="192">
        <f t="shared" si="38"/>
        <v>23.295200000000001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9"/>
        <v>0183-13</v>
      </c>
      <c r="AE100" s="80" t="str">
        <f t="shared" si="40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100" s="77" t="str">
        <f t="shared" si="41"/>
        <v>"C:\Program Files (x86)\AstroGrep\AstroGrep.exe" /e /r /s /spath="%USERPROFILE%\AppData\Local\Temp\OnboardLogs" /stypes="app*4032*20170513*" /stext=" 20:.+((SYSTEM_STATE.+slice.+state.+changed )|(ment ac)|(multiple cpu faults)|(system.+state.+changed )|(\[timeout)|(PRM\|1\|D)|(kpr)|(kdp)|(train st.+moving)|(\|lc)|(penalty))"</v>
      </c>
      <c r="AG100" s="1" t="str">
        <f t="shared" si="42"/>
        <v>EC</v>
      </c>
      <c r="AH100" s="81" t="str">
        <f t="shared" si="43"/>
        <v>"%USERPROFILE%\Documents\GitHub\eaglep3\Utilities\RefineRTDCRunTimes.py" --tripid 183-13 --locoid 4032 --swversion DE.1.0.9.0 --startMP 204:433 --initTime 2017-05-13T13:55:20 --startdatetime 2017-05-13T14:00:15 --delay 1 --endMP 204:233385 --enddatetime 2017-05-13T14:45:27 --enforcementcount 0 &gt;&gt;C:\Users\stu\Documents\GitHub\eaglep3-reporting\EC\2017-05-13-refined-times.txt</v>
      </c>
      <c r="AI100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{"issue":{"subject":"","project_id":79,"tracker_id":40,"status_id":1,"priority_id":2,"assigned_to_id":23,"start_date":"2017-05-13","description":"","custom_fields":[{"id":1,"name":"Subdivision","value":"EC"},{"id":4,"name":"Milepost","value":"23.3385"},{"id":17,"name":"Train ID","value":"183-13"},{"id":16,"name":"Locomotive ID","value":"4032"},{"id":130,"name":"Impact","value":""},{"id":150,"name":"Time of Event (Mountain Time)","value":"14:45:27"},{"id":151,"name":"Denver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5"/>
        <v>start /low /b %USERPROFILE%\Documents\GitHub\eaglep3\Utilities\DownloadLogsFromS3.py --loco 4032 --day 2017-05-13</v>
      </c>
      <c r="AN100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20:45:27"},{"id":29,"name":"Sharepoint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709</v>
      </c>
      <c r="B101" s="7">
        <v>4031</v>
      </c>
      <c r="C101" s="21" t="s">
        <v>206</v>
      </c>
      <c r="D101" s="21" t="s">
        <v>894</v>
      </c>
      <c r="E101" s="13">
        <v>42868.616944444446</v>
      </c>
      <c r="F101" s="13">
        <v>42868.622372685182</v>
      </c>
      <c r="G101" s="7">
        <v>1</v>
      </c>
      <c r="H101" s="21" t="s">
        <v>895</v>
      </c>
      <c r="I101" s="13">
        <v>42868.650081018517</v>
      </c>
      <c r="J101" s="7">
        <v>0</v>
      </c>
      <c r="K101" s="92" t="str">
        <f t="shared" si="30"/>
        <v>4031/4032</v>
      </c>
      <c r="L101" s="21" t="str">
        <f>VLOOKUP(A101,'Trips&amp;Operators'!$C$1:$G$99999,5,FALSE)</f>
        <v>ROMERO CHAD</v>
      </c>
      <c r="M101" s="6">
        <f t="shared" si="31"/>
        <v>2.7708333334885538E-2</v>
      </c>
      <c r="N101" s="7">
        <f t="shared" si="49"/>
        <v>39.900000002235174</v>
      </c>
      <c r="O101" s="7"/>
      <c r="P101" s="7"/>
      <c r="Q101" s="22"/>
      <c r="R101" s="190"/>
      <c r="S101" s="196">
        <f t="shared" si="50"/>
        <v>1</v>
      </c>
      <c r="T101" s="190" t="str">
        <f t="shared" si="32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3"/>
        <v>https://d0f6bd738d7f1b3e5a7ca70fe4ff75f0.us-east-1.aws.found.io/app/kibana#/discover/Steve-Slow-Train-Analysis-(2080s-and-2083s)?_g=(refreshInterval:(display:Off,pause:!f,section:0,value:0),time:(from:'2017-05-13T13:48:24-0600',mode:absolute,to:'2017-05-13T16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1" s="192" t="str">
        <f t="shared" si="34"/>
        <v>N</v>
      </c>
      <c r="X101" s="192">
        <f t="shared" si="35"/>
        <v>1</v>
      </c>
      <c r="Y101" s="192">
        <f t="shared" si="36"/>
        <v>23.3063</v>
      </c>
      <c r="Z101" s="192">
        <f t="shared" si="37"/>
        <v>1.0999999999999999E-2</v>
      </c>
      <c r="AA101" s="192">
        <f t="shared" si="38"/>
        <v>23.295300000000001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9"/>
        <v>0184-13</v>
      </c>
      <c r="AE101" s="80" t="str">
        <f t="shared" si="40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101" s="77" t="str">
        <f t="shared" si="41"/>
        <v>"C:\Program Files (x86)\AstroGrep\AstroGrep.exe" /e /r /s /spath="%USERPROFILE%\AppData\Local\Temp\OnboardLogs" /stypes="app*4031*20170513*" /stext=" 21:.+((SYSTEM_STATE.+slice.+state.+changed )|(ment ac)|(multiple cpu faults)|(system.+state.+changed )|(\[timeout)|(PRM\|1\|D)|(kpr)|(kdp)|(train st.+moving)|(\|lc)|(penalty))"</v>
      </c>
      <c r="AG101" s="1" t="str">
        <f t="shared" si="42"/>
        <v>EC</v>
      </c>
      <c r="AH101" s="81" t="str">
        <f t="shared" si="43"/>
        <v>"%USERPROFILE%\Documents\GitHub\eaglep3\Utilities\RefineRTDCRunTimes.py" --tripid 184-13 --locoid 4031 --swversion DE.1.0.9.0 --startMP 204:233063 --initTime 2017-05-13T14:48:24 --startdatetime 2017-05-13T14:56:13 --delay 1 --endMP 204:110 --enddatetime 2017-05-13T15:36:07 --enforcementcount 0 &gt;&gt;C:\Users\stu\Documents\GitHub\eaglep3-reporting\EC\2017-05-13-refined-times.txt</v>
      </c>
      <c r="AI101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{"issue":{"subject":"","project_id":79,"tracker_id":40,"status_id":1,"priority_id":2,"assigned_to_id":23,"start_date":"2017-05-13","description":"","custom_fields":[{"id":1,"name":"Subdivision","value":"EC"},{"id":4,"name":"Milepost","value":"0.011"},{"id":17,"name":"Train ID","value":"184-13"},{"id":16,"name":"Locomotive ID","value":"4031"},{"id":130,"name":"Impact","value":""},{"id":150,"name":"Time of Event (Mountain Time)","value":"15:36:07"},{"id":151,"name":"Denver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5"/>
        <v>start /low /b %USERPROFILE%\Documents\GitHub\eaglep3\Utilities\DownloadLogsFromS3.py --loco 4031 --day 2017-05-13</v>
      </c>
      <c r="AN101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701</v>
      </c>
      <c r="B102" s="7">
        <v>4054</v>
      </c>
      <c r="C102" s="21" t="s">
        <v>206</v>
      </c>
      <c r="D102" s="21" t="s">
        <v>445</v>
      </c>
      <c r="E102" s="13">
        <v>42868.591805555552</v>
      </c>
      <c r="F102" s="13">
        <v>42868.593946759262</v>
      </c>
      <c r="G102" s="7">
        <v>1</v>
      </c>
      <c r="H102" s="21" t="s">
        <v>510</v>
      </c>
      <c r="I102" s="13">
        <v>42868.620069444441</v>
      </c>
      <c r="J102" s="7">
        <v>0</v>
      </c>
      <c r="K102" s="92" t="str">
        <f t="shared" si="30"/>
        <v>4053/4054</v>
      </c>
      <c r="L102" s="21" t="str">
        <f>VLOOKUP(A102,'Trips&amp;Operators'!$C$1:$G$99999,5,FALSE)</f>
        <v>MOSES BRADLEY</v>
      </c>
      <c r="M102" s="6">
        <f t="shared" si="31"/>
        <v>2.6122685179871041E-2</v>
      </c>
      <c r="N102" s="7">
        <f t="shared" si="49"/>
        <v>37.6166666590143</v>
      </c>
      <c r="O102" s="7"/>
      <c r="P102" s="7"/>
      <c r="Q102" s="22"/>
      <c r="R102" s="190"/>
      <c r="S102" s="196">
        <f t="shared" si="50"/>
        <v>1</v>
      </c>
      <c r="T102" s="190" t="str">
        <f t="shared" si="32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3"/>
        <v>https://d0f6bd738d7f1b3e5a7ca70fe4ff75f0.us-east-1.aws.found.io/app/kibana#/discover/Steve-Slow-Train-Analysis-(2080s-and-2083s)?_g=(refreshInterval:(display:Off,pause:!f,section:0,value:0),time:(from:'2017-05-13T13:12:12-0600',mode:absolute,to:'2017-05-13T15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2" s="192" t="str">
        <f t="shared" si="34"/>
        <v>N</v>
      </c>
      <c r="X102" s="192">
        <f t="shared" si="35"/>
        <v>1</v>
      </c>
      <c r="Y102" s="192">
        <f t="shared" si="36"/>
        <v>4.3799999999999999E-2</v>
      </c>
      <c r="Z102" s="192">
        <f t="shared" si="37"/>
        <v>23.330400000000001</v>
      </c>
      <c r="AA102" s="192">
        <f t="shared" si="38"/>
        <v>23.2866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9"/>
        <v>0185-13</v>
      </c>
      <c r="AE102" s="80" t="str">
        <f t="shared" si="40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102" s="77" t="str">
        <f t="shared" si="41"/>
        <v>"C:\Program Files (x86)\AstroGrep\AstroGrep.exe" /e /r /s /spath="%USERPROFILE%\AppData\Local\Temp\OnboardLogs" /stypes="app*4054*20170513*" /stext=" 20:.+((SYSTEM_STATE.+slice.+state.+changed )|(ment ac)|(multiple cpu faults)|(system.+state.+changed )|(\[timeout)|(PRM\|1\|D)|(kpr)|(kdp)|(train st.+moving)|(\|lc)|(penalty))"</v>
      </c>
      <c r="AG102" s="1" t="str">
        <f t="shared" si="42"/>
        <v>EC</v>
      </c>
      <c r="AH102" s="81" t="str">
        <f t="shared" si="43"/>
        <v>"%USERPROFILE%\Documents\GitHub\eaglep3\Utilities\RefineRTDCRunTimes.py" --tripid 185-13 --locoid 4054 --swversion DE.1.0.9.0 --startMP 204:438 --initTime 2017-05-13T14:12:12 --startdatetime 2017-05-13T14:15:17 --delay 1 --endMP 204:233304 --enddatetime 2017-05-13T14:52:54 --enforcementcount 0 &gt;&gt;C:\Users\stu\Documents\GitHub\eaglep3-reporting\EC\2017-05-13-refined-times.txt</v>
      </c>
      <c r="AI102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{"issue":{"subject":"","project_id":79,"tracker_id":40,"status_id":1,"priority_id":2,"assigned_to_id":23,"start_date":"2017-05-13","description":"","custom_fields":[{"id":1,"name":"Subdivision","value":"EC"},{"id":4,"name":"Milepost","value":"23.3304"},{"id":17,"name":"Train ID","value":"185-13"},{"id":16,"name":"Locomotive ID","value":"4054"},{"id":130,"name":"Impact","value":""},{"id":150,"name":"Time of Event (Mountain Time)","value":"14:52:54"},{"id":151,"name":"Denver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5"/>
        <v>start /low /b %USERPROFILE%\Documents\GitHub\eaglep3\Utilities\DownloadLogsFromS3.py --loco 4054 --day 2017-05-13</v>
      </c>
      <c r="AN102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711</v>
      </c>
      <c r="B103" s="7">
        <v>4053</v>
      </c>
      <c r="C103" s="21" t="s">
        <v>206</v>
      </c>
      <c r="D103" s="21" t="s">
        <v>428</v>
      </c>
      <c r="E103" s="13">
        <v>42868.630266203705</v>
      </c>
      <c r="F103" s="13">
        <v>42868.633738425924</v>
      </c>
      <c r="G103" s="7">
        <v>1</v>
      </c>
      <c r="H103" s="21" t="s">
        <v>896</v>
      </c>
      <c r="I103" s="13">
        <v>42868.66064814815</v>
      </c>
      <c r="J103" s="7">
        <v>0</v>
      </c>
      <c r="K103" s="92" t="str">
        <f t="shared" si="30"/>
        <v>4053/4054</v>
      </c>
      <c r="L103" s="21" t="str">
        <f>VLOOKUP(A103,'Trips&amp;Operators'!$C$1:$G$99999,5,FALSE)</f>
        <v>MOSES BRADLEY</v>
      </c>
      <c r="M103" s="6">
        <f t="shared" si="31"/>
        <v>2.6909722226264421E-2</v>
      </c>
      <c r="N103" s="7">
        <f t="shared" si="49"/>
        <v>38.750000005820766</v>
      </c>
      <c r="O103" s="7"/>
      <c r="P103" s="7"/>
      <c r="Q103" s="22"/>
      <c r="R103" s="190"/>
      <c r="S103" s="196">
        <f t="shared" si="50"/>
        <v>1</v>
      </c>
      <c r="T103" s="190" t="str">
        <f t="shared" si="32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3"/>
        <v>https://d0f6bd738d7f1b3e5a7ca70fe4ff75f0.us-east-1.aws.found.io/app/kibana#/discover/Steve-Slow-Train-Analysis-(2080s-and-2083s)?_g=(refreshInterval:(display:Off,pause:!f,section:0,value:0),time:(from:'2017-05-13T14:07:35-0600',mode:absolute,to:'2017-05-13T16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3" s="192" t="str">
        <f t="shared" si="34"/>
        <v>N</v>
      </c>
      <c r="X103" s="192">
        <f t="shared" si="35"/>
        <v>1</v>
      </c>
      <c r="Y103" s="192">
        <f t="shared" si="36"/>
        <v>23.299399999999999</v>
      </c>
      <c r="Z103" s="192">
        <f t="shared" si="37"/>
        <v>1.6500000000000001E-2</v>
      </c>
      <c r="AA103" s="192">
        <f t="shared" si="38"/>
        <v>23.282899999999998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9"/>
        <v>0186-13</v>
      </c>
      <c r="AE103" s="80" t="str">
        <f t="shared" si="40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103" s="77" t="str">
        <f t="shared" si="41"/>
        <v>"C:\Program Files (x86)\AstroGrep\AstroGrep.exe" /e /r /s /spath="%USERPROFILE%\AppData\Local\Temp\OnboardLogs" /stypes="app*4053*20170513*" /stext=" 21:.+((SYSTEM_STATE.+slice.+state.+changed )|(ment ac)|(multiple cpu faults)|(system.+state.+changed )|(\[timeout)|(PRM\|1\|D)|(kpr)|(kdp)|(train st.+moving)|(\|lc)|(penalty))"</v>
      </c>
      <c r="AG103" s="1" t="str">
        <f t="shared" si="42"/>
        <v>EC</v>
      </c>
      <c r="AH103" s="81" t="str">
        <f t="shared" si="43"/>
        <v>"%USERPROFILE%\Documents\GitHub\eaglep3\Utilities\RefineRTDCRunTimes.py" --tripid 186-13 --locoid 4053 --swversion DE.1.0.9.0 --startMP 204:232994 --initTime 2017-05-13T15:07:35 --startdatetime 2017-05-13T15:12:35 --delay 1 --endMP 204:165 --enddatetime 2017-05-13T15:51:20 --enforcementcount 0 &gt;&gt;C:\Users\stu\Documents\GitHub\eaglep3-reporting\EC\2017-05-13-refined-times.txt</v>
      </c>
      <c r="AI103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{"issue":{"subject":"","project_id":79,"tracker_id":40,"status_id":1,"priority_id":2,"assigned_to_id":23,"start_date":"2017-05-13","description":"","custom_fields":[{"id":1,"name":"Subdivision","value":"EC"},{"id":4,"name":"Milepost","value":"0.0165"},{"id":17,"name":"Train ID","value":"186-13"},{"id":16,"name":"Locomotive ID","value":"4053"},{"id":130,"name":"Impact","value":""},{"id":150,"name":"Time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5"/>
        <v>start /low /b %USERPROFILE%\Documents\GitHub\eaglep3\Utilities\DownloadLogsFromS3.py --loco 4053 --day 2017-05-13</v>
      </c>
      <c r="AN103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704</v>
      </c>
      <c r="B104" s="7">
        <v>4028</v>
      </c>
      <c r="C104" s="21" t="s">
        <v>206</v>
      </c>
      <c r="D104" s="21" t="s">
        <v>362</v>
      </c>
      <c r="E104" s="13">
        <v>42868.601087962961</v>
      </c>
      <c r="F104" s="13">
        <v>42868.604386574072</v>
      </c>
      <c r="G104" s="7">
        <v>1</v>
      </c>
      <c r="H104" s="21" t="s">
        <v>819</v>
      </c>
      <c r="I104" s="13">
        <v>42868.630370370367</v>
      </c>
      <c r="J104" s="7">
        <v>0</v>
      </c>
      <c r="K104" s="92" t="str">
        <f t="shared" si="30"/>
        <v>4027/4028</v>
      </c>
      <c r="L104" s="21" t="str">
        <f>VLOOKUP(A104,'Trips&amp;Operators'!$C$1:$G$99999,5,FALSE)</f>
        <v>STEWART MICHAEL</v>
      </c>
      <c r="M104" s="6">
        <f t="shared" si="31"/>
        <v>2.5983796294895001E-2</v>
      </c>
      <c r="N104" s="7">
        <f t="shared" si="49"/>
        <v>37.416666664648801</v>
      </c>
      <c r="O104" s="7"/>
      <c r="P104" s="7"/>
      <c r="Q104" s="22"/>
      <c r="R104" s="190"/>
      <c r="S104" s="196">
        <f t="shared" si="50"/>
        <v>1</v>
      </c>
      <c r="T104" s="190" t="str">
        <f t="shared" si="32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3"/>
        <v>https://d0f6bd738d7f1b3e5a7ca70fe4ff75f0.us-east-1.aws.found.io/app/kibana#/discover/Steve-Slow-Train-Analysis-(2080s-and-2083s)?_g=(refreshInterval:(display:Off,pause:!f,section:0,value:0),time:(from:'2017-05-13T13:25:34-0600',mode:absolute,to:'2017-05-13T16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92" t="str">
        <f t="shared" si="34"/>
        <v>N</v>
      </c>
      <c r="X104" s="192">
        <f t="shared" si="35"/>
        <v>1</v>
      </c>
      <c r="Y104" s="192">
        <f t="shared" si="36"/>
        <v>4.5100000000000001E-2</v>
      </c>
      <c r="Z104" s="192">
        <f t="shared" si="37"/>
        <v>23.333600000000001</v>
      </c>
      <c r="AA104" s="192">
        <f t="shared" si="38"/>
        <v>23.288499999999999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9"/>
        <v>0187-13</v>
      </c>
      <c r="AE104" s="80" t="str">
        <f t="shared" si="40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104" s="77" t="str">
        <f t="shared" si="41"/>
        <v>"C:\Program Files (x86)\AstroGrep\AstroGrep.exe" /e /r /s /spath="%USERPROFILE%\AppData\Local\Temp\OnboardLogs" /stypes="app*4028*20170513*" /stext=" 21:.+((SYSTEM_STATE.+slice.+state.+changed )|(ment ac)|(multiple cpu faults)|(system.+state.+changed )|(\[timeout)|(PRM\|1\|D)|(kpr)|(kdp)|(train st.+moving)|(\|lc)|(penalty))"</v>
      </c>
      <c r="AG104" s="1" t="str">
        <f t="shared" si="42"/>
        <v>EC</v>
      </c>
      <c r="AH104" s="81" t="str">
        <f t="shared" si="43"/>
        <v>"%USERPROFILE%\Documents\GitHub\eaglep3\Utilities\RefineRTDCRunTimes.py" --tripid 187-13 --locoid 4028 --swversion DE.1.0.9.0 --startMP 204:451 --initTime 2017-05-13T14:25:34 --startdatetime 2017-05-13T14:30:19 --delay 1 --endMP 204:233336 --enddatetime 2017-05-13T15:07:44 --enforcementcount 0 &gt;&gt;C:\Users\stu\Documents\GitHub\eaglep3-reporting\EC\2017-05-13-refined-times.txt</v>
      </c>
      <c r="AI104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{"issue":{"subject":"","project_id":79,"tracker_id":40,"status_id":1,"priority_id":2,"assigned_to_id":23,"start_date":"2017-05-13","description":"","custom_fields":[{"id":1,"name":"Subdivision","value":"EC"},{"id":4,"name":"Milepost","value":"23.3336"},{"id":17,"name":"Train ID","value":"187-13"},{"id":16,"name":"Locomotive ID","value":"4028"},{"id":130,"name":"Impact","value":""},{"id":150,"name":"Time of Event (Mountain Time)","value":"15:07:44"},{"id":151,"name":"Denver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5"/>
        <v>start /low /b %USERPROFILE%\Documents\GitHub\eaglep3\Utilities\DownloadLogsFromS3.py --loco 4028 --day 2017-05-13</v>
      </c>
      <c r="AN104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561</v>
      </c>
      <c r="B105" s="7">
        <v>4027</v>
      </c>
      <c r="C105" s="21" t="s">
        <v>206</v>
      </c>
      <c r="D105" s="21" t="s">
        <v>474</v>
      </c>
      <c r="E105" s="13">
        <v>42868.640335648146</v>
      </c>
      <c r="F105" s="13">
        <v>42868.64335648148</v>
      </c>
      <c r="G105" s="7">
        <v>1</v>
      </c>
      <c r="H105" s="21" t="s">
        <v>357</v>
      </c>
      <c r="I105" s="13">
        <v>42868.672164351854</v>
      </c>
      <c r="J105" s="7">
        <v>0</v>
      </c>
      <c r="K105" s="92" t="str">
        <f t="shared" si="30"/>
        <v>4027/4028</v>
      </c>
      <c r="L105" s="21" t="str">
        <f>VLOOKUP(A105,'Trips&amp;Operators'!$C$1:$G$99999,5,FALSE)</f>
        <v>STEWART MICHAEL</v>
      </c>
      <c r="M105" s="6">
        <f t="shared" si="31"/>
        <v>2.8807870374293998E-2</v>
      </c>
      <c r="N105" s="7">
        <f t="shared" si="49"/>
        <v>41.483333338983357</v>
      </c>
      <c r="O105" s="7"/>
      <c r="P105" s="7"/>
      <c r="Q105" s="22"/>
      <c r="R105" s="190"/>
      <c r="S105" s="196">
        <f t="shared" si="50"/>
        <v>1</v>
      </c>
      <c r="T105" s="190" t="str">
        <f t="shared" si="32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3"/>
        <v>https://d0f6bd738d7f1b3e5a7ca70fe4ff75f0.us-east-1.aws.found.io/app/kibana#/discover/Steve-Slow-Train-Analysis-(2080s-and-2083s)?_g=(refreshInterval:(display:Off,pause:!f,section:0,value:0),time:(from:'2017-05-13T14:22:05-0600',mode:absolute,to:'2017-05-13T17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5" s="192" t="str">
        <f t="shared" si="34"/>
        <v>N</v>
      </c>
      <c r="X105" s="192">
        <f t="shared" si="35"/>
        <v>1</v>
      </c>
      <c r="Y105" s="192">
        <f t="shared" si="36"/>
        <v>23.296500000000002</v>
      </c>
      <c r="Z105" s="192">
        <f t="shared" si="37"/>
        <v>1.4999999999999999E-2</v>
      </c>
      <c r="AA105" s="192">
        <f t="shared" si="38"/>
        <v>23.281500000000001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9"/>
        <v>0188-13</v>
      </c>
      <c r="AE105" s="80" t="str">
        <f t="shared" si="40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105" s="77" t="str">
        <f t="shared" si="41"/>
        <v>"C:\Program Files (x86)\AstroGrep\AstroGrep.exe" /e /r /s /spath="%USERPROFILE%\AppData\Local\Temp\OnboardLogs" /stypes="app*4027*20170513*" /stext=" 22:.+((SYSTEM_STATE.+slice.+state.+changed )|(ment ac)|(multiple cpu faults)|(system.+state.+changed )|(\[timeout)|(PRM\|1\|D)|(kpr)|(kdp)|(train st.+moving)|(\|lc)|(penalty))"</v>
      </c>
      <c r="AG105" s="1" t="str">
        <f t="shared" si="42"/>
        <v>EC</v>
      </c>
      <c r="AH105" s="81" t="str">
        <f t="shared" si="43"/>
        <v>"%USERPROFILE%\Documents\GitHub\eaglep3\Utilities\RefineRTDCRunTimes.py" --tripid 188-13 --locoid 4027 --swversion DE.1.0.9.0 --startMP 204:232965 --initTime 2017-05-13T15:22:05 --startdatetime 2017-05-13T15:26:26 --delay 1 --endMP 204:150 --enddatetime 2017-05-13T16:07:55 --enforcementcount 0 &gt;&gt;C:\Users\stu\Documents\GitHub\eaglep3-reporting\EC\2017-05-13-refined-times.txt</v>
      </c>
      <c r="AI105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{"issue":{"subject":"","project_id":79,"tracker_id":40,"status_id":1,"priority_id":2,"assigned_to_id":23,"start_date":"2017-05-13","description":"","custom_fields":[{"id":1,"name":"Subdivision","value":"EC"},{"id":4,"name":"Milepost","value":"0.015"},{"id":17,"name":"Train ID","value":"188-13"},{"id":16,"name":"Locomotive ID","value":"4027"},{"id":130,"name":"Impact","value":""},{"id":150,"name":"Time of Event (Mountain Time)","value":"16:07:55"},{"id":151,"name":"Denver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5"/>
        <v>start /low /b %USERPROFILE%\Documents\GitHub\eaglep3\Utilities\DownloadLogsFromS3.py --loco 4027 --day 2017-05-13</v>
      </c>
      <c r="AN105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708</v>
      </c>
      <c r="B106" s="7">
        <v>4004</v>
      </c>
      <c r="C106" s="21" t="s">
        <v>206</v>
      </c>
      <c r="D106" s="21" t="s">
        <v>354</v>
      </c>
      <c r="E106" s="13">
        <v>42868.614317129628</v>
      </c>
      <c r="F106" s="13">
        <v>42868.616296296299</v>
      </c>
      <c r="G106" s="7">
        <v>1</v>
      </c>
      <c r="H106" s="21" t="s">
        <v>897</v>
      </c>
      <c r="I106" s="13">
        <v>42868.647407407407</v>
      </c>
      <c r="J106" s="7">
        <v>0</v>
      </c>
      <c r="K106" s="92" t="str">
        <f t="shared" si="30"/>
        <v>4003/4004</v>
      </c>
      <c r="L106" s="21" t="str">
        <f>VLOOKUP(A106,'Trips&amp;Operators'!$C$1:$G$99999,5,FALSE)</f>
        <v>WHITED DUSTIN</v>
      </c>
      <c r="M106" s="6">
        <f t="shared" si="31"/>
        <v>3.1111111107748002E-2</v>
      </c>
      <c r="N106" s="7">
        <f t="shared" si="49"/>
        <v>44.799999995157123</v>
      </c>
      <c r="O106" s="7"/>
      <c r="P106" s="7"/>
      <c r="Q106" s="22"/>
      <c r="R106" s="190"/>
      <c r="S106" s="196">
        <f t="shared" si="50"/>
        <v>1</v>
      </c>
      <c r="T106" s="190" t="str">
        <f t="shared" si="32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3"/>
        <v>https://d0f6bd738d7f1b3e5a7ca70fe4ff75f0.us-east-1.aws.found.io/app/kibana#/discover/Steve-Slow-Train-Analysis-(2080s-and-2083s)?_g=(refreshInterval:(display:Off,pause:!f,section:0,value:0),time:(from:'2017-05-13T13:44:37-0600',mode:absolute,to:'2017-05-13T16:32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6" s="192" t="str">
        <f t="shared" si="34"/>
        <v>N</v>
      </c>
      <c r="X106" s="192">
        <f t="shared" si="35"/>
        <v>1</v>
      </c>
      <c r="Y106" s="192">
        <f t="shared" si="36"/>
        <v>4.58E-2</v>
      </c>
      <c r="Z106" s="192">
        <f t="shared" si="37"/>
        <v>23.334</v>
      </c>
      <c r="AA106" s="192">
        <f t="shared" si="38"/>
        <v>23.2882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9"/>
        <v>0189-13</v>
      </c>
      <c r="AE106" s="80" t="str">
        <f t="shared" si="40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106" s="77" t="str">
        <f t="shared" si="41"/>
        <v>"C:\Program Files (x86)\AstroGrep\AstroGrep.exe" /e /r /s /spath="%USERPROFILE%\AppData\Local\Temp\OnboardLogs" /stypes="app*4004*20170513*" /stext=" 21:.+((SYSTEM_STATE.+slice.+state.+changed )|(ment ac)|(multiple cpu faults)|(system.+state.+changed )|(\[timeout)|(PRM\|1\|D)|(kpr)|(kdp)|(train st.+moving)|(\|lc)|(penalty))"</v>
      </c>
      <c r="AG106" s="1" t="str">
        <f t="shared" si="42"/>
        <v>EC</v>
      </c>
      <c r="AH106" s="81" t="str">
        <f t="shared" si="43"/>
        <v>"%USERPROFILE%\Documents\GitHub\eaglep3\Utilities\RefineRTDCRunTimes.py" --tripid 189-13 --locoid 4004 --swversion DE.1.0.9.0 --startMP 204:458 --initTime 2017-05-13T14:44:37 --startdatetime 2017-05-13T14:47:28 --delay 1 --endMP 204:233340 --enddatetime 2017-05-13T15:32:16 --enforcementcount 0 &gt;&gt;C:\Users\stu\Documents\GitHub\eaglep3-reporting\EC\2017-05-13-refined-times.txt</v>
      </c>
      <c r="AI106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{"issue":{"subject":"","project_id":79,"tracker_id":40,"status_id":1,"priority_id":2,"assigned_to_id":23,"start_date":"2017-05-13","description":"","custom_fields":[{"id":1,"name":"Subdivision","value":"EC"},{"id":4,"name":"Milepost","value":"23.334"},{"id":17,"name":"Train ID","value":"189-13"},{"id":16,"name":"Locomotive ID","value":"4004"},{"id":130,"name":"Impact","value":""},{"id":150,"name":"Time of Event (Mountain Time)","value":"15:32:16"},{"id":151,"name":"Denver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5"/>
        <v>start /low /b %USERPROFILE%\Documents\GitHub\eaglep3\Utilities\DownloadLogsFromS3.py --loco 4004 --day 2017-05-13</v>
      </c>
      <c r="AN106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21:32:16"},{"id":29,"name":"Sharepoint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715</v>
      </c>
      <c r="B107" s="7">
        <v>4003</v>
      </c>
      <c r="C107" s="21" t="s">
        <v>206</v>
      </c>
      <c r="D107" s="21" t="s">
        <v>898</v>
      </c>
      <c r="E107" s="13">
        <v>42868.650925925926</v>
      </c>
      <c r="F107" s="13">
        <v>42868.653634259259</v>
      </c>
      <c r="G107" s="7">
        <v>1</v>
      </c>
      <c r="H107" s="21" t="s">
        <v>899</v>
      </c>
      <c r="I107" s="13">
        <v>42868.680358796293</v>
      </c>
      <c r="J107" s="7">
        <v>0</v>
      </c>
      <c r="K107" s="92" t="str">
        <f t="shared" si="30"/>
        <v>4003/4004</v>
      </c>
      <c r="L107" s="21" t="str">
        <f>VLOOKUP(A107,'Trips&amp;Operators'!$C$1:$G$99999,5,FALSE)</f>
        <v>WHITED DUSTIN</v>
      </c>
      <c r="M107" s="6">
        <f t="shared" si="31"/>
        <v>2.6724537034169771E-2</v>
      </c>
      <c r="N107" s="7">
        <f t="shared" si="49"/>
        <v>38.48333332920447</v>
      </c>
      <c r="O107" s="7"/>
      <c r="P107" s="7"/>
      <c r="Q107" s="22"/>
      <c r="R107" s="190"/>
      <c r="S107" s="196">
        <f t="shared" si="50"/>
        <v>1</v>
      </c>
      <c r="T107" s="190" t="str">
        <f t="shared" si="32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3"/>
        <v>https://d0f6bd738d7f1b3e5a7ca70fe4ff75f0.us-east-1.aws.found.io/app/kibana#/discover/Steve-Slow-Train-Analysis-(2080s-and-2083s)?_g=(refreshInterval:(display:Off,pause:!f,section:0,value:0),time:(from:'2017-05-13T14:37:20-0600',mode:absolute,to:'2017-05-13T17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192" t="str">
        <f t="shared" si="34"/>
        <v>N</v>
      </c>
      <c r="X107" s="192">
        <f t="shared" si="35"/>
        <v>1</v>
      </c>
      <c r="Y107" s="192">
        <f t="shared" si="36"/>
        <v>23.302299999999999</v>
      </c>
      <c r="Z107" s="192">
        <f t="shared" si="37"/>
        <v>1.23E-2</v>
      </c>
      <c r="AA107" s="192">
        <f t="shared" si="38"/>
        <v>23.29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9"/>
        <v>0190-13</v>
      </c>
      <c r="AE107" s="80" t="str">
        <f t="shared" si="40"/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107" s="77" t="str">
        <f t="shared" si="41"/>
        <v>"C:\Program Files (x86)\AstroGrep\AstroGrep.exe" /e /r /s /spath="%USERPROFILE%\AppData\Local\Temp\OnboardLogs" /stypes="app*4003*20170513*" /stext=" 22:.+((SYSTEM_STATE.+slice.+state.+changed )|(ment ac)|(multiple cpu faults)|(system.+state.+changed )|(\[timeout)|(PRM\|1\|D)|(kpr)|(kdp)|(train st.+moving)|(\|lc)|(penalty))"</v>
      </c>
      <c r="AG107" s="1" t="str">
        <f t="shared" si="42"/>
        <v>EC</v>
      </c>
      <c r="AH107" s="81" t="str">
        <f t="shared" si="43"/>
        <v>"%USERPROFILE%\Documents\GitHub\eaglep3\Utilities\RefineRTDCRunTimes.py" --tripid 190-13 --locoid 4003 --swversion DE.1.0.9.0 --startMP 204:233023 --initTime 2017-05-13T15:37:20 --startdatetime 2017-05-13T15:41:14 --delay 1 --endMP 204:123 --enddatetime 2017-05-13T16:19:43 --enforcementcount 0 &gt;&gt;C:\Users\stu\Documents\GitHub\eaglep3-reporting\EC\2017-05-13-refined-times.txt</v>
      </c>
      <c r="AI107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{"issue":{"subject":"","project_id":79,"tracker_id":40,"status_id":1,"priority_id":2,"assigned_to_id":23,"start_date":"2017-05-13","description":"","custom_fields":[{"id":1,"name":"Subdivision","value":"EC"},{"id":4,"name":"Milepost","value":"0.0123"},{"id":17,"name":"Train ID","value":"190-13"},{"id":16,"name":"Locomotive ID","value":"4003"},{"id":130,"name":"Impact","value":""},{"id":150,"name":"Time of Event (Mountain Time)","value":"16:19:43"},{"id":151,"name":"Denver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5"/>
        <v>start /low /b %USERPROFILE%\Documents\GitHub\eaglep3\Utilities\DownloadLogsFromS3.py --loco 4003 --day 2017-05-13</v>
      </c>
      <c r="AN107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710</v>
      </c>
      <c r="B108" s="7">
        <v>4014</v>
      </c>
      <c r="C108" s="21" t="s">
        <v>206</v>
      </c>
      <c r="D108" s="21" t="s">
        <v>385</v>
      </c>
      <c r="E108" s="13">
        <v>42868.624791666669</v>
      </c>
      <c r="F108" s="13">
        <v>42868.62605324074</v>
      </c>
      <c r="G108" s="7">
        <v>1</v>
      </c>
      <c r="H108" s="21" t="s">
        <v>904</v>
      </c>
      <c r="I108" s="13">
        <v>42868.651643518519</v>
      </c>
      <c r="J108" s="7">
        <v>0</v>
      </c>
      <c r="K108" s="92" t="str">
        <f t="shared" si="30"/>
        <v>4013/4014</v>
      </c>
      <c r="L108" s="21" t="str">
        <f>VLOOKUP(A108,'Trips&amp;Operators'!$C$1:$G$99999,5,FALSE)</f>
        <v>MCREYNOLDS KYLE</v>
      </c>
      <c r="M108" s="6">
        <f t="shared" si="31"/>
        <v>2.5590277778974269E-2</v>
      </c>
      <c r="N108" s="7">
        <f t="shared" si="49"/>
        <v>36.850000001722947</v>
      </c>
      <c r="O108" s="7"/>
      <c r="P108" s="7"/>
      <c r="Q108" s="22"/>
      <c r="R108" s="190"/>
      <c r="S108" s="196">
        <f t="shared" si="50"/>
        <v>1</v>
      </c>
      <c r="T108" s="190" t="str">
        <f t="shared" si="32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3"/>
        <v>https://d0f6bd738d7f1b3e5a7ca70fe4ff75f0.us-east-1.aws.found.io/app/kibana#/discover/Steve-Slow-Train-Analysis-(2080s-and-2083s)?_g=(refreshInterval:(display:Off,pause:!f,section:0,value:0),time:(from:'2017-05-13T13:59:42-0600',mode:absolute,to:'2017-05-13T16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92" t="str">
        <f t="shared" si="34"/>
        <v>N</v>
      </c>
      <c r="X108" s="192">
        <f t="shared" si="35"/>
        <v>1</v>
      </c>
      <c r="Y108" s="192">
        <f t="shared" si="36"/>
        <v>4.5499999999999999E-2</v>
      </c>
      <c r="Z108" s="192">
        <f t="shared" si="37"/>
        <v>23.332799999999999</v>
      </c>
      <c r="AA108" s="192">
        <f t="shared" si="38"/>
        <v>23.287299999999998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9"/>
        <v>0191-13</v>
      </c>
      <c r="AE108" s="80" t="str">
        <f t="shared" si="40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108" s="77" t="str">
        <f t="shared" si="41"/>
        <v>"C:\Program Files (x86)\AstroGrep\AstroGrep.exe" /e /r /s /spath="%USERPROFILE%\AppData\Local\Temp\OnboardLogs" /stypes="app*4014*20170513*" /stext=" 21:.+((SYSTEM_STATE.+slice.+state.+changed )|(ment ac)|(multiple cpu faults)|(system.+state.+changed )|(\[timeout)|(PRM\|1\|D)|(kpr)|(kdp)|(train st.+moving)|(\|lc)|(penalty))"</v>
      </c>
      <c r="AG108" s="1" t="str">
        <f t="shared" si="42"/>
        <v>EC</v>
      </c>
      <c r="AH108" s="81" t="str">
        <f t="shared" si="43"/>
        <v>"%USERPROFILE%\Documents\GitHub\eaglep3\Utilities\RefineRTDCRunTimes.py" --tripid 191-13 --locoid 4014 --swversion DE.1.0.9.0 --startMP 204:455 --initTime 2017-05-13T14:59:42 --startdatetime 2017-05-13T15:01:31 --delay 1 --endMP 204:233328 --enddatetime 2017-05-13T15:38:22 --enforcementcount 0 &gt;&gt;C:\Users\stu\Documents\GitHub\eaglep3-reporting\EC\2017-05-13-refined-times.txt</v>
      </c>
      <c r="AI108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{"issue":{"subject":"","project_id":79,"tracker_id":40,"status_id":1,"priority_id":2,"assigned_to_id":23,"start_date":"2017-05-13","description":"","custom_fields":[{"id":1,"name":"Subdivision","value":"EC"},{"id":4,"name":"Milepost","value":"23.3328"},{"id":17,"name":"Train ID","value":"191-13"},{"id":16,"name":"Locomotive ID","value":"4014"},{"id":130,"name":"Impact","value":""},{"id":150,"name":"Time of Event (Mountain Time)","value":"15:38:22"},{"id":151,"name":"Denver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5"/>
        <v>start /low /b %USERPROFILE%\Documents\GitHub\eaglep3\Utilities\DownloadLogsFromS3.py --loco 4014 --day 2017-05-13</v>
      </c>
      <c r="AN108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717</v>
      </c>
      <c r="B109" s="7">
        <v>4013</v>
      </c>
      <c r="C109" s="21" t="s">
        <v>206</v>
      </c>
      <c r="D109" s="21" t="s">
        <v>905</v>
      </c>
      <c r="E109" s="13">
        <v>42868.654166666667</v>
      </c>
      <c r="F109" s="13">
        <v>42868.664074074077</v>
      </c>
      <c r="G109" s="7">
        <v>1</v>
      </c>
      <c r="H109" s="21" t="s">
        <v>906</v>
      </c>
      <c r="I109" s="13">
        <v>42868.691087962965</v>
      </c>
      <c r="J109" s="7">
        <v>0</v>
      </c>
      <c r="K109" s="92" t="str">
        <f t="shared" si="30"/>
        <v>4013/4014</v>
      </c>
      <c r="L109" s="21" t="str">
        <f>VLOOKUP(A109,'Trips&amp;Operators'!$C$1:$G$99999,5,FALSE)</f>
        <v>MCREYNOLDS KYLE</v>
      </c>
      <c r="M109" s="6">
        <f t="shared" si="31"/>
        <v>2.7013888888177462E-2</v>
      </c>
      <c r="N109" s="7">
        <f t="shared" si="49"/>
        <v>38.899999998975545</v>
      </c>
      <c r="O109" s="7"/>
      <c r="P109" s="7"/>
      <c r="Q109" s="22"/>
      <c r="R109" s="190"/>
      <c r="S109" s="196">
        <f t="shared" si="50"/>
        <v>1</v>
      </c>
      <c r="T109" s="190" t="str">
        <f t="shared" si="32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3"/>
        <v>https://d0f6bd738d7f1b3e5a7ca70fe4ff75f0.us-east-1.aws.found.io/app/kibana#/discover/Steve-Slow-Train-Analysis-(2080s-and-2083s)?_g=(refreshInterval:(display:Off,pause:!f,section:0,value:0),time:(from:'2017-05-13T14:42:00-0600',mode:absolute,to:'2017-05-13T17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92" t="str">
        <f t="shared" si="34"/>
        <v>N</v>
      </c>
      <c r="X109" s="192">
        <f t="shared" ref="X109:X132" si="51">VALUE(LEFT(AD109,4))-VALUE(LEFT(AD108,4))</f>
        <v>1</v>
      </c>
      <c r="Y109" s="192">
        <f t="shared" ref="Y109:Y134" si="52">RIGHT(D109,LEN(D109)-4)/10000</f>
        <v>23.3017</v>
      </c>
      <c r="Z109" s="192">
        <f t="shared" ref="Z109:Z133" si="53">RIGHT(H109,LEN(H109)-4)/10000</f>
        <v>1.7000000000000001E-2</v>
      </c>
      <c r="AA109" s="192">
        <f t="shared" si="38"/>
        <v>23.284700000000001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9"/>
        <v>0192-13</v>
      </c>
      <c r="AE109" s="80" t="str">
        <f t="shared" si="40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109" s="77" t="str">
        <f t="shared" si="41"/>
        <v>"C:\Program Files (x86)\AstroGrep\AstroGrep.exe" /e /r /s /spath="%USERPROFILE%\AppData\Local\Temp\OnboardLogs" /stypes="app*4013*20170513*" /stext=" 22:.+((SYSTEM_STATE.+slice.+state.+changed )|(ment ac)|(multiple cpu faults)|(system.+state.+changed )|(\[timeout)|(PRM\|1\|D)|(kpr)|(kdp)|(train st.+moving)|(\|lc)|(penalty))"</v>
      </c>
      <c r="AG109" s="1" t="str">
        <f t="shared" si="42"/>
        <v>EC</v>
      </c>
      <c r="AH109" s="81" t="str">
        <f t="shared" si="43"/>
        <v>"%USERPROFILE%\Documents\GitHub\eaglep3\Utilities\RefineRTDCRunTimes.py" --tripid 192-13 --locoid 4013 --swversion DE.1.0.9.0 --startMP 204:233017 --initTime 2017-05-13T15:42:00 --startdatetime 2017-05-13T15:56:16 --delay 1 --endMP 204:170 --enddatetime 2017-05-13T16:35:10 --enforcementcount 0 &gt;&gt;C:\Users\stu\Documents\GitHub\eaglep3-reporting\EC\2017-05-13-refined-times.txt</v>
      </c>
      <c r="AI109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{"issue":{"subject":"","project_id":79,"tracker_id":40,"status_id":1,"priority_id":2,"assigned_to_id":23,"start_date":"2017-05-13","description":"","custom_fields":[{"id":1,"name":"Subdivision","value":"EC"},{"id":4,"name":"Milepost","value":"0.017"},{"id":17,"name":"Train ID","value":"192-13"},{"id":16,"name":"Locomotive ID","value":"4013"},{"id":130,"name":"Impact","value":""},{"id":150,"name":"Time of Event (Mountain Time)","value":"16:35:10"},{"id":151,"name":"Denver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5"/>
        <v>start /low /b %USERPROFILE%\Documents\GitHub\eaglep3\Utilities\DownloadLogsFromS3.py --loco 4013 --day 2017-05-13</v>
      </c>
      <c r="AN109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562</v>
      </c>
      <c r="B110" s="7">
        <v>4002</v>
      </c>
      <c r="C110" s="21" t="s">
        <v>206</v>
      </c>
      <c r="D110" s="21" t="s">
        <v>429</v>
      </c>
      <c r="E110" s="13">
        <v>42868.632233796299</v>
      </c>
      <c r="F110" s="13">
        <v>42868.635648148149</v>
      </c>
      <c r="G110" s="7">
        <v>1</v>
      </c>
      <c r="H110" s="21" t="s">
        <v>907</v>
      </c>
      <c r="I110" s="13">
        <v>42868.662766203706</v>
      </c>
      <c r="J110" s="7">
        <v>0</v>
      </c>
      <c r="K110" s="92" t="str">
        <f t="shared" si="30"/>
        <v>4001/4002</v>
      </c>
      <c r="L110" s="21" t="str">
        <f>VLOOKUP(A110,'Trips&amp;Operators'!$C$1:$G$99999,5,FALSE)</f>
        <v>BRANDNER MELINDA</v>
      </c>
      <c r="M110" s="6">
        <f t="shared" si="31"/>
        <v>2.7118055557366461E-2</v>
      </c>
      <c r="N110" s="7">
        <f t="shared" si="49"/>
        <v>39.050000002607703</v>
      </c>
      <c r="O110" s="7"/>
      <c r="P110" s="7"/>
      <c r="Q110" s="22"/>
      <c r="R110" s="190"/>
      <c r="S110" s="196">
        <f t="shared" si="50"/>
        <v>1</v>
      </c>
      <c r="T110" s="190" t="str">
        <f t="shared" si="32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3"/>
        <v>https://d0f6bd738d7f1b3e5a7ca70fe4ff75f0.us-east-1.aws.found.io/app/kibana#/discover/Steve-Slow-Train-Analysis-(2080s-and-2083s)?_g=(refreshInterval:(display:Off,pause:!f,section:0,value:0),time:(from:'2017-05-13T14:10:25-0600',mode:absolute,to:'2017-05-13T16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0" s="192" t="str">
        <f t="shared" si="34"/>
        <v>N</v>
      </c>
      <c r="X110" s="192">
        <f t="shared" si="51"/>
        <v>1</v>
      </c>
      <c r="Y110" s="192">
        <f t="shared" si="52"/>
        <v>4.3299999999999998E-2</v>
      </c>
      <c r="Z110" s="192">
        <f t="shared" si="53"/>
        <v>23.3306</v>
      </c>
      <c r="AA110" s="192">
        <f t="shared" si="38"/>
        <v>23.287300000000002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9"/>
        <v>0193-13</v>
      </c>
      <c r="AE110" s="80" t="str">
        <f t="shared" si="40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110" s="77" t="str">
        <f t="shared" si="41"/>
        <v>"C:\Program Files (x86)\AstroGrep\AstroGrep.exe" /e /r /s /spath="%USERPROFILE%\AppData\Local\Temp\OnboardLogs" /stypes="app*4002*20170513*" /stext=" 21:.+((SYSTEM_STATE.+slice.+state.+changed )|(ment ac)|(multiple cpu faults)|(system.+state.+changed )|(\[timeout)|(PRM\|1\|D)|(kpr)|(kdp)|(train st.+moving)|(\|lc)|(penalty))"</v>
      </c>
      <c r="AG110" s="1" t="str">
        <f t="shared" si="42"/>
        <v>EC</v>
      </c>
      <c r="AH110" s="81" t="str">
        <f t="shared" si="43"/>
        <v>"%USERPROFILE%\Documents\GitHub\eaglep3\Utilities\RefineRTDCRunTimes.py" --tripid 193-13 --locoid 4002 --swversion DE.1.0.9.0 --startMP 204:433 --initTime 2017-05-13T15:10:25 --startdatetime 2017-05-13T15:15:20 --delay 1 --endMP 204:233306 --enddatetime 2017-05-13T15:54:23 --enforcementcount 0 &gt;&gt;C:\Users\stu\Documents\GitHub\eaglep3-reporting\EC\2017-05-13-refined-times.txt</v>
      </c>
      <c r="AI110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{"issue":{"subject":"","project_id":79,"tracker_id":40,"status_id":1,"priority_id":2,"assigned_to_id":23,"start_date":"2017-05-13","description":"","custom_fields":[{"id":1,"name":"Subdivision","value":"EC"},{"id":4,"name":"Milepost","value":"23.3306"},{"id":17,"name":"Train ID","value":"193-13"},{"id":16,"name":"Locomotive ID","value":"4002"},{"id":130,"name":"Impact","value":""},{"id":150,"name":"Time of Event (Mountain Time)","value":"15:54:23"},{"id":151,"name":"Denver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5"/>
        <v>start /low /b %USERPROFILE%\Documents\GitHub\eaglep3\Utilities\DownloadLogsFromS3.py --loco 4002 --day 2017-05-13</v>
      </c>
      <c r="AN110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564</v>
      </c>
      <c r="B111" s="7">
        <v>4001</v>
      </c>
      <c r="C111" s="21" t="s">
        <v>206</v>
      </c>
      <c r="D111" s="21" t="s">
        <v>807</v>
      </c>
      <c r="E111" s="13">
        <v>42868.670532407406</v>
      </c>
      <c r="F111" s="13">
        <v>42868.674432870372</v>
      </c>
      <c r="G111" s="7">
        <v>1</v>
      </c>
      <c r="H111" s="21" t="s">
        <v>359</v>
      </c>
      <c r="I111" s="13">
        <v>42868.702719907407</v>
      </c>
      <c r="J111" s="7">
        <v>0</v>
      </c>
      <c r="K111" s="92" t="str">
        <f t="shared" si="30"/>
        <v>4001/4002</v>
      </c>
      <c r="L111" s="21" t="str">
        <f>VLOOKUP(A111,'Trips&amp;Operators'!$C$1:$G$99999,5,FALSE)</f>
        <v>BRANDNER MELINDA</v>
      </c>
      <c r="M111" s="6">
        <f t="shared" si="31"/>
        <v>2.8287037035624962E-2</v>
      </c>
      <c r="N111" s="7">
        <f t="shared" si="49"/>
        <v>40.733333331299946</v>
      </c>
      <c r="O111" s="7"/>
      <c r="P111" s="7"/>
      <c r="Q111" s="22"/>
      <c r="R111" s="190"/>
      <c r="S111" s="196">
        <f t="shared" si="50"/>
        <v>1</v>
      </c>
      <c r="T111" s="190" t="str">
        <f t="shared" si="32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3"/>
        <v>https://d0f6bd738d7f1b3e5a7ca70fe4ff75f0.us-east-1.aws.found.io/app/kibana#/discover/Steve-Slow-Train-Analysis-(2080s-and-2083s)?_g=(refreshInterval:(display:Off,pause:!f,section:0,value:0),time:(from:'2017-05-13T15:05:34-0600',mode:absolute,to:'2017-05-13T17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1" s="192" t="str">
        <f t="shared" si="34"/>
        <v>N</v>
      </c>
      <c r="X111" s="192">
        <f t="shared" si="51"/>
        <v>1</v>
      </c>
      <c r="Y111" s="192">
        <f t="shared" si="52"/>
        <v>23.3</v>
      </c>
      <c r="Z111" s="192">
        <f t="shared" si="53"/>
        <v>1.43E-2</v>
      </c>
      <c r="AA111" s="192">
        <f t="shared" si="38"/>
        <v>23.285700000000002</v>
      </c>
      <c r="AB111" s="57" t="str">
        <f>VLOOKUP(A111,Enforcements!$C$7:$K$13,8,0)</f>
        <v>Bulletin (2)</v>
      </c>
      <c r="AC111" s="53" t="str">
        <f>VLOOKUP(A111,Enforcements!$C$7:$E$13,3,0)</f>
        <v>GRADE CROSSING</v>
      </c>
      <c r="AD111" s="54" t="str">
        <f t="shared" si="39"/>
        <v>0194-13</v>
      </c>
      <c r="AE111" s="80" t="str">
        <f t="shared" si="40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111" s="77" t="str">
        <f t="shared" si="41"/>
        <v>"C:\Program Files (x86)\AstroGrep\AstroGrep.exe" /e /r /s /spath="%USERPROFILE%\AppData\Local\Temp\OnboardLogs" /stypes="app*4001*20170513*" /stext=" 22:.+((SYSTEM_STATE.+slice.+state.+changed )|(ment ac)|(multiple cpu faults)|(system.+state.+changed )|(\[timeout)|(PRM\|1\|D)|(kpr)|(kdp)|(train st.+moving)|(\|lc)|(penalty))"</v>
      </c>
      <c r="AG111" s="1" t="str">
        <f t="shared" si="42"/>
        <v>EC</v>
      </c>
      <c r="AH111" s="81" t="str">
        <f t="shared" si="43"/>
        <v>"%USERPROFILE%\Documents\GitHub\eaglep3\Utilities\RefineRTDCRunTimes.py" --tripid 194-13 --locoid 4001 --swversion DE.1.0.9.0 --startMP 204:233000 --initTime 2017-05-13T16:05:34 --startdatetime 2017-05-13T16:11:11 --delay 1 --endMP 204:143 --enddatetime 2017-05-13T16:51:55 --enforcementcount 0 &gt;&gt;C:\Users\stu\Documents\GitHub\eaglep3-reporting\EC\2017-05-13-refined-times.txt</v>
      </c>
      <c r="AI111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{"issue":{"subject":"","project_id":79,"tracker_id":40,"status_id":1,"priority_id":2,"assigned_to_id":23,"start_date":"2017-05-13","description":"","custom_fields":[{"id":1,"name":"Subdivision","value":"EC"},{"id":4,"name":"Milepost","value":"0.0143"},{"id":17,"name":"Train ID","value":"194-13"},{"id":16,"name":"Locomotive ID","value":"4001"},{"id":130,"name":"Impact","value":""},{"id":150,"name":"Time of Event (Mountain Time)","value":"16:51:55"},{"id":151,"name":"Denver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5"/>
        <v>start /low /b %USERPROFILE%\Documents\GitHub\eaglep3\Utilities\DownloadLogsFromS3.py --loco 4001 --day 2017-05-13</v>
      </c>
      <c r="AN111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713</v>
      </c>
      <c r="B112" s="7">
        <v>4042</v>
      </c>
      <c r="C112" s="21" t="s">
        <v>206</v>
      </c>
      <c r="D112" s="21" t="s">
        <v>469</v>
      </c>
      <c r="E112" s="13">
        <v>42868.64366898148</v>
      </c>
      <c r="F112" s="13">
        <v>42868.645995370367</v>
      </c>
      <c r="G112" s="7">
        <v>1</v>
      </c>
      <c r="H112" s="21" t="s">
        <v>908</v>
      </c>
      <c r="I112" s="13">
        <v>42868.670358796298</v>
      </c>
      <c r="J112" s="7">
        <v>0</v>
      </c>
      <c r="K112" s="92" t="str">
        <f t="shared" si="30"/>
        <v>4041/4042</v>
      </c>
      <c r="L112" s="21" t="str">
        <f>VLOOKUP(A112,'Trips&amp;Operators'!$C$1:$G$99999,5,FALSE)</f>
        <v>LEVIN SCOTT</v>
      </c>
      <c r="M112" s="6">
        <f t="shared" si="31"/>
        <v>2.436342593136942E-2</v>
      </c>
      <c r="N112" s="7">
        <f t="shared" si="49"/>
        <v>35.083333341171965</v>
      </c>
      <c r="O112" s="7"/>
      <c r="P112" s="7"/>
      <c r="Q112" s="22"/>
      <c r="R112" s="190"/>
      <c r="S112" s="196">
        <f t="shared" si="50"/>
        <v>1</v>
      </c>
      <c r="T112" s="190" t="str">
        <f t="shared" si="32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3"/>
        <v>https://d0f6bd738d7f1b3e5a7ca70fe4ff75f0.us-east-1.aws.found.io/app/kibana#/discover/Steve-Slow-Train-Analysis-(2080s-and-2083s)?_g=(refreshInterval:(display:Off,pause:!f,section:0,value:0),time:(from:'2017-05-13T14:26:53-0600',mode:absolute,to:'2017-05-13T17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192" t="str">
        <f t="shared" si="34"/>
        <v>N</v>
      </c>
      <c r="X112" s="192">
        <f t="shared" si="51"/>
        <v>1</v>
      </c>
      <c r="Y112" s="192">
        <f t="shared" si="52"/>
        <v>4.24E-2</v>
      </c>
      <c r="Z112" s="192">
        <f t="shared" si="53"/>
        <v>23.333400000000001</v>
      </c>
      <c r="AA112" s="192">
        <f t="shared" si="38"/>
        <v>23.291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9"/>
        <v>0195-13</v>
      </c>
      <c r="AE112" s="80" t="str">
        <f t="shared" si="40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112" s="77" t="str">
        <f t="shared" si="41"/>
        <v>"C:\Program Files (x86)\AstroGrep\AstroGrep.exe" /e /r /s /spath="%USERPROFILE%\AppData\Local\Temp\OnboardLogs" /stypes="app*4042*20170513*" /stext=" 22:.+((SYSTEM_STATE.+slice.+state.+changed )|(ment ac)|(multiple cpu faults)|(system.+state.+changed )|(\[timeout)|(PRM\|1\|D)|(kpr)|(kdp)|(train st.+moving)|(\|lc)|(penalty))"</v>
      </c>
      <c r="AG112" s="1" t="str">
        <f t="shared" si="42"/>
        <v>EC</v>
      </c>
      <c r="AH112" s="81" t="str">
        <f t="shared" si="43"/>
        <v>"%USERPROFILE%\Documents\GitHub\eaglep3\Utilities\RefineRTDCRunTimes.py" --tripid 195-13 --locoid 4042 --swversion DE.1.0.9.0 --startMP 204:424 --initTime 2017-05-13T15:26:53 --startdatetime 2017-05-13T15:30:14 --delay 1 --endMP 204:233334 --enddatetime 2017-05-13T16:05:19 --enforcementcount 0 &gt;&gt;C:\Users\stu\Documents\GitHub\eaglep3-reporting\EC\2017-05-13-refined-times.txt</v>
      </c>
      <c r="AI112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{"issue":{"subject":"","project_id":79,"tracker_id":40,"status_id":1,"priority_id":2,"assigned_to_id":23,"start_date":"2017-05-13","description":"","custom_fields":[{"id":1,"name":"Subdivision","value":"EC"},{"id":4,"name":"Milepost","value":"23.3334"},{"id":17,"name":"Train ID","value":"195-13"},{"id":16,"name":"Locomotive ID","value":"4042"},{"id":130,"name":"Impact","value":""},{"id":150,"name":"Time of Event (Mountain Time)","value":"16:05:19"},{"id":151,"name":"Denver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5"/>
        <v>start /low /b %USERPROFILE%\Documents\GitHub\eaglep3\Utilities\DownloadLogsFromS3.py --loco 4042 --day 2017-05-13</v>
      </c>
      <c r="AN112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720</v>
      </c>
      <c r="B113" s="7">
        <v>4041</v>
      </c>
      <c r="C113" s="21" t="s">
        <v>206</v>
      </c>
      <c r="D113" s="21" t="s">
        <v>820</v>
      </c>
      <c r="E113" s="13">
        <v>42868.681967592594</v>
      </c>
      <c r="F113" s="13">
        <v>42868.684953703705</v>
      </c>
      <c r="G113" s="7">
        <v>1</v>
      </c>
      <c r="H113" s="21" t="s">
        <v>348</v>
      </c>
      <c r="I113" s="13">
        <v>42868.712025462963</v>
      </c>
      <c r="J113" s="7">
        <v>0</v>
      </c>
      <c r="K113" s="92" t="str">
        <f t="shared" si="30"/>
        <v>4041/4042</v>
      </c>
      <c r="L113" s="21" t="str">
        <f>VLOOKUP(A113,'Trips&amp;Operators'!$C$1:$G$99999,5,FALSE)</f>
        <v>LEVIN SCOTT</v>
      </c>
      <c r="M113" s="6">
        <f t="shared" si="31"/>
        <v>2.7071759257523809E-2</v>
      </c>
      <c r="N113" s="7">
        <f t="shared" si="49"/>
        <v>38.983333330834284</v>
      </c>
      <c r="O113" s="7"/>
      <c r="P113" s="7"/>
      <c r="Q113" s="22"/>
      <c r="R113" s="190"/>
      <c r="S113" s="196">
        <f t="shared" si="50"/>
        <v>1</v>
      </c>
      <c r="T113" s="190" t="str">
        <f t="shared" si="32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3"/>
        <v>https://d0f6bd738d7f1b3e5a7ca70fe4ff75f0.us-east-1.aws.found.io/app/kibana#/discover/Steve-Slow-Train-Analysis-(2080s-and-2083s)?_g=(refreshInterval:(display:Off,pause:!f,section:0,value:0),time:(from:'2017-05-13T15:22:02-0600',mode:absolute,to:'2017-05-13T18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192" t="str">
        <f t="shared" si="34"/>
        <v>N</v>
      </c>
      <c r="X113" s="192">
        <f t="shared" si="51"/>
        <v>1</v>
      </c>
      <c r="Y113" s="192">
        <f t="shared" si="52"/>
        <v>23.302499999999998</v>
      </c>
      <c r="Z113" s="192">
        <f t="shared" si="53"/>
        <v>1.38E-2</v>
      </c>
      <c r="AA113" s="192">
        <f t="shared" si="38"/>
        <v>23.288699999999999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9"/>
        <v>0196-13</v>
      </c>
      <c r="AE113" s="80" t="str">
        <f t="shared" si="40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113" s="77" t="str">
        <f t="shared" si="41"/>
        <v>"C:\Program Files (x86)\AstroGrep\AstroGrep.exe" /e /r /s /spath="%USERPROFILE%\AppData\Local\Temp\OnboardLogs" /stypes="app*4041*20170513*" /stext=" 23:.+((SYSTEM_STATE.+slice.+state.+changed )|(ment ac)|(multiple cpu faults)|(system.+state.+changed )|(\[timeout)|(PRM\|1\|D)|(kpr)|(kdp)|(train st.+moving)|(\|lc)|(penalty))"</v>
      </c>
      <c r="AG113" s="1" t="str">
        <f t="shared" si="42"/>
        <v>EC</v>
      </c>
      <c r="AH113" s="81" t="str">
        <f t="shared" si="43"/>
        <v>"%USERPROFILE%\Documents\GitHub\eaglep3\Utilities\RefineRTDCRunTimes.py" --tripid 196-13 --locoid 4041 --swversion DE.1.0.9.0 --startMP 204:233025 --initTime 2017-05-13T16:22:02 --startdatetime 2017-05-13T16:26:20 --delay 1 --endMP 204:138 --enddatetime 2017-05-13T17:05:19 --enforcementcount 0 &gt;&gt;C:\Users\stu\Documents\GitHub\eaglep3-reporting\EC\2017-05-13-refined-times.txt</v>
      </c>
      <c r="AI113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{"issue":{"subject":"","project_id":79,"tracker_id":40,"status_id":1,"priority_id":2,"assigned_to_id":23,"start_date":"2017-05-13","description":"","custom_fields":[{"id":1,"name":"Subdivision","value":"EC"},{"id":4,"name":"Milepost","value":"0.0138"},{"id":17,"name":"Train ID","value":"196-13"},{"id":16,"name":"Locomotive ID","value":"4041"},{"id":130,"name":"Impact","value":""},{"id":150,"name":"Time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5"/>
        <v>start /low /b %USERPROFILE%\Documents\GitHub\eaglep3\Utilities\DownloadLogsFromS3.py --loco 4041 --day 2017-05-13</v>
      </c>
      <c r="AN113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716</v>
      </c>
      <c r="B114" s="7">
        <v>4032</v>
      </c>
      <c r="C114" s="21" t="s">
        <v>206</v>
      </c>
      <c r="D114" s="21" t="s">
        <v>909</v>
      </c>
      <c r="E114" s="13">
        <v>42868.652858796297</v>
      </c>
      <c r="F114" s="13">
        <v>42868.656412037039</v>
      </c>
      <c r="G114" s="7">
        <v>1</v>
      </c>
      <c r="H114" s="21" t="s">
        <v>910</v>
      </c>
      <c r="I114" s="13">
        <v>42868.680937500001</v>
      </c>
      <c r="J114" s="7">
        <v>0</v>
      </c>
      <c r="K114" s="92" t="str">
        <f t="shared" si="30"/>
        <v>4031/4032</v>
      </c>
      <c r="L114" s="21" t="str">
        <f>VLOOKUP(A114,'Trips&amp;Operators'!$C$1:$G$99999,5,FALSE)</f>
        <v>ROMERO CHAD</v>
      </c>
      <c r="M114" s="6">
        <f t="shared" si="31"/>
        <v>2.4525462962628808E-2</v>
      </c>
      <c r="N114" s="7">
        <f t="shared" si="49"/>
        <v>35.316666666185483</v>
      </c>
      <c r="O114" s="7"/>
      <c r="P114" s="7"/>
      <c r="Q114" s="22"/>
      <c r="R114" s="190"/>
      <c r="S114" s="196">
        <f t="shared" si="50"/>
        <v>1</v>
      </c>
      <c r="T114" s="190" t="str">
        <f t="shared" si="32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3"/>
        <v>https://d0f6bd738d7f1b3e5a7ca70fe4ff75f0.us-east-1.aws.found.io/app/kibana#/discover/Steve-Slow-Train-Analysis-(2080s-and-2083s)?_g=(refreshInterval:(display:Off,pause:!f,section:0,value:0),time:(from:'2017-05-13T14:40:07-0600',mode:absolute,to:'2017-05-13T17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92" t="str">
        <f t="shared" si="34"/>
        <v>N</v>
      </c>
      <c r="X114" s="192">
        <f t="shared" si="51"/>
        <v>1</v>
      </c>
      <c r="Y114" s="192">
        <f t="shared" si="52"/>
        <v>4.2200000000000001E-2</v>
      </c>
      <c r="Z114" s="192">
        <f t="shared" si="53"/>
        <v>23.339099999999998</v>
      </c>
      <c r="AA114" s="192">
        <f t="shared" si="38"/>
        <v>23.296899999999997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9"/>
        <v>0197-13</v>
      </c>
      <c r="AE114" s="80" t="str">
        <f t="shared" si="40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114" s="77" t="str">
        <f t="shared" si="41"/>
        <v>"C:\Program Files (x86)\AstroGrep\AstroGrep.exe" /e /r /s /spath="%USERPROFILE%\AppData\Local\Temp\OnboardLogs" /stypes="app*4032*20170513*" /stext=" 22:.+((SYSTEM_STATE.+slice.+state.+changed )|(ment ac)|(multiple cpu faults)|(system.+state.+changed )|(\[timeout)|(PRM\|1\|D)|(kpr)|(kdp)|(train st.+moving)|(\|lc)|(penalty))"</v>
      </c>
      <c r="AG114" s="1" t="str">
        <f t="shared" si="42"/>
        <v>EC</v>
      </c>
      <c r="AH114" s="81" t="str">
        <f t="shared" si="43"/>
        <v>"%USERPROFILE%\Documents\GitHub\eaglep3\Utilities\RefineRTDCRunTimes.py" --tripid 197-13 --locoid 4032 --swversion DE.1.0.9.0 --startMP 204:422 --initTime 2017-05-13T15:40:07 --startdatetime 2017-05-13T15:45:14 --delay 1 --endMP 204:233391 --enddatetime 2017-05-13T16:20:33 --enforcementcount 0 &gt;&gt;C:\Users\stu\Documents\GitHub\eaglep3-reporting\EC\2017-05-13-refined-times.txt</v>
      </c>
      <c r="AI114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{"issue":{"subject":"","project_id":79,"tracker_id":40,"status_id":1,"priority_id":2,"assigned_to_id":23,"start_date":"2017-05-13","description":"","custom_fields":[{"id":1,"name":"Subdivision","value":"EC"},{"id":4,"name":"Milepost","value":"23.3391"},{"id":17,"name":"Train ID","value":"197-13"},{"id":16,"name":"Locomotive ID","value":"4032"},{"id":130,"name":"Impact","value":""},{"id":150,"name":"Time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5"/>
        <v>start /low /b %USERPROFILE%\Documents\GitHub\eaglep3\Utilities\DownloadLogsFromS3.py --loco 4032 --day 2017-05-13</v>
      </c>
      <c r="AN114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565</v>
      </c>
      <c r="B115" s="7">
        <v>4031</v>
      </c>
      <c r="C115" s="21" t="s">
        <v>206</v>
      </c>
      <c r="D115" s="21" t="s">
        <v>911</v>
      </c>
      <c r="E115" s="13">
        <v>42868.682905092595</v>
      </c>
      <c r="F115" s="13">
        <v>42868.69568287037</v>
      </c>
      <c r="G115" s="7">
        <v>1</v>
      </c>
      <c r="H115" s="21" t="s">
        <v>912</v>
      </c>
      <c r="I115" s="13">
        <v>42868.722916666666</v>
      </c>
      <c r="J115" s="7">
        <v>0</v>
      </c>
      <c r="K115" s="92" t="str">
        <f t="shared" si="30"/>
        <v>4031/4032</v>
      </c>
      <c r="L115" s="21" t="str">
        <f>VLOOKUP(A115,'Trips&amp;Operators'!$C$1:$G$99999,5,FALSE)</f>
        <v>ROMERO CHAD</v>
      </c>
      <c r="M115" s="6">
        <f t="shared" si="31"/>
        <v>2.7233796296059154E-2</v>
      </c>
      <c r="N115" s="7">
        <f t="shared" si="49"/>
        <v>39.216666666325182</v>
      </c>
      <c r="O115" s="7"/>
      <c r="P115" s="7"/>
      <c r="Q115" s="22"/>
      <c r="R115" s="190"/>
      <c r="S115" s="196">
        <f t="shared" si="50"/>
        <v>1</v>
      </c>
      <c r="T115" s="190" t="str">
        <f t="shared" si="32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3"/>
        <v>https://d0f6bd738d7f1b3e5a7ca70fe4ff75f0.us-east-1.aws.found.io/app/kibana#/discover/Steve-Slow-Train-Analysis-(2080s-and-2083s)?_g=(refreshInterval:(display:Off,pause:!f,section:0,value:0),time:(from:'2017-05-13T15:23:23-0600',mode:absolute,to:'2017-05-13T18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192" t="str">
        <f t="shared" si="34"/>
        <v>N</v>
      </c>
      <c r="X115" s="192">
        <f t="shared" si="51"/>
        <v>1</v>
      </c>
      <c r="Y115" s="192">
        <f t="shared" si="52"/>
        <v>23.310199999999998</v>
      </c>
      <c r="Z115" s="192">
        <f t="shared" si="53"/>
        <v>1.1900000000000001E-2</v>
      </c>
      <c r="AA115" s="192">
        <f t="shared" si="38"/>
        <v>23.298299999999998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9"/>
        <v>0198-13</v>
      </c>
      <c r="AE115" s="80" t="str">
        <f t="shared" si="40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115" s="77" t="str">
        <f t="shared" si="41"/>
        <v>"C:\Program Files (x86)\AstroGrep\AstroGrep.exe" /e /r /s /spath="%USERPROFILE%\AppData\Local\Temp\OnboardLogs" /stypes="app*4031*20170513*" /stext=" 23:.+((SYSTEM_STATE.+slice.+state.+changed )|(ment ac)|(multiple cpu faults)|(system.+state.+changed )|(\[timeout)|(PRM\|1\|D)|(kpr)|(kdp)|(train st.+moving)|(\|lc)|(penalty))"</v>
      </c>
      <c r="AG115" s="1" t="str">
        <f t="shared" si="42"/>
        <v>EC</v>
      </c>
      <c r="AH115" s="81" t="str">
        <f t="shared" si="43"/>
        <v>"%USERPROFILE%\Documents\GitHub\eaglep3\Utilities\RefineRTDCRunTimes.py" --tripid 198-13 --locoid 4031 --swversion DE.1.0.9.0 --startMP 204:233102 --initTime 2017-05-13T16:23:23 --startdatetime 2017-05-13T16:41:47 --delay 1 --endMP 204:119 --enddatetime 2017-05-13T17:21:00 --enforcementcount 0 &gt;&gt;C:\Users\stu\Documents\GitHub\eaglep3-reporting\EC\2017-05-13-refined-times.txt</v>
      </c>
      <c r="AI115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{"issue":{"subject":"","project_id":79,"tracker_id":40,"status_id":1,"priority_id":2,"assigned_to_id":23,"start_date":"2017-05-13","description":"","custom_fields":[{"id":1,"name":"Subdivision","value":"EC"},{"id":4,"name":"Milepost","value":"0.0119"},{"id":17,"name":"Train ID","value":"198-13"},{"id":16,"name":"Locomotive ID","value":"4031"},{"id":130,"name":"Impact","value":""},{"id":150,"name":"Time of Event (Mountain Time)","value":"17:21:00"},{"id":151,"name":"Denver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5"/>
        <v>start /low /b %USERPROFILE%\Documents\GitHub\eaglep3\Utilities\DownloadLogsFromS3.py --loco 4031 --day 2017-05-13</v>
      </c>
      <c r="AN115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563</v>
      </c>
      <c r="B116" s="7">
        <v>4054</v>
      </c>
      <c r="C116" s="21" t="s">
        <v>206</v>
      </c>
      <c r="D116" s="21" t="s">
        <v>426</v>
      </c>
      <c r="E116" s="13">
        <v>42868.665127314816</v>
      </c>
      <c r="F116" s="13">
        <v>42868.667094907411</v>
      </c>
      <c r="G116" s="7">
        <v>1</v>
      </c>
      <c r="H116" s="21" t="s">
        <v>449</v>
      </c>
      <c r="I116" s="13">
        <v>42868.693020833336</v>
      </c>
      <c r="J116" s="7">
        <v>0</v>
      </c>
      <c r="K116" s="92" t="str">
        <f t="shared" si="30"/>
        <v>4053/4054</v>
      </c>
      <c r="L116" s="21" t="str">
        <f>VLOOKUP(A116,'Trips&amp;Operators'!$C$1:$G$99999,5,FALSE)</f>
        <v>MOSES BRADLEY</v>
      </c>
      <c r="M116" s="6">
        <f t="shared" si="31"/>
        <v>2.5925925925548654E-2</v>
      </c>
      <c r="N116" s="7">
        <f t="shared" si="49"/>
        <v>37.333333332790062</v>
      </c>
      <c r="O116" s="7"/>
      <c r="P116" s="7"/>
      <c r="Q116" s="22"/>
      <c r="R116" s="190"/>
      <c r="S116" s="196">
        <f t="shared" si="50"/>
        <v>1</v>
      </c>
      <c r="T116" s="190" t="str">
        <f t="shared" si="32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3"/>
        <v>https://d0f6bd738d7f1b3e5a7ca70fe4ff75f0.us-east-1.aws.found.io/app/kibana#/discover/Steve-Slow-Train-Analysis-(2080s-and-2083s)?_g=(refreshInterval:(display:Off,pause:!f,section:0,value:0),time:(from:'2017-05-13T14:57:47-0600',mode:absolute,to:'2017-05-13T17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6" s="192" t="str">
        <f t="shared" si="34"/>
        <v>N</v>
      </c>
      <c r="X116" s="192">
        <f t="shared" si="51"/>
        <v>1</v>
      </c>
      <c r="Y116" s="192">
        <f t="shared" si="52"/>
        <v>4.6199999999999998E-2</v>
      </c>
      <c r="Z116" s="192">
        <f t="shared" si="53"/>
        <v>23.332000000000001</v>
      </c>
      <c r="AA116" s="192">
        <f t="shared" si="38"/>
        <v>23.285800000000002</v>
      </c>
      <c r="AB116" s="57" t="str">
        <f>VLOOKUP(A116,Enforcements!$C$7:$K$13,8,0)</f>
        <v>Bulletin (2)</v>
      </c>
      <c r="AC116" s="53" t="str">
        <f>VLOOKUP(A116,Enforcements!$C$7:$E$13,3,0)</f>
        <v>GRADE CROSSING</v>
      </c>
      <c r="AD116" s="54" t="str">
        <f t="shared" si="39"/>
        <v>0199-13</v>
      </c>
      <c r="AE116" s="80" t="str">
        <f t="shared" si="40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116" s="77" t="str">
        <f t="shared" si="41"/>
        <v>"C:\Program Files (x86)\AstroGrep\AstroGrep.exe" /e /r /s /spath="%USERPROFILE%\AppData\Local\Temp\OnboardLogs" /stypes="app*4054*20170513*" /stext=" 22:.+((SYSTEM_STATE.+slice.+state.+changed )|(ment ac)|(multiple cpu faults)|(system.+state.+changed )|(\[timeout)|(PRM\|1\|D)|(kpr)|(kdp)|(train st.+moving)|(\|lc)|(penalty))"</v>
      </c>
      <c r="AG116" s="1" t="str">
        <f t="shared" si="42"/>
        <v>EC</v>
      </c>
      <c r="AH116" s="81" t="str">
        <f t="shared" si="43"/>
        <v>"%USERPROFILE%\Documents\GitHub\eaglep3\Utilities\RefineRTDCRunTimes.py" --tripid 199-13 --locoid 4054 --swversion DE.1.0.9.0 --startMP 204:462 --initTime 2017-05-13T15:57:47 --startdatetime 2017-05-13T16:00:37 --delay 1 --endMP 204:233320 --enddatetime 2017-05-13T16:37:57 --enforcementcount 0 &gt;&gt;C:\Users\stu\Documents\GitHub\eaglep3-reporting\EC\2017-05-13-refined-times.txt</v>
      </c>
      <c r="AI116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{"issue":{"subject":"","project_id":79,"tracker_id":40,"status_id":1,"priority_id":2,"assigned_to_id":23,"start_date":"2017-05-13","description":"","custom_fields":[{"id":1,"name":"Subdivision","value":"EC"},{"id":4,"name":"Milepost","value":"23.332"},{"id":17,"name":"Train ID","value":"199-13"},{"id":16,"name":"Locomotive ID","value":"4054"},{"id":130,"name":"Impact","value":""},{"id":150,"name":"Time of Event (Mountain Time)","value":"16:37:57"},{"id":151,"name":"Denver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5"/>
        <v>start /low /b %USERPROFILE%\Documents\GitHub\eaglep3\Utilities\DownloadLogsFromS3.py --loco 4054 --day 2017-05-13</v>
      </c>
      <c r="AN116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724</v>
      </c>
      <c r="B117" s="7">
        <v>4053</v>
      </c>
      <c r="C117" s="21" t="s">
        <v>206</v>
      </c>
      <c r="D117" s="21" t="s">
        <v>913</v>
      </c>
      <c r="E117" s="13">
        <v>42868.702569444446</v>
      </c>
      <c r="F117" s="13">
        <v>42868.70584490741</v>
      </c>
      <c r="G117" s="7">
        <v>1</v>
      </c>
      <c r="H117" s="21" t="s">
        <v>914</v>
      </c>
      <c r="I117" s="13">
        <v>42868.734710648147</v>
      </c>
      <c r="J117" s="7">
        <v>0</v>
      </c>
      <c r="K117" s="92" t="str">
        <f t="shared" si="30"/>
        <v>4053/4054</v>
      </c>
      <c r="L117" s="21" t="str">
        <f>VLOOKUP(A117,'Trips&amp;Operators'!$C$1:$G$99999,5,FALSE)</f>
        <v>MOSES BRADLEY</v>
      </c>
      <c r="M117" s="6">
        <f t="shared" si="31"/>
        <v>2.8865740736364387E-2</v>
      </c>
      <c r="N117" s="7">
        <f t="shared" si="49"/>
        <v>41.566666660364717</v>
      </c>
      <c r="O117" s="7"/>
      <c r="P117" s="7"/>
      <c r="Q117" s="22"/>
      <c r="R117" s="190"/>
      <c r="S117" s="196">
        <f t="shared" si="50"/>
        <v>1</v>
      </c>
      <c r="T117" s="190" t="str">
        <f t="shared" si="32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3"/>
        <v>https://d0f6bd738d7f1b3e5a7ca70fe4ff75f0.us-east-1.aws.found.io/app/kibana#/discover/Steve-Slow-Train-Analysis-(2080s-and-2083s)?_g=(refreshInterval:(display:Off,pause:!f,section:0,value:0),time:(from:'2017-05-13T15:51:42-0600',mode:absolute,to:'2017-05-13T18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7" s="192" t="str">
        <f t="shared" si="34"/>
        <v>N</v>
      </c>
      <c r="X117" s="192">
        <f t="shared" si="51"/>
        <v>1</v>
      </c>
      <c r="Y117" s="192">
        <f t="shared" si="52"/>
        <v>23.300899999999999</v>
      </c>
      <c r="Z117" s="192">
        <f t="shared" si="53"/>
        <v>1.9099999999999999E-2</v>
      </c>
      <c r="AA117" s="192">
        <f t="shared" si="38"/>
        <v>23.281799999999997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9"/>
        <v>0200-13</v>
      </c>
      <c r="AE117" s="80" t="str">
        <f t="shared" si="40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117" s="77" t="str">
        <f t="shared" si="41"/>
        <v>"C:\Program Files (x86)\AstroGrep\AstroGrep.exe" /e /r /s /spath="%USERPROFILE%\AppData\Local\Temp\OnboardLogs" /stypes="app*4053*20170513*" /stext=" 23:.+((SYSTEM_STATE.+slice.+state.+changed )|(ment ac)|(multiple cpu faults)|(system.+state.+changed )|(\[timeout)|(PRM\|1\|D)|(kpr)|(kdp)|(train st.+moving)|(\|lc)|(penalty))"</v>
      </c>
      <c r="AG117" s="1" t="str">
        <f t="shared" si="42"/>
        <v>EC</v>
      </c>
      <c r="AH117" s="81" t="str">
        <f t="shared" si="43"/>
        <v>"%USERPROFILE%\Documents\GitHub\eaglep3\Utilities\RefineRTDCRunTimes.py" --tripid 200-13 --locoid 4053 --swversion DE.1.0.9.0 --startMP 204:233009 --initTime 2017-05-13T16:51:42 --startdatetime 2017-05-13T16:56:25 --delay 1 --endMP 204:191 --enddatetime 2017-05-13T17:37:59 --enforcementcount 0 &gt;&gt;C:\Users\stu\Documents\GitHub\eaglep3-reporting\EC\2017-05-13-refined-times.txt</v>
      </c>
      <c r="AI117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{"issue":{"subject":"","project_id":79,"tracker_id":40,"status_id":1,"priority_id":2,"assigned_to_id":23,"start_date":"2017-05-13","description":"","custom_fields":[{"id":1,"name":"Subdivision","value":"EC"},{"id":4,"name":"Milepost","value":"0.0191"},{"id":17,"name":"Train ID","value":"200-13"},{"id":16,"name":"Locomotive ID","value":"4053"},{"id":130,"name":"Impact","value":""},{"id":150,"name":"Time of Event (Mountain Time)","value":"17:37:59"},{"id":151,"name":"Denver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5"/>
        <v>start /low /b %USERPROFILE%\Documents\GitHub\eaglep3\Utilities\DownloadLogsFromS3.py --loco 4053 --day 2017-05-13</v>
      </c>
      <c r="AN117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718</v>
      </c>
      <c r="B118" s="7">
        <v>4028</v>
      </c>
      <c r="C118" s="21" t="s">
        <v>206</v>
      </c>
      <c r="D118" s="21" t="s">
        <v>202</v>
      </c>
      <c r="E118" s="13">
        <v>42868.674050925925</v>
      </c>
      <c r="F118" s="13">
        <v>42868.677303240744</v>
      </c>
      <c r="G118" s="7">
        <v>1</v>
      </c>
      <c r="H118" s="21" t="s">
        <v>813</v>
      </c>
      <c r="I118" s="13">
        <v>42868.701874999999</v>
      </c>
      <c r="J118" s="7">
        <v>0</v>
      </c>
      <c r="K118" s="92" t="str">
        <f t="shared" si="30"/>
        <v>4027/4028</v>
      </c>
      <c r="L118" s="21" t="str">
        <f>VLOOKUP(A118,'Trips&amp;Operators'!$C$1:$G$99999,5,FALSE)</f>
        <v>STEWART MICHAEL</v>
      </c>
      <c r="M118" s="6">
        <f t="shared" si="31"/>
        <v>2.4571759255195502E-2</v>
      </c>
      <c r="N118" s="7">
        <f t="shared" si="49"/>
        <v>35.383333327481523</v>
      </c>
      <c r="O118" s="7"/>
      <c r="P118" s="7"/>
      <c r="Q118" s="22"/>
      <c r="R118" s="190"/>
      <c r="S118" s="196">
        <f t="shared" si="50"/>
        <v>1</v>
      </c>
      <c r="T118" s="190" t="str">
        <f t="shared" si="32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3"/>
        <v>https://d0f6bd738d7f1b3e5a7ca70fe4ff75f0.us-east-1.aws.found.io/app/kibana#/discover/Steve-Slow-Train-Analysis-(2080s-and-2083s)?_g=(refreshInterval:(display:Off,pause:!f,section:0,value:0),time:(from:'2017-05-13T15:10:38-0600',mode:absolute,to:'2017-05-13T17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92" t="str">
        <f t="shared" si="34"/>
        <v>N</v>
      </c>
      <c r="X118" s="192">
        <f t="shared" si="51"/>
        <v>1</v>
      </c>
      <c r="Y118" s="192">
        <f t="shared" si="52"/>
        <v>4.5699999999999998E-2</v>
      </c>
      <c r="Z118" s="192">
        <f t="shared" si="53"/>
        <v>23.329499999999999</v>
      </c>
      <c r="AA118" s="192">
        <f t="shared" si="38"/>
        <v>23.283799999999999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9"/>
        <v>0201-13</v>
      </c>
      <c r="AE118" s="80" t="str">
        <f t="shared" si="40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118" s="77" t="str">
        <f t="shared" si="41"/>
        <v>"C:\Program Files (x86)\AstroGrep\AstroGrep.exe" /e /r /s /spath="%USERPROFILE%\AppData\Local\Temp\OnboardLogs" /stypes="app*4028*20170513*" /stext=" 22:.+((SYSTEM_STATE.+slice.+state.+changed )|(ment ac)|(multiple cpu faults)|(system.+state.+changed )|(\[timeout)|(PRM\|1\|D)|(kpr)|(kdp)|(train st.+moving)|(\|lc)|(penalty))"</v>
      </c>
      <c r="AG118" s="1" t="str">
        <f t="shared" si="42"/>
        <v>EC</v>
      </c>
      <c r="AH118" s="81" t="str">
        <f t="shared" si="43"/>
        <v>"%USERPROFILE%\Documents\GitHub\eaglep3\Utilities\RefineRTDCRunTimes.py" --tripid 201-13 --locoid 4028 --swversion DE.1.0.9.0 --startMP 204:457 --initTime 2017-05-13T16:10:38 --startdatetime 2017-05-13T16:15:19 --delay 1 --endMP 204:233295 --enddatetime 2017-05-13T16:50:42 --enforcementcount 0 &gt;&gt;C:\Users\stu\Documents\GitHub\eaglep3-reporting\EC\2017-05-13-refined-times.txt</v>
      </c>
      <c r="AI118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{"issue":{"subject":"","project_id":79,"tracker_id":40,"status_id":1,"priority_id":2,"assigned_to_id":23,"start_date":"2017-05-13","description":"","custom_fields":[{"id":1,"name":"Subdivision","value":"EC"},{"id":4,"name":"Milepost","value":"23.3295"},{"id":17,"name":"Train ID","value":"201-13"},{"id":16,"name":"Locomotive ID","value":"4028"},{"id":130,"name":"Impact","value":""},{"id":150,"name":"Time of Event (Mountain Time)","value":"16:50:42"},{"id":151,"name":"Denver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5"/>
        <v>start /low /b %USERPROFILE%\Documents\GitHub\eaglep3\Utilities\DownloadLogsFromS3.py --loco 4028 --day 2017-05-13</v>
      </c>
      <c r="AN118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725</v>
      </c>
      <c r="B119" s="7">
        <v>4027</v>
      </c>
      <c r="C119" s="21" t="s">
        <v>206</v>
      </c>
      <c r="D119" s="21" t="s">
        <v>915</v>
      </c>
      <c r="E119" s="13">
        <v>42868.711145833331</v>
      </c>
      <c r="F119" s="13">
        <v>42868.716284722221</v>
      </c>
      <c r="G119" s="7">
        <v>1</v>
      </c>
      <c r="H119" s="21" t="s">
        <v>357</v>
      </c>
      <c r="I119" s="13">
        <v>42868.743368055555</v>
      </c>
      <c r="J119" s="7">
        <v>0</v>
      </c>
      <c r="K119" s="92" t="str">
        <f t="shared" si="30"/>
        <v>4027/4028</v>
      </c>
      <c r="L119" s="21" t="str">
        <f>VLOOKUP(A119,'Trips&amp;Operators'!$C$1:$G$99999,5,FALSE)</f>
        <v>STEWART MICHAEL</v>
      </c>
      <c r="M119" s="6">
        <f t="shared" si="31"/>
        <v>2.7083333334303461E-2</v>
      </c>
      <c r="N119" s="7">
        <f t="shared" si="49"/>
        <v>39.000000001396984</v>
      </c>
      <c r="O119" s="7"/>
      <c r="P119" s="7"/>
      <c r="Q119" s="22"/>
      <c r="R119" s="190"/>
      <c r="S119" s="196">
        <f t="shared" si="50"/>
        <v>1</v>
      </c>
      <c r="T119" s="190" t="str">
        <f t="shared" si="32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3"/>
        <v>https://d0f6bd738d7f1b3e5a7ca70fe4ff75f0.us-east-1.aws.found.io/app/kibana#/discover/Steve-Slow-Train-Analysis-(2080s-and-2083s)?_g=(refreshInterval:(display:Off,pause:!f,section:0,value:0),time:(from:'2017-05-13T16:04:03-0600',mode:absolute,to:'2017-05-13T18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9" s="192" t="str">
        <f t="shared" si="34"/>
        <v>N</v>
      </c>
      <c r="X119" s="192">
        <f t="shared" si="51"/>
        <v>1</v>
      </c>
      <c r="Y119" s="192">
        <f t="shared" si="52"/>
        <v>23.2974</v>
      </c>
      <c r="Z119" s="192">
        <f t="shared" si="53"/>
        <v>1.4999999999999999E-2</v>
      </c>
      <c r="AA119" s="192">
        <f t="shared" si="38"/>
        <v>23.282399999999999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9"/>
        <v>0202-13</v>
      </c>
      <c r="AE119" s="80" t="str">
        <f t="shared" si="40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119" s="77" t="str">
        <f t="shared" si="41"/>
        <v>"C:\Program Files (x86)\AstroGrep\AstroGrep.exe" /e /r /s /spath="%USERPROFILE%\AppData\Local\Temp\OnboardLogs" /stypes="app*4027*20170513*" /stext=" 23:.+((SYSTEM_STATE.+slice.+state.+changed )|(ment ac)|(multiple cpu faults)|(system.+state.+changed )|(\[timeout)|(PRM\|1\|D)|(kpr)|(kdp)|(train st.+moving)|(\|lc)|(penalty))"</v>
      </c>
      <c r="AG119" s="1" t="str">
        <f t="shared" si="42"/>
        <v>EC</v>
      </c>
      <c r="AH119" s="81" t="str">
        <f t="shared" si="43"/>
        <v>"%USERPROFILE%\Documents\GitHub\eaglep3\Utilities\RefineRTDCRunTimes.py" --tripid 202-13 --locoid 4027 --swversion DE.1.0.9.0 --startMP 204:232974 --initTime 2017-05-13T17:04:03 --startdatetime 2017-05-13T17:11:27 --delay 1 --endMP 204:150 --enddatetime 2017-05-13T17:50:27 --enforcementcount 0 &gt;&gt;C:\Users\stu\Documents\GitHub\eaglep3-reporting\EC\2017-05-13-refined-times.txt</v>
      </c>
      <c r="AI119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{"issue":{"subject":"","project_id":79,"tracker_id":40,"status_id":1,"priority_id":2,"assigned_to_id":23,"start_date":"2017-05-13","description":"","custom_fields":[{"id":1,"name":"Subdivision","value":"EC"},{"id":4,"name":"Milepost","value":"0.015"},{"id":17,"name":"Train ID","value":"202-13"},{"id":16,"name":"Locomotive ID","value":"4027"},{"id":130,"name":"Impact","value":""},{"id":150,"name":"Time of Event (Mountain Time)","value":"17:50:27"},{"id":151,"name":"Denver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5"/>
        <v>start /low /b %USERPROFILE%\Documents\GitHub\eaglep3\Utilities\DownloadLogsFromS3.py --loco 4027 --day 2017-05-13</v>
      </c>
      <c r="AN119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721</v>
      </c>
      <c r="B120" s="7">
        <v>4004</v>
      </c>
      <c r="C120" s="21" t="s">
        <v>206</v>
      </c>
      <c r="D120" s="21" t="s">
        <v>909</v>
      </c>
      <c r="E120" s="13">
        <v>42868.682245370372</v>
      </c>
      <c r="F120" s="13">
        <v>42868.688020833331</v>
      </c>
      <c r="G120" s="7">
        <v>1</v>
      </c>
      <c r="H120" s="21" t="s">
        <v>430</v>
      </c>
      <c r="I120" s="13">
        <v>42868.715775462966</v>
      </c>
      <c r="J120" s="7">
        <v>0</v>
      </c>
      <c r="K120" s="92" t="str">
        <f t="shared" si="30"/>
        <v>4003/4004</v>
      </c>
      <c r="L120" s="21" t="str">
        <f>VLOOKUP(A120,'Trips&amp;Operators'!$C$1:$G$99999,5,FALSE)</f>
        <v>DAVIS MICHAEL</v>
      </c>
      <c r="M120" s="6">
        <f t="shared" si="31"/>
        <v>2.775462963472819E-2</v>
      </c>
      <c r="N120" s="7">
        <f t="shared" si="49"/>
        <v>39.966666674008593</v>
      </c>
      <c r="O120" s="7"/>
      <c r="P120" s="7"/>
      <c r="Q120" s="22"/>
      <c r="R120" s="190"/>
      <c r="S120" s="196">
        <f t="shared" si="50"/>
        <v>1</v>
      </c>
      <c r="T120" s="190" t="str">
        <f t="shared" si="32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3"/>
        <v>https://d0f6bd738d7f1b3e5a7ca70fe4ff75f0.us-east-1.aws.found.io/app/kibana#/discover/Steve-Slow-Train-Analysis-(2080s-and-2083s)?_g=(refreshInterval:(display:Off,pause:!f,section:0,value:0),time:(from:'2017-05-13T15:22:26-0600',mode:absolute,to:'2017-05-13T18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0" s="192" t="str">
        <f t="shared" si="34"/>
        <v>N</v>
      </c>
      <c r="X120" s="192">
        <f t="shared" si="51"/>
        <v>1</v>
      </c>
      <c r="Y120" s="192">
        <f t="shared" si="52"/>
        <v>4.2200000000000001E-2</v>
      </c>
      <c r="Z120" s="192">
        <f t="shared" si="53"/>
        <v>23.3309</v>
      </c>
      <c r="AA120" s="192">
        <f t="shared" si="38"/>
        <v>23.288699999999999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9"/>
        <v>0203-13</v>
      </c>
      <c r="AE120" s="80" t="str">
        <f t="shared" si="40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120" s="77" t="str">
        <f t="shared" si="41"/>
        <v>"C:\Program Files (x86)\AstroGrep\AstroGrep.exe" /e /r /s /spath="%USERPROFILE%\AppData\Local\Temp\OnboardLogs" /stypes="app*4004*20170513*" /stext=" 23:.+((SYSTEM_STATE.+slice.+state.+changed )|(ment ac)|(multiple cpu faults)|(system.+state.+changed )|(\[timeout)|(PRM\|1\|D)|(kpr)|(kdp)|(train st.+moving)|(\|lc)|(penalty))"</v>
      </c>
      <c r="AG120" s="1" t="str">
        <f t="shared" si="42"/>
        <v>EC</v>
      </c>
      <c r="AH120" s="81" t="str">
        <f t="shared" si="43"/>
        <v>"%USERPROFILE%\Documents\GitHub\eaglep3\Utilities\RefineRTDCRunTimes.py" --tripid 203-13 --locoid 4004 --swversion DE.1.0.9.0 --startMP 204:422 --initTime 2017-05-13T16:22:26 --startdatetime 2017-05-13T16:30:45 --delay 1 --endMP 204:233309 --enddatetime 2017-05-13T17:10:43 --enforcementcount 0 &gt;&gt;C:\Users\stu\Documents\GitHub\eaglep3-reporting\EC\2017-05-13-refined-times.txt</v>
      </c>
      <c r="AI120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{"issue":{"subject":"","project_id":79,"tracker_id":40,"status_id":1,"priority_id":2,"assigned_to_id":23,"start_date":"2017-05-13","description":"","custom_fields":[{"id":1,"name":"Subdivision","value":"EC"},{"id":4,"name":"Milepost","value":"23.3309"},{"id":17,"name":"Train ID","value":"203-13"},{"id":16,"name":"Locomotive ID","value":"4004"},{"id":130,"name":"Impact","value":""},{"id":150,"name":"Time of Event (Mountain Time)","value":"17:10:43"},{"id":151,"name":"Denver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5"/>
        <v>start /low /b %USERPROFILE%\Documents\GitHub\eaglep3\Utilities\DownloadLogsFromS3.py --loco 4004 --day 2017-05-13</v>
      </c>
      <c r="AN120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23:10:43"},{"id":29,"name":"Sharepoint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727</v>
      </c>
      <c r="B121" s="7">
        <v>4003</v>
      </c>
      <c r="C121" s="21" t="s">
        <v>206</v>
      </c>
      <c r="D121" s="21" t="s">
        <v>428</v>
      </c>
      <c r="E121" s="13">
        <v>42868.724293981482</v>
      </c>
      <c r="F121" s="13">
        <v>42868.7266087963</v>
      </c>
      <c r="G121" s="7">
        <v>1</v>
      </c>
      <c r="H121" s="21" t="s">
        <v>366</v>
      </c>
      <c r="I121" s="13">
        <v>42868.754386574074</v>
      </c>
      <c r="J121" s="7">
        <v>0</v>
      </c>
      <c r="K121" s="92" t="str">
        <f t="shared" si="30"/>
        <v>4003/4004</v>
      </c>
      <c r="L121" s="21" t="str">
        <f>VLOOKUP(A121,'Trips&amp;Operators'!$C$1:$G$99999,5,FALSE)</f>
        <v>DAVIS MICHAEL</v>
      </c>
      <c r="M121" s="6">
        <f t="shared" si="31"/>
        <v>2.7777777773735579E-2</v>
      </c>
      <c r="N121" s="7">
        <f t="shared" si="49"/>
        <v>39.999999994179234</v>
      </c>
      <c r="O121" s="7"/>
      <c r="P121" s="7"/>
      <c r="Q121" s="22"/>
      <c r="R121" s="190"/>
      <c r="S121" s="196">
        <f t="shared" si="50"/>
        <v>1</v>
      </c>
      <c r="T121" s="190" t="str">
        <f t="shared" si="32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3"/>
        <v>https://d0f6bd738d7f1b3e5a7ca70fe4ff75f0.us-east-1.aws.found.io/app/kibana#/discover/Steve-Slow-Train-Analysis-(2080s-and-2083s)?_g=(refreshInterval:(display:Off,pause:!f,section:0,value:0),time:(from:'2017-05-13T16:22:59-0600',mode:absolute,to:'2017-05-13T19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1" s="192" t="str">
        <f t="shared" si="34"/>
        <v>N</v>
      </c>
      <c r="X121" s="192">
        <f t="shared" si="51"/>
        <v>1</v>
      </c>
      <c r="Y121" s="192">
        <f t="shared" si="52"/>
        <v>23.299399999999999</v>
      </c>
      <c r="Z121" s="192">
        <f t="shared" si="53"/>
        <v>1.5599999999999999E-2</v>
      </c>
      <c r="AA121" s="192">
        <f t="shared" si="38"/>
        <v>23.283799999999999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9"/>
        <v>0204-13</v>
      </c>
      <c r="AE121" s="80" t="str">
        <f t="shared" si="40"/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121" s="77" t="str">
        <f t="shared" si="41"/>
        <v>"C:\Program Files (x86)\AstroGrep\AstroGrep.exe" /e /r /s /spath="%USERPROFILE%\AppData\Local\Temp\OnboardLogs" /stypes="app*4003*20170514*" /stext=" 00:.+((SYSTEM_STATE.+slice.+state.+changed )|(ment ac)|(multiple cpu faults)|(system.+state.+changed )|(\[timeout)|(PRM\|1\|D)|(kpr)|(kdp)|(train st.+moving)|(\|lc)|(penalty))"</v>
      </c>
      <c r="AG121" s="1" t="str">
        <f t="shared" si="42"/>
        <v>EC</v>
      </c>
      <c r="AH121" s="81" t="str">
        <f t="shared" si="43"/>
        <v>"%USERPROFILE%\Documents\GitHub\eaglep3\Utilities\RefineRTDCRunTimes.py" --tripid 204-13 --locoid 4003 --swversion DE.1.0.9.0 --startMP 204:232994 --initTime 2017-05-13T17:22:59 --startdatetime 2017-05-13T17:26:19 --delay 1 --endMP 204:156 --enddatetime 2017-05-13T18:06:19 --enforcementcount 0 &gt;&gt;C:\Users\stu\Documents\GitHub\eaglep3-reporting\EC\2017-05-13-refined-times.txt</v>
      </c>
      <c r="AI121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{"issue":{"subject":"","project_id":79,"tracker_id":40,"status_id":1,"priority_id":2,"assigned_to_id":23,"start_date":"2017-05-13","description":"","custom_fields":[{"id":1,"name":"Subdivision","value":"EC"},{"id":4,"name":"Milepost","value":"0.0156"},{"id":17,"name":"Train ID","value":"204-13"},{"id":16,"name":"Locomotive ID","value":"4003"},{"id":130,"name":"Impact","value":""},{"id":150,"name":"Time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5"/>
        <v>start /low /b %USERPROFILE%\Documents\GitHub\eaglep3\Utilities\DownloadLogsFromS3.py --loco 4003 --day 2017-05-13</v>
      </c>
      <c r="AN121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723</v>
      </c>
      <c r="B122" s="7">
        <v>4014</v>
      </c>
      <c r="C122" s="21" t="s">
        <v>206</v>
      </c>
      <c r="D122" s="21" t="s">
        <v>203</v>
      </c>
      <c r="E122" s="13">
        <v>42868.693148148152</v>
      </c>
      <c r="F122" s="13">
        <v>42868.698055555556</v>
      </c>
      <c r="G122" s="7">
        <v>1</v>
      </c>
      <c r="H122" s="21" t="s">
        <v>796</v>
      </c>
      <c r="I122" s="13">
        <v>42868.722870370373</v>
      </c>
      <c r="J122" s="7">
        <v>0</v>
      </c>
      <c r="K122" s="92" t="str">
        <f t="shared" si="30"/>
        <v>4013/4014</v>
      </c>
      <c r="L122" s="21" t="str">
        <f>VLOOKUP(A122,'Trips&amp;Operators'!$C$1:$G$99999,5,FALSE)</f>
        <v>MCREYNOLDS KYLE</v>
      </c>
      <c r="M122" s="6">
        <f t="shared" si="31"/>
        <v>2.4814814816636499E-2</v>
      </c>
      <c r="N122" s="7">
        <f t="shared" si="49"/>
        <v>35.733333335956559</v>
      </c>
      <c r="O122" s="7"/>
      <c r="P122" s="7"/>
      <c r="Q122" s="22"/>
      <c r="R122" s="190"/>
      <c r="S122" s="196">
        <f t="shared" si="50"/>
        <v>1</v>
      </c>
      <c r="T122" s="190" t="str">
        <f t="shared" si="32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3"/>
        <v>https://d0f6bd738d7f1b3e5a7ca70fe4ff75f0.us-east-1.aws.found.io/app/kibana#/discover/Steve-Slow-Train-Analysis-(2080s-and-2083s)?_g=(refreshInterval:(display:Off,pause:!f,section:0,value:0),time:(from:'2017-05-13T15:38:08-0600',mode:absolute,to:'2017-05-13T18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92" t="str">
        <f t="shared" si="34"/>
        <v>N</v>
      </c>
      <c r="X122" s="192">
        <f t="shared" si="51"/>
        <v>1</v>
      </c>
      <c r="Y122" s="192">
        <f t="shared" si="52"/>
        <v>4.5999999999999999E-2</v>
      </c>
      <c r="Z122" s="192">
        <f t="shared" si="53"/>
        <v>23.332899999999999</v>
      </c>
      <c r="AA122" s="192">
        <f t="shared" si="38"/>
        <v>23.286899999999999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9"/>
        <v>0205-13</v>
      </c>
      <c r="AE122" s="80" t="str">
        <f t="shared" si="40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122" s="77" t="str">
        <f t="shared" si="41"/>
        <v>"C:\Program Files (x86)\AstroGrep\AstroGrep.exe" /e /r /s /spath="%USERPROFILE%\AppData\Local\Temp\OnboardLogs" /stypes="app*4014*20170513*" /stext=" 23:.+((SYSTEM_STATE.+slice.+state.+changed )|(ment ac)|(multiple cpu faults)|(system.+state.+changed )|(\[timeout)|(PRM\|1\|D)|(kpr)|(kdp)|(train st.+moving)|(\|lc)|(penalty))"</v>
      </c>
      <c r="AG122" s="1" t="str">
        <f t="shared" si="42"/>
        <v>EC</v>
      </c>
      <c r="AH122" s="81" t="str">
        <f t="shared" si="43"/>
        <v>"%USERPROFILE%\Documents\GitHub\eaglep3\Utilities\RefineRTDCRunTimes.py" --tripid 205-13 --locoid 4014 --swversion DE.1.0.9.0 --startMP 204:460 --initTime 2017-05-13T16:38:08 --startdatetime 2017-05-13T16:45:12 --delay 1 --endMP 204:233329 --enddatetime 2017-05-13T17:20:56 --enforcementcount 0 &gt;&gt;C:\Users\stu\Documents\GitHub\eaglep3-reporting\EC\2017-05-13-refined-times.txt</v>
      </c>
      <c r="AI122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{"issue":{"subject":"","project_id":79,"tracker_id":40,"status_id":1,"priority_id":2,"assigned_to_id":23,"start_date":"2017-05-13","description":"","custom_fields":[{"id":1,"name":"Subdivision","value":"EC"},{"id":4,"name":"Milepost","value":"23.3329"},{"id":17,"name":"Train ID","value":"205-13"},{"id":16,"name":"Locomotive ID","value":"4014"},{"id":130,"name":"Impact","value":""},{"id":150,"name":"Time of Event (Mountain Time)","value":"17:20:56"},{"id":151,"name":"Denver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5"/>
        <v>start /low /b %USERPROFILE%\Documents\GitHub\eaglep3\Utilities\DownloadLogsFromS3.py --loco 4014 --day 2017-05-13</v>
      </c>
      <c r="AN122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732</v>
      </c>
      <c r="B123" s="7">
        <v>4013</v>
      </c>
      <c r="C123" s="21" t="s">
        <v>206</v>
      </c>
      <c r="D123" s="21" t="s">
        <v>916</v>
      </c>
      <c r="E123" s="13">
        <v>42868.72892361111</v>
      </c>
      <c r="F123" s="13">
        <v>42868.736979166664</v>
      </c>
      <c r="G123" s="7">
        <v>0</v>
      </c>
      <c r="H123" s="21" t="s">
        <v>513</v>
      </c>
      <c r="I123" s="13">
        <v>42868.765532407408</v>
      </c>
      <c r="J123" s="7">
        <v>0</v>
      </c>
      <c r="K123" s="92" t="str">
        <f t="shared" si="30"/>
        <v>4013/4014</v>
      </c>
      <c r="L123" s="21" t="str">
        <f>VLOOKUP(A123,'Trips&amp;Operators'!$C$1:$G$99999,5,FALSE)</f>
        <v>MCREYNOLDS KYLE</v>
      </c>
      <c r="M123" s="6">
        <f t="shared" si="31"/>
        <v>2.8553240743349306E-2</v>
      </c>
      <c r="N123" s="7">
        <f t="shared" si="49"/>
        <v>41.116666670423001</v>
      </c>
      <c r="O123" s="7"/>
      <c r="P123" s="7"/>
      <c r="Q123" s="22"/>
      <c r="R123" s="190"/>
      <c r="S123" s="196">
        <f t="shared" si="50"/>
        <v>1</v>
      </c>
      <c r="T123" s="190" t="str">
        <f t="shared" si="32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3"/>
        <v>https://d0f6bd738d7f1b3e5a7ca70fe4ff75f0.us-east-1.aws.found.io/app/kibana#/discover/Steve-Slow-Train-Analysis-(2080s-and-2083s)?_g=(refreshInterval:(display:Off,pause:!f,section:0,value:0),time:(from:'2017-05-13T16:29:39-0600',mode:absolute,to:'2017-05-13T19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92" t="str">
        <f t="shared" si="34"/>
        <v>N</v>
      </c>
      <c r="X123" s="192">
        <f t="shared" si="51"/>
        <v>1</v>
      </c>
      <c r="Y123" s="192">
        <f t="shared" si="52"/>
        <v>23.304500000000001</v>
      </c>
      <c r="Z123" s="192">
        <f t="shared" si="53"/>
        <v>1.54E-2</v>
      </c>
      <c r="AA123" s="192">
        <f t="shared" si="38"/>
        <v>23.289100000000001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9"/>
        <v>0206-13</v>
      </c>
      <c r="AE123" s="80" t="str">
        <f t="shared" si="40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123" s="77" t="str">
        <f t="shared" si="41"/>
        <v>"C:\Program Files (x86)\AstroGrep\AstroGrep.exe" /e /r /s /spath="%USERPROFILE%\AppData\Local\Temp\OnboardLogs" /stypes="app*4013*20170514*" /stext=" 00:.+((SYSTEM_STATE.+slice.+state.+changed )|(ment ac)|(multiple cpu faults)|(system.+state.+changed )|(\[timeout)|(PRM\|1\|D)|(kpr)|(kdp)|(train st.+moving)|(\|lc)|(penalty))"</v>
      </c>
      <c r="AG123" s="1" t="str">
        <f t="shared" si="42"/>
        <v>EC</v>
      </c>
      <c r="AH123" s="81" t="str">
        <f t="shared" si="43"/>
        <v>"%USERPROFILE%\Documents\GitHub\eaglep3\Utilities\RefineRTDCRunTimes.py" --tripid 206-13 --locoid 4013 --swversion DE.1.0.9.0 --startMP 204:233045 --initTime 2017-05-13T17:29:39 --startdatetime 2017-05-13T17:41:15 --delay 0 --endMP 204:154 --enddatetime 2017-05-13T18:22:22 --enforcementcount 0 &gt;&gt;C:\Users\stu\Documents\GitHub\eaglep3-reporting\EC\2017-05-13-refined-times.txt</v>
      </c>
      <c r="AI123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{"issue":{"subject":"","project_id":79,"tracker_id":40,"status_id":1,"priority_id":2,"assigned_to_id":23,"start_date":"2017-05-13","description":"","custom_fields":[{"id":1,"name":"Subdivision","value":"EC"},{"id":4,"name":"Milepost","value":"0.0154"},{"id":17,"name":"Train ID","value":"206-13"},{"id":16,"name":"Locomotive ID","value":"4013"},{"id":130,"name":"Impact","value":""},{"id":150,"name":"Time of Event (Mountain Time)","value":"18:22:22"},{"id":151,"name":"Denver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5"/>
        <v>start /low /b %USERPROFILE%\Documents\GitHub\eaglep3\Utilities\DownloadLogsFromS3.py --loco 4013 --day 2017-05-13</v>
      </c>
      <c r="AN123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566</v>
      </c>
      <c r="B124" s="7">
        <v>4002</v>
      </c>
      <c r="C124" s="21" t="s">
        <v>206</v>
      </c>
      <c r="D124" s="21" t="s">
        <v>368</v>
      </c>
      <c r="E124" s="13">
        <v>42868.704641203702</v>
      </c>
      <c r="F124" s="13">
        <v>42868.709062499998</v>
      </c>
      <c r="G124" s="7">
        <v>1</v>
      </c>
      <c r="H124" s="21" t="s">
        <v>517</v>
      </c>
      <c r="I124" s="13">
        <v>42868.735567129632</v>
      </c>
      <c r="J124" s="7">
        <v>0</v>
      </c>
      <c r="K124" s="92" t="str">
        <f t="shared" si="30"/>
        <v>4001/4002</v>
      </c>
      <c r="L124" s="21" t="str">
        <f>VLOOKUP(A124,'Trips&amp;Operators'!$C$1:$G$99999,5,FALSE)</f>
        <v>BRANDNER MELINDA</v>
      </c>
      <c r="M124" s="6">
        <f t="shared" si="31"/>
        <v>2.6504629633564036E-2</v>
      </c>
      <c r="N124" s="7">
        <f t="shared" si="49"/>
        <v>38.166666672332212</v>
      </c>
      <c r="O124" s="7"/>
      <c r="P124" s="7"/>
      <c r="Q124" s="22"/>
      <c r="R124" s="190"/>
      <c r="S124" s="196">
        <f t="shared" si="50"/>
        <v>1</v>
      </c>
      <c r="T124" s="190" t="str">
        <f t="shared" si="32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3"/>
        <v>https://d0f6bd738d7f1b3e5a7ca70fe4ff75f0.us-east-1.aws.found.io/app/kibana#/discover/Steve-Slow-Train-Analysis-(2080s-and-2083s)?_g=(refreshInterval:(display:Off,pause:!f,section:0,value:0),time:(from:'2017-05-13T15:54:41-0600',mode:absolute,to:'2017-05-13T18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92" t="str">
        <f t="shared" si="34"/>
        <v>N</v>
      </c>
      <c r="X124" s="192">
        <f t="shared" si="51"/>
        <v>1</v>
      </c>
      <c r="Y124" s="192">
        <f t="shared" si="52"/>
        <v>4.4400000000000002E-2</v>
      </c>
      <c r="Z124" s="192">
        <f t="shared" si="53"/>
        <v>23.338000000000001</v>
      </c>
      <c r="AA124" s="192">
        <f t="shared" si="38"/>
        <v>23.293600000000001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9"/>
        <v>0207-13</v>
      </c>
      <c r="AE124" s="80" t="str">
        <f t="shared" si="40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124" s="77" t="str">
        <f t="shared" si="41"/>
        <v>"C:\Program Files (x86)\AstroGrep\AstroGrep.exe" /e /r /s /spath="%USERPROFILE%\AppData\Local\Temp\OnboardLogs" /stypes="app*4002*20170513*" /stext=" 23:.+((SYSTEM_STATE.+slice.+state.+changed )|(ment ac)|(multiple cpu faults)|(system.+state.+changed )|(\[timeout)|(PRM\|1\|D)|(kpr)|(kdp)|(train st.+moving)|(\|lc)|(penalty))"</v>
      </c>
      <c r="AG124" s="1" t="str">
        <f t="shared" si="42"/>
        <v>EC</v>
      </c>
      <c r="AH124" s="81" t="str">
        <f t="shared" si="43"/>
        <v>"%USERPROFILE%\Documents\GitHub\eaglep3\Utilities\RefineRTDCRunTimes.py" --tripid 207-13 --locoid 4002 --swversion DE.1.0.9.0 --startMP 204:444 --initTime 2017-05-13T16:54:41 --startdatetime 2017-05-13T17:01:03 --delay 1 --endMP 204:233380 --enddatetime 2017-05-13T17:39:13 --enforcementcount 0 &gt;&gt;C:\Users\stu\Documents\GitHub\eaglep3-reporting\EC\2017-05-13-refined-times.txt</v>
      </c>
      <c r="AI124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{"issue":{"subject":"","project_id":79,"tracker_id":40,"status_id":1,"priority_id":2,"assigned_to_id":23,"start_date":"2017-05-13","description":"","custom_fields":[{"id":1,"name":"Subdivision","value":"EC"},{"id":4,"name":"Milepost","value":"23.338"},{"id":17,"name":"Train ID","value":"207-13"},{"id":16,"name":"Locomotive ID","value":"4002"},{"id":130,"name":"Impact","value":""},{"id":150,"name":"Time of Event (Mountain Time)","value":"17:39:13"},{"id":151,"name":"Denver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5"/>
        <v>start /low /b %USERPROFILE%\Documents\GitHub\eaglep3\Utilities\DownloadLogsFromS3.py --loco 4002 --day 2017-05-13</v>
      </c>
      <c r="AN124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571</v>
      </c>
      <c r="B125" s="7">
        <v>4001</v>
      </c>
      <c r="C125" s="21" t="s">
        <v>206</v>
      </c>
      <c r="D125" s="21" t="s">
        <v>917</v>
      </c>
      <c r="E125" s="13">
        <v>42868.742476851854</v>
      </c>
      <c r="F125" s="13">
        <v>42868.747337962966</v>
      </c>
      <c r="G125" s="7">
        <v>1</v>
      </c>
      <c r="H125" s="21" t="s">
        <v>918</v>
      </c>
      <c r="I125" s="13">
        <v>42868.775462962964</v>
      </c>
      <c r="J125" s="7">
        <v>0</v>
      </c>
      <c r="K125" s="92" t="str">
        <f t="shared" si="30"/>
        <v>4001/4002</v>
      </c>
      <c r="L125" s="21" t="str">
        <f>VLOOKUP(A125,'Trips&amp;Operators'!$C$1:$G$99999,5,FALSE)</f>
        <v>BRANDNER MELINDA</v>
      </c>
      <c r="M125" s="6">
        <f t="shared" si="31"/>
        <v>2.8124999997089617E-2</v>
      </c>
      <c r="N125" s="7">
        <f t="shared" si="49"/>
        <v>40.499999995809048</v>
      </c>
      <c r="O125" s="7"/>
      <c r="P125" s="7"/>
      <c r="Q125" s="22"/>
      <c r="R125" s="190"/>
      <c r="S125" s="196">
        <f t="shared" si="50"/>
        <v>1</v>
      </c>
      <c r="T125" s="190" t="str">
        <f t="shared" si="32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3"/>
        <v>https://d0f6bd738d7f1b3e5a7ca70fe4ff75f0.us-east-1.aws.found.io/app/kibana#/discover/Steve-Slow-Train-Analysis-(2080s-and-2083s)?_g=(refreshInterval:(display:Off,pause:!f,section:0,value:0),time:(from:'2017-05-13T16:49:10-0600',mode:absolute,to:'2017-05-13T19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92" t="str">
        <f t="shared" si="34"/>
        <v>N</v>
      </c>
      <c r="X125" s="192">
        <f t="shared" si="51"/>
        <v>1</v>
      </c>
      <c r="Y125" s="192">
        <f t="shared" si="52"/>
        <v>23.308</v>
      </c>
      <c r="Z125" s="192">
        <f t="shared" si="53"/>
        <v>9.1300000000000006E-2</v>
      </c>
      <c r="AA125" s="192">
        <f t="shared" si="38"/>
        <v>23.216699999999999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9"/>
        <v>0208-13</v>
      </c>
      <c r="AE125" s="80" t="str">
        <f t="shared" si="40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125" s="77" t="str">
        <f t="shared" si="41"/>
        <v>"C:\Program Files (x86)\AstroGrep\AstroGrep.exe" /e /r /s /spath="%USERPROFILE%\AppData\Local\Temp\OnboardLogs" /stypes="app*4001*20170514*" /stext=" 00:.+((SYSTEM_STATE.+slice.+state.+changed )|(ment ac)|(multiple cpu faults)|(system.+state.+changed )|(\[timeout)|(PRM\|1\|D)|(kpr)|(kdp)|(train st.+moving)|(\|lc)|(penalty))"</v>
      </c>
      <c r="AG125" s="1" t="str">
        <f t="shared" si="42"/>
        <v>EC</v>
      </c>
      <c r="AH125" s="81" t="str">
        <f t="shared" si="43"/>
        <v>"%USERPROFILE%\Documents\GitHub\eaglep3\Utilities\RefineRTDCRunTimes.py" --tripid 208-13 --locoid 4001 --swversion DE.1.0.9.0 --startMP 204:233080 --initTime 2017-05-13T17:49:10 --startdatetime 2017-05-13T17:56:10 --delay 1 --endMP 204:913 --enddatetime 2017-05-13T18:36:40 --enforcementcount 0 &gt;&gt;C:\Users\stu\Documents\GitHub\eaglep3-reporting\EC\2017-05-13-refined-times.txt</v>
      </c>
      <c r="AI125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{"issue":{"subject":"","project_id":79,"tracker_id":40,"status_id":1,"priority_id":2,"assigned_to_id":23,"start_date":"2017-05-13","description":"","custom_fields":[{"id":1,"name":"Subdivision","value":"EC"},{"id":4,"name":"Milepost","value":"0.0913"},{"id":17,"name":"Train ID","value":"208-13"},{"id":16,"name":"Locomotive ID","value":"4001"},{"id":130,"name":"Impact","value":""},{"id":150,"name":"Time of Event (Mountain Time)","value":"18:36:40"},{"id":151,"name":"Denver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5"/>
        <v>start /low /b %USERPROFILE%\Documents\GitHub\eaglep3\Utilities\DownloadLogsFromS3.py --loco 4001 --day 2017-05-13</v>
      </c>
      <c r="AN125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568</v>
      </c>
      <c r="B126" s="7">
        <v>4042</v>
      </c>
      <c r="C126" s="21" t="s">
        <v>206</v>
      </c>
      <c r="D126" s="21" t="s">
        <v>511</v>
      </c>
      <c r="E126" s="13">
        <v>42868.716597222221</v>
      </c>
      <c r="F126" s="13">
        <v>42868.719027777777</v>
      </c>
      <c r="G126" s="7">
        <v>1</v>
      </c>
      <c r="H126" s="21" t="s">
        <v>919</v>
      </c>
      <c r="I126" s="13">
        <v>42868.744259259256</v>
      </c>
      <c r="J126" s="7">
        <v>0</v>
      </c>
      <c r="K126" s="92" t="str">
        <f t="shared" si="30"/>
        <v>4041/4042</v>
      </c>
      <c r="L126" s="21" t="str">
        <f>VLOOKUP(A126,'Trips&amp;Operators'!$C$1:$G$99999,5,FALSE)</f>
        <v>LEVIN SCOTT</v>
      </c>
      <c r="M126" s="6">
        <f t="shared" si="31"/>
        <v>2.5231481478840578E-2</v>
      </c>
      <c r="N126" s="7">
        <f t="shared" si="49"/>
        <v>36.333333329530433</v>
      </c>
      <c r="O126" s="7"/>
      <c r="P126" s="7"/>
      <c r="Q126" s="22"/>
      <c r="R126" s="190"/>
      <c r="S126" s="196">
        <f t="shared" si="50"/>
        <v>1</v>
      </c>
      <c r="T126" s="190" t="str">
        <f t="shared" si="32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3"/>
        <v>https://d0f6bd738d7f1b3e5a7ca70fe4ff75f0.us-east-1.aws.found.io/app/kibana#/discover/Steve-Slow-Train-Analysis-(2080s-and-2083s)?_g=(refreshInterval:(display:Off,pause:!f,section:0,value:0),time:(from:'2017-05-13T16:11:54-0600',mode:absolute,to:'2017-05-13T18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192" t="str">
        <f t="shared" si="34"/>
        <v>N</v>
      </c>
      <c r="X126" s="192">
        <f t="shared" si="51"/>
        <v>1</v>
      </c>
      <c r="Y126" s="192">
        <f t="shared" si="52"/>
        <v>4.3099999999999999E-2</v>
      </c>
      <c r="Z126" s="192">
        <f t="shared" si="53"/>
        <v>23.331900000000001</v>
      </c>
      <c r="AA126" s="192">
        <f t="shared" si="38"/>
        <v>23.288800000000002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9"/>
        <v>0209-13</v>
      </c>
      <c r="AE126" s="80" t="str">
        <f t="shared" si="40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126" s="77" t="str">
        <f t="shared" si="41"/>
        <v>"C:\Program Files (x86)\AstroGrep\AstroGrep.exe" /e /r /s /spath="%USERPROFILE%\AppData\Local\Temp\OnboardLogs" /stypes="app*4042*20170513*" /stext=" 23:.+((SYSTEM_STATE.+slice.+state.+changed )|(ment ac)|(multiple cpu faults)|(system.+state.+changed )|(\[timeout)|(PRM\|1\|D)|(kpr)|(kdp)|(train st.+moving)|(\|lc)|(penalty))"</v>
      </c>
      <c r="AG126" s="1" t="str">
        <f t="shared" si="42"/>
        <v>EC</v>
      </c>
      <c r="AH126" s="81" t="str">
        <f t="shared" si="43"/>
        <v>"%USERPROFILE%\Documents\GitHub\eaglep3\Utilities\RefineRTDCRunTimes.py" --tripid 209-13 --locoid 4042 --swversion DE.1.0.9.0 --startMP 204:431 --initTime 2017-05-13T17:11:54 --startdatetime 2017-05-13T17:15:24 --delay 1 --endMP 204:233319 --enddatetime 2017-05-13T17:51:44 --enforcementcount 0 &gt;&gt;C:\Users\stu\Documents\GitHub\eaglep3-reporting\EC\2017-05-13-refined-times.txt</v>
      </c>
      <c r="AI126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{"issue":{"subject":"","project_id":79,"tracker_id":40,"status_id":1,"priority_id":2,"assigned_to_id":23,"start_date":"2017-05-13","description":"","custom_fields":[{"id":1,"name":"Subdivision","value":"EC"},{"id":4,"name":"Milepost","value":"23.3319"},{"id":17,"name":"Train ID","value":"209-13"},{"id":16,"name":"Locomotive ID","value":"4042"},{"id":130,"name":"Impact","value":""},{"id":150,"name":"Time of Event (Mountain Time)","value":"17:51:44"},{"id":151,"name":"Denver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5"/>
        <v>start /low /b %USERPROFILE%\Documents\GitHub\eaglep3\Utilities\DownloadLogsFromS3.py --loco 4042 --day 2017-05-13</v>
      </c>
      <c r="AN126" s="154" t="str">
        <f t="shared" si="4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737</v>
      </c>
      <c r="B127" s="7">
        <v>4041</v>
      </c>
      <c r="C127" s="21" t="s">
        <v>206</v>
      </c>
      <c r="D127" s="21" t="s">
        <v>447</v>
      </c>
      <c r="E127" s="13">
        <v>42868.754189814812</v>
      </c>
      <c r="F127" s="13">
        <v>42868.757835648146</v>
      </c>
      <c r="G127" s="7">
        <v>1</v>
      </c>
      <c r="H127" s="21" t="s">
        <v>348</v>
      </c>
      <c r="I127" s="13">
        <v>42868.784328703703</v>
      </c>
      <c r="J127" s="7">
        <v>0</v>
      </c>
      <c r="K127" s="92" t="str">
        <f t="shared" si="30"/>
        <v>4041/4042</v>
      </c>
      <c r="L127" s="21" t="str">
        <f>VLOOKUP(A127,'Trips&amp;Operators'!$C$1:$G$99999,5,FALSE)</f>
        <v>LEVIN SCOTT</v>
      </c>
      <c r="M127" s="6">
        <f t="shared" si="31"/>
        <v>2.6493055556784384E-2</v>
      </c>
      <c r="N127" s="7">
        <f t="shared" si="49"/>
        <v>38.150000001769513</v>
      </c>
      <c r="O127" s="7"/>
      <c r="P127" s="7"/>
      <c r="Q127" s="22"/>
      <c r="R127" s="190"/>
      <c r="S127" s="196">
        <f t="shared" si="50"/>
        <v>1</v>
      </c>
      <c r="T127" s="190" t="str">
        <f t="shared" si="32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3"/>
        <v>https://d0f6bd738d7f1b3e5a7ca70fe4ff75f0.us-east-1.aws.found.io/app/kibana#/discover/Steve-Slow-Train-Analysis-(2080s-and-2083s)?_g=(refreshInterval:(display:Off,pause:!f,section:0,value:0),time:(from:'2017-05-13T17:06:02-0600',mode:absolute,to:'2017-05-13T19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192" t="str">
        <f t="shared" si="34"/>
        <v>N</v>
      </c>
      <c r="X127" s="192">
        <f t="shared" si="51"/>
        <v>1</v>
      </c>
      <c r="Y127" s="192">
        <f t="shared" si="52"/>
        <v>23.299600000000002</v>
      </c>
      <c r="Z127" s="192">
        <f t="shared" si="53"/>
        <v>1.38E-2</v>
      </c>
      <c r="AA127" s="192">
        <f t="shared" si="38"/>
        <v>23.285800000000002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9"/>
        <v>0210-13</v>
      </c>
      <c r="AE127" s="80" t="str">
        <f t="shared" si="40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127" s="77" t="str">
        <f t="shared" si="41"/>
        <v>"C:\Program Files (x86)\AstroGrep\AstroGrep.exe" /e /r /s /spath="%USERPROFILE%\AppData\Local\Temp\OnboardLogs" /stypes="app*4041*20170514*" /stext=" 00:.+((SYSTEM_STATE.+slice.+state.+changed )|(ment ac)|(multiple cpu faults)|(system.+state.+changed )|(\[timeout)|(PRM\|1\|D)|(kpr)|(kdp)|(train st.+moving)|(\|lc)|(penalty))"</v>
      </c>
      <c r="AG127" s="1" t="str">
        <f t="shared" si="42"/>
        <v>EC</v>
      </c>
      <c r="AH127" s="81" t="str">
        <f t="shared" si="43"/>
        <v>"%USERPROFILE%\Documents\GitHub\eaglep3\Utilities\RefineRTDCRunTimes.py" --tripid 210-13 --locoid 4041 --swversion DE.1.0.9.0 --startMP 204:232996 --initTime 2017-05-13T18:06:02 --startdatetime 2017-05-13T18:11:17 --delay 1 --endMP 204:138 --enddatetime 2017-05-13T18:49:26 --enforcementcount 0 &gt;&gt;C:\Users\stu\Documents\GitHub\eaglep3-reporting\EC\2017-05-13-refined-times.txt</v>
      </c>
      <c r="AI127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{"issue":{"subject":"","project_id":79,"tracker_id":40,"status_id":1,"priority_id":2,"assigned_to_id":23,"start_date":"2017-05-13","description":"","custom_fields":[{"id":1,"name":"Subdivision","value":"EC"},{"id":4,"name":"Milepost","value":"0.0138"},{"id":17,"name":"Train ID","value":"210-13"},{"id":16,"name":"Locomotive ID","value":"4041"},{"id":130,"name":"Impact","value":""},{"id":150,"name":"Time of Event (Mountain Time)","value":"18:49:26"},{"id":151,"name":"Denver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5"/>
        <v>start /low /b %USERPROFILE%\Documents\GitHub\eaglep3\Utilities\DownloadLogsFromS3.py --loco 4041 --day 2017-05-13</v>
      </c>
      <c r="AN127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728</v>
      </c>
      <c r="B128" s="7">
        <v>4032</v>
      </c>
      <c r="C128" s="21" t="s">
        <v>206</v>
      </c>
      <c r="D128" s="21" t="s">
        <v>920</v>
      </c>
      <c r="E128" s="13">
        <v>42868.724606481483</v>
      </c>
      <c r="F128" s="13">
        <v>42868.729467592595</v>
      </c>
      <c r="G128" s="7">
        <v>1</v>
      </c>
      <c r="H128" s="21" t="s">
        <v>921</v>
      </c>
      <c r="I128" s="13">
        <v>42868.75476851852</v>
      </c>
      <c r="J128" s="7">
        <v>0</v>
      </c>
      <c r="K128" s="92" t="str">
        <f t="shared" si="30"/>
        <v>4031/4032</v>
      </c>
      <c r="L128" s="21" t="str">
        <f>VLOOKUP(A128,'Trips&amp;Operators'!$C$1:$G$99999,5,FALSE)</f>
        <v>ROMERO CHAD</v>
      </c>
      <c r="M128" s="6">
        <f t="shared" si="31"/>
        <v>2.5300925924966577E-2</v>
      </c>
      <c r="N128" s="7">
        <f t="shared" si="49"/>
        <v>36.433333331951872</v>
      </c>
      <c r="O128" s="7"/>
      <c r="P128" s="7"/>
      <c r="Q128" s="22"/>
      <c r="R128" s="190"/>
      <c r="S128" s="196">
        <f t="shared" si="50"/>
        <v>1</v>
      </c>
      <c r="T128" s="190" t="str">
        <f t="shared" si="32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3"/>
        <v>https://d0f6bd738d7f1b3e5a7ca70fe4ff75f0.us-east-1.aws.found.io/app/kibana#/discover/Steve-Slow-Train-Analysis-(2080s-and-2083s)?_g=(refreshInterval:(display:Off,pause:!f,section:0,value:0),time:(from:'2017-05-13T16:23:26-0600',mode:absolute,to:'2017-05-13T19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92" t="str">
        <f t="shared" si="34"/>
        <v>N</v>
      </c>
      <c r="X128" s="192">
        <f t="shared" si="51"/>
        <v>1</v>
      </c>
      <c r="Y128" s="192">
        <f t="shared" si="52"/>
        <v>4.0399999999999998E-2</v>
      </c>
      <c r="Z128" s="192">
        <f t="shared" si="53"/>
        <v>23.3353</v>
      </c>
      <c r="AA128" s="192">
        <f t="shared" si="38"/>
        <v>23.294899999999998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9"/>
        <v>0211-13</v>
      </c>
      <c r="AE128" s="80" t="str">
        <f t="shared" si="40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128" s="77" t="str">
        <f t="shared" si="41"/>
        <v>"C:\Program Files (x86)\AstroGrep\AstroGrep.exe" /e /r /s /spath="%USERPROFILE%\AppData\Local\Temp\OnboardLogs" /stypes="app*4032*20170514*" /stext=" 00:.+((SYSTEM_STATE.+slice.+state.+changed )|(ment ac)|(multiple cpu faults)|(system.+state.+changed )|(\[timeout)|(PRM\|1\|D)|(kpr)|(kdp)|(train st.+moving)|(\|lc)|(penalty))"</v>
      </c>
      <c r="AG128" s="1" t="str">
        <f t="shared" si="42"/>
        <v>EC</v>
      </c>
      <c r="AH128" s="81" t="str">
        <f t="shared" si="43"/>
        <v>"%USERPROFILE%\Documents\GitHub\eaglep3\Utilities\RefineRTDCRunTimes.py" --tripid 211-13 --locoid 4032 --swversion DE.1.0.9.0 --startMP 204:404 --initTime 2017-05-13T17:23:26 --startdatetime 2017-05-13T17:30:26 --delay 1 --endMP 204:233353 --enddatetime 2017-05-13T18:06:52 --enforcementcount 0 &gt;&gt;C:\Users\stu\Documents\GitHub\eaglep3-reporting\EC\2017-05-13-refined-times.txt</v>
      </c>
      <c r="AI128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{"issue":{"subject":"","project_id":79,"tracker_id":40,"status_id":1,"priority_id":2,"assigned_to_id":23,"start_date":"2017-05-13","description":"","custom_fields":[{"id":1,"name":"Subdivision","value":"EC"},{"id":4,"name":"Milepost","value":"23.3353"},{"id":17,"name":"Train ID","value":"211-13"},{"id":16,"name":"Locomotive ID","value":"4032"},{"id":130,"name":"Impact","value":""},{"id":150,"name":"Time of Event (Mountain Time)","value":"18:06:52"},{"id":151,"name":"Denver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5"/>
        <v>start /low /b %USERPROFILE%\Documents\GitHub\eaglep3\Utilities\DownloadLogsFromS3.py --loco 4032 --day 2017-05-13</v>
      </c>
      <c r="AN128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740</v>
      </c>
      <c r="B129" s="7">
        <v>4031</v>
      </c>
      <c r="C129" s="21" t="s">
        <v>206</v>
      </c>
      <c r="D129" s="21" t="s">
        <v>922</v>
      </c>
      <c r="E129" s="13">
        <v>42868.7575</v>
      </c>
      <c r="F129" s="13">
        <v>42868.76829861111</v>
      </c>
      <c r="G129" s="7">
        <v>1</v>
      </c>
      <c r="H129" s="21" t="s">
        <v>851</v>
      </c>
      <c r="I129" s="13">
        <v>42868.794328703705</v>
      </c>
      <c r="J129" s="7">
        <v>0</v>
      </c>
      <c r="K129" s="92" t="str">
        <f t="shared" si="30"/>
        <v>4031/4032</v>
      </c>
      <c r="L129" s="21" t="str">
        <f>VLOOKUP(A129,'Trips&amp;Operators'!$C$1:$G$99999,5,FALSE)</f>
        <v>ROMERO CHAD</v>
      </c>
      <c r="M129" s="6">
        <f t="shared" si="31"/>
        <v>2.6030092594737653E-2</v>
      </c>
      <c r="N129" s="7">
        <f t="shared" si="49"/>
        <v>37.48333333642222</v>
      </c>
      <c r="O129" s="7"/>
      <c r="P129" s="7"/>
      <c r="Q129" s="22"/>
      <c r="R129" s="190"/>
      <c r="S129" s="196">
        <f t="shared" si="50"/>
        <v>1</v>
      </c>
      <c r="T129" s="190" t="str">
        <f t="shared" si="32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3"/>
        <v>https://d0f6bd738d7f1b3e5a7ca70fe4ff75f0.us-east-1.aws.found.io/app/kibana#/discover/Steve-Slow-Train-Analysis-(2080s-and-2083s)?_g=(refreshInterval:(display:Off,pause:!f,section:0,value:0),time:(from:'2017-05-13T17:10:48-0600',mode:absolute,to:'2017-05-13T20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92" t="str">
        <f t="shared" si="34"/>
        <v>N</v>
      </c>
      <c r="X129" s="192">
        <f t="shared" si="51"/>
        <v>1</v>
      </c>
      <c r="Y129" s="192">
        <f t="shared" si="52"/>
        <v>23.302800000000001</v>
      </c>
      <c r="Z129" s="192">
        <f t="shared" si="53"/>
        <v>1.14E-2</v>
      </c>
      <c r="AA129" s="192">
        <f t="shared" si="38"/>
        <v>23.291400000000003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9"/>
        <v>0212-13</v>
      </c>
      <c r="AE129" s="80" t="str">
        <f t="shared" si="40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129" s="77" t="str">
        <f t="shared" si="41"/>
        <v>"C:\Program Files (x86)\AstroGrep\AstroGrep.exe" /e /r /s /spath="%USERPROFILE%\AppData\Local\Temp\OnboardLogs" /stypes="app*4031*20170514*" /stext=" 01:.+((SYSTEM_STATE.+slice.+state.+changed )|(ment ac)|(multiple cpu faults)|(system.+state.+changed )|(\[timeout)|(PRM\|1\|D)|(kpr)|(kdp)|(train st.+moving)|(\|lc)|(penalty))"</v>
      </c>
      <c r="AG129" s="1" t="str">
        <f t="shared" si="42"/>
        <v>EC</v>
      </c>
      <c r="AH129" s="81" t="str">
        <f t="shared" si="43"/>
        <v>"%USERPROFILE%\Documents\GitHub\eaglep3\Utilities\RefineRTDCRunTimes.py" --tripid 212-13 --locoid 4031 --swversion DE.1.0.9.0 --startMP 204:233028 --initTime 2017-05-13T18:10:48 --startdatetime 2017-05-13T18:26:21 --delay 1 --endMP 204:114 --enddatetime 2017-05-13T19:03:50 --enforcementcount 0 &gt;&gt;C:\Users\stu\Documents\GitHub\eaglep3-reporting\EC\2017-05-13-refined-times.txt</v>
      </c>
      <c r="AI129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{"issue":{"subject":"","project_id":79,"tracker_id":40,"status_id":1,"priority_id":2,"assigned_to_id":23,"start_date":"2017-05-13","description":"","custom_fields":[{"id":1,"name":"Subdivision","value":"EC"},{"id":4,"name":"Milepost","value":"0.0114"},{"id":17,"name":"Train ID","value":"212-13"},{"id":16,"name":"Locomotive ID","value":"4031"},{"id":130,"name":"Impact","value":""},{"id":150,"name":"Time of Event (Mountain Time)","value":"19:03:50"},{"id":151,"name":"Denver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5"/>
        <v>start /low /b %USERPROFILE%\Documents\GitHub\eaglep3\Utilities\DownloadLogsFromS3.py --loco 4031 --day 2017-05-13</v>
      </c>
      <c r="AN129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734</v>
      </c>
      <c r="B130" s="7">
        <v>4054</v>
      </c>
      <c r="C130" s="21" t="s">
        <v>206</v>
      </c>
      <c r="D130" s="21" t="s">
        <v>923</v>
      </c>
      <c r="E130" s="13">
        <v>42868.737581018519</v>
      </c>
      <c r="F130" s="13">
        <v>42868.739872685182</v>
      </c>
      <c r="G130" s="7">
        <v>1</v>
      </c>
      <c r="H130" s="21" t="s">
        <v>924</v>
      </c>
      <c r="I130" s="13">
        <v>42868.764432870368</v>
      </c>
      <c r="J130" s="7">
        <v>0</v>
      </c>
      <c r="K130" s="92" t="str">
        <f t="shared" si="30"/>
        <v>4053/4054</v>
      </c>
      <c r="L130" s="21" t="str">
        <f>VLOOKUP(A130,'Trips&amp;Operators'!$C$1:$G$99999,5,FALSE)</f>
        <v>SMITH MICHAEL</v>
      </c>
      <c r="M130" s="6">
        <f t="shared" si="31"/>
        <v>2.4560185185691807E-2</v>
      </c>
      <c r="N130" s="7">
        <f t="shared" si="49"/>
        <v>35.366666667396203</v>
      </c>
      <c r="O130" s="7"/>
      <c r="P130" s="7"/>
      <c r="Q130" s="22"/>
      <c r="R130" s="190"/>
      <c r="S130" s="196">
        <f t="shared" si="50"/>
        <v>1</v>
      </c>
      <c r="T130" s="190" t="str">
        <f t="shared" si="32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3"/>
        <v>https://d0f6bd738d7f1b3e5a7ca70fe4ff75f0.us-east-1.aws.found.io/app/kibana#/discover/Steve-Slow-Train-Analysis-(2080s-and-2083s)?_g=(refreshInterval:(display:Off,pause:!f,section:0,value:0),time:(from:'2017-05-13T16:42:07-0600',mode:absolute,to:'2017-05-13T19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0" s="192" t="str">
        <f t="shared" si="34"/>
        <v>N</v>
      </c>
      <c r="X130" s="192">
        <f t="shared" si="51"/>
        <v>1</v>
      </c>
      <c r="Y130" s="192">
        <f t="shared" si="52"/>
        <v>4.8800000000000003E-2</v>
      </c>
      <c r="Z130" s="192">
        <f t="shared" si="53"/>
        <v>23.3338</v>
      </c>
      <c r="AA130" s="192">
        <f t="shared" si="38"/>
        <v>23.285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9"/>
        <v>0213-13</v>
      </c>
      <c r="AE130" s="80" t="str">
        <f t="shared" si="40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130" s="77" t="str">
        <f t="shared" si="41"/>
        <v>"C:\Program Files (x86)\AstroGrep\AstroGrep.exe" /e /r /s /spath="%USERPROFILE%\AppData\Local\Temp\OnboardLogs" /stypes="app*4054*20170514*" /stext=" 00:.+((SYSTEM_STATE.+slice.+state.+changed )|(ment ac)|(multiple cpu faults)|(system.+state.+changed )|(\[timeout)|(PRM\|1\|D)|(kpr)|(kdp)|(train st.+moving)|(\|lc)|(penalty))"</v>
      </c>
      <c r="AG130" s="1" t="str">
        <f t="shared" si="42"/>
        <v>EC</v>
      </c>
      <c r="AH130" s="81" t="str">
        <f t="shared" si="43"/>
        <v>"%USERPROFILE%\Documents\GitHub\eaglep3\Utilities\RefineRTDCRunTimes.py" --tripid 213-13 --locoid 4054 --swversion DE.1.0.9.0 --startMP 204:488 --initTime 2017-05-13T17:42:07 --startdatetime 2017-05-13T17:45:25 --delay 1 --endMP 204:233338 --enddatetime 2017-05-13T18:20:47 --enforcementcount 0 &gt;&gt;C:\Users\stu\Documents\GitHub\eaglep3-reporting\EC\2017-05-13-refined-times.txt</v>
      </c>
      <c r="AI130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{"issue":{"subject":"","project_id":79,"tracker_id":40,"status_id":1,"priority_id":2,"assigned_to_id":23,"start_date":"2017-05-13","description":"","custom_fields":[{"id":1,"name":"Subdivision","value":"EC"},{"id":4,"name":"Milepost","value":"23.3338"},{"id":17,"name":"Train ID","value":"213-13"},{"id":16,"name":"Locomotive ID","value":"4054"},{"id":130,"name":"Impact","value":""},{"id":150,"name":"Time of Event (Mountain Time)","value":"18:20:47"},{"id":151,"name":"Denver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5"/>
        <v>start /low /b %USERPROFILE%\Documents\GitHub\eaglep3\Utilities\DownloadLogsFromS3.py --loco 4054 --day 2017-05-13</v>
      </c>
      <c r="AN130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743</v>
      </c>
      <c r="B131" s="7">
        <v>4053</v>
      </c>
      <c r="C131" s="21" t="s">
        <v>206</v>
      </c>
      <c r="D131" s="21" t="s">
        <v>428</v>
      </c>
      <c r="E131" s="13">
        <v>42868.769930555558</v>
      </c>
      <c r="F131" s="13">
        <v>42868.779062499998</v>
      </c>
      <c r="G131" s="7">
        <v>1</v>
      </c>
      <c r="H131" s="21" t="s">
        <v>906</v>
      </c>
      <c r="I131" s="13">
        <v>42868.806458333333</v>
      </c>
      <c r="J131" s="7">
        <v>0</v>
      </c>
      <c r="K131" s="92" t="str">
        <f t="shared" si="30"/>
        <v>4053/4054</v>
      </c>
      <c r="L131" s="21" t="str">
        <f>VLOOKUP(A131,'Trips&amp;Operators'!$C$1:$G$99999,5,FALSE)</f>
        <v>SMITH MICHAEL</v>
      </c>
      <c r="M131" s="6">
        <f t="shared" si="31"/>
        <v>2.7395833334594499E-2</v>
      </c>
      <c r="N131" s="7">
        <f t="shared" si="49"/>
        <v>39.450000001816079</v>
      </c>
      <c r="O131" s="7"/>
      <c r="P131" s="7"/>
      <c r="Q131" s="22"/>
      <c r="R131" s="190"/>
      <c r="S131" s="196">
        <f t="shared" si="50"/>
        <v>1</v>
      </c>
      <c r="T131" s="190" t="str">
        <f t="shared" si="32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3"/>
        <v>https://d0f6bd738d7f1b3e5a7ca70fe4ff75f0.us-east-1.aws.found.io/app/kibana#/discover/Steve-Slow-Train-Analysis-(2080s-and-2083s)?_g=(refreshInterval:(display:Off,pause:!f,section:0,value:0),time:(from:'2017-05-13T17:28:42-0600',mode:absolute,to:'2017-05-13T20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1" s="192" t="str">
        <f t="shared" si="34"/>
        <v>N</v>
      </c>
      <c r="X131" s="192">
        <f t="shared" si="51"/>
        <v>1</v>
      </c>
      <c r="Y131" s="192">
        <f t="shared" si="52"/>
        <v>23.299399999999999</v>
      </c>
      <c r="Z131" s="192">
        <f t="shared" si="53"/>
        <v>1.7000000000000001E-2</v>
      </c>
      <c r="AA131" s="192">
        <f t="shared" si="38"/>
        <v>23.282399999999999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9"/>
        <v>0214-13</v>
      </c>
      <c r="AE131" s="80" t="str">
        <f t="shared" si="40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131" s="77" t="str">
        <f t="shared" si="41"/>
        <v>"C:\Program Files (x86)\AstroGrep\AstroGrep.exe" /e /r /s /spath="%USERPROFILE%\AppData\Local\Temp\OnboardLogs" /stypes="app*4053*20170514*" /stext=" 01:.+((SYSTEM_STATE.+slice.+state.+changed )|(ment ac)|(multiple cpu faults)|(system.+state.+changed )|(\[timeout)|(PRM\|1\|D)|(kpr)|(kdp)|(train st.+moving)|(\|lc)|(penalty))"</v>
      </c>
      <c r="AG131" s="1" t="str">
        <f t="shared" si="42"/>
        <v>EC</v>
      </c>
      <c r="AH131" s="81" t="str">
        <f t="shared" si="43"/>
        <v>"%USERPROFILE%\Documents\GitHub\eaglep3\Utilities\RefineRTDCRunTimes.py" --tripid 214-13 --locoid 4053 --swversion DE.1.0.9.0 --startMP 204:232994 --initTime 2017-05-13T18:28:42 --startdatetime 2017-05-13T18:41:51 --delay 1 --endMP 204:170 --enddatetime 2017-05-13T19:21:18 --enforcementcount 0 &gt;&gt;C:\Users\stu\Documents\GitHub\eaglep3-reporting\EC\2017-05-13-refined-times.txt</v>
      </c>
      <c r="AI131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{"issue":{"subject":"","project_id":79,"tracker_id":40,"status_id":1,"priority_id":2,"assigned_to_id":23,"start_date":"2017-05-13","description":"","custom_fields":[{"id":1,"name":"Subdivision","value":"EC"},{"id":4,"name":"Milepost","value":"0.017"},{"id":17,"name":"Train ID","value":"214-13"},{"id":16,"name":"Locomotive ID","value":"4053"},{"id":130,"name":"Impact","value":""},{"id":150,"name":"Time of Event (Mountain Time)","value":"19:21:18"},{"id":151,"name":"Denver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5"/>
        <v>start /low /b %USERPROFILE%\Documents\GitHub\eaglep3\Utilities\DownloadLogsFromS3.py --loco 4053 --day 2017-05-13</v>
      </c>
      <c r="AN131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569</v>
      </c>
      <c r="B132" s="7">
        <v>4028</v>
      </c>
      <c r="C132" s="21" t="s">
        <v>206</v>
      </c>
      <c r="D132" s="21" t="s">
        <v>426</v>
      </c>
      <c r="E132" s="13">
        <v>42868.746493055558</v>
      </c>
      <c r="F132" s="13">
        <v>42868.750219907408</v>
      </c>
      <c r="G132" s="7">
        <v>2</v>
      </c>
      <c r="H132" s="21" t="s">
        <v>925</v>
      </c>
      <c r="I132" s="13">
        <v>42868.776006944441</v>
      </c>
      <c r="J132" s="7">
        <v>0</v>
      </c>
      <c r="K132" s="92" t="str">
        <f t="shared" si="30"/>
        <v>4027/4028</v>
      </c>
      <c r="L132" s="21" t="str">
        <f>VLOOKUP(A132,'Trips&amp;Operators'!$C$1:$G$99999,5,FALSE)</f>
        <v>MOSES BRADLEY</v>
      </c>
      <c r="M132" s="6">
        <f t="shared" si="31"/>
        <v>2.5787037033296656E-2</v>
      </c>
      <c r="N132" s="7">
        <f t="shared" si="49"/>
        <v>37.133333327947184</v>
      </c>
      <c r="O132" s="7"/>
      <c r="P132" s="7"/>
      <c r="Q132" s="22"/>
      <c r="R132" s="190"/>
      <c r="S132" s="196">
        <f t="shared" si="50"/>
        <v>1</v>
      </c>
      <c r="T132" s="190" t="str">
        <f t="shared" si="32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3"/>
        <v>https://d0f6bd738d7f1b3e5a7ca70fe4ff75f0.us-east-1.aws.found.io/app/kibana#/discover/Steve-Slow-Train-Analysis-(2080s-and-2083s)?_g=(refreshInterval:(display:Off,pause:!f,section:0,value:0),time:(from:'2017-05-13T16:54:57-0600',mode:absolute,to:'2017-05-13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92" t="str">
        <f t="shared" si="34"/>
        <v>N</v>
      </c>
      <c r="X132" s="192">
        <f t="shared" si="51"/>
        <v>1</v>
      </c>
      <c r="Y132" s="192">
        <f t="shared" si="52"/>
        <v>4.6199999999999998E-2</v>
      </c>
      <c r="Z132" s="192">
        <f t="shared" si="53"/>
        <v>23.330500000000001</v>
      </c>
      <c r="AA132" s="192">
        <f t="shared" si="38"/>
        <v>23.284300000000002</v>
      </c>
      <c r="AB132" s="57" t="str">
        <f>VLOOKUP(A132,Enforcements!$C$7:$K$13,8,0)</f>
        <v>Bulletin (2)</v>
      </c>
      <c r="AC132" s="53" t="str">
        <f>VLOOKUP(A132,Enforcements!$C$7:$E$13,3,0)</f>
        <v>GRADE CROSSING</v>
      </c>
      <c r="AD132" s="54" t="str">
        <f t="shared" si="39"/>
        <v>0215-13</v>
      </c>
      <c r="AE132" s="80" t="str">
        <f t="shared" si="40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132" s="77" t="str">
        <f t="shared" si="41"/>
        <v>"C:\Program Files (x86)\AstroGrep\AstroGrep.exe" /e /r /s /spath="%USERPROFILE%\AppData\Local\Temp\OnboardLogs" /stypes="app*4028*20170514*" /stext=" 00:.+((SYSTEM_STATE.+slice.+state.+changed )|(ment ac)|(multiple cpu faults)|(system.+state.+changed )|(\[timeout)|(PRM\|1\|D)|(kpr)|(kdp)|(train st.+moving)|(\|lc)|(penalty))"</v>
      </c>
      <c r="AG132" s="1" t="str">
        <f t="shared" si="42"/>
        <v>EC</v>
      </c>
      <c r="AH132" s="81" t="str">
        <f t="shared" si="43"/>
        <v>"%USERPROFILE%\Documents\GitHub\eaglep3\Utilities\RefineRTDCRunTimes.py" --tripid 215-13 --locoid 4028 --swversion DE.1.0.9.0 --startMP 204:462 --initTime 2017-05-13T17:54:57 --startdatetime 2017-05-13T18:00:19 --delay 2 --endMP 204:233305 --enddatetime 2017-05-13T18:37:27 --enforcementcount 0 &gt;&gt;C:\Users\stu\Documents\GitHub\eaglep3-reporting\EC\2017-05-13-refined-times.txt</v>
      </c>
      <c r="AI132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{"issue":{"subject":"","project_id":79,"tracker_id":40,"status_id":1,"priority_id":2,"assigned_to_id":23,"start_date":"2017-05-13","description":"","custom_fields":[{"id":1,"name":"Subdivision","value":"EC"},{"id":4,"name":"Milepost","value":"23.3305"},{"id":17,"name":"Train ID","value":"215-13"},{"id":16,"name":"Locomotive ID","value":"4028"},{"id":130,"name":"Impact","value":""},{"id":150,"name":"Time of Event (Mountain Time)","value":"18:37:27"},{"id":151,"name":"Denver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5"/>
        <v>start /low /b %USERPROFILE%\Documents\GitHub\eaglep3\Utilities\DownloadLogsFromS3.py --loco 4028 --day 2017-05-13</v>
      </c>
      <c r="AN132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748</v>
      </c>
      <c r="B133" s="7">
        <v>4027</v>
      </c>
      <c r="C133" s="21" t="s">
        <v>206</v>
      </c>
      <c r="D133" s="21" t="s">
        <v>391</v>
      </c>
      <c r="E133" s="13">
        <v>42868.785995370374</v>
      </c>
      <c r="F133" s="13">
        <v>42868.789143518516</v>
      </c>
      <c r="G133" s="7">
        <v>1</v>
      </c>
      <c r="H133" s="21" t="s">
        <v>453</v>
      </c>
      <c r="I133" s="13">
        <v>42868.81653935185</v>
      </c>
      <c r="J133" s="7">
        <v>0</v>
      </c>
      <c r="K133" s="92" t="str">
        <f t="shared" si="30"/>
        <v>4027/4028</v>
      </c>
      <c r="L133" s="21" t="str">
        <f>VLOOKUP(A133,'Trips&amp;Operators'!$C$1:$G$99999,5,FALSE)</f>
        <v>MOSES BRADLEY</v>
      </c>
      <c r="M133" s="6">
        <f t="shared" si="31"/>
        <v>2.7395833334594499E-2</v>
      </c>
      <c r="N133" s="7">
        <f t="shared" si="49"/>
        <v>39.450000001816079</v>
      </c>
      <c r="O133" s="7"/>
      <c r="P133" s="7"/>
      <c r="Q133" s="22"/>
      <c r="R133" s="190"/>
      <c r="S133" s="196">
        <f t="shared" si="50"/>
        <v>1</v>
      </c>
      <c r="T133" s="190" t="str">
        <f t="shared" si="32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3"/>
        <v>https://d0f6bd738d7f1b3e5a7ca70fe4ff75f0.us-east-1.aws.found.io/app/kibana#/discover/Steve-Slow-Train-Analysis-(2080s-and-2083s)?_g=(refreshInterval:(display:Off,pause:!f,section:0,value:0),time:(from:'2017-05-13T17:51:50-0600',mode:absolute,to:'2017-05-13T20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92" t="str">
        <f t="shared" si="34"/>
        <v>N</v>
      </c>
      <c r="X133" s="192">
        <f t="shared" ref="X133:X140" si="54">VALUE(LEFT(AD133,4))-VALUE(LEFT(AD132,4))</f>
        <v>1</v>
      </c>
      <c r="Y133" s="192">
        <f t="shared" si="52"/>
        <v>23.299800000000001</v>
      </c>
      <c r="Z133" s="192">
        <f t="shared" si="53"/>
        <v>1.4200000000000001E-2</v>
      </c>
      <c r="AA133" s="192">
        <f t="shared" si="38"/>
        <v>23.285600000000002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9"/>
        <v>0216-13</v>
      </c>
      <c r="AE133" s="80" t="str">
        <f t="shared" si="40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133" s="77" t="str">
        <f t="shared" si="41"/>
        <v>"C:\Program Files (x86)\AstroGrep\AstroGrep.exe" /e /r /s /spath="%USERPROFILE%\AppData\Local\Temp\OnboardLogs" /stypes="app*4027*20170514*" /stext=" 01:.+((SYSTEM_STATE.+slice.+state.+changed )|(ment ac)|(multiple cpu faults)|(system.+state.+changed )|(\[timeout)|(PRM\|1\|D)|(kpr)|(kdp)|(train st.+moving)|(\|lc)|(penalty))"</v>
      </c>
      <c r="AG133" s="1" t="str">
        <f t="shared" si="42"/>
        <v>EC</v>
      </c>
      <c r="AH133" s="81" t="str">
        <f t="shared" si="43"/>
        <v>"%USERPROFILE%\Documents\GitHub\eaglep3\Utilities\RefineRTDCRunTimes.py" --tripid 216-13 --locoid 4027 --swversion DE.1.0.9.0 --startMP 204:232998 --initTime 2017-05-13T18:51:50 --startdatetime 2017-05-13T18:56:22 --delay 1 --endMP 204:142 --enddatetime 2017-05-13T19:35:49 --enforcementcount 0 &gt;&gt;C:\Users\stu\Documents\GitHub\eaglep3-reporting\EC\2017-05-13-refined-times.txt</v>
      </c>
      <c r="AI133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{"issue":{"subject":"","project_id":79,"tracker_id":40,"status_id":1,"priority_id":2,"assigned_to_id":23,"start_date":"2017-05-13","description":"","custom_fields":[{"id":1,"name":"Subdivision","value":"EC"},{"id":4,"name":"Milepost","value":"0.0142"},{"id":17,"name":"Train ID","value":"216-13"},{"id":16,"name":"Locomotive ID","value":"4027"},{"id":130,"name":"Impact","value":""},{"id":150,"name":"Time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5"/>
        <v>start /low /b %USERPROFILE%\Documents\GitHub\eaglep3\Utilities\DownloadLogsFromS3.py --loco 4027 --day 2017-05-13</v>
      </c>
      <c r="AN133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570</v>
      </c>
      <c r="B134" s="7">
        <v>4004</v>
      </c>
      <c r="C134" s="21" t="s">
        <v>206</v>
      </c>
      <c r="D134" s="21" t="s">
        <v>367</v>
      </c>
      <c r="E134" s="13">
        <v>42868.756979166668</v>
      </c>
      <c r="F134" s="13">
        <v>42868.760578703703</v>
      </c>
      <c r="G134" s="7">
        <v>1</v>
      </c>
      <c r="H134" s="21" t="s">
        <v>926</v>
      </c>
      <c r="I134" s="13">
        <v>42868.77144675926</v>
      </c>
      <c r="J134" s="7">
        <v>0</v>
      </c>
      <c r="K134" s="92" t="str">
        <f t="shared" si="30"/>
        <v>4003/4004</v>
      </c>
      <c r="L134" s="21" t="str">
        <f>VLOOKUP(A134,'Trips&amp;Operators'!$C$1:$G$99999,5,FALSE)</f>
        <v>DUNCAN SHEILA</v>
      </c>
      <c r="M134" s="6">
        <f t="shared" si="31"/>
        <v>1.0868055556784384E-2</v>
      </c>
      <c r="N134" s="7"/>
      <c r="O134" s="7"/>
      <c r="P134" s="7">
        <f>24*60*SUM($M134:$M135)</f>
        <v>32.966666672145948</v>
      </c>
      <c r="Q134" s="22"/>
      <c r="R134" s="190" t="s">
        <v>540</v>
      </c>
      <c r="S134" s="196">
        <f>SUM(U134:U135)/IF(AG134="EC",12,1)</f>
        <v>0.83333333333333337</v>
      </c>
      <c r="T134" s="190" t="str">
        <f t="shared" si="32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10</v>
      </c>
      <c r="V134" s="191" t="str">
        <f t="shared" si="33"/>
        <v>https://d0f6bd738d7f1b3e5a7ca70fe4ff75f0.us-east-1.aws.found.io/app/kibana#/discover/Steve-Slow-Train-Analysis-(2080s-and-2083s)?_g=(refreshInterval:(display:Off,pause:!f,section:0,value:0),time:(from:'2017-05-13T17:10:03-0600',mode:absolute,to:'2017-05-13T19:30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4" s="192" t="str">
        <f t="shared" si="34"/>
        <v>Y</v>
      </c>
      <c r="X134" s="192">
        <f t="shared" si="54"/>
        <v>1</v>
      </c>
      <c r="Y134" s="192">
        <f t="shared" si="52"/>
        <v>4.53E-2</v>
      </c>
      <c r="Z134" s="192">
        <v>8.18</v>
      </c>
      <c r="AA134" s="192">
        <f t="shared" si="38"/>
        <v>8.1347000000000005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9"/>
        <v>0217-13</v>
      </c>
      <c r="AE134" s="80" t="str">
        <f t="shared" si="40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134" s="77" t="str">
        <f t="shared" si="41"/>
        <v>"C:\Program Files (x86)\AstroGrep\AstroGrep.exe" /e /r /s /spath="%USERPROFILE%\AppData\Local\Temp\OnboardLogs" /stypes="app*4004*20170514*" /stext=" 00:.+((SYSTEM_STATE.+slice.+state.+changed )|(ment ac)|(multiple cpu faults)|(system.+state.+changed )|(\[timeout)|(PRM\|1\|D)|(kpr)|(kdp)|(train st.+moving)|(\|lc)|(penalty))"</v>
      </c>
      <c r="AG134" s="1" t="str">
        <f t="shared" si="42"/>
        <v>EC</v>
      </c>
      <c r="AH134" s="81" t="str">
        <f t="shared" si="43"/>
        <v>"%USERPROFILE%\Documents\GitHub\eaglep3\Utilities\RefineRTDCRunTimes.py" --tripid 217-13 --locoid 4004 --swversion DE.1.0.9.0 --startMP 204:453 --initTime 2017-05-13T18:10:03 --startdatetime 2017-05-13T18:15:14 --delay 1 --endMP 204:233298 --enddatetime 2017-05-13T18:30:53 --enforcementcount 0 &gt;&gt;C:\Users\stu\Documents\GitHub\eaglep3-reporting\EC\2017-05-13-refined-times.txt</v>
      </c>
      <c r="AI134" s="99" t="str">
        <f t="shared" si="44"/>
        <v>echo {"issue":{"subject":"Wi-MAX data drop","project_id":79,"tracker_id":40,"status_id":1,"priority_id":2,"assigned_to_id":23,"start_date":"2017-05-13","description":"","custom_fields":[{"id":1,"name":"Subdivision","value":"EC"},{"id":4,"name":"Milepost","value":"8.18"},{"id":17,"name":"Train ID","value":"217-13"},{"id":16,"name":"Locomotive ID","value":"4004"},{"id":130,"name":"Impact","value":""},{"id":150,"name":"Time of Event (Mountain Time)","value":"18:30:53"},{"id":151,"name":"Denver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5"/>
        <v>start /low /b %USERPROFILE%\Documents\GitHub\eaglep3\Utilities\DownloadLogsFromS3.py --loco 4004 --day 2017-05-13</v>
      </c>
      <c r="AN134" s="154" t="str">
        <f t="shared" si="46"/>
        <v>echo {"issue":{"subject":"Wi-MAX data drop","project_id":30,"tracker_id":4,"status_id":1,"priority_id":1,"assigned_to_id":10,"start_date":"2017-05-14","description":"","custom_fields":[{"id":30,"name":"Category","value":"Issue"},{"id":3,"name":"Functional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00:30:53"},{"id":29,"name":"Sharepoint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570</v>
      </c>
      <c r="B135" s="7">
        <v>4004</v>
      </c>
      <c r="C135" s="21" t="s">
        <v>206</v>
      </c>
      <c r="D135" s="21" t="s">
        <v>367</v>
      </c>
      <c r="E135" s="13">
        <v>42868.756979166668</v>
      </c>
      <c r="F135" s="13">
        <v>42868.775682870371</v>
      </c>
      <c r="G135" s="7">
        <v>1</v>
      </c>
      <c r="H135" s="21" t="s">
        <v>926</v>
      </c>
      <c r="I135" s="13">
        <v>42868.787708333337</v>
      </c>
      <c r="J135" s="7">
        <v>0</v>
      </c>
      <c r="K135" s="92" t="str">
        <f t="shared" si="30"/>
        <v>4003/4004</v>
      </c>
      <c r="L135" s="21" t="str">
        <f>VLOOKUP(A135,'Trips&amp;Operators'!$C$1:$G$99999,5,FALSE)</f>
        <v>DUNCAN SHEILA</v>
      </c>
      <c r="M135" s="6">
        <f t="shared" si="31"/>
        <v>1.2025462965539191E-2</v>
      </c>
      <c r="N135" s="7"/>
      <c r="O135" s="7"/>
      <c r="P135" s="7"/>
      <c r="Q135" s="22"/>
      <c r="R135" s="190"/>
      <c r="S135" s="196"/>
      <c r="T135" s="190" t="str">
        <f t="shared" si="32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191" t="str">
        <f t="shared" si="33"/>
        <v>https://d0f6bd738d7f1b3e5a7ca70fe4ff75f0.us-east-1.aws.found.io/app/kibana#/discover/Steve-Slow-Train-Analysis-(2080s-and-2083s)?_g=(refreshInterval:(display:Off,pause:!f,section:0,value:0),time:(from:'2017-05-13T17:10:03-0600',mode:absolute,to:'2017-05-13T19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192" t="str">
        <f t="shared" si="34"/>
        <v>Y</v>
      </c>
      <c r="X135" s="192">
        <f t="shared" si="54"/>
        <v>0</v>
      </c>
      <c r="Y135" s="192">
        <v>11.4</v>
      </c>
      <c r="Z135" s="192">
        <f t="shared" ref="Z135:Z142" si="55">RIGHT(H135,LEN(H135)-4)/10000</f>
        <v>23.329799999999999</v>
      </c>
      <c r="AA135" s="192">
        <f t="shared" si="38"/>
        <v>11.929799999999998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9"/>
        <v>0217-13</v>
      </c>
      <c r="AE135" s="80" t="str">
        <f t="shared" si="40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135" s="77" t="str">
        <f t="shared" si="41"/>
        <v>"C:\Program Files (x86)\AstroGrep\AstroGrep.exe" /e /r /s /spath="%USERPROFILE%\AppData\Local\Temp\OnboardLogs" /stypes="app*4004*20170514*" /stext=" 00:.+((SYSTEM_STATE.+slice.+state.+changed )|(ment ac)|(multiple cpu faults)|(system.+state.+changed )|(\[timeout)|(PRM\|1\|D)|(kpr)|(kdp)|(train st.+moving)|(\|lc)|(penalty))"</v>
      </c>
      <c r="AG135" s="1" t="str">
        <f t="shared" si="42"/>
        <v>EC</v>
      </c>
      <c r="AH135" s="81" t="str">
        <f t="shared" ref="AH135" si="56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217-13 --locoid 4004 --swversion DE.1.0.9.0 --startMP 204:453 --initTime 2017-05-13T18:10:03 --startdatetime 2017-05-13T18:36:59 --delay 1 --endMP 204:233298 --enddatetime 2017-05-13T18:54:18 --enforcementcount 0 &gt;&gt;C:\Users\stu\Documents\GitHub\eaglep3-reporting\EC\2017-05-13-refined-times.txt</v>
      </c>
      <c r="AI135" s="99" t="str">
        <f t="shared" ref="AI135" si="57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{"issue":{"subject":"","project_id":79,"tracker_id":40,"status_id":1,"priority_id":2,"assigned_to_id":23,"start_date":"2017-05-13","description":"","custom_fields":[{"id":1,"name":"Subdivision","value":"EC"},{"id":4,"name":"Milepost","value":"23.3298"},{"id":17,"name":"Train ID","value":"217-13"},{"id":16,"name":"Locomotive ID","value":"4004"},{"id":130,"name":"Impact","value":""},{"id":150,"name":"Time of Event (Mountain Time)","value":"18:54:18"},{"id":151,"name":"Denver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ref="AM135" si="58">"start /low /b "&amp;dls3logs&amp;" --loco "&amp;B135&amp;" --day "&amp;TEXT(F135,"YYYY-MM-DD")</f>
        <v>start /low /b %USERPROFILE%\Documents\GitHub\eaglep3\Utilities\DownloadLogsFromS3.py --loco 4004 --day 2017-05-13</v>
      </c>
      <c r="AN135" s="154" t="str">
        <f t="shared" ref="AN135" si="59"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6" spans="1:91" s="20" customFormat="1" x14ac:dyDescent="0.25">
      <c r="A136" s="32" t="s">
        <v>750</v>
      </c>
      <c r="B136" s="7">
        <v>4003</v>
      </c>
      <c r="C136" s="21" t="s">
        <v>206</v>
      </c>
      <c r="D136" s="21" t="s">
        <v>520</v>
      </c>
      <c r="E136" s="13">
        <v>42868.793263888889</v>
      </c>
      <c r="F136" s="13">
        <v>42868.799571759257</v>
      </c>
      <c r="G136" s="7">
        <v>3</v>
      </c>
      <c r="H136" s="21" t="s">
        <v>357</v>
      </c>
      <c r="I136" s="13">
        <v>42868.827372685184</v>
      </c>
      <c r="J136" s="7">
        <v>0</v>
      </c>
      <c r="K136" s="92" t="str">
        <f t="shared" si="30"/>
        <v>4003/4004</v>
      </c>
      <c r="L136" s="21" t="str">
        <f>VLOOKUP(A136,'Trips&amp;Operators'!$C$1:$G$99999,5,FALSE)</f>
        <v>DUNCAN SHEILA</v>
      </c>
      <c r="M136" s="6">
        <f t="shared" si="31"/>
        <v>2.7800925927294884E-2</v>
      </c>
      <c r="N136" s="7">
        <f t="shared" ref="N136:N142" si="60">24*60*SUM($M136:$M136)</f>
        <v>40.033333335304633</v>
      </c>
      <c r="O136" s="7"/>
      <c r="P136" s="7"/>
      <c r="Q136" s="22"/>
      <c r="R136" s="190"/>
      <c r="S136" s="196">
        <f t="shared" ref="S136:S143" si="61">SUM(U136:U136)/IF(AG136="EC",12,1)</f>
        <v>1</v>
      </c>
      <c r="T136" s="190" t="str">
        <f t="shared" si="32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3"/>
        <v>https://d0f6bd738d7f1b3e5a7ca70fe4ff75f0.us-east-1.aws.found.io/app/kibana#/discover/Steve-Slow-Train-Analysis-(2080s-and-2083s)?_g=(refreshInterval:(display:Off,pause:!f,section:0,value:0),time:(from:'2017-05-13T18:02:18-0600',mode:absolute,to:'2017-05-13T20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6" s="192" t="str">
        <f t="shared" si="34"/>
        <v>N</v>
      </c>
      <c r="X136" s="192">
        <f t="shared" si="54"/>
        <v>1</v>
      </c>
      <c r="Y136" s="192">
        <f t="shared" ref="Y136:Y143" si="62">RIGHT(D136,LEN(D136)-4)/10000</f>
        <v>23.2989</v>
      </c>
      <c r="Z136" s="192">
        <f t="shared" si="55"/>
        <v>1.4999999999999999E-2</v>
      </c>
      <c r="AA136" s="192">
        <f t="shared" si="38"/>
        <v>23.283899999999999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9"/>
        <v>0218-13</v>
      </c>
      <c r="AE136" s="80" t="str">
        <f t="shared" si="40"/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136" s="77" t="str">
        <f t="shared" si="41"/>
        <v>"C:\Program Files (x86)\AstroGrep\AstroGrep.exe" /e /r /s /spath="%USERPROFILE%\AppData\Local\Temp\OnboardLogs" /stypes="app*4003*20170514*" /stext=" 01:.+((SYSTEM_STATE.+slice.+state.+changed )|(ment ac)|(multiple cpu faults)|(system.+state.+changed )|(\[timeout)|(PRM\|1\|D)|(kpr)|(kdp)|(train st.+moving)|(\|lc)|(penalty))"</v>
      </c>
      <c r="AG136" s="1" t="str">
        <f t="shared" si="42"/>
        <v>EC</v>
      </c>
      <c r="AH136" s="81" t="str">
        <f t="shared" si="43"/>
        <v>"%USERPROFILE%\Documents\GitHub\eaglep3\Utilities\RefineRTDCRunTimes.py" --tripid 218-13 --locoid 4003 --swversion DE.1.0.9.0 --startMP 204:232989 --initTime 2017-05-13T19:02:18 --startdatetime 2017-05-13T19:11:23 --delay 3 --endMP 204:150 --enddatetime 2017-05-13T19:51:25 --enforcementcount 0 &gt;&gt;C:\Users\stu\Documents\GitHub\eaglep3-reporting\EC\2017-05-13-refined-times.txt</v>
      </c>
      <c r="AI136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{"issue":{"subject":"","project_id":79,"tracker_id":40,"status_id":1,"priority_id":2,"assigned_to_id":23,"start_date":"2017-05-13","description":"","custom_fields":[{"id":1,"name":"Subdivision","value":"EC"},{"id":4,"name":"Milepost","value":"0.015"},{"id":17,"name":"Train ID","value":"218-13"},{"id":16,"name":"Locomotive ID","value":"4003"},{"id":130,"name":"Impact","value":""},{"id":150,"name":"Time of Event (Mountain Time)","value":"19:51:25"},{"id":151,"name":"Denver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5"/>
        <v>start /low /b %USERPROFILE%\Documents\GitHub\eaglep3\Utilities\DownloadLogsFromS3.py --loco 4003 --day 2017-05-13</v>
      </c>
      <c r="AN136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742</v>
      </c>
      <c r="B137" s="7">
        <v>4014</v>
      </c>
      <c r="C137" s="21" t="s">
        <v>206</v>
      </c>
      <c r="D137" s="21" t="s">
        <v>360</v>
      </c>
      <c r="E137" s="13">
        <v>42868.767604166664</v>
      </c>
      <c r="F137" s="13">
        <v>42868.771053240744</v>
      </c>
      <c r="G137" s="7">
        <v>1</v>
      </c>
      <c r="H137" s="21" t="s">
        <v>927</v>
      </c>
      <c r="I137" s="13">
        <v>42868.796377314815</v>
      </c>
      <c r="J137" s="7">
        <v>0</v>
      </c>
      <c r="K137" s="92" t="str">
        <f t="shared" si="30"/>
        <v>4013/4014</v>
      </c>
      <c r="L137" s="21" t="str">
        <f>VLOOKUP(A137,'Trips&amp;Operators'!$C$1:$G$99999,5,FALSE)</f>
        <v>SWANSON BRYCE</v>
      </c>
      <c r="M137" s="6">
        <f t="shared" si="31"/>
        <v>2.5324074071249925E-2</v>
      </c>
      <c r="N137" s="7">
        <f t="shared" si="60"/>
        <v>36.466666662599891</v>
      </c>
      <c r="O137" s="7"/>
      <c r="P137" s="7"/>
      <c r="Q137" s="22"/>
      <c r="R137" s="190"/>
      <c r="S137" s="196">
        <f t="shared" si="61"/>
        <v>1</v>
      </c>
      <c r="T137" s="190" t="str">
        <f t="shared" si="32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3"/>
        <v>https://d0f6bd738d7f1b3e5a7ca70fe4ff75f0.us-east-1.aws.found.io/app/kibana#/discover/Steve-Slow-Train-Analysis-(2080s-and-2083s)?_g=(refreshInterval:(display:Off,pause:!f,section:0,value:0),time:(from:'2017-05-13T17:25:21-0600',mode:absolute,to:'2017-05-13T20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7" s="192" t="str">
        <f t="shared" si="34"/>
        <v>N</v>
      </c>
      <c r="X137" s="192">
        <f t="shared" si="54"/>
        <v>1</v>
      </c>
      <c r="Y137" s="192">
        <f t="shared" si="62"/>
        <v>4.6600000000000003E-2</v>
      </c>
      <c r="Z137" s="192">
        <f t="shared" si="55"/>
        <v>23.338200000000001</v>
      </c>
      <c r="AA137" s="192">
        <f t="shared" si="38"/>
        <v>23.291599999999999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9"/>
        <v>0219-13</v>
      </c>
      <c r="AE137" s="80" t="str">
        <f t="shared" si="40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137" s="77" t="str">
        <f t="shared" si="41"/>
        <v>"C:\Program Files (x86)\AstroGrep\AstroGrep.exe" /e /r /s /spath="%USERPROFILE%\AppData\Local\Temp\OnboardLogs" /stypes="app*4014*20170514*" /stext=" 01:.+((SYSTEM_STATE.+slice.+state.+changed )|(ment ac)|(multiple cpu faults)|(system.+state.+changed )|(\[timeout)|(PRM\|1\|D)|(kpr)|(kdp)|(train st.+moving)|(\|lc)|(penalty))"</v>
      </c>
      <c r="AG137" s="1" t="str">
        <f t="shared" si="42"/>
        <v>EC</v>
      </c>
      <c r="AH137" s="81" t="str">
        <f t="shared" si="43"/>
        <v>"%USERPROFILE%\Documents\GitHub\eaglep3\Utilities\RefineRTDCRunTimes.py" --tripid 219-13 --locoid 4014 --swversion DE.1.0.9.0 --startMP 204:466 --initTime 2017-05-13T18:25:21 --startdatetime 2017-05-13T18:30:19 --delay 1 --endMP 204:233382 --enddatetime 2017-05-13T19:06:47 --enforcementcount 0 &gt;&gt;C:\Users\stu\Documents\GitHub\eaglep3-reporting\EC\2017-05-13-refined-times.txt</v>
      </c>
      <c r="AI137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{"issue":{"subject":"","project_id":79,"tracker_id":40,"status_id":1,"priority_id":2,"assigned_to_id":23,"start_date":"2017-05-13","description":"","custom_fields":[{"id":1,"name":"Subdivision","value":"EC"},{"id":4,"name":"Milepost","value":"23.3382"},{"id":17,"name":"Train ID","value":"219-13"},{"id":16,"name":"Locomotive ID","value":"4014"},{"id":130,"name":"Impact","value":""},{"id":150,"name":"Time of Event (Mountain Time)","value":"19:06:47"},{"id":151,"name":"Denver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5"/>
        <v>start /low /b %USERPROFILE%\Documents\GitHub\eaglep3\Utilities\DownloadLogsFromS3.py --loco 4014 --day 2017-05-13</v>
      </c>
      <c r="AN137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752</v>
      </c>
      <c r="B138" s="7">
        <v>4013</v>
      </c>
      <c r="C138" s="21" t="s">
        <v>206</v>
      </c>
      <c r="D138" s="21" t="s">
        <v>928</v>
      </c>
      <c r="E138" s="13">
        <v>42868.799398148149</v>
      </c>
      <c r="F138" s="13">
        <v>42868.809884259259</v>
      </c>
      <c r="G138" s="7">
        <v>1</v>
      </c>
      <c r="H138" s="21" t="s">
        <v>929</v>
      </c>
      <c r="I138" s="13">
        <v>42868.837754629632</v>
      </c>
      <c r="J138" s="7">
        <v>0</v>
      </c>
      <c r="K138" s="92" t="str">
        <f t="shared" si="30"/>
        <v>4013/4014</v>
      </c>
      <c r="L138" s="21" t="str">
        <f>VLOOKUP(A138,'Trips&amp;Operators'!$C$1:$G$99999,5,FALSE)</f>
        <v>SWANSON BRYCE</v>
      </c>
      <c r="M138" s="6">
        <f t="shared" si="31"/>
        <v>2.7870370373420883E-2</v>
      </c>
      <c r="N138" s="7">
        <f t="shared" si="60"/>
        <v>40.133333337726071</v>
      </c>
      <c r="O138" s="7"/>
      <c r="P138" s="7"/>
      <c r="Q138" s="22"/>
      <c r="R138" s="190"/>
      <c r="S138" s="196">
        <f t="shared" si="61"/>
        <v>1</v>
      </c>
      <c r="T138" s="190" t="str">
        <f t="shared" si="32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3"/>
        <v>https://d0f6bd738d7f1b3e5a7ca70fe4ff75f0.us-east-1.aws.found.io/app/kibana#/discover/Steve-Slow-Train-Analysis-(2080s-and-2083s)?_g=(refreshInterval:(display:Off,pause:!f,section:0,value:0),time:(from:'2017-05-13T18:11:08-0600',mode:absolute,to:'2017-05-13T21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8" s="192" t="str">
        <f t="shared" si="34"/>
        <v>N</v>
      </c>
      <c r="X138" s="192">
        <f t="shared" si="54"/>
        <v>1</v>
      </c>
      <c r="Y138" s="192">
        <f t="shared" si="62"/>
        <v>23.305099999999999</v>
      </c>
      <c r="Z138" s="192">
        <f t="shared" si="55"/>
        <v>1.72E-2</v>
      </c>
      <c r="AA138" s="192">
        <f t="shared" si="38"/>
        <v>23.2879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9"/>
        <v>0220-13</v>
      </c>
      <c r="AE138" s="80" t="str">
        <f t="shared" si="40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138" s="77" t="str">
        <f t="shared" si="41"/>
        <v>"C:\Program Files (x86)\AstroGrep\AstroGrep.exe" /e /r /s /spath="%USERPROFILE%\AppData\Local\Temp\OnboardLogs" /stypes="app*4013*20170514*" /stext=" 02:.+((SYSTEM_STATE.+slice.+state.+changed )|(ment ac)|(multiple cpu faults)|(system.+state.+changed )|(\[timeout)|(PRM\|1\|D)|(kpr)|(kdp)|(train st.+moving)|(\|lc)|(penalty))"</v>
      </c>
      <c r="AG138" s="1" t="str">
        <f t="shared" si="42"/>
        <v>EC</v>
      </c>
      <c r="AH138" s="81" t="str">
        <f t="shared" si="43"/>
        <v>"%USERPROFILE%\Documents\GitHub\eaglep3\Utilities\RefineRTDCRunTimes.py" --tripid 220-13 --locoid 4013 --swversion DE.1.0.9.0 --startMP 204:233051 --initTime 2017-05-13T19:11:08 --startdatetime 2017-05-13T19:26:14 --delay 1 --endMP 204:172 --enddatetime 2017-05-13T20:06:22 --enforcementcount 0 &gt;&gt;C:\Users\stu\Documents\GitHub\eaglep3-reporting\EC\2017-05-13-refined-times.txt</v>
      </c>
      <c r="AI138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{"issue":{"subject":"","project_id":79,"tracker_id":40,"status_id":1,"priority_id":2,"assigned_to_id":23,"start_date":"2017-05-13","description":"","custom_fields":[{"id":1,"name":"Subdivision","value":"EC"},{"id":4,"name":"Milepost","value":"0.0172"},{"id":17,"name":"Train ID","value":"220-13"},{"id":16,"name":"Locomotive ID","value":"4013"},{"id":130,"name":"Impact","value":""},{"id":150,"name":"Time of Event (Mountain Time)","value":"20:06:22"},{"id":151,"name":"Denver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5"/>
        <v>start /low /b %USERPROFILE%\Documents\GitHub\eaglep3\Utilities\DownloadLogsFromS3.py --loco 4013 --day 2017-05-13</v>
      </c>
      <c r="AN138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02:06:22"},{"id":29,"name":"Sharepoint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2" t="s">
        <v>749</v>
      </c>
      <c r="B139" s="7">
        <v>4042</v>
      </c>
      <c r="C139" s="21" t="s">
        <v>206</v>
      </c>
      <c r="D139" s="21" t="s">
        <v>368</v>
      </c>
      <c r="E139" s="13">
        <v>42868.787407407406</v>
      </c>
      <c r="F139" s="13">
        <v>42868.791817129626</v>
      </c>
      <c r="G139" s="7">
        <v>2</v>
      </c>
      <c r="H139" s="21" t="s">
        <v>788</v>
      </c>
      <c r="I139" s="13">
        <v>42868.816631944443</v>
      </c>
      <c r="J139" s="7">
        <v>0</v>
      </c>
      <c r="K139" s="92" t="str">
        <f t="shared" si="30"/>
        <v>4041/4042</v>
      </c>
      <c r="L139" s="21" t="str">
        <f>VLOOKUP(A139,'Trips&amp;Operators'!$C$1:$G$99999,5,FALSE)</f>
        <v>BROWN JACOB</v>
      </c>
      <c r="M139" s="6">
        <f t="shared" si="31"/>
        <v>2.4814814816636499E-2</v>
      </c>
      <c r="N139" s="7">
        <f t="shared" si="60"/>
        <v>35.733333335956559</v>
      </c>
      <c r="O139" s="7"/>
      <c r="P139" s="7"/>
      <c r="Q139" s="22"/>
      <c r="R139" s="190"/>
      <c r="S139" s="196">
        <f t="shared" si="61"/>
        <v>1</v>
      </c>
      <c r="T139" s="190" t="str">
        <f t="shared" si="32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3"/>
        <v>https://d0f6bd738d7f1b3e5a7ca70fe4ff75f0.us-east-1.aws.found.io/app/kibana#/discover/Steve-Slow-Train-Analysis-(2080s-and-2083s)?_g=(refreshInterval:(display:Off,pause:!f,section:0,value:0),time:(from:'2017-05-13T17:53:52-0600',mode:absolute,to:'2017-05-13T20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192" t="str">
        <f t="shared" si="34"/>
        <v>N</v>
      </c>
      <c r="X139" s="192">
        <f t="shared" si="54"/>
        <v>1</v>
      </c>
      <c r="Y139" s="192">
        <f t="shared" si="62"/>
        <v>4.4400000000000002E-2</v>
      </c>
      <c r="Z139" s="192">
        <f t="shared" si="55"/>
        <v>23.33</v>
      </c>
      <c r="AA139" s="192">
        <f t="shared" si="38"/>
        <v>23.285599999999999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9"/>
        <v>0221-13</v>
      </c>
      <c r="AE139" s="80" t="str">
        <f t="shared" si="40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139" s="77" t="str">
        <f t="shared" si="41"/>
        <v>"C:\Program Files (x86)\AstroGrep\AstroGrep.exe" /e /r /s /spath="%USERPROFILE%\AppData\Local\Temp\OnboardLogs" /stypes="app*4042*20170514*" /stext=" 01:.+((SYSTEM_STATE.+slice.+state.+changed )|(ment ac)|(multiple cpu faults)|(system.+state.+changed )|(\[timeout)|(PRM\|1\|D)|(kpr)|(kdp)|(train st.+moving)|(\|lc)|(penalty))"</v>
      </c>
      <c r="AG139" s="1" t="str">
        <f t="shared" si="42"/>
        <v>EC</v>
      </c>
      <c r="AH139" s="81" t="str">
        <f t="shared" si="43"/>
        <v>"%USERPROFILE%\Documents\GitHub\eaglep3\Utilities\RefineRTDCRunTimes.py" --tripid 221-13 --locoid 4042 --swversion DE.1.0.9.0 --startMP 204:444 --initTime 2017-05-13T18:53:52 --startdatetime 2017-05-13T19:00:13 --delay 2 --endMP 204:233300 --enddatetime 2017-05-13T19:35:57 --enforcementcount 0 &gt;&gt;C:\Users\stu\Documents\GitHub\eaglep3-reporting\EC\2017-05-13-refined-times.txt</v>
      </c>
      <c r="AI139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{"issue":{"subject":"","project_id":79,"tracker_id":40,"status_id":1,"priority_id":2,"assigned_to_id":23,"start_date":"2017-05-13","description":"","custom_fields":[{"id":1,"name":"Subdivision","value":"EC"},{"id":4,"name":"Milepost","value":"23.33"},{"id":17,"name":"Train ID","value":"221-13"},{"id":16,"name":"Locomotive ID","value":"4042"},{"id":130,"name":"Impact","value":""},{"id":150,"name":"Time of Event (Mountain Time)","value":"19:35:57"},{"id":151,"name":"Denver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7"/>
      <c r="AL139" s="47"/>
      <c r="AM139" s="145" t="str">
        <f t="shared" si="45"/>
        <v>start /low /b %USERPROFILE%\Documents\GitHub\eaglep3\Utilities\DownloadLogsFromS3.py --loco 4042 --day 2017-05-13</v>
      </c>
      <c r="AN139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2" t="s">
        <v>756</v>
      </c>
      <c r="B140" s="7">
        <v>4041</v>
      </c>
      <c r="C140" s="21" t="s">
        <v>206</v>
      </c>
      <c r="D140" s="21" t="s">
        <v>382</v>
      </c>
      <c r="E140" s="13">
        <v>42868.827384259261</v>
      </c>
      <c r="F140" s="13">
        <v>42868.830740740741</v>
      </c>
      <c r="G140" s="7">
        <v>2</v>
      </c>
      <c r="H140" s="21" t="s">
        <v>896</v>
      </c>
      <c r="I140" s="13">
        <v>42868.857314814813</v>
      </c>
      <c r="J140" s="7">
        <v>0</v>
      </c>
      <c r="K140" s="92" t="str">
        <f t="shared" si="30"/>
        <v>4041/4042</v>
      </c>
      <c r="L140" s="21" t="str">
        <f>VLOOKUP(A140,'Trips&amp;Operators'!$C$1:$G$99999,5,FALSE)</f>
        <v>BROWN JACOB</v>
      </c>
      <c r="M140" s="6">
        <f t="shared" si="31"/>
        <v>2.6574074072414078E-2</v>
      </c>
      <c r="N140" s="7">
        <f t="shared" si="60"/>
        <v>38.266666664276272</v>
      </c>
      <c r="O140" s="7"/>
      <c r="P140" s="7"/>
      <c r="Q140" s="22"/>
      <c r="R140" s="190"/>
      <c r="S140" s="196">
        <f t="shared" si="61"/>
        <v>1</v>
      </c>
      <c r="T140" s="190" t="str">
        <f t="shared" si="32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3"/>
        <v>https://d0f6bd738d7f1b3e5a7ca70fe4ff75f0.us-east-1.aws.found.io/app/kibana#/discover/Steve-Slow-Train-Analysis-(2080s-and-2083s)?_g=(refreshInterval:(display:Off,pause:!f,section:0,value:0),time:(from:'2017-05-13T18:51:26-0600',mode:absolute,to:'2017-05-13T21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192" t="str">
        <f t="shared" si="34"/>
        <v>N</v>
      </c>
      <c r="X140" s="192">
        <f t="shared" si="54"/>
        <v>1</v>
      </c>
      <c r="Y140" s="192">
        <f t="shared" si="62"/>
        <v>23.2987</v>
      </c>
      <c r="Z140" s="192">
        <f t="shared" si="55"/>
        <v>1.6500000000000001E-2</v>
      </c>
      <c r="AA140" s="192">
        <f t="shared" si="38"/>
        <v>23.2822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9"/>
        <v>0222-13</v>
      </c>
      <c r="AE140" s="80" t="str">
        <f t="shared" si="40"/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AF140" s="77" t="str">
        <f t="shared" si="41"/>
        <v>"C:\Program Files (x86)\AstroGrep\AstroGrep.exe" /e /r /s /spath="%USERPROFILE%\AppData\Local\Temp\OnboardLogs" /stypes="app*4041*20170514*" /stext=" 02:.+((SYSTEM_STATE.+slice.+state.+changed )|(ment ac)|(multiple cpu faults)|(system.+state.+changed )|(\[timeout)|(PRM\|1\|D)|(kpr)|(kdp)|(train st.+moving)|(\|lc)|(penalty))"</v>
      </c>
      <c r="AG140" s="1" t="str">
        <f t="shared" si="42"/>
        <v>EC</v>
      </c>
      <c r="AH140" s="81" t="str">
        <f t="shared" si="43"/>
        <v>"%USERPROFILE%\Documents\GitHub\eaglep3\Utilities\RefineRTDCRunTimes.py" --tripid 222-13 --locoid 4041 --swversion DE.1.0.9.0 --startMP 204:232987 --initTime 2017-05-13T19:51:26 --startdatetime 2017-05-13T19:56:16 --delay 2 --endMP 204:165 --enddatetime 2017-05-13T20:34:32 --enforcementcount 0 &gt;&gt;C:\Users\stu\Documents\GitHub\eaglep3-reporting\EC\2017-05-13-refined-times.txt</v>
      </c>
      <c r="AI140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{"issue":{"subject":"","project_id":79,"tracker_id":40,"status_id":1,"priority_id":2,"assigned_to_id":23,"start_date":"2017-05-13","description":"","custom_fields":[{"id":1,"name":"Subdivision","value":"EC"},{"id":4,"name":"Milepost","value":"0.0165"},{"id":17,"name":"Train ID","value":"222-13"},{"id":16,"name":"Locomotive ID","value":"4041"},{"id":130,"name":"Impact","value":""},{"id":150,"name":"Time of Event (Mountain Time)","value":"20:34:32"},{"id":151,"name":"Denver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5"/>
        <v>start /low /b %USERPROFILE%\Documents\GitHub\eaglep3\Utilities\DownloadLogsFromS3.py --loco 4041 --day 2017-05-13</v>
      </c>
      <c r="AN140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572</v>
      </c>
      <c r="B141" s="7">
        <v>4054</v>
      </c>
      <c r="C141" s="21" t="s">
        <v>206</v>
      </c>
      <c r="D141" s="21" t="s">
        <v>390</v>
      </c>
      <c r="E141" s="13">
        <v>42868.808078703703</v>
      </c>
      <c r="F141" s="13">
        <v>42868.812673611108</v>
      </c>
      <c r="G141" s="7">
        <v>1</v>
      </c>
      <c r="H141" s="21" t="s">
        <v>431</v>
      </c>
      <c r="I141" s="13">
        <v>42868.83734953704</v>
      </c>
      <c r="J141" s="7">
        <v>0</v>
      </c>
      <c r="K141" s="92" t="str">
        <f t="shared" ref="K141:K204" si="63">IF(ISEVEN(B141),(B141-1)&amp;"/"&amp;B141,B141&amp;"/"&amp;(B141+1))</f>
        <v>4053/4054</v>
      </c>
      <c r="L141" s="21" t="str">
        <f>VLOOKUP(A141,'Trips&amp;Operators'!$C$1:$G$99999,5,FALSE)</f>
        <v>SMITH MICHAEL</v>
      </c>
      <c r="M141" s="6">
        <f t="shared" ref="M141:M204" si="64">I141-F141</f>
        <v>2.4675925931660458E-2</v>
      </c>
      <c r="N141" s="7">
        <f t="shared" si="60"/>
        <v>35.53333334159106</v>
      </c>
      <c r="O141" s="7"/>
      <c r="P141" s="7"/>
      <c r="Q141" s="22"/>
      <c r="R141" s="190"/>
      <c r="S141" s="196">
        <f t="shared" si="61"/>
        <v>1</v>
      </c>
      <c r="T141" s="190" t="str">
        <f t="shared" ref="T141:T204" si="65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6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-13T18:23:38-0600',mode:absolute,to:'2017-05-13T21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92" t="str">
        <f t="shared" ref="W141:W204" si="67">IF(AA141&lt;IF(AG141="EC",23,5.65),"Y","N")</f>
        <v>N</v>
      </c>
      <c r="X141" s="192">
        <f>VALUE(LEFT(AD141,4))-VALUE(LEFT(AD140,4))</f>
        <v>1</v>
      </c>
      <c r="Y141" s="192">
        <f t="shared" si="62"/>
        <v>4.7800000000000002E-2</v>
      </c>
      <c r="Z141" s="192">
        <f t="shared" si="55"/>
        <v>23.327999999999999</v>
      </c>
      <c r="AA141" s="192">
        <f t="shared" ref="AA141:AA204" si="68">ABS(Z141-Y141)</f>
        <v>23.280200000000001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9">IF(LEN(A141)=6,"0"&amp;A141,A141)</f>
        <v>0223-13</v>
      </c>
      <c r="AE141" s="80" t="str">
        <f t="shared" ref="AE141:AE204" si="7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141" s="77" t="str">
        <f t="shared" ref="AF141:AF204" si="7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/stypes="app*4054*20170514*" /stext=" 02:.+((SYSTEM_STATE.+slice.+state.+changed )|(ment ac)|(multiple cpu faults)|(system.+state.+changed )|(\[timeout)|(PRM\|1\|D)|(kpr)|(kdp)|(train st.+moving)|(\|lc)|(penalty))"</v>
      </c>
      <c r="AG141" s="1" t="str">
        <f t="shared" ref="AG141:AG204" si="72">IFERROR(IF(VALUE(LEFT(AD141,2))&lt;=2,"EC",IF(OR(VALUE(LEFT(AD141,2))=8,VALUE(LEFT(AD141,2))=18),"NW","Other")),"Other")</f>
        <v>EC</v>
      </c>
      <c r="AH141" s="81" t="str">
        <f t="shared" si="43"/>
        <v>"%USERPROFILE%\Documents\GitHub\eaglep3\Utilities\RefineRTDCRunTimes.py" --tripid 223-13 --locoid 4054 --swversion DE.1.0.9.0 --startMP 204:478 --initTime 2017-05-13T19:23:38 --startdatetime 2017-05-13T19:30:15 --delay 1 --endMP 204:233280 --enddatetime 2017-05-13T20:05:47 --enforcementcount 0 &gt;&gt;C:\Users\stu\Documents\GitHub\eaglep3-reporting\EC\2017-05-13-refined-times.txt</v>
      </c>
      <c r="AI141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{"issue":{"subject":"","project_id":79,"tracker_id":40,"status_id":1,"priority_id":2,"assigned_to_id":23,"start_date":"2017-05-13","description":"","custom_fields":[{"id":1,"name":"Subdivision","value":"EC"},{"id":4,"name":"Milepost","value":"23.328"},{"id":17,"name":"Train ID","value":"223-13"},{"id":16,"name":"Locomotive ID","value":"4054"},{"id":130,"name":"Impact","value":""},{"id":150,"name":"Time of Event (Mountain Time)","value":"20:05:47"},{"id":151,"name":"Denver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5"/>
        <v>start /low /b %USERPROFILE%\Documents\GitHub\eaglep3\Utilities\DownloadLogsFromS3.py --loco 4054 --day 2017-05-13</v>
      </c>
      <c r="AN141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759</v>
      </c>
      <c r="B142" s="7">
        <v>4053</v>
      </c>
      <c r="C142" s="21" t="s">
        <v>206</v>
      </c>
      <c r="D142" s="21" t="s">
        <v>474</v>
      </c>
      <c r="E142" s="13">
        <v>42868.842523148145</v>
      </c>
      <c r="F142" s="13">
        <v>42868.8516087963</v>
      </c>
      <c r="G142" s="7">
        <v>1</v>
      </c>
      <c r="H142" s="21" t="s">
        <v>348</v>
      </c>
      <c r="I142" s="13">
        <v>42868.879791666666</v>
      </c>
      <c r="J142" s="7">
        <v>0</v>
      </c>
      <c r="K142" s="92" t="str">
        <f t="shared" si="63"/>
        <v>4053/4054</v>
      </c>
      <c r="L142" s="21" t="str">
        <f>VLOOKUP(A142,'Trips&amp;Operators'!$C$1:$G$99999,5,FALSE)</f>
        <v>SMITH MICHAEL</v>
      </c>
      <c r="M142" s="6">
        <f t="shared" si="64"/>
        <v>2.8182870366435964E-2</v>
      </c>
      <c r="N142" s="7">
        <f t="shared" si="60"/>
        <v>40.583333327667788</v>
      </c>
      <c r="O142" s="7"/>
      <c r="P142" s="7"/>
      <c r="Q142" s="22"/>
      <c r="R142" s="190"/>
      <c r="S142" s="196">
        <f t="shared" si="61"/>
        <v>1</v>
      </c>
      <c r="T142" s="190" t="str">
        <f t="shared" si="65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66"/>
        <v>https://d0f6bd738d7f1b3e5a7ca70fe4ff75f0.us-east-1.aws.found.io/app/kibana#/discover/Steve-Slow-Train-Analysis-(2080s-and-2083s)?_g=(refreshInterval:(display:Off,pause:!f,section:0,value:0),time:(from:'2017-05-13T19:13:14-0600',mode:absolute,to:'2017-05-13T22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2" s="192" t="str">
        <f t="shared" si="67"/>
        <v>N</v>
      </c>
      <c r="X142" s="192">
        <f>VALUE(LEFT(AD142,4))-VALUE(LEFT(AD141,4))</f>
        <v>1</v>
      </c>
      <c r="Y142" s="192">
        <f t="shared" si="62"/>
        <v>23.296500000000002</v>
      </c>
      <c r="Z142" s="192">
        <f t="shared" si="55"/>
        <v>1.38E-2</v>
      </c>
      <c r="AA142" s="192">
        <f t="shared" si="68"/>
        <v>23.282700000000002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9"/>
        <v>0224-13</v>
      </c>
      <c r="AE142" s="80" t="str">
        <f t="shared" si="70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142" s="77" t="str">
        <f t="shared" si="71"/>
        <v>"C:\Program Files (x86)\AstroGrep\AstroGrep.exe" /e /r /s /spath="%USERPROFILE%\AppData\Local\Temp\OnboardLogs" /stypes="app*4053*20170514*" /stext=" 03:.+((SYSTEM_STATE.+slice.+state.+changed )|(ment ac)|(multiple cpu faults)|(system.+state.+changed )|(\[timeout)|(PRM\|1\|D)|(kpr)|(kdp)|(train st.+moving)|(\|lc)|(penalty))"</v>
      </c>
      <c r="AG142" s="1" t="str">
        <f t="shared" si="72"/>
        <v>EC</v>
      </c>
      <c r="AH142" s="81" t="str">
        <f t="shared" si="43"/>
        <v>"%USERPROFILE%\Documents\GitHub\eaglep3\Utilities\RefineRTDCRunTimes.py" --tripid 224-13 --locoid 4053 --swversion DE.1.0.9.0 --startMP 204:232965 --initTime 2017-05-13T20:13:14 --startdatetime 2017-05-13T20:26:19 --delay 1 --endMP 204:138 --enddatetime 2017-05-13T21:06:54 --enforcementcount 0 &gt;&gt;C:\Users\stu\Documents\GitHub\eaglep3-reporting\EC\2017-05-13-refined-times.txt</v>
      </c>
      <c r="AI142" s="99" t="str">
        <f t="shared" si="44"/>
        <v>echo {"issue":{"subject":"","project_id":79,"tracker_id":40,"status_id":1,"priority_id":2,"assigned_to_id":23,"start_date":"2017-05-13","description":"","custom_fields":[{"id":1,"name":"Subdivision","value":"EC"},{"id":4,"name":"Milepost","value":"0.0138"},{"id":17,"name":"Train ID","value":"224-13"},{"id":16,"name":"Locomotive ID","value":"4053"},{"id":130,"name":"Impact","value":""},{"id":150,"name":"Time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45"/>
        <v>start /low /b %USERPROFILE%\Documents\GitHub\eaglep3\Utilities\DownloadLogsFromS3.py --loco 4053 --day 2017-05-13</v>
      </c>
      <c r="AN142" s="154" t="str">
        <f t="shared" si="4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03:06:54"},{"id":29,"name":"Sharepoint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573</v>
      </c>
      <c r="B143" s="7">
        <v>4004</v>
      </c>
      <c r="C143" s="21" t="s">
        <v>206</v>
      </c>
      <c r="D143" s="21" t="s">
        <v>426</v>
      </c>
      <c r="E143" s="13">
        <v>42868.829062500001</v>
      </c>
      <c r="F143" s="13">
        <v>42868.833506944444</v>
      </c>
      <c r="G143" s="7">
        <v>1</v>
      </c>
      <c r="H143" s="21" t="s">
        <v>930</v>
      </c>
      <c r="I143" s="13">
        <v>42868.850694444445</v>
      </c>
      <c r="J143" s="7">
        <v>0</v>
      </c>
      <c r="K143" s="92" t="str">
        <f t="shared" si="63"/>
        <v>4003/4004</v>
      </c>
      <c r="L143" s="21" t="str">
        <f>VLOOKUP(A143,'Trips&amp;Operators'!$C$1:$G$99999,5,FALSE)</f>
        <v>DUNCAN SHEILA</v>
      </c>
      <c r="M143" s="6">
        <f t="shared" si="64"/>
        <v>1.7187500001455192E-2</v>
      </c>
      <c r="N143" s="7"/>
      <c r="O143" s="7"/>
      <c r="P143" s="7">
        <f>24*60*SUM($M143:$M144)</f>
        <v>37.866666665067896</v>
      </c>
      <c r="Q143" s="22"/>
      <c r="R143" s="190" t="s">
        <v>540</v>
      </c>
      <c r="S143" s="196">
        <f t="shared" si="61"/>
        <v>1</v>
      </c>
      <c r="T143" s="190" t="str">
        <f t="shared" si="65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66"/>
        <v>https://d0f6bd738d7f1b3e5a7ca70fe4ff75f0.us-east-1.aws.found.io/app/kibana#/discover/Steve-Slow-Train-Analysis-(2080s-and-2083s)?_g=(refreshInterval:(display:Off,pause:!f,section:0,value:0),time:(from:'2017-05-13T18:53:51-0600',mode:absolute,to:'2017-05-13T21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192" t="str">
        <f t="shared" si="67"/>
        <v>Y</v>
      </c>
      <c r="X143" s="192">
        <f>VALUE(LEFT(AD143,4))-VALUE(LEFT(AD142,4))</f>
        <v>1</v>
      </c>
      <c r="Y143" s="192">
        <f t="shared" si="62"/>
        <v>4.6199999999999998E-2</v>
      </c>
      <c r="Z143" s="192">
        <v>14.7547</v>
      </c>
      <c r="AA143" s="192">
        <f t="shared" si="68"/>
        <v>14.708499999999999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9"/>
        <v>0225-13</v>
      </c>
      <c r="AE143" s="80" t="str">
        <f t="shared" si="70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143" s="77" t="str">
        <f t="shared" si="71"/>
        <v>"C:\Program Files (x86)\AstroGrep\AstroGrep.exe" /e /r /s /spath="%USERPROFILE%\AppData\Local\Temp\OnboardLogs" /stypes="app*4004*20170514*" /stext=" 02:.+((SYSTEM_STATE.+slice.+state.+changed )|(ment ac)|(multiple cpu faults)|(system.+state.+changed )|(\[timeout)|(PRM\|1\|D)|(kpr)|(kdp)|(train st.+moving)|(\|lc)|(penalty))"</v>
      </c>
      <c r="AG143" s="1" t="str">
        <f t="shared" si="72"/>
        <v>EC</v>
      </c>
      <c r="AH143" s="81" t="str">
        <f t="shared" ref="AH143:AH206" si="7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225-13 --locoid 4004 --swversion DE.1.0.9.0 --startMP 204:462 --initTime 2017-05-13T19:53:51 --startdatetime 2017-05-13T20:00:15 --delay 1 --endMP 204:233281 --enddatetime 2017-05-13T20:25:00 --enforcementcount 0 &gt;&gt;C:\Users\stu\Documents\GitHub\eaglep3-reporting\EC\2017-05-13-refined-times.txt</v>
      </c>
      <c r="AI143" s="99" t="str">
        <f t="shared" ref="AI143:AI206" si="7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drop","project_id":79,"tracker_id":40,"status_id":1,"priority_id":2,"assigned_to_id":23,"start_date":"2017-05-13","description":"","custom_fields":[{"id":1,"name":"Subdivision","value":"EC"},{"id":4,"name":"Milepost","value":"14.7547"},{"id":17,"name":"Train ID","value":"225-13"},{"id":16,"name":"Locomotive ID","value":"4004"},{"id":130,"name":"Impact","value":""},{"id":150,"name":"Time of Event (Mountain Time)","value":"20:25:00"},{"id":151,"name":"Denver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6" si="75">"start /low /b "&amp;dls3logs&amp;" --loco "&amp;B143&amp;" --day "&amp;TEXT(F143,"YYYY-MM-DD")</f>
        <v>start /low /b %USERPROFILE%\Documents\GitHub\eaglep3\Utilities\DownloadLogsFromS3.py --loco 4004 --day 2017-05-13</v>
      </c>
      <c r="AN143" s="154" t="str">
        <f t="shared" ref="AN143:AN206" si="76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02:25:00"},{"id":29,"name":"Sharepoint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573</v>
      </c>
      <c r="B144" s="7">
        <v>4004</v>
      </c>
      <c r="C144" s="21" t="s">
        <v>206</v>
      </c>
      <c r="D144" s="21" t="s">
        <v>426</v>
      </c>
      <c r="E144" s="13">
        <v>42868.829062500001</v>
      </c>
      <c r="F144" s="13">
        <v>42868.853530092594</v>
      </c>
      <c r="G144" s="7">
        <v>1</v>
      </c>
      <c r="H144" s="21" t="s">
        <v>930</v>
      </c>
      <c r="I144" s="13">
        <v>42868.862638888888</v>
      </c>
      <c r="J144" s="7">
        <v>0</v>
      </c>
      <c r="K144" s="92" t="str">
        <f t="shared" si="63"/>
        <v>4003/4004</v>
      </c>
      <c r="L144" s="21" t="str">
        <f>VLOOKUP(A144,'Trips&amp;Operators'!$C$1:$G$99999,5,FALSE)</f>
        <v>DUNCAN SHEILA</v>
      </c>
      <c r="M144" s="6">
        <f t="shared" si="64"/>
        <v>9.1087962937308475E-3</v>
      </c>
      <c r="N144" s="7"/>
      <c r="O144" s="7"/>
      <c r="P144" s="7"/>
      <c r="Q144" s="22"/>
      <c r="R144" s="190"/>
      <c r="S144" s="196"/>
      <c r="T144" s="190" t="str">
        <f t="shared" si="65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91" t="str">
        <f t="shared" si="66"/>
        <v>https://d0f6bd738d7f1b3e5a7ca70fe4ff75f0.us-east-1.aws.found.io/app/kibana#/discover/Steve-Slow-Train-Analysis-(2080s-and-2083s)?_g=(refreshInterval:(display:Off,pause:!f,section:0,value:0),time:(from:'2017-05-13T18:53:51-0600',mode:absolute,to:'2017-05-13T21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192" t="str">
        <f t="shared" si="67"/>
        <v>Y</v>
      </c>
      <c r="X144" s="192">
        <f t="shared" ref="X144:X146" si="77">VALUE(LEFT(AD144,4))-VALUE(LEFT(AD143,4))</f>
        <v>0</v>
      </c>
      <c r="Y144" s="192">
        <v>16.141100000000002</v>
      </c>
      <c r="Z144" s="192">
        <f t="shared" ref="Z144:Z175" si="78">RIGHT(H144,LEN(H144)-4)/10000</f>
        <v>23.328099999999999</v>
      </c>
      <c r="AA144" s="192">
        <f t="shared" si="68"/>
        <v>7.1869999999999976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9"/>
        <v>0225-13</v>
      </c>
      <c r="AE144" s="80" t="str">
        <f t="shared" si="70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144" s="77" t="str">
        <f t="shared" si="71"/>
        <v>"C:\Program Files (x86)\AstroGrep\AstroGrep.exe" /e /r /s /spath="%USERPROFILE%\AppData\Local\Temp\OnboardLogs" /stypes="app*4004*20170514*" /stext=" 02:.+((SYSTEM_STATE.+slice.+state.+changed )|(ment ac)|(multiple cpu faults)|(system.+state.+changed )|(\[timeout)|(PRM\|1\|D)|(kpr)|(kdp)|(train st.+moving)|(\|lc)|(penalty))"</v>
      </c>
      <c r="AG144" s="1" t="str">
        <f t="shared" si="72"/>
        <v>EC</v>
      </c>
      <c r="AH144" s="81" t="str">
        <f t="shared" ref="AH144" si="79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225-13 --locoid 4004 --swversion DE.1.0.9.0 --startMP 204:462 --initTime 2017-05-13T19:53:51 --startdatetime 2017-05-13T20:29:05 --delay 1 --endMP 204:233281 --enddatetime 2017-05-13T20:42:12 --enforcementcount 0 &gt;&gt;C:\Users\stu\Documents\GitHub\eaglep3-reporting\EC\2017-05-13-refined-times.txt</v>
      </c>
      <c r="AI144" s="99" t="str">
        <f t="shared" ref="AI144" si="80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{"issue":{"subject":"","project_id":79,"tracker_id":40,"status_id":1,"priority_id":2,"assigned_to_id":23,"start_date":"2017-05-13","description":"","custom_fields":[{"id":1,"name":"Subdivision","value":"EC"},{"id":4,"name":"Milepost","value":"23.3281"},{"id":17,"name":"Train ID","value":"225-13"},{"id":16,"name":"Locomotive ID","value":"4004"},{"id":130,"name":"Impact","value":""},{"id":150,"name":"Time of Event (Mountain Time)","value":"20:42:12"},{"id":151,"name":"Denver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ref="AM144" si="81">"start /low /b "&amp;dls3logs&amp;" --loco "&amp;B144&amp;" --day "&amp;TEXT(F144,"YYYY-MM-DD")</f>
        <v>start /low /b %USERPROFILE%\Documents\GitHub\eaglep3\Utilities\DownloadLogsFromS3.py --loco 4004 --day 2017-05-13</v>
      </c>
      <c r="AN144" s="154" t="str">
        <f t="shared" ref="AN144" si="82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02:42:12"},{"id":29,"name":"Sharepoint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s="20" customFormat="1" x14ac:dyDescent="0.25">
      <c r="A145" s="32" t="s">
        <v>576</v>
      </c>
      <c r="B145" s="7">
        <v>4003</v>
      </c>
      <c r="C145" s="21" t="s">
        <v>206</v>
      </c>
      <c r="D145" s="21" t="s">
        <v>844</v>
      </c>
      <c r="E145" s="13">
        <v>42868.864999999998</v>
      </c>
      <c r="F145" s="13">
        <v>42868.872662037036</v>
      </c>
      <c r="G145" s="7">
        <v>1</v>
      </c>
      <c r="H145" s="21" t="s">
        <v>370</v>
      </c>
      <c r="I145" s="13">
        <v>42868.909375000003</v>
      </c>
      <c r="J145" s="7">
        <v>0</v>
      </c>
      <c r="K145" s="92" t="str">
        <f t="shared" si="63"/>
        <v>4003/4004</v>
      </c>
      <c r="L145" s="21" t="str">
        <f>VLOOKUP(A145,'Trips&amp;Operators'!$C$1:$G$99999,5,FALSE)</f>
        <v>DUNCAN SHEILA</v>
      </c>
      <c r="M145" s="6">
        <f t="shared" si="64"/>
        <v>3.6712962966703344E-2</v>
      </c>
      <c r="N145" s="7">
        <f>24*60*SUM($M145:$M145)</f>
        <v>52.866666672052816</v>
      </c>
      <c r="O145" s="7"/>
      <c r="P145" s="7"/>
      <c r="Q145" s="22"/>
      <c r="R145" s="190"/>
      <c r="S145" s="196">
        <f t="shared" ref="S145:S154" si="83">SUM(U145:U145)/IF(AG145="EC",12,1)</f>
        <v>1</v>
      </c>
      <c r="T145" s="190" t="str">
        <f t="shared" si="65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66"/>
        <v>https://d0f6bd738d7f1b3e5a7ca70fe4ff75f0.us-east-1.aws.found.io/app/kibana#/discover/Steve-Slow-Train-Analysis-(2080s-and-2083s)?_g=(refreshInterval:(display:Off,pause:!f,section:0,value:0),time:(from:'2017-05-13T19:45:36-0600',mode:absolute,to:'2017-05-13T22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192" t="str">
        <f t="shared" si="67"/>
        <v>N</v>
      </c>
      <c r="X145" s="192">
        <f t="shared" si="77"/>
        <v>1</v>
      </c>
      <c r="Y145" s="192">
        <f t="shared" ref="Y145:Y176" si="84">RIGHT(D145,LEN(D145)-4)/10000</f>
        <v>23.299099999999999</v>
      </c>
      <c r="Z145" s="192">
        <f t="shared" si="78"/>
        <v>1.3899999999999999E-2</v>
      </c>
      <c r="AA145" s="192">
        <f t="shared" si="68"/>
        <v>23.2852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9"/>
        <v>0226-13</v>
      </c>
      <c r="AE145" s="80" t="str">
        <f t="shared" si="70"/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145" s="77" t="str">
        <f t="shared" si="71"/>
        <v>"C:\Program Files (x86)\AstroGrep\AstroGrep.exe" /e /r /s /spath="%USERPROFILE%\AppData\Local\Temp\OnboardLogs" /stypes="app*4003*20170514*" /stext=" 03:.+((SYSTEM_STATE.+slice.+state.+changed )|(ment ac)|(multiple cpu faults)|(system.+state.+changed )|(\[timeout)|(PRM\|1\|D)|(kpr)|(kdp)|(train st.+moving)|(\|lc)|(penalty))"</v>
      </c>
      <c r="AG145" s="1" t="str">
        <f t="shared" si="72"/>
        <v>EC</v>
      </c>
      <c r="AH145" s="81" t="str">
        <f t="shared" si="73"/>
        <v>"%USERPROFILE%\Documents\GitHub\eaglep3\Utilities\RefineRTDCRunTimes.py" --tripid 226-13 --locoid 4003 --swversion DE.1.0.9.0 --startMP 204:232991 --initTime 2017-05-13T20:45:36 --startdatetime 2017-05-13T20:56:38 --delay 1 --endMP 204:139 --enddatetime 2017-05-13T21:49:30 --enforcementcount 0 &gt;&gt;C:\Users\stu\Documents\GitHub\eaglep3-reporting\EC\2017-05-13-refined-times.txt</v>
      </c>
      <c r="AI145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{"issue":{"subject":"","project_id":79,"tracker_id":40,"status_id":1,"priority_id":2,"assigned_to_id":23,"start_date":"2017-05-13","description":"","custom_fields":[{"id":1,"name":"Subdivision","value":"EC"},{"id":4,"name":"Milepost","value":"0.0139"},{"id":17,"name":"Train ID","value":"226-13"},{"id":16,"name":"Locomotive ID","value":"4003"},{"id":130,"name":"Impact","value":""},{"id":150,"name":"Time of Event (Mountain Time)","value":"21:49:30"},{"id":151,"name":"Denver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5"/>
        <v>start /low /b %USERPROFILE%\Documents\GitHub\eaglep3\Utilities\DownloadLogsFromS3.py --loco 4003 --day 2017-05-13</v>
      </c>
      <c r="AN145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03:49:30"},{"id":29,"name":"Sharepoint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760</v>
      </c>
      <c r="B146" s="7">
        <v>4014</v>
      </c>
      <c r="C146" s="21" t="s">
        <v>206</v>
      </c>
      <c r="D146" s="21" t="s">
        <v>432</v>
      </c>
      <c r="E146" s="13">
        <v>42868.851180555554</v>
      </c>
      <c r="F146" s="13">
        <v>42868.854375000003</v>
      </c>
      <c r="G146" s="7">
        <v>1</v>
      </c>
      <c r="H146" s="21" t="s">
        <v>864</v>
      </c>
      <c r="I146" s="13">
        <v>42868.880381944444</v>
      </c>
      <c r="J146" s="7">
        <v>0</v>
      </c>
      <c r="K146" s="92" t="str">
        <f t="shared" si="63"/>
        <v>4013/4014</v>
      </c>
      <c r="L146" s="21" t="str">
        <f>VLOOKUP(A146,'Trips&amp;Operators'!$C$1:$G$99999,5,FALSE)</f>
        <v>SWANSON BRYCE</v>
      </c>
      <c r="M146" s="6">
        <f t="shared" si="64"/>
        <v>2.6006944441178348E-2</v>
      </c>
      <c r="N146" s="7">
        <f>24*60*SUM($M146:$M146)</f>
        <v>37.449999995296821</v>
      </c>
      <c r="O146" s="7"/>
      <c r="P146" s="7"/>
      <c r="Q146" s="22"/>
      <c r="R146" s="190"/>
      <c r="S146" s="196">
        <f t="shared" si="83"/>
        <v>1</v>
      </c>
      <c r="T146" s="190" t="str">
        <f t="shared" si="65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66"/>
        <v>https://d0f6bd738d7f1b3e5a7ca70fe4ff75f0.us-east-1.aws.found.io/app/kibana#/discover/Steve-Slow-Train-Analysis-(2080s-and-2083s)?_g=(refreshInterval:(display:Off,pause:!f,section:0,value:0),time:(from:'2017-05-13T19:25:42-0600',mode:absolute,to:'2017-05-13T22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6" s="192" t="str">
        <f t="shared" si="67"/>
        <v>N</v>
      </c>
      <c r="X146" s="192">
        <f t="shared" si="77"/>
        <v>1</v>
      </c>
      <c r="Y146" s="192">
        <f t="shared" si="84"/>
        <v>4.7699999999999999E-2</v>
      </c>
      <c r="Z146" s="192">
        <f t="shared" si="78"/>
        <v>23.339700000000001</v>
      </c>
      <c r="AA146" s="192">
        <f t="shared" si="68"/>
        <v>23.292000000000002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9"/>
        <v>0227-13</v>
      </c>
      <c r="AE146" s="80" t="str">
        <f t="shared" si="70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146" s="77" t="str">
        <f t="shared" si="71"/>
        <v>"C:\Program Files (x86)\AstroGrep\AstroGrep.exe" /e /r /s /spath="%USERPROFILE%\AppData\Local\Temp\OnboardLogs" /stypes="app*4014*20170514*" /stext=" 03:.+((SYSTEM_STATE.+slice.+state.+changed )|(ment ac)|(multiple cpu faults)|(system.+state.+changed )|(\[timeout)|(PRM\|1\|D)|(kpr)|(kdp)|(train st.+moving)|(\|lc)|(penalty))"</v>
      </c>
      <c r="AG146" s="1" t="str">
        <f t="shared" si="72"/>
        <v>EC</v>
      </c>
      <c r="AH146" s="81" t="str">
        <f t="shared" si="73"/>
        <v>"%USERPROFILE%\Documents\GitHub\eaglep3\Utilities\RefineRTDCRunTimes.py" --tripid 227-13 --locoid 4014 --swversion DE.1.0.9.0 --startMP 204:477 --initTime 2017-05-13T20:25:42 --startdatetime 2017-05-13T20:30:18 --delay 1 --endMP 204:233397 --enddatetime 2017-05-13T21:07:45 --enforcementcount 0 &gt;&gt;C:\Users\stu\Documents\GitHub\eaglep3-reporting\EC\2017-05-13-refined-times.txt</v>
      </c>
      <c r="AI146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{"issue":{"subject":"","project_id":79,"tracker_id":40,"status_id":1,"priority_id":2,"assigned_to_id":23,"start_date":"2017-05-13","description":"","custom_fields":[{"id":1,"name":"Subdivision","value":"EC"},{"id":4,"name":"Milepost","value":"23.3397"},{"id":17,"name":"Train ID","value":"227-13"},{"id":16,"name":"Locomotive ID","value":"4014"},{"id":130,"name":"Impact","value":""},{"id":150,"name":"Time of Event (Mountain Time)","value":"21:07:45"},{"id":151,"name":"Denver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5"/>
        <v>start /low /b %USERPROFILE%\Documents\GitHub\eaglep3\Utilities\DownloadLogsFromS3.py --loco 4014 --day 2017-05-13</v>
      </c>
      <c r="AN146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03:07:45"},{"id":29,"name":"Sharepoint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2" t="s">
        <v>763</v>
      </c>
      <c r="B147" s="7">
        <v>4013</v>
      </c>
      <c r="C147" s="21" t="s">
        <v>206</v>
      </c>
      <c r="D147" s="21" t="s">
        <v>931</v>
      </c>
      <c r="E147" s="13">
        <v>42868.881724537037</v>
      </c>
      <c r="F147" s="13">
        <v>42868.893206018518</v>
      </c>
      <c r="G147" s="7">
        <v>1</v>
      </c>
      <c r="H147" s="21" t="s">
        <v>513</v>
      </c>
      <c r="I147" s="13">
        <v>42868.921087962961</v>
      </c>
      <c r="J147" s="7">
        <v>0</v>
      </c>
      <c r="K147" s="92" t="str">
        <f t="shared" si="63"/>
        <v>4013/4014</v>
      </c>
      <c r="L147" s="21" t="str">
        <f>VLOOKUP(A147,'Trips&amp;Operators'!$C$1:$G$99999,5,FALSE)</f>
        <v>SWANSON BRYCE</v>
      </c>
      <c r="M147" s="6">
        <f t="shared" si="64"/>
        <v>2.7881944442924578E-2</v>
      </c>
      <c r="N147" s="7">
        <f>24*60*SUM($M147:$M147)</f>
        <v>40.149999997811392</v>
      </c>
      <c r="O147" s="7"/>
      <c r="P147" s="7"/>
      <c r="Q147" s="22"/>
      <c r="R147" s="190"/>
      <c r="S147" s="196">
        <f t="shared" si="83"/>
        <v>1</v>
      </c>
      <c r="T147" s="190" t="str">
        <f t="shared" si="65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66"/>
        <v>https://d0f6bd738d7f1b3e5a7ca70fe4ff75f0.us-east-1.aws.found.io/app/kibana#/discover/Steve-Slow-Train-Analysis-(2080s-and-2083s)?_g=(refreshInterval:(display:Off,pause:!f,section:0,value:0),time:(from:'2017-05-13T20:09:41-0600',mode:absolute,to:'2017-05-13T23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7" s="192" t="str">
        <f t="shared" si="67"/>
        <v>N</v>
      </c>
      <c r="X147" s="192">
        <f t="shared" ref="X147:X163" si="85">VALUE(LEFT(AD147,4))-VALUE(LEFT(AD146,4))</f>
        <v>1</v>
      </c>
      <c r="Y147" s="192">
        <f t="shared" si="84"/>
        <v>23.309100000000001</v>
      </c>
      <c r="Z147" s="192">
        <f t="shared" si="78"/>
        <v>1.54E-2</v>
      </c>
      <c r="AA147" s="192">
        <f t="shared" si="68"/>
        <v>23.293700000000001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9"/>
        <v>0228-13</v>
      </c>
      <c r="AE147" s="80" t="str">
        <f t="shared" si="70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147" s="77" t="str">
        <f t="shared" si="71"/>
        <v>"C:\Program Files (x86)\AstroGrep\AstroGrep.exe" /e /r /s /spath="%USERPROFILE%\AppData\Local\Temp\OnboardLogs" /stypes="app*4013*20170514*" /stext=" 04:.+((SYSTEM_STATE.+slice.+state.+changed )|(ment ac)|(multiple cpu faults)|(system.+state.+changed )|(\[timeout)|(PRM\|1\|D)|(kpr)|(kdp)|(train st.+moving)|(\|lc)|(penalty))"</v>
      </c>
      <c r="AG147" s="1" t="str">
        <f t="shared" si="72"/>
        <v>EC</v>
      </c>
      <c r="AH147" s="81" t="str">
        <f t="shared" si="73"/>
        <v>"%USERPROFILE%\Documents\GitHub\eaglep3\Utilities\RefineRTDCRunTimes.py" --tripid 228-13 --locoid 4013 --swversion DE.1.0.9.0 --startMP 204:233091 --initTime 2017-05-13T21:09:41 --startdatetime 2017-05-13T21:26:13 --delay 1 --endMP 204:154 --enddatetime 2017-05-13T22:06:22 --enforcementcount 0 &gt;&gt;C:\Users\stu\Documents\GitHub\eaglep3-reporting\EC\2017-05-13-refined-times.txt</v>
      </c>
      <c r="AI147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{"issue":{"subject":"","project_id":79,"tracker_id":40,"status_id":1,"priority_id":2,"assigned_to_id":23,"start_date":"2017-05-13","description":"","custom_fields":[{"id":1,"name":"Subdivision","value":"EC"},{"id":4,"name":"Milepost","value":"0.0154"},{"id":17,"name":"Train ID","value":"228-13"},{"id":16,"name":"Locomotive ID","value":"4013"},{"id":130,"name":"Impact","value":""},{"id":150,"name":"Time of Event (Mountain Time)","value":"22:06:22"},{"id":151,"name":"Denver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75"/>
        <v>start /low /b %USERPROFILE%\Documents\GitHub\eaglep3\Utilities\DownloadLogsFromS3.py --loco 4013 --day 2017-05-13</v>
      </c>
      <c r="AN147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04:06:22"},{"id":29,"name":"Sharepoint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x14ac:dyDescent="0.25">
      <c r="A148" s="32" t="s">
        <v>762</v>
      </c>
      <c r="B148" s="7">
        <v>4042</v>
      </c>
      <c r="C148" s="21" t="s">
        <v>206</v>
      </c>
      <c r="D148" s="21" t="s">
        <v>354</v>
      </c>
      <c r="E148" s="13">
        <v>42868.869641203702</v>
      </c>
      <c r="F148" s="13">
        <v>42868.875104166669</v>
      </c>
      <c r="G148" s="7">
        <v>2</v>
      </c>
      <c r="H148" s="21" t="s">
        <v>919</v>
      </c>
      <c r="I148" s="13">
        <v>42868.900694444441</v>
      </c>
      <c r="J148" s="7">
        <v>0</v>
      </c>
      <c r="K148" s="92" t="str">
        <f t="shared" si="63"/>
        <v>4041/4042</v>
      </c>
      <c r="L148" s="21" t="str">
        <f>VLOOKUP(A148,'Trips&amp;Operators'!$C$1:$G$99999,5,FALSE)</f>
        <v>BROWN JACOB</v>
      </c>
      <c r="M148" s="6">
        <f t="shared" si="64"/>
        <v>2.5590277771698311E-2</v>
      </c>
      <c r="N148" s="7">
        <f>24*60*SUM($M148:$M148)</f>
        <v>36.849999991245568</v>
      </c>
      <c r="O148" s="7"/>
      <c r="P148" s="7"/>
      <c r="Q148" s="22"/>
      <c r="R148" s="190"/>
      <c r="S148" s="196">
        <f t="shared" si="83"/>
        <v>1</v>
      </c>
      <c r="T148" s="190" t="str">
        <f t="shared" si="65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66"/>
        <v>https://d0f6bd738d7f1b3e5a7ca70fe4ff75f0.us-east-1.aws.found.io/app/kibana#/discover/Steve-Slow-Train-Analysis-(2080s-and-2083s)?_g=(refreshInterval:(display:Off,pause:!f,section:0,value:0),time:(from:'2017-05-13T19:52:17-0600',mode:absolute,to:'2017-05-13T22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192" t="str">
        <f t="shared" si="67"/>
        <v>N</v>
      </c>
      <c r="X148" s="192">
        <f t="shared" si="85"/>
        <v>1</v>
      </c>
      <c r="Y148" s="192">
        <f t="shared" si="84"/>
        <v>4.58E-2</v>
      </c>
      <c r="Z148" s="192">
        <f t="shared" si="78"/>
        <v>23.331900000000001</v>
      </c>
      <c r="AA148" s="192">
        <f t="shared" si="68"/>
        <v>23.286100000000001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9"/>
        <v>0229-13</v>
      </c>
      <c r="AE148" s="80" t="str">
        <f t="shared" si="70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148" s="77" t="str">
        <f t="shared" si="71"/>
        <v>"C:\Program Files (x86)\AstroGrep\AstroGrep.exe" /e /r /s /spath="%USERPROFILE%\AppData\Local\Temp\OnboardLogs" /stypes="app*4042*20170514*" /stext=" 03:.+((SYSTEM_STATE.+slice.+state.+changed )|(ment ac)|(multiple cpu faults)|(system.+state.+changed )|(\[timeout)|(PRM\|1\|D)|(kpr)|(kdp)|(train st.+moving)|(\|lc)|(penalty))"</v>
      </c>
      <c r="AG148" s="1" t="str">
        <f t="shared" si="72"/>
        <v>EC</v>
      </c>
      <c r="AH148" s="81" t="str">
        <f t="shared" si="73"/>
        <v>"%USERPROFILE%\Documents\GitHub\eaglep3\Utilities\RefineRTDCRunTimes.py" --tripid 229-13 --locoid 4042 --swversion DE.1.0.9.0 --startMP 204:458 --initTime 2017-05-13T20:52:17 --startdatetime 2017-05-13T21:00:09 --delay 2 --endMP 204:233319 --enddatetime 2017-05-13T21:37:00 --enforcementcount 0 &gt;&gt;C:\Users\stu\Documents\GitHub\eaglep3-reporting\EC\2017-05-13-refined-times.txt</v>
      </c>
      <c r="AI148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{"issue":{"subject":"","project_id":79,"tracker_id":40,"status_id":1,"priority_id":2,"assigned_to_id":23,"start_date":"2017-05-13","description":"","custom_fields":[{"id":1,"name":"Subdivision","value":"EC"},{"id":4,"name":"Milepost","value":"23.3319"},{"id":17,"name":"Train ID","value":"229-13"},{"id":16,"name":"Locomotive ID","value":"4042"},{"id":130,"name":"Impact","value":""},{"id":150,"name":"Time of Event (Mountain Time)","value":"21:37:00"},{"id":151,"name":"Denver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75"/>
        <v>start /low /b %USERPROFILE%\Documents\GitHub\eaglep3\Utilities\DownloadLogsFromS3.py --loco 4042 --day 2017-05-13</v>
      </c>
      <c r="AN148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03:37:00"},{"id":29,"name":"Sharepoint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577</v>
      </c>
      <c r="B149" s="7">
        <v>4041</v>
      </c>
      <c r="C149" s="21" t="s">
        <v>206</v>
      </c>
      <c r="D149" s="21" t="s">
        <v>816</v>
      </c>
      <c r="E149" s="13">
        <v>42868.910405092596</v>
      </c>
      <c r="F149" s="13">
        <v>42869.0003125</v>
      </c>
      <c r="G149" s="7">
        <v>2</v>
      </c>
      <c r="H149" s="21" t="s">
        <v>932</v>
      </c>
      <c r="I149" s="13">
        <v>42869.028425925928</v>
      </c>
      <c r="J149" s="7">
        <v>0</v>
      </c>
      <c r="K149" s="92" t="str">
        <f t="shared" si="63"/>
        <v>4041/4042</v>
      </c>
      <c r="L149" s="21" t="str">
        <f>VLOOKUP(A149,'Trips&amp;Operators'!$C$1:$G$99999,5,FALSE)</f>
        <v>BROWN JACOB</v>
      </c>
      <c r="M149" s="6">
        <f t="shared" si="64"/>
        <v>2.8113425927585922E-2</v>
      </c>
      <c r="N149" s="7"/>
      <c r="O149" s="7"/>
      <c r="P149" s="7">
        <f>24*60*SUM($M149:$M149)</f>
        <v>40.483333335723728</v>
      </c>
      <c r="Q149" s="22"/>
      <c r="R149" s="190" t="s">
        <v>1069</v>
      </c>
      <c r="S149" s="196">
        <f t="shared" si="83"/>
        <v>0.91666666666666663</v>
      </c>
      <c r="T149" s="190" t="str">
        <f t="shared" si="65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11</v>
      </c>
      <c r="V149" s="191" t="str">
        <f t="shared" si="66"/>
        <v>https://d0f6bd738d7f1b3e5a7ca70fe4ff75f0.us-east-1.aws.found.io/app/kibana#/discover/Steve-Slow-Train-Analysis-(2080s-and-2083s)?_g=(refreshInterval:(display:Off,pause:!f,section:0,value:0),time:(from:'2017-05-13T20:50:59-0600',mode:absolute,to:'2017-05-14T01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192" t="str">
        <f t="shared" si="67"/>
        <v>Y</v>
      </c>
      <c r="X149" s="192">
        <f t="shared" si="85"/>
        <v>1</v>
      </c>
      <c r="Y149" s="192">
        <f t="shared" si="84"/>
        <v>23.3004</v>
      </c>
      <c r="Z149" s="192">
        <f t="shared" si="78"/>
        <v>2.7406999999999999</v>
      </c>
      <c r="AA149" s="192">
        <f t="shared" si="68"/>
        <v>20.559699999999999</v>
      </c>
      <c r="AB149" s="57" t="str">
        <f>VLOOKUP(A149,Enforcements!$C$7:$K$13,8,0)</f>
        <v>Bulletin (2)</v>
      </c>
      <c r="AC149" s="53" t="str">
        <f>VLOOKUP(A149,Enforcements!$C$7:$E$13,3,0)</f>
        <v>GRADE CROSSING</v>
      </c>
      <c r="AD149" s="54" t="str">
        <f t="shared" si="69"/>
        <v>0230-13</v>
      </c>
      <c r="AE149" s="80" t="str">
        <f t="shared" si="70"/>
        <v>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 &amp; 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</v>
      </c>
      <c r="AF149" s="77" t="str">
        <f t="shared" si="71"/>
        <v>"C:\Program Files (x86)\AstroGrep\AstroGrep.exe" /e /r /s /spath="%USERPROFILE%\AppData\Local\Temp\OnboardLogs" /stypes="app*4041*20170514*" /stext=" 06:.+((SYSTEM_STATE.+slice.+state.+changed )|(ment ac)|(multiple cpu faults)|(system.+state.+changed )|(\[timeout)|(PRM\|1\|D)|(kpr)|(kdp)|(train st.+moving)|(\|lc)|(penalty))"</v>
      </c>
      <c r="AG149" s="1" t="str">
        <f t="shared" si="72"/>
        <v>EC</v>
      </c>
      <c r="AH149" s="81" t="str">
        <f t="shared" si="73"/>
        <v>"%USERPROFILE%\Documents\GitHub\eaglep3\Utilities\RefineRTDCRunTimes.py" --tripid 230-13 --locoid 4041 --swversion DE.1.0.9.0 --startMP 204:233004 --initTime 2017-05-13T21:50:59 --startdatetime 2017-05-14T00:00:27 --delay 2 --endMP 204:27407 --enddatetime 2017-05-14T00:40:56 --enforcementcount 0 &gt;&gt;C:\Users\stu\Documents\GitHub\eaglep3-reporting\EC\2017-05-13-refined-times.txt</v>
      </c>
      <c r="AI149" s="99" t="str">
        <f t="shared" si="74"/>
        <v>echo {"issue":{"subject":"Cut out after early arrival","project_id":79,"tracker_id":40,"status_id":1,"priority_id":2,"assigned_to_id":23,"start_date":"2017-05-14","description":"","custom_fields":[{"id":1,"name":"Subdivision","value":"EC"},{"id":4,"name":"Milepost","value":"2.7407"},{"id":17,"name":"Train ID","value":"230-13"},{"id":16,"name":"Locomotive ID","value":"4041"},{"id":130,"name":"Impact","value":""},{"id":150,"name":"Time of Event (Mountain Time)","value":"00:40:56"},{"id":151,"name":"Denver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5"/>
        <v>start /low /b %USERPROFILE%\Documents\GitHub\eaglep3\Utilities\DownloadLogsFromS3.py --loco 4041 --day 2017-05-14</v>
      </c>
      <c r="AN149" s="154" t="str">
        <f t="shared" si="76"/>
        <v>echo {"issue":{"subject":"Cut out after early arrival","project_id":30,"tracker_id":4,"status_id":1,"priority_id":1,"assigned_to_id":10,"start_date":"2017-05-14","description":"","custom_fields":[{"id":30,"name":"Category","value":"Issue"},{"id":3,"name":"Functional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06:40:56"},{"id":29,"name":"Sharepoint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764</v>
      </c>
      <c r="B150" s="7">
        <v>4054</v>
      </c>
      <c r="C150" s="21" t="s">
        <v>206</v>
      </c>
      <c r="D150" s="21" t="s">
        <v>376</v>
      </c>
      <c r="E150" s="13">
        <v>42868.888043981482</v>
      </c>
      <c r="F150" s="13">
        <v>42868.896053240744</v>
      </c>
      <c r="G150" s="7">
        <v>1</v>
      </c>
      <c r="H150" s="21" t="s">
        <v>794</v>
      </c>
      <c r="I150" s="13">
        <v>42868.923622685186</v>
      </c>
      <c r="J150" s="7">
        <v>0</v>
      </c>
      <c r="K150" s="92" t="str">
        <f t="shared" si="63"/>
        <v>4053/4054</v>
      </c>
      <c r="L150" s="21" t="str">
        <f>VLOOKUP(A150,'Trips&amp;Operators'!$C$1:$G$99999,5,FALSE)</f>
        <v>SMITH MICHAEL</v>
      </c>
      <c r="M150" s="6">
        <f t="shared" si="64"/>
        <v>2.7569444442633539E-2</v>
      </c>
      <c r="N150" s="7">
        <f>24*60*SUM($M150:$M150)</f>
        <v>39.699999997392297</v>
      </c>
      <c r="O150" s="7"/>
      <c r="P150" s="7"/>
      <c r="Q150" s="22"/>
      <c r="R150" s="190"/>
      <c r="S150" s="196">
        <f t="shared" si="83"/>
        <v>1</v>
      </c>
      <c r="T150" s="190" t="str">
        <f t="shared" si="65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66"/>
        <v>https://d0f6bd738d7f1b3e5a7ca70fe4ff75f0.us-east-1.aws.found.io/app/kibana#/discover/Steve-Slow-Train-Analysis-(2080s-and-2083s)?_g=(refreshInterval:(display:Off,pause:!f,section:0,value:0),time:(from:'2017-05-13T20:18:47-0600',mode:absolute,to:'2017-05-13T23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0" s="192" t="str">
        <f t="shared" si="67"/>
        <v>N</v>
      </c>
      <c r="X150" s="192">
        <f t="shared" si="85"/>
        <v>1</v>
      </c>
      <c r="Y150" s="192">
        <f t="shared" si="84"/>
        <v>4.3700000000000003E-2</v>
      </c>
      <c r="Z150" s="192">
        <f t="shared" si="78"/>
        <v>23.329699999999999</v>
      </c>
      <c r="AA150" s="192">
        <f t="shared" si="68"/>
        <v>23.285999999999998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9"/>
        <v>0231-13</v>
      </c>
      <c r="AE150" s="80" t="str">
        <f t="shared" si="70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150" s="77" t="str">
        <f t="shared" si="71"/>
        <v>"C:\Program Files (x86)\AstroGrep\AstroGrep.exe" /e /r /s /spath="%USERPROFILE%\AppData\Local\Temp\OnboardLogs" /stypes="app*4054*20170514*" /stext=" 04:.+((SYSTEM_STATE.+slice.+state.+changed )|(ment ac)|(multiple cpu faults)|(system.+state.+changed )|(\[timeout)|(PRM\|1\|D)|(kpr)|(kdp)|(train st.+moving)|(\|lc)|(penalty))"</v>
      </c>
      <c r="AG150" s="1" t="str">
        <f t="shared" si="72"/>
        <v>EC</v>
      </c>
      <c r="AH150" s="81" t="str">
        <f t="shared" si="73"/>
        <v>"%USERPROFILE%\Documents\GitHub\eaglep3\Utilities\RefineRTDCRunTimes.py" --tripid 231-13 --locoid 4054 --swversion DE.1.0.9.0 --startMP 204:437 --initTime 2017-05-13T21:18:47 --startdatetime 2017-05-13T21:30:19 --delay 1 --endMP 204:233297 --enddatetime 2017-05-13T22:10:01 --enforcementcount 0 &gt;&gt;C:\Users\stu\Documents\GitHub\eaglep3-reporting\EC\2017-05-13-refined-times.txt</v>
      </c>
      <c r="AI150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{"issue":{"subject":"","project_id":79,"tracker_id":40,"status_id":1,"priority_id":2,"assigned_to_id":23,"start_date":"2017-05-13","description":"","custom_fields":[{"id":1,"name":"Subdivision","value":"EC"},{"id":4,"name":"Milepost","value":"23.3297"},{"id":17,"name":"Train ID","value":"231-13"},{"id":16,"name":"Locomotive ID","value":"4054"},{"id":130,"name":"Impact","value":""},{"id":150,"name":"Time of Event (Mountain Time)","value":"22:10:01"},{"id":151,"name":"Denver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75"/>
        <v>start /low /b %USERPROFILE%\Documents\GitHub\eaglep3\Utilities\DownloadLogsFromS3.py --loco 4054 --day 2017-05-13</v>
      </c>
      <c r="AN150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04:10:01"},{"id":29,"name":"Sharepoint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2" t="s">
        <v>769</v>
      </c>
      <c r="B151" s="7">
        <v>4053</v>
      </c>
      <c r="C151" s="21" t="s">
        <v>206</v>
      </c>
      <c r="D151" s="21" t="s">
        <v>933</v>
      </c>
      <c r="E151" s="13">
        <v>42868.925682870373</v>
      </c>
      <c r="F151" s="13">
        <v>42868.934942129628</v>
      </c>
      <c r="G151" s="7">
        <v>1</v>
      </c>
      <c r="H151" s="21" t="s">
        <v>357</v>
      </c>
      <c r="I151" s="13">
        <v>42868.962754629632</v>
      </c>
      <c r="J151" s="7">
        <v>0</v>
      </c>
      <c r="K151" s="92" t="str">
        <f t="shared" si="63"/>
        <v>4053/4054</v>
      </c>
      <c r="L151" s="21" t="str">
        <f>VLOOKUP(A151,'Trips&amp;Operators'!$C$1:$G$99999,5,FALSE)</f>
        <v>SMITH MICHAEL</v>
      </c>
      <c r="M151" s="6">
        <f t="shared" si="64"/>
        <v>2.7812500004074536E-2</v>
      </c>
      <c r="N151" s="7">
        <f>24*60*SUM($M151:$M151)</f>
        <v>40.050000005867332</v>
      </c>
      <c r="O151" s="7"/>
      <c r="P151" s="7"/>
      <c r="Q151" s="22"/>
      <c r="R151" s="190"/>
      <c r="S151" s="196">
        <f t="shared" si="83"/>
        <v>1</v>
      </c>
      <c r="T151" s="190" t="str">
        <f t="shared" si="65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66"/>
        <v>https://d0f6bd738d7f1b3e5a7ca70fe4ff75f0.us-east-1.aws.found.io/app/kibana#/discover/Steve-Slow-Train-Analysis-(2080s-and-2083s)?_g=(refreshInterval:(display:Off,pause:!f,section:0,value:0),time:(from:'2017-05-13T21:12:59-0600',mode:absolute,to:'2017-05-14T00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1" s="192" t="str">
        <f t="shared" si="67"/>
        <v>N</v>
      </c>
      <c r="X151" s="192">
        <f t="shared" si="85"/>
        <v>1</v>
      </c>
      <c r="Y151" s="192">
        <f t="shared" si="84"/>
        <v>23.296700000000001</v>
      </c>
      <c r="Z151" s="192">
        <f t="shared" si="78"/>
        <v>1.4999999999999999E-2</v>
      </c>
      <c r="AA151" s="192">
        <f t="shared" si="68"/>
        <v>23.281700000000001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9"/>
        <v>0232-13</v>
      </c>
      <c r="AE151" s="80" t="str">
        <f t="shared" si="70"/>
        <v>aws s3 cp s3://rtdc.mdm.uploadarchive.raw/RTDC4053/ "%USERPROFILE%\AppData\Local\Temp\OnboardLogs"\RTDC4053\2017-05-13 --exclude "*" --recursive --include "*20170513*" &amp; "%USERPROFILE%\Documents\GitHub\mrs-test-scripts\Headless Mode &amp; Sideloading\WalkAndUnGZ.bat" "%USERPROFILE%\AppData\Local\Temp\OnboardLogs"\RTDC4053\2017-05-13 &amp; 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</v>
      </c>
      <c r="AF151" s="77" t="str">
        <f t="shared" si="71"/>
        <v>"C:\Program Files (x86)\AstroGrep\AstroGrep.exe" /e /r /s /spath="%USERPROFILE%\AppData\Local\Temp\OnboardLogs" /stypes="app*4053*20170514*" /stext=" 05:.+((SYSTEM_STATE.+slice.+state.+changed )|(ment ac)|(multiple cpu faults)|(system.+state.+changed )|(\[timeout)|(PRM\|1\|D)|(kpr)|(kdp)|(train st.+moving)|(\|lc)|(penalty))"</v>
      </c>
      <c r="AG151" s="1" t="str">
        <f t="shared" si="72"/>
        <v>EC</v>
      </c>
      <c r="AH151" s="81" t="str">
        <f t="shared" si="73"/>
        <v>"%USERPROFILE%\Documents\GitHub\eaglep3\Utilities\RefineRTDCRunTimes.py" --tripid 232-13 --locoid 4053 --swversion DE.1.0.9.0 --startMP 204:232967 --initTime 2017-05-13T22:12:59 --startdatetime 2017-05-13T22:26:19 --delay 1 --endMP 204:150 --enddatetime 2017-05-13T23:06:22 --enforcementcount 0 &gt;&gt;C:\Users\stu\Documents\GitHub\eaglep3-reporting\EC\2017-05-13-refined-times.txt</v>
      </c>
      <c r="AI151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{"issue":{"subject":"","project_id":79,"tracker_id":40,"status_id":1,"priority_id":2,"assigned_to_id":23,"start_date":"2017-05-13","description":"","custom_fields":[{"id":1,"name":"Subdivision","value":"EC"},{"id":4,"name":"Milepost","value":"0.015"},{"id":17,"name":"Train ID","value":"232-13"},{"id":16,"name":"Locomotive ID","value":"4053"},{"id":130,"name":"Impact","value":""},{"id":150,"name":"Time of Event (Mountain Time)","value":"23:06:22"},{"id":151,"name":"Denver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75"/>
        <v>start /low /b %USERPROFILE%\Documents\GitHub\eaglep3\Utilities\DownloadLogsFromS3.py --loco 4053 --day 2017-05-13</v>
      </c>
      <c r="AN151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05:06:22"},{"id":29,"name":"Sharepoint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767</v>
      </c>
      <c r="B152" s="7">
        <v>4004</v>
      </c>
      <c r="C152" s="21" t="s">
        <v>206</v>
      </c>
      <c r="D152" s="21" t="s">
        <v>934</v>
      </c>
      <c r="E152" s="13">
        <v>42868.913449074076</v>
      </c>
      <c r="F152" s="13">
        <v>42868.916817129626</v>
      </c>
      <c r="G152" s="7">
        <v>1</v>
      </c>
      <c r="H152" s="21" t="s">
        <v>935</v>
      </c>
      <c r="I152" s="13">
        <v>42868.942870370367</v>
      </c>
      <c r="J152" s="7">
        <v>0</v>
      </c>
      <c r="K152" s="92" t="str">
        <f t="shared" si="63"/>
        <v>4003/4004</v>
      </c>
      <c r="L152" s="21" t="str">
        <f>VLOOKUP(A152,'Trips&amp;Operators'!$C$1:$G$99999,5,FALSE)</f>
        <v>DUNCAN SHEILA</v>
      </c>
      <c r="M152" s="6">
        <f t="shared" si="64"/>
        <v>2.6053240741021E-2</v>
      </c>
      <c r="N152" s="7">
        <f>24*60*SUM($M152:$M152)</f>
        <v>37.51666666707024</v>
      </c>
      <c r="O152" s="7"/>
      <c r="P152" s="7"/>
      <c r="Q152" s="22"/>
      <c r="R152" s="190"/>
      <c r="S152" s="196">
        <f t="shared" si="83"/>
        <v>1</v>
      </c>
      <c r="T152" s="190" t="str">
        <f t="shared" si="65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66"/>
        <v>https://d0f6bd738d7f1b3e5a7ca70fe4ff75f0.us-east-1.aws.found.io/app/kibana#/discover/Steve-Slow-Train-Analysis-(2080s-and-2083s)?_g=(refreshInterval:(display:Off,pause:!f,section:0,value:0),time:(from:'2017-05-13T20:55:22-0600',mode:absolute,to:'2017-05-13T23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192" t="str">
        <f t="shared" si="67"/>
        <v>N</v>
      </c>
      <c r="X152" s="192">
        <f t="shared" si="85"/>
        <v>1</v>
      </c>
      <c r="Y152" s="192">
        <f t="shared" si="84"/>
        <v>4.1500000000000002E-2</v>
      </c>
      <c r="Z152" s="192">
        <f t="shared" si="78"/>
        <v>23.330200000000001</v>
      </c>
      <c r="AA152" s="192">
        <f t="shared" si="68"/>
        <v>23.288700000000002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9"/>
        <v>0233-13</v>
      </c>
      <c r="AE152" s="80" t="str">
        <f t="shared" si="70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152" s="77" t="str">
        <f t="shared" si="71"/>
        <v>"C:\Program Files (x86)\AstroGrep\AstroGrep.exe" /e /r /s /spath="%USERPROFILE%\AppData\Local\Temp\OnboardLogs" /stypes="app*4004*20170514*" /stext=" 04:.+((SYSTEM_STATE.+slice.+state.+changed )|(ment ac)|(multiple cpu faults)|(system.+state.+changed )|(\[timeout)|(PRM\|1\|D)|(kpr)|(kdp)|(train st.+moving)|(\|lc)|(penalty))"</v>
      </c>
      <c r="AG152" s="1" t="str">
        <f t="shared" si="72"/>
        <v>EC</v>
      </c>
      <c r="AH152" s="81" t="str">
        <f t="shared" si="73"/>
        <v>"%USERPROFILE%\Documents\GitHub\eaglep3\Utilities\RefineRTDCRunTimes.py" --tripid 233-13 --locoid 4004 --swversion DE.1.0.9.0 --startMP 204:415 --initTime 2017-05-13T21:55:22 --startdatetime 2017-05-13T22:00:13 --delay 1 --endMP 204:233302 --enddatetime 2017-05-13T22:37:44 --enforcementcount 0 &gt;&gt;C:\Users\stu\Documents\GitHub\eaglep3-reporting\EC\2017-05-13-refined-times.txt</v>
      </c>
      <c r="AI152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{"issue":{"subject":"","project_id":79,"tracker_id":40,"status_id":1,"priority_id":2,"assigned_to_id":23,"start_date":"2017-05-13","description":"","custom_fields":[{"id":1,"name":"Subdivision","value":"EC"},{"id":4,"name":"Milepost","value":"23.3302"},{"id":17,"name":"Train ID","value":"233-13"},{"id":16,"name":"Locomotive ID","value":"4004"},{"id":130,"name":"Impact","value":""},{"id":150,"name":"Time of Event (Mountain Time)","value":"22:37:44"},{"id":151,"name":"Denver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5"/>
        <v>start /low /b %USERPROFILE%\Documents\GitHub\eaglep3\Utilities\DownloadLogsFromS3.py --loco 4004 --day 2017-05-13</v>
      </c>
      <c r="AN152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04:37:44"},{"id":29,"name":"Sharepoint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772</v>
      </c>
      <c r="B153" s="7">
        <v>4003</v>
      </c>
      <c r="C153" s="21" t="s">
        <v>206</v>
      </c>
      <c r="D153" s="21" t="s">
        <v>428</v>
      </c>
      <c r="E153" s="13">
        <v>42868.948946759258</v>
      </c>
      <c r="F153" s="13">
        <v>42868.95585648148</v>
      </c>
      <c r="G153" s="7">
        <v>1</v>
      </c>
      <c r="H153" s="21" t="s">
        <v>348</v>
      </c>
      <c r="I153" s="13">
        <v>42868.983761574076</v>
      </c>
      <c r="J153" s="7">
        <v>0</v>
      </c>
      <c r="K153" s="92" t="str">
        <f t="shared" si="63"/>
        <v>4003/4004</v>
      </c>
      <c r="L153" s="21" t="str">
        <f>VLOOKUP(A153,'Trips&amp;Operators'!$C$1:$G$99999,5,FALSE)</f>
        <v>DUNCAN SHEILA</v>
      </c>
      <c r="M153" s="6">
        <f t="shared" si="64"/>
        <v>2.7905092596483883E-2</v>
      </c>
      <c r="N153" s="7">
        <f>24*60*SUM($M153:$M153)</f>
        <v>40.183333338936791</v>
      </c>
      <c r="O153" s="7"/>
      <c r="P153" s="7"/>
      <c r="Q153" s="22"/>
      <c r="R153" s="190"/>
      <c r="S153" s="196">
        <f t="shared" si="83"/>
        <v>1</v>
      </c>
      <c r="T153" s="190" t="str">
        <f t="shared" si="65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66"/>
        <v>https://d0f6bd738d7f1b3e5a7ca70fe4ff75f0.us-east-1.aws.found.io/app/kibana#/discover/Steve-Slow-Train-Analysis-(2080s-and-2083s)?_g=(refreshInterval:(display:Off,pause:!f,section:0,value:0),time:(from:'2017-05-13T21:46:29-0600',mode:absolute,to:'2017-05-14T00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192" t="str">
        <f t="shared" si="67"/>
        <v>N</v>
      </c>
      <c r="X153" s="192">
        <f t="shared" si="85"/>
        <v>1</v>
      </c>
      <c r="Y153" s="192">
        <f t="shared" si="84"/>
        <v>23.299399999999999</v>
      </c>
      <c r="Z153" s="192">
        <f t="shared" si="78"/>
        <v>1.38E-2</v>
      </c>
      <c r="AA153" s="192">
        <f t="shared" si="68"/>
        <v>23.285599999999999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9"/>
        <v>0234-13</v>
      </c>
      <c r="AE153" s="80" t="str">
        <f t="shared" si="70"/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153" s="77" t="str">
        <f t="shared" si="71"/>
        <v>"C:\Program Files (x86)\AstroGrep\AstroGrep.exe" /e /r /s /spath="%USERPROFILE%\AppData\Local\Temp\OnboardLogs" /stypes="app*4003*20170514*" /stext=" 05:.+((SYSTEM_STATE.+slice.+state.+changed )|(ment ac)|(multiple cpu faults)|(system.+state.+changed )|(\[timeout)|(PRM\|1\|D)|(kpr)|(kdp)|(train st.+moving)|(\|lc)|(penalty))"</v>
      </c>
      <c r="AG153" s="1" t="str">
        <f t="shared" si="72"/>
        <v>EC</v>
      </c>
      <c r="AH153" s="81" t="str">
        <f t="shared" si="73"/>
        <v>"%USERPROFILE%\Documents\GitHub\eaglep3\Utilities\RefineRTDCRunTimes.py" --tripid 234-13 --locoid 4003 --swversion DE.1.0.9.0 --startMP 204:232994 --initTime 2017-05-13T22:46:29 --startdatetime 2017-05-13T22:56:26 --delay 1 --endMP 204:138 --enddatetime 2017-05-13T23:36:37 --enforcementcount 0 &gt;&gt;C:\Users\stu\Documents\GitHub\eaglep3-reporting\EC\2017-05-13-refined-times.txt</v>
      </c>
      <c r="AI153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{"issue":{"subject":"","project_id":79,"tracker_id":40,"status_id":1,"priority_id":2,"assigned_to_id":23,"start_date":"2017-05-13","description":"","custom_fields":[{"id":1,"name":"Subdivision","value":"EC"},{"id":4,"name":"Milepost","value":"0.0138"},{"id":17,"name":"Train ID","value":"234-13"},{"id":16,"name":"Locomotive ID","value":"4003"},{"id":130,"name":"Impact","value":""},{"id":150,"name":"Time of Event (Mountain Time)","value":"23:36:37"},{"id":151,"name":"Denver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75"/>
        <v>start /low /b %USERPROFILE%\Documents\GitHub\eaglep3\Utilities\DownloadLogsFromS3.py --loco 4003 --day 2017-05-13</v>
      </c>
      <c r="AN153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768</v>
      </c>
      <c r="B154" s="7">
        <v>4013</v>
      </c>
      <c r="C154" s="21" t="s">
        <v>206</v>
      </c>
      <c r="D154" s="21" t="s">
        <v>936</v>
      </c>
      <c r="E154" s="13">
        <v>42868.963900462964</v>
      </c>
      <c r="F154" s="13">
        <v>42869.06009259259</v>
      </c>
      <c r="G154" s="7">
        <v>1</v>
      </c>
      <c r="H154" s="21" t="s">
        <v>937</v>
      </c>
      <c r="I154" s="13">
        <v>42869.088391203702</v>
      </c>
      <c r="J154" s="7">
        <v>0</v>
      </c>
      <c r="K154" s="92" t="str">
        <f t="shared" si="63"/>
        <v>4013/4014</v>
      </c>
      <c r="L154" s="21" t="str">
        <f>VLOOKUP(A154,'Trips&amp;Operators'!$C$1:$G$99999,5,FALSE)</f>
        <v>SWANSON BRYCE</v>
      </c>
      <c r="M154" s="6">
        <f t="shared" si="64"/>
        <v>2.8298611112404615E-2</v>
      </c>
      <c r="N154" s="7"/>
      <c r="O154" s="7"/>
      <c r="P154" s="7">
        <f>24*60*SUM($M154:$M154)</f>
        <v>40.750000001862645</v>
      </c>
      <c r="Q154" s="22"/>
      <c r="R154" s="190" t="s">
        <v>1070</v>
      </c>
      <c r="S154" s="196">
        <f t="shared" si="83"/>
        <v>0</v>
      </c>
      <c r="T154" s="190" t="str">
        <f t="shared" si="65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191" t="str">
        <f t="shared" si="66"/>
        <v>https://d0f6bd738d7f1b3e5a7ca70fe4ff75f0.us-east-1.aws.found.io/app/kibana#/discover/Steve-Slow-Train-Analysis-(2080s-and-2083s)?_g=(refreshInterval:(display:Off,pause:!f,section:0,value:0),time:(from:'2017-05-13T22:08:01-0600',mode:absolute,to:'2017-05-14T03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4" s="192" t="str">
        <f t="shared" si="67"/>
        <v>Y</v>
      </c>
      <c r="X154" s="192">
        <f t="shared" si="85"/>
        <v>1</v>
      </c>
      <c r="Y154" s="192">
        <f t="shared" si="84"/>
        <v>10.224299999999999</v>
      </c>
      <c r="Z154" s="192">
        <f t="shared" si="78"/>
        <v>9.6829000000000001</v>
      </c>
      <c r="AA154" s="192">
        <f t="shared" si="68"/>
        <v>0.54139999999999944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9"/>
        <v>0235-13</v>
      </c>
      <c r="AE154" s="80" t="str">
        <f t="shared" si="70"/>
        <v>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 &amp; 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</v>
      </c>
      <c r="AF154" s="77" t="str">
        <f t="shared" si="71"/>
        <v>"C:\Program Files (x86)\AstroGrep\AstroGrep.exe" /e /r /s /spath="%USERPROFILE%\AppData\Local\Temp\OnboardLogs" /stypes="app*4013*20170514*" /stext=" 08:.+((SYSTEM_STATE.+slice.+state.+changed )|(ment ac)|(multiple cpu faults)|(system.+state.+changed )|(\[timeout)|(PRM\|1\|D)|(kpr)|(kdp)|(train st.+moving)|(\|lc)|(penalty))"</v>
      </c>
      <c r="AG154" s="1" t="str">
        <f t="shared" si="72"/>
        <v>EC</v>
      </c>
      <c r="AH154" s="81" t="str">
        <f t="shared" si="73"/>
        <v>"%USERPROFILE%\Documents\GitHub\eaglep3\Utilities\RefineRTDCRunTimes.py" --tripid 235-13 --locoid 4013 --swversion DE.1.0.9.0 --startMP 204:102243 --initTime 2017-05-13T23:08:01 --startdatetime 2017-05-14T01:26:32 --delay 1 --endMP 204:96829 --enddatetime 2017-05-14T02:07:17 --enforcementcount 0 &gt;&gt;C:\Users\stu\Documents\GitHub\eaglep3-reporting\EC\2017-05-13-refined-times.txt</v>
      </c>
      <c r="AI154" s="99" t="str">
        <f t="shared" si="74"/>
        <v>echo {"issue":{"subject":"CP Sable switch out of correspondence","project_id":79,"tracker_id":40,"status_id":1,"priority_id":2,"assigned_to_id":23,"start_date":"2017-05-14","description":"","custom_fields":[{"id":1,"name":"Subdivision","value":"EC"},{"id":4,"name":"Milepost","value":"9.6829"},{"id":17,"name":"Train ID","value":"235-13"},{"id":16,"name":"Locomotive ID","value":"4013"},{"id":130,"name":"Impact","value":""},{"id":150,"name":"Time of Event (Mountain Time)","value":"02:07:17"},{"id":151,"name":"Denver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5"/>
        <v>start /low /b %USERPROFILE%\Documents\GitHub\eaglep3\Utilities\DownloadLogsFromS3.py --loco 4013 --day 2017-05-14</v>
      </c>
      <c r="AN154" s="154" t="str">
        <f t="shared" si="76"/>
        <v>echo {"issue":{"subject":"CP Sable switch out of correspondence","project_id":30,"tracker_id":4,"status_id":1,"priority_id":1,"assigned_to_id":10,"start_date":"2017-05-14","description":"","custom_fields":[{"id":30,"name":"Category","value":"Issue"},{"id":3,"name":"Functional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768</v>
      </c>
      <c r="B155" s="7">
        <v>4014</v>
      </c>
      <c r="C155" s="21" t="s">
        <v>206</v>
      </c>
      <c r="D155" s="21" t="s">
        <v>202</v>
      </c>
      <c r="E155" s="13">
        <v>42868.92255787037</v>
      </c>
      <c r="F155" s="13">
        <v>42868.965648148151</v>
      </c>
      <c r="G155" s="7">
        <v>1</v>
      </c>
      <c r="H155" s="21" t="s">
        <v>938</v>
      </c>
      <c r="I155" s="13">
        <v>42868.967488425929</v>
      </c>
      <c r="J155" s="7">
        <v>0</v>
      </c>
      <c r="K155" s="92" t="str">
        <f t="shared" si="63"/>
        <v>4013/4014</v>
      </c>
      <c r="L155" s="21" t="str">
        <f>VLOOKUP(A155,'Trips&amp;Operators'!$C$1:$G$99999,5,FALSE)</f>
        <v>SWANSON BRYCE</v>
      </c>
      <c r="M155" s="6">
        <f t="shared" si="64"/>
        <v>1.8402777786832303E-3</v>
      </c>
      <c r="N155" s="7"/>
      <c r="O155" s="7"/>
      <c r="P155" s="7"/>
      <c r="Q155" s="22"/>
      <c r="R155" s="190"/>
      <c r="S155" s="196"/>
      <c r="T155" s="190" t="str">
        <f t="shared" si="65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10</v>
      </c>
      <c r="V155" s="191" t="str">
        <f t="shared" si="66"/>
        <v>https://d0f6bd738d7f1b3e5a7ca70fe4ff75f0.us-east-1.aws.found.io/app/kibana#/discover/Steve-Slow-Train-Analysis-(2080s-and-2083s)?_g=(refreshInterval:(display:Off,pause:!f,section:0,value:0),time:(from:'2017-05-13T21:08:29-0600',mode:absolute,to:'2017-05-14T00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92" t="str">
        <f t="shared" si="67"/>
        <v>Y</v>
      </c>
      <c r="X155" s="192">
        <f t="shared" si="85"/>
        <v>0</v>
      </c>
      <c r="Y155" s="192">
        <f t="shared" si="84"/>
        <v>4.5699999999999998E-2</v>
      </c>
      <c r="Z155" s="192">
        <f t="shared" si="78"/>
        <v>10.2562</v>
      </c>
      <c r="AA155" s="192">
        <f t="shared" si="68"/>
        <v>10.2105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9"/>
        <v>0235-13</v>
      </c>
      <c r="AE155" s="80" t="str">
        <f t="shared" si="70"/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AF155" s="77" t="str">
        <f t="shared" si="71"/>
        <v>"C:\Program Files (x86)\AstroGrep\AstroGrep.exe" /e /r /s /spath="%USERPROFILE%\AppData\Local\Temp\OnboardLogs" /stypes="app*4014*20170514*" /stext=" 05:.+((SYSTEM_STATE.+slice.+state.+changed )|(ment ac)|(multiple cpu faults)|(system.+state.+changed )|(\[timeout)|(PRM\|1\|D)|(kpr)|(kdp)|(train st.+moving)|(\|lc)|(penalty))"</v>
      </c>
      <c r="AG155" s="1" t="str">
        <f t="shared" si="72"/>
        <v>EC</v>
      </c>
      <c r="AH155" s="81" t="str">
        <f t="shared" si="73"/>
        <v>"%USERPROFILE%\Documents\GitHub\eaglep3\Utilities\RefineRTDCRunTimes.py" --tripid 235-13 --locoid 4014 --swversion DE.1.0.9.0 --startMP 204:457 --initTime 2017-05-13T22:08:29 --startdatetime 2017-05-13T23:10:32 --delay 1 --endMP 204:102562 --enddatetime 2017-05-13T23:13:11 --enforcementcount 0 &gt;&gt;C:\Users\stu\Documents\GitHub\eaglep3-reporting\EC\2017-05-13-refined-times.txt</v>
      </c>
      <c r="AI155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{"issue":{"subject":"","project_id":79,"tracker_id":40,"status_id":1,"priority_id":2,"assigned_to_id":23,"start_date":"2017-05-13","description":"","custom_fields":[{"id":1,"name":"Subdivision","value":"EC"},{"id":4,"name":"Milepost","value":"10.2562"},{"id":17,"name":"Train ID","value":"235-13"},{"id":16,"name":"Locomotive ID","value":"4014"},{"id":130,"name":"Impact","value":""},{"id":150,"name":"Time of Event (Mountain Time)","value":"23:13:11"},{"id":151,"name":"Denver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75"/>
        <v>start /low /b %USERPROFILE%\Documents\GitHub\eaglep3\Utilities\DownloadLogsFromS3.py --loco 4014 --day 2017-05-13</v>
      </c>
      <c r="AN155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05:13:11"},{"id":29,"name":"Sharepoint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773</v>
      </c>
      <c r="B156" s="7">
        <v>4042</v>
      </c>
      <c r="C156" s="21" t="s">
        <v>206</v>
      </c>
      <c r="D156" s="21" t="s">
        <v>825</v>
      </c>
      <c r="E156" s="13">
        <v>42868.949259259258</v>
      </c>
      <c r="F156" s="13">
        <v>42868.958472222221</v>
      </c>
      <c r="G156" s="7">
        <v>3</v>
      </c>
      <c r="H156" s="21" t="s">
        <v>939</v>
      </c>
      <c r="I156" s="13">
        <v>42868.992847222224</v>
      </c>
      <c r="J156" s="7">
        <v>0</v>
      </c>
      <c r="K156" s="92" t="str">
        <f t="shared" si="63"/>
        <v>4041/4042</v>
      </c>
      <c r="L156" s="21" t="str">
        <f>VLOOKUP(A156,'Trips&amp;Operators'!$C$1:$G$99999,5,FALSE)</f>
        <v>BROWN JACOB</v>
      </c>
      <c r="M156" s="6">
        <f t="shared" si="64"/>
        <v>3.4375000002910383E-2</v>
      </c>
      <c r="N156" s="7">
        <f t="shared" ref="N156:N187" si="86">24*60*SUM($M156:$M156)</f>
        <v>49.500000004190952</v>
      </c>
      <c r="O156" s="7"/>
      <c r="P156" s="7"/>
      <c r="Q156" s="22"/>
      <c r="R156" s="190"/>
      <c r="S156" s="196">
        <f t="shared" ref="S156:S187" si="87">SUM(U156:U156)/IF(AG156="EC",12,1)</f>
        <v>1</v>
      </c>
      <c r="T156" s="190" t="str">
        <f t="shared" si="65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66"/>
        <v>https://d0f6bd738d7f1b3e5a7ca70fe4ff75f0.us-east-1.aws.found.io/app/kibana#/discover/Steve-Slow-Train-Analysis-(2080s-and-2083s)?_g=(refreshInterval:(display:Off,pause:!f,section:0,value:0),time:(from:'2017-05-13T21:46:56-0600',mode:absolute,to:'2017-05-14T00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192" t="str">
        <f t="shared" si="67"/>
        <v>N</v>
      </c>
      <c r="X156" s="192">
        <f t="shared" si="85"/>
        <v>2</v>
      </c>
      <c r="Y156" s="192">
        <f t="shared" si="84"/>
        <v>4.8599999999999997E-2</v>
      </c>
      <c r="Z156" s="192">
        <f t="shared" si="78"/>
        <v>23.332999999999998</v>
      </c>
      <c r="AA156" s="192">
        <f t="shared" si="68"/>
        <v>23.284399999999998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9"/>
        <v>0237-13</v>
      </c>
      <c r="AE156" s="80" t="str">
        <f t="shared" si="70"/>
        <v>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 &amp; 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</v>
      </c>
      <c r="AF156" s="77" t="str">
        <f t="shared" si="71"/>
        <v>"C:\Program Files (x86)\AstroGrep\AstroGrep.exe" /e /r /s /spath="%USERPROFILE%\AppData\Local\Temp\OnboardLogs" /stypes="app*4042*20170514*" /stext=" 05:.+((SYSTEM_STATE.+slice.+state.+changed )|(ment ac)|(multiple cpu faults)|(system.+state.+changed )|(\[timeout)|(PRM\|1\|D)|(kpr)|(kdp)|(train st.+moving)|(\|lc)|(penalty))"</v>
      </c>
      <c r="AG156" s="1" t="str">
        <f t="shared" si="72"/>
        <v>EC</v>
      </c>
      <c r="AH156" s="81" t="str">
        <f t="shared" si="73"/>
        <v>"%USERPROFILE%\Documents\GitHub\eaglep3\Utilities\RefineRTDCRunTimes.py" --tripid 237-13 --locoid 4042 --swversion DE.1.0.9.0 --startMP 204:486 --initTime 2017-05-13T22:46:56 --startdatetime 2017-05-13T23:00:12 --delay 3 --endMP 204:233330 --enddatetime 2017-05-13T23:49:42 --enforcementcount 0 &gt;&gt;C:\Users\stu\Documents\GitHub\eaglep3-reporting\EC\2017-05-13-refined-times.txt</v>
      </c>
      <c r="AI156" s="99" t="str">
        <f t="shared" si="74"/>
        <v>echo {"issue":{"subject":"","project_id":79,"tracker_id":40,"status_id":1,"priority_id":2,"assigned_to_id":23,"start_date":"2017-05-13","description":"","custom_fields":[{"id":1,"name":"Subdivision","value":"EC"},{"id":4,"name":"Milepost","value":"23.333"},{"id":17,"name":"Train ID","value":"237-13"},{"id":16,"name":"Locomotive ID","value":"4042"},{"id":130,"name":"Impact","value":""},{"id":150,"name":"Time of Event (Mountain Time)","value":"23:49:42"},{"id":151,"name":"Denver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75"/>
        <v>start /low /b %USERPROFILE%\Documents\GitHub\eaglep3\Utilities\DownloadLogsFromS3.py --loco 4042 --day 2017-05-13</v>
      </c>
      <c r="AN156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05:49:42"},{"id":29,"name":"Sharepoint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776</v>
      </c>
      <c r="B157" s="7">
        <v>4041</v>
      </c>
      <c r="C157" s="21" t="s">
        <v>206</v>
      </c>
      <c r="D157" s="21" t="s">
        <v>940</v>
      </c>
      <c r="E157" s="13">
        <v>42868.999027777776</v>
      </c>
      <c r="F157" s="13">
        <v>42869.0003125</v>
      </c>
      <c r="G157" s="7">
        <v>1</v>
      </c>
      <c r="H157" s="21" t="s">
        <v>357</v>
      </c>
      <c r="I157" s="13">
        <v>42869.028425925928</v>
      </c>
      <c r="J157" s="7">
        <v>0</v>
      </c>
      <c r="K157" s="92" t="str">
        <f t="shared" si="63"/>
        <v>4041/4042</v>
      </c>
      <c r="L157" s="21" t="str">
        <f>VLOOKUP(A157,'Trips&amp;Operators'!$C$1:$G$99999,5,FALSE)</f>
        <v>BROWN JACOB</v>
      </c>
      <c r="M157" s="6">
        <f t="shared" si="64"/>
        <v>2.8113425927585922E-2</v>
      </c>
      <c r="N157" s="7">
        <f t="shared" si="86"/>
        <v>40.483333335723728</v>
      </c>
      <c r="O157" s="7"/>
      <c r="P157" s="7"/>
      <c r="Q157" s="22"/>
      <c r="R157" s="190"/>
      <c r="S157" s="196">
        <f t="shared" si="87"/>
        <v>1</v>
      </c>
      <c r="T157" s="190" t="str">
        <f t="shared" si="65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66"/>
        <v>https://d0f6bd738d7f1b3e5a7ca70fe4ff75f0.us-east-1.aws.found.io/app/kibana#/discover/Steve-Slow-Train-Analysis-(2080s-and-2083s)?_g=(refreshInterval:(display:Off,pause:!f,section:0,value:0),time:(from:'2017-05-13T22:58:36-0600',mode:absolute,to:'2017-05-14T01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192" t="str">
        <f t="shared" si="67"/>
        <v>N</v>
      </c>
      <c r="X157" s="192">
        <f t="shared" si="85"/>
        <v>1</v>
      </c>
      <c r="Y157" s="192">
        <f t="shared" si="84"/>
        <v>23.2957</v>
      </c>
      <c r="Z157" s="192">
        <f t="shared" si="78"/>
        <v>1.4999999999999999E-2</v>
      </c>
      <c r="AA157" s="192">
        <f t="shared" si="68"/>
        <v>23.2807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9"/>
        <v>0238-13</v>
      </c>
      <c r="AE157" s="80" t="str">
        <f t="shared" si="70"/>
        <v>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 &amp; 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</v>
      </c>
      <c r="AF157" s="77" t="str">
        <f t="shared" si="71"/>
        <v>"C:\Program Files (x86)\AstroGrep\AstroGrep.exe" /e /r /s /spath="%USERPROFILE%\AppData\Local\Temp\OnboardLogs" /stypes="app*4041*20170514*" /stext=" 06:.+((SYSTEM_STATE.+slice.+state.+changed )|(ment ac)|(multiple cpu faults)|(system.+state.+changed )|(\[timeout)|(PRM\|1\|D)|(kpr)|(kdp)|(train st.+moving)|(\|lc)|(penalty))"</v>
      </c>
      <c r="AG157" s="1" t="str">
        <f t="shared" si="72"/>
        <v>EC</v>
      </c>
      <c r="AH157" s="81" t="str">
        <f t="shared" si="73"/>
        <v>"%USERPROFILE%\Documents\GitHub\eaglep3\Utilities\RefineRTDCRunTimes.py" --tripid 238-13 --locoid 4041 --swversion DE.1.0.9.0 --startMP 204:232957 --initTime 2017-05-13T23:58:36 --startdatetime 2017-05-14T00:00:27 --delay 1 --endMP 204:150 --enddatetime 2017-05-14T00:40:56 --enforcementcount 0 &gt;&gt;C:\Users\stu\Documents\GitHub\eaglep3-reporting\EC\2017-05-13-refined-times.txt</v>
      </c>
      <c r="AI157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{"issue":{"subject":"","project_id":79,"tracker_id":40,"status_id":1,"priority_id":2,"assigned_to_id":23,"start_date":"2017-05-14","description":"","custom_fields":[{"id":1,"name":"Subdivision","value":"EC"},{"id":4,"name":"Milepost","value":"0.015"},{"id":17,"name":"Train ID","value":"238-13"},{"id":16,"name":"Locomotive ID","value":"4041"},{"id":130,"name":"Impact","value":""},{"id":150,"name":"Time of Event (Mountain Time)","value":"00:40:56"},{"id":151,"name":"Denver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75"/>
        <v>start /low /b %USERPROFILE%\Documents\GitHub\eaglep3\Utilities\DownloadLogsFromS3.py --loco 4041 --day 2017-05-14</v>
      </c>
      <c r="AN157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06:40:56"},{"id":29,"name":"Sharepoint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774</v>
      </c>
      <c r="B158" s="7">
        <v>4054</v>
      </c>
      <c r="C158" s="21" t="s">
        <v>206</v>
      </c>
      <c r="D158" s="21" t="s">
        <v>203</v>
      </c>
      <c r="E158" s="13">
        <v>42868.966134259259</v>
      </c>
      <c r="F158" s="13">
        <v>42868.979432870372</v>
      </c>
      <c r="G158" s="7">
        <v>1</v>
      </c>
      <c r="H158" s="21" t="s">
        <v>941</v>
      </c>
      <c r="I158" s="13">
        <v>42869.008356481485</v>
      </c>
      <c r="J158" s="7">
        <v>0</v>
      </c>
      <c r="K158" s="92" t="str">
        <f t="shared" si="63"/>
        <v>4053/4054</v>
      </c>
      <c r="L158" s="21" t="str">
        <f>VLOOKUP(A158,'Trips&amp;Operators'!$C$1:$G$99999,5,FALSE)</f>
        <v>SMITH MICHAEL</v>
      </c>
      <c r="M158" s="6">
        <f t="shared" si="64"/>
        <v>2.8923611112986691E-2</v>
      </c>
      <c r="N158" s="7">
        <f t="shared" si="86"/>
        <v>41.650000002700835</v>
      </c>
      <c r="O158" s="7"/>
      <c r="P158" s="7"/>
      <c r="Q158" s="22"/>
      <c r="R158" s="190"/>
      <c r="S158" s="196">
        <f t="shared" si="87"/>
        <v>1</v>
      </c>
      <c r="T158" s="190" t="str">
        <f t="shared" si="65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66"/>
        <v>https://d0f6bd738d7f1b3e5a7ca70fe4ff75f0.us-east-1.aws.found.io/app/kibana#/discover/Steve-Slow-Train-Analysis-(2080s-and-2083s)?_g=(refreshInterval:(display:Off,pause:!f,section:0,value:0),time:(from:'2017-05-13T22:11:14-0600',mode:absolute,to:'2017-05-14T01:12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92" t="str">
        <f t="shared" si="67"/>
        <v>N</v>
      </c>
      <c r="X158" s="192">
        <f t="shared" si="85"/>
        <v>1</v>
      </c>
      <c r="Y158" s="192">
        <f t="shared" si="84"/>
        <v>4.5999999999999999E-2</v>
      </c>
      <c r="Z158" s="192">
        <f t="shared" si="78"/>
        <v>23.326799999999999</v>
      </c>
      <c r="AA158" s="192">
        <f t="shared" si="68"/>
        <v>23.280799999999999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9"/>
        <v>0239-13</v>
      </c>
      <c r="AE158" s="80" t="str">
        <f t="shared" si="70"/>
        <v>aws s3 cp s3://rtdc.mdm.uploadarchive.raw/RTDC4054/ "%USERPROFILE%\AppData\Local\Temp\OnboardLogs"\RTDC4054\2017-05-13 --exclude "*" --recursive --include "*20170513*" &amp; "%USERPROFILE%\Documents\GitHub\mrs-test-scripts\Headless Mode &amp; Sideloading\WalkAndUnGZ.bat" "%USERPROFILE%\AppData\Local\Temp\OnboardLogs"\RTDC4054\2017-05-13 &amp; 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</v>
      </c>
      <c r="AF158" s="77" t="str">
        <f t="shared" si="71"/>
        <v>"C:\Program Files (x86)\AstroGrep\AstroGrep.exe" /e /r /s /spath="%USERPROFILE%\AppData\Local\Temp\OnboardLogs" /stypes="app*4054*20170514*" /stext=" 06:.+((SYSTEM_STATE.+slice.+state.+changed )|(ment ac)|(multiple cpu faults)|(system.+state.+changed )|(\[timeout)|(PRM\|1\|D)|(kpr)|(kdp)|(train st.+moving)|(\|lc)|(penalty))"</v>
      </c>
      <c r="AG158" s="1" t="str">
        <f t="shared" si="72"/>
        <v>EC</v>
      </c>
      <c r="AH158" s="81" t="str">
        <f t="shared" si="73"/>
        <v>"%USERPROFILE%\Documents\GitHub\eaglep3\Utilities\RefineRTDCRunTimes.py" --tripid 239-13 --locoid 4054 --swversion DE.1.0.9.0 --startMP 204:460 --initTime 2017-05-13T23:11:14 --startdatetime 2017-05-13T23:30:23 --delay 1 --endMP 204:233268 --enddatetime 2017-05-14T00:12:02 --enforcementcount 0 &gt;&gt;C:\Users\stu\Documents\GitHub\eaglep3-reporting\EC\2017-05-13-refined-times.txt</v>
      </c>
      <c r="AI158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{"issue":{"subject":"","project_id":79,"tracker_id":40,"status_id":1,"priority_id":2,"assigned_to_id":23,"start_date":"2017-05-14","description":"","custom_fields":[{"id":1,"name":"Subdivision","value":"EC"},{"id":4,"name":"Milepost","value":"23.3268"},{"id":17,"name":"Train ID","value":"239-13"},{"id":16,"name":"Locomotive ID","value":"4054"},{"id":130,"name":"Impact","value":""},{"id":150,"name":"Time of Event (Mountain Time)","value":"00:12:02"},{"id":151,"name":"Denver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75"/>
        <v>start /low /b %USERPROFILE%\Documents\GitHub\eaglep3\Utilities\DownloadLogsFromS3.py --loco 4054 --day 2017-05-13</v>
      </c>
      <c r="AN158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06:12:02"},{"id":29,"name":"Sharepoint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580</v>
      </c>
      <c r="B159" s="7">
        <v>4053</v>
      </c>
      <c r="C159" s="21" t="s">
        <v>206</v>
      </c>
      <c r="D159" s="21" t="s">
        <v>444</v>
      </c>
      <c r="E159" s="13">
        <v>42869.01152777778</v>
      </c>
      <c r="F159" s="13">
        <v>42869.018449074072</v>
      </c>
      <c r="G159" s="7">
        <v>1</v>
      </c>
      <c r="H159" s="21" t="s">
        <v>525</v>
      </c>
      <c r="I159" s="13">
        <v>42869.045740740738</v>
      </c>
      <c r="J159" s="7">
        <v>0</v>
      </c>
      <c r="K159" s="92" t="str">
        <f t="shared" si="63"/>
        <v>4053/4054</v>
      </c>
      <c r="L159" s="21" t="str">
        <f>VLOOKUP(A159,'Trips&amp;Operators'!$C$1:$G$99999,5,FALSE)</f>
        <v>SMITH MICHAEL</v>
      </c>
      <c r="M159" s="6">
        <f t="shared" si="64"/>
        <v>2.7291666665405501E-2</v>
      </c>
      <c r="N159" s="7">
        <f t="shared" si="86"/>
        <v>39.299999998183921</v>
      </c>
      <c r="O159" s="7"/>
      <c r="P159" s="7"/>
      <c r="Q159" s="22"/>
      <c r="R159" s="190"/>
      <c r="S159" s="196">
        <f t="shared" si="87"/>
        <v>1</v>
      </c>
      <c r="T159" s="190" t="str">
        <f t="shared" si="65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66"/>
        <v>https://d0f6bd738d7f1b3e5a7ca70fe4ff75f0.us-east-1.aws.found.io/app/kibana#/discover/Steve-Slow-Train-Analysis-(2080s-and-2083s)?_g=(refreshInterval:(display:Off,pause:!f,section:0,value:0),time:(from:'2017-05-13T23:16:36-0600',mode:absolute,to:'2017-05-14T02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192" t="str">
        <f t="shared" si="67"/>
        <v>N</v>
      </c>
      <c r="X159" s="192">
        <f t="shared" si="85"/>
        <v>1</v>
      </c>
      <c r="Y159" s="192">
        <f t="shared" si="84"/>
        <v>23.297699999999999</v>
      </c>
      <c r="Z159" s="192">
        <f t="shared" si="78"/>
        <v>1.61E-2</v>
      </c>
      <c r="AA159" s="192">
        <f t="shared" si="68"/>
        <v>23.281599999999997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9"/>
        <v>0240-13</v>
      </c>
      <c r="AE159" s="80" t="str">
        <f t="shared" si="70"/>
        <v>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 &amp; aws s3 cp s3://rtdc.mdm.uploadarchive.raw/RTDC4053/ "%USERPROFILE%\AppData\Local\Temp\OnboardLogs"\RTDC4053\2017-05-15 --exclude "*" --recursive --include "*20170515*" &amp; "%USERPROFILE%\Documents\GitHub\mrs-test-scripts\Headless Mode &amp; Sideloading\WalkAndUnGZ.bat" "%USERPROFILE%\AppData\Local\Temp\OnboardLogs"\RTDC4053\2017-05-15</v>
      </c>
      <c r="AF159" s="77" t="str">
        <f t="shared" si="71"/>
        <v>"C:\Program Files (x86)\AstroGrep\AstroGrep.exe" /e /r /s /spath="%USERPROFILE%\AppData\Local\Temp\OnboardLogs" /stypes="app*4053*20170514*" /stext=" 07:.+((SYSTEM_STATE.+slice.+state.+changed )|(ment ac)|(multiple cpu faults)|(system.+state.+changed )|(\[timeout)|(PRM\|1\|D)|(kpr)|(kdp)|(train st.+moving)|(\|lc)|(penalty))"</v>
      </c>
      <c r="AG159" s="1" t="str">
        <f t="shared" si="72"/>
        <v>EC</v>
      </c>
      <c r="AH159" s="81" t="str">
        <f t="shared" si="73"/>
        <v>"%USERPROFILE%\Documents\GitHub\eaglep3\Utilities\RefineRTDCRunTimes.py" --tripid 240-13 --locoid 4053 --swversion DE.1.0.9.0 --startMP 204:232977 --initTime 2017-05-14T00:16:36 --startdatetime 2017-05-14T00:26:34 --delay 1 --endMP 204:161 --enddatetime 2017-05-14T01:05:52 --enforcementcount 0 &gt;&gt;C:\Users\stu\Documents\GitHub\eaglep3-reporting\EC\2017-05-13-refined-times.txt</v>
      </c>
      <c r="AI159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{"issue":{"subject":"","project_id":79,"tracker_id":40,"status_id":1,"priority_id":2,"assigned_to_id":23,"start_date":"2017-05-14","description":"","custom_fields":[{"id":1,"name":"Subdivision","value":"EC"},{"id":4,"name":"Milepost","value":"0.0161"},{"id":17,"name":"Train ID","value":"240-13"},{"id":16,"name":"Locomotive ID","value":"4053"},{"id":130,"name":"Impact","value":""},{"id":150,"name":"Time of Event (Mountain Time)","value":"01:05:52"},{"id":151,"name":"Denver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75"/>
        <v>start /low /b %USERPROFILE%\Documents\GitHub\eaglep3\Utilities\DownloadLogsFromS3.py --loco 4053 --day 2017-05-14</v>
      </c>
      <c r="AN159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07:05:52"},{"id":29,"name":"Sharepoint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775</v>
      </c>
      <c r="B160" s="7">
        <v>4004</v>
      </c>
      <c r="C160" s="21" t="s">
        <v>206</v>
      </c>
      <c r="D160" s="21" t="s">
        <v>202</v>
      </c>
      <c r="E160" s="13">
        <v>42868.987511574072</v>
      </c>
      <c r="F160" s="13">
        <v>42869.000138888892</v>
      </c>
      <c r="G160" s="7">
        <v>1</v>
      </c>
      <c r="H160" s="21" t="s">
        <v>389</v>
      </c>
      <c r="I160" s="13">
        <v>42869.02652777778</v>
      </c>
      <c r="J160" s="7">
        <v>0</v>
      </c>
      <c r="K160" s="92" t="str">
        <f t="shared" si="63"/>
        <v>4003/4004</v>
      </c>
      <c r="L160" s="21" t="str">
        <f>VLOOKUP(A160,'Trips&amp;Operators'!$C$1:$G$99999,5,FALSE)</f>
        <v>DUNCAN SHEILA</v>
      </c>
      <c r="M160" s="6">
        <f t="shared" si="64"/>
        <v>2.6388888887595385E-2</v>
      </c>
      <c r="N160" s="7">
        <f t="shared" si="86"/>
        <v>37.999999998137355</v>
      </c>
      <c r="O160" s="7"/>
      <c r="P160" s="7"/>
      <c r="Q160" s="22"/>
      <c r="R160" s="190"/>
      <c r="S160" s="196">
        <f t="shared" si="87"/>
        <v>1</v>
      </c>
      <c r="T160" s="190" t="str">
        <f t="shared" si="65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1" t="str">
        <f t="shared" si="66"/>
        <v>https://d0f6bd738d7f1b3e5a7ca70fe4ff75f0.us-east-1.aws.found.io/app/kibana#/discover/Steve-Slow-Train-Analysis-(2080s-and-2083s)?_g=(refreshInterval:(display:Off,pause:!f,section:0,value:0),time:(from:'2017-05-13T22:42:01-0600',mode:absolute,to:'2017-05-14T01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0" s="192" t="str">
        <f t="shared" si="67"/>
        <v>N</v>
      </c>
      <c r="X160" s="192">
        <f t="shared" si="85"/>
        <v>1</v>
      </c>
      <c r="Y160" s="192">
        <f t="shared" si="84"/>
        <v>4.5699999999999998E-2</v>
      </c>
      <c r="Z160" s="192">
        <f t="shared" si="78"/>
        <v>23.331199999999999</v>
      </c>
      <c r="AA160" s="192">
        <f t="shared" si="68"/>
        <v>23.285499999999999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9"/>
        <v>0241-13</v>
      </c>
      <c r="AE160" s="80" t="str">
        <f t="shared" si="70"/>
        <v>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 &amp; aws s3 cp s3://rtdc.mdm.uploadarchive.raw/RTDC4004/ "%USERPROFILE%\AppData\Local\Temp\OnboardLogs"\RTDC4004\2017-05-15 --exclude "*" --recursive --include "*20170515*" &amp; "%USERPROFILE%\Documents\GitHub\mrs-test-scripts\Headless Mode &amp; Sideloading\WalkAndUnGZ.bat" "%USERPROFILE%\AppData\Local\Temp\OnboardLogs"\RTDC4004\2017-05-15</v>
      </c>
      <c r="AF160" s="77" t="str">
        <f t="shared" si="71"/>
        <v>"C:\Program Files (x86)\AstroGrep\AstroGrep.exe" /e /r /s /spath="%USERPROFILE%\AppData\Local\Temp\OnboardLogs" /stypes="app*4004*20170514*" /stext=" 06:.+((SYSTEM_STATE.+slice.+state.+changed )|(ment ac)|(multiple cpu faults)|(system.+state.+changed )|(\[timeout)|(PRM\|1\|D)|(kpr)|(kdp)|(train st.+moving)|(\|lc)|(penalty))"</v>
      </c>
      <c r="AG160" s="1" t="str">
        <f t="shared" si="72"/>
        <v>EC</v>
      </c>
      <c r="AH160" s="81" t="str">
        <f t="shared" si="73"/>
        <v>"%USERPROFILE%\Documents\GitHub\eaglep3\Utilities\RefineRTDCRunTimes.py" --tripid 241-13 --locoid 4004 --swversion DE.1.0.9.0 --startMP 204:457 --initTime 2017-05-13T23:42:01 --startdatetime 2017-05-14T00:00:12 --delay 1 --endMP 204:233312 --enddatetime 2017-05-14T00:38:12 --enforcementcount 0 &gt;&gt;C:\Users\stu\Documents\GitHub\eaglep3-reporting\EC\2017-05-13-refined-times.txt</v>
      </c>
      <c r="AI160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{"issue":{"subject":"","project_id":79,"tracker_id":40,"status_id":1,"priority_id":2,"assigned_to_id":23,"start_date":"2017-05-14","description":"","custom_fields":[{"id":1,"name":"Subdivision","value":"EC"},{"id":4,"name":"Milepost","value":"23.3312"},{"id":17,"name":"Train ID","value":"241-13"},{"id":16,"name":"Locomotive ID","value":"4004"},{"id":130,"name":"Impact","value":""},{"id":150,"name":"Time of Event (Mountain Time)","value":"00:38:12"},{"id":151,"name":"Denver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75"/>
        <v>start /low /b %USERPROFILE%\Documents\GitHub\eaglep3\Utilities\DownloadLogsFromS3.py --loco 4004 --day 2017-05-14</v>
      </c>
      <c r="AN160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06:38:12"},{"id":29,"name":"Sharepoint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778</v>
      </c>
      <c r="B161" s="7">
        <v>4003</v>
      </c>
      <c r="C161" s="21" t="s">
        <v>206</v>
      </c>
      <c r="D161" s="21" t="s">
        <v>942</v>
      </c>
      <c r="E161" s="13">
        <v>42869.029108796298</v>
      </c>
      <c r="F161" s="13">
        <v>42869.039421296293</v>
      </c>
      <c r="G161" s="7">
        <v>1</v>
      </c>
      <c r="H161" s="21" t="s">
        <v>513</v>
      </c>
      <c r="I161" s="13">
        <v>42869.067048611112</v>
      </c>
      <c r="J161" s="7">
        <v>0</v>
      </c>
      <c r="K161" s="92" t="str">
        <f t="shared" si="63"/>
        <v>4003/4004</v>
      </c>
      <c r="L161" s="21" t="str">
        <f>VLOOKUP(A161,'Trips&amp;Operators'!$C$1:$G$99999,5,FALSE)</f>
        <v>DUNCAN SHEILA</v>
      </c>
      <c r="M161" s="6">
        <f t="shared" si="64"/>
        <v>2.7627314819255844E-2</v>
      </c>
      <c r="N161" s="7">
        <f t="shared" si="86"/>
        <v>39.783333339728415</v>
      </c>
      <c r="O161" s="7"/>
      <c r="P161" s="7"/>
      <c r="Q161" s="22"/>
      <c r="R161" s="190"/>
      <c r="S161" s="196">
        <f t="shared" si="87"/>
        <v>1</v>
      </c>
      <c r="T161" s="190" t="str">
        <f t="shared" si="65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1" t="str">
        <f t="shared" si="66"/>
        <v>https://d0f6bd738d7f1b3e5a7ca70fe4ff75f0.us-east-1.aws.found.io/app/kibana#/discover/Steve-Slow-Train-Analysis-(2080s-and-2083s)?_g=(refreshInterval:(display:Off,pause:!f,section:0,value:0),time:(from:'2017-05-13T23:41:55-0600',mode:absolute,to:'2017-05-14T02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1" s="192" t="str">
        <f t="shared" si="67"/>
        <v>N</v>
      </c>
      <c r="X161" s="192">
        <f t="shared" si="85"/>
        <v>1</v>
      </c>
      <c r="Y161" s="192">
        <f t="shared" si="84"/>
        <v>23.297999999999998</v>
      </c>
      <c r="Z161" s="192">
        <f t="shared" si="78"/>
        <v>1.54E-2</v>
      </c>
      <c r="AA161" s="192">
        <f t="shared" si="68"/>
        <v>23.282599999999999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9"/>
        <v>0242-13</v>
      </c>
      <c r="AE161" s="80" t="str">
        <f t="shared" si="70"/>
        <v>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 &amp; aws s3 cp s3://rtdc.mdm.uploadarchive.raw/RTDC4003/ "%USERPROFILE%\AppData\Local\Temp\OnboardLogs"\RTDC4003\2017-05-15 --exclude "*" --recursive --include "*20170515*" &amp; "%USERPROFILE%\Documents\GitHub\mrs-test-scripts\Headless Mode &amp; Sideloading\WalkAndUnGZ.bat" "%USERPROFILE%\AppData\Local\Temp\OnboardLogs"\RTDC4003\2017-05-15</v>
      </c>
      <c r="AF161" s="77" t="str">
        <f t="shared" si="71"/>
        <v>"C:\Program Files (x86)\AstroGrep\AstroGrep.exe" /e /r /s /spath="%USERPROFILE%\AppData\Local\Temp\OnboardLogs" /stypes="app*4003*20170514*" /stext=" 07:.+((SYSTEM_STATE.+slice.+state.+changed )|(ment ac)|(multiple cpu faults)|(system.+state.+changed )|(\[timeout)|(PRM\|1\|D)|(kpr)|(kdp)|(train st.+moving)|(\|lc)|(penalty))"</v>
      </c>
      <c r="AG161" s="1" t="str">
        <f t="shared" si="72"/>
        <v>EC</v>
      </c>
      <c r="AH161" s="81" t="str">
        <f t="shared" si="73"/>
        <v>"%USERPROFILE%\Documents\GitHub\eaglep3\Utilities\RefineRTDCRunTimes.py" --tripid 242-13 --locoid 4003 --swversion DE.1.0.9.0 --startMP 204:232980 --initTime 2017-05-14T00:41:55 --startdatetime 2017-05-14T00:56:46 --delay 1 --endMP 204:154 --enddatetime 2017-05-14T01:36:33 --enforcementcount 0 &gt;&gt;C:\Users\stu\Documents\GitHub\eaglep3-reporting\EC\2017-05-13-refined-times.txt</v>
      </c>
      <c r="AI161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{"issue":{"subject":"","project_id":79,"tracker_id":40,"status_id":1,"priority_id":2,"assigned_to_id":23,"start_date":"2017-05-14","description":"","custom_fields":[{"id":1,"name":"Subdivision","value":"EC"},{"id":4,"name":"Milepost","value":"0.0154"},{"id":17,"name":"Train ID","value":"242-13"},{"id":16,"name":"Locomotive ID","value":"4003"},{"id":130,"name":"Impact","value":""},{"id":150,"name":"Time of Event (Mountain Time)","value":"01:36:33"},{"id":151,"name":"Denver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75"/>
        <v>start /low /b %USERPROFILE%\Documents\GitHub\eaglep3\Utilities\DownloadLogsFromS3.py --loco 4003 --day 2017-05-14</v>
      </c>
      <c r="AN161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07:36:33"},{"id":29,"name":"Sharepoint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777</v>
      </c>
      <c r="B162" s="7">
        <v>4014</v>
      </c>
      <c r="C162" s="21" t="s">
        <v>206</v>
      </c>
      <c r="D162" s="21" t="s">
        <v>375</v>
      </c>
      <c r="E162" s="13">
        <v>42869.00240740741</v>
      </c>
      <c r="F162" s="13">
        <v>42869.021134259259</v>
      </c>
      <c r="G162" s="7">
        <v>1</v>
      </c>
      <c r="H162" s="21" t="s">
        <v>943</v>
      </c>
      <c r="I162" s="13">
        <v>42869.046655092592</v>
      </c>
      <c r="J162" s="7">
        <v>0</v>
      </c>
      <c r="K162" s="92" t="str">
        <f t="shared" si="63"/>
        <v>4013/4014</v>
      </c>
      <c r="L162" s="21" t="str">
        <f>VLOOKUP(A162,'Trips&amp;Operators'!$C$1:$G$99999,5,FALSE)</f>
        <v>SWANSON BRYCE</v>
      </c>
      <c r="M162" s="6">
        <f t="shared" si="64"/>
        <v>2.5520833332848269E-2</v>
      </c>
      <c r="N162" s="7">
        <f t="shared" si="86"/>
        <v>36.749999999301508</v>
      </c>
      <c r="O162" s="7"/>
      <c r="P162" s="7"/>
      <c r="Q162" s="22"/>
      <c r="R162" s="190"/>
      <c r="S162" s="196">
        <f t="shared" si="87"/>
        <v>1</v>
      </c>
      <c r="T162" s="190" t="str">
        <f t="shared" si="65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1" t="str">
        <f t="shared" si="66"/>
        <v>https://d0f6bd738d7f1b3e5a7ca70fe4ff75f0.us-east-1.aws.found.io/app/kibana#/discover/Steve-Slow-Train-Analysis-(2080s-and-2083s)?_g=(refreshInterval:(display:Off,pause:!f,section:0,value:0),time:(from:'2017-05-13T23:03:28-0600',mode:absolute,to:'2017-05-14T02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192" t="str">
        <f t="shared" si="67"/>
        <v>N</v>
      </c>
      <c r="X162" s="192">
        <f t="shared" si="85"/>
        <v>1</v>
      </c>
      <c r="Y162" s="192">
        <f t="shared" si="84"/>
        <v>4.4200000000000003E-2</v>
      </c>
      <c r="Z162" s="192">
        <f t="shared" si="78"/>
        <v>23.337599999999998</v>
      </c>
      <c r="AA162" s="192">
        <f t="shared" si="68"/>
        <v>23.293399999999998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9"/>
        <v>0243-13</v>
      </c>
      <c r="AE162" s="80" t="str">
        <f t="shared" si="70"/>
        <v>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 &amp; 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</v>
      </c>
      <c r="AF162" s="77" t="str">
        <f t="shared" si="71"/>
        <v>"C:\Program Files (x86)\AstroGrep\AstroGrep.exe" /e /r /s /spath="%USERPROFILE%\AppData\Local\Temp\OnboardLogs" /stypes="app*4014*20170514*" /stext=" 07:.+((SYSTEM_STATE.+slice.+state.+changed )|(ment ac)|(multiple cpu faults)|(system.+state.+changed )|(\[timeout)|(PRM\|1\|D)|(kpr)|(kdp)|(train st.+moving)|(\|lc)|(penalty))"</v>
      </c>
      <c r="AG162" s="1" t="str">
        <f t="shared" si="72"/>
        <v>EC</v>
      </c>
      <c r="AH162" s="81" t="str">
        <f t="shared" si="73"/>
        <v>"%USERPROFILE%\Documents\GitHub\eaglep3\Utilities\RefineRTDCRunTimes.py" --tripid 243-13 --locoid 4014 --swversion DE.1.0.9.0 --startMP 204:442 --initTime 2017-05-14T00:03:28 --startdatetime 2017-05-14T00:30:26 --delay 1 --endMP 204:233376 --enddatetime 2017-05-14T01:07:11 --enforcementcount 0 &gt;&gt;C:\Users\stu\Documents\GitHub\eaglep3-reporting\EC\2017-05-13-refined-times.txt</v>
      </c>
      <c r="AI162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{"issue":{"subject":"","project_id":79,"tracker_id":40,"status_id":1,"priority_id":2,"assigned_to_id":23,"start_date":"2017-05-14","description":"","custom_fields":[{"id":1,"name":"Subdivision","value":"EC"},{"id":4,"name":"Milepost","value":"23.3376"},{"id":17,"name":"Train ID","value":"243-13"},{"id":16,"name":"Locomotive ID","value":"4014"},{"id":130,"name":"Impact","value":""},{"id":150,"name":"Time of Event (Mountain Time)","value":"01:07:11"},{"id":151,"name":"Denver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75"/>
        <v>start /low /b %USERPROFILE%\Documents\GitHub\eaglep3\Utilities\DownloadLogsFromS3.py --loco 4014 --day 2017-05-14</v>
      </c>
      <c r="AN162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07:07:11"},{"id":29,"name":"Sharepoint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781</v>
      </c>
      <c r="B163" s="7">
        <v>4013</v>
      </c>
      <c r="C163" s="21" t="s">
        <v>206</v>
      </c>
      <c r="D163" s="21" t="s">
        <v>944</v>
      </c>
      <c r="E163" s="13">
        <v>42869.056527777779</v>
      </c>
      <c r="F163" s="13">
        <v>42869.06009259259</v>
      </c>
      <c r="G163" s="7">
        <v>2</v>
      </c>
      <c r="H163" s="21" t="s">
        <v>514</v>
      </c>
      <c r="I163" s="13">
        <v>42869.088391203702</v>
      </c>
      <c r="J163" s="7">
        <v>0</v>
      </c>
      <c r="K163" s="92" t="str">
        <f t="shared" si="63"/>
        <v>4013/4014</v>
      </c>
      <c r="L163" s="21" t="str">
        <f>VLOOKUP(A163,'Trips&amp;Operators'!$C$1:$G$99999,5,FALSE)</f>
        <v>SWANSON BRYCE</v>
      </c>
      <c r="M163" s="6">
        <f t="shared" si="64"/>
        <v>2.8298611112404615E-2</v>
      </c>
      <c r="N163" s="7">
        <f t="shared" si="86"/>
        <v>40.750000001862645</v>
      </c>
      <c r="O163" s="7"/>
      <c r="P163" s="7"/>
      <c r="Q163" s="22"/>
      <c r="R163" s="190"/>
      <c r="S163" s="196">
        <f t="shared" si="87"/>
        <v>1</v>
      </c>
      <c r="T163" s="190" t="str">
        <f t="shared" si="65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91" t="str">
        <f t="shared" si="66"/>
        <v>https://d0f6bd738d7f1b3e5a7ca70fe4ff75f0.us-east-1.aws.found.io/app/kibana#/discover/Steve-Slow-Train-Analysis-(2080s-and-2083s)?_g=(refreshInterval:(display:Off,pause:!f,section:0,value:0),time:(from:'2017-05-14T00:21:24-0600',mode:absolute,to:'2017-05-14T03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192" t="str">
        <f t="shared" si="67"/>
        <v>N</v>
      </c>
      <c r="X163" s="192">
        <f t="shared" si="85"/>
        <v>1</v>
      </c>
      <c r="Y163" s="192">
        <f t="shared" si="84"/>
        <v>23.307700000000001</v>
      </c>
      <c r="Z163" s="192">
        <f t="shared" si="78"/>
        <v>1.6299999999999999E-2</v>
      </c>
      <c r="AA163" s="192">
        <f t="shared" si="68"/>
        <v>23.291399999999999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9"/>
        <v>0244-13</v>
      </c>
      <c r="AE163" s="80" t="str">
        <f t="shared" si="70"/>
        <v>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 &amp; 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</v>
      </c>
      <c r="AF163" s="77" t="str">
        <f t="shared" si="71"/>
        <v>"C:\Program Files (x86)\AstroGrep\AstroGrep.exe" /e /r /s /spath="%USERPROFILE%\AppData\Local\Temp\OnboardLogs" /stypes="app*4013*20170514*" /stext=" 08:.+((SYSTEM_STATE.+slice.+state.+changed )|(ment ac)|(multiple cpu faults)|(system.+state.+changed )|(\[timeout)|(PRM\|1\|D)|(kpr)|(kdp)|(train st.+moving)|(\|lc)|(penalty))"</v>
      </c>
      <c r="AG163" s="1" t="str">
        <f t="shared" si="72"/>
        <v>EC</v>
      </c>
      <c r="AH163" s="81" t="str">
        <f t="shared" si="73"/>
        <v>"%USERPROFILE%\Documents\GitHub\eaglep3\Utilities\RefineRTDCRunTimes.py" --tripid 244-13 --locoid 4013 --swversion DE.1.0.9.0 --startMP 204:233077 --initTime 2017-05-14T01:21:24 --startdatetime 2017-05-14T01:26:32 --delay 2 --endMP 204:163 --enddatetime 2017-05-14T02:07:17 --enforcementcount 0 &gt;&gt;C:\Users\stu\Documents\GitHub\eaglep3-reporting\EC\2017-05-13-refined-times.txt</v>
      </c>
      <c r="AI163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{"issue":{"subject":"","project_id":79,"tracker_id":40,"status_id":1,"priority_id":2,"assigned_to_id":23,"start_date":"2017-05-14","description":"","custom_fields":[{"id":1,"name":"Subdivision","value":"EC"},{"id":4,"name":"Milepost","value":"0.0163"},{"id":17,"name":"Train ID","value":"244-13"},{"id":16,"name":"Locomotive ID","value":"4013"},{"id":130,"name":"Impact","value":""},{"id":150,"name":"Time of Event (Mountain Time)","value":"02:07:17"},{"id":151,"name":"Denver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5"/>
        <v>start /low /b %USERPROFILE%\Documents\GitHub\eaglep3\Utilities\DownloadLogsFromS3.py --loco 4013 --day 2017-05-14</v>
      </c>
      <c r="AN163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779</v>
      </c>
      <c r="B164" s="7">
        <v>4042</v>
      </c>
      <c r="C164" s="21" t="s">
        <v>206</v>
      </c>
      <c r="D164" s="21" t="s">
        <v>390</v>
      </c>
      <c r="E164" s="13">
        <v>42869.036504629628</v>
      </c>
      <c r="F164" s="13">
        <v>42869.041828703703</v>
      </c>
      <c r="G164" s="7">
        <v>1</v>
      </c>
      <c r="H164" s="21" t="s">
        <v>389</v>
      </c>
      <c r="I164" s="13">
        <v>42869.068333333336</v>
      </c>
      <c r="J164" s="7">
        <v>0</v>
      </c>
      <c r="K164" s="92" t="str">
        <f t="shared" si="63"/>
        <v>4041/4042</v>
      </c>
      <c r="L164" s="21" t="str">
        <f>VLOOKUP(A164,'Trips&amp;Operators'!$C$1:$G$99999,5,FALSE)</f>
        <v>BROWN JACOB</v>
      </c>
      <c r="M164" s="6">
        <f t="shared" si="64"/>
        <v>2.6504629633564036E-2</v>
      </c>
      <c r="N164" s="7">
        <f t="shared" si="86"/>
        <v>38.166666672332212</v>
      </c>
      <c r="O164" s="7"/>
      <c r="P164" s="7"/>
      <c r="Q164" s="22"/>
      <c r="R164" s="190"/>
      <c r="S164" s="196">
        <f t="shared" si="87"/>
        <v>1</v>
      </c>
      <c r="T164" s="190" t="str">
        <f t="shared" si="65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191" t="str">
        <f t="shared" si="66"/>
        <v>https://d0f6bd738d7f1b3e5a7ca70fe4ff75f0.us-east-1.aws.found.io/app/kibana#/discover/Steve-Slow-Train-Analysis-(2080s-and-2083s)?_g=(refreshInterval:(display:Off,pause:!f,section:0,value:0),time:(from:'2017-05-13T23:52:34-0600',mode:absolute,to:'2017-05-14T02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192" t="str">
        <f t="shared" si="67"/>
        <v>N</v>
      </c>
      <c r="X164" s="192">
        <f t="shared" ref="X164:X170" si="88">VALUE(LEFT(AD164,4))-VALUE(LEFT(AD163,4))</f>
        <v>1</v>
      </c>
      <c r="Y164" s="192">
        <f t="shared" si="84"/>
        <v>4.7800000000000002E-2</v>
      </c>
      <c r="Z164" s="192">
        <f t="shared" si="78"/>
        <v>23.331199999999999</v>
      </c>
      <c r="AA164" s="192">
        <f t="shared" si="68"/>
        <v>23.2834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9"/>
        <v>0245-13</v>
      </c>
      <c r="AE164" s="80" t="str">
        <f t="shared" si="70"/>
        <v>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 &amp; 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</v>
      </c>
      <c r="AF164" s="77" t="str">
        <f t="shared" si="71"/>
        <v>"C:\Program Files (x86)\AstroGrep\AstroGrep.exe" /e /r /s /spath="%USERPROFILE%\AppData\Local\Temp\OnboardLogs" /stypes="app*4042*20170514*" /stext=" 07:.+((SYSTEM_STATE.+slice.+state.+changed )|(ment ac)|(multiple cpu faults)|(system.+state.+changed )|(\[timeout)|(PRM\|1\|D)|(kpr)|(kdp)|(train st.+moving)|(\|lc)|(penalty))"</v>
      </c>
      <c r="AG164" s="1" t="str">
        <f t="shared" si="72"/>
        <v>EC</v>
      </c>
      <c r="AH164" s="81" t="str">
        <f t="shared" si="73"/>
        <v>"%USERPROFILE%\Documents\GitHub\eaglep3\Utilities\RefineRTDCRunTimes.py" --tripid 245-13 --locoid 4042 --swversion DE.1.0.9.0 --startMP 204:478 --initTime 2017-05-14T00:52:34 --startdatetime 2017-05-14T01:00:14 --delay 1 --endMP 204:233312 --enddatetime 2017-05-14T01:38:24 --enforcementcount 0 &gt;&gt;C:\Users\stu\Documents\GitHub\eaglep3-reporting\EC\2017-05-13-refined-times.txt</v>
      </c>
      <c r="AI164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{"issue":{"subject":"","project_id":79,"tracker_id":40,"status_id":1,"priority_id":2,"assigned_to_id":23,"start_date":"2017-05-14","description":"","custom_fields":[{"id":1,"name":"Subdivision","value":"EC"},{"id":4,"name":"Milepost","value":"23.3312"},{"id":17,"name":"Train ID","value":"245-13"},{"id":16,"name":"Locomotive ID","value":"4042"},{"id":130,"name":"Impact","value":""},{"id":150,"name":"Time of Event (Mountain Time)","value":"01:38:24"},{"id":151,"name":"Denver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5"/>
        <v>start /low /b %USERPROFILE%\Documents\GitHub\eaglep3\Utilities\DownloadLogsFromS3.py --loco 4042 --day 2017-05-14</v>
      </c>
      <c r="AN164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07:38:24"},{"id":29,"name":"Sharepoint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783</v>
      </c>
      <c r="B165" s="7">
        <v>4041</v>
      </c>
      <c r="C165" s="21" t="s">
        <v>206</v>
      </c>
      <c r="D165" s="21" t="s">
        <v>795</v>
      </c>
      <c r="E165" s="13">
        <v>42869.07435185185</v>
      </c>
      <c r="F165" s="13">
        <v>42869.081030092595</v>
      </c>
      <c r="G165" s="7">
        <v>4</v>
      </c>
      <c r="H165" s="21" t="s">
        <v>198</v>
      </c>
      <c r="I165" s="13">
        <v>42869.109247685185</v>
      </c>
      <c r="J165" s="7">
        <v>0</v>
      </c>
      <c r="K165" s="92" t="str">
        <f t="shared" si="63"/>
        <v>4041/4042</v>
      </c>
      <c r="L165" s="21" t="str">
        <f>VLOOKUP(A165,'Trips&amp;Operators'!$C$1:$G$99999,5,FALSE)</f>
        <v>BROWN JACOB</v>
      </c>
      <c r="M165" s="6">
        <f t="shared" si="64"/>
        <v>2.8217592589498963E-2</v>
      </c>
      <c r="N165" s="7">
        <f t="shared" si="86"/>
        <v>40.633333328878507</v>
      </c>
      <c r="O165" s="7"/>
      <c r="P165" s="7"/>
      <c r="Q165" s="22"/>
      <c r="R165" s="190"/>
      <c r="S165" s="196">
        <f t="shared" si="87"/>
        <v>1</v>
      </c>
      <c r="T165" s="190" t="str">
        <f t="shared" si="65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191" t="str">
        <f t="shared" si="66"/>
        <v>https://d0f6bd738d7f1b3e5a7ca70fe4ff75f0.us-east-1.aws.found.io/app/kibana#/discover/Steve-Slow-Train-Analysis-(2080s-and-2083s)?_g=(refreshInterval:(display:Off,pause:!f,section:0,value:0),time:(from:'2017-05-14T00:47:04-0600',mode:absolute,to:'2017-05-14T03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5" s="192" t="str">
        <f t="shared" si="67"/>
        <v>N</v>
      </c>
      <c r="X165" s="192">
        <f t="shared" si="88"/>
        <v>1</v>
      </c>
      <c r="Y165" s="192">
        <f t="shared" si="84"/>
        <v>23.2986</v>
      </c>
      <c r="Z165" s="192">
        <f t="shared" si="78"/>
        <v>1.5800000000000002E-2</v>
      </c>
      <c r="AA165" s="192">
        <f t="shared" si="68"/>
        <v>23.282800000000002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9"/>
        <v>0246-13</v>
      </c>
      <c r="AE165" s="80" t="str">
        <f t="shared" si="70"/>
        <v>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 &amp; 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</v>
      </c>
      <c r="AF165" s="77" t="str">
        <f t="shared" si="71"/>
        <v>"C:\Program Files (x86)\AstroGrep\AstroGrep.exe" /e /r /s /spath="%USERPROFILE%\AppData\Local\Temp\OnboardLogs" /stypes="app*4041*20170514*" /stext=" 08:.+((SYSTEM_STATE.+slice.+state.+changed )|(ment ac)|(multiple cpu faults)|(system.+state.+changed )|(\[timeout)|(PRM\|1\|D)|(kpr)|(kdp)|(train st.+moving)|(\|lc)|(penalty))"</v>
      </c>
      <c r="AG165" s="1" t="str">
        <f t="shared" si="72"/>
        <v>EC</v>
      </c>
      <c r="AH165" s="81" t="str">
        <f t="shared" si="73"/>
        <v>"%USERPROFILE%\Documents\GitHub\eaglep3\Utilities\RefineRTDCRunTimes.py" --tripid 246-13 --locoid 4041 --swversion DE.1.0.9.0 --startMP 204:232986 --initTime 2017-05-14T01:47:04 --startdatetime 2017-05-14T01:56:41 --delay 4 --endMP 204:158 --enddatetime 2017-05-14T02:37:19 --enforcementcount 0 &gt;&gt;C:\Users\stu\Documents\GitHub\eaglep3-reporting\EC\2017-05-13-refined-times.txt</v>
      </c>
      <c r="AI165" s="99" t="str">
        <f t="shared" si="74"/>
        <v>echo {"issue":{"subject":"","project_id":79,"tracker_id":40,"status_id":1,"priority_id":2,"assigned_to_id":23,"start_date":"2017-05-14","description":"","custom_fields":[{"id":1,"name":"Subdivision","value":"EC"},{"id":4,"name":"Milepost","value":"0.0158"},{"id":17,"name":"Train ID","value":"246-13"},{"id":16,"name":"Locomotive ID","value":"4041"},{"id":130,"name":"Impact","value":""},{"id":150,"name":"Time of Event (Mountain Time)","value":"02:37:19"},{"id":151,"name":"Denver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5"/>
        <v>start /low /b %USERPROFILE%\Documents\GitHub\eaglep3\Utilities\DownloadLogsFromS3.py --loco 4041 --day 2017-05-14</v>
      </c>
      <c r="AN165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625</v>
      </c>
      <c r="B166" s="7">
        <v>4051</v>
      </c>
      <c r="C166" s="21" t="s">
        <v>206</v>
      </c>
      <c r="D166" s="21" t="s">
        <v>852</v>
      </c>
      <c r="E166" s="13">
        <v>42868.233182870368</v>
      </c>
      <c r="F166" s="13">
        <v>42868.23641203704</v>
      </c>
      <c r="G166" s="7">
        <v>4</v>
      </c>
      <c r="H166" s="21" t="s">
        <v>537</v>
      </c>
      <c r="I166" s="13">
        <v>42868.246388888889</v>
      </c>
      <c r="J166" s="7">
        <v>0</v>
      </c>
      <c r="K166" s="92" t="str">
        <f t="shared" si="63"/>
        <v>4051/4052</v>
      </c>
      <c r="L166" s="21" t="str">
        <f>VLOOKUP(A166,'Trips&amp;Operators'!$C$1:$G$99999,5,FALSE)</f>
        <v>MACDONALD THOMAS</v>
      </c>
      <c r="M166" s="6">
        <f t="shared" si="64"/>
        <v>9.9768518484779634E-3</v>
      </c>
      <c r="N166" s="7">
        <f t="shared" si="86"/>
        <v>14.366666661808267</v>
      </c>
      <c r="O166" s="7"/>
      <c r="P166" s="7"/>
      <c r="Q166" s="22"/>
      <c r="R166" s="190"/>
      <c r="S166" s="196">
        <f t="shared" si="87"/>
        <v>1</v>
      </c>
      <c r="T166" s="190" t="str">
        <f t="shared" si="65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66"/>
        <v>https://d0f6bd738d7f1b3e5a7ca70fe4ff75f0.us-east-1.aws.found.io/app/kibana#/discover/Steve-Slow-Train-Analysis-(2080s-and-2083s)?_g=(refreshInterval:(display:Off,pause:!f,section:0,value:0),time:(from:'2017-05-13T04:35:47-0600',mode:absolute,to:'2017-05-13T06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6" s="192" t="str">
        <f t="shared" si="67"/>
        <v>N</v>
      </c>
      <c r="X166" s="192">
        <f t="shared" si="88"/>
        <v>1554</v>
      </c>
      <c r="Y166" s="192">
        <f t="shared" si="84"/>
        <v>5.8663999999999996</v>
      </c>
      <c r="Z166" s="192">
        <f t="shared" si="78"/>
        <v>6.8500000000000005E-2</v>
      </c>
      <c r="AA166" s="192">
        <f t="shared" si="68"/>
        <v>5.7978999999999994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9"/>
        <v>1800-13</v>
      </c>
      <c r="AE166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66" s="77" t="str">
        <f t="shared" si="71"/>
        <v>"C:\Program Files (x86)\AstroGrep\AstroGrep.exe" /e /r /s /spath="%USERPROFILE%\AppData\Local\Temp\OnboardLogs" /stypes="app*4051*20170513*" /stext=" 11:.+((SYSTEM_STATE.+slice.+state.+changed )|(ment ac)|(multiple cpu faults)|(system.+state.+changed )|(\[timeout)|(PRM\|1\|D)|(kpr)|(kdp)|(train st.+moving)|(\|lc)|(penalty))"</v>
      </c>
      <c r="AG166" s="1" t="str">
        <f t="shared" si="72"/>
        <v>NW</v>
      </c>
      <c r="AH166" s="81" t="str">
        <f t="shared" si="73"/>
        <v>"%USERPROFILE%\Documents\GitHub\eaglep3\Utilities\RefineRTDCRunTimes.py" --tripid 1800-13 --locoid 4051 --swversion DE.1.0.9.0 --startMP 300:58664 --initTime 2017-05-13T05:35:47 --startdatetime 2017-05-13T05:40:26 --delay 4 --endMP 204:685 --enddatetime 2017-05-13T05:54:48 --enforcementcount 0 &gt;&gt;C:\Users\stu\Documents\GitHub\eaglep3-reporting\EC\2017-05-13-refined-times.txt</v>
      </c>
      <c r="AI166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{"issue":{"subject":"","project_id":79,"tracker_id":40,"status_id":1,"priority_id":2,"assigned_to_id":23,"start_date":"2017-05-13","description":"","custom_fields":[{"id":1,"name":"Subdivision","value":"NW"},{"id":4,"name":"Milepost","value":"0.0685"},{"id":17,"name":"Train ID","value":"1800-13"},{"id":16,"name":"Locomotive ID","value":"4051"},{"id":130,"name":"Impact","value":""},{"id":150,"name":"Time of Event (Mountain Time)","value":"05:54:48"},{"id":151,"name":"Denver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75"/>
        <v>start /low /b %USERPROFILE%\Documents\GitHub\eaglep3\Utilities\DownloadLogsFromS3.py --loco 4051 --day 2017-05-13</v>
      </c>
      <c r="AN166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545</v>
      </c>
      <c r="B167" s="7">
        <v>4052</v>
      </c>
      <c r="C167" s="21" t="s">
        <v>206</v>
      </c>
      <c r="D167" s="21" t="s">
        <v>531</v>
      </c>
      <c r="E167" s="13">
        <v>42868.247754629629</v>
      </c>
      <c r="F167" s="13">
        <v>42868.264745370368</v>
      </c>
      <c r="G167" s="7">
        <v>1</v>
      </c>
      <c r="H167" s="21" t="s">
        <v>853</v>
      </c>
      <c r="I167" s="13">
        <v>42868.273587962962</v>
      </c>
      <c r="J167" s="7">
        <v>0</v>
      </c>
      <c r="K167" s="92" t="str">
        <f t="shared" si="63"/>
        <v>4051/4052</v>
      </c>
      <c r="L167" s="21" t="str">
        <f>VLOOKUP(A167,'Trips&amp;Operators'!$C$1:$G$99999,5,FALSE)</f>
        <v>MACDONALD THOMAS</v>
      </c>
      <c r="M167" s="6">
        <f t="shared" si="64"/>
        <v>8.8425925932824612E-3</v>
      </c>
      <c r="N167" s="7">
        <f t="shared" si="86"/>
        <v>12.733333334326744</v>
      </c>
      <c r="O167" s="7"/>
      <c r="P167" s="7"/>
      <c r="Q167" s="22"/>
      <c r="R167" s="190"/>
      <c r="S167" s="196">
        <f t="shared" si="87"/>
        <v>1</v>
      </c>
      <c r="T167" s="190" t="str">
        <f t="shared" si="65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66"/>
        <v>https://d0f6bd738d7f1b3e5a7ca70fe4ff75f0.us-east-1.aws.found.io/app/kibana#/discover/Steve-Slow-Train-Analysis-(2080s-and-2083s)?_g=(refreshInterval:(display:Off,pause:!f,section:0,value:0),time:(from:'2017-05-13T04:56:46-0600',mode:absolute,to:'2017-05-13T07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7" s="192" t="str">
        <f t="shared" si="67"/>
        <v>N</v>
      </c>
      <c r="X167" s="192">
        <f t="shared" si="88"/>
        <v>1</v>
      </c>
      <c r="Y167" s="192">
        <f t="shared" si="84"/>
        <v>9.74E-2</v>
      </c>
      <c r="Z167" s="192">
        <f t="shared" si="78"/>
        <v>5.8936999999999999</v>
      </c>
      <c r="AA167" s="192">
        <f t="shared" si="68"/>
        <v>5.7962999999999996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9"/>
        <v>1801-13</v>
      </c>
      <c r="AE167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67" s="77" t="str">
        <f t="shared" si="71"/>
        <v>"C:\Program Files (x86)\AstroGrep\AstroGrep.exe" /e /r /s /spath="%USERPROFILE%\AppData\Local\Temp\OnboardLogs" /stypes="app*4052*20170513*" /stext=" 12:.+((SYSTEM_STATE.+slice.+state.+changed )|(ment ac)|(multiple cpu faults)|(system.+state.+changed )|(\[timeout)|(PRM\|1\|D)|(kpr)|(kdp)|(train st.+moving)|(\|lc)|(penalty))"</v>
      </c>
      <c r="AG167" s="1" t="str">
        <f t="shared" si="72"/>
        <v>NW</v>
      </c>
      <c r="AH167" s="81" t="str">
        <f t="shared" si="73"/>
        <v>"%USERPROFILE%\Documents\GitHub\eaglep3\Utilities\RefineRTDCRunTimes.py" --tripid 1801-13 --locoid 4052 --swversion DE.1.0.9.0 --startMP 204:974 --initTime 2017-05-13T05:56:46 --startdatetime 2017-05-13T06:21:14 --delay 1 --endMP 300:58937 --enddatetime 2017-05-13T06:33:58 --enforcementcount 0 &gt;&gt;C:\Users\stu\Documents\GitHub\eaglep3-reporting\EC\2017-05-13-refined-times.txt</v>
      </c>
      <c r="AI167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{"issue":{"subject":"","project_id":79,"tracker_id":40,"status_id":1,"priority_id":2,"assigned_to_id":23,"start_date":"2017-05-13","description":"","custom_fields":[{"id":1,"name":"Subdivision","value":"NW"},{"id":4,"name":"Milepost","value":"5.8937"},{"id":17,"name":"Train ID","value":"1801-13"},{"id":16,"name":"Locomotive ID","value":"4052"},{"id":130,"name":"Impact","value":""},{"id":150,"name":"Time of Event (Mountain Time)","value":"06:33:58"},{"id":151,"name":"Denver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75"/>
        <v>start /low /b %USERPROFILE%\Documents\GitHub\eaglep3\Utilities\DownloadLogsFromS3.py --loco 4052 --day 2017-05-13</v>
      </c>
      <c r="AN167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632</v>
      </c>
      <c r="B168" s="7">
        <v>4051</v>
      </c>
      <c r="C168" s="21" t="s">
        <v>206</v>
      </c>
      <c r="D168" s="21" t="s">
        <v>854</v>
      </c>
      <c r="E168" s="13">
        <v>42868.274305555555</v>
      </c>
      <c r="F168" s="13">
        <v>42868.275405092594</v>
      </c>
      <c r="G168" s="7">
        <v>1</v>
      </c>
      <c r="H168" s="21" t="s">
        <v>855</v>
      </c>
      <c r="I168" s="13">
        <v>42868.288136574076</v>
      </c>
      <c r="J168" s="7">
        <v>0</v>
      </c>
      <c r="K168" s="92" t="str">
        <f t="shared" si="63"/>
        <v>4051/4052</v>
      </c>
      <c r="L168" s="21" t="str">
        <f>VLOOKUP(A168,'Trips&amp;Operators'!$C$1:$G$99999,5,FALSE)</f>
        <v>MACDONALD THOMAS</v>
      </c>
      <c r="M168" s="6">
        <f t="shared" si="64"/>
        <v>1.2731481481750961E-2</v>
      </c>
      <c r="N168" s="7">
        <f t="shared" si="86"/>
        <v>18.333333333721384</v>
      </c>
      <c r="O168" s="7"/>
      <c r="P168" s="7"/>
      <c r="Q168" s="22"/>
      <c r="R168" s="190"/>
      <c r="S168" s="196">
        <f t="shared" si="87"/>
        <v>1</v>
      </c>
      <c r="T168" s="190" t="str">
        <f t="shared" si="65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66"/>
        <v>https://d0f6bd738d7f1b3e5a7ca70fe4ff75f0.us-east-1.aws.found.io/app/kibana#/discover/Steve-Slow-Train-Analysis-(2080s-and-2083s)?_g=(refreshInterval:(display:Off,pause:!f,section:0,value:0),time:(from:'2017-05-13T05:35:00-0600',mode:absolute,to:'2017-05-13T07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8" s="192" t="str">
        <f t="shared" si="67"/>
        <v>N</v>
      </c>
      <c r="X168" s="192">
        <f t="shared" si="88"/>
        <v>1</v>
      </c>
      <c r="Y168" s="192">
        <f t="shared" si="84"/>
        <v>5.8620999999999999</v>
      </c>
      <c r="Z168" s="192">
        <f t="shared" si="78"/>
        <v>7.2700000000000001E-2</v>
      </c>
      <c r="AA168" s="192">
        <f t="shared" si="68"/>
        <v>5.7893999999999997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9"/>
        <v>1802-13</v>
      </c>
      <c r="AE168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68" s="77" t="str">
        <f t="shared" si="71"/>
        <v>"C:\Program Files (x86)\AstroGrep\AstroGrep.exe" /e /r /s /spath="%USERPROFILE%\AppData\Local\Temp\OnboardLogs" /stypes="app*4051*20170513*" /stext=" 12:.+((SYSTEM_STATE.+slice.+state.+changed )|(ment ac)|(multiple cpu faults)|(system.+state.+changed )|(\[timeout)|(PRM\|1\|D)|(kpr)|(kdp)|(train st.+moving)|(\|lc)|(penalty))"</v>
      </c>
      <c r="AG168" s="1" t="str">
        <f t="shared" si="72"/>
        <v>NW</v>
      </c>
      <c r="AH168" s="81" t="str">
        <f t="shared" si="73"/>
        <v>"%USERPROFILE%\Documents\GitHub\eaglep3\Utilities\RefineRTDCRunTimes.py" --tripid 1802-13 --locoid 4051 --swversion DE.1.0.9.0 --startMP 300:58621 --initTime 2017-05-13T06:35:00 --startdatetime 2017-05-13T06:36:35 --delay 1 --endMP 204:727 --enddatetime 2017-05-13T06:54:55 --enforcementcount 0 &gt;&gt;C:\Users\stu\Documents\GitHub\eaglep3-reporting\EC\2017-05-13-refined-times.txt</v>
      </c>
      <c r="AI168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{"issue":{"subject":"","project_id":79,"tracker_id":40,"status_id":1,"priority_id":2,"assigned_to_id":23,"start_date":"2017-05-13","description":"","custom_fields":[{"id":1,"name":"Subdivision","value":"NW"},{"id":4,"name":"Milepost","value":"0.0727"},{"id":17,"name":"Train ID","value":"1802-13"},{"id":16,"name":"Locomotive ID","value":"4051"},{"id":130,"name":"Impact","value":""},{"id":150,"name":"Time of Event (Mountain Time)","value":"06:54:55"},{"id":151,"name":"Denver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5"/>
        <v>start /low /b %USERPROFILE%\Documents\GitHub\eaglep3\Utilities\DownloadLogsFromS3.py --loco 4051 --day 2017-05-13</v>
      </c>
      <c r="AN168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636</v>
      </c>
      <c r="B169" s="7">
        <v>4052</v>
      </c>
      <c r="C169" s="21" t="s">
        <v>206</v>
      </c>
      <c r="D169" s="21" t="s">
        <v>856</v>
      </c>
      <c r="E169" s="13">
        <v>42868.289004629631</v>
      </c>
      <c r="F169" s="13">
        <v>42868.306805555556</v>
      </c>
      <c r="G169" s="7">
        <v>1</v>
      </c>
      <c r="H169" s="21" t="s">
        <v>454</v>
      </c>
      <c r="I169" s="13">
        <v>42868.315891203703</v>
      </c>
      <c r="J169" s="7">
        <v>0</v>
      </c>
      <c r="K169" s="92" t="str">
        <f t="shared" si="63"/>
        <v>4051/4052</v>
      </c>
      <c r="L169" s="21" t="str">
        <f>VLOOKUP(A169,'Trips&amp;Operators'!$C$1:$G$99999,5,FALSE)</f>
        <v>MACDONALD THOMAS</v>
      </c>
      <c r="M169" s="6">
        <f t="shared" si="64"/>
        <v>9.0856481474475004E-3</v>
      </c>
      <c r="N169" s="7">
        <f t="shared" si="86"/>
        <v>13.083333332324401</v>
      </c>
      <c r="O169" s="7"/>
      <c r="P169" s="7"/>
      <c r="Q169" s="22"/>
      <c r="R169" s="190"/>
      <c r="S169" s="196">
        <f t="shared" si="87"/>
        <v>1</v>
      </c>
      <c r="T169" s="190" t="str">
        <f t="shared" si="65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66"/>
        <v>https://d0f6bd738d7f1b3e5a7ca70fe4ff75f0.us-east-1.aws.found.io/app/kibana#/discover/Steve-Slow-Train-Analysis-(2080s-and-2083s)?_g=(refreshInterval:(display:Off,pause:!f,section:0,value:0),time:(from:'2017-05-13T05:56:10-0600',mode:absolute,to:'2017-05-13T08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9" s="192" t="str">
        <f t="shared" si="67"/>
        <v>N</v>
      </c>
      <c r="X169" s="192">
        <f t="shared" si="88"/>
        <v>1</v>
      </c>
      <c r="Y169" s="192">
        <f t="shared" si="84"/>
        <v>0.1014</v>
      </c>
      <c r="Z169" s="192">
        <f t="shared" si="78"/>
        <v>5.8956</v>
      </c>
      <c r="AA169" s="192">
        <f t="shared" si="68"/>
        <v>5.7942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9"/>
        <v>1803-13</v>
      </c>
      <c r="AE169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69" s="77" t="str">
        <f t="shared" si="71"/>
        <v>"C:\Program Files (x86)\AstroGrep\AstroGrep.exe" /e /r /s /spath="%USERPROFILE%\AppData\Local\Temp\OnboardLogs" /stypes="app*4052*20170513*" /stext=" 13:.+((SYSTEM_STATE.+slice.+state.+changed )|(ment ac)|(multiple cpu faults)|(system.+state.+changed )|(\[timeout)|(PRM\|1\|D)|(kpr)|(kdp)|(train st.+moving)|(\|lc)|(penalty))"</v>
      </c>
      <c r="AG169" s="1" t="str">
        <f t="shared" si="72"/>
        <v>NW</v>
      </c>
      <c r="AH169" s="81" t="str">
        <f t="shared" si="73"/>
        <v>"%USERPROFILE%\Documents\GitHub\eaglep3\Utilities\RefineRTDCRunTimes.py" --tripid 1803-13 --locoid 4052 --swversion DE.1.0.9.0 --startMP 204:1014 --initTime 2017-05-13T06:56:10 --startdatetime 2017-05-13T07:21:48 --delay 1 --endMP 300:58956 --enddatetime 2017-05-13T07:34:53 --enforcementcount 0 &gt;&gt;C:\Users\stu\Documents\GitHub\eaglep3-reporting\EC\2017-05-13-refined-times.txt</v>
      </c>
      <c r="AI169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{"issue":{"subject":"","project_id":79,"tracker_id":40,"status_id":1,"priority_id":2,"assigned_to_id":23,"start_date":"2017-05-13","description":"","custom_fields":[{"id":1,"name":"Subdivision","value":"NW"},{"id":4,"name":"Milepost","value":"5.8956"},{"id":17,"name":"Train ID","value":"1803-13"},{"id":16,"name":"Locomotive ID","value":"4052"},{"id":130,"name":"Impact","value":""},{"id":150,"name":"Time of Event (Mountain Time)","value":"07:34:53"},{"id":151,"name":"Denver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5"/>
        <v>start /low /b %USERPROFILE%\Documents\GitHub\eaglep3\Utilities\DownloadLogsFromS3.py --loco 4052 --day 2017-05-13</v>
      </c>
      <c r="AN169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641</v>
      </c>
      <c r="B170" s="7">
        <v>4051</v>
      </c>
      <c r="C170" s="21" t="s">
        <v>206</v>
      </c>
      <c r="D170" s="21" t="s">
        <v>857</v>
      </c>
      <c r="E170" s="13">
        <v>42868.316562499997</v>
      </c>
      <c r="F170" s="13">
        <v>42868.317615740743</v>
      </c>
      <c r="G170" s="7">
        <v>1</v>
      </c>
      <c r="H170" s="21" t="s">
        <v>512</v>
      </c>
      <c r="I170" s="13">
        <v>42868.329976851855</v>
      </c>
      <c r="J170" s="7">
        <v>0</v>
      </c>
      <c r="K170" s="92" t="str">
        <f t="shared" si="63"/>
        <v>4051/4052</v>
      </c>
      <c r="L170" s="21" t="str">
        <f>VLOOKUP(A170,'Trips&amp;Operators'!$C$1:$G$99999,5,FALSE)</f>
        <v>MACDONALD THOMAS</v>
      </c>
      <c r="M170" s="6">
        <f t="shared" si="64"/>
        <v>1.2361111112113576E-2</v>
      </c>
      <c r="N170" s="7">
        <f t="shared" si="86"/>
        <v>17.80000000144355</v>
      </c>
      <c r="O170" s="7"/>
      <c r="P170" s="7"/>
      <c r="Q170" s="22"/>
      <c r="R170" s="190"/>
      <c r="S170" s="196">
        <f t="shared" si="87"/>
        <v>1</v>
      </c>
      <c r="T170" s="190" t="str">
        <f t="shared" si="65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66"/>
        <v>https://d0f6bd738d7f1b3e5a7ca70fe4ff75f0.us-east-1.aws.found.io/app/kibana#/discover/Steve-Slow-Train-Analysis-(2080s-and-2083s)?_g=(refreshInterval:(display:Off,pause:!f,section:0,value:0),time:(from:'2017-05-13T06:35:51-0600',mode:absolute,to:'2017-05-13T08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192" t="str">
        <f t="shared" si="67"/>
        <v>N</v>
      </c>
      <c r="X170" s="192">
        <f t="shared" si="88"/>
        <v>1</v>
      </c>
      <c r="Y170" s="192">
        <f t="shared" si="84"/>
        <v>5.8625999999999996</v>
      </c>
      <c r="Z170" s="192">
        <f t="shared" si="78"/>
        <v>7.1300000000000002E-2</v>
      </c>
      <c r="AA170" s="192">
        <f t="shared" si="68"/>
        <v>5.7912999999999997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9"/>
        <v>1804-13</v>
      </c>
      <c r="AE170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70" s="77" t="str">
        <f t="shared" si="71"/>
        <v>"C:\Program Files (x86)\AstroGrep\AstroGrep.exe" /e /r /s /spath="%USERPROFILE%\AppData\Local\Temp\OnboardLogs" /stypes="app*4051*20170513*" /stext=" 13:.+((SYSTEM_STATE.+slice.+state.+changed )|(ment ac)|(multiple cpu faults)|(system.+state.+changed )|(\[timeout)|(PRM\|1\|D)|(kpr)|(kdp)|(train st.+moving)|(\|lc)|(penalty))"</v>
      </c>
      <c r="AG170" s="1" t="str">
        <f t="shared" si="72"/>
        <v>NW</v>
      </c>
      <c r="AH170" s="81" t="str">
        <f t="shared" si="73"/>
        <v>"%USERPROFILE%\Documents\GitHub\eaglep3\Utilities\RefineRTDCRunTimes.py" --tripid 1804-13 --locoid 4051 --swversion DE.1.0.9.0 --startMP 300:58626 --initTime 2017-05-13T07:35:51 --startdatetime 2017-05-13T07:37:22 --delay 1 --endMP 204:713 --enddatetime 2017-05-13T07:55:10 --enforcementcount 0 &gt;&gt;C:\Users\stu\Documents\GitHub\eaglep3-reporting\EC\2017-05-13-refined-times.txt</v>
      </c>
      <c r="AI170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{"issue":{"subject":"","project_id":79,"tracker_id":40,"status_id":1,"priority_id":2,"assigned_to_id":23,"start_date":"2017-05-13","description":"","custom_fields":[{"id":1,"name":"Subdivision","value":"NW"},{"id":4,"name":"Milepost","value":"0.0713"},{"id":17,"name":"Train ID","value":"1804-13"},{"id":16,"name":"Locomotive ID","value":"4051"},{"id":130,"name":"Impact","value":""},{"id":150,"name":"Time of Event (Mountain Time)","value":"07:55:10"},{"id":151,"name":"Denver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5"/>
        <v>start /low /b %USERPROFILE%\Documents\GitHub\eaglep3\Utilities\DownloadLogsFromS3.py --loco 4051 --day 2017-05-13</v>
      </c>
      <c r="AN170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648</v>
      </c>
      <c r="B171" s="7">
        <v>4052</v>
      </c>
      <c r="C171" s="21" t="s">
        <v>206</v>
      </c>
      <c r="D171" s="21" t="s">
        <v>858</v>
      </c>
      <c r="E171" s="13">
        <v>42868.345486111109</v>
      </c>
      <c r="F171" s="13">
        <v>42868.348136574074</v>
      </c>
      <c r="G171" s="7">
        <v>1</v>
      </c>
      <c r="H171" s="21" t="s">
        <v>859</v>
      </c>
      <c r="I171" s="13">
        <v>42868.357002314813</v>
      </c>
      <c r="J171" s="7">
        <v>0</v>
      </c>
      <c r="K171" s="92" t="str">
        <f t="shared" si="63"/>
        <v>4051/4052</v>
      </c>
      <c r="L171" s="21" t="str">
        <f>VLOOKUP(A171,'Trips&amp;Operators'!$C$1:$G$99999,5,FALSE)</f>
        <v>MACDONALD THOMAS</v>
      </c>
      <c r="M171" s="6">
        <f t="shared" si="64"/>
        <v>8.8657407395658083E-3</v>
      </c>
      <c r="N171" s="7">
        <f t="shared" si="86"/>
        <v>12.766666664974764</v>
      </c>
      <c r="O171" s="7"/>
      <c r="P171" s="7"/>
      <c r="Q171" s="22"/>
      <c r="R171" s="190"/>
      <c r="S171" s="196">
        <f t="shared" si="87"/>
        <v>1</v>
      </c>
      <c r="T171" s="190" t="str">
        <f t="shared" si="65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66"/>
        <v>https://d0f6bd738d7f1b3e5a7ca70fe4ff75f0.us-east-1.aws.found.io/app/kibana#/discover/Steve-Slow-Train-Analysis-(2080s-and-2083s)?_g=(refreshInterval:(display:Off,pause:!f,section:0,value:0),time:(from:'2017-05-13T07:17:30-0600',mode:absolute,to:'2017-05-13T09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1" s="192" t="str">
        <f t="shared" si="67"/>
        <v>N</v>
      </c>
      <c r="X171" s="192">
        <f t="shared" ref="X171:X202" si="89">VALUE(LEFT(AD171,4))-VALUE(LEFT(AD170,4))</f>
        <v>1</v>
      </c>
      <c r="Y171" s="192">
        <f t="shared" si="84"/>
        <v>0.1007</v>
      </c>
      <c r="Z171" s="192">
        <f t="shared" si="78"/>
        <v>5.8872999999999998</v>
      </c>
      <c r="AA171" s="192">
        <f t="shared" si="68"/>
        <v>5.7866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9"/>
        <v>1805-13</v>
      </c>
      <c r="AE171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71" s="77" t="str">
        <f t="shared" si="71"/>
        <v>"C:\Program Files (x86)\AstroGrep\AstroGrep.exe" /e /r /s /spath="%USERPROFILE%\AppData\Local\Temp\OnboardLogs" /stypes="app*4052*20170513*" /stext=" 14:.+((SYSTEM_STATE.+slice.+state.+changed )|(ment ac)|(multiple cpu faults)|(system.+state.+changed )|(\[timeout)|(PRM\|1\|D)|(kpr)|(kdp)|(train st.+moving)|(\|lc)|(penalty))"</v>
      </c>
      <c r="AG171" s="1" t="str">
        <f t="shared" si="72"/>
        <v>NW</v>
      </c>
      <c r="AH171" s="81" t="str">
        <f t="shared" si="73"/>
        <v>"%USERPROFILE%\Documents\GitHub\eaglep3\Utilities\RefineRTDCRunTimes.py" --tripid 1805-13 --locoid 4052 --swversion DE.1.0.9.0 --startMP 204:1007 --initTime 2017-05-13T08:17:30 --startdatetime 2017-05-13T08:21:19 --delay 1 --endMP 300:58873 --enddatetime 2017-05-13T08:34:05 --enforcementcount 0 &gt;&gt;C:\Users\stu\Documents\GitHub\eaglep3-reporting\EC\2017-05-13-refined-times.txt</v>
      </c>
      <c r="AI171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{"issue":{"subject":"","project_id":79,"tracker_id":40,"status_id":1,"priority_id":2,"assigned_to_id":23,"start_date":"2017-05-13","description":"","custom_fields":[{"id":1,"name":"Subdivision","value":"NW"},{"id":4,"name":"Milepost","value":"5.8873"},{"id":17,"name":"Train ID","value":"1805-13"},{"id":16,"name":"Locomotive ID","value":"4052"},{"id":130,"name":"Impact","value":""},{"id":150,"name":"Time of Event (Mountain Time)","value":"08:34:05"},{"id":151,"name":"Denver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5"/>
        <v>start /low /b %USERPROFILE%\Documents\GitHub\eaglep3\Utilities\DownloadLogsFromS3.py --loco 4052 --day 2017-05-13</v>
      </c>
      <c r="AN171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651</v>
      </c>
      <c r="B172" s="7">
        <v>4051</v>
      </c>
      <c r="C172" s="21" t="s">
        <v>206</v>
      </c>
      <c r="D172" s="21" t="s">
        <v>860</v>
      </c>
      <c r="E172" s="13">
        <v>42868.357812499999</v>
      </c>
      <c r="F172" s="13">
        <v>42868.359340277777</v>
      </c>
      <c r="G172" s="7">
        <v>1</v>
      </c>
      <c r="H172" s="21" t="s">
        <v>480</v>
      </c>
      <c r="I172" s="13">
        <v>42868.37332175926</v>
      </c>
      <c r="J172" s="7">
        <v>0</v>
      </c>
      <c r="K172" s="92" t="str">
        <f t="shared" si="63"/>
        <v>4051/4052</v>
      </c>
      <c r="L172" s="21" t="str">
        <f>VLOOKUP(A172,'Trips&amp;Operators'!$C$1:$G$99999,5,FALSE)</f>
        <v>MACDONALD THOMAS</v>
      </c>
      <c r="M172" s="6">
        <f t="shared" si="64"/>
        <v>1.3981481482915115E-2</v>
      </c>
      <c r="N172" s="7">
        <f t="shared" si="86"/>
        <v>20.133333335397765</v>
      </c>
      <c r="O172" s="7"/>
      <c r="P172" s="7"/>
      <c r="Q172" s="22"/>
      <c r="R172" s="190"/>
      <c r="S172" s="196">
        <f t="shared" si="87"/>
        <v>1</v>
      </c>
      <c r="T172" s="190" t="str">
        <f t="shared" si="65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66"/>
        <v>https://d0f6bd738d7f1b3e5a7ca70fe4ff75f0.us-east-1.aws.found.io/app/kibana#/discover/Steve-Slow-Train-Analysis-(2080s-and-2083s)?_g=(refreshInterval:(display:Off,pause:!f,section:0,value:0),time:(from:'2017-05-13T07:35:15-0600',mode:absolute,to:'2017-05-13T09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2" s="192" t="str">
        <f t="shared" si="67"/>
        <v>N</v>
      </c>
      <c r="X172" s="192">
        <f t="shared" si="89"/>
        <v>1</v>
      </c>
      <c r="Y172" s="192">
        <f t="shared" si="84"/>
        <v>5.8559999999999999</v>
      </c>
      <c r="Z172" s="192">
        <f t="shared" si="78"/>
        <v>6.8199999999999997E-2</v>
      </c>
      <c r="AA172" s="192">
        <f t="shared" si="68"/>
        <v>5.7877999999999998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9"/>
        <v>1806-13</v>
      </c>
      <c r="AE172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72" s="77" t="str">
        <f t="shared" si="71"/>
        <v>"C:\Program Files (x86)\AstroGrep\AstroGrep.exe" /e /r /s /spath="%USERPROFILE%\AppData\Local\Temp\OnboardLogs" /stypes="app*4051*20170513*" /stext=" 14:.+((SYSTEM_STATE.+slice.+state.+changed )|(ment ac)|(multiple cpu faults)|(system.+state.+changed )|(\[timeout)|(PRM\|1\|D)|(kpr)|(kdp)|(train st.+moving)|(\|lc)|(penalty))"</v>
      </c>
      <c r="AG172" s="1" t="str">
        <f t="shared" si="72"/>
        <v>NW</v>
      </c>
      <c r="AH172" s="81" t="str">
        <f t="shared" si="73"/>
        <v>"%USERPROFILE%\Documents\GitHub\eaglep3\Utilities\RefineRTDCRunTimes.py" --tripid 1806-13 --locoid 4051 --swversion DE.1.0.9.0 --startMP 300:58560 --initTime 2017-05-13T08:35:15 --startdatetime 2017-05-13T08:37:27 --delay 1 --endMP 204:682 --enddatetime 2017-05-13T08:57:35 --enforcementcount 0 &gt;&gt;C:\Users\stu\Documents\GitHub\eaglep3-reporting\EC\2017-05-13-refined-times.txt</v>
      </c>
      <c r="AI172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{"issue":{"subject":"","project_id":79,"tracker_id":40,"status_id":1,"priority_id":2,"assigned_to_id":23,"start_date":"2017-05-13","description":"","custom_fields":[{"id":1,"name":"Subdivision","value":"NW"},{"id":4,"name":"Milepost","value":"0.0682"},{"id":17,"name":"Train ID","value":"1806-13"},{"id":16,"name":"Locomotive ID","value":"4051"},{"id":130,"name":"Impact","value":""},{"id":150,"name":"Time of Event (Mountain Time)","value":"08:57:35"},{"id":151,"name":"Denver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75"/>
        <v>start /low /b %USERPROFILE%\Documents\GitHub\eaglep3\Utilities\DownloadLogsFromS3.py --loco 4051 --day 2017-05-13</v>
      </c>
      <c r="AN172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656</v>
      </c>
      <c r="B173" s="7">
        <v>4052</v>
      </c>
      <c r="C173" s="21" t="s">
        <v>206</v>
      </c>
      <c r="D173" s="21" t="s">
        <v>861</v>
      </c>
      <c r="E173" s="13">
        <v>42868.374525462961</v>
      </c>
      <c r="F173" s="13">
        <v>42868.389699074076</v>
      </c>
      <c r="G173" s="7">
        <v>1</v>
      </c>
      <c r="H173" s="21" t="s">
        <v>535</v>
      </c>
      <c r="I173" s="13">
        <v>42868.399270833332</v>
      </c>
      <c r="J173" s="7">
        <v>0</v>
      </c>
      <c r="K173" s="92" t="str">
        <f t="shared" si="63"/>
        <v>4051/4052</v>
      </c>
      <c r="L173" s="21" t="str">
        <f>VLOOKUP(A173,'Trips&amp;Operators'!$C$1:$G$99999,5,FALSE)</f>
        <v>MACDONALD THOMAS</v>
      </c>
      <c r="M173" s="6">
        <f t="shared" si="64"/>
        <v>9.5717592557775788E-3</v>
      </c>
      <c r="N173" s="7">
        <f t="shared" si="86"/>
        <v>13.783333328319713</v>
      </c>
      <c r="O173" s="7"/>
      <c r="P173" s="7"/>
      <c r="Q173" s="22"/>
      <c r="R173" s="190"/>
      <c r="S173" s="196">
        <f t="shared" si="87"/>
        <v>1</v>
      </c>
      <c r="T173" s="190" t="str">
        <f t="shared" si="65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66"/>
        <v>https://d0f6bd738d7f1b3e5a7ca70fe4ff75f0.us-east-1.aws.found.io/app/kibana#/discover/Steve-Slow-Train-Analysis-(2080s-and-2083s)?_g=(refreshInterval:(display:Off,pause:!f,section:0,value:0),time:(from:'2017-05-13T07:59:19-0600',mode:absolute,to:'2017-05-13T10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192" t="str">
        <f t="shared" si="67"/>
        <v>N</v>
      </c>
      <c r="X173" s="192">
        <f t="shared" si="89"/>
        <v>1</v>
      </c>
      <c r="Y173" s="192">
        <f t="shared" si="84"/>
        <v>9.64E-2</v>
      </c>
      <c r="Z173" s="192">
        <f t="shared" si="78"/>
        <v>5.8959999999999999</v>
      </c>
      <c r="AA173" s="192">
        <f t="shared" si="68"/>
        <v>5.7995999999999999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9"/>
        <v>1807-13</v>
      </c>
      <c r="AE173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73" s="77" t="str">
        <f t="shared" si="71"/>
        <v>"C:\Program Files (x86)\AstroGrep\AstroGrep.exe" /e /r /s /spath="%USERPROFILE%\AppData\Local\Temp\OnboardLogs" /stypes="app*4052*20170513*" /stext=" 15:.+((SYSTEM_STATE.+slice.+state.+changed )|(ment ac)|(multiple cpu faults)|(system.+state.+changed )|(\[timeout)|(PRM\|1\|D)|(kpr)|(kdp)|(train st.+moving)|(\|lc)|(penalty))"</v>
      </c>
      <c r="AG173" s="1" t="str">
        <f t="shared" si="72"/>
        <v>NW</v>
      </c>
      <c r="AH173" s="81" t="str">
        <f t="shared" si="73"/>
        <v>"%USERPROFILE%\Documents\GitHub\eaglep3\Utilities\RefineRTDCRunTimes.py" --tripid 1807-13 --locoid 4052 --swversion DE.1.0.9.0 --startMP 204:964 --initTime 2017-05-13T08:59:19 --startdatetime 2017-05-13T09:21:10 --delay 1 --endMP 300:58960 --enddatetime 2017-05-13T09:34:57 --enforcementcount 0 &gt;&gt;C:\Users\stu\Documents\GitHub\eaglep3-reporting\EC\2017-05-13-refined-times.txt</v>
      </c>
      <c r="AI173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{"issue":{"subject":"","project_id":79,"tracker_id":40,"status_id":1,"priority_id":2,"assigned_to_id":23,"start_date":"2017-05-13","description":"","custom_fields":[{"id":1,"name":"Subdivision","value":"NW"},{"id":4,"name":"Milepost","value":"5.896"},{"id":17,"name":"Train ID","value":"1807-13"},{"id":16,"name":"Locomotive ID","value":"4052"},{"id":130,"name":"Impact","value":""},{"id":150,"name":"Time of Event (Mountain Time)","value":"09:34:57"},{"id":151,"name":"Denver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75"/>
        <v>start /low /b %USERPROFILE%\Documents\GitHub\eaglep3\Utilities\DownloadLogsFromS3.py --loco 4052 --day 2017-05-13</v>
      </c>
      <c r="AN173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660</v>
      </c>
      <c r="B174" s="7">
        <v>4051</v>
      </c>
      <c r="C174" s="21" t="s">
        <v>206</v>
      </c>
      <c r="D174" s="21" t="s">
        <v>529</v>
      </c>
      <c r="E174" s="13">
        <v>42868.400173611109</v>
      </c>
      <c r="F174" s="13">
        <v>42868.401273148149</v>
      </c>
      <c r="G174" s="7">
        <v>1</v>
      </c>
      <c r="H174" s="21" t="s">
        <v>482</v>
      </c>
      <c r="I174" s="13">
        <v>42868.413263888891</v>
      </c>
      <c r="J174" s="7">
        <v>0</v>
      </c>
      <c r="K174" s="92" t="str">
        <f t="shared" si="63"/>
        <v>4051/4052</v>
      </c>
      <c r="L174" s="21" t="str">
        <f>VLOOKUP(A174,'Trips&amp;Operators'!$C$1:$G$99999,5,FALSE)</f>
        <v>MACDONALD THOMAS</v>
      </c>
      <c r="M174" s="6">
        <f t="shared" si="64"/>
        <v>1.1990740742476191E-2</v>
      </c>
      <c r="N174" s="7">
        <f t="shared" si="86"/>
        <v>17.266666669165716</v>
      </c>
      <c r="O174" s="7"/>
      <c r="P174" s="7"/>
      <c r="Q174" s="22"/>
      <c r="R174" s="190"/>
      <c r="S174" s="196">
        <f t="shared" si="87"/>
        <v>1</v>
      </c>
      <c r="T174" s="190" t="str">
        <f t="shared" si="65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66"/>
        <v>https://d0f6bd738d7f1b3e5a7ca70fe4ff75f0.us-east-1.aws.found.io/app/kibana#/discover/Steve-Slow-Train-Analysis-(2080s-and-2083s)?_g=(refreshInterval:(display:Off,pause:!f,section:0,value:0),time:(from:'2017-05-13T08:36:15-0600',mode:absolute,to:'2017-05-13T10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192" t="str">
        <f t="shared" si="67"/>
        <v>N</v>
      </c>
      <c r="X174" s="192">
        <f t="shared" si="89"/>
        <v>1</v>
      </c>
      <c r="Y174" s="192">
        <f t="shared" si="84"/>
        <v>5.8638000000000003</v>
      </c>
      <c r="Z174" s="192">
        <f t="shared" si="78"/>
        <v>6.6799999999999998E-2</v>
      </c>
      <c r="AA174" s="192">
        <f t="shared" si="68"/>
        <v>5.7970000000000006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9"/>
        <v>1808-13</v>
      </c>
      <c r="AE174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74" s="77" t="str">
        <f t="shared" si="71"/>
        <v>"C:\Program Files (x86)\AstroGrep\AstroGrep.exe" /e /r /s /spath="%USERPROFILE%\AppData\Local\Temp\OnboardLogs" /stypes="app*4051*20170513*" /stext=" 15:.+((SYSTEM_STATE.+slice.+state.+changed )|(ment ac)|(multiple cpu faults)|(system.+state.+changed )|(\[timeout)|(PRM\|1\|D)|(kpr)|(kdp)|(train st.+moving)|(\|lc)|(penalty))"</v>
      </c>
      <c r="AG174" s="1" t="str">
        <f t="shared" si="72"/>
        <v>NW</v>
      </c>
      <c r="AH174" s="81" t="str">
        <f t="shared" si="73"/>
        <v>"%USERPROFILE%\Documents\GitHub\eaglep3\Utilities\RefineRTDCRunTimes.py" --tripid 1808-13 --locoid 4051 --swversion DE.1.0.9.0 --startMP 300:58638 --initTime 2017-05-13T09:36:15 --startdatetime 2017-05-13T09:37:50 --delay 1 --endMP 204:668 --enddatetime 2017-05-13T09:55:06 --enforcementcount 0 &gt;&gt;C:\Users\stu\Documents\GitHub\eaglep3-reporting\EC\2017-05-13-refined-times.txt</v>
      </c>
      <c r="AI174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{"issue":{"subject":"","project_id":79,"tracker_id":40,"status_id":1,"priority_id":2,"assigned_to_id":23,"start_date":"2017-05-13","description":"","custom_fields":[{"id":1,"name":"Subdivision","value":"NW"},{"id":4,"name":"Milepost","value":"0.0668"},{"id":17,"name":"Train ID","value":"1808-13"},{"id":16,"name":"Locomotive ID","value":"4051"},{"id":130,"name":"Impact","value":""},{"id":150,"name":"Time of Event (Mountain Time)","value":"09:55:06"},{"id":151,"name":"Denver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75"/>
        <v>start /low /b %USERPROFILE%\Documents\GitHub\eaglep3\Utilities\DownloadLogsFromS3.py --loco 4051 --day 2017-05-13</v>
      </c>
      <c r="AN174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15:55:06"},{"id":29,"name":"Sharepoint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663</v>
      </c>
      <c r="B175" s="7">
        <v>4052</v>
      </c>
      <c r="C175" s="21" t="s">
        <v>206</v>
      </c>
      <c r="D175" s="21" t="s">
        <v>862</v>
      </c>
      <c r="E175" s="13">
        <v>42868.414236111108</v>
      </c>
      <c r="F175" s="13">
        <v>42868.431481481479</v>
      </c>
      <c r="G175" s="7">
        <v>0</v>
      </c>
      <c r="H175" s="21" t="s">
        <v>863</v>
      </c>
      <c r="I175" s="13">
        <v>42868.440347222226</v>
      </c>
      <c r="J175" s="7">
        <v>0</v>
      </c>
      <c r="K175" s="92" t="str">
        <f t="shared" si="63"/>
        <v>4051/4052</v>
      </c>
      <c r="L175" s="21" t="str">
        <f>VLOOKUP(A175,'Trips&amp;Operators'!$C$1:$G$99999,5,FALSE)</f>
        <v>MACDONALD THOMAS</v>
      </c>
      <c r="M175" s="6">
        <f t="shared" si="64"/>
        <v>8.8657407468417659E-3</v>
      </c>
      <c r="N175" s="7">
        <f t="shared" si="86"/>
        <v>12.766666675452143</v>
      </c>
      <c r="O175" s="7"/>
      <c r="P175" s="7"/>
      <c r="Q175" s="22"/>
      <c r="R175" s="190"/>
      <c r="S175" s="196">
        <f t="shared" si="87"/>
        <v>1</v>
      </c>
      <c r="T175" s="190" t="str">
        <f t="shared" si="65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66"/>
        <v>https://d0f6bd738d7f1b3e5a7ca70fe4ff75f0.us-east-1.aws.found.io/app/kibana#/discover/Steve-Slow-Train-Analysis-(2080s-and-2083s)?_g=(refreshInterval:(display:Off,pause:!f,section:0,value:0),time:(from:'2017-05-13T08:56:30-0600',mode:absolute,to:'2017-05-13T11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5" s="192" t="str">
        <f t="shared" si="67"/>
        <v>N</v>
      </c>
      <c r="X175" s="192">
        <f t="shared" si="89"/>
        <v>1</v>
      </c>
      <c r="Y175" s="192">
        <f t="shared" si="84"/>
        <v>9.6000000000000002E-2</v>
      </c>
      <c r="Z175" s="192">
        <f t="shared" si="78"/>
        <v>5.8971</v>
      </c>
      <c r="AA175" s="192">
        <f t="shared" si="68"/>
        <v>5.8010999999999999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9"/>
        <v>1809-13</v>
      </c>
      <c r="AE175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75" s="77" t="str">
        <f t="shared" si="71"/>
        <v>"C:\Program Files (x86)\AstroGrep\AstroGrep.exe" /e /r /s /spath="%USERPROFILE%\AppData\Local\Temp\OnboardLogs" /stypes="app*4052*20170513*" /stext=" 16:.+((SYSTEM_STATE.+slice.+state.+changed )|(ment ac)|(multiple cpu faults)|(system.+state.+changed )|(\[timeout)|(PRM\|1\|D)|(kpr)|(kdp)|(train st.+moving)|(\|lc)|(penalty))"</v>
      </c>
      <c r="AG175" s="1" t="str">
        <f t="shared" si="72"/>
        <v>NW</v>
      </c>
      <c r="AH175" s="81" t="str">
        <f t="shared" si="73"/>
        <v>"%USERPROFILE%\Documents\GitHub\eaglep3\Utilities\RefineRTDCRunTimes.py" --tripid 1809-13 --locoid 4052 --swversion DE.1.0.9.0 --startMP 204:960 --initTime 2017-05-13T09:56:30 --startdatetime 2017-05-13T10:21:20 --delay 0 --endMP 300:58971 --enddatetime 2017-05-13T10:34:06 --enforcementcount 0 &gt;&gt;C:\Users\stu\Documents\GitHub\eaglep3-reporting\EC\2017-05-13-refined-times.txt</v>
      </c>
      <c r="AI175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{"issue":{"subject":"","project_id":79,"tracker_id":40,"status_id":1,"priority_id":2,"assigned_to_id":23,"start_date":"2017-05-13","description":"","custom_fields":[{"id":1,"name":"Subdivision","value":"NW"},{"id":4,"name":"Milepost","value":"5.8971"},{"id":17,"name":"Train ID","value":"1809-13"},{"id":16,"name":"Locomotive ID","value":"4052"},{"id":130,"name":"Impact","value":""},{"id":150,"name":"Time of Event (Mountain Time)","value":"10:34:06"},{"id":151,"name":"Denver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75"/>
        <v>start /low /b %USERPROFILE%\Documents\GitHub\eaglep3\Utilities\DownloadLogsFromS3.py --loco 4052 --day 2017-05-13</v>
      </c>
      <c r="AN175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551</v>
      </c>
      <c r="B176" s="7">
        <v>4051</v>
      </c>
      <c r="C176" s="21" t="s">
        <v>206</v>
      </c>
      <c r="D176" s="21" t="s">
        <v>865</v>
      </c>
      <c r="E176" s="13">
        <v>42868.441631944443</v>
      </c>
      <c r="F176" s="13">
        <v>42868.442847222221</v>
      </c>
      <c r="G176" s="7">
        <v>1</v>
      </c>
      <c r="H176" s="21" t="s">
        <v>455</v>
      </c>
      <c r="I176" s="13">
        <v>42868.455231481479</v>
      </c>
      <c r="J176" s="7">
        <v>0</v>
      </c>
      <c r="K176" s="92" t="str">
        <f t="shared" si="63"/>
        <v>4051/4052</v>
      </c>
      <c r="L176" s="21" t="str">
        <f>VLOOKUP(A176,'Trips&amp;Operators'!$C$1:$G$99999,5,FALSE)</f>
        <v>MACDONALD THOMAS</v>
      </c>
      <c r="M176" s="6">
        <f t="shared" si="64"/>
        <v>1.2384259258396924E-2</v>
      </c>
      <c r="N176" s="7">
        <f t="shared" si="86"/>
        <v>17.83333333209157</v>
      </c>
      <c r="O176" s="7"/>
      <c r="P176" s="7"/>
      <c r="Q176" s="22"/>
      <c r="R176" s="190"/>
      <c r="S176" s="196">
        <f t="shared" si="87"/>
        <v>1</v>
      </c>
      <c r="T176" s="190" t="str">
        <f t="shared" si="65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66"/>
        <v>https://d0f6bd738d7f1b3e5a7ca70fe4ff75f0.us-east-1.aws.found.io/app/kibana#/discover/Steve-Slow-Train-Analysis-(2080s-and-2083s)?_g=(refreshInterval:(display:Off,pause:!f,section:0,value:0),time:(from:'2017-05-13T09:35:57-0600',mode:absolute,to:'2017-05-13T11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6" s="192" t="str">
        <f t="shared" si="67"/>
        <v>N</v>
      </c>
      <c r="X176" s="192">
        <f t="shared" si="89"/>
        <v>1</v>
      </c>
      <c r="Y176" s="192">
        <f t="shared" si="84"/>
        <v>5.8648999999999996</v>
      </c>
      <c r="Z176" s="192">
        <f t="shared" ref="Z176:Z207" si="90">RIGHT(H176,LEN(H176)-4)/10000</f>
        <v>6.8400000000000002E-2</v>
      </c>
      <c r="AA176" s="192">
        <f t="shared" si="68"/>
        <v>5.7965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9"/>
        <v>1810-13</v>
      </c>
      <c r="AE176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76" s="77" t="str">
        <f t="shared" si="71"/>
        <v>"C:\Program Files (x86)\AstroGrep\AstroGrep.exe" /e /r /s /spath="%USERPROFILE%\AppData\Local\Temp\OnboardLogs" /stypes="app*4051*20170513*" /stext=" 16:.+((SYSTEM_STATE.+slice.+state.+changed )|(ment ac)|(multiple cpu faults)|(system.+state.+changed )|(\[timeout)|(PRM\|1\|D)|(kpr)|(kdp)|(train st.+moving)|(\|lc)|(penalty))"</v>
      </c>
      <c r="AG176" s="1" t="str">
        <f t="shared" si="72"/>
        <v>NW</v>
      </c>
      <c r="AH176" s="81" t="str">
        <f t="shared" si="73"/>
        <v>"%USERPROFILE%\Documents\GitHub\eaglep3\Utilities\RefineRTDCRunTimes.py" --tripid 1810-13 --locoid 4051 --swversion DE.1.0.9.0 --startMP 300:58649 --initTime 2017-05-13T10:35:57 --startdatetime 2017-05-13T10:37:42 --delay 1 --endMP 204:684 --enddatetime 2017-05-13T10:55:32 --enforcementcount 0 &gt;&gt;C:\Users\stu\Documents\GitHub\eaglep3-reporting\EC\2017-05-13-refined-times.txt</v>
      </c>
      <c r="AI176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{"issue":{"subject":"","project_id":79,"tracker_id":40,"status_id":1,"priority_id":2,"assigned_to_id":23,"start_date":"2017-05-13","description":"","custom_fields":[{"id":1,"name":"Subdivision","value":"NW"},{"id":4,"name":"Milepost","value":"0.0684"},{"id":17,"name":"Train ID","value":"1810-13"},{"id":16,"name":"Locomotive ID","value":"4051"},{"id":130,"name":"Impact","value":""},{"id":150,"name":"Time of Event (Mountain Time)","value":"10:55:32"},{"id":151,"name":"Denver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75"/>
        <v>start /low /b %USERPROFILE%\Documents\GitHub\eaglep3\Utilities\DownloadLogsFromS3.py --loco 4051 --day 2017-05-13</v>
      </c>
      <c r="AN176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16:55:32"},{"id":29,"name":"Sharepoint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673</v>
      </c>
      <c r="B177" s="7">
        <v>4052</v>
      </c>
      <c r="C177" s="21" t="s">
        <v>206</v>
      </c>
      <c r="D177" s="21" t="s">
        <v>531</v>
      </c>
      <c r="E177" s="13">
        <v>42868.456006944441</v>
      </c>
      <c r="F177" s="13">
        <v>42868.473055555558</v>
      </c>
      <c r="G177" s="7">
        <v>1</v>
      </c>
      <c r="H177" s="21" t="s">
        <v>866</v>
      </c>
      <c r="I177" s="13">
        <v>42868.481944444444</v>
      </c>
      <c r="J177" s="7">
        <v>0</v>
      </c>
      <c r="K177" s="92" t="str">
        <f t="shared" si="63"/>
        <v>4051/4052</v>
      </c>
      <c r="L177" s="21" t="str">
        <f>VLOOKUP(A177,'Trips&amp;Operators'!$C$1:$G$99999,5,FALSE)</f>
        <v>MACDONALD THOMAS</v>
      </c>
      <c r="M177" s="6">
        <f t="shared" si="64"/>
        <v>8.8888888858491555E-3</v>
      </c>
      <c r="N177" s="7">
        <f t="shared" si="86"/>
        <v>12.799999995622784</v>
      </c>
      <c r="O177" s="7"/>
      <c r="P177" s="7"/>
      <c r="Q177" s="22"/>
      <c r="R177" s="190"/>
      <c r="S177" s="196">
        <f t="shared" si="87"/>
        <v>1</v>
      </c>
      <c r="T177" s="190" t="str">
        <f t="shared" si="65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66"/>
        <v>https://d0f6bd738d7f1b3e5a7ca70fe4ff75f0.us-east-1.aws.found.io/app/kibana#/discover/Steve-Slow-Train-Analysis-(2080s-and-2083s)?_g=(refreshInterval:(display:Off,pause:!f,section:0,value:0),time:(from:'2017-05-13T09:56:39-0600',mode:absolute,to:'2017-05-13T12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7" s="192" t="str">
        <f t="shared" si="67"/>
        <v>N</v>
      </c>
      <c r="X177" s="192">
        <f t="shared" si="89"/>
        <v>1</v>
      </c>
      <c r="Y177" s="192">
        <f t="shared" ref="Y177:Y208" si="91">RIGHT(D177,LEN(D177)-4)/10000</f>
        <v>9.74E-2</v>
      </c>
      <c r="Z177" s="192">
        <f t="shared" si="90"/>
        <v>5.8968999999999996</v>
      </c>
      <c r="AA177" s="192">
        <f t="shared" si="68"/>
        <v>5.7994999999999992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9"/>
        <v>1811-13</v>
      </c>
      <c r="AE177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77" s="77" t="str">
        <f t="shared" si="71"/>
        <v>"C:\Program Files (x86)\AstroGrep\AstroGrep.exe" /e /r /s /spath="%USERPROFILE%\AppData\Local\Temp\OnboardLogs" /stypes="app*4052*20170513*" /stext=" 17:.+((SYSTEM_STATE.+slice.+state.+changed )|(ment ac)|(multiple cpu faults)|(system.+state.+changed )|(\[timeout)|(PRM\|1\|D)|(kpr)|(kdp)|(train st.+moving)|(\|lc)|(penalty))"</v>
      </c>
      <c r="AG177" s="1" t="str">
        <f t="shared" si="72"/>
        <v>NW</v>
      </c>
      <c r="AH177" s="81" t="str">
        <f t="shared" si="73"/>
        <v>"%USERPROFILE%\Documents\GitHub\eaglep3\Utilities\RefineRTDCRunTimes.py" --tripid 1811-13 --locoid 4052 --swversion DE.1.0.9.0 --startMP 204:974 --initTime 2017-05-13T10:56:39 --startdatetime 2017-05-13T11:21:12 --delay 1 --endMP 300:58969 --enddatetime 2017-05-13T11:34:00 --enforcementcount 0 &gt;&gt;C:\Users\stu\Documents\GitHub\eaglep3-reporting\EC\2017-05-13-refined-times.txt</v>
      </c>
      <c r="AI177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{"issue":{"subject":"","project_id":79,"tracker_id":40,"status_id":1,"priority_id":2,"assigned_to_id":23,"start_date":"2017-05-13","description":"","custom_fields":[{"id":1,"name":"Subdivision","value":"NW"},{"id":4,"name":"Milepost","value":"5.8969"},{"id":17,"name":"Train ID","value":"1811-13"},{"id":16,"name":"Locomotive ID","value":"4052"},{"id":130,"name":"Impact","value":""},{"id":150,"name":"Time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75"/>
        <v>start /low /b %USERPROFILE%\Documents\GitHub\eaglep3\Utilities\DownloadLogsFromS3.py --loco 4052 --day 2017-05-13</v>
      </c>
      <c r="AN177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2" t="s">
        <v>552</v>
      </c>
      <c r="B178" s="7">
        <v>4051</v>
      </c>
      <c r="C178" s="21" t="s">
        <v>206</v>
      </c>
      <c r="D178" s="21" t="s">
        <v>865</v>
      </c>
      <c r="E178" s="13">
        <v>42868.482905092591</v>
      </c>
      <c r="F178" s="13">
        <v>42868.48400462963</v>
      </c>
      <c r="G178" s="7">
        <v>1</v>
      </c>
      <c r="H178" s="21" t="s">
        <v>867</v>
      </c>
      <c r="I178" s="13">
        <v>42868.496168981481</v>
      </c>
      <c r="J178" s="7">
        <v>0</v>
      </c>
      <c r="K178" s="92" t="str">
        <f t="shared" si="63"/>
        <v>4051/4052</v>
      </c>
      <c r="L178" s="21" t="str">
        <f>VLOOKUP(A178,'Trips&amp;Operators'!$C$1:$G$99999,5,FALSE)</f>
        <v>MACDONALD THOMAS</v>
      </c>
      <c r="M178" s="6">
        <f t="shared" si="64"/>
        <v>1.2164351850515231E-2</v>
      </c>
      <c r="N178" s="7">
        <f t="shared" si="86"/>
        <v>17.516666664741933</v>
      </c>
      <c r="O178" s="7"/>
      <c r="P178" s="7"/>
      <c r="Q178" s="22"/>
      <c r="R178" s="190"/>
      <c r="S178" s="196">
        <f t="shared" si="87"/>
        <v>1</v>
      </c>
      <c r="T178" s="190" t="str">
        <f t="shared" si="65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66"/>
        <v>https://d0f6bd738d7f1b3e5a7ca70fe4ff75f0.us-east-1.aws.found.io/app/kibana#/discover/Steve-Slow-Train-Analysis-(2080s-and-2083s)?_g=(refreshInterval:(display:Off,pause:!f,section:0,value:0),time:(from:'2017-05-13T10:35:23-0600',mode:absolute,to:'2017-05-13T12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8" s="192" t="str">
        <f t="shared" si="67"/>
        <v>N</v>
      </c>
      <c r="X178" s="192">
        <f t="shared" si="89"/>
        <v>1</v>
      </c>
      <c r="Y178" s="192">
        <f t="shared" si="91"/>
        <v>5.8648999999999996</v>
      </c>
      <c r="Z178" s="192">
        <f t="shared" si="90"/>
        <v>7.4099999999999999E-2</v>
      </c>
      <c r="AA178" s="192">
        <f t="shared" si="68"/>
        <v>5.7907999999999999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9"/>
        <v>1812-13</v>
      </c>
      <c r="AE178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78" s="77" t="str">
        <f t="shared" si="71"/>
        <v>"C:\Program Files (x86)\AstroGrep\AstroGrep.exe" /e /r /s /spath="%USERPROFILE%\AppData\Local\Temp\OnboardLogs" /stypes="app*4051*20170513*" /stext=" 17:.+((SYSTEM_STATE.+slice.+state.+changed )|(ment ac)|(multiple cpu faults)|(system.+state.+changed )|(\[timeout)|(PRM\|1\|D)|(kpr)|(kdp)|(train st.+moving)|(\|lc)|(penalty))"</v>
      </c>
      <c r="AG178" s="1" t="str">
        <f t="shared" si="72"/>
        <v>NW</v>
      </c>
      <c r="AH178" s="81" t="str">
        <f t="shared" si="73"/>
        <v>"%USERPROFILE%\Documents\GitHub\eaglep3\Utilities\RefineRTDCRunTimes.py" --tripid 1812-13 --locoid 4051 --swversion DE.1.0.9.0 --startMP 300:58649 --initTime 2017-05-13T11:35:23 --startdatetime 2017-05-13T11:36:58 --delay 1 --endMP 204:741 --enddatetime 2017-05-13T11:54:29 --enforcementcount 0 &gt;&gt;C:\Users\stu\Documents\GitHub\eaglep3-reporting\EC\2017-05-13-refined-times.txt</v>
      </c>
      <c r="AI178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{"issue":{"subject":"","project_id":79,"tracker_id":40,"status_id":1,"priority_id":2,"assigned_to_id":23,"start_date":"2017-05-13","description":"","custom_fields":[{"id":1,"name":"Subdivision","value":"NW"},{"id":4,"name":"Milepost","value":"0.0741"},{"id":17,"name":"Train ID","value":"1812-13"},{"id":16,"name":"Locomotive ID","value":"4051"},{"id":130,"name":"Impact","value":""},{"id":150,"name":"Time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75"/>
        <v>start /low /b %USERPROFILE%\Documents\GitHub\eaglep3\Utilities\DownloadLogsFromS3.py --loco 4051 --day 2017-05-13</v>
      </c>
      <c r="AN178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17:54:29"},{"id":29,"name":"Sharepoint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689</v>
      </c>
      <c r="B179" s="7">
        <v>4052</v>
      </c>
      <c r="C179" s="21" t="s">
        <v>206</v>
      </c>
      <c r="D179" s="21" t="s">
        <v>868</v>
      </c>
      <c r="E179" s="13">
        <v>42868.510729166665</v>
      </c>
      <c r="F179" s="13">
        <v>42868.514710648145</v>
      </c>
      <c r="G179" s="7">
        <v>1</v>
      </c>
      <c r="H179" s="21" t="s">
        <v>526</v>
      </c>
      <c r="I179" s="13">
        <v>42868.52380787037</v>
      </c>
      <c r="J179" s="7">
        <v>0</v>
      </c>
      <c r="K179" s="92" t="str">
        <f t="shared" si="63"/>
        <v>4051/4052</v>
      </c>
      <c r="L179" s="21" t="str">
        <f>VLOOKUP(A179,'Trips&amp;Operators'!$C$1:$G$99999,5,FALSE)</f>
        <v>MACDONALD THOMAS</v>
      </c>
      <c r="M179" s="6">
        <f t="shared" si="64"/>
        <v>9.0972222242271528E-3</v>
      </c>
      <c r="N179" s="7">
        <f t="shared" si="86"/>
        <v>13.1000000028871</v>
      </c>
      <c r="O179" s="7"/>
      <c r="P179" s="7"/>
      <c r="Q179" s="22"/>
      <c r="R179" s="190"/>
      <c r="S179" s="196">
        <f t="shared" si="87"/>
        <v>1</v>
      </c>
      <c r="T179" s="190" t="str">
        <f t="shared" si="65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66"/>
        <v>https://d0f6bd738d7f1b3e5a7ca70fe4ff75f0.us-east-1.aws.found.io/app/kibana#/discover/Steve-Slow-Train-Analysis-(2080s-and-2083s)?_g=(refreshInterval:(display:Off,pause:!f,section:0,value:0),time:(from:'2017-05-13T11:15:27-0600',mode:absolute,to:'2017-05-13T13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9" s="192" t="str">
        <f t="shared" si="67"/>
        <v>N</v>
      </c>
      <c r="X179" s="192">
        <f t="shared" si="89"/>
        <v>1</v>
      </c>
      <c r="Y179" s="192">
        <f t="shared" si="91"/>
        <v>0.1023</v>
      </c>
      <c r="Z179" s="192">
        <f t="shared" si="90"/>
        <v>5.8944000000000001</v>
      </c>
      <c r="AA179" s="192">
        <f t="shared" si="68"/>
        <v>5.7921000000000005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9"/>
        <v>1813-13</v>
      </c>
      <c r="AE179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79" s="77" t="str">
        <f t="shared" si="71"/>
        <v>"C:\Program Files (x86)\AstroGrep\AstroGrep.exe" /e /r /s /spath="%USERPROFILE%\AppData\Local\Temp\OnboardLogs" /stypes="app*4052*20170513*" /stext=" 18:.+((SYSTEM_STATE.+slice.+state.+changed )|(ment ac)|(multiple cpu faults)|(system.+state.+changed )|(\[timeout)|(PRM\|1\|D)|(kpr)|(kdp)|(train st.+moving)|(\|lc)|(penalty))"</v>
      </c>
      <c r="AG179" s="1" t="str">
        <f t="shared" si="72"/>
        <v>NW</v>
      </c>
      <c r="AH179" s="81" t="str">
        <f t="shared" si="73"/>
        <v>"%USERPROFILE%\Documents\GitHub\eaglep3\Utilities\RefineRTDCRunTimes.py" --tripid 1813-13 --locoid 4052 --swversion DE.1.0.9.0 --startMP 204:1023 --initTime 2017-05-13T12:15:27 --startdatetime 2017-05-13T12:21:11 --delay 1 --endMP 300:58944 --enddatetime 2017-05-13T12:34:17 --enforcementcount 0 &gt;&gt;C:\Users\stu\Documents\GitHub\eaglep3-reporting\EC\2017-05-13-refined-times.txt</v>
      </c>
      <c r="AI179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{"issue":{"subject":"","project_id":79,"tracker_id":40,"status_id":1,"priority_id":2,"assigned_to_id":23,"start_date":"2017-05-13","description":"","custom_fields":[{"id":1,"name":"Subdivision","value":"NW"},{"id":4,"name":"Milepost","value":"5.8944"},{"id":17,"name":"Train ID","value":"1813-13"},{"id":16,"name":"Locomotive ID","value":"4052"},{"id":130,"name":"Impact","value":""},{"id":150,"name":"Time of Event (Mountain Time)","value":"12:34:17"},{"id":151,"name":"Denver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75"/>
        <v>start /low /b %USERPROFILE%\Documents\GitHub\eaglep3\Utilities\DownloadLogsFromS3.py --loco 4052 --day 2017-05-13</v>
      </c>
      <c r="AN179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691</v>
      </c>
      <c r="B180" s="7">
        <v>4051</v>
      </c>
      <c r="C180" s="21" t="s">
        <v>206</v>
      </c>
      <c r="D180" s="21" t="s">
        <v>456</v>
      </c>
      <c r="E180" s="13">
        <v>42868.524502314816</v>
      </c>
      <c r="F180" s="13">
        <v>42868.525763888887</v>
      </c>
      <c r="G180" s="7">
        <v>0</v>
      </c>
      <c r="H180" s="21" t="s">
        <v>530</v>
      </c>
      <c r="I180" s="13">
        <v>42868.538194444445</v>
      </c>
      <c r="J180" s="7">
        <v>0</v>
      </c>
      <c r="K180" s="92" t="str">
        <f t="shared" si="63"/>
        <v>4051/4052</v>
      </c>
      <c r="L180" s="21" t="str">
        <f>VLOOKUP(A180,'Trips&amp;Operators'!$C$1:$G$99999,5,FALSE)</f>
        <v>MACDONALD THOMAS</v>
      </c>
      <c r="M180" s="6">
        <f t="shared" si="64"/>
        <v>1.2430555558239575E-2</v>
      </c>
      <c r="N180" s="7">
        <f t="shared" si="86"/>
        <v>17.900000003864989</v>
      </c>
      <c r="O180" s="7"/>
      <c r="P180" s="7"/>
      <c r="Q180" s="22"/>
      <c r="R180" s="190"/>
      <c r="S180" s="196">
        <f t="shared" si="87"/>
        <v>1</v>
      </c>
      <c r="T180" s="190" t="str">
        <f t="shared" si="65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66"/>
        <v>https://d0f6bd738d7f1b3e5a7ca70fe4ff75f0.us-east-1.aws.found.io/app/kibana#/discover/Steve-Slow-Train-Analysis-(2080s-and-2083s)?_g=(refreshInterval:(display:Off,pause:!f,section:0,value:0),time:(from:'2017-05-13T11:35:17-0600',mode:absolute,to:'2017-05-13T13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0" s="192" t="str">
        <f t="shared" si="67"/>
        <v>N</v>
      </c>
      <c r="X180" s="192">
        <f t="shared" si="89"/>
        <v>1</v>
      </c>
      <c r="Y180" s="192">
        <f t="shared" si="91"/>
        <v>5.8624000000000001</v>
      </c>
      <c r="Z180" s="192">
        <f t="shared" si="90"/>
        <v>6.6400000000000001E-2</v>
      </c>
      <c r="AA180" s="192">
        <f t="shared" si="68"/>
        <v>5.7960000000000003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9"/>
        <v>1814-13</v>
      </c>
      <c r="AE180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80" s="77" t="str">
        <f t="shared" si="71"/>
        <v>"C:\Program Files (x86)\AstroGrep\AstroGrep.exe" /e /r /s /spath="%USERPROFILE%\AppData\Local\Temp\OnboardLogs" /stypes="app*4051*20170513*" /stext=" 18:.+((SYSTEM_STATE.+slice.+state.+changed )|(ment ac)|(multiple cpu faults)|(system.+state.+changed )|(\[timeout)|(PRM\|1\|D)|(kpr)|(kdp)|(train st.+moving)|(\|lc)|(penalty))"</v>
      </c>
      <c r="AG180" s="1" t="str">
        <f t="shared" si="72"/>
        <v>NW</v>
      </c>
      <c r="AH180" s="81" t="str">
        <f t="shared" si="73"/>
        <v>"%USERPROFILE%\Documents\GitHub\eaglep3\Utilities\RefineRTDCRunTimes.py" --tripid 1814-13 --locoid 4051 --swversion DE.1.0.9.0 --startMP 300:58624 --initTime 2017-05-13T12:35:17 --startdatetime 2017-05-13T12:37:06 --delay 0 --endMP 204:664 --enddatetime 2017-05-13T12:55:00 --enforcementcount 0 &gt;&gt;C:\Users\stu\Documents\GitHub\eaglep3-reporting\EC\2017-05-13-refined-times.txt</v>
      </c>
      <c r="AI180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{"issue":{"subject":"","project_id":79,"tracker_id":40,"status_id":1,"priority_id":2,"assigned_to_id":23,"start_date":"2017-05-13","description":"","custom_fields":[{"id":1,"name":"Subdivision","value":"NW"},{"id":4,"name":"Milepost","value":"0.0664"},{"id":17,"name":"Train ID","value":"1814-13"},{"id":16,"name":"Locomotive ID","value":"4051"},{"id":130,"name":"Impact","value":""},{"id":150,"name":"Time of Event (Mountain Time)","value":"12:55:00"},{"id":151,"name":"Denver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75"/>
        <v>start /low /b %USERPROFILE%\Documents\GitHub\eaglep3\Utilities\DownloadLogsFromS3.py --loco 4051 --day 2017-05-13</v>
      </c>
      <c r="AN180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694</v>
      </c>
      <c r="B181" s="7">
        <v>4052</v>
      </c>
      <c r="C181" s="21" t="s">
        <v>206</v>
      </c>
      <c r="D181" s="21" t="s">
        <v>433</v>
      </c>
      <c r="E181" s="13">
        <v>42868.539027777777</v>
      </c>
      <c r="F181" s="13">
        <v>42868.556377314817</v>
      </c>
      <c r="G181" s="7">
        <v>1</v>
      </c>
      <c r="H181" s="21" t="s">
        <v>527</v>
      </c>
      <c r="I181" s="13">
        <v>42868.564895833333</v>
      </c>
      <c r="J181" s="7">
        <v>0</v>
      </c>
      <c r="K181" s="92" t="str">
        <f t="shared" si="63"/>
        <v>4051/4052</v>
      </c>
      <c r="L181" s="21" t="str">
        <f>VLOOKUP(A181,'Trips&amp;Operators'!$C$1:$G$99999,5,FALSE)</f>
        <v>MACDONALD THOMAS</v>
      </c>
      <c r="M181" s="6">
        <f t="shared" si="64"/>
        <v>8.5185185162117705E-3</v>
      </c>
      <c r="N181" s="7">
        <f t="shared" si="86"/>
        <v>12.266666663344949</v>
      </c>
      <c r="O181" s="7"/>
      <c r="P181" s="7"/>
      <c r="Q181" s="22"/>
      <c r="R181" s="190"/>
      <c r="S181" s="196">
        <f t="shared" si="87"/>
        <v>1</v>
      </c>
      <c r="T181" s="190" t="str">
        <f t="shared" si="65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66"/>
        <v>https://d0f6bd738d7f1b3e5a7ca70fe4ff75f0.us-east-1.aws.found.io/app/kibana#/discover/Steve-Slow-Train-Analysis-(2080s-and-2083s)?_g=(refreshInterval:(display:Off,pause:!f,section:0,value:0),time:(from:'2017-05-13T11:56:12-0600',mode:absolute,to:'2017-05-13T14:33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192" t="str">
        <f t="shared" si="67"/>
        <v>N</v>
      </c>
      <c r="X181" s="192">
        <f t="shared" si="89"/>
        <v>1</v>
      </c>
      <c r="Y181" s="192">
        <f t="shared" si="91"/>
        <v>9.4799999999999995E-2</v>
      </c>
      <c r="Z181" s="192">
        <f t="shared" si="90"/>
        <v>5.8954000000000004</v>
      </c>
      <c r="AA181" s="192">
        <f t="shared" si="68"/>
        <v>5.8006000000000002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9"/>
        <v>1815-13</v>
      </c>
      <c r="AE181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81" s="77" t="str">
        <f t="shared" si="71"/>
        <v>"C:\Program Files (x86)\AstroGrep\AstroGrep.exe" /e /r /s /spath="%USERPROFILE%\AppData\Local\Temp\OnboardLogs" /stypes="app*4052*20170513*" /stext=" 19:.+((SYSTEM_STATE.+slice.+state.+changed )|(ment ac)|(multiple cpu faults)|(system.+state.+changed )|(\[timeout)|(PRM\|1\|D)|(kpr)|(kdp)|(train st.+moving)|(\|lc)|(penalty))"</v>
      </c>
      <c r="AG181" s="1" t="str">
        <f t="shared" si="72"/>
        <v>NW</v>
      </c>
      <c r="AH181" s="81" t="str">
        <f t="shared" si="73"/>
        <v>"%USERPROFILE%\Documents\GitHub\eaglep3\Utilities\RefineRTDCRunTimes.py" --tripid 1815-13 --locoid 4052 --swversion DE.1.0.9.0 --startMP 204:948 --initTime 2017-05-13T12:56:12 --startdatetime 2017-05-13T13:21:11 --delay 1 --endMP 300:58954 --enddatetime 2017-05-13T13:33:27 --enforcementcount 0 &gt;&gt;C:\Users\stu\Documents\GitHub\eaglep3-reporting\EC\2017-05-13-refined-times.txt</v>
      </c>
      <c r="AI181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{"issue":{"subject":"","project_id":79,"tracker_id":40,"status_id":1,"priority_id":2,"assigned_to_id":23,"start_date":"2017-05-13","description":"","custom_fields":[{"id":1,"name":"Subdivision","value":"NW"},{"id":4,"name":"Milepost","value":"5.8954"},{"id":17,"name":"Train ID","value":"1815-13"},{"id":16,"name":"Locomotive ID","value":"4052"},{"id":130,"name":"Impact","value":""},{"id":150,"name":"Time of Event (Mountain Time)","value":"13:33:27"},{"id":151,"name":"Denver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5"/>
        <v>start /low /b %USERPROFILE%\Documents\GitHub\eaglep3\Utilities\DownloadLogsFromS3.py --loco 4052 --day 2017-05-13</v>
      </c>
      <c r="AN181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19:33:27"},{"id":29,"name":"Sharepoint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557</v>
      </c>
      <c r="B182" s="7">
        <v>4051</v>
      </c>
      <c r="C182" s="21" t="s">
        <v>206</v>
      </c>
      <c r="D182" s="21" t="s">
        <v>869</v>
      </c>
      <c r="E182" s="13">
        <v>42868.565949074073</v>
      </c>
      <c r="F182" s="13">
        <v>42868.567071759258</v>
      </c>
      <c r="G182" s="7">
        <v>1</v>
      </c>
      <c r="H182" s="21" t="s">
        <v>870</v>
      </c>
      <c r="I182" s="13">
        <v>42868.579583333332</v>
      </c>
      <c r="J182" s="7">
        <v>0</v>
      </c>
      <c r="K182" s="92" t="str">
        <f t="shared" si="63"/>
        <v>4051/4052</v>
      </c>
      <c r="L182" s="21" t="str">
        <f>VLOOKUP(A182,'Trips&amp;Operators'!$C$1:$G$99999,5,FALSE)</f>
        <v>MACDONALD THOMAS</v>
      </c>
      <c r="M182" s="6">
        <f t="shared" si="64"/>
        <v>1.2511574073869269E-2</v>
      </c>
      <c r="N182" s="7">
        <f t="shared" si="86"/>
        <v>18.016666666371748</v>
      </c>
      <c r="O182" s="7"/>
      <c r="P182" s="7"/>
      <c r="Q182" s="22"/>
      <c r="R182" s="190"/>
      <c r="S182" s="196">
        <f t="shared" si="87"/>
        <v>1</v>
      </c>
      <c r="T182" s="190" t="str">
        <f t="shared" si="65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66"/>
        <v>https://d0f6bd738d7f1b3e5a7ca70fe4ff75f0.us-east-1.aws.found.io/app/kibana#/discover/Steve-Slow-Train-Analysis-(2080s-and-2083s)?_g=(refreshInterval:(display:Off,pause:!f,section:0,value:0),time:(from:'2017-05-13T12:34:58-0600',mode:absolute,to:'2017-05-13T14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192" t="str">
        <f t="shared" si="67"/>
        <v>N</v>
      </c>
      <c r="X182" s="192">
        <f t="shared" si="89"/>
        <v>1</v>
      </c>
      <c r="Y182" s="192">
        <f t="shared" si="91"/>
        <v>5.8623000000000003</v>
      </c>
      <c r="Z182" s="192">
        <f t="shared" si="90"/>
        <v>7.17E-2</v>
      </c>
      <c r="AA182" s="192">
        <f t="shared" si="68"/>
        <v>5.7906000000000004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9"/>
        <v>1816-13</v>
      </c>
      <c r="AE182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82" s="77" t="str">
        <f t="shared" si="71"/>
        <v>"C:\Program Files (x86)\AstroGrep\AstroGrep.exe" /e /r /s /spath="%USERPROFILE%\AppData\Local\Temp\OnboardLogs" /stypes="app*4051*20170513*" /stext=" 19:.+((SYSTEM_STATE.+slice.+state.+changed )|(ment ac)|(multiple cpu faults)|(system.+state.+changed )|(\[timeout)|(PRM\|1\|D)|(kpr)|(kdp)|(train st.+moving)|(\|lc)|(penalty))"</v>
      </c>
      <c r="AG182" s="1" t="str">
        <f t="shared" si="72"/>
        <v>NW</v>
      </c>
      <c r="AH182" s="81" t="str">
        <f t="shared" si="73"/>
        <v>"%USERPROFILE%\Documents\GitHub\eaglep3\Utilities\RefineRTDCRunTimes.py" --tripid 1816-13 --locoid 4051 --swversion DE.1.0.9.0 --startMP 300:58623 --initTime 2017-05-13T13:34:58 --startdatetime 2017-05-13T13:36:35 --delay 1 --endMP 204:717 --enddatetime 2017-05-13T13:54:36 --enforcementcount 0 &gt;&gt;C:\Users\stu\Documents\GitHub\eaglep3-reporting\EC\2017-05-13-refined-times.txt</v>
      </c>
      <c r="AI182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{"issue":{"subject":"","project_id":79,"tracker_id":40,"status_id":1,"priority_id":2,"assigned_to_id":23,"start_date":"2017-05-13","description":"","custom_fields":[{"id":1,"name":"Subdivision","value":"NW"},{"id":4,"name":"Milepost","value":"0.0717"},{"id":17,"name":"Train ID","value":"1816-13"},{"id":16,"name":"Locomotive ID","value":"4051"},{"id":130,"name":"Impact","value":""},{"id":150,"name":"Time of Event (Mountain Time)","value":"13:54:36"},{"id":151,"name":"Denver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5"/>
        <v>start /low /b %USERPROFILE%\Documents\GitHub\eaglep3\Utilities\DownloadLogsFromS3.py --loco 4051 --day 2017-05-13</v>
      </c>
      <c r="AN182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19:54:36"},{"id":29,"name":"Sharepoint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702</v>
      </c>
      <c r="B183" s="7">
        <v>4052</v>
      </c>
      <c r="C183" s="21" t="s">
        <v>206</v>
      </c>
      <c r="D183" s="21" t="s">
        <v>856</v>
      </c>
      <c r="E183" s="13">
        <v>42868.59578703704</v>
      </c>
      <c r="F183" s="13">
        <v>42868.598078703704</v>
      </c>
      <c r="G183" s="7">
        <v>1</v>
      </c>
      <c r="H183" s="21" t="s">
        <v>871</v>
      </c>
      <c r="I183" s="13">
        <v>42868.606828703705</v>
      </c>
      <c r="J183" s="7">
        <v>0</v>
      </c>
      <c r="K183" s="92" t="str">
        <f t="shared" si="63"/>
        <v>4051/4052</v>
      </c>
      <c r="L183" s="21" t="str">
        <f>VLOOKUP(A183,'Trips&amp;Operators'!$C$1:$G$99999,5,FALSE)</f>
        <v>HELVIE ADAM</v>
      </c>
      <c r="M183" s="6">
        <f t="shared" si="64"/>
        <v>8.7500000008731149E-3</v>
      </c>
      <c r="N183" s="7">
        <f t="shared" si="86"/>
        <v>12.600000001257285</v>
      </c>
      <c r="O183" s="7"/>
      <c r="P183" s="7"/>
      <c r="Q183" s="22"/>
      <c r="R183" s="190"/>
      <c r="S183" s="196">
        <f t="shared" si="87"/>
        <v>1</v>
      </c>
      <c r="T183" s="190" t="str">
        <f t="shared" si="65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66"/>
        <v>https://d0f6bd738d7f1b3e5a7ca70fe4ff75f0.us-east-1.aws.found.io/app/kibana#/discover/Steve-Slow-Train-Analysis-(2080s-and-2083s)?_g=(refreshInterval:(display:Off,pause:!f,section:0,value:0),time:(from:'2017-05-13T13:17:56-0600',mode:absolute,to:'2017-05-13T15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192" t="str">
        <f t="shared" si="67"/>
        <v>N</v>
      </c>
      <c r="X183" s="192">
        <f t="shared" si="89"/>
        <v>1</v>
      </c>
      <c r="Y183" s="192">
        <f t="shared" si="91"/>
        <v>0.1014</v>
      </c>
      <c r="Z183" s="192">
        <f t="shared" si="90"/>
        <v>5.8928000000000003</v>
      </c>
      <c r="AA183" s="192">
        <f t="shared" si="68"/>
        <v>5.7914000000000003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9"/>
        <v>1817-13</v>
      </c>
      <c r="AE183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83" s="77" t="str">
        <f t="shared" si="71"/>
        <v>"C:\Program Files (x86)\AstroGrep\AstroGrep.exe" /e /r /s /spath="%USERPROFILE%\AppData\Local\Temp\OnboardLogs" /stypes="app*4052*20170513*" /stext=" 20:.+((SYSTEM_STATE.+slice.+state.+changed )|(ment ac)|(multiple cpu faults)|(system.+state.+changed )|(\[timeout)|(PRM\|1\|D)|(kpr)|(kdp)|(train st.+moving)|(\|lc)|(penalty))"</v>
      </c>
      <c r="AG183" s="1" t="str">
        <f t="shared" si="72"/>
        <v>NW</v>
      </c>
      <c r="AH183" s="81" t="str">
        <f t="shared" si="73"/>
        <v>"%USERPROFILE%\Documents\GitHub\eaglep3\Utilities\RefineRTDCRunTimes.py" --tripid 1817-13 --locoid 4052 --swversion DE.1.0.9.0 --startMP 204:1014 --initTime 2017-05-13T14:17:56 --startdatetime 2017-05-13T14:21:14 --delay 1 --endMP 300:58928 --enddatetime 2017-05-13T14:33:50 --enforcementcount 0 &gt;&gt;C:\Users\stu\Documents\GitHub\eaglep3-reporting\EC\2017-05-13-refined-times.txt</v>
      </c>
      <c r="AI183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{"issue":{"subject":"","project_id":79,"tracker_id":40,"status_id":1,"priority_id":2,"assigned_to_id":23,"start_date":"2017-05-13","description":"","custom_fields":[{"id":1,"name":"Subdivision","value":"NW"},{"id":4,"name":"Milepost","value":"5.8928"},{"id":17,"name":"Train ID","value":"1817-13"},{"id":16,"name":"Locomotive ID","value":"4052"},{"id":130,"name":"Impact","value":""},{"id":150,"name":"Time of Event (Mountain Time)","value":"14:33:50"},{"id":151,"name":"Denver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5"/>
        <v>start /low /b %USERPROFILE%\Documents\GitHub\eaglep3\Utilities\DownloadLogsFromS3.py --loco 4052 --day 2017-05-13</v>
      </c>
      <c r="AN183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707</v>
      </c>
      <c r="B184" s="7">
        <v>4051</v>
      </c>
      <c r="C184" s="21" t="s">
        <v>206</v>
      </c>
      <c r="D184" s="21" t="s">
        <v>872</v>
      </c>
      <c r="E184" s="13">
        <v>42868.61</v>
      </c>
      <c r="F184" s="13">
        <v>42868.612129629626</v>
      </c>
      <c r="G184" s="7">
        <v>1</v>
      </c>
      <c r="H184" s="21" t="s">
        <v>873</v>
      </c>
      <c r="I184" s="13">
        <v>42868.62090277778</v>
      </c>
      <c r="J184" s="7">
        <v>0</v>
      </c>
      <c r="K184" s="92" t="str">
        <f t="shared" si="63"/>
        <v>4051/4052</v>
      </c>
      <c r="L184" s="21" t="str">
        <f>VLOOKUP(A184,'Trips&amp;Operators'!$C$1:$G$99999,5,FALSE)</f>
        <v>HELVIE ADAM</v>
      </c>
      <c r="M184" s="6">
        <f t="shared" si="64"/>
        <v>8.7731481544324197E-3</v>
      </c>
      <c r="N184" s="7">
        <f t="shared" si="86"/>
        <v>12.633333342382684</v>
      </c>
      <c r="O184" s="7"/>
      <c r="P184" s="7"/>
      <c r="Q184" s="22"/>
      <c r="R184" s="190"/>
      <c r="S184" s="196">
        <f t="shared" si="87"/>
        <v>1</v>
      </c>
      <c r="T184" s="190" t="str">
        <f t="shared" si="65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66"/>
        <v>https://d0f6bd738d7f1b3e5a7ca70fe4ff75f0.us-east-1.aws.found.io/app/kibana#/discover/Steve-Slow-Train-Analysis-(2080s-and-2083s)?_g=(refreshInterval:(display:Off,pause:!f,section:0,value:0),time:(from:'2017-05-13T13:38:24-0600',mode:absolute,to:'2017-05-13T15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192" t="str">
        <f t="shared" si="67"/>
        <v>N</v>
      </c>
      <c r="X184" s="192">
        <f t="shared" si="89"/>
        <v>1</v>
      </c>
      <c r="Y184" s="192">
        <f t="shared" si="91"/>
        <v>5.8611000000000004</v>
      </c>
      <c r="Z184" s="192">
        <f t="shared" si="90"/>
        <v>7.5499999999999998E-2</v>
      </c>
      <c r="AA184" s="192">
        <f t="shared" si="68"/>
        <v>5.7856000000000005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9"/>
        <v>1818-13</v>
      </c>
      <c r="AE184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84" s="77" t="str">
        <f t="shared" si="71"/>
        <v>"C:\Program Files (x86)\AstroGrep\AstroGrep.exe" /e /r /s /spath="%USERPROFILE%\AppData\Local\Temp\OnboardLogs" /stypes="app*4051*20170513*" /stext=" 20:.+((SYSTEM_STATE.+slice.+state.+changed )|(ment ac)|(multiple cpu faults)|(system.+state.+changed )|(\[timeout)|(PRM\|1\|D)|(kpr)|(kdp)|(train st.+moving)|(\|lc)|(penalty))"</v>
      </c>
      <c r="AG184" s="1" t="str">
        <f t="shared" si="72"/>
        <v>NW</v>
      </c>
      <c r="AH184" s="81" t="str">
        <f t="shared" si="73"/>
        <v>"%USERPROFILE%\Documents\GitHub\eaglep3\Utilities\RefineRTDCRunTimes.py" --tripid 1818-13 --locoid 4051 --swversion DE.1.0.9.0 --startMP 300:58611 --initTime 2017-05-13T14:38:24 --startdatetime 2017-05-13T14:41:28 --delay 1 --endMP 204:755 --enddatetime 2017-05-13T14:54:06 --enforcementcount 0 &gt;&gt;C:\Users\stu\Documents\GitHub\eaglep3-reporting\EC\2017-05-13-refined-times.txt</v>
      </c>
      <c r="AI184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{"issue":{"subject":"","project_id":79,"tracker_id":40,"status_id":1,"priority_id":2,"assigned_to_id":23,"start_date":"2017-05-13","description":"","custom_fields":[{"id":1,"name":"Subdivision","value":"NW"},{"id":4,"name":"Milepost","value":"0.0755"},{"id":17,"name":"Train ID","value":"1818-13"},{"id":16,"name":"Locomotive ID","value":"4051"},{"id":130,"name":"Impact","value":""},{"id":150,"name":"Time of Event (Mountain Time)","value":"14:54:06"},{"id":151,"name":"Denver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5"/>
        <v>start /low /b %USERPROFILE%\Documents\GitHub\eaglep3\Utilities\DownloadLogsFromS3.py --loco 4051 --day 2017-05-13</v>
      </c>
      <c r="AN184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712</v>
      </c>
      <c r="B185" s="7">
        <v>4052</v>
      </c>
      <c r="C185" s="21" t="s">
        <v>206</v>
      </c>
      <c r="D185" s="21" t="s">
        <v>874</v>
      </c>
      <c r="E185" s="13">
        <v>42868.637754629628</v>
      </c>
      <c r="F185" s="13">
        <v>42868.639756944445</v>
      </c>
      <c r="G185" s="7">
        <v>1</v>
      </c>
      <c r="H185" s="21" t="s">
        <v>532</v>
      </c>
      <c r="I185" s="13">
        <v>42868.648923611108</v>
      </c>
      <c r="J185" s="7">
        <v>0</v>
      </c>
      <c r="K185" s="92" t="str">
        <f t="shared" si="63"/>
        <v>4051/4052</v>
      </c>
      <c r="L185" s="21" t="str">
        <f>VLOOKUP(A185,'Trips&amp;Operators'!$C$1:$G$99999,5,FALSE)</f>
        <v>HELVIE ADAM</v>
      </c>
      <c r="M185" s="6">
        <f t="shared" si="64"/>
        <v>9.1666666630771942E-3</v>
      </c>
      <c r="N185" s="7">
        <f t="shared" si="86"/>
        <v>13.19999999483116</v>
      </c>
      <c r="O185" s="7"/>
      <c r="P185" s="7"/>
      <c r="Q185" s="22"/>
      <c r="R185" s="190"/>
      <c r="S185" s="196">
        <f t="shared" si="87"/>
        <v>1</v>
      </c>
      <c r="T185" s="190" t="str">
        <f t="shared" si="65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66"/>
        <v>https://d0f6bd738d7f1b3e5a7ca70fe4ff75f0.us-east-1.aws.found.io/app/kibana#/discover/Steve-Slow-Train-Analysis-(2080s-and-2083s)?_g=(refreshInterval:(display:Off,pause:!f,section:0,value:0),time:(from:'2017-05-13T14:18:22-0600',mode:absolute,to:'2017-05-13T16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192" t="str">
        <f t="shared" si="67"/>
        <v>N</v>
      </c>
      <c r="X185" s="192">
        <f t="shared" si="89"/>
        <v>1</v>
      </c>
      <c r="Y185" s="192">
        <f t="shared" si="91"/>
        <v>0.1051</v>
      </c>
      <c r="Z185" s="192">
        <f t="shared" si="90"/>
        <v>5.8935000000000004</v>
      </c>
      <c r="AA185" s="192">
        <f t="shared" si="68"/>
        <v>5.7884000000000002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9"/>
        <v>1819-13</v>
      </c>
      <c r="AE185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85" s="77" t="str">
        <f t="shared" si="71"/>
        <v>"C:\Program Files (x86)\AstroGrep\AstroGrep.exe" /e /r /s /spath="%USERPROFILE%\AppData\Local\Temp\OnboardLogs" /stypes="app*4052*20170513*" /stext=" 21:.+((SYSTEM_STATE.+slice.+state.+changed )|(ment ac)|(multiple cpu faults)|(system.+state.+changed )|(\[timeout)|(PRM\|1\|D)|(kpr)|(kdp)|(train st.+moving)|(\|lc)|(penalty))"</v>
      </c>
      <c r="AG185" s="1" t="str">
        <f t="shared" si="72"/>
        <v>NW</v>
      </c>
      <c r="AH185" s="81" t="str">
        <f t="shared" si="73"/>
        <v>"%USERPROFILE%\Documents\GitHub\eaglep3\Utilities\RefineRTDCRunTimes.py" --tripid 1819-13 --locoid 4052 --swversion DE.1.0.9.0 --startMP 204:1051 --initTime 2017-05-13T15:18:22 --startdatetime 2017-05-13T15:21:15 --delay 1 --endMP 300:58935 --enddatetime 2017-05-13T15:34:27 --enforcementcount 0 &gt;&gt;C:\Users\stu\Documents\GitHub\eaglep3-reporting\EC\2017-05-13-refined-times.txt</v>
      </c>
      <c r="AI185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{"issue":{"subject":"","project_id":79,"tracker_id":40,"status_id":1,"priority_id":2,"assigned_to_id":23,"start_date":"2017-05-13","description":"","custom_fields":[{"id":1,"name":"Subdivision","value":"NW"},{"id":4,"name":"Milepost","value":"5.8935"},{"id":17,"name":"Train ID","value":"1819-13"},{"id":16,"name":"Locomotive ID","value":"4052"},{"id":130,"name":"Impact","value":""},{"id":150,"name":"Time of Event (Mountain Time)","value":"15:34:27"},{"id":151,"name":"Denver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5"/>
        <v>start /low /b %USERPROFILE%\Documents\GitHub\eaglep3\Utilities\DownloadLogsFromS3.py --loco 4052 --day 2017-05-13</v>
      </c>
      <c r="AN185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714</v>
      </c>
      <c r="B186" s="7">
        <v>4051</v>
      </c>
      <c r="C186" s="21" t="s">
        <v>206</v>
      </c>
      <c r="D186" s="21" t="s">
        <v>533</v>
      </c>
      <c r="E186" s="13">
        <v>42868.650543981479</v>
      </c>
      <c r="F186" s="13">
        <v>42868.651967592596</v>
      </c>
      <c r="G186" s="7">
        <v>1</v>
      </c>
      <c r="H186" s="21" t="s">
        <v>876</v>
      </c>
      <c r="I186" s="13">
        <v>42868.662581018521</v>
      </c>
      <c r="J186" s="7">
        <v>0</v>
      </c>
      <c r="K186" s="92" t="str">
        <f t="shared" si="63"/>
        <v>4051/4052</v>
      </c>
      <c r="L186" s="21" t="str">
        <f>VLOOKUP(A186,'Trips&amp;Operators'!$C$1:$G$99999,5,FALSE)</f>
        <v>HELVIE ADAM</v>
      </c>
      <c r="M186" s="6">
        <f t="shared" si="64"/>
        <v>1.0613425925839692E-2</v>
      </c>
      <c r="N186" s="7">
        <f t="shared" si="86"/>
        <v>15.283333333209157</v>
      </c>
      <c r="O186" s="7"/>
      <c r="P186" s="7"/>
      <c r="Q186" s="22"/>
      <c r="R186" s="190"/>
      <c r="S186" s="196">
        <f t="shared" si="87"/>
        <v>1</v>
      </c>
      <c r="T186" s="190" t="str">
        <f t="shared" si="65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66"/>
        <v>https://d0f6bd738d7f1b3e5a7ca70fe4ff75f0.us-east-1.aws.found.io/app/kibana#/discover/Steve-Slow-Train-Analysis-(2080s-and-2083s)?_g=(refreshInterval:(display:Off,pause:!f,section:0,value:0),time:(from:'2017-05-13T14:36:47-0600',mode:absolute,to:'2017-05-13T16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192" t="str">
        <f t="shared" si="67"/>
        <v>N</v>
      </c>
      <c r="X186" s="192">
        <f t="shared" si="89"/>
        <v>1</v>
      </c>
      <c r="Y186" s="192">
        <f t="shared" si="91"/>
        <v>5.8615000000000004</v>
      </c>
      <c r="Z186" s="192">
        <f t="shared" si="90"/>
        <v>8.1000000000000003E-2</v>
      </c>
      <c r="AA186" s="192">
        <f t="shared" si="68"/>
        <v>5.7805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9"/>
        <v>1820-13</v>
      </c>
      <c r="AE186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86" s="77" t="str">
        <f t="shared" si="71"/>
        <v>"C:\Program Files (x86)\AstroGrep\AstroGrep.exe" /e /r /s /spath="%USERPROFILE%\AppData\Local\Temp\OnboardLogs" /stypes="app*4051*20170513*" /stext=" 21:.+((SYSTEM_STATE.+slice.+state.+changed )|(ment ac)|(multiple cpu faults)|(system.+state.+changed )|(\[timeout)|(PRM\|1\|D)|(kpr)|(kdp)|(train st.+moving)|(\|lc)|(penalty))"</v>
      </c>
      <c r="AG186" s="1" t="str">
        <f t="shared" si="72"/>
        <v>NW</v>
      </c>
      <c r="AH186" s="81" t="str">
        <f t="shared" si="73"/>
        <v>"%USERPROFILE%\Documents\GitHub\eaglep3\Utilities\RefineRTDCRunTimes.py" --tripid 1820-13 --locoid 4051 --swversion DE.1.0.9.0 --startMP 300:58615 --initTime 2017-05-13T15:36:47 --startdatetime 2017-05-13T15:38:50 --delay 1 --endMP 204:810 --enddatetime 2017-05-13T15:54:07 --enforcementcount 0 &gt;&gt;C:\Users\stu\Documents\GitHub\eaglep3-reporting\EC\2017-05-13-refined-times.txt</v>
      </c>
      <c r="AI186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{"issue":{"subject":"","project_id":79,"tracker_id":40,"status_id":1,"priority_id":2,"assigned_to_id":23,"start_date":"2017-05-13","description":"","custom_fields":[{"id":1,"name":"Subdivision","value":"NW"},{"id":4,"name":"Milepost","value":"0.081"},{"id":17,"name":"Train ID","value":"1820-13"},{"id":16,"name":"Locomotive ID","value":"4051"},{"id":130,"name":"Impact","value":""},{"id":150,"name":"Time of Event (Mountain Time)","value":"15:54:07"},{"id":151,"name":"Denver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5"/>
        <v>start /low /b %USERPROFILE%\Documents\GitHub\eaglep3\Utilities\DownloadLogsFromS3.py --loco 4051 --day 2017-05-13</v>
      </c>
      <c r="AN186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21:54:07"},{"id":29,"name":"Sharepoint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719</v>
      </c>
      <c r="B187" s="7">
        <v>4052</v>
      </c>
      <c r="C187" s="21" t="s">
        <v>206</v>
      </c>
      <c r="D187" s="21" t="s">
        <v>877</v>
      </c>
      <c r="E187" s="13">
        <v>42868.680405092593</v>
      </c>
      <c r="F187" s="13">
        <v>42868.681689814817</v>
      </c>
      <c r="G187" s="7">
        <v>1</v>
      </c>
      <c r="H187" s="21" t="s">
        <v>481</v>
      </c>
      <c r="I187" s="13">
        <v>42868.69059027778</v>
      </c>
      <c r="J187" s="7">
        <v>0</v>
      </c>
      <c r="K187" s="92" t="str">
        <f t="shared" si="63"/>
        <v>4051/4052</v>
      </c>
      <c r="L187" s="21" t="str">
        <f>VLOOKUP(A187,'Trips&amp;Operators'!$C$1:$G$99999,5,FALSE)</f>
        <v>HELVIE ADAM</v>
      </c>
      <c r="M187" s="6">
        <f t="shared" si="64"/>
        <v>8.9004629626288079E-3</v>
      </c>
      <c r="N187" s="7">
        <f t="shared" si="86"/>
        <v>12.816666666185483</v>
      </c>
      <c r="O187" s="7"/>
      <c r="P187" s="7"/>
      <c r="Q187" s="22"/>
      <c r="R187" s="190"/>
      <c r="S187" s="196">
        <f t="shared" si="87"/>
        <v>1</v>
      </c>
      <c r="T187" s="190" t="str">
        <f t="shared" si="65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66"/>
        <v>https://d0f6bd738d7f1b3e5a7ca70fe4ff75f0.us-east-1.aws.found.io/app/kibana#/discover/Steve-Slow-Train-Analysis-(2080s-and-2083s)?_g=(refreshInterval:(display:Off,pause:!f,section:0,value:0),time:(from:'2017-05-13T15:19:47-0600',mode:absolute,to:'2017-05-13T17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7" s="192" t="str">
        <f t="shared" si="67"/>
        <v>N</v>
      </c>
      <c r="X187" s="192">
        <f t="shared" si="89"/>
        <v>1</v>
      </c>
      <c r="Y187" s="192">
        <f t="shared" si="91"/>
        <v>0.1118</v>
      </c>
      <c r="Z187" s="192">
        <f t="shared" si="90"/>
        <v>5.8933</v>
      </c>
      <c r="AA187" s="192">
        <f t="shared" si="68"/>
        <v>5.7815000000000003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9"/>
        <v>1821-13</v>
      </c>
      <c r="AE187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87" s="77" t="str">
        <f t="shared" si="71"/>
        <v>"C:\Program Files (x86)\AstroGrep\AstroGrep.exe" /e /r /s /spath="%USERPROFILE%\AppData\Local\Temp\OnboardLogs" /stypes="app*4052*20170513*" /stext=" 22:.+((SYSTEM_STATE.+slice.+state.+changed )|(ment ac)|(multiple cpu faults)|(system.+state.+changed )|(\[timeout)|(PRM\|1\|D)|(kpr)|(kdp)|(train st.+moving)|(\|lc)|(penalty))"</v>
      </c>
      <c r="AG187" s="1" t="str">
        <f t="shared" si="72"/>
        <v>NW</v>
      </c>
      <c r="AH187" s="81" t="str">
        <f t="shared" si="73"/>
        <v>"%USERPROFILE%\Documents\GitHub\eaglep3\Utilities\RefineRTDCRunTimes.py" --tripid 1821-13 --locoid 4052 --swversion DE.1.0.9.0 --startMP 204:1118 --initTime 2017-05-13T16:19:47 --startdatetime 2017-05-13T16:21:38 --delay 1 --endMP 300:58933 --enddatetime 2017-05-13T16:34:27 --enforcementcount 0 &gt;&gt;C:\Users\stu\Documents\GitHub\eaglep3-reporting\EC\2017-05-13-refined-times.txt</v>
      </c>
      <c r="AI187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{"issue":{"subject":"","project_id":79,"tracker_id":40,"status_id":1,"priority_id":2,"assigned_to_id":23,"start_date":"2017-05-13","description":"","custom_fields":[{"id":1,"name":"Subdivision","value":"NW"},{"id":4,"name":"Milepost","value":"5.8933"},{"id":17,"name":"Train ID","value":"1821-13"},{"id":16,"name":"Locomotive ID","value":"4052"},{"id":130,"name":"Impact","value":""},{"id":150,"name":"Time of Event (Mountain Time)","value":"16:34:27"},{"id":151,"name":"Denver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5"/>
        <v>start /low /b %USERPROFILE%\Documents\GitHub\eaglep3\Utilities\DownloadLogsFromS3.py --loco 4052 --day 2017-05-13</v>
      </c>
      <c r="AN187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722</v>
      </c>
      <c r="B188" s="7">
        <v>4051</v>
      </c>
      <c r="C188" s="21" t="s">
        <v>206</v>
      </c>
      <c r="D188" s="21" t="s">
        <v>533</v>
      </c>
      <c r="E188" s="13">
        <v>42868.69158564815</v>
      </c>
      <c r="F188" s="13">
        <v>42868.693460648145</v>
      </c>
      <c r="G188" s="7">
        <v>1</v>
      </c>
      <c r="H188" s="21" t="s">
        <v>873</v>
      </c>
      <c r="I188" s="13">
        <v>42868.704224537039</v>
      </c>
      <c r="J188" s="7">
        <v>0</v>
      </c>
      <c r="K188" s="92" t="str">
        <f t="shared" si="63"/>
        <v>4051/4052</v>
      </c>
      <c r="L188" s="21" t="str">
        <f>VLOOKUP(A188,'Trips&amp;Operators'!$C$1:$G$99999,5,FALSE)</f>
        <v>HELVIE ADAM</v>
      </c>
      <c r="M188" s="6">
        <f t="shared" si="64"/>
        <v>1.0763888894871343E-2</v>
      </c>
      <c r="N188" s="7">
        <f t="shared" ref="N188:N219" si="92">24*60*SUM($M188:$M188)</f>
        <v>15.500000008614734</v>
      </c>
      <c r="O188" s="7"/>
      <c r="P188" s="7"/>
      <c r="Q188" s="22"/>
      <c r="R188" s="190"/>
      <c r="S188" s="196">
        <f t="shared" ref="S188:S219" si="93">SUM(U188:U188)/IF(AG188="EC",12,1)</f>
        <v>1</v>
      </c>
      <c r="T188" s="190" t="str">
        <f t="shared" si="65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66"/>
        <v>https://d0f6bd738d7f1b3e5a7ca70fe4ff75f0.us-east-1.aws.found.io/app/kibana#/discover/Steve-Slow-Train-Analysis-(2080s-and-2083s)?_g=(refreshInterval:(display:Off,pause:!f,section:0,value:0),time:(from:'2017-05-13T15:35:53-0600',mode:absolute,to:'2017-05-13T17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8" s="192" t="str">
        <f t="shared" si="67"/>
        <v>N</v>
      </c>
      <c r="X188" s="192">
        <f t="shared" si="89"/>
        <v>1</v>
      </c>
      <c r="Y188" s="192">
        <f t="shared" si="91"/>
        <v>5.8615000000000004</v>
      </c>
      <c r="Z188" s="192">
        <f t="shared" si="90"/>
        <v>7.5499999999999998E-2</v>
      </c>
      <c r="AA188" s="192">
        <f t="shared" si="68"/>
        <v>5.7860000000000005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9"/>
        <v>1822-13</v>
      </c>
      <c r="AE188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88" s="77" t="str">
        <f t="shared" si="71"/>
        <v>"C:\Program Files (x86)\AstroGrep\AstroGrep.exe" /e /r /s /spath="%USERPROFILE%\AppData\Local\Temp\OnboardLogs" /stypes="app*4051*20170513*" /stext=" 22:.+((SYSTEM_STATE.+slice.+state.+changed )|(ment ac)|(multiple cpu faults)|(system.+state.+changed )|(\[timeout)|(PRM\|1\|D)|(kpr)|(kdp)|(train st.+moving)|(\|lc)|(penalty))"</v>
      </c>
      <c r="AG188" s="1" t="str">
        <f t="shared" si="72"/>
        <v>NW</v>
      </c>
      <c r="AH188" s="81" t="str">
        <f t="shared" si="73"/>
        <v>"%USERPROFILE%\Documents\GitHub\eaglep3\Utilities\RefineRTDCRunTimes.py" --tripid 1822-13 --locoid 4051 --swversion DE.1.0.9.0 --startMP 300:58615 --initTime 2017-05-13T16:35:53 --startdatetime 2017-05-13T16:38:35 --delay 1 --endMP 204:755 --enddatetime 2017-05-13T16:54:05 --enforcementcount 0 &gt;&gt;C:\Users\stu\Documents\GitHub\eaglep3-reporting\EC\2017-05-13-refined-times.txt</v>
      </c>
      <c r="AI188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{"issue":{"subject":"","project_id":79,"tracker_id":40,"status_id":1,"priority_id":2,"assigned_to_id":23,"start_date":"2017-05-13","description":"","custom_fields":[{"id":1,"name":"Subdivision","value":"NW"},{"id":4,"name":"Milepost","value":"0.0755"},{"id":17,"name":"Train ID","value":"1822-13"},{"id":16,"name":"Locomotive ID","value":"4051"},{"id":130,"name":"Impact","value":""},{"id":150,"name":"Time of Event (Mountain Time)","value":"16:54:05"},{"id":151,"name":"Denver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5"/>
        <v>start /low /b %USERPROFILE%\Documents\GitHub\eaglep3\Utilities\DownloadLogsFromS3.py --loco 4051 --day 2017-05-13</v>
      </c>
      <c r="AN188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22:54:05"},{"id":29,"name":"Sharepoint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726</v>
      </c>
      <c r="B189" s="7">
        <v>4052</v>
      </c>
      <c r="C189" s="21" t="s">
        <v>206</v>
      </c>
      <c r="D189" s="21" t="s">
        <v>878</v>
      </c>
      <c r="E189" s="13">
        <v>42868.721979166665</v>
      </c>
      <c r="F189" s="13">
        <v>42868.723414351851</v>
      </c>
      <c r="G189" s="7">
        <v>1</v>
      </c>
      <c r="H189" s="21" t="s">
        <v>879</v>
      </c>
      <c r="I189" s="13">
        <v>42868.732372685183</v>
      </c>
      <c r="J189" s="7">
        <v>0</v>
      </c>
      <c r="K189" s="92" t="str">
        <f t="shared" si="63"/>
        <v>4051/4052</v>
      </c>
      <c r="L189" s="21" t="str">
        <f>VLOOKUP(A189,'Trips&amp;Operators'!$C$1:$G$99999,5,FALSE)</f>
        <v>HELVIE ADAM</v>
      </c>
      <c r="M189" s="6">
        <f t="shared" si="64"/>
        <v>8.9583333319751546E-3</v>
      </c>
      <c r="N189" s="7">
        <f t="shared" si="92"/>
        <v>12.899999998044223</v>
      </c>
      <c r="O189" s="7"/>
      <c r="P189" s="7"/>
      <c r="Q189" s="22"/>
      <c r="R189" s="190"/>
      <c r="S189" s="196">
        <f t="shared" si="93"/>
        <v>1</v>
      </c>
      <c r="T189" s="190" t="str">
        <f t="shared" si="65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66"/>
        <v>https://d0f6bd738d7f1b3e5a7ca70fe4ff75f0.us-east-1.aws.found.io/app/kibana#/discover/Steve-Slow-Train-Analysis-(2080s-and-2083s)?_g=(refreshInterval:(display:Off,pause:!f,section:0,value:0),time:(from:'2017-05-13T16:19:39-0600',mode:absolute,to:'2017-05-13T18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192" t="str">
        <f t="shared" si="67"/>
        <v>N</v>
      </c>
      <c r="X189" s="192">
        <f t="shared" si="89"/>
        <v>1</v>
      </c>
      <c r="Y189" s="192">
        <f t="shared" si="91"/>
        <v>0.10390000000000001</v>
      </c>
      <c r="Z189" s="192">
        <f t="shared" si="90"/>
        <v>5.8926999999999996</v>
      </c>
      <c r="AA189" s="192">
        <f t="shared" si="68"/>
        <v>5.7887999999999993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9"/>
        <v>1823-13</v>
      </c>
      <c r="AE189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89" s="77" t="str">
        <f t="shared" si="71"/>
        <v>"C:\Program Files (x86)\AstroGrep\AstroGrep.exe" /e /r /s /spath="%USERPROFILE%\AppData\Local\Temp\OnboardLogs" /stypes="app*4052*20170513*" /stext=" 23:.+((SYSTEM_STATE.+slice.+state.+changed )|(ment ac)|(multiple cpu faults)|(system.+state.+changed )|(\[timeout)|(PRM\|1\|D)|(kpr)|(kdp)|(train st.+moving)|(\|lc)|(penalty))"</v>
      </c>
      <c r="AG189" s="1" t="str">
        <f t="shared" si="72"/>
        <v>NW</v>
      </c>
      <c r="AH189" s="81" t="str">
        <f t="shared" si="73"/>
        <v>"%USERPROFILE%\Documents\GitHub\eaglep3\Utilities\RefineRTDCRunTimes.py" --tripid 1823-13 --locoid 4052 --swversion DE.1.0.9.0 --startMP 204:1039 --initTime 2017-05-13T17:19:39 --startdatetime 2017-05-13T17:21:43 --delay 1 --endMP 300:58927 --enddatetime 2017-05-13T17:34:37 --enforcementcount 0 &gt;&gt;C:\Users\stu\Documents\GitHub\eaglep3-reporting\EC\2017-05-13-refined-times.txt</v>
      </c>
      <c r="AI189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{"issue":{"subject":"","project_id":79,"tracker_id":40,"status_id":1,"priority_id":2,"assigned_to_id":23,"start_date":"2017-05-13","description":"","custom_fields":[{"id":1,"name":"Subdivision","value":"NW"},{"id":4,"name":"Milepost","value":"5.8927"},{"id":17,"name":"Train ID","value":"1823-13"},{"id":16,"name":"Locomotive ID","value":"4052"},{"id":130,"name":"Impact","value":""},{"id":150,"name":"Time of Event (Mountain Time)","value":"17:34:37"},{"id":151,"name":"Denver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5"/>
        <v>start /low /b %USERPROFILE%\Documents\GitHub\eaglep3\Utilities\DownloadLogsFromS3.py --loco 4052 --day 2017-05-13</v>
      </c>
      <c r="AN189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s="20" customFormat="1" x14ac:dyDescent="0.25">
      <c r="A190" s="32" t="s">
        <v>733</v>
      </c>
      <c r="B190" s="7">
        <v>4051</v>
      </c>
      <c r="C190" s="21" t="s">
        <v>206</v>
      </c>
      <c r="D190" s="21" t="s">
        <v>880</v>
      </c>
      <c r="E190" s="13">
        <v>42868.733136574076</v>
      </c>
      <c r="F190" s="13">
        <v>42868.734432870369</v>
      </c>
      <c r="G190" s="7">
        <v>1</v>
      </c>
      <c r="H190" s="21" t="s">
        <v>881</v>
      </c>
      <c r="I190" s="13">
        <v>42868.745937500003</v>
      </c>
      <c r="J190" s="7">
        <v>0</v>
      </c>
      <c r="K190" s="92" t="str">
        <f t="shared" si="63"/>
        <v>4051/4052</v>
      </c>
      <c r="L190" s="21" t="str">
        <f>VLOOKUP(A190,'Trips&amp;Operators'!$C$1:$G$99999,5,FALSE)</f>
        <v>HELVIE ADAM</v>
      </c>
      <c r="M190" s="6">
        <f t="shared" si="64"/>
        <v>1.1504629634146113E-2</v>
      </c>
      <c r="N190" s="7">
        <f t="shared" si="92"/>
        <v>16.566666673170403</v>
      </c>
      <c r="O190" s="7"/>
      <c r="P190" s="7"/>
      <c r="Q190" s="22"/>
      <c r="R190" s="190"/>
      <c r="S190" s="196">
        <f t="shared" si="93"/>
        <v>1</v>
      </c>
      <c r="T190" s="190" t="str">
        <f t="shared" si="65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66"/>
        <v>https://d0f6bd738d7f1b3e5a7ca70fe4ff75f0.us-east-1.aws.found.io/app/kibana#/discover/Steve-Slow-Train-Analysis-(2080s-and-2083s)?_g=(refreshInterval:(display:Off,pause:!f,section:0,value:0),time:(from:'2017-05-13T16:35:43-0600',mode:absolute,to:'2017-05-13T18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0" s="192" t="str">
        <f t="shared" si="67"/>
        <v>N</v>
      </c>
      <c r="X190" s="192">
        <f t="shared" si="89"/>
        <v>1</v>
      </c>
      <c r="Y190" s="192">
        <f t="shared" si="91"/>
        <v>5.8605999999999998</v>
      </c>
      <c r="Z190" s="192">
        <f t="shared" si="90"/>
        <v>7.6200000000000004E-2</v>
      </c>
      <c r="AA190" s="192">
        <f t="shared" si="68"/>
        <v>5.7843999999999998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9"/>
        <v>1824-13</v>
      </c>
      <c r="AE190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90" s="77" t="str">
        <f t="shared" si="71"/>
        <v>"C:\Program Files (x86)\AstroGrep\AstroGrep.exe" /e /r /s /spath="%USERPROFILE%\AppData\Local\Temp\OnboardLogs" /stypes="app*4051*20170513*" /stext=" 23:.+((SYSTEM_STATE.+slice.+state.+changed )|(ment ac)|(multiple cpu faults)|(system.+state.+changed )|(\[timeout)|(PRM\|1\|D)|(kpr)|(kdp)|(train st.+moving)|(\|lc)|(penalty))"</v>
      </c>
      <c r="AG190" s="1" t="str">
        <f t="shared" si="72"/>
        <v>NW</v>
      </c>
      <c r="AH190" s="81" t="str">
        <f t="shared" si="73"/>
        <v>"%USERPROFILE%\Documents\GitHub\eaglep3\Utilities\RefineRTDCRunTimes.py" --tripid 1824-13 --locoid 4051 --swversion DE.1.0.9.0 --startMP 300:58606 --initTime 2017-05-13T17:35:43 --startdatetime 2017-05-13T17:37:35 --delay 1 --endMP 204:762 --enddatetime 2017-05-13T17:54:09 --enforcementcount 0 &gt;&gt;C:\Users\stu\Documents\GitHub\eaglep3-reporting\EC\2017-05-13-refined-times.txt</v>
      </c>
      <c r="AI190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{"issue":{"subject":"","project_id":79,"tracker_id":40,"status_id":1,"priority_id":2,"assigned_to_id":23,"start_date":"2017-05-13","description":"","custom_fields":[{"id":1,"name":"Subdivision","value":"NW"},{"id":4,"name":"Milepost","value":"0.0762"},{"id":17,"name":"Train ID","value":"1824-13"},{"id":16,"name":"Locomotive ID","value":"4051"},{"id":130,"name":"Impact","value":""},{"id":150,"name":"Time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5" t="str">
        <f t="shared" si="75"/>
        <v>start /low /b %USERPROFILE%\Documents\GitHub\eaglep3\Utilities\DownloadLogsFromS3.py --loco 4051 --day 2017-05-13</v>
      </c>
      <c r="AN190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741</v>
      </c>
      <c r="B191" s="7">
        <v>4052</v>
      </c>
      <c r="C191" s="21" t="s">
        <v>206</v>
      </c>
      <c r="D191" s="21" t="s">
        <v>882</v>
      </c>
      <c r="E191" s="13">
        <v>42868.763287037036</v>
      </c>
      <c r="F191" s="13">
        <v>42868.764918981484</v>
      </c>
      <c r="G191" s="7">
        <v>1</v>
      </c>
      <c r="H191" s="21" t="s">
        <v>883</v>
      </c>
      <c r="I191" s="13">
        <v>42868.773819444446</v>
      </c>
      <c r="J191" s="7">
        <v>0</v>
      </c>
      <c r="K191" s="92" t="str">
        <f t="shared" si="63"/>
        <v>4051/4052</v>
      </c>
      <c r="L191" s="21" t="str">
        <f>VLOOKUP(A191,'Trips&amp;Operators'!$C$1:$G$99999,5,FALSE)</f>
        <v>HELVIE ADAM</v>
      </c>
      <c r="M191" s="6">
        <f t="shared" si="64"/>
        <v>8.9004629626288079E-3</v>
      </c>
      <c r="N191" s="7">
        <f t="shared" si="92"/>
        <v>12.816666666185483</v>
      </c>
      <c r="O191" s="7"/>
      <c r="P191" s="7"/>
      <c r="Q191" s="22"/>
      <c r="R191" s="190"/>
      <c r="S191" s="196">
        <f t="shared" si="93"/>
        <v>1</v>
      </c>
      <c r="T191" s="190" t="str">
        <f t="shared" si="65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66"/>
        <v>https://d0f6bd738d7f1b3e5a7ca70fe4ff75f0.us-east-1.aws.found.io/app/kibana#/discover/Steve-Slow-Train-Analysis-(2080s-and-2083s)?_g=(refreshInterval:(display:Off,pause:!f,section:0,value:0),time:(from:'2017-05-13T17:19:08-0600',mode:absolute,to:'2017-05-13T19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1" s="192" t="str">
        <f t="shared" si="67"/>
        <v>N</v>
      </c>
      <c r="X191" s="192">
        <f t="shared" si="89"/>
        <v>1</v>
      </c>
      <c r="Y191" s="192">
        <f t="shared" si="91"/>
        <v>0.107</v>
      </c>
      <c r="Z191" s="192">
        <f t="shared" si="90"/>
        <v>5.8917999999999999</v>
      </c>
      <c r="AA191" s="192">
        <f t="shared" si="68"/>
        <v>5.7847999999999997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9"/>
        <v>1825-13</v>
      </c>
      <c r="AE191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91" s="77" t="str">
        <f t="shared" si="71"/>
        <v>"C:\Program Files (x86)\AstroGrep\AstroGrep.exe" /e /r /s /spath="%USERPROFILE%\AppData\Local\Temp\OnboardLogs" /stypes="app*4052*20170514*" /stext=" 00:.+((SYSTEM_STATE.+slice.+state.+changed )|(ment ac)|(multiple cpu faults)|(system.+state.+changed )|(\[timeout)|(PRM\|1\|D)|(kpr)|(kdp)|(train st.+moving)|(\|lc)|(penalty))"</v>
      </c>
      <c r="AG191" s="1" t="str">
        <f t="shared" si="72"/>
        <v>NW</v>
      </c>
      <c r="AH191" s="81" t="str">
        <f t="shared" si="73"/>
        <v>"%USERPROFILE%\Documents\GitHub\eaglep3\Utilities\RefineRTDCRunTimes.py" --tripid 1825-13 --locoid 4052 --swversion DE.1.0.9.0 --startMP 204:1070 --initTime 2017-05-13T18:19:08 --startdatetime 2017-05-13T18:21:29 --delay 1 --endMP 300:58918 --enddatetime 2017-05-13T18:34:18 --enforcementcount 0 &gt;&gt;C:\Users\stu\Documents\GitHub\eaglep3-reporting\EC\2017-05-13-refined-times.txt</v>
      </c>
      <c r="AI191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{"issue":{"subject":"","project_id":79,"tracker_id":40,"status_id":1,"priority_id":2,"assigned_to_id":23,"start_date":"2017-05-13","description":"","custom_fields":[{"id":1,"name":"Subdivision","value":"NW"},{"id":4,"name":"Milepost","value":"5.8918"},{"id":17,"name":"Train ID","value":"1825-13"},{"id":16,"name":"Locomotive ID","value":"4052"},{"id":130,"name":"Impact","value":""},{"id":150,"name":"Time of Event (Mountain Time)","value":"18:34:18"},{"id":151,"name":"Denver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5"/>
        <v>start /low /b %USERPROFILE%\Documents\GitHub\eaglep3\Utilities\DownloadLogsFromS3.py --loco 4052 --day 2017-05-13</v>
      </c>
      <c r="AN191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746</v>
      </c>
      <c r="B192" s="7">
        <v>4051</v>
      </c>
      <c r="C192" s="21" t="s">
        <v>206</v>
      </c>
      <c r="D192" s="21" t="s">
        <v>884</v>
      </c>
      <c r="E192" s="13">
        <v>42868.775208333333</v>
      </c>
      <c r="F192" s="13">
        <v>42868.77753472222</v>
      </c>
      <c r="G192" s="7">
        <v>1</v>
      </c>
      <c r="H192" s="21" t="s">
        <v>509</v>
      </c>
      <c r="I192" s="13">
        <v>42868.787858796299</v>
      </c>
      <c r="J192" s="7">
        <v>0</v>
      </c>
      <c r="K192" s="92" t="str">
        <f t="shared" si="63"/>
        <v>4051/4052</v>
      </c>
      <c r="L192" s="21" t="str">
        <f>VLOOKUP(A192,'Trips&amp;Operators'!$C$1:$G$99999,5,FALSE)</f>
        <v>HELVIE ADAM</v>
      </c>
      <c r="M192" s="6">
        <f t="shared" si="64"/>
        <v>1.0324074079107959E-2</v>
      </c>
      <c r="N192" s="7">
        <f t="shared" si="92"/>
        <v>14.866666673915461</v>
      </c>
      <c r="O192" s="7"/>
      <c r="P192" s="7"/>
      <c r="Q192" s="22"/>
      <c r="R192" s="190"/>
      <c r="S192" s="196">
        <f t="shared" si="93"/>
        <v>1</v>
      </c>
      <c r="T192" s="190" t="str">
        <f t="shared" si="65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66"/>
        <v>https://d0f6bd738d7f1b3e5a7ca70fe4ff75f0.us-east-1.aws.found.io/app/kibana#/discover/Steve-Slow-Train-Analysis-(2080s-and-2083s)?_g=(refreshInterval:(display:Off,pause:!f,section:0,value:0),time:(from:'2017-05-13T17:36:18-0600',mode:absolute,to:'2017-05-13T19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2" s="192" t="str">
        <f t="shared" si="67"/>
        <v>N</v>
      </c>
      <c r="X192" s="192">
        <f t="shared" si="89"/>
        <v>1</v>
      </c>
      <c r="Y192" s="192">
        <f t="shared" si="91"/>
        <v>5.8601999999999999</v>
      </c>
      <c r="Z192" s="192">
        <f t="shared" si="90"/>
        <v>7.4999999999999997E-2</v>
      </c>
      <c r="AA192" s="192">
        <f t="shared" si="68"/>
        <v>5.7851999999999997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9"/>
        <v>1826-13</v>
      </c>
      <c r="AE192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92" s="77" t="str">
        <f t="shared" si="71"/>
        <v>"C:\Program Files (x86)\AstroGrep\AstroGrep.exe" /e /r /s /spath="%USERPROFILE%\AppData\Local\Temp\OnboardLogs" /stypes="app*4051*20170514*" /stext=" 00:.+((SYSTEM_STATE.+slice.+state.+changed )|(ment ac)|(multiple cpu faults)|(system.+state.+changed )|(\[timeout)|(PRM\|1\|D)|(kpr)|(kdp)|(train st.+moving)|(\|lc)|(penalty))"</v>
      </c>
      <c r="AG192" s="1" t="str">
        <f t="shared" si="72"/>
        <v>NW</v>
      </c>
      <c r="AH192" s="81" t="str">
        <f t="shared" si="73"/>
        <v>"%USERPROFILE%\Documents\GitHub\eaglep3\Utilities\RefineRTDCRunTimes.py" --tripid 1826-13 --locoid 4051 --swversion DE.1.0.9.0 --startMP 300:58602 --initTime 2017-05-13T18:36:18 --startdatetime 2017-05-13T18:39:39 --delay 1 --endMP 204:750 --enddatetime 2017-05-13T18:54:31 --enforcementcount 0 &gt;&gt;C:\Users\stu\Documents\GitHub\eaglep3-reporting\EC\2017-05-13-refined-times.txt</v>
      </c>
      <c r="AI192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{"issue":{"subject":"","project_id":79,"tracker_id":40,"status_id":1,"priority_id":2,"assigned_to_id":23,"start_date":"2017-05-13","description":"","custom_fields":[{"id":1,"name":"Subdivision","value":"NW"},{"id":4,"name":"Milepost","value":"0.075"},{"id":17,"name":"Train ID","value":"1826-13"},{"id":16,"name":"Locomotive ID","value":"4051"},{"id":130,"name":"Impact","value":""},{"id":150,"name":"Time of Event (Mountain Time)","value":"18:54:31"},{"id":151,"name":"Denver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5"/>
        <v>start /low /b %USERPROFILE%\Documents\GitHub\eaglep3\Utilities\DownloadLogsFromS3.py --loco 4051 --day 2017-05-13</v>
      </c>
      <c r="AN192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753</v>
      </c>
      <c r="B193" s="7">
        <v>4052</v>
      </c>
      <c r="C193" s="21" t="s">
        <v>206</v>
      </c>
      <c r="D193" s="21" t="s">
        <v>878</v>
      </c>
      <c r="E193" s="13">
        <v>42868.805428240739</v>
      </c>
      <c r="F193" s="13">
        <v>42868.806655092594</v>
      </c>
      <c r="G193" s="7">
        <v>1</v>
      </c>
      <c r="H193" s="21" t="s">
        <v>885</v>
      </c>
      <c r="I193" s="13">
        <v>42868.815416666665</v>
      </c>
      <c r="J193" s="7">
        <v>0</v>
      </c>
      <c r="K193" s="92" t="str">
        <f t="shared" si="63"/>
        <v>4051/4052</v>
      </c>
      <c r="L193" s="21" t="str">
        <f>VLOOKUP(A193,'Trips&amp;Operators'!$C$1:$G$99999,5,FALSE)</f>
        <v>HELVIE ADAM</v>
      </c>
      <c r="M193" s="6">
        <f t="shared" si="64"/>
        <v>8.7615740703768097E-3</v>
      </c>
      <c r="N193" s="7">
        <f t="shared" si="92"/>
        <v>12.616666661342606</v>
      </c>
      <c r="O193" s="7"/>
      <c r="P193" s="7"/>
      <c r="Q193" s="22"/>
      <c r="R193" s="190"/>
      <c r="S193" s="196">
        <f t="shared" si="93"/>
        <v>1</v>
      </c>
      <c r="T193" s="190" t="str">
        <f t="shared" si="65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66"/>
        <v>https://d0f6bd738d7f1b3e5a7ca70fe4ff75f0.us-east-1.aws.found.io/app/kibana#/discover/Steve-Slow-Train-Analysis-(2080s-and-2083s)?_g=(refreshInterval:(display:Off,pause:!f,section:0,value:0),time:(from:'2017-05-13T18:19:49-0600',mode:absolute,to:'2017-05-13T20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3" s="192" t="str">
        <f t="shared" si="67"/>
        <v>N</v>
      </c>
      <c r="X193" s="192">
        <f t="shared" si="89"/>
        <v>1</v>
      </c>
      <c r="Y193" s="192">
        <f t="shared" si="91"/>
        <v>0.10390000000000001</v>
      </c>
      <c r="Z193" s="192">
        <f t="shared" si="90"/>
        <v>5.8924000000000003</v>
      </c>
      <c r="AA193" s="192">
        <f t="shared" si="68"/>
        <v>5.7885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9"/>
        <v>1827-13</v>
      </c>
      <c r="AE193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93" s="77" t="str">
        <f t="shared" si="71"/>
        <v>"C:\Program Files (x86)\AstroGrep\AstroGrep.exe" /e /r /s /spath="%USERPROFILE%\AppData\Local\Temp\OnboardLogs" /stypes="app*4052*20170514*" /stext=" 01:.+((SYSTEM_STATE.+slice.+state.+changed )|(ment ac)|(multiple cpu faults)|(system.+state.+changed )|(\[timeout)|(PRM\|1\|D)|(kpr)|(kdp)|(train st.+moving)|(\|lc)|(penalty))"</v>
      </c>
      <c r="AG193" s="1" t="str">
        <f t="shared" si="72"/>
        <v>NW</v>
      </c>
      <c r="AH193" s="81" t="str">
        <f t="shared" si="73"/>
        <v>"%USERPROFILE%\Documents\GitHub\eaglep3\Utilities\RefineRTDCRunTimes.py" --tripid 1827-13 --locoid 4052 --swversion DE.1.0.9.0 --startMP 204:1039 --initTime 2017-05-13T19:19:49 --startdatetime 2017-05-13T19:21:35 --delay 1 --endMP 300:58924 --enddatetime 2017-05-13T19:34:12 --enforcementcount 0 &gt;&gt;C:\Users\stu\Documents\GitHub\eaglep3-reporting\EC\2017-05-13-refined-times.txt</v>
      </c>
      <c r="AI193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{"issue":{"subject":"","project_id":79,"tracker_id":40,"status_id":1,"priority_id":2,"assigned_to_id":23,"start_date":"2017-05-13","description":"","custom_fields":[{"id":1,"name":"Subdivision","value":"NW"},{"id":4,"name":"Milepost","value":"5.8924"},{"id":17,"name":"Train ID","value":"1827-13"},{"id":16,"name":"Locomotive ID","value":"4052"},{"id":130,"name":"Impact","value":""},{"id":150,"name":"Time of Event (Mountain Time)","value":"19:34:12"},{"id":151,"name":"Denver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5"/>
        <v>start /low /b %USERPROFILE%\Documents\GitHub\eaglep3\Utilities\DownloadLogsFromS3.py --loco 4052 --day 2017-05-13</v>
      </c>
      <c r="AN193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754</v>
      </c>
      <c r="B194" s="7">
        <v>4051</v>
      </c>
      <c r="C194" s="21" t="s">
        <v>206</v>
      </c>
      <c r="D194" s="21" t="s">
        <v>886</v>
      </c>
      <c r="E194" s="13">
        <v>42868.816354166665</v>
      </c>
      <c r="F194" s="13">
        <v>42868.818738425929</v>
      </c>
      <c r="G194" s="7">
        <v>1</v>
      </c>
      <c r="H194" s="21" t="s">
        <v>507</v>
      </c>
      <c r="I194" s="13">
        <v>42868.829375000001</v>
      </c>
      <c r="J194" s="7">
        <v>0</v>
      </c>
      <c r="K194" s="92" t="str">
        <f t="shared" si="63"/>
        <v>4051/4052</v>
      </c>
      <c r="L194" s="21" t="str">
        <f>VLOOKUP(A194,'Trips&amp;Operators'!$C$1:$G$99999,5,FALSE)</f>
        <v>HELVIE ADAM</v>
      </c>
      <c r="M194" s="6">
        <f t="shared" si="64"/>
        <v>1.063657407212304E-2</v>
      </c>
      <c r="N194" s="7">
        <f t="shared" si="92"/>
        <v>15.316666663857177</v>
      </c>
      <c r="O194" s="7"/>
      <c r="P194" s="7"/>
      <c r="Q194" s="22"/>
      <c r="R194" s="190"/>
      <c r="S194" s="196">
        <f t="shared" si="93"/>
        <v>1</v>
      </c>
      <c r="T194" s="190" t="str">
        <f t="shared" si="65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66"/>
        <v>https://d0f6bd738d7f1b3e5a7ca70fe4ff75f0.us-east-1.aws.found.io/app/kibana#/discover/Steve-Slow-Train-Analysis-(2080s-and-2083s)?_g=(refreshInterval:(display:Off,pause:!f,section:0,value:0),time:(from:'2017-05-13T18:35:33-0600',mode:absolute,to:'2017-05-13T20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4" s="192" t="str">
        <f t="shared" si="67"/>
        <v>N</v>
      </c>
      <c r="X194" s="192">
        <f t="shared" si="89"/>
        <v>1</v>
      </c>
      <c r="Y194" s="192">
        <f t="shared" si="91"/>
        <v>5.8613</v>
      </c>
      <c r="Z194" s="192">
        <f t="shared" si="90"/>
        <v>7.7499999999999999E-2</v>
      </c>
      <c r="AA194" s="192">
        <f t="shared" si="68"/>
        <v>5.7838000000000003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9"/>
        <v>1828-13</v>
      </c>
      <c r="AE194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94" s="77" t="str">
        <f t="shared" si="71"/>
        <v>"C:\Program Files (x86)\AstroGrep\AstroGrep.exe" /e /r /s /spath="%USERPROFILE%\AppData\Local\Temp\OnboardLogs" /stypes="app*4051*20170514*" /stext=" 01:.+((SYSTEM_STATE.+slice.+state.+changed )|(ment ac)|(multiple cpu faults)|(system.+state.+changed )|(\[timeout)|(PRM\|1\|D)|(kpr)|(kdp)|(train st.+moving)|(\|lc)|(penalty))"</v>
      </c>
      <c r="AG194" s="1" t="str">
        <f t="shared" si="72"/>
        <v>NW</v>
      </c>
      <c r="AH194" s="81" t="str">
        <f t="shared" si="73"/>
        <v>"%USERPROFILE%\Documents\GitHub\eaglep3\Utilities\RefineRTDCRunTimes.py" --tripid 1828-13 --locoid 4051 --swversion DE.1.0.9.0 --startMP 300:58613 --initTime 2017-05-13T19:35:33 --startdatetime 2017-05-13T19:38:59 --delay 1 --endMP 204:775 --enddatetime 2017-05-13T19:54:18 --enforcementcount 0 &gt;&gt;C:\Users\stu\Documents\GitHub\eaglep3-reporting\EC\2017-05-13-refined-times.txt</v>
      </c>
      <c r="AI194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{"issue":{"subject":"","project_id":79,"tracker_id":40,"status_id":1,"priority_id":2,"assigned_to_id":23,"start_date":"2017-05-13","description":"","custom_fields":[{"id":1,"name":"Subdivision","value":"NW"},{"id":4,"name":"Milepost","value":"0.0775"},{"id":17,"name":"Train ID","value":"1828-13"},{"id":16,"name":"Locomotive ID","value":"4051"},{"id":130,"name":"Impact","value":""},{"id":150,"name":"Time of Event (Mountain Time)","value":"19:54:18"},{"id":151,"name":"Denver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75"/>
        <v>start /low /b %USERPROFILE%\Documents\GitHub\eaglep3\Utilities\DownloadLogsFromS3.py --loco 4051 --day 2017-05-13</v>
      </c>
      <c r="AN194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758</v>
      </c>
      <c r="B195" s="7">
        <v>4052</v>
      </c>
      <c r="C195" s="21" t="s">
        <v>206</v>
      </c>
      <c r="D195" s="21" t="s">
        <v>887</v>
      </c>
      <c r="E195" s="13">
        <v>42868.83997685185</v>
      </c>
      <c r="F195" s="13">
        <v>42868.848680555559</v>
      </c>
      <c r="G195" s="7">
        <v>1</v>
      </c>
      <c r="H195" s="21" t="s">
        <v>888</v>
      </c>
      <c r="I195" s="13">
        <v>42868.858668981484</v>
      </c>
      <c r="J195" s="7">
        <v>0</v>
      </c>
      <c r="K195" s="92" t="str">
        <f t="shared" si="63"/>
        <v>4051/4052</v>
      </c>
      <c r="L195" s="21" t="str">
        <f>VLOOKUP(A195,'Trips&amp;Operators'!$C$1:$G$99999,5,FALSE)</f>
        <v>FORTUNATO FRANK</v>
      </c>
      <c r="M195" s="6">
        <f t="shared" si="64"/>
        <v>9.9884259252576157E-3</v>
      </c>
      <c r="N195" s="7">
        <f t="shared" si="92"/>
        <v>14.383333332370967</v>
      </c>
      <c r="O195" s="7"/>
      <c r="P195" s="7"/>
      <c r="Q195" s="22"/>
      <c r="R195" s="190"/>
      <c r="S195" s="196">
        <f t="shared" si="93"/>
        <v>1</v>
      </c>
      <c r="T195" s="190" t="str">
        <f t="shared" si="65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66"/>
        <v>https://d0f6bd738d7f1b3e5a7ca70fe4ff75f0.us-east-1.aws.found.io/app/kibana#/discover/Steve-Slow-Train-Analysis-(2080s-and-2083s)?_g=(refreshInterval:(display:Off,pause:!f,section:0,value:0),time:(from:'2017-05-13T19:09:34-0600',mode:absolute,to:'2017-05-13T21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5" s="192" t="str">
        <f t="shared" si="67"/>
        <v>N</v>
      </c>
      <c r="X195" s="192">
        <f t="shared" si="89"/>
        <v>1</v>
      </c>
      <c r="Y195" s="192">
        <f t="shared" si="91"/>
        <v>0.106</v>
      </c>
      <c r="Z195" s="192">
        <f t="shared" si="90"/>
        <v>5.8916000000000004</v>
      </c>
      <c r="AA195" s="192">
        <f t="shared" si="68"/>
        <v>5.7856000000000005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9"/>
        <v>1829-13</v>
      </c>
      <c r="AE195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95" s="77" t="str">
        <f t="shared" si="71"/>
        <v>"C:\Program Files (x86)\AstroGrep\AstroGrep.exe" /e /r /s /spath="%USERPROFILE%\AppData\Local\Temp\OnboardLogs" /stypes="app*4052*20170514*" /stext=" 02:.+((SYSTEM_STATE.+slice.+state.+changed )|(ment ac)|(multiple cpu faults)|(system.+state.+changed )|(\[timeout)|(PRM\|1\|D)|(kpr)|(kdp)|(train st.+moving)|(\|lc)|(penalty))"</v>
      </c>
      <c r="AG195" s="1" t="str">
        <f t="shared" si="72"/>
        <v>NW</v>
      </c>
      <c r="AH195" s="81" t="str">
        <f t="shared" si="73"/>
        <v>"%USERPROFILE%\Documents\GitHub\eaglep3\Utilities\RefineRTDCRunTimes.py" --tripid 1829-13 --locoid 4052 --swversion DE.1.0.9.0 --startMP 204:1060 --initTime 2017-05-13T20:09:34 --startdatetime 2017-05-13T20:22:06 --delay 1 --endMP 300:58916 --enddatetime 2017-05-13T20:36:29 --enforcementcount 0 &gt;&gt;C:\Users\stu\Documents\GitHub\eaglep3-reporting\EC\2017-05-13-refined-times.txt</v>
      </c>
      <c r="AI195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{"issue":{"subject":"","project_id":79,"tracker_id":40,"status_id":1,"priority_id":2,"assigned_to_id":23,"start_date":"2017-05-13","description":"","custom_fields":[{"id":1,"name":"Subdivision","value":"NW"},{"id":4,"name":"Milepost","value":"5.8916"},{"id":17,"name":"Train ID","value":"1829-13"},{"id":16,"name":"Locomotive ID","value":"4052"},{"id":130,"name":"Impact","value":""},{"id":150,"name":"Time of Event (Mountain Time)","value":"20:36:29"},{"id":151,"name":"Denver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5"/>
        <v>start /low /b %USERPROFILE%\Documents\GitHub\eaglep3\Utilities\DownloadLogsFromS3.py --loco 4052 --day 2017-05-13</v>
      </c>
      <c r="AN195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761</v>
      </c>
      <c r="B196" s="7">
        <v>4051</v>
      </c>
      <c r="C196" s="21" t="s">
        <v>206</v>
      </c>
      <c r="D196" s="21" t="s">
        <v>534</v>
      </c>
      <c r="E196" s="13">
        <v>42868.859722222223</v>
      </c>
      <c r="F196" s="13">
        <v>42868.861203703702</v>
      </c>
      <c r="G196" s="7">
        <v>1</v>
      </c>
      <c r="H196" s="21" t="s">
        <v>482</v>
      </c>
      <c r="I196" s="13">
        <v>42868.87228009259</v>
      </c>
      <c r="J196" s="7">
        <v>0</v>
      </c>
      <c r="K196" s="92" t="str">
        <f t="shared" si="63"/>
        <v>4051/4052</v>
      </c>
      <c r="L196" s="21" t="str">
        <f>VLOOKUP(A196,'Trips&amp;Operators'!$C$1:$G$99999,5,FALSE)</f>
        <v>FORTUNATO FRANK</v>
      </c>
      <c r="M196" s="6">
        <f t="shared" si="64"/>
        <v>1.1076388887886424E-2</v>
      </c>
      <c r="N196" s="7">
        <f t="shared" si="92"/>
        <v>15.94999999855645</v>
      </c>
      <c r="O196" s="7"/>
      <c r="P196" s="7"/>
      <c r="Q196" s="22"/>
      <c r="R196" s="190"/>
      <c r="S196" s="196">
        <f t="shared" si="93"/>
        <v>1</v>
      </c>
      <c r="T196" s="190" t="str">
        <f t="shared" si="65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66"/>
        <v>https://d0f6bd738d7f1b3e5a7ca70fe4ff75f0.us-east-1.aws.found.io/app/kibana#/discover/Steve-Slow-Train-Analysis-(2080s-and-2083s)?_g=(refreshInterval:(display:Off,pause:!f,section:0,value:0),time:(from:'2017-05-13T19:38:00-0600',mode:absolute,to:'2017-05-13T21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6" s="192" t="str">
        <f t="shared" si="67"/>
        <v>N</v>
      </c>
      <c r="X196" s="192">
        <f t="shared" si="89"/>
        <v>1</v>
      </c>
      <c r="Y196" s="192">
        <f t="shared" si="91"/>
        <v>5.8608000000000002</v>
      </c>
      <c r="Z196" s="192">
        <f t="shared" si="90"/>
        <v>6.6799999999999998E-2</v>
      </c>
      <c r="AA196" s="192">
        <f t="shared" si="68"/>
        <v>5.7940000000000005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9"/>
        <v>1830-13</v>
      </c>
      <c r="AE196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96" s="77" t="str">
        <f t="shared" si="71"/>
        <v>"C:\Program Files (x86)\AstroGrep\AstroGrep.exe" /e /r /s /spath="%USERPROFILE%\AppData\Local\Temp\OnboardLogs" /stypes="app*4051*20170514*" /stext=" 02:.+((SYSTEM_STATE.+slice.+state.+changed )|(ment ac)|(multiple cpu faults)|(system.+state.+changed )|(\[timeout)|(PRM\|1\|D)|(kpr)|(kdp)|(train st.+moving)|(\|lc)|(penalty))"</v>
      </c>
      <c r="AG196" s="1" t="str">
        <f t="shared" si="72"/>
        <v>NW</v>
      </c>
      <c r="AH196" s="81" t="str">
        <f t="shared" si="73"/>
        <v>"%USERPROFILE%\Documents\GitHub\eaglep3\Utilities\RefineRTDCRunTimes.py" --tripid 1830-13 --locoid 4051 --swversion DE.1.0.9.0 --startMP 300:58608 --initTime 2017-05-13T20:38:00 --startdatetime 2017-05-13T20:40:08 --delay 1 --endMP 204:668 --enddatetime 2017-05-13T20:56:05 --enforcementcount 0 &gt;&gt;C:\Users\stu\Documents\GitHub\eaglep3-reporting\EC\2017-05-13-refined-times.txt</v>
      </c>
      <c r="AI196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{"issue":{"subject":"","project_id":79,"tracker_id":40,"status_id":1,"priority_id":2,"assigned_to_id":23,"start_date":"2017-05-13","description":"","custom_fields":[{"id":1,"name":"Subdivision","value":"NW"},{"id":4,"name":"Milepost","value":"0.0668"},{"id":17,"name":"Train ID","value":"1830-13"},{"id":16,"name":"Locomotive ID","value":"4051"},{"id":130,"name":"Impact","value":""},{"id":150,"name":"Time of Event (Mountain Time)","value":"20:56:05"},{"id":151,"name":"Denver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5"/>
        <v>start /low /b %USERPROFILE%\Documents\GitHub\eaglep3\Utilities\DownloadLogsFromS3.py --loco 4051 --day 2017-05-13</v>
      </c>
      <c r="AN196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02:56:05"},{"id":29,"name":"Sharepoint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765</v>
      </c>
      <c r="B197" s="7">
        <v>4052</v>
      </c>
      <c r="C197" s="21" t="s">
        <v>206</v>
      </c>
      <c r="D197" s="21" t="s">
        <v>434</v>
      </c>
      <c r="E197" s="13">
        <v>42868.889085648145</v>
      </c>
      <c r="F197" s="13">
        <v>42868.8903587963</v>
      </c>
      <c r="G197" s="7">
        <v>1</v>
      </c>
      <c r="H197" s="21" t="s">
        <v>481</v>
      </c>
      <c r="I197" s="13">
        <v>42868.899548611109</v>
      </c>
      <c r="J197" s="7">
        <v>0</v>
      </c>
      <c r="K197" s="92" t="str">
        <f t="shared" si="63"/>
        <v>4051/4052</v>
      </c>
      <c r="L197" s="21" t="str">
        <f>VLOOKUP(A197,'Trips&amp;Operators'!$C$1:$G$99999,5,FALSE)</f>
        <v>HELVIE ADAM</v>
      </c>
      <c r="M197" s="6">
        <f t="shared" si="64"/>
        <v>9.1898148093605414E-3</v>
      </c>
      <c r="N197" s="7">
        <f t="shared" si="92"/>
        <v>13.23333332547918</v>
      </c>
      <c r="O197" s="7"/>
      <c r="P197" s="7"/>
      <c r="Q197" s="22"/>
      <c r="R197" s="190"/>
      <c r="S197" s="196">
        <f t="shared" si="93"/>
        <v>1</v>
      </c>
      <c r="T197" s="190" t="str">
        <f t="shared" si="65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66"/>
        <v>https://d0f6bd738d7f1b3e5a7ca70fe4ff75f0.us-east-1.aws.found.io/app/kibana#/discover/Steve-Slow-Train-Analysis-(2080s-and-2083s)?_g=(refreshInterval:(display:Off,pause:!f,section:0,value:0),time:(from:'2017-05-13T20:20:17-0600',mode:absolute,to:'2017-05-13T22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7" s="192" t="str">
        <f t="shared" si="67"/>
        <v>N</v>
      </c>
      <c r="X197" s="192">
        <f t="shared" si="89"/>
        <v>1</v>
      </c>
      <c r="Y197" s="192">
        <f t="shared" si="91"/>
        <v>9.7900000000000001E-2</v>
      </c>
      <c r="Z197" s="192">
        <f t="shared" si="90"/>
        <v>5.8933</v>
      </c>
      <c r="AA197" s="192">
        <f t="shared" si="68"/>
        <v>5.7953999999999999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9"/>
        <v>1831-13</v>
      </c>
      <c r="AE197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97" s="77" t="str">
        <f t="shared" si="71"/>
        <v>"C:\Program Files (x86)\AstroGrep\AstroGrep.exe" /e /r /s /spath="%USERPROFILE%\AppData\Local\Temp\OnboardLogs" /stypes="app*4052*20170514*" /stext=" 03:.+((SYSTEM_STATE.+slice.+state.+changed )|(ment ac)|(multiple cpu faults)|(system.+state.+changed )|(\[timeout)|(PRM\|1\|D)|(kpr)|(kdp)|(train st.+moving)|(\|lc)|(penalty))"</v>
      </c>
      <c r="AG197" s="1" t="str">
        <f t="shared" si="72"/>
        <v>NW</v>
      </c>
      <c r="AH197" s="81" t="str">
        <f t="shared" si="73"/>
        <v>"%USERPROFILE%\Documents\GitHub\eaglep3\Utilities\RefineRTDCRunTimes.py" --tripid 1831-13 --locoid 4052 --swversion DE.1.0.9.0 --startMP 204:979 --initTime 2017-05-13T21:20:17 --startdatetime 2017-05-13T21:22:07 --delay 1 --endMP 300:58933 --enddatetime 2017-05-13T21:35:21 --enforcementcount 0 &gt;&gt;C:\Users\stu\Documents\GitHub\eaglep3-reporting\EC\2017-05-13-refined-times.txt</v>
      </c>
      <c r="AI197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{"issue":{"subject":"","project_id":79,"tracker_id":40,"status_id":1,"priority_id":2,"assigned_to_id":23,"start_date":"2017-05-13","description":"","custom_fields":[{"id":1,"name":"Subdivision","value":"NW"},{"id":4,"name":"Milepost","value":"5.8933"},{"id":17,"name":"Train ID","value":"1831-13"},{"id":16,"name":"Locomotive ID","value":"4052"},{"id":130,"name":"Impact","value":""},{"id":150,"name":"Time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5"/>
        <v>start /low /b %USERPROFILE%\Documents\GitHub\eaglep3\Utilities\DownloadLogsFromS3.py --loco 4052 --day 2017-05-13</v>
      </c>
      <c r="AN197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s="20" customFormat="1" x14ac:dyDescent="0.25">
      <c r="A198" s="32" t="s">
        <v>766</v>
      </c>
      <c r="B198" s="7">
        <v>4051</v>
      </c>
      <c r="C198" s="21" t="s">
        <v>206</v>
      </c>
      <c r="D198" s="21" t="s">
        <v>890</v>
      </c>
      <c r="E198" s="13">
        <v>42868.90148148148</v>
      </c>
      <c r="F198" s="13">
        <v>42868.902766203704</v>
      </c>
      <c r="G198" s="7">
        <v>1</v>
      </c>
      <c r="H198" s="21" t="s">
        <v>891</v>
      </c>
      <c r="I198" s="13">
        <v>42868.912418981483</v>
      </c>
      <c r="J198" s="7">
        <v>0</v>
      </c>
      <c r="K198" s="92" t="str">
        <f t="shared" si="63"/>
        <v>4051/4052</v>
      </c>
      <c r="L198" s="21" t="str">
        <f>VLOOKUP(A198,'Trips&amp;Operators'!$C$1:$G$99999,5,FALSE)</f>
        <v>HELVIE ADAM</v>
      </c>
      <c r="M198" s="6">
        <f t="shared" si="64"/>
        <v>9.6527777786832303E-3</v>
      </c>
      <c r="N198" s="7">
        <f t="shared" si="92"/>
        <v>13.900000001303852</v>
      </c>
      <c r="O198" s="7"/>
      <c r="P198" s="7"/>
      <c r="Q198" s="22"/>
      <c r="R198" s="190"/>
      <c r="S198" s="196">
        <f t="shared" si="93"/>
        <v>1</v>
      </c>
      <c r="T198" s="190" t="str">
        <f t="shared" si="65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66"/>
        <v>https://d0f6bd738d7f1b3e5a7ca70fe4ff75f0.us-east-1.aws.found.io/app/kibana#/discover/Steve-Slow-Train-Analysis-(2080s-and-2083s)?_g=(refreshInterval:(display:Off,pause:!f,section:0,value:0),time:(from:'2017-05-13T20:38:08-0600',mode:absolute,to:'2017-05-13T22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8" s="192" t="str">
        <f t="shared" si="67"/>
        <v>N</v>
      </c>
      <c r="X198" s="192">
        <f t="shared" si="89"/>
        <v>1</v>
      </c>
      <c r="Y198" s="192">
        <f t="shared" si="91"/>
        <v>5.86</v>
      </c>
      <c r="Z198" s="192">
        <f t="shared" si="90"/>
        <v>8.2699999999999996E-2</v>
      </c>
      <c r="AA198" s="192">
        <f t="shared" si="68"/>
        <v>5.7773000000000003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9"/>
        <v>1832-13</v>
      </c>
      <c r="AE198" s="80" t="str">
        <f t="shared" si="70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198" s="77" t="str">
        <f t="shared" si="71"/>
        <v>"C:\Program Files (x86)\AstroGrep\AstroGrep.exe" /e /r /s /spath="%USERPROFILE%\AppData\Local\Temp\OnboardLogs" /stypes="app*4051*20170514*" /stext=" 03:.+((SYSTEM_STATE.+slice.+state.+changed )|(ment ac)|(multiple cpu faults)|(system.+state.+changed )|(\[timeout)|(PRM\|1\|D)|(kpr)|(kdp)|(train st.+moving)|(\|lc)|(penalty))"</v>
      </c>
      <c r="AG198" s="1" t="str">
        <f t="shared" si="72"/>
        <v>NW</v>
      </c>
      <c r="AH198" s="81" t="str">
        <f t="shared" si="73"/>
        <v>"%USERPROFILE%\Documents\GitHub\eaglep3\Utilities\RefineRTDCRunTimes.py" --tripid 1832-13 --locoid 4051 --swversion DE.1.0.9.0 --startMP 300:58600 --initTime 2017-05-13T21:38:08 --startdatetime 2017-05-13T21:39:59 --delay 1 --endMP 204:827 --enddatetime 2017-05-13T21:53:53 --enforcementcount 0 &gt;&gt;C:\Users\stu\Documents\GitHub\eaglep3-reporting\EC\2017-05-13-refined-times.txt</v>
      </c>
      <c r="AI198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{"issue":{"subject":"","project_id":79,"tracker_id":40,"status_id":1,"priority_id":2,"assigned_to_id":23,"start_date":"2017-05-13","description":"","custom_fields":[{"id":1,"name":"Subdivision","value":"NW"},{"id":4,"name":"Milepost","value":"0.0827"},{"id":17,"name":"Train ID","value":"1832-13"},{"id":16,"name":"Locomotive ID","value":"4051"},{"id":130,"name":"Impact","value":""},{"id":150,"name":"Time of Event (Mountain Time)","value":"21:53:53"},{"id":151,"name":"Denver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5" t="str">
        <f t="shared" si="75"/>
        <v>start /low /b %USERPROFILE%\Documents\GitHub\eaglep3\Utilities\DownloadLogsFromS3.py --loco 4051 --day 2017-05-13</v>
      </c>
      <c r="AN198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03:53:53"},{"id":29,"name":"Sharepoint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770</v>
      </c>
      <c r="B199" s="7">
        <v>4052</v>
      </c>
      <c r="C199" s="21" t="s">
        <v>206</v>
      </c>
      <c r="D199" s="21" t="s">
        <v>892</v>
      </c>
      <c r="E199" s="13">
        <v>42868.929444444446</v>
      </c>
      <c r="F199" s="13">
        <v>42868.931446759256</v>
      </c>
      <c r="G199" s="7">
        <v>1</v>
      </c>
      <c r="H199" s="21" t="s">
        <v>893</v>
      </c>
      <c r="I199" s="13">
        <v>42868.940405092595</v>
      </c>
      <c r="J199" s="7">
        <v>0</v>
      </c>
      <c r="K199" s="92" t="str">
        <f t="shared" si="63"/>
        <v>4051/4052</v>
      </c>
      <c r="L199" s="21" t="str">
        <f>VLOOKUP(A199,'Trips&amp;Operators'!$C$1:$G$99999,5,FALSE)</f>
        <v>HELVIE ADAM</v>
      </c>
      <c r="M199" s="6">
        <f t="shared" si="64"/>
        <v>8.9583333392511122E-3</v>
      </c>
      <c r="N199" s="7">
        <f t="shared" si="92"/>
        <v>12.900000008521602</v>
      </c>
      <c r="O199" s="7"/>
      <c r="P199" s="7"/>
      <c r="Q199" s="22"/>
      <c r="R199" s="190"/>
      <c r="S199" s="196">
        <f t="shared" si="93"/>
        <v>1</v>
      </c>
      <c r="T199" s="190" t="str">
        <f t="shared" si="65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66"/>
        <v>https://d0f6bd738d7f1b3e5a7ca70fe4ff75f0.us-east-1.aws.found.io/app/kibana#/discover/Steve-Slow-Train-Analysis-(2080s-and-2083s)?_g=(refreshInterval:(display:Off,pause:!f,section:0,value:0),time:(from:'2017-05-13T21:18:24-0600',mode:absolute,to:'2017-05-13T23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9" s="192" t="str">
        <f t="shared" si="67"/>
        <v>N</v>
      </c>
      <c r="X199" s="192">
        <f t="shared" si="89"/>
        <v>1</v>
      </c>
      <c r="Y199" s="192">
        <f t="shared" si="91"/>
        <v>0.11119999999999999</v>
      </c>
      <c r="Z199" s="192">
        <f t="shared" si="90"/>
        <v>5.8921999999999999</v>
      </c>
      <c r="AA199" s="192">
        <f t="shared" si="68"/>
        <v>5.7809999999999997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9"/>
        <v>1833-13</v>
      </c>
      <c r="AE199" s="80" t="str">
        <f t="shared" si="70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199" s="77" t="str">
        <f t="shared" si="71"/>
        <v>"C:\Program Files (x86)\AstroGrep\AstroGrep.exe" /e /r /s /spath="%USERPROFILE%\AppData\Local\Temp\OnboardLogs" /stypes="app*4052*20170514*" /stext=" 04:.+((SYSTEM_STATE.+slice.+state.+changed )|(ment ac)|(multiple cpu faults)|(system.+state.+changed )|(\[timeout)|(PRM\|1\|D)|(kpr)|(kdp)|(train st.+moving)|(\|lc)|(penalty))"</v>
      </c>
      <c r="AG199" s="1" t="str">
        <f t="shared" si="72"/>
        <v>NW</v>
      </c>
      <c r="AH199" s="81" t="str">
        <f t="shared" si="73"/>
        <v>"%USERPROFILE%\Documents\GitHub\eaglep3\Utilities\RefineRTDCRunTimes.py" --tripid 1833-13 --locoid 4052 --swversion DE.1.0.9.0 --startMP 204:1112 --initTime 2017-05-13T22:18:24 --startdatetime 2017-05-13T22:21:17 --delay 1 --endMP 300:58922 --enddatetime 2017-05-13T22:34:11 --enforcementcount 0 &gt;&gt;C:\Users\stu\Documents\GitHub\eaglep3-reporting\EC\2017-05-13-refined-times.txt</v>
      </c>
      <c r="AI199" s="99" t="str">
        <f t="shared" si="74"/>
        <v>echo {"issue":{"subject":"","project_id":79,"tracker_id":40,"status_id":1,"priority_id":2,"assigned_to_id":23,"start_date":"2017-05-13","description":"","custom_fields":[{"id":1,"name":"Subdivision","value":"NW"},{"id":4,"name":"Milepost","value":"5.8922"},{"id":17,"name":"Train ID","value":"1833-13"},{"id":16,"name":"Locomotive ID","value":"4052"},{"id":130,"name":"Impact","value":""},{"id":150,"name":"Time of Event (Mountain Time)","value":"22:34:11"},{"id":151,"name":"Denver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5"/>
        <v>start /low /b %USERPROFILE%\Documents\GitHub\eaglep3\Utilities\DownloadLogsFromS3.py --loco 4052 --day 2017-05-13</v>
      </c>
      <c r="AN199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04:34:11"},{"id":29,"name":"Sharepoint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543</v>
      </c>
      <c r="B200" s="7">
        <v>4031</v>
      </c>
      <c r="C200" s="21" t="s">
        <v>206</v>
      </c>
      <c r="D200" s="21" t="s">
        <v>945</v>
      </c>
      <c r="E200" s="13">
        <v>42868.117974537039</v>
      </c>
      <c r="F200" s="13">
        <v>42868.121886574074</v>
      </c>
      <c r="G200" s="7">
        <v>5</v>
      </c>
      <c r="H200" s="21" t="s">
        <v>946</v>
      </c>
      <c r="I200" s="13">
        <v>42868.128206018519</v>
      </c>
      <c r="J200" s="7">
        <v>0</v>
      </c>
      <c r="K200" s="92" t="str">
        <f t="shared" si="63"/>
        <v>4031/4032</v>
      </c>
      <c r="L200" s="21" t="str">
        <f>VLOOKUP(A200,'Trips&amp;Operators'!$C$1:$G$99999,5,FALSE)</f>
        <v>BADERTSCHER DIANE</v>
      </c>
      <c r="M200" s="6">
        <f t="shared" si="64"/>
        <v>6.3194444446708076E-3</v>
      </c>
      <c r="N200" s="7">
        <f t="shared" si="92"/>
        <v>9.1000000003259629</v>
      </c>
      <c r="O200" s="7"/>
      <c r="P200" s="7"/>
      <c r="Q200" s="22"/>
      <c r="R200" s="190"/>
      <c r="S200" s="196">
        <f t="shared" si="93"/>
        <v>1</v>
      </c>
      <c r="T200" s="190" t="str">
        <f t="shared" si="65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66"/>
        <v>https://d0f6bd738d7f1b3e5a7ca70fe4ff75f0.us-east-1.aws.found.io/app/kibana#/discover/Steve-Slow-Train-Analysis-(2080s-and-2083s)?_g=(refreshInterval:(display:Off,pause:!f,section:0,value:0),time:(from:'2017-05-13T01:49:53-0600',mode:absolute,to:'2017-05-13T04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192" t="str">
        <f t="shared" si="67"/>
        <v>Y</v>
      </c>
      <c r="X200" s="192">
        <f t="shared" si="89"/>
        <v>-1531</v>
      </c>
      <c r="Y200" s="192">
        <f t="shared" si="91"/>
        <v>2.2785000000000002</v>
      </c>
      <c r="Z200" s="192">
        <f t="shared" si="90"/>
        <v>1.18E-2</v>
      </c>
      <c r="AA200" s="192">
        <f t="shared" si="68"/>
        <v>2.2667000000000002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9"/>
        <v>0302-13</v>
      </c>
      <c r="AE200" s="80" t="str">
        <f t="shared" si="70"/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AF200" s="77" t="str">
        <f t="shared" si="71"/>
        <v>"C:\Program Files (x86)\AstroGrep\AstroGrep.exe" /e /r /s /spath="%USERPROFILE%\AppData\Local\Temp\OnboardLogs" /stypes="app*4031*20170513*" /stext=" 09:.+((SYSTEM_STATE.+slice.+state.+changed )|(ment ac)|(multiple cpu faults)|(system.+state.+changed )|(\[timeout)|(PRM\|1\|D)|(kpr)|(kdp)|(train st.+moving)|(\|lc)|(penalty))"</v>
      </c>
      <c r="AG200" s="1" t="str">
        <f t="shared" si="72"/>
        <v>Other</v>
      </c>
      <c r="AH200" s="81" t="str">
        <f t="shared" si="73"/>
        <v>"%USERPROFILE%\Documents\GitHub\eaglep3\Utilities\RefineRTDCRunTimes.py" --tripid 302-13 --locoid 4031 --swversion DE.1.0.9.0 --startMP 300:22785 --initTime 2017-05-13T02:49:53 --startdatetime 2017-05-13T02:55:31 --delay 5 --endMP 204:118 --enddatetime 2017-05-13T03:04:37 --enforcementcount 0 &gt;&gt;C:\Users\stu\Documents\GitHub\eaglep3-reporting\EC\2017-05-13-refined-times.txt</v>
      </c>
      <c r="AI200" s="99" t="str">
        <f t="shared" si="74"/>
        <v>echo {"issue":{"subject":"","project_id":79,"tracker_id":40,"status_id":1,"priority_id":2,"assigned_to_id":23,"start_date":"2017-05-13","description":"","custom_fields":[{"id":1,"name":"Subdivision","value":"Other"},{"id":4,"name":"Milepost","value":"0.0118"},{"id":17,"name":"Train ID","value":"302-13"},{"id":16,"name":"Locomotive ID","value":"4031"},{"id":130,"name":"Impact","value":""},{"id":150,"name":"Time of Event (Mountain Time)","value":"03:04:37"},{"id":151,"name":"Denver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5"/>
        <v>start /low /b %USERPROFILE%\Documents\GitHub\eaglep3\Utilities\DownloadLogsFromS3.py --loco 4031 --day 2017-05-13</v>
      </c>
      <c r="AN200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s="20" customFormat="1" x14ac:dyDescent="0.25">
      <c r="A201" s="32" t="s">
        <v>747</v>
      </c>
      <c r="B201" s="7">
        <v>4002</v>
      </c>
      <c r="C201" s="21" t="s">
        <v>206</v>
      </c>
      <c r="D201" s="21" t="s">
        <v>947</v>
      </c>
      <c r="E201" s="13">
        <v>42868.779189814813</v>
      </c>
      <c r="F201" s="13">
        <v>42868.782060185185</v>
      </c>
      <c r="G201" s="7">
        <v>1</v>
      </c>
      <c r="H201" s="21" t="s">
        <v>948</v>
      </c>
      <c r="I201" s="13">
        <v>42868.787511574075</v>
      </c>
      <c r="J201" s="7">
        <v>0</v>
      </c>
      <c r="K201" s="92" t="str">
        <f t="shared" si="63"/>
        <v>4001/4002</v>
      </c>
      <c r="L201" s="21" t="str">
        <f>VLOOKUP(A201,'Trips&amp;Operators'!$C$1:$G$99999,5,FALSE)</f>
        <v>BRANDNER MELINDA</v>
      </c>
      <c r="M201" s="6">
        <f t="shared" si="64"/>
        <v>5.4513888899236917E-3</v>
      </c>
      <c r="N201" s="7">
        <f t="shared" si="92"/>
        <v>7.8500000014901161</v>
      </c>
      <c r="O201" s="7"/>
      <c r="P201" s="7"/>
      <c r="Q201" s="22"/>
      <c r="R201" s="190"/>
      <c r="S201" s="196">
        <f t="shared" si="93"/>
        <v>1</v>
      </c>
      <c r="T201" s="190" t="str">
        <f t="shared" si="65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66"/>
        <v>https://d0f6bd738d7f1b3e5a7ca70fe4ff75f0.us-east-1.aws.found.io/app/kibana#/discover/Steve-Slow-Train-Analysis-(2080s-and-2083s)?_g=(refreshInterval:(display:Off,pause:!f,section:0,value:0),time:(from:'2017-05-13T17:42:02-0600',mode:absolute,to:'2017-05-13T19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92" t="str">
        <f t="shared" si="67"/>
        <v>Y</v>
      </c>
      <c r="X201" s="192">
        <f t="shared" si="89"/>
        <v>1</v>
      </c>
      <c r="Y201" s="192">
        <f t="shared" si="91"/>
        <v>0.124</v>
      </c>
      <c r="Z201" s="192">
        <f t="shared" si="90"/>
        <v>2.3033999999999999</v>
      </c>
      <c r="AA201" s="192">
        <f t="shared" si="68"/>
        <v>2.1793999999999998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9"/>
        <v>0303-13</v>
      </c>
      <c r="AE201" s="80" t="str">
        <f t="shared" si="70"/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AF201" s="77" t="str">
        <f t="shared" si="71"/>
        <v>"C:\Program Files (x86)\AstroGrep\AstroGrep.exe" /e /r /s /spath="%USERPROFILE%\AppData\Local\Temp\OnboardLogs" /stypes="app*4002*20170514*" /stext=" 00:.+((SYSTEM_STATE.+slice.+state.+changed )|(ment ac)|(multiple cpu faults)|(system.+state.+changed )|(\[timeout)|(PRM\|1\|D)|(kpr)|(kdp)|(train st.+moving)|(\|lc)|(penalty))"</v>
      </c>
      <c r="AG201" s="1" t="str">
        <f t="shared" si="72"/>
        <v>Other</v>
      </c>
      <c r="AH201" s="81" t="str">
        <f t="shared" si="73"/>
        <v>"%USERPROFILE%\Documents\GitHub\eaglep3\Utilities\RefineRTDCRunTimes.py" --tripid 303-13 --locoid 4002 --swversion DE.1.0.9.0 --startMP 204:1240 --initTime 2017-05-13T18:42:02 --startdatetime 2017-05-13T18:46:10 --delay 1 --endMP 300:23034 --enddatetime 2017-05-13T18:54:01 --enforcementcount 0 &gt;&gt;C:\Users\stu\Documents\GitHub\eaglep3-reporting\EC\2017-05-13-refined-times.txt</v>
      </c>
      <c r="AI201" s="99" t="str">
        <f t="shared" si="74"/>
        <v>echo {"issue":{"subject":"","project_id":79,"tracker_id":40,"status_id":1,"priority_id":2,"assigned_to_id":23,"start_date":"2017-05-13","description":"","custom_fields":[{"id":1,"name":"Subdivision","value":"Other"},{"id":4,"name":"Milepost","value":"2.3034"},{"id":17,"name":"Train ID","value":"303-13"},{"id":16,"name":"Locomotive ID","value":"4002"},{"id":130,"name":"Impact","value":""},{"id":150,"name":"Time of Event (Mountain Time)","value":"18:54:01"},{"id":151,"name":"Denver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5" t="str">
        <f t="shared" si="75"/>
        <v>start /low /b %USERPROFILE%\Documents\GitHub\eaglep3\Utilities\DownloadLogsFromS3.py --loco 4002 --day 2017-05-13</v>
      </c>
      <c r="AN201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599</v>
      </c>
      <c r="B202" s="7">
        <v>4027</v>
      </c>
      <c r="C202" s="21" t="s">
        <v>206</v>
      </c>
      <c r="D202" s="21" t="s">
        <v>949</v>
      </c>
      <c r="E202" s="13">
        <v>42868.13449074074</v>
      </c>
      <c r="F202" s="13">
        <v>42868.137291666666</v>
      </c>
      <c r="G202" s="7">
        <v>3</v>
      </c>
      <c r="H202" s="21" t="s">
        <v>198</v>
      </c>
      <c r="I202" s="13">
        <v>42868.144155092596</v>
      </c>
      <c r="J202" s="7">
        <v>0</v>
      </c>
      <c r="K202" s="92" t="str">
        <f t="shared" si="63"/>
        <v>4027/4028</v>
      </c>
      <c r="L202" s="21" t="str">
        <f>VLOOKUP(A202,'Trips&amp;Operators'!$C$1:$G$99999,5,FALSE)</f>
        <v>ROBINSON KADDIBA</v>
      </c>
      <c r="M202" s="6">
        <f t="shared" si="64"/>
        <v>6.8634259296231903E-3</v>
      </c>
      <c r="N202" s="7">
        <f t="shared" si="92"/>
        <v>9.8833333386573941</v>
      </c>
      <c r="O202" s="7"/>
      <c r="P202" s="7"/>
      <c r="Q202" s="22"/>
      <c r="R202" s="190"/>
      <c r="S202" s="196">
        <f t="shared" si="93"/>
        <v>1</v>
      </c>
      <c r="T202" s="190" t="str">
        <f t="shared" si="65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66"/>
        <v>https://d0f6bd738d7f1b3e5a7ca70fe4ff75f0.us-east-1.aws.found.io/app/kibana#/discover/Steve-Slow-Train-Analysis-(2080s-and-2083s)?_g=(refreshInterval:(display:Off,pause:!f,section:0,value:0),time:(from:'2017-05-13T02:13:40-0600',mode:absolute,to:'2017-05-13T04:27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2" s="192" t="str">
        <f t="shared" si="67"/>
        <v>Y</v>
      </c>
      <c r="X202" s="192">
        <f t="shared" si="89"/>
        <v>1</v>
      </c>
      <c r="Y202" s="192">
        <f t="shared" si="91"/>
        <v>2.3898000000000001</v>
      </c>
      <c r="Z202" s="192">
        <f t="shared" si="90"/>
        <v>1.5800000000000002E-2</v>
      </c>
      <c r="AA202" s="192">
        <f t="shared" si="68"/>
        <v>2.3740000000000001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9"/>
        <v>0304-13</v>
      </c>
      <c r="AE202" s="80" t="str">
        <f t="shared" si="70"/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AF202" s="77" t="str">
        <f t="shared" si="71"/>
        <v>"C:\Program Files (x86)\AstroGrep\AstroGrep.exe" /e /r /s /spath="%USERPROFILE%\AppData\Local\Temp\OnboardLogs" /stypes="app*4027*20170513*" /stext=" 09:.+((SYSTEM_STATE.+slice.+state.+changed )|(ment ac)|(multiple cpu faults)|(system.+state.+changed )|(\[timeout)|(PRM\|1\|D)|(kpr)|(kdp)|(train st.+moving)|(\|lc)|(penalty))"</v>
      </c>
      <c r="AG202" s="1" t="str">
        <f t="shared" si="72"/>
        <v>Other</v>
      </c>
      <c r="AH202" s="81" t="str">
        <f t="shared" si="73"/>
        <v>"%USERPROFILE%\Documents\GitHub\eaglep3\Utilities\RefineRTDCRunTimes.py" --tripid 304-13 --locoid 4027 --swversion DE.1.0.9.0 --startMP 300:23898 --initTime 2017-05-13T03:13:40 --startdatetime 2017-05-13T03:17:42 --delay 3 --endMP 204:158 --enddatetime 2017-05-13T03:27:35 --enforcementcount 0 &gt;&gt;C:\Users\stu\Documents\GitHub\eaglep3-reporting\EC\2017-05-13-refined-times.txt</v>
      </c>
      <c r="AI202" s="99" t="str">
        <f t="shared" si="74"/>
        <v>echo {"issue":{"subject":"","project_id":79,"tracker_id":40,"status_id":1,"priority_id":2,"assigned_to_id":23,"start_date":"2017-05-13","description":"","custom_fields":[{"id":1,"name":"Subdivision","value":"Other"},{"id":4,"name":"Milepost","value":"0.0158"},{"id":17,"name":"Train ID","value":"304-13"},{"id":16,"name":"Locomotive ID","value":"4027"},{"id":130,"name":"Impact","value":""},{"id":150,"name":"Time of Event (Mountain Time)","value":"03:27:35"},{"id":151,"name":"Denver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5"/>
        <v>start /low /b %USERPROFILE%\Documents\GitHub\eaglep3\Utilities\DownloadLogsFromS3.py --loco 4027 --day 2017-05-13</v>
      </c>
      <c r="AN202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09:27:35"},{"id":29,"name":"Sharepoint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751</v>
      </c>
      <c r="B203" s="7">
        <v>4032</v>
      </c>
      <c r="C203" s="21" t="s">
        <v>206</v>
      </c>
      <c r="D203" s="21" t="s">
        <v>376</v>
      </c>
      <c r="E203" s="13">
        <v>42868.795995370368</v>
      </c>
      <c r="F203" s="13">
        <v>42868.798391203702</v>
      </c>
      <c r="G203" s="7">
        <v>1</v>
      </c>
      <c r="H203" s="21" t="s">
        <v>363</v>
      </c>
      <c r="I203" s="13">
        <v>42868.804895833331</v>
      </c>
      <c r="J203" s="7">
        <v>0</v>
      </c>
      <c r="K203" s="92" t="str">
        <f t="shared" si="63"/>
        <v>4031/4032</v>
      </c>
      <c r="L203" s="21" t="str">
        <f>VLOOKUP(A203,'Trips&amp;Operators'!$C$1:$G$99999,5,FALSE)</f>
        <v>ROMERO CHAD</v>
      </c>
      <c r="M203" s="6">
        <f t="shared" si="64"/>
        <v>6.5046296294895001E-3</v>
      </c>
      <c r="N203" s="7">
        <f t="shared" si="92"/>
        <v>9.3666666664648801</v>
      </c>
      <c r="O203" s="7"/>
      <c r="P203" s="7"/>
      <c r="Q203" s="22"/>
      <c r="R203" s="190"/>
      <c r="S203" s="196">
        <f t="shared" si="93"/>
        <v>1</v>
      </c>
      <c r="T203" s="190" t="str">
        <f t="shared" si="65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66"/>
        <v>https://d0f6bd738d7f1b3e5a7ca70fe4ff75f0.us-east-1.aws.found.io/app/kibana#/discover/Steve-Slow-Train-Analysis-(2080s-and-2083s)?_g=(refreshInterval:(display:Off,pause:!f,section:0,value:0),time:(from:'2017-05-13T18:06:14-0600',mode:absolute,to:'2017-05-13T20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3" s="192" t="str">
        <f t="shared" si="67"/>
        <v>Y</v>
      </c>
      <c r="X203" s="192">
        <f t="shared" ref="X203:X234" si="94">VALUE(LEFT(AD203,4))-VALUE(LEFT(AD202,4))</f>
        <v>1</v>
      </c>
      <c r="Y203" s="192">
        <f t="shared" si="91"/>
        <v>4.3700000000000003E-2</v>
      </c>
      <c r="Z203" s="192">
        <f t="shared" si="90"/>
        <v>2.3346</v>
      </c>
      <c r="AA203" s="192">
        <f t="shared" si="68"/>
        <v>2.2909000000000002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9"/>
        <v>0305-13</v>
      </c>
      <c r="AE203" s="80" t="str">
        <f t="shared" si="70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203" s="77" t="str">
        <f t="shared" si="71"/>
        <v>"C:\Program Files (x86)\AstroGrep\AstroGrep.exe" /e /r /s /spath="%USERPROFILE%\AppData\Local\Temp\OnboardLogs" /stypes="app*4032*20170514*" /stext=" 01:.+((SYSTEM_STATE.+slice.+state.+changed )|(ment ac)|(multiple cpu faults)|(system.+state.+changed )|(\[timeout)|(PRM\|1\|D)|(kpr)|(kdp)|(train st.+moving)|(\|lc)|(penalty))"</v>
      </c>
      <c r="AG203" s="1" t="str">
        <f t="shared" si="72"/>
        <v>Other</v>
      </c>
      <c r="AH203" s="81" t="str">
        <f t="shared" si="73"/>
        <v>"%USERPROFILE%\Documents\GitHub\eaglep3\Utilities\RefineRTDCRunTimes.py" --tripid 305-13 --locoid 4032 --swversion DE.1.0.9.0 --startMP 204:437 --initTime 2017-05-13T19:06:14 --startdatetime 2017-05-13T19:09:41 --delay 1 --endMP 300:23346 --enddatetime 2017-05-13T19:19:03 --enforcementcount 0 &gt;&gt;C:\Users\stu\Documents\GitHub\eaglep3-reporting\EC\2017-05-13-refined-times.txt</v>
      </c>
      <c r="AI203" s="99" t="str">
        <f t="shared" si="74"/>
        <v>echo {"issue":{"subject":"","project_id":79,"tracker_id":40,"status_id":1,"priority_id":2,"assigned_to_id":23,"start_date":"2017-05-13","description":"","custom_fields":[{"id":1,"name":"Subdivision","value":"Other"},{"id":4,"name":"Milepost","value":"2.3346"},{"id":17,"name":"Train ID","value":"305-13"},{"id":16,"name":"Locomotive ID","value":"4032"},{"id":130,"name":"Impact","value":""},{"id":150,"name":"Time of Event (Mountain Time)","value":"19:19:03"},{"id":151,"name":"Denver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5"/>
        <v>start /low /b %USERPROFILE%\Documents\GitHub\eaglep3\Utilities\DownloadLogsFromS3.py --loco 4032 --day 2017-05-13</v>
      </c>
      <c r="AN203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751</v>
      </c>
      <c r="B204" s="7">
        <v>4032</v>
      </c>
      <c r="C204" s="21" t="s">
        <v>206</v>
      </c>
      <c r="D204" s="21" t="s">
        <v>452</v>
      </c>
      <c r="E204" s="13">
        <v>42868.795995370368</v>
      </c>
      <c r="F204" s="13">
        <v>42868.798391203702</v>
      </c>
      <c r="G204" s="7">
        <v>10</v>
      </c>
      <c r="H204" s="21" t="s">
        <v>363</v>
      </c>
      <c r="I204" s="13">
        <v>42868.804895833331</v>
      </c>
      <c r="J204" s="7">
        <v>0</v>
      </c>
      <c r="K204" s="92" t="str">
        <f t="shared" si="63"/>
        <v>4031/4032</v>
      </c>
      <c r="L204" s="21" t="str">
        <f>VLOOKUP(A204,'Trips&amp;Operators'!$C$1:$G$99999,5,FALSE)</f>
        <v>ROMERO CHAD</v>
      </c>
      <c r="M204" s="6">
        <f t="shared" si="64"/>
        <v>6.5046296294895001E-3</v>
      </c>
      <c r="N204" s="7">
        <f t="shared" si="92"/>
        <v>9.3666666664648801</v>
      </c>
      <c r="O204" s="7"/>
      <c r="P204" s="7"/>
      <c r="Q204" s="22"/>
      <c r="R204" s="190"/>
      <c r="S204" s="196">
        <f t="shared" si="93"/>
        <v>0</v>
      </c>
      <c r="T204" s="190" t="str">
        <f t="shared" si="65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1" t="str">
        <f t="shared" si="66"/>
        <v>https://d0f6bd738d7f1b3e5a7ca70fe4ff75f0.us-east-1.aws.found.io/app/kibana#/discover/Steve-Slow-Train-Analysis-(2080s-and-2083s)?_g=(refreshInterval:(display:Off,pause:!f,section:0,value:0),time:(from:'2017-05-13T18:06:14-0600',mode:absolute,to:'2017-05-13T20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192" t="str">
        <f t="shared" si="67"/>
        <v>Y</v>
      </c>
      <c r="X204" s="192">
        <f t="shared" si="94"/>
        <v>0</v>
      </c>
      <c r="Y204" s="192">
        <f t="shared" si="91"/>
        <v>2.3302</v>
      </c>
      <c r="Z204" s="192">
        <f t="shared" si="90"/>
        <v>2.3346</v>
      </c>
      <c r="AA204" s="192">
        <f t="shared" si="68"/>
        <v>4.3999999999999595E-3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9"/>
        <v>0305-13</v>
      </c>
      <c r="AE204" s="80" t="str">
        <f t="shared" si="70"/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AF204" s="77" t="str">
        <f t="shared" si="71"/>
        <v>"C:\Program Files (x86)\AstroGrep\AstroGrep.exe" /e /r /s /spath="%USERPROFILE%\AppData\Local\Temp\OnboardLogs" /stypes="app*4032*20170514*" /stext=" 01:.+((SYSTEM_STATE.+slice.+state.+changed )|(ment ac)|(multiple cpu faults)|(system.+state.+changed )|(\[timeout)|(PRM\|1\|D)|(kpr)|(kdp)|(train st.+moving)|(\|lc)|(penalty))"</v>
      </c>
      <c r="AG204" s="1" t="str">
        <f t="shared" si="72"/>
        <v>Other</v>
      </c>
      <c r="AH204" s="81" t="str">
        <f t="shared" si="73"/>
        <v>"%USERPROFILE%\Documents\GitHub\eaglep3\Utilities\RefineRTDCRunTimes.py" --tripid 305-13 --locoid 4032 --swversion DE.1.0.9.0 --startMP 300:23302 --initTime 2017-05-13T19:06:14 --startdatetime 2017-05-13T19:09:41 --delay 10 --endMP 300:23346 --enddatetime 2017-05-13T19:19:03 --enforcementcount 0 &gt;&gt;C:\Users\stu\Documents\GitHub\eaglep3-reporting\EC\2017-05-13-refined-times.txt</v>
      </c>
      <c r="AI204" s="99" t="str">
        <f t="shared" si="74"/>
        <v>echo {"issue":{"subject":"","project_id":79,"tracker_id":40,"status_id":1,"priority_id":2,"assigned_to_id":23,"start_date":"2017-05-13","description":"","custom_fields":[{"id":1,"name":"Subdivision","value":"Other"},{"id":4,"name":"Milepost","value":"2.3346"},{"id":17,"name":"Train ID","value":"305-13"},{"id":16,"name":"Locomotive ID","value":"4032"},{"id":130,"name":"Impact","value":""},{"id":150,"name":"Time of Event (Mountain Time)","value":"19:19:03"},{"id":151,"name":"Denver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5"/>
        <v>start /low /b %USERPROFILE%\Documents\GitHub\eaglep3\Utilities\DownloadLogsFromS3.py --loco 4032 --day 2017-05-13</v>
      </c>
      <c r="AN204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601</v>
      </c>
      <c r="B205" s="7">
        <v>4003</v>
      </c>
      <c r="C205" s="21" t="s">
        <v>206</v>
      </c>
      <c r="D205" s="21" t="s">
        <v>950</v>
      </c>
      <c r="E205" s="13">
        <v>42868.15662037037</v>
      </c>
      <c r="F205" s="13">
        <v>42868.162106481483</v>
      </c>
      <c r="G205" s="7">
        <v>7</v>
      </c>
      <c r="H205" s="21" t="s">
        <v>373</v>
      </c>
      <c r="I205" s="13">
        <v>42868.166342592594</v>
      </c>
      <c r="J205" s="7">
        <v>0</v>
      </c>
      <c r="K205" s="92" t="str">
        <f t="shared" ref="K205:K268" si="95">IF(ISEVEN(B205),(B205-1)&amp;"/"&amp;B205,B205&amp;"/"&amp;(B205+1))</f>
        <v>4003/4004</v>
      </c>
      <c r="L205" s="21" t="str">
        <f>VLOOKUP(A205,'Trips&amp;Operators'!$C$1:$G$99999,5,FALSE)</f>
        <v>MAELZER KURT</v>
      </c>
      <c r="M205" s="6">
        <f t="shared" ref="M205:M268" si="96">I205-F205</f>
        <v>4.2361111118225381E-3</v>
      </c>
      <c r="N205" s="7">
        <f t="shared" si="92"/>
        <v>6.1000000010244548</v>
      </c>
      <c r="O205" s="7"/>
      <c r="P205" s="7"/>
      <c r="Q205" s="22"/>
      <c r="R205" s="190"/>
      <c r="S205" s="196">
        <f t="shared" si="93"/>
        <v>1</v>
      </c>
      <c r="T205" s="190" t="str">
        <f t="shared" ref="T205:T268" si="97"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8" si="9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-13T02:45:32-0600',mode:absolute,to:'2017-05-13T04:59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5" s="192" t="str">
        <f t="shared" ref="W205:W268" si="99">IF(AA205&lt;IF(AG205="EC",23,5.65),"Y","N")</f>
        <v>Y</v>
      </c>
      <c r="X205" s="192">
        <f t="shared" si="94"/>
        <v>1</v>
      </c>
      <c r="Y205" s="192">
        <f t="shared" si="91"/>
        <v>1.6721999999999999</v>
      </c>
      <c r="Z205" s="192">
        <f t="shared" si="90"/>
        <v>1.47E-2</v>
      </c>
      <c r="AA205" s="192">
        <f t="shared" ref="AA205:AA268" si="100">ABS(Z205-Y205)</f>
        <v>1.6575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8" si="101">IF(LEN(A205)=6,"0"&amp;A205,A205)</f>
        <v>0306-13</v>
      </c>
      <c r="AE205" s="80" t="str">
        <f t="shared" ref="AE205:AE268" si="10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205" s="77" t="str">
        <f t="shared" ref="AF205:AF268" si="10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/stypes="app*4003*20170513*" /stext=" 09:.+((SYSTEM_STATE.+slice.+state.+changed )|(ment ac)|(multiple cpu faults)|(system.+state.+changed )|(\[timeout)|(PRM\|1\|D)|(kpr)|(kdp)|(train st.+moving)|(\|lc)|(penalty))"</v>
      </c>
      <c r="AG205" s="1" t="str">
        <f t="shared" ref="AG205:AG268" si="104">IFERROR(IF(VALUE(LEFT(AD205,2))&lt;=2,"EC",IF(OR(VALUE(LEFT(AD205,2))=8,VALUE(LEFT(AD205,2))=18),"NW","Other")),"Other")</f>
        <v>Other</v>
      </c>
      <c r="AH205" s="81" t="str">
        <f t="shared" si="73"/>
        <v>"%USERPROFILE%\Documents\GitHub\eaglep3\Utilities\RefineRTDCRunTimes.py" --tripid 306-13 --locoid 4003 --swversion DE.1.0.9.0 --startMP 300:16722 --initTime 2017-05-13T03:45:32 --startdatetime 2017-05-13T03:53:26 --delay 7 --endMP 204:147 --enddatetime 2017-05-13T03:59:32 --enforcementcount 0 &gt;&gt;C:\Users\stu\Documents\GitHub\eaglep3-reporting\EC\2017-05-13-refined-times.txt</v>
      </c>
      <c r="AI205" s="99" t="str">
        <f t="shared" si="74"/>
        <v>echo {"issue":{"subject":"","project_id":79,"tracker_id":40,"status_id":1,"priority_id":2,"assigned_to_id":23,"start_date":"2017-05-13","description":"","custom_fields":[{"id":1,"name":"Subdivision","value":"Other"},{"id":4,"name":"Milepost","value":"0.0147"},{"id":17,"name":"Train ID","value":"306-13"},{"id":16,"name":"Locomotive ID","value":"4003"},{"id":130,"name":"Impact","value":""},{"id":150,"name":"Time of Event (Mountain Time)","value":"03:59:32"},{"id":151,"name":"Denver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5"/>
        <v>start /low /b %USERPROFILE%\Documents\GitHub\eaglep3\Utilities\DownloadLogsFromS3.py --loco 4003 --day 2017-05-13</v>
      </c>
      <c r="AN205" s="154" t="str">
        <f t="shared" si="76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09:59:32"},{"id":29,"name":"Sharepoint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755</v>
      </c>
      <c r="B206" s="7">
        <v>4028</v>
      </c>
      <c r="C206" s="21" t="s">
        <v>206</v>
      </c>
      <c r="D206" s="21" t="s">
        <v>951</v>
      </c>
      <c r="E206" s="13">
        <v>42868.818668981483</v>
      </c>
      <c r="F206" s="13">
        <v>42868.821203703701</v>
      </c>
      <c r="G206" s="7">
        <v>1</v>
      </c>
      <c r="H206" s="21" t="s">
        <v>952</v>
      </c>
      <c r="I206" s="13">
        <v>42868.828506944446</v>
      </c>
      <c r="J206" s="7">
        <v>0</v>
      </c>
      <c r="K206" s="92" t="str">
        <f t="shared" si="95"/>
        <v>4027/4028</v>
      </c>
      <c r="L206" s="21" t="str">
        <f>VLOOKUP(A206,'Trips&amp;Operators'!$C$1:$G$99999,5,FALSE)</f>
        <v>MOSES BRADLEY</v>
      </c>
      <c r="M206" s="6">
        <f t="shared" si="96"/>
        <v>7.3032407453865744E-3</v>
      </c>
      <c r="N206" s="7">
        <f t="shared" si="92"/>
        <v>10.516666673356667</v>
      </c>
      <c r="O206" s="7"/>
      <c r="P206" s="7"/>
      <c r="Q206" s="22"/>
      <c r="R206" s="190"/>
      <c r="S206" s="196">
        <f t="shared" si="93"/>
        <v>1</v>
      </c>
      <c r="T206" s="190" t="str">
        <f t="shared" si="97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98"/>
        <v>https://d0f6bd738d7f1b3e5a7ca70fe4ff75f0.us-east-1.aws.found.io/app/kibana#/discover/Steve-Slow-Train-Analysis-(2080s-and-2083s)?_g=(refreshInterval:(display:Off,pause:!f,section:0,value:0),time:(from:'2017-05-13T18:38:53-0600',mode:absolute,to:'2017-05-13T20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192" t="str">
        <f t="shared" si="99"/>
        <v>Y</v>
      </c>
      <c r="X206" s="192">
        <f t="shared" si="94"/>
        <v>1</v>
      </c>
      <c r="Y206" s="192">
        <f t="shared" si="91"/>
        <v>4.4999999999999998E-2</v>
      </c>
      <c r="Z206" s="192">
        <f t="shared" si="90"/>
        <v>2.3313999999999999</v>
      </c>
      <c r="AA206" s="192">
        <f t="shared" si="100"/>
        <v>2.2864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01"/>
        <v>0307-13</v>
      </c>
      <c r="AE206" s="80" t="str">
        <f t="shared" si="102"/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AF206" s="77" t="str">
        <f t="shared" si="103"/>
        <v>"C:\Program Files (x86)\AstroGrep\AstroGrep.exe" /e /r /s /spath="%USERPROFILE%\AppData\Local\Temp\OnboardLogs" /stypes="app*4028*20170514*" /stext=" 01:.+((SYSTEM_STATE.+slice.+state.+changed )|(ment ac)|(multiple cpu faults)|(system.+state.+changed )|(\[timeout)|(PRM\|1\|D)|(kpr)|(kdp)|(train st.+moving)|(\|lc)|(penalty))"</v>
      </c>
      <c r="AG206" s="1" t="str">
        <f t="shared" si="104"/>
        <v>Other</v>
      </c>
      <c r="AH206" s="81" t="str">
        <f t="shared" si="73"/>
        <v>"%USERPROFILE%\Documents\GitHub\eaglep3\Utilities\RefineRTDCRunTimes.py" --tripid 307-13 --locoid 4028 --swversion DE.1.0.9.0 --startMP 204:450 --initTime 2017-05-13T19:38:53 --startdatetime 2017-05-13T19:42:32 --delay 1 --endMP 300:23314 --enddatetime 2017-05-13T19:53:03 --enforcementcount 0 &gt;&gt;C:\Users\stu\Documents\GitHub\eaglep3-reporting\EC\2017-05-13-refined-times.txt</v>
      </c>
      <c r="AI206" s="99" t="str">
        <f t="shared" si="74"/>
        <v>echo {"issue":{"subject":"","project_id":79,"tracker_id":40,"status_id":1,"priority_id":2,"assigned_to_id":23,"start_date":"2017-05-13","description":"","custom_fields":[{"id":1,"name":"Subdivision","value":"Other"},{"id":4,"name":"Milepost","value":"2.3314"},{"id":17,"name":"Train ID","value":"307-13"},{"id":16,"name":"Locomotive ID","value":"4028"},{"id":130,"name":"Impact","value":""},{"id":150,"name":"Time of Event (Mountain Time)","value":"19:53:03"},{"id":151,"name":"Denver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5"/>
        <v>start /low /b %USERPROFILE%\Documents\GitHub\eaglep3\Utilities\DownloadLogsFromS3.py --loco 4028 --day 2017-05-13</v>
      </c>
      <c r="AN206" s="154" t="str">
        <f t="shared" si="76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606</v>
      </c>
      <c r="B207" s="7">
        <v>4013</v>
      </c>
      <c r="C207" s="21" t="s">
        <v>206</v>
      </c>
      <c r="D207" s="21" t="s">
        <v>953</v>
      </c>
      <c r="E207" s="13">
        <v>42868.170763888891</v>
      </c>
      <c r="F207" s="13">
        <v>42868.177627314813</v>
      </c>
      <c r="G207" s="7">
        <v>9</v>
      </c>
      <c r="H207" s="21" t="s">
        <v>370</v>
      </c>
      <c r="I207" s="13">
        <v>42868.183692129627</v>
      </c>
      <c r="J207" s="7">
        <v>0</v>
      </c>
      <c r="K207" s="92" t="str">
        <f t="shared" si="95"/>
        <v>4013/4014</v>
      </c>
      <c r="L207" s="21" t="str">
        <f>VLOOKUP(A207,'Trips&amp;Operators'!$C$1:$G$99999,5,FALSE)</f>
        <v>DAVIS WENDY</v>
      </c>
      <c r="M207" s="6">
        <f t="shared" si="96"/>
        <v>6.064814813726116E-3</v>
      </c>
      <c r="N207" s="7">
        <f t="shared" si="92"/>
        <v>8.733333331765607</v>
      </c>
      <c r="O207" s="7"/>
      <c r="P207" s="7"/>
      <c r="Q207" s="22"/>
      <c r="R207" s="190"/>
      <c r="S207" s="196">
        <f t="shared" si="93"/>
        <v>1</v>
      </c>
      <c r="T207" s="190" t="str">
        <f t="shared" si="97"/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98"/>
        <v>https://d0f6bd738d7f1b3e5a7ca70fe4ff75f0.us-east-1.aws.found.io/app/kibana#/discover/Steve-Slow-Train-Analysis-(2080s-and-2083s)?_g=(refreshInterval:(display:Off,pause:!f,section:0,value:0),time:(from:'2017-05-13T03:05:54-0600',mode:absolute,to:'2017-05-13T05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92" t="str">
        <f t="shared" si="99"/>
        <v>Y</v>
      </c>
      <c r="X207" s="192">
        <f t="shared" si="94"/>
        <v>1</v>
      </c>
      <c r="Y207" s="192">
        <f t="shared" si="91"/>
        <v>2.2330999999999999</v>
      </c>
      <c r="Z207" s="192">
        <f t="shared" si="90"/>
        <v>1.3899999999999999E-2</v>
      </c>
      <c r="AA207" s="192">
        <f t="shared" si="100"/>
        <v>2.2191999999999998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1"/>
        <v>0308-13</v>
      </c>
      <c r="AE207" s="80" t="str">
        <f t="shared" si="102"/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AF207" s="77" t="str">
        <f t="shared" si="103"/>
        <v>"C:\Program Files (x86)\AstroGrep\AstroGrep.exe" /e /r /s /spath="%USERPROFILE%\AppData\Local\Temp\OnboardLogs" /stypes="app*4013*20170513*" /stext=" 10:.+((SYSTEM_STATE.+slice.+state.+changed )|(ment ac)|(multiple cpu faults)|(system.+state.+changed )|(\[timeout)|(PRM\|1\|D)|(kpr)|(kdp)|(train st.+moving)|(\|lc)|(penalty))"</v>
      </c>
      <c r="AG207" s="1" t="str">
        <f t="shared" si="104"/>
        <v>Other</v>
      </c>
      <c r="AH207" s="81" t="str">
        <f t="shared" ref="AH207:AH270" si="105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308-13 --locoid 4013 --swversion DE.1.0.9.0 --startMP 300:22331 --initTime 2017-05-13T04:05:54 --startdatetime 2017-05-13T04:15:47 --delay 9 --endMP 204:139 --enddatetime 2017-05-13T04:24:31 --enforcementcount 0 &gt;&gt;C:\Users\stu\Documents\GitHub\eaglep3-reporting\EC\2017-05-13-refined-times.txt</v>
      </c>
      <c r="AI207" s="99" t="str">
        <f t="shared" ref="AI207:AI270" si="106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{"issue":{"subject":"","project_id":79,"tracker_id":40,"status_id":1,"priority_id":2,"assigned_to_id":23,"start_date":"2017-05-13","description":"","custom_fields":[{"id":1,"name":"Subdivision","value":"Other"},{"id":4,"name":"Milepost","value":"0.0139"},{"id":17,"name":"Train ID","value":"308-13"},{"id":16,"name":"Locomotive ID","value":"4013"},{"id":130,"name":"Impact","value":""},{"id":150,"name":"Time of Event (Mountain Time)","value":"04:24:31"},{"id":151,"name":"Denver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ref="AM207:AM270" si="107">"start /low /b "&amp;dls3logs&amp;" --loco "&amp;B207&amp;" --day "&amp;TEXT(F207,"YYYY-MM-DD")</f>
        <v>start /low /b %USERPROFILE%\Documents\GitHub\eaglep3\Utilities\DownloadLogsFromS3.py --loco 4013 --day 2017-05-13</v>
      </c>
      <c r="AN207" s="154" t="str">
        <f t="shared" ref="AN207:AN270" si="108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780</v>
      </c>
      <c r="B208" s="7">
        <v>4054</v>
      </c>
      <c r="C208" s="21" t="s">
        <v>206</v>
      </c>
      <c r="D208" s="21" t="s">
        <v>354</v>
      </c>
      <c r="E208" s="13">
        <v>42869.046469907407</v>
      </c>
      <c r="F208" s="13">
        <v>42869.049490740741</v>
      </c>
      <c r="G208" s="7">
        <v>1</v>
      </c>
      <c r="H208" s="21" t="s">
        <v>954</v>
      </c>
      <c r="I208" s="13">
        <v>42869.054618055554</v>
      </c>
      <c r="J208" s="7">
        <v>0</v>
      </c>
      <c r="K208" s="92" t="str">
        <f t="shared" si="95"/>
        <v>4053/4054</v>
      </c>
      <c r="L208" s="21" t="str">
        <f>VLOOKUP(A208,'Trips&amp;Operators'!$C$1:$G$99999,5,FALSE)</f>
        <v>SMITH MICHAEL</v>
      </c>
      <c r="M208" s="6">
        <f t="shared" si="96"/>
        <v>5.1273148128530011E-3</v>
      </c>
      <c r="N208" s="7">
        <f t="shared" si="92"/>
        <v>7.3833333305083215</v>
      </c>
      <c r="O208" s="7"/>
      <c r="P208" s="7"/>
      <c r="Q208" s="22"/>
      <c r="R208" s="190"/>
      <c r="S208" s="196">
        <f t="shared" si="93"/>
        <v>1</v>
      </c>
      <c r="T208" s="190" t="str">
        <f t="shared" si="97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98"/>
        <v>https://d0f6bd738d7f1b3e5a7ca70fe4ff75f0.us-east-1.aws.found.io/app/kibana#/discover/Steve-Slow-Train-Analysis-(2080s-and-2083s)?_g=(refreshInterval:(display:Off,pause:!f,section:0,value:0),time:(from:'2017-05-14T00:06:55-0600',mode:absolute,to:'2017-05-14T02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92" t="str">
        <f t="shared" si="99"/>
        <v>Y</v>
      </c>
      <c r="X208" s="192">
        <f t="shared" si="94"/>
        <v>1</v>
      </c>
      <c r="Y208" s="192">
        <f t="shared" si="91"/>
        <v>4.58E-2</v>
      </c>
      <c r="Z208" s="192">
        <f t="shared" ref="Z208:Z239" si="109">RIGHT(H208,LEN(H208)-4)/10000</f>
        <v>2.3292999999999999</v>
      </c>
      <c r="AA208" s="192">
        <f t="shared" si="100"/>
        <v>2.2835000000000001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1"/>
        <v>0309-13</v>
      </c>
      <c r="AE208" s="80" t="str">
        <f t="shared" si="102"/>
        <v>aws s3 cp s3://rtdc.mdm.uploadarchive.raw/RTDC4054/ "%USERPROFILE%\AppData\Local\Temp\OnboardLogs"\RTDC4054\2017-05-14 --exclude "*" --recursive --include "*20170514*" &amp; "%USERPROFILE%\Documents\GitHub\mrs-test-scripts\Headless Mode &amp; Sideloading\WalkAndUnGZ.bat" "%USERPROFILE%\AppData\Local\Temp\OnboardLogs"\RTDC4054\2017-05-14 &amp; aws s3 cp s3://rtdc.mdm.uploadarchive.raw/RTDC4054/ "%USERPROFILE%\AppData\Local\Temp\OnboardLogs"\RTDC4054\2017-05-15 --exclude "*" --recursive --include "*20170515*" &amp; "%USERPROFILE%\Documents\GitHub\mrs-test-scripts\Headless Mode &amp; Sideloading\WalkAndUnGZ.bat" "%USERPROFILE%\AppData\Local\Temp\OnboardLogs"\RTDC4054\2017-05-15</v>
      </c>
      <c r="AF208" s="77" t="str">
        <f t="shared" si="103"/>
        <v>"C:\Program Files (x86)\AstroGrep\AstroGrep.exe" /e /r /s /spath="%USERPROFILE%\AppData\Local\Temp\OnboardLogs" /stypes="app*4054*20170514*" /stext=" 07:.+((SYSTEM_STATE.+slice.+state.+changed )|(ment ac)|(multiple cpu faults)|(system.+state.+changed )|(\[timeout)|(PRM\|1\|D)|(kpr)|(kdp)|(train st.+moving)|(\|lc)|(penalty))"</v>
      </c>
      <c r="AG208" s="1" t="str">
        <f t="shared" si="104"/>
        <v>Other</v>
      </c>
      <c r="AH208" s="81" t="str">
        <f t="shared" si="105"/>
        <v>"%USERPROFILE%\Documents\GitHub\eaglep3\Utilities\RefineRTDCRunTimes.py" --tripid 309-13 --locoid 4054 --swversion DE.1.0.9.0 --startMP 204:458 --initTime 2017-05-14T01:06:55 --startdatetime 2017-05-14T01:11:16 --delay 1 --endMP 300:23293 --enddatetime 2017-05-14T01:18:39 --enforcementcount 0 &gt;&gt;C:\Users\stu\Documents\GitHub\eaglep3-reporting\EC\2017-05-13-refined-times.txt</v>
      </c>
      <c r="AI208" s="99" t="str">
        <f t="shared" si="106"/>
        <v>echo {"issue":{"subject":"","project_id":79,"tracker_id":40,"status_id":1,"priority_id":2,"assigned_to_id":23,"start_date":"2017-05-14","description":"","custom_fields":[{"id":1,"name":"Subdivision","value":"Other"},{"id":4,"name":"Milepost","value":"2.3293"},{"id":17,"name":"Train ID","value":"309-13"},{"id":16,"name":"Locomotive ID","value":"4054"},{"id":130,"name":"Impact","value":""},{"id":150,"name":"Time of Event (Mountain Time)","value":"01:18:39"},{"id":151,"name":"Denver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7"/>
        <v>start /low /b %USERPROFILE%\Documents\GitHub\eaglep3\Utilities\DownloadLogsFromS3.py --loco 4054 --day 2017-05-14</v>
      </c>
      <c r="AN208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07:18:39"},{"id":29,"name":"Sharepoint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609</v>
      </c>
      <c r="B209" s="7">
        <v>4001</v>
      </c>
      <c r="C209" s="21" t="s">
        <v>206</v>
      </c>
      <c r="D209" s="21" t="s">
        <v>955</v>
      </c>
      <c r="E209" s="13">
        <v>42868.17769675926</v>
      </c>
      <c r="F209" s="13">
        <v>42868.18378472222</v>
      </c>
      <c r="G209" s="7">
        <v>8</v>
      </c>
      <c r="H209" s="21" t="s">
        <v>525</v>
      </c>
      <c r="I209" s="13">
        <v>42868.188344907408</v>
      </c>
      <c r="J209" s="7">
        <v>0</v>
      </c>
      <c r="K209" s="92" t="str">
        <f t="shared" si="95"/>
        <v>4001/4002</v>
      </c>
      <c r="L209" s="21" t="str">
        <f>VLOOKUP(A209,'Trips&amp;Operators'!$C$1:$G$99999,5,FALSE)</f>
        <v>SANTIZO D. EDY</v>
      </c>
      <c r="M209" s="6">
        <f t="shared" si="96"/>
        <v>4.5601851888932288E-3</v>
      </c>
      <c r="N209" s="7">
        <f t="shared" si="92"/>
        <v>6.5666666720062494</v>
      </c>
      <c r="O209" s="7"/>
      <c r="P209" s="7"/>
      <c r="Q209" s="22"/>
      <c r="R209" s="190"/>
      <c r="S209" s="196">
        <f t="shared" si="93"/>
        <v>1</v>
      </c>
      <c r="T209" s="190" t="str">
        <f t="shared" si="97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98"/>
        <v>https://d0f6bd738d7f1b3e5a7ca70fe4ff75f0.us-east-1.aws.found.io/app/kibana#/discover/Steve-Slow-Train-Analysis-(2080s-and-2083s)?_g=(refreshInterval:(display:Off,pause:!f,section:0,value:0),time:(from:'2017-05-13T03:15:53-0600',mode:absolute,to:'2017-05-13T05:31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192" t="str">
        <f t="shared" si="99"/>
        <v>Y</v>
      </c>
      <c r="X209" s="192">
        <f t="shared" si="94"/>
        <v>1</v>
      </c>
      <c r="Y209" s="192">
        <f t="shared" ref="Y209:Y240" si="110">RIGHT(D209,LEN(D209)-4)/10000</f>
        <v>1.9596</v>
      </c>
      <c r="Z209" s="192">
        <f t="shared" si="109"/>
        <v>1.61E-2</v>
      </c>
      <c r="AA209" s="192">
        <f t="shared" si="100"/>
        <v>1.9435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1"/>
        <v>0310-13</v>
      </c>
      <c r="AE209" s="80" t="str">
        <f t="shared" si="102"/>
        <v>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 &amp; 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</v>
      </c>
      <c r="AF209" s="77" t="str">
        <f t="shared" si="103"/>
        <v>"C:\Program Files (x86)\AstroGrep\AstroGrep.exe" /e /r /s /spath="%USERPROFILE%\AppData\Local\Temp\OnboardLogs" /stypes="app*4001*20170513*" /stext=" 10:.+((SYSTEM_STATE.+slice.+state.+changed )|(ment ac)|(multiple cpu faults)|(system.+state.+changed )|(\[timeout)|(PRM\|1\|D)|(kpr)|(kdp)|(train st.+moving)|(\|lc)|(penalty))"</v>
      </c>
      <c r="AG209" s="1" t="str">
        <f t="shared" si="104"/>
        <v>Other</v>
      </c>
      <c r="AH209" s="81" t="str">
        <f t="shared" si="105"/>
        <v>"%USERPROFILE%\Documents\GitHub\eaglep3\Utilities\RefineRTDCRunTimes.py" --tripid 310-13 --locoid 4001 --swversion DE.1.0.9.0 --startMP 300:19596 --initTime 2017-05-13T04:15:53 --startdatetime 2017-05-13T04:24:39 --delay 8 --endMP 204:161 --enddatetime 2017-05-13T04:31:13 --enforcementcount 0 &gt;&gt;C:\Users\stu\Documents\GitHub\eaglep3-reporting\EC\2017-05-13-refined-times.txt</v>
      </c>
      <c r="AI209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{"issue":{"subject":"","project_id":79,"tracker_id":40,"status_id":1,"priority_id":2,"assigned_to_id":23,"start_date":"2017-05-13","description":"","custom_fields":[{"id":1,"name":"Subdivision","value":"Other"},{"id":4,"name":"Milepost","value":"0.0161"},{"id":17,"name":"Train ID","value":"310-13"},{"id":16,"name":"Locomotive ID","value":"4001"},{"id":130,"name":"Impact","value":""},{"id":150,"name":"Time of Event (Mountain Time)","value":"04:31:13"},{"id":151,"name":"Denver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7"/>
        <v>start /low /b %USERPROFILE%\Documents\GitHub\eaglep3\Utilities\DownloadLogsFromS3.py --loco 4001 --day 2017-05-13</v>
      </c>
      <c r="AN209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10:31:13"},{"id":29,"name":"Sharepoint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782</v>
      </c>
      <c r="B210" s="7">
        <v>4004</v>
      </c>
      <c r="C210" s="21" t="s">
        <v>206</v>
      </c>
      <c r="D210" s="21" t="s">
        <v>202</v>
      </c>
      <c r="E210" s="13">
        <v>42869.069386574076</v>
      </c>
      <c r="F210" s="13">
        <v>42869.070810185185</v>
      </c>
      <c r="G210" s="7">
        <v>1</v>
      </c>
      <c r="H210" s="21" t="s">
        <v>956</v>
      </c>
      <c r="I210" s="13">
        <v>42869.075810185182</v>
      </c>
      <c r="J210" s="7">
        <v>0</v>
      </c>
      <c r="K210" s="92" t="str">
        <f t="shared" si="95"/>
        <v>4003/4004</v>
      </c>
      <c r="L210" s="21" t="str">
        <f>VLOOKUP(A210,'Trips&amp;Operators'!$C$1:$G$99999,5,FALSE)</f>
        <v>DUNCAN SHEILA</v>
      </c>
      <c r="M210" s="6">
        <f t="shared" si="96"/>
        <v>4.9999999973806553E-3</v>
      </c>
      <c r="N210" s="7">
        <f t="shared" si="92"/>
        <v>7.1999999962281436</v>
      </c>
      <c r="O210" s="7"/>
      <c r="P210" s="7"/>
      <c r="Q210" s="22"/>
      <c r="R210" s="190"/>
      <c r="S210" s="196">
        <f t="shared" si="93"/>
        <v>1</v>
      </c>
      <c r="T210" s="190" t="str">
        <f t="shared" si="97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98"/>
        <v>https://d0f6bd738d7f1b3e5a7ca70fe4ff75f0.us-east-1.aws.found.io/app/kibana#/discover/Steve-Slow-Train-Analysis-(2080s-and-2083s)?_g=(refreshInterval:(display:Off,pause:!f,section:0,value:0),time:(from:'2017-05-14T00:39:55-0600',mode:absolute,to:'2017-05-14T02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192" t="str">
        <f t="shared" si="99"/>
        <v>Y</v>
      </c>
      <c r="X210" s="192">
        <f t="shared" si="94"/>
        <v>1</v>
      </c>
      <c r="Y210" s="192">
        <f t="shared" si="110"/>
        <v>4.5699999999999998E-2</v>
      </c>
      <c r="Z210" s="192">
        <f t="shared" si="109"/>
        <v>3.1278999999999999</v>
      </c>
      <c r="AA210" s="192">
        <f t="shared" si="100"/>
        <v>3.0821999999999998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1"/>
        <v>0311-13</v>
      </c>
      <c r="AE210" s="80" t="str">
        <f t="shared" si="102"/>
        <v>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 &amp; aws s3 cp s3://rtdc.mdm.uploadarchive.raw/RTDC4004/ "%USERPROFILE%\AppData\Local\Temp\OnboardLogs"\RTDC4004\2017-05-15 --exclude "*" --recursive --include "*20170515*" &amp; "%USERPROFILE%\Documents\GitHub\mrs-test-scripts\Headless Mode &amp; Sideloading\WalkAndUnGZ.bat" "%USERPROFILE%\AppData\Local\Temp\OnboardLogs"\RTDC4004\2017-05-15</v>
      </c>
      <c r="AF210" s="77" t="str">
        <f t="shared" si="103"/>
        <v>"C:\Program Files (x86)\AstroGrep\AstroGrep.exe" /e /r /s /spath="%USERPROFILE%\AppData\Local\Temp\OnboardLogs" /stypes="app*4004*20170514*" /stext=" 07:.+((SYSTEM_STATE.+slice.+state.+changed )|(ment ac)|(multiple cpu faults)|(system.+state.+changed )|(\[timeout)|(PRM\|1\|D)|(kpr)|(kdp)|(train st.+moving)|(\|lc)|(penalty))"</v>
      </c>
      <c r="AG210" s="1" t="str">
        <f t="shared" si="104"/>
        <v>Other</v>
      </c>
      <c r="AH210" s="81" t="str">
        <f t="shared" si="105"/>
        <v>"%USERPROFILE%\Documents\GitHub\eaglep3\Utilities\RefineRTDCRunTimes.py" --tripid 311-13 --locoid 4004 --swversion DE.1.0.9.0 --startMP 204:457 --initTime 2017-05-14T01:39:55 --startdatetime 2017-05-14T01:41:58 --delay 1 --endMP 300:31279 --enddatetime 2017-05-14T01:49:10 --enforcementcount 0 &gt;&gt;C:\Users\stu\Documents\GitHub\eaglep3-reporting\EC\2017-05-13-refined-times.txt</v>
      </c>
      <c r="AI210" s="99" t="str">
        <f t="shared" si="106"/>
        <v>echo {"issue":{"subject":"","project_id":79,"tracker_id":40,"status_id":1,"priority_id":2,"assigned_to_id":23,"start_date":"2017-05-14","description":"","custom_fields":[{"id":1,"name":"Subdivision","value":"Other"},{"id":4,"name":"Milepost","value":"3.1279"},{"id":17,"name":"Train ID","value":"311-13"},{"id":16,"name":"Locomotive ID","value":"4004"},{"id":130,"name":"Impact","value":""},{"id":150,"name":"Time of Event (Mountain Time)","value":"01:49:10"},{"id":151,"name":"Denver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7"/>
        <v>start /low /b %USERPROFILE%\Documents\GitHub\eaglep3\Utilities\DownloadLogsFromS3.py --loco 4004 --day 2017-05-14</v>
      </c>
      <c r="AN210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07:49:10"},{"id":29,"name":"Sharepoint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592</v>
      </c>
      <c r="B211" s="7">
        <v>4016</v>
      </c>
      <c r="C211" s="21" t="s">
        <v>206</v>
      </c>
      <c r="D211" s="21" t="s">
        <v>362</v>
      </c>
      <c r="E211" s="13">
        <v>42868.088171296295</v>
      </c>
      <c r="F211" s="13">
        <v>42868.089513888888</v>
      </c>
      <c r="G211" s="7">
        <v>1</v>
      </c>
      <c r="H211" s="21" t="s">
        <v>363</v>
      </c>
      <c r="I211" s="13">
        <v>42868.100324074076</v>
      </c>
      <c r="J211" s="7">
        <v>0</v>
      </c>
      <c r="K211" s="92" t="str">
        <f t="shared" si="95"/>
        <v>4015/4016</v>
      </c>
      <c r="L211" s="21" t="str">
        <f>VLOOKUP(A211,'Trips&amp;Operators'!$C$1:$G$99999,5,FALSE)</f>
        <v>BIRENBAUM THOMAS</v>
      </c>
      <c r="M211" s="6">
        <f t="shared" si="96"/>
        <v>1.0810185187438037E-2</v>
      </c>
      <c r="N211" s="7">
        <f t="shared" si="92"/>
        <v>15.566666669910774</v>
      </c>
      <c r="O211" s="7"/>
      <c r="P211" s="7"/>
      <c r="Q211" s="22"/>
      <c r="R211" s="190"/>
      <c r="S211" s="196">
        <f t="shared" si="93"/>
        <v>1</v>
      </c>
      <c r="T211" s="190" t="str">
        <f t="shared" si="97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98"/>
        <v>https://d0f6bd738d7f1b3e5a7ca70fe4ff75f0.us-east-1.aws.found.io/app/kibana#/discover/Steve-Slow-Train-Analysis-(2080s-and-2083s)?_g=(refreshInterval:(display:Off,pause:!f,section:0,value:0),time:(from:'2017-05-13T01:06:58-0600',mode:absolute,to:'2017-05-13T03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192" t="str">
        <f t="shared" si="99"/>
        <v>Y</v>
      </c>
      <c r="X211" s="192">
        <f t="shared" si="94"/>
        <v>2</v>
      </c>
      <c r="Y211" s="192">
        <f t="shared" si="110"/>
        <v>4.5100000000000001E-2</v>
      </c>
      <c r="Z211" s="192">
        <f t="shared" si="109"/>
        <v>2.3346</v>
      </c>
      <c r="AA211" s="192">
        <f t="shared" si="100"/>
        <v>2.2894999999999999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1"/>
        <v>0313-12</v>
      </c>
      <c r="AE211" s="80" t="str">
        <f t="shared" si="102"/>
        <v>aws s3 cp s3://rtdc.mdm.uploadarchive.raw/RTDC4016/ "%USERPROFILE%\AppData\Local\Temp\OnboardLogs"\RTDC4016\2017-05-13 --exclude "*" --recursive --include "*20170513*" &amp; "%USERPROFILE%\Documents\GitHub\mrs-test-scripts\Headless Mode &amp; Sideloading\WalkAndUnGZ.bat" "%USERPROFILE%\AppData\Local\Temp\OnboardLogs"\RTDC4016\2017-05-13 &amp; 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</v>
      </c>
      <c r="AF211" s="77" t="str">
        <f t="shared" si="103"/>
        <v>"C:\Program Files (x86)\AstroGrep\AstroGrep.exe" /e /r /s /spath="%USERPROFILE%\AppData\Local\Temp\OnboardLogs" /stypes="app*4016*20170513*" /stext=" 08:.+((SYSTEM_STATE.+slice.+state.+changed )|(ment ac)|(multiple cpu faults)|(system.+state.+changed )|(\[timeout)|(PRM\|1\|D)|(kpr)|(kdp)|(train st.+moving)|(\|lc)|(penalty))"</v>
      </c>
      <c r="AG211" s="1" t="str">
        <f t="shared" si="104"/>
        <v>Other</v>
      </c>
      <c r="AH211" s="81" t="str">
        <f t="shared" si="105"/>
        <v>"%USERPROFILE%\Documents\GitHub\eaglep3\Utilities\RefineRTDCRunTimes.py" --tripid 313-12 --locoid 4016 --swversion DE.1.0.9.0 --startMP 204:451 --initTime 2017-05-13T02:06:58 --startdatetime 2017-05-13T02:08:54 --delay 1 --endMP 300:23346 --enddatetime 2017-05-13T02:24:28 --enforcementcount 0 &gt;&gt;C:\Users\stu\Documents\GitHub\eaglep3-reporting\EC\2017-05-13-refined-times.txt</v>
      </c>
      <c r="AI211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{"issue":{"subject":"","project_id":79,"tracker_id":40,"status_id":1,"priority_id":2,"assigned_to_id":23,"start_date":"2017-05-13","description":"","custom_fields":[{"id":1,"name":"Subdivision","value":"Other"},{"id":4,"name":"Milepost","value":"2.3346"},{"id":17,"name":"Train ID","value":"313-12"},{"id":16,"name":"Locomotive ID","value":"4016"},{"id":130,"name":"Impact","value":""},{"id":150,"name":"Time of Event (Mountain Time)","value":"02:24:28"},{"id":151,"name":"Denver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7"/>
        <v>start /low /b %USERPROFILE%\Documents\GitHub\eaglep3\Utilities\DownloadLogsFromS3.py --loco 4016 --day 2017-05-13</v>
      </c>
      <c r="AN211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784</v>
      </c>
      <c r="B212" s="7">
        <v>4014</v>
      </c>
      <c r="C212" s="21" t="s">
        <v>206</v>
      </c>
      <c r="D212" s="21" t="s">
        <v>450</v>
      </c>
      <c r="E212" s="13">
        <v>42869.090752314813</v>
      </c>
      <c r="F212" s="13">
        <v>42869.095393518517</v>
      </c>
      <c r="G212" s="7">
        <v>1</v>
      </c>
      <c r="H212" s="21" t="s">
        <v>363</v>
      </c>
      <c r="I212" s="13">
        <v>42869.10328703704</v>
      </c>
      <c r="J212" s="7">
        <v>0</v>
      </c>
      <c r="K212" s="92" t="str">
        <f t="shared" si="95"/>
        <v>4013/4014</v>
      </c>
      <c r="L212" s="21" t="str">
        <f>VLOOKUP(A212,'Trips&amp;Operators'!$C$1:$G$99999,5,FALSE)</f>
        <v>SWANSON BRYCE</v>
      </c>
      <c r="M212" s="6">
        <f t="shared" si="96"/>
        <v>7.8935185229056515E-3</v>
      </c>
      <c r="N212" s="7">
        <f t="shared" si="92"/>
        <v>11.366666672984138</v>
      </c>
      <c r="O212" s="7"/>
      <c r="P212" s="7"/>
      <c r="Q212" s="22"/>
      <c r="R212" s="190"/>
      <c r="S212" s="196">
        <f t="shared" si="93"/>
        <v>1</v>
      </c>
      <c r="T212" s="190" t="str">
        <f t="shared" si="97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98"/>
        <v>https://d0f6bd738d7f1b3e5a7ca70fe4ff75f0.us-east-1.aws.found.io/app/kibana#/discover/Steve-Slow-Train-Analysis-(2080s-and-2083s)?_g=(refreshInterval:(display:Off,pause:!f,section:0,value:0),time:(from:'2017-05-14T01:10:41-0600',mode:absolute,to:'2017-05-14T03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192" t="str">
        <f t="shared" si="99"/>
        <v>Y</v>
      </c>
      <c r="X212" s="192">
        <f t="shared" si="94"/>
        <v>0</v>
      </c>
      <c r="Y212" s="192">
        <f t="shared" si="110"/>
        <v>4.7100000000000003E-2</v>
      </c>
      <c r="Z212" s="192">
        <f t="shared" si="109"/>
        <v>2.3346</v>
      </c>
      <c r="AA212" s="192">
        <f t="shared" si="100"/>
        <v>2.2875000000000001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1"/>
        <v>0313-13</v>
      </c>
      <c r="AE212" s="80" t="str">
        <f t="shared" si="102"/>
        <v>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 &amp; 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</v>
      </c>
      <c r="AF212" s="77" t="str">
        <f t="shared" si="103"/>
        <v>"C:\Program Files (x86)\AstroGrep\AstroGrep.exe" /e /r /s /spath="%USERPROFILE%\AppData\Local\Temp\OnboardLogs" /stypes="app*4014*20170514*" /stext=" 08:.+((SYSTEM_STATE.+slice.+state.+changed )|(ment ac)|(multiple cpu faults)|(system.+state.+changed )|(\[timeout)|(PRM\|1\|D)|(kpr)|(kdp)|(train st.+moving)|(\|lc)|(penalty))"</v>
      </c>
      <c r="AG212" s="1" t="str">
        <f t="shared" si="104"/>
        <v>Other</v>
      </c>
      <c r="AH212" s="81" t="str">
        <f t="shared" si="105"/>
        <v>"%USERPROFILE%\Documents\GitHub\eaglep3\Utilities\RefineRTDCRunTimes.py" --tripid 313-13 --locoid 4014 --swversion DE.1.0.9.0 --startMP 204:471 --initTime 2017-05-14T02:10:41 --startdatetime 2017-05-14T02:17:22 --delay 1 --endMP 300:23346 --enddatetime 2017-05-14T02:28:44 --enforcementcount 0 &gt;&gt;C:\Users\stu\Documents\GitHub\eaglep3-reporting\EC\2017-05-13-refined-times.txt</v>
      </c>
      <c r="AI212" s="99" t="str">
        <f t="shared" si="106"/>
        <v>echo {"issue":{"subject":"","project_id":79,"tracker_id":40,"status_id":1,"priority_id":2,"assigned_to_id":23,"start_date":"2017-05-14","description":"","custom_fields":[{"id":1,"name":"Subdivision","value":"Other"},{"id":4,"name":"Milepost","value":"2.3346"},{"id":17,"name":"Train ID","value":"313-13"},{"id":16,"name":"Locomotive ID","value":"4014"},{"id":130,"name":"Impact","value":""},{"id":150,"name":"Time of Event (Mountain Time)","value":"02:28:44"},{"id":151,"name":"Denver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07"/>
        <v>start /low /b %USERPROFILE%\Documents\GitHub\eaglep3\Utilities\DownloadLogsFromS3.py --loco 4014 --day 2017-05-14</v>
      </c>
      <c r="AN212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593</v>
      </c>
      <c r="B213" s="7">
        <v>4046</v>
      </c>
      <c r="C213" s="21" t="s">
        <v>206</v>
      </c>
      <c r="D213" s="21" t="s">
        <v>365</v>
      </c>
      <c r="E213" s="13">
        <v>42868.110636574071</v>
      </c>
      <c r="F213" s="13">
        <v>42868.112025462964</v>
      </c>
      <c r="G213" s="7">
        <v>1</v>
      </c>
      <c r="H213" s="21" t="s">
        <v>479</v>
      </c>
      <c r="I213" s="13">
        <v>42868.120555555557</v>
      </c>
      <c r="J213" s="7">
        <v>0</v>
      </c>
      <c r="K213" s="92" t="str">
        <f t="shared" si="95"/>
        <v>4045/4046</v>
      </c>
      <c r="L213" s="21" t="str">
        <f>VLOOKUP(A213,'Trips&amp;Operators'!$C$1:$G$99999,5,FALSE)</f>
        <v>BROWN JACOB</v>
      </c>
      <c r="M213" s="6">
        <f t="shared" si="96"/>
        <v>8.5300925929914229E-3</v>
      </c>
      <c r="N213" s="7">
        <f t="shared" si="92"/>
        <v>12.283333333907649</v>
      </c>
      <c r="O213" s="7"/>
      <c r="P213" s="7"/>
      <c r="Q213" s="22"/>
      <c r="R213" s="190"/>
      <c r="S213" s="196">
        <f t="shared" si="93"/>
        <v>1</v>
      </c>
      <c r="T213" s="190" t="str">
        <f t="shared" si="97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98"/>
        <v>https://d0f6bd738d7f1b3e5a7ca70fe4ff75f0.us-east-1.aws.found.io/app/kibana#/discover/Steve-Slow-Train-Analysis-(2080s-and-2083s)?_g=(refreshInterval:(display:Off,pause:!f,section:0,value:0),time:(from:'2017-05-13T01:39:19-0600',mode:absolute,to:'2017-05-13T03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192" t="str">
        <f t="shared" si="99"/>
        <v>Y</v>
      </c>
      <c r="X213" s="192">
        <f t="shared" si="94"/>
        <v>2</v>
      </c>
      <c r="Y213" s="192">
        <f t="shared" si="110"/>
        <v>4.6399999999999997E-2</v>
      </c>
      <c r="Z213" s="192">
        <f t="shared" si="109"/>
        <v>2.3308</v>
      </c>
      <c r="AA213" s="192">
        <f t="shared" si="100"/>
        <v>2.2843999999999998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1"/>
        <v>0315-12</v>
      </c>
      <c r="AE213" s="80" t="str">
        <f t="shared" si="102"/>
        <v>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 &amp; 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</v>
      </c>
      <c r="AF213" s="77" t="str">
        <f t="shared" si="103"/>
        <v>"C:\Program Files (x86)\AstroGrep\AstroGrep.exe" /e /r /s /spath="%USERPROFILE%\AppData\Local\Temp\OnboardLogs" /stypes="app*4046*20170513*" /stext=" 08:.+((SYSTEM_STATE.+slice.+state.+changed )|(ment ac)|(multiple cpu faults)|(system.+state.+changed )|(\[timeout)|(PRM\|1\|D)|(kpr)|(kdp)|(train st.+moving)|(\|lc)|(penalty))"</v>
      </c>
      <c r="AG213" s="1" t="str">
        <f t="shared" si="104"/>
        <v>Other</v>
      </c>
      <c r="AH213" s="81" t="str">
        <f t="shared" si="105"/>
        <v>"%USERPROFILE%\Documents\GitHub\eaglep3\Utilities\RefineRTDCRunTimes.py" --tripid 315-12 --locoid 4046 --swversion DE.1.0.9.0 --startMP 204:464 --initTime 2017-05-13T02:39:19 --startdatetime 2017-05-13T02:41:19 --delay 1 --endMP 300:23308 --enddatetime 2017-05-13T02:53:36 --enforcementcount 0 &gt;&gt;C:\Users\stu\Documents\GitHub\eaglep3-reporting\EC\2017-05-13-refined-times.txt</v>
      </c>
      <c r="AI213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{"issue":{"subject":"","project_id":79,"tracker_id":40,"status_id":1,"priority_id":2,"assigned_to_id":23,"start_date":"2017-05-13","description":"","custom_fields":[{"id":1,"name":"Subdivision","value":"Other"},{"id":4,"name":"Milepost","value":"2.3308"},{"id":17,"name":"Train ID","value":"315-12"},{"id":16,"name":"Locomotive ID","value":"4046"},{"id":130,"name":"Impact","value":""},{"id":150,"name":"Time of Event (Mountain Time)","value":"02:53:36"},{"id":151,"name":"Denver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07"/>
        <v>start /low /b %USERPROFILE%\Documents\GitHub\eaglep3\Utilities\DownloadLogsFromS3.py --loco 4046 --day 2017-05-13</v>
      </c>
      <c r="AN213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593</v>
      </c>
      <c r="B214" s="7">
        <v>4046</v>
      </c>
      <c r="C214" s="21" t="s">
        <v>206</v>
      </c>
      <c r="D214" s="21" t="s">
        <v>479</v>
      </c>
      <c r="E214" s="13">
        <v>42868.110636574071</v>
      </c>
      <c r="F214" s="13">
        <v>42868.112025462964</v>
      </c>
      <c r="G214" s="7">
        <v>10</v>
      </c>
      <c r="H214" s="21" t="s">
        <v>479</v>
      </c>
      <c r="I214" s="13">
        <v>42868.120555555557</v>
      </c>
      <c r="J214" s="7">
        <v>0</v>
      </c>
      <c r="K214" s="92" t="str">
        <f t="shared" si="95"/>
        <v>4045/4046</v>
      </c>
      <c r="L214" s="21" t="str">
        <f>VLOOKUP(A214,'Trips&amp;Operators'!$C$1:$G$99999,5,FALSE)</f>
        <v>BROWN JACOB</v>
      </c>
      <c r="M214" s="6">
        <f t="shared" si="96"/>
        <v>8.5300925929914229E-3</v>
      </c>
      <c r="N214" s="7">
        <f t="shared" si="92"/>
        <v>12.283333333907649</v>
      </c>
      <c r="O214" s="7"/>
      <c r="P214" s="7"/>
      <c r="Q214" s="22"/>
      <c r="R214" s="190"/>
      <c r="S214" s="196">
        <f t="shared" si="93"/>
        <v>0</v>
      </c>
      <c r="T214" s="190" t="str">
        <f t="shared" si="97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98"/>
        <v>https://d0f6bd738d7f1b3e5a7ca70fe4ff75f0.us-east-1.aws.found.io/app/kibana#/discover/Steve-Slow-Train-Analysis-(2080s-and-2083s)?_g=(refreshInterval:(display:Off,pause:!f,section:0,value:0),time:(from:'2017-05-13T01:39:19-0600',mode:absolute,to:'2017-05-13T03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92" t="str">
        <f t="shared" si="99"/>
        <v>Y</v>
      </c>
      <c r="X214" s="192">
        <f t="shared" si="94"/>
        <v>0</v>
      </c>
      <c r="Y214" s="192">
        <f t="shared" si="110"/>
        <v>2.3308</v>
      </c>
      <c r="Z214" s="192">
        <f t="shared" si="109"/>
        <v>2.3308</v>
      </c>
      <c r="AA214" s="192">
        <f t="shared" si="100"/>
        <v>0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1"/>
        <v>0315-12</v>
      </c>
      <c r="AE214" s="80" t="str">
        <f t="shared" si="102"/>
        <v>aws s3 cp s3://rtdc.mdm.uploadarchive.raw/RTDC4046/ "%USERPROFILE%\AppData\Local\Temp\OnboardLogs"\RTDC4046\2017-05-13 --exclude "*" --recursive --include "*20170513*" &amp; "%USERPROFILE%\Documents\GitHub\mrs-test-scripts\Headless Mode &amp; Sideloading\WalkAndUnGZ.bat" "%USERPROFILE%\AppData\Local\Temp\OnboardLogs"\RTDC4046\2017-05-13 &amp; 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</v>
      </c>
      <c r="AF214" s="77" t="str">
        <f t="shared" si="103"/>
        <v>"C:\Program Files (x86)\AstroGrep\AstroGrep.exe" /e /r /s /spath="%USERPROFILE%\AppData\Local\Temp\OnboardLogs" /stypes="app*4046*20170513*" /stext=" 08:.+((SYSTEM_STATE.+slice.+state.+changed )|(ment ac)|(multiple cpu faults)|(system.+state.+changed )|(\[timeout)|(PRM\|1\|D)|(kpr)|(kdp)|(train st.+moving)|(\|lc)|(penalty))"</v>
      </c>
      <c r="AG214" s="1" t="str">
        <f t="shared" si="104"/>
        <v>Other</v>
      </c>
      <c r="AH214" s="81" t="str">
        <f t="shared" si="105"/>
        <v>"%USERPROFILE%\Documents\GitHub\eaglep3\Utilities\RefineRTDCRunTimes.py" --tripid 315-12 --locoid 4046 --swversion DE.1.0.9.0 --startMP 300:23308 --initTime 2017-05-13T02:39:19 --startdatetime 2017-05-13T02:41:19 --delay 10 --endMP 300:23308 --enddatetime 2017-05-13T02:53:36 --enforcementcount 0 &gt;&gt;C:\Users\stu\Documents\GitHub\eaglep3-reporting\EC\2017-05-13-refined-times.txt</v>
      </c>
      <c r="AI214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{"issue":{"subject":"","project_id":79,"tracker_id":40,"status_id":1,"priority_id":2,"assigned_to_id":23,"start_date":"2017-05-13","description":"","custom_fields":[{"id":1,"name":"Subdivision","value":"Other"},{"id":4,"name":"Milepost","value":"2.3308"},{"id":17,"name":"Train ID","value":"315-12"},{"id":16,"name":"Locomotive ID","value":"4046"},{"id":130,"name":"Impact","value":""},{"id":150,"name":"Time of Event (Mountain Time)","value":"02:53:36"},{"id":151,"name":"Denver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7"/>
        <v>start /low /b %USERPROFILE%\Documents\GitHub\eaglep3\Utilities\DownloadLogsFromS3.py --loco 4046 --day 2017-05-13</v>
      </c>
      <c r="AN214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785</v>
      </c>
      <c r="B215" s="7">
        <v>4042</v>
      </c>
      <c r="C215" s="21" t="s">
        <v>206</v>
      </c>
      <c r="D215" s="21" t="s">
        <v>203</v>
      </c>
      <c r="E215" s="13">
        <v>42869.110590277778</v>
      </c>
      <c r="F215" s="13">
        <v>42869.115034722221</v>
      </c>
      <c r="G215" s="7">
        <v>2</v>
      </c>
      <c r="H215" s="21" t="s">
        <v>957</v>
      </c>
      <c r="I215" s="13">
        <v>42869.122581018521</v>
      </c>
      <c r="J215" s="7">
        <v>0</v>
      </c>
      <c r="K215" s="92" t="str">
        <f t="shared" si="95"/>
        <v>4041/4042</v>
      </c>
      <c r="L215" s="21" t="str">
        <f>VLOOKUP(A215,'Trips&amp;Operators'!$C$1:$G$99999,5,FALSE)</f>
        <v>BROWN JACOB</v>
      </c>
      <c r="M215" s="6">
        <f t="shared" si="96"/>
        <v>7.5462962995516136E-3</v>
      </c>
      <c r="N215" s="7">
        <f t="shared" si="92"/>
        <v>10.866666671354324</v>
      </c>
      <c r="O215" s="7"/>
      <c r="P215" s="7"/>
      <c r="Q215" s="22"/>
      <c r="R215" s="190"/>
      <c r="S215" s="196">
        <f t="shared" si="93"/>
        <v>1</v>
      </c>
      <c r="T215" s="190" t="str">
        <f t="shared" si="97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98"/>
        <v>https://d0f6bd738d7f1b3e5a7ca70fe4ff75f0.us-east-1.aws.found.io/app/kibana#/discover/Steve-Slow-Train-Analysis-(2080s-and-2083s)?_g=(refreshInterval:(display:Off,pause:!f,section:0,value:0),time:(from:'2017-05-14T01:39:15-0600',mode:absolute,to:'2017-05-14T03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92" t="str">
        <f t="shared" si="99"/>
        <v>Y</v>
      </c>
      <c r="X215" s="192">
        <f t="shared" si="94"/>
        <v>0</v>
      </c>
      <c r="Y215" s="192">
        <f t="shared" si="110"/>
        <v>4.5999999999999999E-2</v>
      </c>
      <c r="Z215" s="192">
        <f t="shared" si="109"/>
        <v>2.3315999999999999</v>
      </c>
      <c r="AA215" s="192">
        <f t="shared" si="100"/>
        <v>2.2856000000000001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1"/>
        <v>0315-13</v>
      </c>
      <c r="AE215" s="80" t="str">
        <f t="shared" si="102"/>
        <v>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 &amp; 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</v>
      </c>
      <c r="AF215" s="77" t="str">
        <f t="shared" si="103"/>
        <v>"C:\Program Files (x86)\AstroGrep\AstroGrep.exe" /e /r /s /spath="%USERPROFILE%\AppData\Local\Temp\OnboardLogs" /stypes="app*4042*20170514*" /stext=" 08:.+((SYSTEM_STATE.+slice.+state.+changed )|(ment ac)|(multiple cpu faults)|(system.+state.+changed )|(\[timeout)|(PRM\|1\|D)|(kpr)|(kdp)|(train st.+moving)|(\|lc)|(penalty))"</v>
      </c>
      <c r="AG215" s="1" t="str">
        <f t="shared" si="104"/>
        <v>Other</v>
      </c>
      <c r="AH215" s="81" t="str">
        <f t="shared" si="105"/>
        <v>"%USERPROFILE%\Documents\GitHub\eaglep3\Utilities\RefineRTDCRunTimes.py" --tripid 315-13 --locoid 4042 --swversion DE.1.0.9.0 --startMP 204:460 --initTime 2017-05-14T02:39:15 --startdatetime 2017-05-14T02:45:39 --delay 2 --endMP 300:23316 --enddatetime 2017-05-14T02:56:31 --enforcementcount 0 &gt;&gt;C:\Users\stu\Documents\GitHub\eaglep3-reporting\EC\2017-05-13-refined-times.txt</v>
      </c>
      <c r="AI215" s="99" t="str">
        <f t="shared" si="106"/>
        <v>echo {"issue":{"subject":"","project_id":79,"tracker_id":40,"status_id":1,"priority_id":2,"assigned_to_id":23,"start_date":"2017-05-14","description":"","custom_fields":[{"id":1,"name":"Subdivision","value":"Other"},{"id":4,"name":"Milepost","value":"2.3316"},{"id":17,"name":"Train ID","value":"315-13"},{"id":16,"name":"Locomotive ID","value":"4042"},{"id":130,"name":"Impact","value":""},{"id":150,"name":"Time of Event (Mountain Time)","value":"02:56:31"},{"id":151,"name":"Denver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7"/>
        <v>start /low /b %USERPROFILE%\Documents\GitHub\eaglep3\Utilities\DownloadLogsFromS3.py --loco 4042 --day 2017-05-14</v>
      </c>
      <c r="AN215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618</v>
      </c>
      <c r="B216" s="7">
        <v>4052</v>
      </c>
      <c r="C216" s="21" t="s">
        <v>206</v>
      </c>
      <c r="D216" s="21" t="s">
        <v>900</v>
      </c>
      <c r="E216" s="13">
        <v>42868.222928240742</v>
      </c>
      <c r="F216" s="13">
        <v>42868.226388888892</v>
      </c>
      <c r="G216" s="7">
        <v>4</v>
      </c>
      <c r="H216" s="21" t="s">
        <v>901</v>
      </c>
      <c r="I216" s="13">
        <v>42868.232164351852</v>
      </c>
      <c r="J216" s="7">
        <v>0</v>
      </c>
      <c r="K216" s="92" t="str">
        <f t="shared" si="95"/>
        <v>4051/4052</v>
      </c>
      <c r="L216" s="21" t="str">
        <f>VLOOKUP(A216,'Trips&amp;Operators'!$C$1:$G$99999,5,FALSE)</f>
        <v>MACDONALD THOMAS</v>
      </c>
      <c r="M216" s="6">
        <f t="shared" si="96"/>
        <v>5.7754629597184248E-3</v>
      </c>
      <c r="N216" s="7">
        <f t="shared" si="92"/>
        <v>8.3166666619945318</v>
      </c>
      <c r="O216" s="7"/>
      <c r="P216" s="7"/>
      <c r="Q216" s="22"/>
      <c r="R216" s="190"/>
      <c r="S216" s="196">
        <f t="shared" si="93"/>
        <v>0</v>
      </c>
      <c r="T216" s="190" t="str">
        <f t="shared" si="97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98"/>
        <v>https://d0f6bd738d7f1b3e5a7ca70fe4ff75f0.us-east-1.aws.found.io/app/kibana#/discover/Steve-Slow-Train-Analysis-(2080s-and-2083s)?_g=(refreshInterval:(display:Off,pause:!f,section:0,value:0),time:(from:'2017-05-13T04:21:01-0600',mode:absolute,to:'2017-05-13T06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192" t="str">
        <f t="shared" si="99"/>
        <v>Y</v>
      </c>
      <c r="X216" s="192">
        <f t="shared" si="94"/>
        <v>1586</v>
      </c>
      <c r="Y216" s="192">
        <f t="shared" si="110"/>
        <v>2.9803000000000002</v>
      </c>
      <c r="Z216" s="192">
        <f t="shared" si="109"/>
        <v>5.8983999999999996</v>
      </c>
      <c r="AA216" s="192">
        <f t="shared" si="100"/>
        <v>2.9180999999999995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1"/>
        <v>1901-13</v>
      </c>
      <c r="AE216" s="80" t="str">
        <f t="shared" si="102"/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AF216" s="77" t="str">
        <f t="shared" si="103"/>
        <v>"C:\Program Files (x86)\AstroGrep\AstroGrep.exe" /e /r /s /spath="%USERPROFILE%\AppData\Local\Temp\OnboardLogs" /stypes="app*4052*20170513*" /stext=" 11:.+((SYSTEM_STATE.+slice.+state.+changed )|(ment ac)|(multiple cpu faults)|(system.+state.+changed )|(\[timeout)|(PRM\|1\|D)|(kpr)|(kdp)|(train st.+moving)|(\|lc)|(penalty))"</v>
      </c>
      <c r="AG216" s="1" t="str">
        <f t="shared" si="104"/>
        <v>Other</v>
      </c>
      <c r="AH216" s="81" t="str">
        <f t="shared" si="105"/>
        <v>"%USERPROFILE%\Documents\GitHub\eaglep3\Utilities\RefineRTDCRunTimes.py" --tripid 1901-13 --locoid 4052 --swversion DE.1.0.9.0 --startMP 300:29803 --initTime 2017-05-13T05:21:01 --startdatetime 2017-05-13T05:26:00 --delay 4 --endMP 300:58984 --enddatetime 2017-05-13T05:34:19 --enforcementcount 0 &gt;&gt;C:\Users\stu\Documents\GitHub\eaglep3-reporting\EC\2017-05-13-refined-times.txt</v>
      </c>
      <c r="AI216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{"issue":{"subject":"","project_id":79,"tracker_id":40,"status_id":1,"priority_id":2,"assigned_to_id":23,"start_date":"2017-05-13","description":"","custom_fields":[{"id":1,"name":"Subdivision","value":"Other"},{"id":4,"name":"Milepost","value":"5.8984"},{"id":17,"name":"Train ID","value":"1901-13"},{"id":16,"name":"Locomotive ID","value":"4052"},{"id":130,"name":"Impact","value":""},{"id":150,"name":"Time of Event (Mountain Time)","value":"05:34:19"},{"id":151,"name":"Denver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7"/>
        <v>start /low /b %USERPROFILE%\Documents\GitHub\eaglep3\Utilities\DownloadLogsFromS3.py --loco 4052 --day 2017-05-13</v>
      </c>
      <c r="AN216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771</v>
      </c>
      <c r="B217" s="7">
        <v>4051</v>
      </c>
      <c r="C217" s="21" t="s">
        <v>206</v>
      </c>
      <c r="D217" s="21" t="s">
        <v>902</v>
      </c>
      <c r="E217" s="13">
        <v>42868.941064814811</v>
      </c>
      <c r="F217" s="13">
        <v>42868.942106481481</v>
      </c>
      <c r="G217" s="7">
        <v>0</v>
      </c>
      <c r="H217" s="21" t="s">
        <v>903</v>
      </c>
      <c r="I217" s="13">
        <v>42868.94636574074</v>
      </c>
      <c r="J217" s="7">
        <v>0</v>
      </c>
      <c r="K217" s="92" t="str">
        <f t="shared" si="95"/>
        <v>4051/4052</v>
      </c>
      <c r="L217" s="21" t="str">
        <f>VLOOKUP(A217,'Trips&amp;Operators'!$C$1:$G$99999,5,FALSE)</f>
        <v>HELVIE ADAM</v>
      </c>
      <c r="M217" s="6">
        <f t="shared" si="96"/>
        <v>4.2592592581058852E-3</v>
      </c>
      <c r="N217" s="7">
        <f t="shared" si="92"/>
        <v>6.1333333316724747</v>
      </c>
      <c r="O217" s="7"/>
      <c r="P217" s="7"/>
      <c r="Q217" s="22"/>
      <c r="R217" s="190"/>
      <c r="S217" s="196">
        <f t="shared" si="93"/>
        <v>0</v>
      </c>
      <c r="T217" s="190" t="str">
        <f t="shared" si="97"/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98"/>
        <v>https://d0f6bd738d7f1b3e5a7ca70fe4ff75f0.us-east-1.aws.found.io/app/kibana#/discover/Steve-Slow-Train-Analysis-(2080s-and-2083s)?_g=(refreshInterval:(display:Off,pause:!f,section:0,value:0),time:(from:'2017-05-13T21:35:08-0600',mode:absolute,to:'2017-05-13T23:42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7" s="192" t="str">
        <f t="shared" si="99"/>
        <v>Y</v>
      </c>
      <c r="X217" s="192">
        <f t="shared" si="94"/>
        <v>1</v>
      </c>
      <c r="Y217" s="192">
        <f t="shared" si="110"/>
        <v>5.8597999999999999</v>
      </c>
      <c r="Z217" s="192">
        <f t="shared" si="109"/>
        <v>2.1764999999999999</v>
      </c>
      <c r="AA217" s="192">
        <f t="shared" si="100"/>
        <v>3.6833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1"/>
        <v>1902-13</v>
      </c>
      <c r="AE217" s="80" t="str">
        <f t="shared" si="102"/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AF217" s="77" t="str">
        <f t="shared" si="103"/>
        <v>"C:\Program Files (x86)\AstroGrep\AstroGrep.exe" /e /r /s /spath="%USERPROFILE%\AppData\Local\Temp\OnboardLogs" /stypes="app*4051*20170514*" /stext=" 04:.+((SYSTEM_STATE.+slice.+state.+changed )|(ment ac)|(multiple cpu faults)|(system.+state.+changed )|(\[timeout)|(PRM\|1\|D)|(kpr)|(kdp)|(train st.+moving)|(\|lc)|(penalty))"</v>
      </c>
      <c r="AG217" s="1" t="str">
        <f t="shared" si="104"/>
        <v>Other</v>
      </c>
      <c r="AH217" s="81" t="str">
        <f t="shared" si="105"/>
        <v>"%USERPROFILE%\Documents\GitHub\eaglep3\Utilities\RefineRTDCRunTimes.py" --tripid 1902-13 --locoid 4051 --swversion DE.1.0.9.0 --startMP 300:58598 --initTime 2017-05-13T22:35:08 --startdatetime 2017-05-13T22:36:38 --delay 0 --endMP 300:21765 --enddatetime 2017-05-13T22:42:46 --enforcementcount 0 &gt;&gt;C:\Users\stu\Documents\GitHub\eaglep3-reporting\EC\2017-05-13-refined-times.txt</v>
      </c>
      <c r="AI217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{"issue":{"subject":"","project_id":79,"tracker_id":40,"status_id":1,"priority_id":2,"assigned_to_id":23,"start_date":"2017-05-13","description":"","custom_fields":[{"id":1,"name":"Subdivision","value":"Other"},{"id":4,"name":"Milepost","value":"2.1765"},{"id":17,"name":"Train ID","value":"1902-13"},{"id":16,"name":"Locomotive ID","value":"4051"},{"id":130,"name":"Impact","value":""},{"id":150,"name":"Time of Event (Mountain Time)","value":"22:42:46"},{"id":151,"name":"Denver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7"/>
        <v>start /low /b %USERPROFILE%\Documents\GitHub\eaglep3\Utilities\DownloadLogsFromS3.py --loco 4051 --day 2017-05-13</v>
      </c>
      <c r="AN217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04:42:46"},{"id":29,"name":"Sharepoint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626</v>
      </c>
      <c r="B218" s="7">
        <v>4004</v>
      </c>
      <c r="C218" s="21" t="s">
        <v>206</v>
      </c>
      <c r="D218" s="21" t="s">
        <v>375</v>
      </c>
      <c r="E218" s="13">
        <v>42868.245150462964</v>
      </c>
      <c r="F218" s="13">
        <v>42868.255104166667</v>
      </c>
      <c r="G218" s="7">
        <v>3</v>
      </c>
      <c r="H218" s="21" t="s">
        <v>958</v>
      </c>
      <c r="I218" s="13">
        <v>42868.256053240744</v>
      </c>
      <c r="J218" s="7">
        <v>0</v>
      </c>
      <c r="K218" s="92" t="str">
        <f t="shared" si="95"/>
        <v>4003/4004</v>
      </c>
      <c r="L218" s="21" t="str">
        <f>VLOOKUP(A218,'Trips&amp;Operators'!$C$1:$G$99999,5,FALSE)</f>
        <v>COOLAHAN JOHN</v>
      </c>
      <c r="M218" s="6">
        <f t="shared" si="96"/>
        <v>9.490740776527673E-4</v>
      </c>
      <c r="N218" s="7">
        <f t="shared" si="92"/>
        <v>1.3666666718199849</v>
      </c>
      <c r="O218" s="7"/>
      <c r="P218" s="7"/>
      <c r="Q218" s="22"/>
      <c r="R218" s="190"/>
      <c r="S218" s="196">
        <f t="shared" si="93"/>
        <v>0</v>
      </c>
      <c r="T218" s="190" t="e">
        <f t="shared" si="97"/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98"/>
        <v>https://d0f6bd738d7f1b3e5a7ca70fe4ff75f0.us-east-1.aws.found.io/app/kibana#/discover/Steve-Slow-Train-Analysis-(2080s-and-2083s)?_g=(refreshInterval:(display:Off,pause:!f,section:0,value:0),time:(from:'2017-05-13T04:53:01-0600',mode:absolute,to:'2017-05-13T07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8" s="192" t="str">
        <f t="shared" si="99"/>
        <v>Y</v>
      </c>
      <c r="X218" s="192" t="e">
        <f t="shared" si="94"/>
        <v>#VALUE!</v>
      </c>
      <c r="Y218" s="192">
        <f t="shared" si="110"/>
        <v>4.4200000000000003E-2</v>
      </c>
      <c r="Z218" s="192">
        <f t="shared" si="109"/>
        <v>0.3639</v>
      </c>
      <c r="AA218" s="192">
        <f t="shared" si="100"/>
        <v>0.31969999999999998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1"/>
        <v>51-13</v>
      </c>
      <c r="AE218" s="80" t="str">
        <f t="shared" si="102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218" s="77" t="str">
        <f t="shared" si="103"/>
        <v>"C:\Program Files (x86)\AstroGrep\AstroGrep.exe" /e /r /s /spath="%USERPROFILE%\AppData\Local\Temp\OnboardLogs" /stypes="app*4004*20170513*" /stext=" 12:.+((SYSTEM_STATE.+slice.+state.+changed )|(ment ac)|(multiple cpu faults)|(system.+state.+changed )|(\[timeout)|(PRM\|1\|D)|(kpr)|(kdp)|(train st.+moving)|(\|lc)|(penalty))"</v>
      </c>
      <c r="AG218" s="1" t="str">
        <f t="shared" si="104"/>
        <v>Other</v>
      </c>
      <c r="AH218" s="81" t="str">
        <f t="shared" si="105"/>
        <v>"%USERPROFILE%\Documents\GitHub\eaglep3\Utilities\RefineRTDCRunTimes.py" --tripid 51-13 --locoid 4004 --swversion DE.1.0.9.0 --startMP 204:442 --initTime 2017-05-13T05:53:01 --startdatetime 2017-05-13T06:07:21 --delay 3 --endMP 204:3639 --enddatetime 2017-05-13T06:08:43 --enforcementcount 0 &gt;&gt;C:\Users\stu\Documents\GitHub\eaglep3-reporting\EC\2017-05-13-refined-times.txt</v>
      </c>
      <c r="AI218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{"issue":{"subject":"","project_id":79,"tracker_id":40,"status_id":1,"priority_id":2,"assigned_to_id":23,"start_date":"2017-05-13","description":"","custom_fields":[{"id":1,"name":"Subdivision","value":"Other"},{"id":4,"name":"Milepost","value":"0.3639"},{"id":17,"name":"Train ID","value":"51-13"},{"id":16,"name":"Locomotive ID","value":"4004"},{"id":130,"name":"Impact","value":""},{"id":150,"name":"Time of Event (Mountain Time)","value":"06:08:43"},{"id":151,"name":"Denver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7"/>
        <v>start /low /b %USERPROFILE%\Documents\GitHub\eaglep3\Utilities\DownloadLogsFromS3.py --loco 4004 --day 2017-05-13</v>
      </c>
      <c r="AN218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629</v>
      </c>
      <c r="B219" s="7">
        <v>4003</v>
      </c>
      <c r="C219" s="21" t="s">
        <v>206</v>
      </c>
      <c r="D219" s="21" t="s">
        <v>959</v>
      </c>
      <c r="E219" s="13">
        <v>42868.257013888891</v>
      </c>
      <c r="F219" s="13">
        <v>42868.258425925924</v>
      </c>
      <c r="G219" s="7">
        <v>1</v>
      </c>
      <c r="H219" s="21" t="s">
        <v>960</v>
      </c>
      <c r="I219" s="13">
        <v>42868.259652777779</v>
      </c>
      <c r="J219" s="7">
        <v>0</v>
      </c>
      <c r="K219" s="92" t="str">
        <f t="shared" si="95"/>
        <v>4003/4004</v>
      </c>
      <c r="L219" s="21" t="str">
        <f>VLOOKUP(A219,'Trips&amp;Operators'!$C$1:$G$99999,5,FALSE)</f>
        <v>COOLAHAN JOHN</v>
      </c>
      <c r="M219" s="6">
        <f t="shared" si="96"/>
        <v>1.2268518548808061E-3</v>
      </c>
      <c r="N219" s="7">
        <f t="shared" si="92"/>
        <v>1.7666666710283607</v>
      </c>
      <c r="O219" s="7"/>
      <c r="P219" s="7"/>
      <c r="Q219" s="22"/>
      <c r="R219" s="190"/>
      <c r="S219" s="196">
        <f t="shared" si="93"/>
        <v>0</v>
      </c>
      <c r="T219" s="190" t="e">
        <f t="shared" si="97"/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98"/>
        <v>https://d0f6bd738d7f1b3e5a7ca70fe4ff75f0.us-east-1.aws.found.io/app/kibana#/discover/Steve-Slow-Train-Analysis-(2080s-and-2083s)?_g=(refreshInterval:(display:Off,pause:!f,section:0,value:0),time:(from:'2017-05-13T05:10:06-0600',mode:absolute,to:'2017-05-13T07:13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9" s="192" t="str">
        <f t="shared" si="99"/>
        <v>Y</v>
      </c>
      <c r="X219" s="192" t="e">
        <f t="shared" si="94"/>
        <v>#VALUE!</v>
      </c>
      <c r="Y219" s="192">
        <f t="shared" si="110"/>
        <v>0.33239999999999997</v>
      </c>
      <c r="Z219" s="192">
        <f t="shared" si="109"/>
        <v>0.1158</v>
      </c>
      <c r="AA219" s="192">
        <f t="shared" si="100"/>
        <v>0.21659999999999996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1"/>
        <v>52-13</v>
      </c>
      <c r="AE219" s="80" t="str">
        <f t="shared" si="102"/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219" s="77" t="str">
        <f t="shared" si="103"/>
        <v>"C:\Program Files (x86)\AstroGrep\AstroGrep.exe" /e /r /s /spath="%USERPROFILE%\AppData\Local\Temp\OnboardLogs" /stypes="app*4003*20170513*" /stext=" 12:.+((SYSTEM_STATE.+slice.+state.+changed )|(ment ac)|(multiple cpu faults)|(system.+state.+changed )|(\[timeout)|(PRM\|1\|D)|(kpr)|(kdp)|(train st.+moving)|(\|lc)|(penalty))"</v>
      </c>
      <c r="AG219" s="1" t="str">
        <f t="shared" si="104"/>
        <v>Other</v>
      </c>
      <c r="AH219" s="81" t="str">
        <f t="shared" si="105"/>
        <v>"%USERPROFILE%\Documents\GitHub\eaglep3\Utilities\RefineRTDCRunTimes.py" --tripid 52-13 --locoid 4003 --swversion DE.1.0.9.0 --startMP 204:3324 --initTime 2017-05-13T06:10:06 --startdatetime 2017-05-13T06:12:08 --delay 1 --endMP 204:1158 --enddatetime 2017-05-13T06:13:54 --enforcementcount 0 &gt;&gt;C:\Users\stu\Documents\GitHub\eaglep3-reporting\EC\2017-05-13-refined-times.txt</v>
      </c>
      <c r="AI219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{"issue":{"subject":"","project_id":79,"tracker_id":40,"status_id":1,"priority_id":2,"assigned_to_id":23,"start_date":"2017-05-13","description":"","custom_fields":[{"id":1,"name":"Subdivision","value":"Other"},{"id":4,"name":"Milepost","value":"0.1158"},{"id":17,"name":"Train ID","value":"52-13"},{"id":16,"name":"Locomotive ID","value":"4003"},{"id":130,"name":"Impact","value":""},{"id":150,"name":"Time of Event (Mountain Time)","value":"06:13:54"},{"id":151,"name":"Denver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07"/>
        <v>start /low /b %USERPROFILE%\Documents\GitHub\eaglep3\Utilities\DownloadLogsFromS3.py --loco 4003 --day 2017-05-13</v>
      </c>
      <c r="AN219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12:13:54"},{"id":29,"name":"Sharepoint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s="20" customFormat="1" x14ac:dyDescent="0.25">
      <c r="A220" s="32" t="s">
        <v>594</v>
      </c>
      <c r="B220" s="7">
        <v>4006</v>
      </c>
      <c r="C220" s="21" t="s">
        <v>206</v>
      </c>
      <c r="D220" s="21" t="s">
        <v>961</v>
      </c>
      <c r="E220" s="13">
        <v>42868.192060185182</v>
      </c>
      <c r="F220" s="13">
        <v>42868.207916666666</v>
      </c>
      <c r="G220" s="7">
        <v>0</v>
      </c>
      <c r="H220" s="21" t="s">
        <v>962</v>
      </c>
      <c r="I220" s="13">
        <v>42868.21266203704</v>
      </c>
      <c r="J220" s="7">
        <v>0</v>
      </c>
      <c r="K220" s="92" t="str">
        <f t="shared" si="95"/>
        <v>4005/4006</v>
      </c>
      <c r="L220" s="21" t="str">
        <f>VLOOKUP(A220,'Trips&amp;Operators'!$C$1:$G$99999,5,FALSE)</f>
        <v>BEAM ROSS</v>
      </c>
      <c r="M220" s="6">
        <f t="shared" si="96"/>
        <v>4.7453703737119213E-3</v>
      </c>
      <c r="N220" s="7">
        <f t="shared" ref="N220:N251" si="111">24*60*SUM($M220:$M220)</f>
        <v>6.8333333381451666</v>
      </c>
      <c r="O220" s="7"/>
      <c r="P220" s="7"/>
      <c r="Q220" s="22"/>
      <c r="R220" s="190"/>
      <c r="S220" s="196">
        <f t="shared" ref="S220:S251" si="112">SUM(U220:U220)/IF(AG220="EC",12,1)</f>
        <v>0</v>
      </c>
      <c r="T220" s="190" t="e">
        <f t="shared" si="97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98"/>
        <v>https://d0f6bd738d7f1b3e5a7ca70fe4ff75f0.us-east-1.aws.found.io/app/kibana#/discover/Steve-Slow-Train-Analysis-(2080s-and-2083s)?_g=(refreshInterval:(display:Off,pause:!f,section:0,value:0),time:(from:'2017-05-13T03:36:34-0600',mode:absolute,to:'2017-05-13T06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192" t="str">
        <f t="shared" si="99"/>
        <v>Y</v>
      </c>
      <c r="X220" s="192" t="e">
        <f t="shared" si="94"/>
        <v>#VALUE!</v>
      </c>
      <c r="Y220" s="192">
        <f t="shared" si="110"/>
        <v>0.109</v>
      </c>
      <c r="Z220" s="192">
        <f t="shared" si="109"/>
        <v>3.1410999999999998</v>
      </c>
      <c r="AA220" s="192">
        <f t="shared" si="100"/>
        <v>3.0320999999999998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1"/>
        <v>53-13</v>
      </c>
      <c r="AE220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0" s="77" t="str">
        <f t="shared" si="103"/>
        <v>"C:\Program Files (x86)\AstroGrep\AstroGrep.exe" /e /r /s /spath="%USERPROFILE%\AppData\Local\Temp\OnboardLogs" /stypes="app*4006*20170513*" /stext=" 11:.+((SYSTEM_STATE.+slice.+state.+changed )|(ment ac)|(multiple cpu faults)|(system.+state.+changed )|(\[timeout)|(PRM\|1\|D)|(kpr)|(kdp)|(train st.+moving)|(\|lc)|(penalty))"</v>
      </c>
      <c r="AG220" s="1" t="str">
        <f t="shared" si="104"/>
        <v>Other</v>
      </c>
      <c r="AH220" s="81" t="str">
        <f t="shared" si="105"/>
        <v>"%USERPROFILE%\Documents\GitHub\eaglep3\Utilities\RefineRTDCRunTimes.py" --tripid 53-13 --locoid 4006 --swversion DE.1.0.9.0 --startMP 204:1090 --initTime 2017-05-13T04:36:34 --startdatetime 2017-05-13T04:59:24 --delay 0 --endMP 300:31411 --enddatetime 2017-05-13T05:06:14 --enforcementcount 0 &gt;&gt;C:\Users\stu\Documents\GitHub\eaglep3-reporting\EC\2017-05-13-refined-times.txt</v>
      </c>
      <c r="AI220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{"issue":{"subject":"","project_id":79,"tracker_id":40,"status_id":1,"priority_id":2,"assigned_to_id":23,"start_date":"2017-05-13","description":"","custom_fields":[{"id":1,"name":"Subdivision","value":"Other"},{"id":4,"name":"Milepost","value":"3.1411"},{"id":17,"name":"Train ID","value":"53-13"},{"id":16,"name":"Locomotive ID","value":"4006"},{"id":130,"name":"Impact","value":""},{"id":150,"name":"Time of Event (Mountain Time)","value":"05:06:14"},{"id":151,"name":"Denver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5" t="str">
        <f t="shared" si="107"/>
        <v>start /low /b %USERPROFILE%\Documents\GitHub\eaglep3\Utilities\DownloadLogsFromS3.py --loco 4006 --day 2017-05-13</v>
      </c>
      <c r="AN220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594</v>
      </c>
      <c r="B221" s="7">
        <v>4006</v>
      </c>
      <c r="C221" s="21" t="s">
        <v>206</v>
      </c>
      <c r="D221" s="21" t="s">
        <v>963</v>
      </c>
      <c r="E221" s="13">
        <v>42868.124259259261</v>
      </c>
      <c r="F221" s="13">
        <v>42868.144178240742</v>
      </c>
      <c r="G221" s="7">
        <v>3</v>
      </c>
      <c r="H221" s="21" t="s">
        <v>964</v>
      </c>
      <c r="I221" s="13">
        <v>42868.148599537039</v>
      </c>
      <c r="J221" s="7">
        <v>0</v>
      </c>
      <c r="K221" s="92" t="str">
        <f t="shared" si="95"/>
        <v>4005/4006</v>
      </c>
      <c r="L221" s="21" t="str">
        <f>VLOOKUP(A221,'Trips&amp;Operators'!$C$1:$G$99999,5,FALSE)</f>
        <v>BEAM ROSS</v>
      </c>
      <c r="M221" s="6">
        <f t="shared" si="96"/>
        <v>4.4212962966412306E-3</v>
      </c>
      <c r="N221" s="7">
        <f t="shared" si="111"/>
        <v>6.366666667163372</v>
      </c>
      <c r="O221" s="7"/>
      <c r="P221" s="7"/>
      <c r="Q221" s="22"/>
      <c r="R221" s="190"/>
      <c r="S221" s="196">
        <f t="shared" si="112"/>
        <v>0</v>
      </c>
      <c r="T221" s="190" t="e">
        <f t="shared" si="97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98"/>
        <v>https://d0f6bd738d7f1b3e5a7ca70fe4ff75f0.us-east-1.aws.found.io/app/kibana#/discover/Steve-Slow-Train-Analysis-(2080s-and-2083s)?_g=(refreshInterval:(display:Off,pause:!f,section:0,value:0),time:(from:'2017-05-13T01:58:56-0600',mode:absolute,to:'2017-05-13T04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2" t="str">
        <f t="shared" si="99"/>
        <v>Y</v>
      </c>
      <c r="X221" s="192" t="e">
        <f t="shared" si="94"/>
        <v>#VALUE!</v>
      </c>
      <c r="Y221" s="192">
        <f t="shared" si="110"/>
        <v>3.7499999999999999E-2</v>
      </c>
      <c r="Z221" s="192">
        <f t="shared" si="109"/>
        <v>3.1240000000000001</v>
      </c>
      <c r="AA221" s="192">
        <f t="shared" si="100"/>
        <v>3.0865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1"/>
        <v>53-13</v>
      </c>
      <c r="AE221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1" s="77" t="str">
        <f t="shared" si="103"/>
        <v>"C:\Program Files (x86)\AstroGrep\AstroGrep.exe" /e /r /s /spath="%USERPROFILE%\AppData\Local\Temp\OnboardLogs" /stypes="app*4006*20170513*" /stext=" 09:.+((SYSTEM_STATE.+slice.+state.+changed )|(ment ac)|(multiple cpu faults)|(system.+state.+changed )|(\[timeout)|(PRM\|1\|D)|(kpr)|(kdp)|(train st.+moving)|(\|lc)|(penalty))"</v>
      </c>
      <c r="AG221" s="1" t="str">
        <f t="shared" si="104"/>
        <v>Other</v>
      </c>
      <c r="AH221" s="81" t="str">
        <f t="shared" si="105"/>
        <v>"%USERPROFILE%\Documents\GitHub\eaglep3\Utilities\RefineRTDCRunTimes.py" --tripid 53-13 --locoid 4006 --swversion DE.1.0.9.0 --startMP 204:375 --initTime 2017-05-13T02:58:56 --startdatetime 2017-05-13T03:27:37 --delay 3 --endMP 300:31240 --enddatetime 2017-05-13T03:33:59 --enforcementcount 0 &gt;&gt;C:\Users\stu\Documents\GitHub\eaglep3-reporting\EC\2017-05-13-refined-times.txt</v>
      </c>
      <c r="AI221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{"issue":{"subject":"","project_id":79,"tracker_id":40,"status_id":1,"priority_id":2,"assigned_to_id":23,"start_date":"2017-05-13","description":"","custom_fields":[{"id":1,"name":"Subdivision","value":"Other"},{"id":4,"name":"Milepost","value":"3.124"},{"id":17,"name":"Train ID","value":"53-13"},{"id":16,"name":"Locomotive ID","value":"4006"},{"id":130,"name":"Impact","value":""},{"id":150,"name":"Time of Event (Mountain Time)","value":"03:33:59"},{"id":151,"name":"Denver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07"/>
        <v>start /low /b %USERPROFILE%\Documents\GitHub\eaglep3\Utilities\DownloadLogsFromS3.py --loco 4006 --day 2017-05-13</v>
      </c>
      <c r="AN221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594</v>
      </c>
      <c r="B222" s="7">
        <v>4006</v>
      </c>
      <c r="C222" s="21" t="s">
        <v>206</v>
      </c>
      <c r="D222" s="21" t="s">
        <v>965</v>
      </c>
      <c r="E222" s="13">
        <v>42868.230231481481</v>
      </c>
      <c r="F222" s="13">
        <v>42868.251157407409</v>
      </c>
      <c r="G222" s="7">
        <v>0</v>
      </c>
      <c r="H222" s="21" t="s">
        <v>966</v>
      </c>
      <c r="I222" s="13">
        <v>42868.255706018521</v>
      </c>
      <c r="J222" s="7">
        <v>0</v>
      </c>
      <c r="K222" s="92" t="str">
        <f t="shared" si="95"/>
        <v>4005/4006</v>
      </c>
      <c r="L222" s="21" t="str">
        <f>VLOOKUP(A222,'Trips&amp;Operators'!$C$1:$G$99999,5,FALSE)</f>
        <v>BEAM ROSS</v>
      </c>
      <c r="M222" s="6">
        <f t="shared" si="96"/>
        <v>4.5486111121135764E-3</v>
      </c>
      <c r="N222" s="7">
        <f t="shared" si="111"/>
        <v>6.55000000144355</v>
      </c>
      <c r="O222" s="7"/>
      <c r="P222" s="7"/>
      <c r="Q222" s="22"/>
      <c r="R222" s="190"/>
      <c r="S222" s="196">
        <f t="shared" si="112"/>
        <v>0</v>
      </c>
      <c r="T222" s="190" t="e">
        <f t="shared" si="97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98"/>
        <v>https://d0f6bd738d7f1b3e5a7ca70fe4ff75f0.us-east-1.aws.found.io/app/kibana#/discover/Steve-Slow-Train-Analysis-(2080s-and-2083s)?_g=(refreshInterval:(display:Off,pause:!f,section:0,value:0),time:(from:'2017-05-13T04:31:32-0600',mode:absolute,to:'2017-05-13T07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2" s="192" t="str">
        <f t="shared" si="99"/>
        <v>Y</v>
      </c>
      <c r="X222" s="192" t="e">
        <f t="shared" si="94"/>
        <v>#VALUE!</v>
      </c>
      <c r="Y222" s="192">
        <f t="shared" si="110"/>
        <v>3.8100000000000002E-2</v>
      </c>
      <c r="Z222" s="192">
        <f t="shared" si="109"/>
        <v>3.1307999999999998</v>
      </c>
      <c r="AA222" s="192">
        <f t="shared" si="100"/>
        <v>3.0926999999999998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1"/>
        <v>53-13</v>
      </c>
      <c r="AE222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2" s="77" t="str">
        <f t="shared" si="103"/>
        <v>"C:\Program Files (x86)\AstroGrep\AstroGrep.exe" /e /r /s /spath="%USERPROFILE%\AppData\Local\Temp\OnboardLogs" /stypes="app*4006*20170513*" /stext=" 12:.+((SYSTEM_STATE.+slice.+state.+changed )|(ment ac)|(multiple cpu faults)|(system.+state.+changed )|(\[timeout)|(PRM\|1\|D)|(kpr)|(kdp)|(train st.+moving)|(\|lc)|(penalty))"</v>
      </c>
      <c r="AG222" s="1" t="str">
        <f t="shared" si="104"/>
        <v>Other</v>
      </c>
      <c r="AH222" s="81" t="str">
        <f t="shared" si="105"/>
        <v>"%USERPROFILE%\Documents\GitHub\eaglep3\Utilities\RefineRTDCRunTimes.py" --tripid 53-13 --locoid 4006 --swversion DE.1.0.9.0 --startMP 204:381 --initTime 2017-05-13T05:31:32 --startdatetime 2017-05-13T06:01:40 --delay 0 --endMP 300:31308 --enddatetime 2017-05-13T06:08:13 --enforcementcount 0 &gt;&gt;C:\Users\stu\Documents\GitHub\eaglep3-reporting\EC\2017-05-13-refined-times.txt</v>
      </c>
      <c r="AI222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{"issue":{"subject":"","project_id":79,"tracker_id":40,"status_id":1,"priority_id":2,"assigned_to_id":23,"start_date":"2017-05-13","description":"","custom_fields":[{"id":1,"name":"Subdivision","value":"Other"},{"id":4,"name":"Milepost","value":"3.1308"},{"id":17,"name":"Train ID","value":"53-13"},{"id":16,"name":"Locomotive ID","value":"4006"},{"id":130,"name":"Impact","value":""},{"id":150,"name":"Time of Event (Mountain Time)","value":"06:08:13"},{"id":151,"name":"Denver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07"/>
        <v>start /low /b %USERPROFILE%\Documents\GitHub\eaglep3\Utilities\DownloadLogsFromS3.py --loco 4006 --day 2017-05-13</v>
      </c>
      <c r="AN222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594</v>
      </c>
      <c r="B223" s="7">
        <v>4006</v>
      </c>
      <c r="C223" s="21" t="s">
        <v>206</v>
      </c>
      <c r="D223" s="21" t="s">
        <v>375</v>
      </c>
      <c r="E223" s="13">
        <v>42868.141446759262</v>
      </c>
      <c r="F223" s="13">
        <v>42868.160462962966</v>
      </c>
      <c r="G223" s="7">
        <v>1</v>
      </c>
      <c r="H223" s="21" t="s">
        <v>967</v>
      </c>
      <c r="I223" s="13">
        <v>42868.164849537039</v>
      </c>
      <c r="J223" s="7">
        <v>0</v>
      </c>
      <c r="K223" s="92" t="str">
        <f t="shared" si="95"/>
        <v>4005/4006</v>
      </c>
      <c r="L223" s="21" t="str">
        <f>VLOOKUP(A223,'Trips&amp;Operators'!$C$1:$G$99999,5,FALSE)</f>
        <v>BEAM ROSS</v>
      </c>
      <c r="M223" s="6">
        <f t="shared" si="96"/>
        <v>4.386574073578231E-3</v>
      </c>
      <c r="N223" s="7">
        <f t="shared" si="111"/>
        <v>6.3166666659526527</v>
      </c>
      <c r="O223" s="7"/>
      <c r="P223" s="7"/>
      <c r="Q223" s="22"/>
      <c r="R223" s="190"/>
      <c r="S223" s="196">
        <f t="shared" si="112"/>
        <v>0</v>
      </c>
      <c r="T223" s="190" t="e">
        <f t="shared" si="97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98"/>
        <v>https://d0f6bd738d7f1b3e5a7ca70fe4ff75f0.us-east-1.aws.found.io/app/kibana#/discover/Steve-Slow-Train-Analysis-(2080s-and-2083s)?_g=(refreshInterval:(display:Off,pause:!f,section:0,value:0),time:(from:'2017-05-13T02:23:41-0600',mode:absolute,to:'2017-05-13T04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3" s="192" t="str">
        <f t="shared" si="99"/>
        <v>Y</v>
      </c>
      <c r="X223" s="192" t="e">
        <f t="shared" si="94"/>
        <v>#VALUE!</v>
      </c>
      <c r="Y223" s="192">
        <f t="shared" si="110"/>
        <v>4.4200000000000003E-2</v>
      </c>
      <c r="Z223" s="192">
        <f t="shared" si="109"/>
        <v>3.1297000000000001</v>
      </c>
      <c r="AA223" s="192">
        <f t="shared" si="100"/>
        <v>3.0855000000000001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1"/>
        <v>53-13</v>
      </c>
      <c r="AE223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3" s="77" t="str">
        <f t="shared" si="103"/>
        <v>"C:\Program Files (x86)\AstroGrep\AstroGrep.exe" /e /r /s /spath="%USERPROFILE%\AppData\Local\Temp\OnboardLogs" /stypes="app*4006*20170513*" /stext=" 09:.+((SYSTEM_STATE.+slice.+state.+changed )|(ment ac)|(multiple cpu faults)|(system.+state.+changed )|(\[timeout)|(PRM\|1\|D)|(kpr)|(kdp)|(train st.+moving)|(\|lc)|(penalty))"</v>
      </c>
      <c r="AG223" s="1" t="str">
        <f t="shared" si="104"/>
        <v>Other</v>
      </c>
      <c r="AH223" s="81" t="str">
        <f t="shared" si="105"/>
        <v>"%USERPROFILE%\Documents\GitHub\eaglep3\Utilities\RefineRTDCRunTimes.py" --tripid 53-13 --locoid 4006 --swversion DE.1.0.9.0 --startMP 204:442 --initTime 2017-05-13T03:23:41 --startdatetime 2017-05-13T03:51:04 --delay 1 --endMP 300:31297 --enddatetime 2017-05-13T03:57:23 --enforcementcount 0 &gt;&gt;C:\Users\stu\Documents\GitHub\eaglep3-reporting\EC\2017-05-13-refined-times.txt</v>
      </c>
      <c r="AI223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{"issue":{"subject":"","project_id":79,"tracker_id":40,"status_id":1,"priority_id":2,"assigned_to_id":23,"start_date":"2017-05-13","description":"","custom_fields":[{"id":1,"name":"Subdivision","value":"Other"},{"id":4,"name":"Milepost","value":"3.1297"},{"id":17,"name":"Train ID","value":"53-13"},{"id":16,"name":"Locomotive ID","value":"4006"},{"id":130,"name":"Impact","value":""},{"id":150,"name":"Time of Event (Mountain Time)","value":"03:57:23"},{"id":151,"name":"Denver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07"/>
        <v>start /low /b %USERPROFILE%\Documents\GitHub\eaglep3\Utilities\DownloadLogsFromS3.py --loco 4006 --day 2017-05-13</v>
      </c>
      <c r="AN223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594</v>
      </c>
      <c r="B224" s="7">
        <v>4006</v>
      </c>
      <c r="C224" s="21" t="s">
        <v>206</v>
      </c>
      <c r="D224" s="21" t="s">
        <v>368</v>
      </c>
      <c r="E224" s="13">
        <v>42868.301736111112</v>
      </c>
      <c r="F224" s="13">
        <v>42868.320219907408</v>
      </c>
      <c r="G224" s="7">
        <v>0</v>
      </c>
      <c r="H224" s="21" t="s">
        <v>968</v>
      </c>
      <c r="I224" s="13">
        <v>42868.324733796297</v>
      </c>
      <c r="J224" s="7">
        <v>0</v>
      </c>
      <c r="K224" s="92" t="str">
        <f t="shared" si="95"/>
        <v>4005/4006</v>
      </c>
      <c r="L224" s="21" t="str">
        <f>VLOOKUP(A224,'Trips&amp;Operators'!$C$1:$G$99999,5,FALSE)</f>
        <v>BEAM ROSS</v>
      </c>
      <c r="M224" s="6">
        <f t="shared" si="96"/>
        <v>4.5138888890505768E-3</v>
      </c>
      <c r="N224" s="7">
        <f t="shared" si="111"/>
        <v>6.5000000002328306</v>
      </c>
      <c r="O224" s="7"/>
      <c r="P224" s="7"/>
      <c r="Q224" s="22"/>
      <c r="R224" s="190"/>
      <c r="S224" s="196">
        <f t="shared" si="112"/>
        <v>0</v>
      </c>
      <c r="T224" s="190" t="e">
        <f t="shared" si="97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98"/>
        <v>https://d0f6bd738d7f1b3e5a7ca70fe4ff75f0.us-east-1.aws.found.io/app/kibana#/discover/Steve-Slow-Train-Analysis-(2080s-and-2083s)?_g=(refreshInterval:(display:Off,pause:!f,section:0,value:0),time:(from:'2017-05-13T06:14:30-0600',mode:absolute,to:'2017-05-13T08:47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4" s="192" t="str">
        <f t="shared" si="99"/>
        <v>Y</v>
      </c>
      <c r="X224" s="192" t="e">
        <f t="shared" si="94"/>
        <v>#VALUE!</v>
      </c>
      <c r="Y224" s="192">
        <f t="shared" si="110"/>
        <v>4.4400000000000002E-2</v>
      </c>
      <c r="Z224" s="192">
        <f t="shared" si="109"/>
        <v>3.1335000000000002</v>
      </c>
      <c r="AA224" s="192">
        <f t="shared" si="100"/>
        <v>3.0891000000000002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01"/>
        <v>53-13</v>
      </c>
      <c r="AE224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4" s="77" t="str">
        <f t="shared" si="103"/>
        <v>"C:\Program Files (x86)\AstroGrep\AstroGrep.exe" /e /r /s /spath="%USERPROFILE%\AppData\Local\Temp\OnboardLogs" /stypes="app*4006*20170513*" /stext=" 13:.+((SYSTEM_STATE.+slice.+state.+changed )|(ment ac)|(multiple cpu faults)|(system.+state.+changed )|(\[timeout)|(PRM\|1\|D)|(kpr)|(kdp)|(train st.+moving)|(\|lc)|(penalty))"</v>
      </c>
      <c r="AG224" s="1" t="str">
        <f t="shared" si="104"/>
        <v>Other</v>
      </c>
      <c r="AH224" s="81" t="str">
        <f t="shared" si="105"/>
        <v>"%USERPROFILE%\Documents\GitHub\eaglep3\Utilities\RefineRTDCRunTimes.py" --tripid 53-13 --locoid 4006 --swversion DE.1.0.9.0 --startMP 204:444 --initTime 2017-05-13T07:14:30 --startdatetime 2017-05-13T07:41:07 --delay 0 --endMP 300:31335 --enddatetime 2017-05-13T07:47:37 --enforcementcount 0 &gt;&gt;C:\Users\stu\Documents\GitHub\eaglep3-reporting\EC\2017-05-13-refined-times.txt</v>
      </c>
      <c r="AI224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{"issue":{"subject":"","project_id":79,"tracker_id":40,"status_id":1,"priority_id":2,"assigned_to_id":23,"start_date":"2017-05-13","description":"","custom_fields":[{"id":1,"name":"Subdivision","value":"Other"},{"id":4,"name":"Milepost","value":"3.1335"},{"id":17,"name":"Train ID","value":"53-13"},{"id":16,"name":"Locomotive ID","value":"4006"},{"id":130,"name":"Impact","value":""},{"id":150,"name":"Time of Event (Mountain Time)","value":"07:47:37"},{"id":151,"name":"Denver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07"/>
        <v>start /low /b %USERPROFILE%\Documents\GitHub\eaglep3\Utilities\DownloadLogsFromS3.py --loco 4006 --day 2017-05-13</v>
      </c>
      <c r="AN224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13:47:37"},{"id":29,"name":"Sharepoint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594</v>
      </c>
      <c r="B225" s="7">
        <v>4006</v>
      </c>
      <c r="C225" s="21" t="s">
        <v>206</v>
      </c>
      <c r="D225" s="21" t="s">
        <v>969</v>
      </c>
      <c r="E225" s="13">
        <v>42868.31931712963</v>
      </c>
      <c r="F225" s="13">
        <v>42868.333969907406</v>
      </c>
      <c r="G225" s="7">
        <v>0</v>
      </c>
      <c r="H225" s="21" t="s">
        <v>970</v>
      </c>
      <c r="I225" s="13">
        <v>42868.33866898148</v>
      </c>
      <c r="J225" s="7">
        <v>0</v>
      </c>
      <c r="K225" s="92" t="str">
        <f t="shared" si="95"/>
        <v>4005/4006</v>
      </c>
      <c r="L225" s="21" t="str">
        <f>VLOOKUP(A225,'Trips&amp;Operators'!$C$1:$G$99999,5,FALSE)</f>
        <v>BEAM ROSS</v>
      </c>
      <c r="M225" s="6">
        <f t="shared" si="96"/>
        <v>4.6990740738692693E-3</v>
      </c>
      <c r="N225" s="7">
        <f t="shared" si="111"/>
        <v>6.7666666663717479</v>
      </c>
      <c r="O225" s="7"/>
      <c r="P225" s="7"/>
      <c r="Q225" s="22"/>
      <c r="R225" s="190"/>
      <c r="S225" s="196">
        <f t="shared" si="112"/>
        <v>0</v>
      </c>
      <c r="T225" s="190" t="e">
        <f t="shared" si="97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98"/>
        <v>https://d0f6bd738d7f1b3e5a7ca70fe4ff75f0.us-east-1.aws.found.io/app/kibana#/discover/Steve-Slow-Train-Analysis-(2080s-and-2083s)?_g=(refreshInterval:(display:Off,pause:!f,section:0,value:0),time:(from:'2017-05-13T06:39:49-0600',mode:absolute,to:'2017-05-13T09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5" s="192" t="str">
        <f t="shared" si="99"/>
        <v>Y</v>
      </c>
      <c r="X225" s="192" t="e">
        <f t="shared" si="94"/>
        <v>#VALUE!</v>
      </c>
      <c r="Y225" s="192">
        <f t="shared" si="110"/>
        <v>4.6800000000000001E-2</v>
      </c>
      <c r="Z225" s="192">
        <f t="shared" si="109"/>
        <v>3.1387999999999998</v>
      </c>
      <c r="AA225" s="192">
        <f t="shared" si="100"/>
        <v>3.0919999999999996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01"/>
        <v>53-13</v>
      </c>
      <c r="AE225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5" s="77" t="str">
        <f t="shared" si="103"/>
        <v>"C:\Program Files (x86)\AstroGrep\AstroGrep.exe" /e /r /s /spath="%USERPROFILE%\AppData\Local\Temp\OnboardLogs" /stypes="app*4006*20170513*" /stext=" 14:.+((SYSTEM_STATE.+slice.+state.+changed )|(ment ac)|(multiple cpu faults)|(system.+state.+changed )|(\[timeout)|(PRM\|1\|D)|(kpr)|(kdp)|(train st.+moving)|(\|lc)|(penalty))"</v>
      </c>
      <c r="AG225" s="1" t="str">
        <f t="shared" si="104"/>
        <v>Other</v>
      </c>
      <c r="AH225" s="81" t="str">
        <f t="shared" si="105"/>
        <v>"%USERPROFILE%\Documents\GitHub\eaglep3\Utilities\RefineRTDCRunTimes.py" --tripid 53-13 --locoid 4006 --swversion DE.1.0.9.0 --startMP 204:468 --initTime 2017-05-13T07:39:49 --startdatetime 2017-05-13T08:00:55 --delay 0 --endMP 300:31388 --enddatetime 2017-05-13T08:07:41 --enforcementcount 0 &gt;&gt;C:\Users\stu\Documents\GitHub\eaglep3-reporting\EC\2017-05-13-refined-times.txt</v>
      </c>
      <c r="AI225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{"issue":{"subject":"","project_id":79,"tracker_id":40,"status_id":1,"priority_id":2,"assigned_to_id":23,"start_date":"2017-05-13","description":"","custom_fields":[{"id":1,"name":"Subdivision","value":"Other"},{"id":4,"name":"Milepost","value":"3.1388"},{"id":17,"name":"Train ID","value":"53-13"},{"id":16,"name":"Locomotive ID","value":"4006"},{"id":130,"name":"Impact","value":""},{"id":150,"name":"Time of Event (Mountain Time)","value":"08:07:41"},{"id":151,"name":"Denver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07"/>
        <v>start /low /b %USERPROFILE%\Documents\GitHub\eaglep3\Utilities\DownloadLogsFromS3.py --loco 4006 --day 2017-05-13</v>
      </c>
      <c r="AN225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594</v>
      </c>
      <c r="B226" s="7">
        <v>4006</v>
      </c>
      <c r="C226" s="21" t="s">
        <v>206</v>
      </c>
      <c r="D226" s="21" t="s">
        <v>971</v>
      </c>
      <c r="E226" s="13">
        <v>42868.206944444442</v>
      </c>
      <c r="F226" s="13">
        <v>42868.231180555558</v>
      </c>
      <c r="G226" s="7">
        <v>0</v>
      </c>
      <c r="H226" s="21" t="s">
        <v>972</v>
      </c>
      <c r="I226" s="13">
        <v>42868.235937500001</v>
      </c>
      <c r="J226" s="7">
        <v>0</v>
      </c>
      <c r="K226" s="92" t="str">
        <f t="shared" si="95"/>
        <v>4005/4006</v>
      </c>
      <c r="L226" s="21" t="str">
        <f>VLOOKUP(A226,'Trips&amp;Operators'!$C$1:$G$99999,5,FALSE)</f>
        <v>BEAM ROSS</v>
      </c>
      <c r="M226" s="6">
        <f t="shared" si="96"/>
        <v>4.756944443215616E-3</v>
      </c>
      <c r="N226" s="7">
        <f t="shared" si="111"/>
        <v>6.8499999982304871</v>
      </c>
      <c r="O226" s="7"/>
      <c r="P226" s="7"/>
      <c r="Q226" s="22"/>
      <c r="R226" s="190"/>
      <c r="S226" s="196">
        <f t="shared" si="112"/>
        <v>0</v>
      </c>
      <c r="T226" s="190" t="e">
        <f t="shared" si="97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98"/>
        <v>https://d0f6bd738d7f1b3e5a7ca70fe4ff75f0.us-east-1.aws.found.io/app/kibana#/discover/Steve-Slow-Train-Analysis-(2080s-and-2083s)?_g=(refreshInterval:(display:Off,pause:!f,section:0,value:0),time:(from:'2017-05-13T03:58:00-0600',mode:absolute,to:'2017-05-13T06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6" s="192" t="str">
        <f t="shared" si="99"/>
        <v>Y</v>
      </c>
      <c r="X226" s="192" t="e">
        <f t="shared" si="94"/>
        <v>#VALUE!</v>
      </c>
      <c r="Y226" s="192">
        <f t="shared" si="110"/>
        <v>5.2400000000000002E-2</v>
      </c>
      <c r="Z226" s="192">
        <f t="shared" si="109"/>
        <v>3.1280000000000001</v>
      </c>
      <c r="AA226" s="192">
        <f t="shared" si="100"/>
        <v>3.0756000000000001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01"/>
        <v>53-13</v>
      </c>
      <c r="AE226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6" s="77" t="str">
        <f t="shared" si="103"/>
        <v>"C:\Program Files (x86)\AstroGrep\AstroGrep.exe" /e /r /s /spath="%USERPROFILE%\AppData\Local\Temp\OnboardLogs" /stypes="app*4006*20170513*" /stext=" 11:.+((SYSTEM_STATE.+slice.+state.+changed )|(ment ac)|(multiple cpu faults)|(system.+state.+changed )|(\[timeout)|(PRM\|1\|D)|(kpr)|(kdp)|(train st.+moving)|(\|lc)|(penalty))"</v>
      </c>
      <c r="AG226" s="1" t="str">
        <f t="shared" si="104"/>
        <v>Other</v>
      </c>
      <c r="AH226" s="81" t="str">
        <f t="shared" si="105"/>
        <v>"%USERPROFILE%\Documents\GitHub\eaglep3\Utilities\RefineRTDCRunTimes.py" --tripid 53-13 --locoid 4006 --swversion DE.1.0.9.0 --startMP 204:524 --initTime 2017-05-13T04:58:00 --startdatetime 2017-05-13T05:32:54 --delay 0 --endMP 300:31280 --enddatetime 2017-05-13T05:39:45 --enforcementcount 0 &gt;&gt;C:\Users\stu\Documents\GitHub\eaglep3-reporting\EC\2017-05-13-refined-times.txt</v>
      </c>
      <c r="AI226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{"issue":{"subject":"","project_id":79,"tracker_id":40,"status_id":1,"priority_id":2,"assigned_to_id":23,"start_date":"2017-05-13","description":"","custom_fields":[{"id":1,"name":"Subdivision","value":"Other"},{"id":4,"name":"Milepost","value":"3.128"},{"id":17,"name":"Train ID","value":"53-13"},{"id":16,"name":"Locomotive ID","value":"4006"},{"id":130,"name":"Impact","value":""},{"id":150,"name":"Time of Event (Mountain Time)","value":"05:39:45"},{"id":151,"name":"Denver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07"/>
        <v>start /low /b %USERPROFILE%\Documents\GitHub\eaglep3\Utilities\DownloadLogsFromS3.py --loco 4006 --day 2017-05-13</v>
      </c>
      <c r="AN226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594</v>
      </c>
      <c r="B227" s="7">
        <v>4006</v>
      </c>
      <c r="C227" s="21" t="s">
        <v>206</v>
      </c>
      <c r="D227" s="21" t="s">
        <v>973</v>
      </c>
      <c r="E227" s="13">
        <v>42868.159479166665</v>
      </c>
      <c r="F227" s="13">
        <v>42868.175844907404</v>
      </c>
      <c r="G227" s="7">
        <v>0</v>
      </c>
      <c r="H227" s="21" t="s">
        <v>974</v>
      </c>
      <c r="I227" s="13">
        <v>42868.182002314818</v>
      </c>
      <c r="J227" s="7">
        <v>0</v>
      </c>
      <c r="K227" s="92" t="str">
        <f t="shared" si="95"/>
        <v>4005/4006</v>
      </c>
      <c r="L227" s="21" t="str">
        <f>VLOOKUP(A227,'Trips&amp;Operators'!$C$1:$G$99999,5,FALSE)</f>
        <v>BEAM ROSS</v>
      </c>
      <c r="M227" s="6">
        <f t="shared" si="96"/>
        <v>6.1574074134114198E-3</v>
      </c>
      <c r="N227" s="7">
        <f t="shared" si="111"/>
        <v>8.8666666753124446</v>
      </c>
      <c r="O227" s="7"/>
      <c r="P227" s="7"/>
      <c r="Q227" s="22"/>
      <c r="R227" s="190"/>
      <c r="S227" s="196">
        <f t="shared" si="112"/>
        <v>0</v>
      </c>
      <c r="T227" s="190" t="e">
        <f t="shared" si="97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98"/>
        <v>https://d0f6bd738d7f1b3e5a7ca70fe4ff75f0.us-east-1.aws.found.io/app/kibana#/discover/Steve-Slow-Train-Analysis-(2080s-and-2083s)?_g=(refreshInterval:(display:Off,pause:!f,section:0,value:0),time:(from:'2017-05-13T02:49:39-0600',mode:absolute,to:'2017-05-13T05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7" s="192" t="str">
        <f t="shared" si="99"/>
        <v>Y</v>
      </c>
      <c r="X227" s="192" t="e">
        <f t="shared" si="94"/>
        <v>#VALUE!</v>
      </c>
      <c r="Y227" s="192">
        <f t="shared" si="110"/>
        <v>5.6000000000000001E-2</v>
      </c>
      <c r="Z227" s="192">
        <f t="shared" si="109"/>
        <v>3.1316000000000002</v>
      </c>
      <c r="AA227" s="192">
        <f t="shared" si="100"/>
        <v>3.0756000000000001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01"/>
        <v>53-13</v>
      </c>
      <c r="AE227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7" s="77" t="str">
        <f t="shared" si="103"/>
        <v>"C:\Program Files (x86)\AstroGrep\AstroGrep.exe" /e /r /s /spath="%USERPROFILE%\AppData\Local\Temp\OnboardLogs" /stypes="app*4006*20170513*" /stext=" 10:.+((SYSTEM_STATE.+slice.+state.+changed )|(ment ac)|(multiple cpu faults)|(system.+state.+changed )|(\[timeout)|(PRM\|1\|D)|(kpr)|(kdp)|(train st.+moving)|(\|lc)|(penalty))"</v>
      </c>
      <c r="AG227" s="1" t="str">
        <f t="shared" si="104"/>
        <v>Other</v>
      </c>
      <c r="AH227" s="81" t="str">
        <f t="shared" si="105"/>
        <v>"%USERPROFILE%\Documents\GitHub\eaglep3\Utilities\RefineRTDCRunTimes.py" --tripid 53-13 --locoid 4006 --swversion DE.1.0.9.0 --startMP 204:560 --initTime 2017-05-13T03:49:39 --startdatetime 2017-05-13T04:13:13 --delay 0 --endMP 300:31316 --enddatetime 2017-05-13T04:22:05 --enforcementcount 0 &gt;&gt;C:\Users\stu\Documents\GitHub\eaglep3-reporting\EC\2017-05-13-refined-times.txt</v>
      </c>
      <c r="AI227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{"issue":{"subject":"","project_id":79,"tracker_id":40,"status_id":1,"priority_id":2,"assigned_to_id":23,"start_date":"2017-05-13","description":"","custom_fields":[{"id":1,"name":"Subdivision","value":"Other"},{"id":4,"name":"Milepost","value":"3.1316"},{"id":17,"name":"Train ID","value":"53-13"},{"id":16,"name":"Locomotive ID","value":"4006"},{"id":130,"name":"Impact","value":""},{"id":150,"name":"Time of Event (Mountain Time)","value":"04:22:05"},{"id":151,"name":"Denver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07"/>
        <v>start /low /b %USERPROFILE%\Documents\GitHub\eaglep3\Utilities\DownloadLogsFromS3.py --loco 4006 --day 2017-05-13</v>
      </c>
      <c r="AN227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594</v>
      </c>
      <c r="B228" s="7">
        <v>4006</v>
      </c>
      <c r="C228" s="21" t="s">
        <v>206</v>
      </c>
      <c r="D228" s="21" t="s">
        <v>975</v>
      </c>
      <c r="E228" s="13">
        <v>42868.284212962964</v>
      </c>
      <c r="F228" s="13">
        <v>42868.305428240739</v>
      </c>
      <c r="G228" s="7">
        <v>0</v>
      </c>
      <c r="H228" s="21" t="s">
        <v>976</v>
      </c>
      <c r="I228" s="13">
        <v>42868.310162037036</v>
      </c>
      <c r="J228" s="7">
        <v>0</v>
      </c>
      <c r="K228" s="92" t="str">
        <f t="shared" si="95"/>
        <v>4005/4006</v>
      </c>
      <c r="L228" s="21" t="str">
        <f>VLOOKUP(A228,'Trips&amp;Operators'!$C$1:$G$99999,5,FALSE)</f>
        <v>BEAM ROSS</v>
      </c>
      <c r="M228" s="6">
        <f t="shared" si="96"/>
        <v>4.7337962969322689E-3</v>
      </c>
      <c r="N228" s="7">
        <f t="shared" si="111"/>
        <v>6.8166666675824672</v>
      </c>
      <c r="O228" s="7"/>
      <c r="P228" s="7"/>
      <c r="Q228" s="22"/>
      <c r="R228" s="190"/>
      <c r="S228" s="196">
        <f t="shared" si="112"/>
        <v>0</v>
      </c>
      <c r="T228" s="190" t="e">
        <f t="shared" si="97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98"/>
        <v>https://d0f6bd738d7f1b3e5a7ca70fe4ff75f0.us-east-1.aws.found.io/app/kibana#/discover/Steve-Slow-Train-Analysis-(2080s-and-2083s)?_g=(refreshInterval:(display:Off,pause:!f,section:0,value:0),time:(from:'2017-05-13T05:49:16-0600',mode:absolute,to:'2017-05-13T08:26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8" s="192" t="str">
        <f t="shared" si="99"/>
        <v>Y</v>
      </c>
      <c r="X228" s="192" t="e">
        <f t="shared" si="94"/>
        <v>#VALUE!</v>
      </c>
      <c r="Y228" s="192">
        <f t="shared" si="110"/>
        <v>6.0199999999999997E-2</v>
      </c>
      <c r="Z228" s="192">
        <f t="shared" si="109"/>
        <v>3.1356000000000002</v>
      </c>
      <c r="AA228" s="192">
        <f t="shared" si="100"/>
        <v>3.0754000000000001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01"/>
        <v>53-13</v>
      </c>
      <c r="AE228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8" s="77" t="str">
        <f t="shared" si="103"/>
        <v>"C:\Program Files (x86)\AstroGrep\AstroGrep.exe" /e /r /s /spath="%USERPROFILE%\AppData\Local\Temp\OnboardLogs" /stypes="app*4006*20170513*" /stext=" 13:.+((SYSTEM_STATE.+slice.+state.+changed )|(ment ac)|(multiple cpu faults)|(system.+state.+changed )|(\[timeout)|(PRM\|1\|D)|(kpr)|(kdp)|(train st.+moving)|(\|lc)|(penalty))"</v>
      </c>
      <c r="AG228" s="1" t="str">
        <f t="shared" si="104"/>
        <v>Other</v>
      </c>
      <c r="AH228" s="81" t="str">
        <f t="shared" si="105"/>
        <v>"%USERPROFILE%\Documents\GitHub\eaglep3\Utilities\RefineRTDCRunTimes.py" --tripid 53-13 --locoid 4006 --swversion DE.1.0.9.0 --startMP 204:602 --initTime 2017-05-13T06:49:16 --startdatetime 2017-05-13T07:19:49 --delay 0 --endMP 300:31356 --enddatetime 2017-05-13T07:26:38 --enforcementcount 0 &gt;&gt;C:\Users\stu\Documents\GitHub\eaglep3-reporting\EC\2017-05-13-refined-times.txt</v>
      </c>
      <c r="AI228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{"issue":{"subject":"","project_id":79,"tracker_id":40,"status_id":1,"priority_id":2,"assigned_to_id":23,"start_date":"2017-05-13","description":"","custom_fields":[{"id":1,"name":"Subdivision","value":"Other"},{"id":4,"name":"Milepost","value":"3.1356"},{"id":17,"name":"Train ID","value":"53-13"},{"id":16,"name":"Locomotive ID","value":"4006"},{"id":130,"name":"Impact","value":""},{"id":150,"name":"Time of Event (Mountain Time)","value":"07:26:38"},{"id":151,"name":"Denver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07"/>
        <v>start /low /b %USERPROFILE%\Documents\GitHub\eaglep3\Utilities\DownloadLogsFromS3.py --loco 4006 --day 2017-05-13</v>
      </c>
      <c r="AN228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13:26:38"},{"id":29,"name":"Sharepoint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594</v>
      </c>
      <c r="B229" s="7">
        <v>4006</v>
      </c>
      <c r="C229" s="21" t="s">
        <v>206</v>
      </c>
      <c r="D229" s="21" t="s">
        <v>977</v>
      </c>
      <c r="E229" s="13">
        <v>42868.264965277776</v>
      </c>
      <c r="F229" s="13">
        <v>42868.287847222222</v>
      </c>
      <c r="G229" s="7">
        <v>0</v>
      </c>
      <c r="H229" s="21" t="s">
        <v>978</v>
      </c>
      <c r="I229" s="13">
        <v>42868.293240740742</v>
      </c>
      <c r="J229" s="7">
        <v>0</v>
      </c>
      <c r="K229" s="92" t="str">
        <f t="shared" si="95"/>
        <v>4005/4006</v>
      </c>
      <c r="L229" s="21" t="str">
        <f>VLOOKUP(A229,'Trips&amp;Operators'!$C$1:$G$99999,5,FALSE)</f>
        <v>BEAM ROSS</v>
      </c>
      <c r="M229" s="6">
        <f t="shared" si="96"/>
        <v>5.393518520577345E-3</v>
      </c>
      <c r="N229" s="7">
        <f t="shared" si="111"/>
        <v>7.7666666696313769</v>
      </c>
      <c r="O229" s="7"/>
      <c r="P229" s="7"/>
      <c r="Q229" s="22"/>
      <c r="R229" s="190"/>
      <c r="S229" s="196">
        <f t="shared" si="112"/>
        <v>0</v>
      </c>
      <c r="T229" s="190" t="e">
        <f t="shared" si="97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98"/>
        <v>https://d0f6bd738d7f1b3e5a7ca70fe4ff75f0.us-east-1.aws.found.io/app/kibana#/discover/Steve-Slow-Train-Analysis-(2080s-and-2083s)?_g=(refreshInterval:(display:Off,pause:!f,section:0,value:0),time:(from:'2017-05-13T05:21:33-0600',mode:absolute,to:'2017-05-13T08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9" s="192" t="str">
        <f t="shared" si="99"/>
        <v>Y</v>
      </c>
      <c r="X229" s="192" t="e">
        <f t="shared" si="94"/>
        <v>#VALUE!</v>
      </c>
      <c r="Y229" s="192">
        <f t="shared" si="110"/>
        <v>6.3200000000000006E-2</v>
      </c>
      <c r="Z229" s="192">
        <f t="shared" si="109"/>
        <v>3.1288</v>
      </c>
      <c r="AA229" s="192">
        <f t="shared" si="100"/>
        <v>3.0655999999999999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01"/>
        <v>53-13</v>
      </c>
      <c r="AE229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29" s="77" t="str">
        <f t="shared" si="103"/>
        <v>"C:\Program Files (x86)\AstroGrep\AstroGrep.exe" /e /r /s /spath="%USERPROFILE%\AppData\Local\Temp\OnboardLogs" /stypes="app*4006*20170513*" /stext=" 13:.+((SYSTEM_STATE.+slice.+state.+changed )|(ment ac)|(multiple cpu faults)|(system.+state.+changed )|(\[timeout)|(PRM\|1\|D)|(kpr)|(kdp)|(train st.+moving)|(\|lc)|(penalty))"</v>
      </c>
      <c r="AG229" s="1" t="str">
        <f t="shared" si="104"/>
        <v>Other</v>
      </c>
      <c r="AH229" s="81" t="str">
        <f t="shared" si="105"/>
        <v>"%USERPROFILE%\Documents\GitHub\eaglep3\Utilities\RefineRTDCRunTimes.py" --tripid 53-13 --locoid 4006 --swversion DE.1.0.9.0 --startMP 204:632 --initTime 2017-05-13T06:21:33 --startdatetime 2017-05-13T06:54:30 --delay 0 --endMP 300:31288 --enddatetime 2017-05-13T07:02:16 --enforcementcount 0 &gt;&gt;C:\Users\stu\Documents\GitHub\eaglep3-reporting\EC\2017-05-13-refined-times.txt</v>
      </c>
      <c r="AI229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{"issue":{"subject":"","project_id":79,"tracker_id":40,"status_id":1,"priority_id":2,"assigned_to_id":23,"start_date":"2017-05-13","description":"","custom_fields":[{"id":1,"name":"Subdivision","value":"Other"},{"id":4,"name":"Milepost","value":"3.1288"},{"id":17,"name":"Train ID","value":"53-13"},{"id":16,"name":"Locomotive ID","value":"4006"},{"id":130,"name":"Impact","value":""},{"id":150,"name":"Time of Event (Mountain Time)","value":"07:02:16"},{"id":151,"name":"Denver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07"/>
        <v>start /low /b %USERPROFILE%\Documents\GitHub\eaglep3\Utilities\DownloadLogsFromS3.py --loco 4006 --day 2017-05-13</v>
      </c>
      <c r="AN229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594</v>
      </c>
      <c r="B230" s="7">
        <v>4006</v>
      </c>
      <c r="C230" s="21" t="s">
        <v>206</v>
      </c>
      <c r="D230" s="21" t="s">
        <v>979</v>
      </c>
      <c r="E230" s="13">
        <v>42868.333009259259</v>
      </c>
      <c r="F230" s="13">
        <v>42868.333969907406</v>
      </c>
      <c r="G230" s="7">
        <v>0</v>
      </c>
      <c r="H230" s="21" t="s">
        <v>972</v>
      </c>
      <c r="I230" s="13">
        <v>42868.33866898148</v>
      </c>
      <c r="J230" s="7">
        <v>0</v>
      </c>
      <c r="K230" s="92" t="str">
        <f t="shared" si="95"/>
        <v>4005/4006</v>
      </c>
      <c r="L230" s="21" t="str">
        <f>VLOOKUP(A230,'Trips&amp;Operators'!$C$1:$G$99999,5,FALSE)</f>
        <v>BEAM ROSS</v>
      </c>
      <c r="M230" s="6">
        <f t="shared" si="96"/>
        <v>4.6990740738692693E-3</v>
      </c>
      <c r="N230" s="7">
        <f t="shared" si="111"/>
        <v>6.7666666663717479</v>
      </c>
      <c r="O230" s="7"/>
      <c r="P230" s="7"/>
      <c r="Q230" s="22"/>
      <c r="R230" s="190"/>
      <c r="S230" s="196">
        <f t="shared" si="112"/>
        <v>0</v>
      </c>
      <c r="T230" s="190" t="e">
        <f t="shared" si="97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98"/>
        <v>https://d0f6bd738d7f1b3e5a7ca70fe4ff75f0.us-east-1.aws.found.io/app/kibana#/discover/Steve-Slow-Train-Analysis-(2080s-and-2083s)?_g=(refreshInterval:(display:Off,pause:!f,section:0,value:0),time:(from:'2017-05-13T06:59:32-0600',mode:absolute,to:'2017-05-13T09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0" s="192" t="str">
        <f t="shared" si="99"/>
        <v>Y</v>
      </c>
      <c r="X230" s="192" t="e">
        <f t="shared" si="94"/>
        <v>#VALUE!</v>
      </c>
      <c r="Y230" s="192">
        <f t="shared" si="110"/>
        <v>7.3400000000000007E-2</v>
      </c>
      <c r="Z230" s="192">
        <f t="shared" si="109"/>
        <v>3.1280000000000001</v>
      </c>
      <c r="AA230" s="192">
        <f t="shared" si="100"/>
        <v>3.0546000000000002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01"/>
        <v>53-13</v>
      </c>
      <c r="AE230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30" s="77" t="str">
        <f t="shared" si="103"/>
        <v>"C:\Program Files (x86)\AstroGrep\AstroGrep.exe" /e /r /s /spath="%USERPROFILE%\AppData\Local\Temp\OnboardLogs" /stypes="app*4006*20170513*" /stext=" 14:.+((SYSTEM_STATE.+slice.+state.+changed )|(ment ac)|(multiple cpu faults)|(system.+state.+changed )|(\[timeout)|(PRM\|1\|D)|(kpr)|(kdp)|(train st.+moving)|(\|lc)|(penalty))"</v>
      </c>
      <c r="AG230" s="1" t="str">
        <f t="shared" si="104"/>
        <v>Other</v>
      </c>
      <c r="AH230" s="81" t="str">
        <f t="shared" si="105"/>
        <v>"%USERPROFILE%\Documents\GitHub\eaglep3\Utilities\RefineRTDCRunTimes.py" --tripid 53-13 --locoid 4006 --swversion DE.1.0.9.0 --startMP 204:734 --initTime 2017-05-13T07:59:32 --startdatetime 2017-05-13T08:00:55 --delay 0 --endMP 300:31280 --enddatetime 2017-05-13T08:07:41 --enforcementcount 0 &gt;&gt;C:\Users\stu\Documents\GitHub\eaglep3-reporting\EC\2017-05-13-refined-times.txt</v>
      </c>
      <c r="AI230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{"issue":{"subject":"","project_id":79,"tracker_id":40,"status_id":1,"priority_id":2,"assigned_to_id":23,"start_date":"2017-05-13","description":"","custom_fields":[{"id":1,"name":"Subdivision","value":"Other"},{"id":4,"name":"Milepost","value":"3.128"},{"id":17,"name":"Train ID","value":"53-13"},{"id":16,"name":"Locomotive ID","value":"4006"},{"id":130,"name":"Impact","value":""},{"id":150,"name":"Time of Event (Mountain Time)","value":"08:07:41"},{"id":151,"name":"Denver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07"/>
        <v>start /low /b %USERPROFILE%\Documents\GitHub\eaglep3\Utilities\DownloadLogsFromS3.py --loco 4006 --day 2017-05-13</v>
      </c>
      <c r="AN230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594</v>
      </c>
      <c r="B231" s="7">
        <v>4006</v>
      </c>
      <c r="C231" s="21" t="s">
        <v>206</v>
      </c>
      <c r="D231" s="21" t="s">
        <v>980</v>
      </c>
      <c r="E231" s="13">
        <v>42868.174201388887</v>
      </c>
      <c r="F231" s="13">
        <v>42868.193043981482</v>
      </c>
      <c r="G231" s="7">
        <v>0</v>
      </c>
      <c r="H231" s="21" t="s">
        <v>981</v>
      </c>
      <c r="I231" s="13">
        <v>42868.197604166664</v>
      </c>
      <c r="J231" s="7">
        <v>0</v>
      </c>
      <c r="K231" s="92" t="str">
        <f t="shared" si="95"/>
        <v>4005/4006</v>
      </c>
      <c r="L231" s="21" t="str">
        <f>VLOOKUP(A231,'Trips&amp;Operators'!$C$1:$G$99999,5,FALSE)</f>
        <v>BEAM ROSS</v>
      </c>
      <c r="M231" s="6">
        <f t="shared" si="96"/>
        <v>4.5601851816172712E-3</v>
      </c>
      <c r="N231" s="7">
        <f t="shared" si="111"/>
        <v>6.5666666615288705</v>
      </c>
      <c r="O231" s="7"/>
      <c r="P231" s="7"/>
      <c r="Q231" s="22"/>
      <c r="R231" s="190"/>
      <c r="S231" s="196">
        <f t="shared" si="112"/>
        <v>0</v>
      </c>
      <c r="T231" s="190" t="e">
        <f t="shared" si="97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98"/>
        <v>https://d0f6bd738d7f1b3e5a7ca70fe4ff75f0.us-east-1.aws.found.io/app/kibana#/discover/Steve-Slow-Train-Analysis-(2080s-and-2083s)?_g=(refreshInterval:(display:Off,pause:!f,section:0,value:0),time:(from:'2017-05-13T03:10:51-0600',mode:absolute,to:'2017-05-13T05:44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1" s="192" t="str">
        <f t="shared" si="99"/>
        <v>Y</v>
      </c>
      <c r="X231" s="192" t="e">
        <f t="shared" si="94"/>
        <v>#VALUE!</v>
      </c>
      <c r="Y231" s="192">
        <f t="shared" si="110"/>
        <v>8.6199999999999999E-2</v>
      </c>
      <c r="Z231" s="192">
        <f t="shared" si="109"/>
        <v>3.1425999999999998</v>
      </c>
      <c r="AA231" s="192">
        <f t="shared" si="100"/>
        <v>3.0564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01"/>
        <v>53-13</v>
      </c>
      <c r="AE231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31" s="77" t="str">
        <f t="shared" si="103"/>
        <v>"C:\Program Files (x86)\AstroGrep\AstroGrep.exe" /e /r /s /spath="%USERPROFILE%\AppData\Local\Temp\OnboardLogs" /stypes="app*4006*20170513*" /stext=" 10:.+((SYSTEM_STATE.+slice.+state.+changed )|(ment ac)|(multiple cpu faults)|(system.+state.+changed )|(\[timeout)|(PRM\|1\|D)|(kpr)|(kdp)|(train st.+moving)|(\|lc)|(penalty))"</v>
      </c>
      <c r="AG231" s="1" t="str">
        <f t="shared" si="104"/>
        <v>Other</v>
      </c>
      <c r="AH231" s="81" t="str">
        <f t="shared" si="105"/>
        <v>"%USERPROFILE%\Documents\GitHub\eaglep3\Utilities\RefineRTDCRunTimes.py" --tripid 53-13 --locoid 4006 --swversion DE.1.0.9.0 --startMP 204:862 --initTime 2017-05-13T04:10:51 --startdatetime 2017-05-13T04:37:59 --delay 0 --endMP 300:31426 --enddatetime 2017-05-13T04:44:33 --enforcementcount 0 &gt;&gt;C:\Users\stu\Documents\GitHub\eaglep3-reporting\EC\2017-05-13-refined-times.txt</v>
      </c>
      <c r="AI231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{"issue":{"subject":"","project_id":79,"tracker_id":40,"status_id":1,"priority_id":2,"assigned_to_id":23,"start_date":"2017-05-13","description":"","custom_fields":[{"id":1,"name":"Subdivision","value":"Other"},{"id":4,"name":"Milepost","value":"3.1426"},{"id":17,"name":"Train ID","value":"53-13"},{"id":16,"name":"Locomotive ID","value":"4006"},{"id":130,"name":"Impact","value":""},{"id":150,"name":"Time of Event (Mountain Time)","value":"04:44:33"},{"id":151,"name":"Denver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07"/>
        <v>start /low /b %USERPROFILE%\Documents\GitHub\eaglep3\Utilities\DownloadLogsFromS3.py --loco 4006 --day 2017-05-13</v>
      </c>
      <c r="AN231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10:44:33"},{"id":29,"name":"Sharepoint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594</v>
      </c>
      <c r="B232" s="7">
        <v>4006</v>
      </c>
      <c r="C232" s="21" t="s">
        <v>206</v>
      </c>
      <c r="D232" s="21" t="s">
        <v>982</v>
      </c>
      <c r="E232" s="13">
        <v>42868.249305555553</v>
      </c>
      <c r="F232" s="13">
        <v>42868.266296296293</v>
      </c>
      <c r="G232" s="7">
        <v>0</v>
      </c>
      <c r="H232" s="21" t="s">
        <v>983</v>
      </c>
      <c r="I232" s="13">
        <v>42868.270891203705</v>
      </c>
      <c r="J232" s="7">
        <v>0</v>
      </c>
      <c r="K232" s="92" t="str">
        <f t="shared" si="95"/>
        <v>4005/4006</v>
      </c>
      <c r="L232" s="21" t="str">
        <f>VLOOKUP(A232,'Trips&amp;Operators'!$C$1:$G$99999,5,FALSE)</f>
        <v>BEAM ROSS</v>
      </c>
      <c r="M232" s="6">
        <f t="shared" si="96"/>
        <v>4.5949074119562283E-3</v>
      </c>
      <c r="N232" s="7">
        <f t="shared" si="111"/>
        <v>6.6166666732169688</v>
      </c>
      <c r="O232" s="7"/>
      <c r="P232" s="7"/>
      <c r="Q232" s="22"/>
      <c r="R232" s="190"/>
      <c r="S232" s="196">
        <f t="shared" si="112"/>
        <v>0</v>
      </c>
      <c r="T232" s="190" t="e">
        <f t="shared" si="97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98"/>
        <v>https://d0f6bd738d7f1b3e5a7ca70fe4ff75f0.us-east-1.aws.found.io/app/kibana#/discover/Steve-Slow-Train-Analysis-(2080s-and-2083s)?_g=(refreshInterval:(display:Off,pause:!f,section:0,value:0),time:(from:'2017-05-13T04:59:00-0600',mode:absolute,to:'2017-05-13T07:30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2" s="192" t="str">
        <f t="shared" si="99"/>
        <v>Y</v>
      </c>
      <c r="X232" s="192" t="e">
        <f t="shared" si="94"/>
        <v>#VALUE!</v>
      </c>
      <c r="Y232" s="192">
        <f t="shared" si="110"/>
        <v>9.4700000000000006E-2</v>
      </c>
      <c r="Z232" s="192">
        <f t="shared" si="109"/>
        <v>3.1328</v>
      </c>
      <c r="AA232" s="192">
        <f t="shared" si="100"/>
        <v>3.0381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101"/>
        <v>53-13</v>
      </c>
      <c r="AE232" s="80" t="str">
        <f t="shared" si="102"/>
        <v>aws s3 cp s3://rtdc.mdm.uploadarchive.raw/RTDC4006/ "%USERPROFILE%\AppData\Local\Temp\OnboardLogs"\RTDC4006\2017-05-13 --exclude "*" --recursive --include "*20170513*" &amp; "%USERPROFILE%\Documents\GitHub\mrs-test-scripts\Headless Mode &amp; Sideloading\WalkAndUnGZ.bat" "%USERPROFILE%\AppData\Local\Temp\OnboardLogs"\RTDC4006\2017-05-13 &amp; 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</v>
      </c>
      <c r="AF232" s="77" t="str">
        <f t="shared" si="103"/>
        <v>"C:\Program Files (x86)\AstroGrep\AstroGrep.exe" /e /r /s /spath="%USERPROFILE%\AppData\Local\Temp\OnboardLogs" /stypes="app*4006*20170513*" /stext=" 12:.+((SYSTEM_STATE.+slice.+state.+changed )|(ment ac)|(multiple cpu faults)|(system.+state.+changed )|(\[timeout)|(PRM\|1\|D)|(kpr)|(kdp)|(train st.+moving)|(\|lc)|(penalty))"</v>
      </c>
      <c r="AG232" s="1" t="str">
        <f t="shared" si="104"/>
        <v>Other</v>
      </c>
      <c r="AH232" s="81" t="str">
        <f t="shared" si="105"/>
        <v>"%USERPROFILE%\Documents\GitHub\eaglep3\Utilities\RefineRTDCRunTimes.py" --tripid 53-13 --locoid 4006 --swversion DE.1.0.9.0 --startMP 204:947 --initTime 2017-05-13T05:59:00 --startdatetime 2017-05-13T06:23:28 --delay 0 --endMP 300:31328 --enddatetime 2017-05-13T06:30:05 --enforcementcount 0 &gt;&gt;C:\Users\stu\Documents\GitHub\eaglep3-reporting\EC\2017-05-13-refined-times.txt</v>
      </c>
      <c r="AI232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{"issue":{"subject":"","project_id":79,"tracker_id":40,"status_id":1,"priority_id":2,"assigned_to_id":23,"start_date":"2017-05-13","description":"","custom_fields":[{"id":1,"name":"Subdivision","value":"Other"},{"id":4,"name":"Milepost","value":"3.1328"},{"id":17,"name":"Train ID","value":"53-13"},{"id":16,"name":"Locomotive ID","value":"4006"},{"id":130,"name":"Impact","value":""},{"id":150,"name":"Time of Event (Mountain Time)","value":"06:30:05"},{"id":151,"name":"Denver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07"/>
        <v>start /low /b %USERPROFILE%\Documents\GitHub\eaglep3\Utilities\DownloadLogsFromS3.py --loco 4006 --day 2017-05-13</v>
      </c>
      <c r="AN232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12:30:05"},{"id":29,"name":"Sharepoint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598</v>
      </c>
      <c r="B233" s="7">
        <v>4005</v>
      </c>
      <c r="C233" s="21" t="s">
        <v>206</v>
      </c>
      <c r="D233" s="21" t="s">
        <v>984</v>
      </c>
      <c r="E233" s="13">
        <v>42868.133171296293</v>
      </c>
      <c r="F233" s="13">
        <v>42868.151006944441</v>
      </c>
      <c r="G233" s="7">
        <v>1</v>
      </c>
      <c r="H233" s="21" t="s">
        <v>985</v>
      </c>
      <c r="I233" s="13">
        <v>42868.158599537041</v>
      </c>
      <c r="J233" s="7">
        <v>0</v>
      </c>
      <c r="K233" s="92" t="str">
        <f t="shared" si="95"/>
        <v>4005/4006</v>
      </c>
      <c r="L233" s="21" t="str">
        <f>VLOOKUP(A233,'Trips&amp;Operators'!$C$1:$G$99999,5,FALSE)</f>
        <v>BEAM ROSS</v>
      </c>
      <c r="M233" s="6">
        <f t="shared" si="96"/>
        <v>7.5925925993942656E-3</v>
      </c>
      <c r="N233" s="7">
        <f t="shared" si="111"/>
        <v>10.933333343127742</v>
      </c>
      <c r="O233" s="7"/>
      <c r="P233" s="7"/>
      <c r="Q233" s="22"/>
      <c r="R233" s="190"/>
      <c r="S233" s="196">
        <f t="shared" si="112"/>
        <v>0</v>
      </c>
      <c r="T233" s="190" t="e">
        <f t="shared" si="97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98"/>
        <v>https://d0f6bd738d7f1b3e5a7ca70fe4ff75f0.us-east-1.aws.found.io/app/kibana#/discover/Steve-Slow-Train-Analysis-(2080s-and-2083s)?_g=(refreshInterval:(display:Off,pause:!f,section:0,value:0),time:(from:'2017-05-13T02:11:46-0600',mode:absolute,to:'2017-05-13T04:48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3" s="192" t="str">
        <f t="shared" si="99"/>
        <v>Y</v>
      </c>
      <c r="X233" s="192" t="e">
        <f t="shared" si="94"/>
        <v>#VALUE!</v>
      </c>
      <c r="Y233" s="192">
        <f t="shared" si="110"/>
        <v>3.0924</v>
      </c>
      <c r="Z233" s="192">
        <f t="shared" si="109"/>
        <v>1.35E-2</v>
      </c>
      <c r="AA233" s="192">
        <f t="shared" si="100"/>
        <v>3.0789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101"/>
        <v>54-13</v>
      </c>
      <c r="AE233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33" s="77" t="str">
        <f t="shared" si="103"/>
        <v>"C:\Program Files (x86)\AstroGrep\AstroGrep.exe" /e /r /s /spath="%USERPROFILE%\AppData\Local\Temp\OnboardLogs" /stypes="app*4005*20170513*" /stext=" 09:.+((SYSTEM_STATE.+slice.+state.+changed )|(ment ac)|(multiple cpu faults)|(system.+state.+changed )|(\[timeout)|(PRM\|1\|D)|(kpr)|(kdp)|(train st.+moving)|(\|lc)|(penalty))"</v>
      </c>
      <c r="AG233" s="1" t="str">
        <f t="shared" si="104"/>
        <v>Other</v>
      </c>
      <c r="AH233" s="81" t="str">
        <f t="shared" si="105"/>
        <v>"%USERPROFILE%\Documents\GitHub\eaglep3\Utilities\RefineRTDCRunTimes.py" --tripid 54-13 --locoid 4005 --swversion DE.1.0.9.0 --startMP 300:30924 --initTime 2017-05-13T03:11:46 --startdatetime 2017-05-13T03:37:27 --delay 1 --endMP 204:135 --enddatetime 2017-05-13T03:48:23 --enforcementcount 0 &gt;&gt;C:\Users\stu\Documents\GitHub\eaglep3-reporting\EC\2017-05-13-refined-times.txt</v>
      </c>
      <c r="AI233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{"issue":{"subject":"","project_id":79,"tracker_id":40,"status_id":1,"priority_id":2,"assigned_to_id":23,"start_date":"2017-05-13","description":"","custom_fields":[{"id":1,"name":"Subdivision","value":"Other"},{"id":4,"name":"Milepost","value":"0.0135"},{"id":17,"name":"Train ID","value":"54-13"},{"id":16,"name":"Locomotive ID","value":"4005"},{"id":130,"name":"Impact","value":""},{"id":150,"name":"Time of Event (Mountain Time)","value":"03:48:23"},{"id":151,"name":"Denver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07"/>
        <v>start /low /b %USERPROFILE%\Documents\GitHub\eaglep3\Utilities\DownloadLogsFromS3.py --loco 4005 --day 2017-05-13</v>
      </c>
      <c r="AN233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09:48:23"},{"id":29,"name":"Sharepoint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598</v>
      </c>
      <c r="B234" s="7">
        <v>4005</v>
      </c>
      <c r="C234" s="21" t="s">
        <v>206</v>
      </c>
      <c r="D234" s="21" t="s">
        <v>986</v>
      </c>
      <c r="E234" s="13">
        <v>42868.21371527778</v>
      </c>
      <c r="F234" s="13">
        <v>42868.240324074075</v>
      </c>
      <c r="G234" s="7">
        <v>0</v>
      </c>
      <c r="H234" s="21" t="s">
        <v>987</v>
      </c>
      <c r="I234" s="13">
        <v>42868.248368055552</v>
      </c>
      <c r="J234" s="7">
        <v>0</v>
      </c>
      <c r="K234" s="92" t="str">
        <f t="shared" si="95"/>
        <v>4005/4006</v>
      </c>
      <c r="L234" s="21" t="str">
        <f>VLOOKUP(A234,'Trips&amp;Operators'!$C$1:$G$99999,5,FALSE)</f>
        <v>BEAM ROSS</v>
      </c>
      <c r="M234" s="6">
        <f t="shared" si="96"/>
        <v>8.0439814773853868E-3</v>
      </c>
      <c r="N234" s="7">
        <f t="shared" si="111"/>
        <v>11.583333327434957</v>
      </c>
      <c r="O234" s="7"/>
      <c r="P234" s="7"/>
      <c r="Q234" s="22"/>
      <c r="R234" s="190"/>
      <c r="S234" s="196">
        <f t="shared" si="112"/>
        <v>0</v>
      </c>
      <c r="T234" s="190" t="e">
        <f t="shared" si="97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98"/>
        <v>https://d0f6bd738d7f1b3e5a7ca70fe4ff75f0.us-east-1.aws.found.io/app/kibana#/discover/Steve-Slow-Train-Analysis-(2080s-and-2083s)?_g=(refreshInterval:(display:Off,pause:!f,section:0,value:0),time:(from:'2017-05-13T04:07:45-0600',mode:absolute,to:'2017-05-13T06:57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4" s="192" t="str">
        <f t="shared" si="99"/>
        <v>Y</v>
      </c>
      <c r="X234" s="192" t="e">
        <f t="shared" si="94"/>
        <v>#VALUE!</v>
      </c>
      <c r="Y234" s="192">
        <f t="shared" si="110"/>
        <v>3.0954000000000002</v>
      </c>
      <c r="Z234" s="192">
        <f t="shared" si="109"/>
        <v>8.2000000000000007E-3</v>
      </c>
      <c r="AA234" s="192">
        <f t="shared" si="100"/>
        <v>3.0872000000000002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01"/>
        <v>54-13</v>
      </c>
      <c r="AE234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34" s="77" t="str">
        <f t="shared" si="103"/>
        <v>"C:\Program Files (x86)\AstroGrep\AstroGrep.exe" /e /r /s /spath="%USERPROFILE%\AppData\Local\Temp\OnboardLogs" /stypes="app*4005*20170513*" /stext=" 11:.+((SYSTEM_STATE.+slice.+state.+changed )|(ment ac)|(multiple cpu faults)|(system.+state.+changed )|(\[timeout)|(PRM\|1\|D)|(kpr)|(kdp)|(train st.+moving)|(\|lc)|(penalty))"</v>
      </c>
      <c r="AG234" s="1" t="str">
        <f t="shared" si="104"/>
        <v>Other</v>
      </c>
      <c r="AH234" s="81" t="str">
        <f t="shared" si="105"/>
        <v>"%USERPROFILE%\Documents\GitHub\eaglep3\Utilities\RefineRTDCRunTimes.py" --tripid 54-13 --locoid 4005 --swversion DE.1.0.9.0 --startMP 300:30954 --initTime 2017-05-13T05:07:45 --startdatetime 2017-05-13T05:46:04 --delay 0 --endMP 204:82 --enddatetime 2017-05-13T05:57:39 --enforcementcount 0 &gt;&gt;C:\Users\stu\Documents\GitHub\eaglep3-reporting\EC\2017-05-13-refined-times.txt</v>
      </c>
      <c r="AI234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{"issue":{"subject":"","project_id":79,"tracker_id":40,"status_id":1,"priority_id":2,"assigned_to_id":23,"start_date":"2017-05-13","description":"","custom_fields":[{"id":1,"name":"Subdivision","value":"Other"},{"id":4,"name":"Milepost","value":"0.0082"},{"id":17,"name":"Train ID","value":"54-13"},{"id":16,"name":"Locomotive ID","value":"4005"},{"id":130,"name":"Impact","value":""},{"id":150,"name":"Time of Event (Mountain Time)","value":"05:57:39"},{"id":151,"name":"Denver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07"/>
        <v>start /low /b %USERPROFILE%\Documents\GitHub\eaglep3\Utilities\DownloadLogsFromS3.py --loco 4005 --day 2017-05-13</v>
      </c>
      <c r="AN234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11:57:39"},{"id":29,"name":"Sharepoint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598</v>
      </c>
      <c r="B235" s="7">
        <v>4005</v>
      </c>
      <c r="C235" s="21" t="s">
        <v>206</v>
      </c>
      <c r="D235" s="21" t="s">
        <v>522</v>
      </c>
      <c r="E235" s="13">
        <v>42868.339548611111</v>
      </c>
      <c r="F235" s="13">
        <v>42868.340474537035</v>
      </c>
      <c r="G235" s="7">
        <v>0</v>
      </c>
      <c r="H235" s="21" t="s">
        <v>988</v>
      </c>
      <c r="I235" s="13">
        <v>42868.342881944445</v>
      </c>
      <c r="J235" s="7">
        <v>0</v>
      </c>
      <c r="K235" s="92" t="str">
        <f t="shared" si="95"/>
        <v>4005/4006</v>
      </c>
      <c r="L235" s="21" t="str">
        <f>VLOOKUP(A235,'Trips&amp;Operators'!$C$1:$G$99999,5,FALSE)</f>
        <v>BEAM ROSS</v>
      </c>
      <c r="M235" s="6">
        <f t="shared" si="96"/>
        <v>2.4074074099189602E-3</v>
      </c>
      <c r="N235" s="7">
        <f t="shared" si="111"/>
        <v>3.4666666702833027</v>
      </c>
      <c r="O235" s="7"/>
      <c r="P235" s="7"/>
      <c r="Q235" s="22"/>
      <c r="R235" s="190"/>
      <c r="S235" s="196">
        <f t="shared" si="112"/>
        <v>0</v>
      </c>
      <c r="T235" s="190" t="e">
        <f t="shared" si="97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98"/>
        <v>https://d0f6bd738d7f1b3e5a7ca70fe4ff75f0.us-east-1.aws.found.io/app/kibana#/discover/Steve-Slow-Train-Analysis-(2080s-and-2083s)?_g=(refreshInterval:(display:Off,pause:!f,section:0,value:0),time:(from:'2017-05-13T07:08:57-0600',mode:absolute,to:'2017-05-13T09:13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5" s="192" t="str">
        <f t="shared" si="99"/>
        <v>Y</v>
      </c>
      <c r="X235" s="192" t="e">
        <f t="shared" ref="X235:X266" si="113">VALUE(LEFT(AD235,4))-VALUE(LEFT(AD234,4))</f>
        <v>#VALUE!</v>
      </c>
      <c r="Y235" s="192">
        <f t="shared" si="110"/>
        <v>3.0966</v>
      </c>
      <c r="Z235" s="192">
        <f t="shared" si="109"/>
        <v>2.8765000000000001</v>
      </c>
      <c r="AA235" s="192">
        <f t="shared" si="100"/>
        <v>0.22009999999999996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01"/>
        <v>54-13</v>
      </c>
      <c r="AE235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35" s="77" t="str">
        <f t="shared" si="103"/>
        <v>"C:\Program Files (x86)\AstroGrep\AstroGrep.exe" /e /r /s /spath="%USERPROFILE%\AppData\Local\Temp\OnboardLogs" /stypes="app*4005*20170513*" /stext=" 14:.+((SYSTEM_STATE.+slice.+state.+changed )|(ment ac)|(multiple cpu faults)|(system.+state.+changed )|(\[timeout)|(PRM\|1\|D)|(kpr)|(kdp)|(train st.+moving)|(\|lc)|(penalty))"</v>
      </c>
      <c r="AG235" s="1" t="str">
        <f t="shared" si="104"/>
        <v>Other</v>
      </c>
      <c r="AH235" s="81" t="str">
        <f t="shared" si="105"/>
        <v>"%USERPROFILE%\Documents\GitHub\eaglep3\Utilities\RefineRTDCRunTimes.py" --tripid 54-13 --locoid 4005 --swversion DE.1.0.9.0 --startMP 300:30966 --initTime 2017-05-13T08:08:57 --startdatetime 2017-05-13T08:10:17 --delay 0 --endMP 300:28765 --enddatetime 2017-05-13T08:13:45 --enforcementcount 0 &gt;&gt;C:\Users\stu\Documents\GitHub\eaglep3-reporting\EC\2017-05-13-refined-times.txt</v>
      </c>
      <c r="AI235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{"issue":{"subject":"","project_id":79,"tracker_id":40,"status_id":1,"priority_id":2,"assigned_to_id":23,"start_date":"2017-05-13","description":"","custom_fields":[{"id":1,"name":"Subdivision","value":"Other"},{"id":4,"name":"Milepost","value":"2.8765"},{"id":17,"name":"Train ID","value":"54-13"},{"id":16,"name":"Locomotive ID","value":"4005"},{"id":130,"name":"Impact","value":""},{"id":150,"name":"Time of Event (Mountain Time)","value":"08:13:45"},{"id":151,"name":"Denver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07"/>
        <v>start /low /b %USERPROFILE%\Documents\GitHub\eaglep3\Utilities\DownloadLogsFromS3.py --loco 4005 --day 2017-05-13</v>
      </c>
      <c r="AN235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14:13:45"},{"id":29,"name":"Sharepoint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598</v>
      </c>
      <c r="B236" s="7">
        <v>4005</v>
      </c>
      <c r="C236" s="21" t="s">
        <v>206</v>
      </c>
      <c r="D236" s="21" t="s">
        <v>989</v>
      </c>
      <c r="E236" s="13">
        <v>42868.271817129629</v>
      </c>
      <c r="F236" s="13">
        <v>42868.295046296298</v>
      </c>
      <c r="G236" s="7">
        <v>1</v>
      </c>
      <c r="H236" s="21" t="s">
        <v>990</v>
      </c>
      <c r="I236" s="13">
        <v>42868.300636574073</v>
      </c>
      <c r="J236" s="7">
        <v>0</v>
      </c>
      <c r="K236" s="92" t="str">
        <f t="shared" si="95"/>
        <v>4005/4006</v>
      </c>
      <c r="L236" s="21" t="str">
        <f>VLOOKUP(A236,'Trips&amp;Operators'!$C$1:$G$99999,5,FALSE)</f>
        <v>BEAM ROSS</v>
      </c>
      <c r="M236" s="6">
        <f t="shared" si="96"/>
        <v>5.5902777748997323E-3</v>
      </c>
      <c r="N236" s="7">
        <f t="shared" si="111"/>
        <v>8.0499999958556145</v>
      </c>
      <c r="O236" s="7"/>
      <c r="P236" s="7"/>
      <c r="Q236" s="22"/>
      <c r="R236" s="190"/>
      <c r="S236" s="196">
        <f t="shared" si="112"/>
        <v>0</v>
      </c>
      <c r="T236" s="190" t="e">
        <f t="shared" si="97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98"/>
        <v>https://d0f6bd738d7f1b3e5a7ca70fe4ff75f0.us-east-1.aws.found.io/app/kibana#/discover/Steve-Slow-Train-Analysis-(2080s-and-2083s)?_g=(refreshInterval:(display:Off,pause:!f,section:0,value:0),time:(from:'2017-05-13T05:31:25-0600',mode:absolute,to:'2017-05-13T08:12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6" s="192" t="str">
        <f t="shared" si="99"/>
        <v>Y</v>
      </c>
      <c r="X236" s="192" t="e">
        <f t="shared" si="113"/>
        <v>#VALUE!</v>
      </c>
      <c r="Y236" s="192">
        <f t="shared" si="110"/>
        <v>3.0975999999999999</v>
      </c>
      <c r="Z236" s="192">
        <f t="shared" si="109"/>
        <v>3.1899999999999998E-2</v>
      </c>
      <c r="AA236" s="192">
        <f t="shared" si="100"/>
        <v>3.0657000000000001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01"/>
        <v>54-13</v>
      </c>
      <c r="AE236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36" s="77" t="str">
        <f t="shared" si="103"/>
        <v>"C:\Program Files (x86)\AstroGrep\AstroGrep.exe" /e /r /s /spath="%USERPROFILE%\AppData\Local\Temp\OnboardLogs" /stypes="app*4005*20170513*" /stext=" 13:.+((SYSTEM_STATE.+slice.+state.+changed )|(ment ac)|(multiple cpu faults)|(system.+state.+changed )|(\[timeout)|(PRM\|1\|D)|(kpr)|(kdp)|(train st.+moving)|(\|lc)|(penalty))"</v>
      </c>
      <c r="AG236" s="1" t="str">
        <f t="shared" si="104"/>
        <v>Other</v>
      </c>
      <c r="AH236" s="81" t="str">
        <f t="shared" si="105"/>
        <v>"%USERPROFILE%\Documents\GitHub\eaglep3\Utilities\RefineRTDCRunTimes.py" --tripid 54-13 --locoid 4005 --swversion DE.1.0.9.0 --startMP 300:30976 --initTime 2017-05-13T06:31:25 --startdatetime 2017-05-13T07:04:52 --delay 1 --endMP 204:319 --enddatetime 2017-05-13T07:12:55 --enforcementcount 0 &gt;&gt;C:\Users\stu\Documents\GitHub\eaglep3-reporting\EC\2017-05-13-refined-times.txt</v>
      </c>
      <c r="AI236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{"issue":{"subject":"","project_id":79,"tracker_id":40,"status_id":1,"priority_id":2,"assigned_to_id":23,"start_date":"2017-05-13","description":"","custom_fields":[{"id":1,"name":"Subdivision","value":"Other"},{"id":4,"name":"Milepost","value":"0.0319"},{"id":17,"name":"Train ID","value":"54-13"},{"id":16,"name":"Locomotive ID","value":"4005"},{"id":130,"name":"Impact","value":""},{"id":150,"name":"Time of Event (Mountain Time)","value":"07:12:55"},{"id":151,"name":"Denver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07"/>
        <v>start /low /b %USERPROFILE%\Documents\GitHub\eaglep3\Utilities\DownloadLogsFromS3.py --loco 4005 --day 2017-05-13</v>
      </c>
      <c r="AN236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13:12:55"},{"id":29,"name":"Sharepoint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598</v>
      </c>
      <c r="B237" s="7">
        <v>4005</v>
      </c>
      <c r="C237" s="21" t="s">
        <v>206</v>
      </c>
      <c r="D237" s="21" t="s">
        <v>991</v>
      </c>
      <c r="E237" s="13">
        <v>42868.150057870371</v>
      </c>
      <c r="F237" s="13">
        <v>42868.166689814818</v>
      </c>
      <c r="G237" s="7">
        <v>0</v>
      </c>
      <c r="H237" s="21" t="s">
        <v>992</v>
      </c>
      <c r="I237" s="13">
        <v>42868.173344907409</v>
      </c>
      <c r="J237" s="7">
        <v>0</v>
      </c>
      <c r="K237" s="92" t="str">
        <f t="shared" si="95"/>
        <v>4005/4006</v>
      </c>
      <c r="L237" s="21" t="str">
        <f>VLOOKUP(A237,'Trips&amp;Operators'!$C$1:$G$99999,5,FALSE)</f>
        <v>BEAM ROSS</v>
      </c>
      <c r="M237" s="6">
        <f t="shared" si="96"/>
        <v>6.655092591245193E-3</v>
      </c>
      <c r="N237" s="7">
        <f t="shared" si="111"/>
        <v>9.583333331393078</v>
      </c>
      <c r="O237" s="7"/>
      <c r="P237" s="7"/>
      <c r="Q237" s="22"/>
      <c r="R237" s="190"/>
      <c r="S237" s="196">
        <f t="shared" si="112"/>
        <v>0</v>
      </c>
      <c r="T237" s="190" t="e">
        <f t="shared" si="97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98"/>
        <v>https://d0f6bd738d7f1b3e5a7ca70fe4ff75f0.us-east-1.aws.found.io/app/kibana#/discover/Steve-Slow-Train-Analysis-(2080s-and-2083s)?_g=(refreshInterval:(display:Off,pause:!f,section:0,value:0),time:(from:'2017-05-13T02:36:05-0600',mode:absolute,to:'2017-05-13T05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7" s="192" t="str">
        <f t="shared" si="99"/>
        <v>Y</v>
      </c>
      <c r="X237" s="192" t="e">
        <f t="shared" si="113"/>
        <v>#VALUE!</v>
      </c>
      <c r="Y237" s="192">
        <f t="shared" si="110"/>
        <v>3.0981000000000001</v>
      </c>
      <c r="Z237" s="192">
        <f t="shared" si="109"/>
        <v>2.8299999999999999E-2</v>
      </c>
      <c r="AA237" s="192">
        <f t="shared" si="100"/>
        <v>3.0697999999999999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01"/>
        <v>54-13</v>
      </c>
      <c r="AE237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37" s="77" t="str">
        <f t="shared" si="103"/>
        <v>"C:\Program Files (x86)\AstroGrep\AstroGrep.exe" /e /r /s /spath="%USERPROFILE%\AppData\Local\Temp\OnboardLogs" /stypes="app*4005*20170513*" /stext=" 10:.+((SYSTEM_STATE.+slice.+state.+changed )|(ment ac)|(multiple cpu faults)|(system.+state.+changed )|(\[timeout)|(PRM\|1\|D)|(kpr)|(kdp)|(train st.+moving)|(\|lc)|(penalty))"</v>
      </c>
      <c r="AG237" s="1" t="str">
        <f t="shared" si="104"/>
        <v>Other</v>
      </c>
      <c r="AH237" s="81" t="str">
        <f t="shared" si="105"/>
        <v>"%USERPROFILE%\Documents\GitHub\eaglep3\Utilities\RefineRTDCRunTimes.py" --tripid 54-13 --locoid 4005 --swversion DE.1.0.9.0 --startMP 300:30981 --initTime 2017-05-13T03:36:05 --startdatetime 2017-05-13T04:00:02 --delay 0 --endMP 204:283 --enddatetime 2017-05-13T04:09:37 --enforcementcount 0 &gt;&gt;C:\Users\stu\Documents\GitHub\eaglep3-reporting\EC\2017-05-13-refined-times.txt</v>
      </c>
      <c r="AI237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{"issue":{"subject":"","project_id":79,"tracker_id":40,"status_id":1,"priority_id":2,"assigned_to_id":23,"start_date":"2017-05-13","description":"","custom_fields":[{"id":1,"name":"Subdivision","value":"Other"},{"id":4,"name":"Milepost","value":"0.0283"},{"id":17,"name":"Train ID","value":"54-13"},{"id":16,"name":"Locomotive ID","value":"4005"},{"id":130,"name":"Impact","value":""},{"id":150,"name":"Time of Event (Mountain Time)","value":"04:09:37"},{"id":151,"name":"Denver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07"/>
        <v>start /low /b %USERPROFILE%\Documents\GitHub\eaglep3\Utilities\DownloadLogsFromS3.py --loco 4005 --day 2017-05-13</v>
      </c>
      <c r="AN237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598</v>
      </c>
      <c r="B238" s="7">
        <v>4005</v>
      </c>
      <c r="C238" s="21" t="s">
        <v>206</v>
      </c>
      <c r="D238" s="21" t="s">
        <v>993</v>
      </c>
      <c r="E238" s="13">
        <v>42868.165752314817</v>
      </c>
      <c r="F238" s="13">
        <v>42868.183912037035</v>
      </c>
      <c r="G238" s="7">
        <v>0</v>
      </c>
      <c r="H238" s="21" t="s">
        <v>994</v>
      </c>
      <c r="I238" s="13">
        <v>42868.189976851849</v>
      </c>
      <c r="J238" s="7">
        <v>0</v>
      </c>
      <c r="K238" s="92" t="str">
        <f t="shared" si="95"/>
        <v>4005/4006</v>
      </c>
      <c r="L238" s="21" t="str">
        <f>VLOOKUP(A238,'Trips&amp;Operators'!$C$1:$G$99999,5,FALSE)</f>
        <v>BEAM ROSS</v>
      </c>
      <c r="M238" s="6">
        <f t="shared" si="96"/>
        <v>6.064814813726116E-3</v>
      </c>
      <c r="N238" s="7">
        <f t="shared" si="111"/>
        <v>8.733333331765607</v>
      </c>
      <c r="O238" s="7"/>
      <c r="P238" s="7"/>
      <c r="Q238" s="22"/>
      <c r="R238" s="190"/>
      <c r="S238" s="196">
        <f t="shared" si="112"/>
        <v>0</v>
      </c>
      <c r="T238" s="190" t="e">
        <f t="shared" si="97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98"/>
        <v>https://d0f6bd738d7f1b3e5a7ca70fe4ff75f0.us-east-1.aws.found.io/app/kibana#/discover/Steve-Slow-Train-Analysis-(2080s-and-2083s)?_g=(refreshInterval:(display:Off,pause:!f,section:0,value:0),time:(from:'2017-05-13T02:58:41-0600',mode:absolute,to:'2017-05-13T05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8" s="192" t="str">
        <f t="shared" si="99"/>
        <v>Y</v>
      </c>
      <c r="X238" s="192" t="e">
        <f t="shared" si="113"/>
        <v>#VALUE!</v>
      </c>
      <c r="Y238" s="192">
        <f t="shared" si="110"/>
        <v>3.0996000000000001</v>
      </c>
      <c r="Z238" s="192">
        <f t="shared" si="109"/>
        <v>5.7599999999999998E-2</v>
      </c>
      <c r="AA238" s="192">
        <f t="shared" si="100"/>
        <v>3.0420000000000003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01"/>
        <v>54-13</v>
      </c>
      <c r="AE238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38" s="77" t="str">
        <f t="shared" si="103"/>
        <v>"C:\Program Files (x86)\AstroGrep\AstroGrep.exe" /e /r /s /spath="%USERPROFILE%\AppData\Local\Temp\OnboardLogs" /stypes="app*4005*20170513*" /stext=" 10:.+((SYSTEM_STATE.+slice.+state.+changed )|(ment ac)|(multiple cpu faults)|(system.+state.+changed )|(\[timeout)|(PRM\|1\|D)|(kpr)|(kdp)|(train st.+moving)|(\|lc)|(penalty))"</v>
      </c>
      <c r="AG238" s="1" t="str">
        <f t="shared" si="104"/>
        <v>Other</v>
      </c>
      <c r="AH238" s="81" t="str">
        <f t="shared" si="105"/>
        <v>"%USERPROFILE%\Documents\GitHub\eaglep3\Utilities\RefineRTDCRunTimes.py" --tripid 54-13 --locoid 4005 --swversion DE.1.0.9.0 --startMP 300:30996 --initTime 2017-05-13T03:58:41 --startdatetime 2017-05-13T04:24:50 --delay 0 --endMP 204:576 --enddatetime 2017-05-13T04:33:34 --enforcementcount 0 &gt;&gt;C:\Users\stu\Documents\GitHub\eaglep3-reporting\EC\2017-05-13-refined-times.txt</v>
      </c>
      <c r="AI238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{"issue":{"subject":"","project_id":79,"tracker_id":40,"status_id":1,"priority_id":2,"assigned_to_id":23,"start_date":"2017-05-13","description":"","custom_fields":[{"id":1,"name":"Subdivision","value":"Other"},{"id":4,"name":"Milepost","value":"0.0576"},{"id":17,"name":"Train ID","value":"54-13"},{"id":16,"name":"Locomotive ID","value":"4005"},{"id":130,"name":"Impact","value":""},{"id":150,"name":"Time of Event (Mountain Time)","value":"04:33:34"},{"id":151,"name":"Denver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07"/>
        <v>start /low /b %USERPROFILE%\Documents\GitHub\eaglep3\Utilities\DownloadLogsFromS3.py --loco 4005 --day 2017-05-13</v>
      </c>
      <c r="AN238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598</v>
      </c>
      <c r="B239" s="7">
        <v>4005</v>
      </c>
      <c r="C239" s="21" t="s">
        <v>206</v>
      </c>
      <c r="D239" s="21" t="s">
        <v>995</v>
      </c>
      <c r="E239" s="13">
        <v>42868.236747685187</v>
      </c>
      <c r="F239" s="13">
        <v>42868.258240740739</v>
      </c>
      <c r="G239" s="7">
        <v>0</v>
      </c>
      <c r="H239" s="21" t="s">
        <v>996</v>
      </c>
      <c r="I239" s="13">
        <v>42868.263599537036</v>
      </c>
      <c r="J239" s="7">
        <v>0</v>
      </c>
      <c r="K239" s="92" t="str">
        <f t="shared" si="95"/>
        <v>4005/4006</v>
      </c>
      <c r="L239" s="21" t="str">
        <f>VLOOKUP(A239,'Trips&amp;Operators'!$C$1:$G$99999,5,FALSE)</f>
        <v>BEAM ROSS</v>
      </c>
      <c r="M239" s="6">
        <f t="shared" si="96"/>
        <v>5.3587962975143455E-3</v>
      </c>
      <c r="N239" s="7">
        <f t="shared" si="111"/>
        <v>7.7166666684206575</v>
      </c>
      <c r="O239" s="7"/>
      <c r="P239" s="7"/>
      <c r="Q239" s="22"/>
      <c r="R239" s="190"/>
      <c r="S239" s="196">
        <f t="shared" si="112"/>
        <v>0</v>
      </c>
      <c r="T239" s="190" t="e">
        <f t="shared" si="97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98"/>
        <v>https://d0f6bd738d7f1b3e5a7ca70fe4ff75f0.us-east-1.aws.found.io/app/kibana#/discover/Steve-Slow-Train-Analysis-(2080s-and-2083s)?_g=(refreshInterval:(display:Off,pause:!f,section:0,value:0),time:(from:'2017-05-13T04:40:55-0600',mode:absolute,to:'2017-05-13T07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9" s="192" t="str">
        <f t="shared" si="99"/>
        <v>Y</v>
      </c>
      <c r="X239" s="192" t="e">
        <f t="shared" si="113"/>
        <v>#VALUE!</v>
      </c>
      <c r="Y239" s="192">
        <f t="shared" si="110"/>
        <v>3.1</v>
      </c>
      <c r="Z239" s="192">
        <f t="shared" si="109"/>
        <v>6.6299999999999998E-2</v>
      </c>
      <c r="AA239" s="192">
        <f t="shared" si="100"/>
        <v>3.0337000000000001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01"/>
        <v>54-13</v>
      </c>
      <c r="AE239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39" s="77" t="str">
        <f t="shared" si="103"/>
        <v>"C:\Program Files (x86)\AstroGrep\AstroGrep.exe" /e /r /s /spath="%USERPROFILE%\AppData\Local\Temp\OnboardLogs" /stypes="app*4005*20170513*" /stext=" 12:.+((SYSTEM_STATE.+slice.+state.+changed )|(ment ac)|(multiple cpu faults)|(system.+state.+changed )|(\[timeout)|(PRM\|1\|D)|(kpr)|(kdp)|(train st.+moving)|(\|lc)|(penalty))"</v>
      </c>
      <c r="AG239" s="1" t="str">
        <f t="shared" si="104"/>
        <v>Other</v>
      </c>
      <c r="AH239" s="81" t="str">
        <f t="shared" si="105"/>
        <v>"%USERPROFILE%\Documents\GitHub\eaglep3\Utilities\RefineRTDCRunTimes.py" --tripid 54-13 --locoid 4005 --swversion DE.1.0.9.0 --startMP 300:31000 --initTime 2017-05-13T05:40:55 --startdatetime 2017-05-13T06:11:52 --delay 0 --endMP 204:663 --enddatetime 2017-05-13T06:19:35 --enforcementcount 0 &gt;&gt;C:\Users\stu\Documents\GitHub\eaglep3-reporting\EC\2017-05-13-refined-times.txt</v>
      </c>
      <c r="AI239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{"issue":{"subject":"","project_id":79,"tracker_id":40,"status_id":1,"priority_id":2,"assigned_to_id":23,"start_date":"2017-05-13","description":"","custom_fields":[{"id":1,"name":"Subdivision","value":"Other"},{"id":4,"name":"Milepost","value":"0.0663"},{"id":17,"name":"Train ID","value":"54-13"},{"id":16,"name":"Locomotive ID","value":"4005"},{"id":130,"name":"Impact","value":""},{"id":150,"name":"Time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07"/>
        <v>start /low /b %USERPROFILE%\Documents\GitHub\eaglep3\Utilities\DownloadLogsFromS3.py --loco 4005 --day 2017-05-13</v>
      </c>
      <c r="AN239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598</v>
      </c>
      <c r="B240" s="7">
        <v>4005</v>
      </c>
      <c r="C240" s="21" t="s">
        <v>206</v>
      </c>
      <c r="D240" s="21" t="s">
        <v>997</v>
      </c>
      <c r="E240" s="13">
        <v>42868.25677083333</v>
      </c>
      <c r="F240" s="13">
        <v>42868.272858796299</v>
      </c>
      <c r="G240" s="7">
        <v>0</v>
      </c>
      <c r="H240" s="21" t="s">
        <v>998</v>
      </c>
      <c r="I240" s="13">
        <v>42868.278240740743</v>
      </c>
      <c r="J240" s="7">
        <v>0</v>
      </c>
      <c r="K240" s="92" t="str">
        <f t="shared" si="95"/>
        <v>4005/4006</v>
      </c>
      <c r="L240" s="21" t="str">
        <f>VLOOKUP(A240,'Trips&amp;Operators'!$C$1:$G$99999,5,FALSE)</f>
        <v>BEAM ROSS</v>
      </c>
      <c r="M240" s="6">
        <f t="shared" si="96"/>
        <v>5.3819444437976927E-3</v>
      </c>
      <c r="N240" s="7">
        <f t="shared" si="111"/>
        <v>7.7499999990686774</v>
      </c>
      <c r="O240" s="7"/>
      <c r="P240" s="7"/>
      <c r="Q240" s="22"/>
      <c r="R240" s="190"/>
      <c r="S240" s="196">
        <f t="shared" si="112"/>
        <v>0</v>
      </c>
      <c r="T240" s="190" t="e">
        <f t="shared" si="97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98"/>
        <v>https://d0f6bd738d7f1b3e5a7ca70fe4ff75f0.us-east-1.aws.found.io/app/kibana#/discover/Steve-Slow-Train-Analysis-(2080s-and-2083s)?_g=(refreshInterval:(display:Off,pause:!f,section:0,value:0),time:(from:'2017-05-13T05:09:45-0600',mode:absolute,to:'2017-05-13T07:40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0" s="192" t="str">
        <f t="shared" si="99"/>
        <v>Y</v>
      </c>
      <c r="X240" s="192" t="e">
        <f t="shared" si="113"/>
        <v>#VALUE!</v>
      </c>
      <c r="Y240" s="192">
        <f t="shared" si="110"/>
        <v>3.1006</v>
      </c>
      <c r="Z240" s="192">
        <f t="shared" ref="Z240:Z276" si="114">RIGHT(H240,LEN(H240)-4)/10000</f>
        <v>3.2800000000000003E-2</v>
      </c>
      <c r="AA240" s="192">
        <f t="shared" si="100"/>
        <v>3.0678000000000001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01"/>
        <v>54-13</v>
      </c>
      <c r="AE240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40" s="77" t="str">
        <f t="shared" si="103"/>
        <v>"C:\Program Files (x86)\AstroGrep\AstroGrep.exe" /e /r /s /spath="%USERPROFILE%\AppData\Local\Temp\OnboardLogs" /stypes="app*4005*20170513*" /stext=" 12:.+((SYSTEM_STATE.+slice.+state.+changed )|(ment ac)|(multiple cpu faults)|(system.+state.+changed )|(\[timeout)|(PRM\|1\|D)|(kpr)|(kdp)|(train st.+moving)|(\|lc)|(penalty))"</v>
      </c>
      <c r="AG240" s="1" t="str">
        <f t="shared" si="104"/>
        <v>Other</v>
      </c>
      <c r="AH240" s="81" t="str">
        <f t="shared" si="105"/>
        <v>"%USERPROFILE%\Documents\GitHub\eaglep3\Utilities\RefineRTDCRunTimes.py" --tripid 54-13 --locoid 4005 --swversion DE.1.0.9.0 --startMP 300:31006 --initTime 2017-05-13T06:09:45 --startdatetime 2017-05-13T06:32:55 --delay 0 --endMP 204:328 --enddatetime 2017-05-13T06:40:40 --enforcementcount 0 &gt;&gt;C:\Users\stu\Documents\GitHub\eaglep3-reporting\EC\2017-05-13-refined-times.txt</v>
      </c>
      <c r="AI240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{"issue":{"subject":"","project_id":79,"tracker_id":40,"status_id":1,"priority_id":2,"assigned_to_id":23,"start_date":"2017-05-13","description":"","custom_fields":[{"id":1,"name":"Subdivision","value":"Other"},{"id":4,"name":"Milepost","value":"0.0328"},{"id":17,"name":"Train ID","value":"54-13"},{"id":16,"name":"Locomotive ID","value":"4005"},{"id":130,"name":"Impact","value":""},{"id":150,"name":"Time of Event (Mountain Time)","value":"06:40:40"},{"id":151,"name":"Denver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07"/>
        <v>start /low /b %USERPROFILE%\Documents\GitHub\eaglep3\Utilities\DownloadLogsFromS3.py --loco 4005 --day 2017-05-13</v>
      </c>
      <c r="AN240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12:40:40"},{"id":29,"name":"Sharepoint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598</v>
      </c>
      <c r="B241" s="7">
        <v>4005</v>
      </c>
      <c r="C241" s="21" t="s">
        <v>206</v>
      </c>
      <c r="D241" s="21" t="s">
        <v>997</v>
      </c>
      <c r="E241" s="13">
        <v>42868.311261574076</v>
      </c>
      <c r="F241" s="13">
        <v>42868.326377314814</v>
      </c>
      <c r="G241" s="7">
        <v>0</v>
      </c>
      <c r="H241" s="21" t="s">
        <v>999</v>
      </c>
      <c r="I241" s="13">
        <v>42868.332083333335</v>
      </c>
      <c r="J241" s="7">
        <v>0</v>
      </c>
      <c r="K241" s="92" t="str">
        <f t="shared" si="95"/>
        <v>4005/4006</v>
      </c>
      <c r="L241" s="21" t="str">
        <f>VLOOKUP(A241,'Trips&amp;Operators'!$C$1:$G$99999,5,FALSE)</f>
        <v>BEAM ROSS</v>
      </c>
      <c r="M241" s="6">
        <f t="shared" si="96"/>
        <v>5.7060185208683833E-3</v>
      </c>
      <c r="N241" s="7">
        <f t="shared" si="111"/>
        <v>8.216666670050472</v>
      </c>
      <c r="O241" s="7"/>
      <c r="P241" s="7"/>
      <c r="Q241" s="22"/>
      <c r="R241" s="190"/>
      <c r="S241" s="196">
        <f t="shared" si="112"/>
        <v>0</v>
      </c>
      <c r="T241" s="190" t="e">
        <f t="shared" si="97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98"/>
        <v>https://d0f6bd738d7f1b3e5a7ca70fe4ff75f0.us-east-1.aws.found.io/app/kibana#/discover/Steve-Slow-Train-Analysis-(2080s-and-2083s)?_g=(refreshInterval:(display:Off,pause:!f,section:0,value:0),time:(from:'2017-05-13T06:28:13-0600',mode:absolute,to:'2017-05-13T08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1" s="192" t="str">
        <f t="shared" si="99"/>
        <v>Y</v>
      </c>
      <c r="X241" s="192" t="e">
        <f t="shared" si="113"/>
        <v>#VALUE!</v>
      </c>
      <c r="Y241" s="192">
        <f t="shared" ref="Y241:Y276" si="115">RIGHT(D241,LEN(D241)-4)/10000</f>
        <v>3.1006</v>
      </c>
      <c r="Z241" s="192">
        <f t="shared" si="114"/>
        <v>1.67E-2</v>
      </c>
      <c r="AA241" s="192">
        <f t="shared" si="100"/>
        <v>3.0838999999999999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01"/>
        <v>54-13</v>
      </c>
      <c r="AE241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41" s="77" t="str">
        <f t="shared" si="103"/>
        <v>"C:\Program Files (x86)\AstroGrep\AstroGrep.exe" /e /r /s /spath="%USERPROFILE%\AppData\Local\Temp\OnboardLogs" /stypes="app*4005*20170513*" /stext=" 13:.+((SYSTEM_STATE.+slice.+state.+changed )|(ment ac)|(multiple cpu faults)|(system.+state.+changed )|(\[timeout)|(PRM\|1\|D)|(kpr)|(kdp)|(train st.+moving)|(\|lc)|(penalty))"</v>
      </c>
      <c r="AG241" s="1" t="str">
        <f t="shared" si="104"/>
        <v>Other</v>
      </c>
      <c r="AH241" s="81" t="str">
        <f t="shared" si="105"/>
        <v>"%USERPROFILE%\Documents\GitHub\eaglep3\Utilities\RefineRTDCRunTimes.py" --tripid 54-13 --locoid 4005 --swversion DE.1.0.9.0 --startMP 300:31006 --initTime 2017-05-13T07:28:13 --startdatetime 2017-05-13T07:49:59 --delay 0 --endMP 204:167 --enddatetime 2017-05-13T07:58:12 --enforcementcount 0 &gt;&gt;C:\Users\stu\Documents\GitHub\eaglep3-reporting\EC\2017-05-13-refined-times.txt</v>
      </c>
      <c r="AI241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{"issue":{"subject":"","project_id":79,"tracker_id":40,"status_id":1,"priority_id":2,"assigned_to_id":23,"start_date":"2017-05-13","description":"","custom_fields":[{"id":1,"name":"Subdivision","value":"Other"},{"id":4,"name":"Milepost","value":"0.0167"},{"id":17,"name":"Train ID","value":"54-13"},{"id":16,"name":"Locomotive ID","value":"4005"},{"id":130,"name":"Impact","value":""},{"id":150,"name":"Time of Event (Mountain Time)","value":"07:58:12"},{"id":151,"name":"Denver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07"/>
        <v>start /low /b %USERPROFILE%\Documents\GitHub\eaglep3\Utilities\DownloadLogsFromS3.py --loco 4005 --day 2017-05-13</v>
      </c>
      <c r="AN241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598</v>
      </c>
      <c r="B242" s="7">
        <v>4005</v>
      </c>
      <c r="C242" s="21" t="s">
        <v>206</v>
      </c>
      <c r="D242" s="21" t="s">
        <v>1000</v>
      </c>
      <c r="E242" s="13">
        <v>42868.294108796297</v>
      </c>
      <c r="F242" s="13">
        <v>42868.312175925923</v>
      </c>
      <c r="G242" s="7">
        <v>0</v>
      </c>
      <c r="H242" s="21" t="s">
        <v>524</v>
      </c>
      <c r="I242" s="13">
        <v>42868.317881944444</v>
      </c>
      <c r="J242" s="7">
        <v>0</v>
      </c>
      <c r="K242" s="92" t="str">
        <f t="shared" si="95"/>
        <v>4005/4006</v>
      </c>
      <c r="L242" s="21" t="str">
        <f>VLOOKUP(A242,'Trips&amp;Operators'!$C$1:$G$99999,5,FALSE)</f>
        <v>BEAM ROSS</v>
      </c>
      <c r="M242" s="6">
        <f t="shared" si="96"/>
        <v>5.7060185208683833E-3</v>
      </c>
      <c r="N242" s="7">
        <f t="shared" si="111"/>
        <v>8.216666670050472</v>
      </c>
      <c r="O242" s="7"/>
      <c r="P242" s="7"/>
      <c r="Q242" s="22"/>
      <c r="R242" s="190"/>
      <c r="S242" s="196">
        <f t="shared" si="112"/>
        <v>0</v>
      </c>
      <c r="T242" s="190" t="e">
        <f t="shared" si="97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98"/>
        <v>https://d0f6bd738d7f1b3e5a7ca70fe4ff75f0.us-east-1.aws.found.io/app/kibana#/discover/Steve-Slow-Train-Analysis-(2080s-and-2083s)?_g=(refreshInterval:(display:Off,pause:!f,section:0,value:0),time:(from:'2017-05-13T06:03:31-0600',mode:absolute,to:'2017-05-13T08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2" s="192" t="str">
        <f t="shared" si="99"/>
        <v>Y</v>
      </c>
      <c r="X242" s="192" t="e">
        <f t="shared" si="113"/>
        <v>#VALUE!</v>
      </c>
      <c r="Y242" s="192">
        <f t="shared" si="115"/>
        <v>3.1046</v>
      </c>
      <c r="Z242" s="192">
        <f t="shared" si="114"/>
        <v>1.46E-2</v>
      </c>
      <c r="AA242" s="192">
        <f t="shared" si="100"/>
        <v>3.09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101"/>
        <v>54-13</v>
      </c>
      <c r="AE242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42" s="77" t="str">
        <f t="shared" si="103"/>
        <v>"C:\Program Files (x86)\AstroGrep\AstroGrep.exe" /e /r /s /spath="%USERPROFILE%\AppData\Local\Temp\OnboardLogs" /stypes="app*4005*20170513*" /stext=" 13:.+((SYSTEM_STATE.+slice.+state.+changed )|(ment ac)|(multiple cpu faults)|(system.+state.+changed )|(\[timeout)|(PRM\|1\|D)|(kpr)|(kdp)|(train st.+moving)|(\|lc)|(penalty))"</v>
      </c>
      <c r="AG242" s="1" t="str">
        <f t="shared" si="104"/>
        <v>Other</v>
      </c>
      <c r="AH242" s="81" t="str">
        <f t="shared" si="105"/>
        <v>"%USERPROFILE%\Documents\GitHub\eaglep3\Utilities\RefineRTDCRunTimes.py" --tripid 54-13 --locoid 4005 --swversion DE.1.0.9.0 --startMP 300:31046 --initTime 2017-05-13T07:03:31 --startdatetime 2017-05-13T07:29:32 --delay 0 --endMP 204:146 --enddatetime 2017-05-13T07:37:45 --enforcementcount 0 &gt;&gt;C:\Users\stu\Documents\GitHub\eaglep3-reporting\EC\2017-05-13-refined-times.txt</v>
      </c>
      <c r="AI242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{"issue":{"subject":"","project_id":79,"tracker_id":40,"status_id":1,"priority_id":2,"assigned_to_id":23,"start_date":"2017-05-13","description":"","custom_fields":[{"id":1,"name":"Subdivision","value":"Other"},{"id":4,"name":"Milepost","value":"0.0146"},{"id":17,"name":"Train ID","value":"54-13"},{"id":16,"name":"Locomotive ID","value":"4005"},{"id":130,"name":"Impact","value":""},{"id":150,"name":"Time of Event (Mountain Time)","value":"07:37:45"},{"id":151,"name":"Denver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07"/>
        <v>start /low /b %USERPROFILE%\Documents\GitHub\eaglep3\Utilities\DownloadLogsFromS3.py --loco 4005 --day 2017-05-13</v>
      </c>
      <c r="AN242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13:37:45"},{"id":29,"name":"Sharepoint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598</v>
      </c>
      <c r="B243" s="7">
        <v>4005</v>
      </c>
      <c r="C243" s="21" t="s">
        <v>206</v>
      </c>
      <c r="D243" s="21" t="s">
        <v>1001</v>
      </c>
      <c r="E243" s="13">
        <v>42868.325474537036</v>
      </c>
      <c r="F243" s="13">
        <v>42868.340474537035</v>
      </c>
      <c r="G243" s="7">
        <v>0</v>
      </c>
      <c r="H243" s="21" t="s">
        <v>469</v>
      </c>
      <c r="I243" s="13">
        <v>42868.342881944445</v>
      </c>
      <c r="J243" s="7">
        <v>0</v>
      </c>
      <c r="K243" s="92" t="str">
        <f t="shared" si="95"/>
        <v>4005/4006</v>
      </c>
      <c r="L243" s="21" t="str">
        <f>VLOOKUP(A243,'Trips&amp;Operators'!$C$1:$G$99999,5,FALSE)</f>
        <v>BEAM ROSS</v>
      </c>
      <c r="M243" s="6">
        <f t="shared" si="96"/>
        <v>2.4074074099189602E-3</v>
      </c>
      <c r="N243" s="7">
        <f t="shared" si="111"/>
        <v>3.4666666702833027</v>
      </c>
      <c r="O243" s="7"/>
      <c r="P243" s="7"/>
      <c r="Q243" s="22"/>
      <c r="R243" s="190"/>
      <c r="S243" s="196">
        <f t="shared" si="112"/>
        <v>0</v>
      </c>
      <c r="T243" s="190" t="e">
        <f t="shared" si="97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98"/>
        <v>https://d0f6bd738d7f1b3e5a7ca70fe4ff75f0.us-east-1.aws.found.io/app/kibana#/discover/Steve-Slow-Train-Analysis-(2080s-and-2083s)?_g=(refreshInterval:(display:Off,pause:!f,section:0,value:0),time:(from:'2017-05-13T06:48:41-0600',mode:absolute,to:'2017-05-13T09:13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3" s="192" t="str">
        <f t="shared" si="99"/>
        <v>Y</v>
      </c>
      <c r="X243" s="192" t="e">
        <f t="shared" si="113"/>
        <v>#VALUE!</v>
      </c>
      <c r="Y243" s="192">
        <f t="shared" si="115"/>
        <v>3.1072000000000002</v>
      </c>
      <c r="Z243" s="192">
        <f t="shared" si="114"/>
        <v>4.24E-2</v>
      </c>
      <c r="AA243" s="192">
        <f t="shared" si="100"/>
        <v>3.0648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101"/>
        <v>54-13</v>
      </c>
      <c r="AE243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43" s="77" t="str">
        <f t="shared" si="103"/>
        <v>"C:\Program Files (x86)\AstroGrep\AstroGrep.exe" /e /r /s /spath="%USERPROFILE%\AppData\Local\Temp\OnboardLogs" /stypes="app*4005*20170513*" /stext=" 14:.+((SYSTEM_STATE.+slice.+state.+changed )|(ment ac)|(multiple cpu faults)|(system.+state.+changed )|(\[timeout)|(PRM\|1\|D)|(kpr)|(kdp)|(train st.+moving)|(\|lc)|(penalty))"</v>
      </c>
      <c r="AG243" s="1" t="str">
        <f t="shared" si="104"/>
        <v>Other</v>
      </c>
      <c r="AH243" s="81" t="str">
        <f t="shared" si="105"/>
        <v>"%USERPROFILE%\Documents\GitHub\eaglep3\Utilities\RefineRTDCRunTimes.py" --tripid 54-13 --locoid 4005 --swversion DE.1.0.9.0 --startMP 300:31072 --initTime 2017-05-13T07:48:41 --startdatetime 2017-05-13T08:10:17 --delay 0 --endMP 204:424 --enddatetime 2017-05-13T08:13:45 --enforcementcount 0 &gt;&gt;C:\Users\stu\Documents\GitHub\eaglep3-reporting\EC\2017-05-13-refined-times.txt</v>
      </c>
      <c r="AI243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{"issue":{"subject":"","project_id":79,"tracker_id":40,"status_id":1,"priority_id":2,"assigned_to_id":23,"start_date":"2017-05-13","description":"","custom_fields":[{"id":1,"name":"Subdivision","value":"Other"},{"id":4,"name":"Milepost","value":"0.0424"},{"id":17,"name":"Train ID","value":"54-13"},{"id":16,"name":"Locomotive ID","value":"4005"},{"id":130,"name":"Impact","value":""},{"id":150,"name":"Time of Event (Mountain Time)","value":"08:13:45"},{"id":151,"name":"Denver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07"/>
        <v>start /low /b %USERPROFILE%\Documents\GitHub\eaglep3\Utilities\DownloadLogsFromS3.py --loco 4005 --day 2017-05-13</v>
      </c>
      <c r="AN243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14:13:45"},{"id":29,"name":"Sharepoint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598</v>
      </c>
      <c r="B244" s="7">
        <v>4005</v>
      </c>
      <c r="C244" s="21" t="s">
        <v>206</v>
      </c>
      <c r="D244" s="21" t="s">
        <v>1002</v>
      </c>
      <c r="E244" s="13">
        <v>42868.198379629626</v>
      </c>
      <c r="F244" s="13">
        <v>42868.215011574073</v>
      </c>
      <c r="G244" s="7">
        <v>0</v>
      </c>
      <c r="H244" s="21" t="s">
        <v>1003</v>
      </c>
      <c r="I244" s="13">
        <v>42868.222337962965</v>
      </c>
      <c r="J244" s="7">
        <v>0</v>
      </c>
      <c r="K244" s="92" t="str">
        <f t="shared" si="95"/>
        <v>4005/4006</v>
      </c>
      <c r="L244" s="21" t="str">
        <f>VLOOKUP(A244,'Trips&amp;Operators'!$C$1:$G$99999,5,FALSE)</f>
        <v>BEAM ROSS</v>
      </c>
      <c r="M244" s="6">
        <f t="shared" si="96"/>
        <v>7.3263888916699216E-3</v>
      </c>
      <c r="N244" s="7">
        <f t="shared" si="111"/>
        <v>10.550000004004687</v>
      </c>
      <c r="O244" s="7"/>
      <c r="P244" s="7"/>
      <c r="Q244" s="22"/>
      <c r="R244" s="190"/>
      <c r="S244" s="196">
        <f t="shared" si="112"/>
        <v>0</v>
      </c>
      <c r="T244" s="190" t="e">
        <f t="shared" si="97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98"/>
        <v>https://d0f6bd738d7f1b3e5a7ca70fe4ff75f0.us-east-1.aws.found.io/app/kibana#/discover/Steve-Slow-Train-Analysis-(2080s-and-2083s)?_g=(refreshInterval:(display:Off,pause:!f,section:0,value:0),time:(from:'2017-05-13T03:45:40-0600',mode:absolute,to:'2017-05-13T06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4" s="192" t="str">
        <f t="shared" si="99"/>
        <v>Y</v>
      </c>
      <c r="X244" s="192" t="e">
        <f t="shared" si="113"/>
        <v>#VALUE!</v>
      </c>
      <c r="Y244" s="192">
        <f t="shared" si="115"/>
        <v>3.1086999999999998</v>
      </c>
      <c r="Z244" s="192">
        <f t="shared" si="114"/>
        <v>2.29E-2</v>
      </c>
      <c r="AA244" s="192">
        <f t="shared" si="100"/>
        <v>3.0857999999999999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101"/>
        <v>54-13</v>
      </c>
      <c r="AE244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44" s="77" t="str">
        <f t="shared" si="103"/>
        <v>"C:\Program Files (x86)\AstroGrep\AstroGrep.exe" /e /r /s /spath="%USERPROFILE%\AppData\Local\Temp\OnboardLogs" /stypes="app*4005*20170513*" /stext=" 11:.+((SYSTEM_STATE.+slice.+state.+changed )|(ment ac)|(multiple cpu faults)|(system.+state.+changed )|(\[timeout)|(PRM\|1\|D)|(kpr)|(kdp)|(train st.+moving)|(\|lc)|(penalty))"</v>
      </c>
      <c r="AG244" s="1" t="str">
        <f t="shared" si="104"/>
        <v>Other</v>
      </c>
      <c r="AH244" s="81" t="str">
        <f t="shared" si="105"/>
        <v>"%USERPROFILE%\Documents\GitHub\eaglep3\Utilities\RefineRTDCRunTimes.py" --tripid 54-13 --locoid 4005 --swversion DE.1.0.9.0 --startMP 300:31087 --initTime 2017-05-13T04:45:40 --startdatetime 2017-05-13T05:09:37 --delay 0 --endMP 204:229 --enddatetime 2017-05-13T05:20:10 --enforcementcount 0 &gt;&gt;C:\Users\stu\Documents\GitHub\eaglep3-reporting\EC\2017-05-13-refined-times.txt</v>
      </c>
      <c r="AI244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{"issue":{"subject":"","project_id":79,"tracker_id":40,"status_id":1,"priority_id":2,"assigned_to_id":23,"start_date":"2017-05-13","description":"","custom_fields":[{"id":1,"name":"Subdivision","value":"Other"},{"id":4,"name":"Milepost","value":"0.0229"},{"id":17,"name":"Train ID","value":"54-13"},{"id":16,"name":"Locomotive ID","value":"4005"},{"id":130,"name":"Impact","value":""},{"id":150,"name":"Time of Event (Mountain Time)","value":"05:20:10"},{"id":151,"name":"Denver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07"/>
        <v>start /low /b %USERPROFILE%\Documents\GitHub\eaglep3\Utilities\DownloadLogsFromS3.py --loco 4005 --day 2017-05-13</v>
      </c>
      <c r="AN244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11:20:10"},{"id":29,"name":"Sharepoint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598</v>
      </c>
      <c r="B245" s="7">
        <v>4005</v>
      </c>
      <c r="C245" s="21" t="s">
        <v>206</v>
      </c>
      <c r="D245" s="21" t="s">
        <v>1004</v>
      </c>
      <c r="E245" s="13">
        <v>42868.182928240742</v>
      </c>
      <c r="F245" s="13">
        <v>42868.199513888889</v>
      </c>
      <c r="G245" s="7">
        <v>0</v>
      </c>
      <c r="H245" s="21" t="s">
        <v>1005</v>
      </c>
      <c r="I245" s="13">
        <v>42868.204976851855</v>
      </c>
      <c r="J245" s="7">
        <v>0</v>
      </c>
      <c r="K245" s="92" t="str">
        <f t="shared" si="95"/>
        <v>4005/4006</v>
      </c>
      <c r="L245" s="21" t="str">
        <f>VLOOKUP(A245,'Trips&amp;Operators'!$C$1:$G$99999,5,FALSE)</f>
        <v>BEAM ROSS</v>
      </c>
      <c r="M245" s="6">
        <f t="shared" si="96"/>
        <v>5.4629629667033441E-3</v>
      </c>
      <c r="N245" s="7">
        <f t="shared" si="111"/>
        <v>7.8666666720528156</v>
      </c>
      <c r="O245" s="7"/>
      <c r="P245" s="7"/>
      <c r="Q245" s="22"/>
      <c r="R245" s="190"/>
      <c r="S245" s="196">
        <f t="shared" si="112"/>
        <v>0</v>
      </c>
      <c r="T245" s="190" t="e">
        <f t="shared" si="97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98"/>
        <v>https://d0f6bd738d7f1b3e5a7ca70fe4ff75f0.us-east-1.aws.found.io/app/kibana#/discover/Steve-Slow-Train-Analysis-(2080s-and-2083s)?_g=(refreshInterval:(display:Off,pause:!f,section:0,value:0),time:(from:'2017-05-13T03:23:25-0600',mode:absolute,to:'2017-05-13T05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5" s="192" t="str">
        <f t="shared" si="99"/>
        <v>Y</v>
      </c>
      <c r="X245" s="192" t="e">
        <f t="shared" si="113"/>
        <v>#VALUE!</v>
      </c>
      <c r="Y245" s="192">
        <f t="shared" si="115"/>
        <v>3.11</v>
      </c>
      <c r="Z245" s="192">
        <f t="shared" si="114"/>
        <v>7.9399999999999998E-2</v>
      </c>
      <c r="AA245" s="192">
        <f t="shared" si="100"/>
        <v>3.0305999999999997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101"/>
        <v>54-13</v>
      </c>
      <c r="AE245" s="80" t="str">
        <f t="shared" si="102"/>
        <v>aws s3 cp s3://rtdc.mdm.uploadarchive.raw/RTDC4005/ "%USERPROFILE%\AppData\Local\Temp\OnboardLogs"\RTDC4005\2017-05-13 --exclude "*" --recursive --include "*20170513*" &amp; "%USERPROFILE%\Documents\GitHub\mrs-test-scripts\Headless Mode &amp; Sideloading\WalkAndUnGZ.bat" "%USERPROFILE%\AppData\Local\Temp\OnboardLogs"\RTDC4005\2017-05-13 &amp; 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</v>
      </c>
      <c r="AF245" s="77" t="str">
        <f t="shared" si="103"/>
        <v>"C:\Program Files (x86)\AstroGrep\AstroGrep.exe" /e /r /s /spath="%USERPROFILE%\AppData\Local\Temp\OnboardLogs" /stypes="app*4005*20170513*" /stext=" 10:.+((SYSTEM_STATE.+slice.+state.+changed )|(ment ac)|(multiple cpu faults)|(system.+state.+changed )|(\[timeout)|(PRM\|1\|D)|(kpr)|(kdp)|(train st.+moving)|(\|lc)|(penalty))"</v>
      </c>
      <c r="AG245" s="1" t="str">
        <f t="shared" si="104"/>
        <v>Other</v>
      </c>
      <c r="AH245" s="81" t="str">
        <f t="shared" si="105"/>
        <v>"%USERPROFILE%\Documents\GitHub\eaglep3\Utilities\RefineRTDCRunTimes.py" --tripid 54-13 --locoid 4005 --swversion DE.1.0.9.0 --startMP 300:31100 --initTime 2017-05-13T04:23:25 --startdatetime 2017-05-13T04:47:18 --delay 0 --endMP 204:794 --enddatetime 2017-05-13T04:55:10 --enforcementcount 0 &gt;&gt;C:\Users\stu\Documents\GitHub\eaglep3-reporting\EC\2017-05-13-refined-times.txt</v>
      </c>
      <c r="AI245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{"issue":{"subject":"","project_id":79,"tracker_id":40,"status_id":1,"priority_id":2,"assigned_to_id":23,"start_date":"2017-05-13","description":"","custom_fields":[{"id":1,"name":"Subdivision","value":"Other"},{"id":4,"name":"Milepost","value":"0.0794"},{"id":17,"name":"Train ID","value":"54-13"},{"id":16,"name":"Locomotive ID","value":"4005"},{"id":130,"name":"Impact","value":""},{"id":150,"name":"Time of Event (Mountain Time)","value":"04:55:10"},{"id":151,"name":"Denver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07"/>
        <v>start /low /b %USERPROFILE%\Documents\GitHub\eaglep3\Utilities\DownloadLogsFromS3.py --loco 4005 --day 2017-05-13</v>
      </c>
      <c r="AN245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705</v>
      </c>
      <c r="B246" s="7">
        <v>4003</v>
      </c>
      <c r="C246" s="21" t="s">
        <v>206</v>
      </c>
      <c r="D246" s="21" t="s">
        <v>1006</v>
      </c>
      <c r="E246" s="13">
        <v>42868.610092592593</v>
      </c>
      <c r="F246" s="13">
        <v>42868.611840277779</v>
      </c>
      <c r="G246" s="7">
        <v>1</v>
      </c>
      <c r="H246" s="21" t="s">
        <v>370</v>
      </c>
      <c r="I246" s="13">
        <v>42868.613125000003</v>
      </c>
      <c r="J246" s="7">
        <v>0</v>
      </c>
      <c r="K246" s="92" t="str">
        <f t="shared" si="95"/>
        <v>4003/4004</v>
      </c>
      <c r="L246" s="21" t="str">
        <f>VLOOKUP(A246,'Trips&amp;Operators'!$C$1:$G$99999,5,FALSE)</f>
        <v>WHITED DUSTIN</v>
      </c>
      <c r="M246" s="6">
        <f t="shared" si="96"/>
        <v>1.2847222242271528E-3</v>
      </c>
      <c r="N246" s="7">
        <f t="shared" si="111"/>
        <v>1.8500000028871</v>
      </c>
      <c r="O246" s="7"/>
      <c r="P246" s="7"/>
      <c r="Q246" s="22"/>
      <c r="R246" s="190"/>
      <c r="S246" s="196">
        <f t="shared" si="112"/>
        <v>0</v>
      </c>
      <c r="T246" s="190" t="e">
        <f t="shared" si="97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98"/>
        <v>https://d0f6bd738d7f1b3e5a7ca70fe4ff75f0.us-east-1.aws.found.io/app/kibana#/discover/Steve-Slow-Train-Analysis-(2080s-and-2083s)?_g=(refreshInterval:(display:Off,pause:!f,section:0,value:0),time:(from:'2017-05-13T13:38:32-0600',mode:absolute,to:'2017-05-13T15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6" s="192" t="str">
        <f t="shared" si="99"/>
        <v>Y</v>
      </c>
      <c r="X246" s="192" t="e">
        <f t="shared" si="113"/>
        <v>#VALUE!</v>
      </c>
      <c r="Y246" s="192">
        <f t="shared" si="115"/>
        <v>0.30780000000000002</v>
      </c>
      <c r="Z246" s="192">
        <f t="shared" si="114"/>
        <v>1.3899999999999999E-2</v>
      </c>
      <c r="AA246" s="192">
        <f t="shared" si="100"/>
        <v>0.29389999999999999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101"/>
        <v>55-13</v>
      </c>
      <c r="AE246" s="80" t="str">
        <f t="shared" si="102"/>
        <v>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 &amp; aws s3 cp s3://rtdc.mdm.uploadarchive.raw/RTDC4003/ "%USERPROFILE%\AppData\Local\Temp\OnboardLogs"\RTDC4003\2017-05-14 --exclude "*" --recursive --include "*20170514*" &amp; "%USERPROFILE%\Documents\GitHub\mrs-test-scripts\Headless Mode &amp; Sideloading\WalkAndUnGZ.bat" "%USERPROFILE%\AppData\Local\Temp\OnboardLogs"\RTDC4003\2017-05-14</v>
      </c>
      <c r="AF246" s="77" t="str">
        <f t="shared" si="103"/>
        <v>"C:\Program Files (x86)\AstroGrep\AstroGrep.exe" /e /r /s /spath="%USERPROFILE%\AppData\Local\Temp\OnboardLogs" /stypes="app*4003*20170513*" /stext=" 20:.+((SYSTEM_STATE.+slice.+state.+changed )|(ment ac)|(multiple cpu faults)|(system.+state.+changed )|(\[timeout)|(PRM\|1\|D)|(kpr)|(kdp)|(train st.+moving)|(\|lc)|(penalty))"</v>
      </c>
      <c r="AG246" s="1" t="str">
        <f t="shared" si="104"/>
        <v>Other</v>
      </c>
      <c r="AH246" s="81" t="str">
        <f t="shared" si="105"/>
        <v>"%USERPROFILE%\Documents\GitHub\eaglep3\Utilities\RefineRTDCRunTimes.py" --tripid 55-13 --locoid 4003 --swversion DE.1.0.9.0 --startMP 204:3078 --initTime 2017-05-13T14:38:32 --startdatetime 2017-05-13T14:41:03 --delay 1 --endMP 204:139 --enddatetime 2017-05-13T14:42:54 --enforcementcount 0 &gt;&gt;C:\Users\stu\Documents\GitHub\eaglep3-reporting\EC\2017-05-13-refined-times.txt</v>
      </c>
      <c r="AI246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{"issue":{"subject":"","project_id":79,"tracker_id":40,"status_id":1,"priority_id":2,"assigned_to_id":23,"start_date":"2017-05-13","description":"","custom_fields":[{"id":1,"name":"Subdivision","value":"Other"},{"id":4,"name":"Milepost","value":"0.0139"},{"id":17,"name":"Train ID","value":"55-13"},{"id":16,"name":"Locomotive ID","value":"4003"},{"id":130,"name":"Impact","value":""},{"id":150,"name":"Time of Event (Mountain Time)","value":"14:42:54"},{"id":151,"name":"Denver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07"/>
        <v>start /low /b %USERPROFILE%\Documents\GitHub\eaglep3\Utilities\DownloadLogsFromS3.py --loco 4003 --day 2017-05-13</v>
      </c>
      <c r="AN246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705</v>
      </c>
      <c r="B247" s="7">
        <v>4004</v>
      </c>
      <c r="C247" s="21" t="s">
        <v>206</v>
      </c>
      <c r="D247" s="21" t="s">
        <v>1007</v>
      </c>
      <c r="E247" s="13">
        <v>42868.602986111109</v>
      </c>
      <c r="F247" s="13">
        <v>42868.611840277779</v>
      </c>
      <c r="G247" s="7">
        <v>1</v>
      </c>
      <c r="H247" s="21" t="s">
        <v>1008</v>
      </c>
      <c r="I247" s="13">
        <v>42868.613125000003</v>
      </c>
      <c r="J247" s="7">
        <v>0</v>
      </c>
      <c r="K247" s="92" t="str">
        <f t="shared" si="95"/>
        <v>4003/4004</v>
      </c>
      <c r="L247" s="21" t="str">
        <f>VLOOKUP(A247,'Trips&amp;Operators'!$C$1:$G$99999,5,FALSE)</f>
        <v>WHITED DUSTIN</v>
      </c>
      <c r="M247" s="6">
        <f t="shared" si="96"/>
        <v>1.2847222242271528E-3</v>
      </c>
      <c r="N247" s="7">
        <f t="shared" si="111"/>
        <v>1.8500000028871</v>
      </c>
      <c r="O247" s="7"/>
      <c r="P247" s="7"/>
      <c r="Q247" s="22"/>
      <c r="R247" s="190"/>
      <c r="S247" s="196">
        <f t="shared" si="112"/>
        <v>0</v>
      </c>
      <c r="T247" s="190" t="e">
        <f t="shared" si="97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98"/>
        <v>https://d0f6bd738d7f1b3e5a7ca70fe4ff75f0.us-east-1.aws.found.io/app/kibana#/discover/Steve-Slow-Train-Analysis-(2080s-and-2083s)?_g=(refreshInterval:(display:Off,pause:!f,section:0,value:0),time:(from:'2017-05-13T13:28:18-0600',mode:absolute,to:'2017-05-13T15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7" s="192" t="str">
        <f t="shared" si="99"/>
        <v>Y</v>
      </c>
      <c r="X247" s="192" t="e">
        <f t="shared" si="113"/>
        <v>#VALUE!</v>
      </c>
      <c r="Y247" s="192">
        <f t="shared" si="115"/>
        <v>0.14749999999999999</v>
      </c>
      <c r="Z247" s="192">
        <f t="shared" si="114"/>
        <v>0.34189999999999998</v>
      </c>
      <c r="AA247" s="192">
        <f t="shared" si="100"/>
        <v>0.19439999999999999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101"/>
        <v>55-13</v>
      </c>
      <c r="AE247" s="80" t="str">
        <f t="shared" si="102"/>
        <v>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 &amp; aws s3 cp s3://rtdc.mdm.uploadarchive.raw/RTDC4004/ "%USERPROFILE%\AppData\Local\Temp\OnboardLogs"\RTDC4004\2017-05-14 --exclude "*" --recursive --include "*20170514*" &amp; "%USERPROFILE%\Documents\GitHub\mrs-test-scripts\Headless Mode &amp; Sideloading\WalkAndUnGZ.bat" "%USERPROFILE%\AppData\Local\Temp\OnboardLogs"\RTDC4004\2017-05-14</v>
      </c>
      <c r="AF247" s="77" t="str">
        <f t="shared" si="103"/>
        <v>"C:\Program Files (x86)\AstroGrep\AstroGrep.exe" /e /r /s /spath="%USERPROFILE%\AppData\Local\Temp\OnboardLogs" /stypes="app*4004*20170513*" /stext=" 20:.+((SYSTEM_STATE.+slice.+state.+changed )|(ment ac)|(multiple cpu faults)|(system.+state.+changed )|(\[timeout)|(PRM\|1\|D)|(kpr)|(kdp)|(train st.+moving)|(\|lc)|(penalty))"</v>
      </c>
      <c r="AG247" s="1" t="str">
        <f t="shared" si="104"/>
        <v>Other</v>
      </c>
      <c r="AH247" s="81" t="str">
        <f t="shared" si="105"/>
        <v>"%USERPROFILE%\Documents\GitHub\eaglep3\Utilities\RefineRTDCRunTimes.py" --tripid 55-13 --locoid 4004 --swversion DE.1.0.9.0 --startMP 204:1475 --initTime 2017-05-13T14:28:18 --startdatetime 2017-05-13T14:41:03 --delay 1 --endMP 204:3419 --enddatetime 2017-05-13T14:42:54 --enforcementcount 0 &gt;&gt;C:\Users\stu\Documents\GitHub\eaglep3-reporting\EC\2017-05-13-refined-times.txt</v>
      </c>
      <c r="AI247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{"issue":{"subject":"","project_id":79,"tracker_id":40,"status_id":1,"priority_id":2,"assigned_to_id":23,"start_date":"2017-05-13","description":"","custom_fields":[{"id":1,"name":"Subdivision","value":"Other"},{"id":4,"name":"Milepost","value":"0.3419"},{"id":17,"name":"Train ID","value":"55-13"},{"id":16,"name":"Locomotive ID","value":"4004"},{"id":130,"name":"Impact","value":""},{"id":150,"name":"Time of Event (Mountain Time)","value":"14:42:54"},{"id":151,"name":"Denver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107"/>
        <v>start /low /b %USERPROFILE%\Documents\GitHub\eaglep3\Utilities\DownloadLogsFromS3.py --loco 4004 --day 2017-05-13</v>
      </c>
      <c r="AN247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20:42:54"},{"id":29,"name":"Sharepoint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729</v>
      </c>
      <c r="B248" s="7">
        <v>4008</v>
      </c>
      <c r="C248" s="21" t="s">
        <v>206</v>
      </c>
      <c r="D248" s="21" t="s">
        <v>1009</v>
      </c>
      <c r="E248" s="13">
        <v>42868.727685185186</v>
      </c>
      <c r="F248" s="13">
        <v>42868.747210648151</v>
      </c>
      <c r="G248" s="7">
        <v>2</v>
      </c>
      <c r="H248" s="21" t="s">
        <v>1010</v>
      </c>
      <c r="I248" s="13">
        <v>42868.757106481484</v>
      </c>
      <c r="J248" s="7">
        <v>0</v>
      </c>
      <c r="K248" s="92" t="str">
        <f t="shared" si="95"/>
        <v>4007/4008</v>
      </c>
      <c r="L248" s="21" t="str">
        <f>VLOOKUP(A248,'Trips&amp;Operators'!$C$1:$G$99999,5,FALSE)</f>
        <v>NELSON ARIANE</v>
      </c>
      <c r="M248" s="6">
        <f t="shared" si="96"/>
        <v>9.8958333328482695E-3</v>
      </c>
      <c r="N248" s="7">
        <f t="shared" si="111"/>
        <v>14.249999999301508</v>
      </c>
      <c r="O248" s="7"/>
      <c r="P248" s="7"/>
      <c r="Q248" s="22"/>
      <c r="R248" s="190"/>
      <c r="S248" s="196">
        <f t="shared" si="112"/>
        <v>0</v>
      </c>
      <c r="T248" s="190" t="e">
        <f t="shared" si="97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98"/>
        <v>https://d0f6bd738d7f1b3e5a7ca70fe4ff75f0.us-east-1.aws.found.io/app/kibana#/discover/Steve-Slow-Train-Analysis-(2080s-and-2083s)?_g=(refreshInterval:(display:Off,pause:!f,section:0,value:0),time:(from:'2017-05-13T16:27:52-0600',mode:absolute,to:'2017-05-13T19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8" s="192" t="str">
        <f t="shared" si="99"/>
        <v>Y</v>
      </c>
      <c r="X248" s="192" t="e">
        <f t="shared" si="113"/>
        <v>#VALUE!</v>
      </c>
      <c r="Y248" s="192">
        <f t="shared" si="115"/>
        <v>0.1469</v>
      </c>
      <c r="Z248" s="192">
        <f t="shared" si="114"/>
        <v>2.3311999999999999</v>
      </c>
      <c r="AA248" s="192">
        <f t="shared" si="100"/>
        <v>2.1842999999999999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101"/>
        <v>59-13</v>
      </c>
      <c r="AE248" s="80" t="str">
        <f t="shared" si="102"/>
        <v>aws s3 cp s3://rtdc.mdm.uploadarchive.raw/RTDC4008/ "%USERPROFILE%\AppData\Local\Temp\OnboardLogs"\RTDC4008\2017-05-13 --exclude "*" --recursive --include "*20170513*" &amp; "%USERPROFILE%\Documents\GitHub\mrs-test-scripts\Headless Mode &amp; Sideloading\WalkAndUnGZ.bat" "%USERPROFILE%\AppData\Local\Temp\OnboardLogs"\RTDC4008\2017-05-13 &amp; aws s3 cp s3://rtdc.mdm.uploadarchive.raw/RTDC4008/ "%USERPROFILE%\AppData\Local\Temp\OnboardLogs"\RTDC4008\2017-05-14 --exclude "*" --recursive --include "*20170514*" &amp; "%USERPROFILE%\Documents\GitHub\mrs-test-scripts\Headless Mode &amp; Sideloading\WalkAndUnGZ.bat" "%USERPROFILE%\AppData\Local\Temp\OnboardLogs"\RTDC4008\2017-05-14</v>
      </c>
      <c r="AF248" s="77" t="str">
        <f t="shared" si="103"/>
        <v>"C:\Program Files (x86)\AstroGrep\AstroGrep.exe" /e /r /s /spath="%USERPROFILE%\AppData\Local\Temp\OnboardLogs" /stypes="app*4008*20170514*" /stext=" 00:.+((SYSTEM_STATE.+slice.+state.+changed )|(ment ac)|(multiple cpu faults)|(system.+state.+changed )|(\[timeout)|(PRM\|1\|D)|(kpr)|(kdp)|(train st.+moving)|(\|lc)|(penalty))"</v>
      </c>
      <c r="AG248" s="1" t="str">
        <f t="shared" si="104"/>
        <v>Other</v>
      </c>
      <c r="AH248" s="81" t="str">
        <f t="shared" si="105"/>
        <v>"%USERPROFILE%\Documents\GitHub\eaglep3\Utilities\RefineRTDCRunTimes.py" --tripid 59-13 --locoid 4008 --swversion DE.1.0.9.0 --startMP 204:1469 --initTime 2017-05-13T17:27:52 --startdatetime 2017-05-13T17:55:59 --delay 2 --endMP 300:23312 --enddatetime 2017-05-13T18:10:14 --enforcementcount 0 &gt;&gt;C:\Users\stu\Documents\GitHub\eaglep3-reporting\EC\2017-05-13-refined-times.txt</v>
      </c>
      <c r="AI248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{"issue":{"subject":"","project_id":79,"tracker_id":40,"status_id":1,"priority_id":2,"assigned_to_id":23,"start_date":"2017-05-13","description":"","custom_fields":[{"id":1,"name":"Subdivision","value":"Other"},{"id":4,"name":"Milepost","value":"2.3312"},{"id":17,"name":"Train ID","value":"59-13"},{"id":16,"name":"Locomotive ID","value":"4008"},{"id":130,"name":"Impact","value":""},{"id":150,"name":"Time of Event (Mountain Time)","value":"18:10:14"},{"id":151,"name":"Denver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107"/>
        <v>start /low /b %USERPROFILE%\Documents\GitHub\eaglep3\Utilities\DownloadLogsFromS3.py --loco 4008 --day 2017-05-13</v>
      </c>
      <c r="AN248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586</v>
      </c>
      <c r="B249" s="7">
        <v>4033</v>
      </c>
      <c r="C249" s="21" t="s">
        <v>206</v>
      </c>
      <c r="D249" s="21" t="s">
        <v>1011</v>
      </c>
      <c r="E249" s="13">
        <v>42868.14770833333</v>
      </c>
      <c r="F249" s="13">
        <v>42868.190196759257</v>
      </c>
      <c r="G249" s="7">
        <v>1</v>
      </c>
      <c r="H249" s="21" t="s">
        <v>1012</v>
      </c>
      <c r="I249" s="13">
        <v>42868.20039351852</v>
      </c>
      <c r="J249" s="7">
        <v>0</v>
      </c>
      <c r="K249" s="92" t="str">
        <f t="shared" si="95"/>
        <v>4033/4034</v>
      </c>
      <c r="L249" s="21" t="str">
        <f>VLOOKUP(A249,'Trips&amp;Operators'!$C$1:$G$99999,5,FALSE)</f>
        <v>FORTUNATO FRANK</v>
      </c>
      <c r="M249" s="6">
        <f t="shared" si="96"/>
        <v>1.0196759263635613E-2</v>
      </c>
      <c r="N249" s="7">
        <f t="shared" si="111"/>
        <v>14.683333339635283</v>
      </c>
      <c r="O249" s="7"/>
      <c r="P249" s="7"/>
      <c r="Q249" s="22"/>
      <c r="R249" s="190"/>
      <c r="S249" s="196">
        <f t="shared" si="112"/>
        <v>0</v>
      </c>
      <c r="T249" s="190" t="e">
        <f t="shared" si="97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98"/>
        <v>https://d0f6bd738d7f1b3e5a7ca70fe4ff75f0.us-east-1.aws.found.io/app/kibana#/discover/Steve-Slow-Train-Analysis-(2080s-and-2083s)?_g=(refreshInterval:(display:Off,pause:!f,section:0,value:0),time:(from:'2017-05-13T02:32:42-0600',mode:absolute,to:'2017-05-13T05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9" s="192" t="str">
        <f t="shared" si="99"/>
        <v>N</v>
      </c>
      <c r="X249" s="192" t="e">
        <f t="shared" si="113"/>
        <v>#VALUE!</v>
      </c>
      <c r="Y249" s="192">
        <f t="shared" si="115"/>
        <v>23.272300000000001</v>
      </c>
      <c r="Z249" s="192">
        <f t="shared" si="114"/>
        <v>1.37E-2</v>
      </c>
      <c r="AA249" s="192">
        <f t="shared" si="100"/>
        <v>23.258600000000001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101"/>
        <v>63-12</v>
      </c>
      <c r="AE249" s="80" t="str">
        <f t="shared" si="102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49" s="77" t="str">
        <f t="shared" si="103"/>
        <v>"C:\Program Files (x86)\AstroGrep\AstroGrep.exe" /e /r /s /spath="%USERPROFILE%\AppData\Local\Temp\OnboardLogs" /stypes="app*4033*20170513*" /stext=" 10:.+((SYSTEM_STATE.+slice.+state.+changed )|(ment ac)|(multiple cpu faults)|(system.+state.+changed )|(\[timeout)|(PRM\|1\|D)|(kpr)|(kdp)|(train st.+moving)|(\|lc)|(penalty))"</v>
      </c>
      <c r="AG249" s="1" t="str">
        <f t="shared" si="104"/>
        <v>Other</v>
      </c>
      <c r="AH249" s="81" t="str">
        <f t="shared" si="105"/>
        <v>"%USERPROFILE%\Documents\GitHub\eaglep3\Utilities\RefineRTDCRunTimes.py" --tripid 63-12 --locoid 4033 --swversion DE.1.0.9.0 --startMP 204:232723 --initTime 2017-05-13T03:32:42 --startdatetime 2017-05-13T04:33:53 --delay 1 --endMP 204:137 --enddatetime 2017-05-13T04:48:34 --enforcementcount 0 &gt;&gt;C:\Users\stu\Documents\GitHub\eaglep3-reporting\EC\2017-05-13-refined-times.txt</v>
      </c>
      <c r="AI249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{"issue":{"subject":"","project_id":79,"tracker_id":40,"status_id":1,"priority_id":2,"assigned_to_id":23,"start_date":"2017-05-13","description":"","custom_fields":[{"id":1,"name":"Subdivision","value":"Other"},{"id":4,"name":"Milepost","value":"0.0137"},{"id":17,"name":"Train ID","value":"63-12"},{"id":16,"name":"Locomotive ID","value":"4033"},{"id":130,"name":"Impact","value":""},{"id":150,"name":"Time of Event (Mountain Time)","value":"04:48:34"},{"id":151,"name":"Denver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107"/>
        <v>start /low /b %USERPROFILE%\Documents\GitHub\eaglep3\Utilities\DownloadLogsFromS3.py --loco 4033 --day 2017-05-13</v>
      </c>
      <c r="AN249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586</v>
      </c>
      <c r="B250" s="7">
        <v>4033</v>
      </c>
      <c r="C250" s="21" t="s">
        <v>206</v>
      </c>
      <c r="D250" s="21" t="s">
        <v>515</v>
      </c>
      <c r="E250" s="13">
        <v>42868.140879629631</v>
      </c>
      <c r="F250" s="13">
        <v>42868.149143518516</v>
      </c>
      <c r="G250" s="7">
        <v>1</v>
      </c>
      <c r="H250" s="21" t="s">
        <v>1013</v>
      </c>
      <c r="I250" s="13">
        <v>42868.186331018522</v>
      </c>
      <c r="J250" s="7">
        <v>0</v>
      </c>
      <c r="K250" s="92" t="str">
        <f t="shared" si="95"/>
        <v>4033/4034</v>
      </c>
      <c r="L250" s="21" t="str">
        <f>VLOOKUP(A250,'Trips&amp;Operators'!$C$1:$G$99999,5,FALSE)</f>
        <v>FORTUNATO FRANK</v>
      </c>
      <c r="M250" s="6">
        <f t="shared" si="96"/>
        <v>3.7187500005529728E-2</v>
      </c>
      <c r="N250" s="7">
        <f t="shared" si="111"/>
        <v>53.550000007962808</v>
      </c>
      <c r="O250" s="7"/>
      <c r="P250" s="7"/>
      <c r="Q250" s="22"/>
      <c r="R250" s="190"/>
      <c r="S250" s="196">
        <f t="shared" si="112"/>
        <v>0</v>
      </c>
      <c r="T250" s="190" t="e">
        <f t="shared" si="97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98"/>
        <v>https://d0f6bd738d7f1b3e5a7ca70fe4ff75f0.us-east-1.aws.found.io/app/kibana#/discover/Steve-Slow-Train-Analysis-(2080s-and-2083s)?_g=(refreshInterval:(display:Off,pause:!f,section:0,value:0),time:(from:'2017-05-13T02:22:52-0600',mode:absolute,to:'2017-05-13T05:28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50" s="192" t="str">
        <f t="shared" si="99"/>
        <v>Y</v>
      </c>
      <c r="X250" s="192" t="e">
        <f t="shared" si="113"/>
        <v>#VALUE!</v>
      </c>
      <c r="Y250" s="192">
        <f t="shared" si="115"/>
        <v>23.296299999999999</v>
      </c>
      <c r="Z250" s="192">
        <f t="shared" si="114"/>
        <v>23.217199999999998</v>
      </c>
      <c r="AA250" s="192">
        <f t="shared" si="100"/>
        <v>7.9100000000000392E-2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101"/>
        <v>63-12</v>
      </c>
      <c r="AE250" s="80" t="str">
        <f t="shared" si="102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50" s="77" t="str">
        <f t="shared" si="103"/>
        <v>"C:\Program Files (x86)\AstroGrep\AstroGrep.exe" /e /r /s /spath="%USERPROFILE%\AppData\Local\Temp\OnboardLogs" /stypes="app*4033*20170513*" /stext=" 10:.+((SYSTEM_STATE.+slice.+state.+changed )|(ment ac)|(multiple cpu faults)|(system.+state.+changed )|(\[timeout)|(PRM\|1\|D)|(kpr)|(kdp)|(train st.+moving)|(\|lc)|(penalty))"</v>
      </c>
      <c r="AG250" s="1" t="str">
        <f t="shared" si="104"/>
        <v>Other</v>
      </c>
      <c r="AH250" s="81" t="str">
        <f t="shared" si="105"/>
        <v>"%USERPROFILE%\Documents\GitHub\eaglep3\Utilities\RefineRTDCRunTimes.py" --tripid 63-12 --locoid 4033 --swversion DE.1.0.9.0 --startMP 204:232963 --initTime 2017-05-13T03:22:52 --startdatetime 2017-05-13T03:34:46 --delay 1 --endMP 204:232172 --enddatetime 2017-05-13T04:28:19 --enforcementcount 0 &gt;&gt;C:\Users\stu\Documents\GitHub\eaglep3-reporting\EC\2017-05-13-refined-times.txt</v>
      </c>
      <c r="AI250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{"issue":{"subject":"","project_id":79,"tracker_id":40,"status_id":1,"priority_id":2,"assigned_to_id":23,"start_date":"2017-05-13","description":"","custom_fields":[{"id":1,"name":"Subdivision","value":"Other"},{"id":4,"name":"Milepost","value":"23.2172"},{"id":17,"name":"Train ID","value":"63-12"},{"id":16,"name":"Locomotive ID","value":"4033"},{"id":130,"name":"Impact","value":""},{"id":150,"name":"Time of Event (Mountain Time)","value":"04:28:19"},{"id":151,"name":"Denver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107"/>
        <v>start /low /b %USERPROFILE%\Documents\GitHub\eaglep3\Utilities\DownloadLogsFromS3.py --loco 4033 --day 2017-05-13</v>
      </c>
      <c r="AN250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10:28:19"},{"id":29,"name":"Sharepoint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586</v>
      </c>
      <c r="B251" s="7">
        <v>4033</v>
      </c>
      <c r="C251" s="21" t="s">
        <v>206</v>
      </c>
      <c r="D251" s="21" t="s">
        <v>1014</v>
      </c>
      <c r="E251" s="13">
        <v>42868.11105324074</v>
      </c>
      <c r="F251" s="13">
        <v>42868.138206018521</v>
      </c>
      <c r="G251" s="7">
        <v>1</v>
      </c>
      <c r="H251" s="21" t="s">
        <v>1015</v>
      </c>
      <c r="I251" s="13">
        <v>42868.139537037037</v>
      </c>
      <c r="J251" s="7">
        <v>0</v>
      </c>
      <c r="K251" s="92" t="str">
        <f t="shared" si="95"/>
        <v>4033/4034</v>
      </c>
      <c r="L251" s="21" t="str">
        <f>VLOOKUP(A251,'Trips&amp;Operators'!$C$1:$G$99999,5,FALSE)</f>
        <v>FORTUNATO FRANK</v>
      </c>
      <c r="M251" s="6">
        <f t="shared" si="96"/>
        <v>1.3310185167938471E-3</v>
      </c>
      <c r="N251" s="7">
        <f t="shared" si="111"/>
        <v>1.9166666641831398</v>
      </c>
      <c r="O251" s="7"/>
      <c r="P251" s="7"/>
      <c r="Q251" s="22"/>
      <c r="R251" s="190"/>
      <c r="S251" s="196">
        <f t="shared" si="112"/>
        <v>0</v>
      </c>
      <c r="T251" s="190" t="e">
        <f t="shared" si="97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98"/>
        <v>https://d0f6bd738d7f1b3e5a7ca70fe4ff75f0.us-east-1.aws.found.io/app/kibana#/discover/Steve-Slow-Train-Analysis-(2080s-and-2083s)?_g=(refreshInterval:(display:Off,pause:!f,section:0,value:0),time:(from:'2017-05-13T01:39:55-0600',mode:absolute,to:'2017-05-13T04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51" s="192" t="str">
        <f t="shared" si="99"/>
        <v>N</v>
      </c>
      <c r="X251" s="192" t="e">
        <f t="shared" si="113"/>
        <v>#VALUE!</v>
      </c>
      <c r="Y251" s="192">
        <f t="shared" si="115"/>
        <v>23.297499999999999</v>
      </c>
      <c r="Z251" s="192">
        <f t="shared" si="114"/>
        <v>15.3971</v>
      </c>
      <c r="AA251" s="192">
        <f t="shared" si="100"/>
        <v>7.9003999999999994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101"/>
        <v>63-12</v>
      </c>
      <c r="AE251" s="80" t="str">
        <f t="shared" si="102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51" s="77" t="str">
        <f t="shared" si="103"/>
        <v>"C:\Program Files (x86)\AstroGrep\AstroGrep.exe" /e /r /s /spath="%USERPROFILE%\AppData\Local\Temp\OnboardLogs" /stypes="app*4033*20170513*" /stext=" 09:.+((SYSTEM_STATE.+slice.+state.+changed )|(ment ac)|(multiple cpu faults)|(system.+state.+changed )|(\[timeout)|(PRM\|1\|D)|(kpr)|(kdp)|(train st.+moving)|(\|lc)|(penalty))"</v>
      </c>
      <c r="AG251" s="1" t="str">
        <f t="shared" si="104"/>
        <v>Other</v>
      </c>
      <c r="AH251" s="81" t="str">
        <f t="shared" si="105"/>
        <v>"%USERPROFILE%\Documents\GitHub\eaglep3\Utilities\RefineRTDCRunTimes.py" --tripid 63-12 --locoid 4033 --swversion DE.1.0.9.0 --startMP 204:232975 --initTime 2017-05-13T02:39:55 --startdatetime 2017-05-13T03:19:01 --delay 1 --endMP 204:153971 --enddatetime 2017-05-13T03:20:56 --enforcementcount 0 &gt;&gt;C:\Users\stu\Documents\GitHub\eaglep3-reporting\EC\2017-05-13-refined-times.txt</v>
      </c>
      <c r="AI251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{"issue":{"subject":"","project_id":79,"tracker_id":40,"status_id":1,"priority_id":2,"assigned_to_id":23,"start_date":"2017-05-13","description":"","custom_fields":[{"id":1,"name":"Subdivision","value":"Other"},{"id":4,"name":"Milepost","value":"15.3971"},{"id":17,"name":"Train ID","value":"63-12"},{"id":16,"name":"Locomotive ID","value":"4033"},{"id":130,"name":"Impact","value":""},{"id":150,"name":"Time of Event (Mountain Time)","value":"03:20:56"},{"id":151,"name":"Denver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107"/>
        <v>start /low /b %USERPROFILE%\Documents\GitHub\eaglep3\Utilities\DownloadLogsFromS3.py --loco 4033 --day 2017-05-13</v>
      </c>
      <c r="AN251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586</v>
      </c>
      <c r="B252" s="7">
        <v>4033</v>
      </c>
      <c r="C252" s="21" t="s">
        <v>206</v>
      </c>
      <c r="D252" s="21" t="s">
        <v>942</v>
      </c>
      <c r="E252" s="13">
        <v>42868.08935185185</v>
      </c>
      <c r="F252" s="13">
        <v>42868.112326388888</v>
      </c>
      <c r="G252" s="7">
        <v>1</v>
      </c>
      <c r="H252" s="21" t="s">
        <v>1016</v>
      </c>
      <c r="I252" s="13">
        <v>42868.119756944441</v>
      </c>
      <c r="J252" s="7">
        <v>0</v>
      </c>
      <c r="K252" s="92" t="str">
        <f t="shared" si="95"/>
        <v>4033/4034</v>
      </c>
      <c r="L252" s="21" t="str">
        <f>VLOOKUP(A252,'Trips&amp;Operators'!$C$1:$G$99999,5,FALSE)</f>
        <v>FORTUNATO FRANK</v>
      </c>
      <c r="M252" s="6">
        <f t="shared" si="96"/>
        <v>7.4305555535829626E-3</v>
      </c>
      <c r="N252" s="7">
        <f t="shared" ref="N252:N276" si="116">24*60*SUM($M252:$M252)</f>
        <v>10.699999997159466</v>
      </c>
      <c r="O252" s="7"/>
      <c r="P252" s="7"/>
      <c r="Q252" s="22"/>
      <c r="R252" s="190"/>
      <c r="S252" s="196">
        <f t="shared" ref="S252:S276" si="117">SUM(U252:U252)/IF(AG252="EC",12,1)</f>
        <v>0</v>
      </c>
      <c r="T252" s="190" t="e">
        <f t="shared" si="97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98"/>
        <v>https://d0f6bd738d7f1b3e5a7ca70fe4ff75f0.us-east-1.aws.found.io/app/kibana#/discover/Steve-Slow-Train-Analysis-(2080s-and-2083s)?_g=(refreshInterval:(display:Off,pause:!f,section:0,value:0),time:(from:'2017-05-13T01:08:40-0600',mode:absolute,to:'2017-05-13T03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52" s="192" t="str">
        <f t="shared" si="99"/>
        <v>N</v>
      </c>
      <c r="X252" s="192" t="e">
        <f t="shared" si="113"/>
        <v>#VALUE!</v>
      </c>
      <c r="Y252" s="192">
        <f t="shared" si="115"/>
        <v>23.297999999999998</v>
      </c>
      <c r="Z252" s="192">
        <f t="shared" si="114"/>
        <v>15.398999999999999</v>
      </c>
      <c r="AA252" s="192">
        <f t="shared" si="100"/>
        <v>7.8989999999999991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101"/>
        <v>63-12</v>
      </c>
      <c r="AE252" s="80" t="str">
        <f t="shared" si="102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52" s="77" t="str">
        <f t="shared" si="103"/>
        <v>"C:\Program Files (x86)\AstroGrep\AstroGrep.exe" /e /r /s /spath="%USERPROFILE%\AppData\Local\Temp\OnboardLogs" /stypes="app*4033*20170513*" /stext=" 08:.+((SYSTEM_STATE.+slice.+state.+changed )|(ment ac)|(multiple cpu faults)|(system.+state.+changed )|(\[timeout)|(PRM\|1\|D)|(kpr)|(kdp)|(train st.+moving)|(\|lc)|(penalty))"</v>
      </c>
      <c r="AG252" s="1" t="str">
        <f t="shared" si="104"/>
        <v>Other</v>
      </c>
      <c r="AH252" s="81" t="str">
        <f t="shared" si="105"/>
        <v>"%USERPROFILE%\Documents\GitHub\eaglep3\Utilities\RefineRTDCRunTimes.py" --tripid 63-12 --locoid 4033 --swversion DE.1.0.9.0 --startMP 204:232980 --initTime 2017-05-13T02:08:40 --startdatetime 2017-05-13T02:41:45 --delay 1 --endMP 204:153990 --enddatetime 2017-05-13T02:52:27 --enforcementcount 0 &gt;&gt;C:\Users\stu\Documents\GitHub\eaglep3-reporting\EC\2017-05-13-refined-times.txt</v>
      </c>
      <c r="AI252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{"issue":{"subject":"","project_id":79,"tracker_id":40,"status_id":1,"priority_id":2,"assigned_to_id":23,"start_date":"2017-05-13","description":"","custom_fields":[{"id":1,"name":"Subdivision","value":"Other"},{"id":4,"name":"Milepost","value":"15.399"},{"id":17,"name":"Train ID","value":"63-12"},{"id":16,"name":"Locomotive ID","value":"4033"},{"id":130,"name":"Impact","value":""},{"id":150,"name":"Time of Event (Mountain Time)","value":"02:52:27"},{"id":151,"name":"Denver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107"/>
        <v>start /low /b %USERPROFILE%\Documents\GitHub\eaglep3\Utilities\DownloadLogsFromS3.py --loco 4033 --day 2017-05-13</v>
      </c>
      <c r="AN252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586</v>
      </c>
      <c r="B253" s="7">
        <v>4033</v>
      </c>
      <c r="C253" s="21" t="s">
        <v>206</v>
      </c>
      <c r="D253" s="21" t="s">
        <v>1017</v>
      </c>
      <c r="E253" s="13">
        <v>42868.132673611108</v>
      </c>
      <c r="F253" s="13">
        <v>42868.149143518516</v>
      </c>
      <c r="G253" s="7">
        <v>1</v>
      </c>
      <c r="H253" s="21" t="s">
        <v>1018</v>
      </c>
      <c r="I253" s="13">
        <v>42868.186331018522</v>
      </c>
      <c r="J253" s="7">
        <v>0</v>
      </c>
      <c r="K253" s="92" t="str">
        <f t="shared" si="95"/>
        <v>4033/4034</v>
      </c>
      <c r="L253" s="21" t="str">
        <f>VLOOKUP(A253,'Trips&amp;Operators'!$C$1:$G$99999,5,FALSE)</f>
        <v>FORTUNATO FRANK</v>
      </c>
      <c r="M253" s="6">
        <f t="shared" si="96"/>
        <v>3.7187500005529728E-2</v>
      </c>
      <c r="N253" s="7">
        <f t="shared" si="116"/>
        <v>53.550000007962808</v>
      </c>
      <c r="O253" s="7"/>
      <c r="P253" s="7"/>
      <c r="Q253" s="22"/>
      <c r="R253" s="190"/>
      <c r="S253" s="196">
        <f t="shared" si="117"/>
        <v>0</v>
      </c>
      <c r="T253" s="190" t="e">
        <f t="shared" si="97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98"/>
        <v>https://d0f6bd738d7f1b3e5a7ca70fe4ff75f0.us-east-1.aws.found.io/app/kibana#/discover/Steve-Slow-Train-Analysis-(2080s-and-2083s)?_g=(refreshInterval:(display:Off,pause:!f,section:0,value:0),time:(from:'2017-05-13T02:11:03-0600',mode:absolute,to:'2017-05-13T05:28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53" s="192" t="str">
        <f t="shared" si="99"/>
        <v>Y</v>
      </c>
      <c r="X253" s="192" t="e">
        <f t="shared" si="113"/>
        <v>#VALUE!</v>
      </c>
      <c r="Y253" s="192">
        <f t="shared" si="115"/>
        <v>23.310700000000001</v>
      </c>
      <c r="Z253" s="192">
        <f t="shared" si="114"/>
        <v>23.212399999999999</v>
      </c>
      <c r="AA253" s="192">
        <f t="shared" si="100"/>
        <v>9.830000000000183E-2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101"/>
        <v>63-12</v>
      </c>
      <c r="AE253" s="80" t="str">
        <f t="shared" si="102"/>
        <v>aws s3 cp s3://rtdc.mdm.uploadarchive.raw/RTDC4033/ "%USERPROFILE%\AppData\Local\Temp\OnboardLogs"\RTDC4033\2017-05-13 --exclude "*" --recursive --include "*20170513*" &amp; "%USERPROFILE%\Documents\GitHub\mrs-test-scripts\Headless Mode &amp; Sideloading\WalkAndUnGZ.bat" "%USERPROFILE%\AppData\Local\Temp\OnboardLogs"\RTDC4033\2017-05-13 &amp; aws s3 cp s3://rtdc.mdm.uploadarchive.raw/RTDC4033/ "%USERPROFILE%\AppData\Local\Temp\OnboardLogs"\RTDC4033\2017-05-14 --exclude "*" --recursive --include "*20170514*" &amp; "%USERPROFILE%\Documents\GitHub\mrs-test-scripts\Headless Mode &amp; Sideloading\WalkAndUnGZ.bat" "%USERPROFILE%\AppData\Local\Temp\OnboardLogs"\RTDC4033\2017-05-14</v>
      </c>
      <c r="AF253" s="77" t="str">
        <f t="shared" si="103"/>
        <v>"C:\Program Files (x86)\AstroGrep\AstroGrep.exe" /e /r /s /spath="%USERPROFILE%\AppData\Local\Temp\OnboardLogs" /stypes="app*4033*20170513*" /stext=" 10:.+((SYSTEM_STATE.+slice.+state.+changed )|(ment ac)|(multiple cpu faults)|(system.+state.+changed )|(\[timeout)|(PRM\|1\|D)|(kpr)|(kdp)|(train st.+moving)|(\|lc)|(penalty))"</v>
      </c>
      <c r="AG253" s="1" t="str">
        <f t="shared" si="104"/>
        <v>Other</v>
      </c>
      <c r="AH253" s="81" t="str">
        <f t="shared" si="105"/>
        <v>"%USERPROFILE%\Documents\GitHub\eaglep3\Utilities\RefineRTDCRunTimes.py" --tripid 63-12 --locoid 4033 --swversion DE.1.0.9.0 --startMP 204:233107 --initTime 2017-05-13T03:11:03 --startdatetime 2017-05-13T03:34:46 --delay 1 --endMP 204:232124 --enddatetime 2017-05-13T04:28:19 --enforcementcount 0 &gt;&gt;C:\Users\stu\Documents\GitHub\eaglep3-reporting\EC\2017-05-13-refined-times.txt</v>
      </c>
      <c r="AI253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{"issue":{"subject":"","project_id":79,"tracker_id":40,"status_id":1,"priority_id":2,"assigned_to_id":23,"start_date":"2017-05-13","description":"","custom_fields":[{"id":1,"name":"Subdivision","value":"Other"},{"id":4,"name":"Milepost","value":"23.2124"},{"id":17,"name":"Train ID","value":"63-12"},{"id":16,"name":"Locomotive ID","value":"4033"},{"id":130,"name":"Impact","value":""},{"id":150,"name":"Time of Event (Mountain Time)","value":"04:28:19"},{"id":151,"name":"Denver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107"/>
        <v>start /low /b %USERPROFILE%\Documents\GitHub\eaglep3\Utilities\DownloadLogsFromS3.py --loco 4033 --day 2017-05-13</v>
      </c>
      <c r="AN253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10:28:19"},{"id":29,"name":"Sharepoint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586</v>
      </c>
      <c r="B254" s="7">
        <v>4034</v>
      </c>
      <c r="C254" s="21" t="s">
        <v>206</v>
      </c>
      <c r="D254" s="21" t="s">
        <v>1019</v>
      </c>
      <c r="E254" s="13">
        <v>42868.074305555558</v>
      </c>
      <c r="F254" s="13">
        <v>42868.101307870369</v>
      </c>
      <c r="G254" s="7">
        <v>1</v>
      </c>
      <c r="H254" s="21" t="s">
        <v>508</v>
      </c>
      <c r="I254" s="13">
        <v>42868.11</v>
      </c>
      <c r="J254" s="7">
        <v>0</v>
      </c>
      <c r="K254" s="92" t="str">
        <f t="shared" si="95"/>
        <v>4033/4034</v>
      </c>
      <c r="L254" s="21" t="str">
        <f>VLOOKUP(A254,'Trips&amp;Operators'!$C$1:$G$99999,5,FALSE)</f>
        <v>FORTUNATO FRANK</v>
      </c>
      <c r="M254" s="6">
        <f t="shared" si="96"/>
        <v>8.6921296315267682E-3</v>
      </c>
      <c r="N254" s="7">
        <f t="shared" si="116"/>
        <v>12.516666669398546</v>
      </c>
      <c r="O254" s="7"/>
      <c r="P254" s="7"/>
      <c r="Q254" s="22"/>
      <c r="R254" s="190"/>
      <c r="S254" s="196">
        <f t="shared" si="117"/>
        <v>0</v>
      </c>
      <c r="T254" s="190" t="e">
        <f t="shared" si="97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98"/>
        <v>https://d0f6bd738d7f1b3e5a7ca70fe4ff75f0.us-east-1.aws.found.io/app/kibana#/discover/Steve-Slow-Train-Analysis-(2080s-and-2083s)?_g=(refreshInterval:(display:Off,pause:!f,section:0,value:0),time:(from:'2017-05-13T00:47:00-0600',mode:absolute,to:'2017-05-13T03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4" s="192" t="str">
        <f t="shared" si="99"/>
        <v>N</v>
      </c>
      <c r="X254" s="192" t="e">
        <f t="shared" si="113"/>
        <v>#VALUE!</v>
      </c>
      <c r="Y254" s="192">
        <f t="shared" si="115"/>
        <v>15.423400000000001</v>
      </c>
      <c r="Z254" s="192">
        <f t="shared" si="114"/>
        <v>23.3291</v>
      </c>
      <c r="AA254" s="192">
        <f t="shared" si="100"/>
        <v>7.9056999999999995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101"/>
        <v>63-12</v>
      </c>
      <c r="AE254" s="80" t="str">
        <f t="shared" si="102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4" s="77" t="str">
        <f t="shared" si="103"/>
        <v>"C:\Program Files (x86)\AstroGrep\AstroGrep.exe" /e /r /s /spath="%USERPROFILE%\AppData\Local\Temp\OnboardLogs" /stypes="app*4034*20170513*" /stext=" 08:.+((SYSTEM_STATE.+slice.+state.+changed )|(ment ac)|(multiple cpu faults)|(system.+state.+changed )|(\[timeout)|(PRM\|1\|D)|(kpr)|(kdp)|(train st.+moving)|(\|lc)|(penalty))"</v>
      </c>
      <c r="AG254" s="1" t="str">
        <f t="shared" si="104"/>
        <v>Other</v>
      </c>
      <c r="AH254" s="81" t="str">
        <f t="shared" si="105"/>
        <v>"%USERPROFILE%\Documents\GitHub\eaglep3\Utilities\RefineRTDCRunTimes.py" --tripid 63-12 --locoid 4034 --swversion DE.1.0.9.0 --startMP 204:154234 --initTime 2017-05-13T01:47:00 --startdatetime 2017-05-13T02:25:53 --delay 1 --endMP 204:233291 --enddatetime 2017-05-13T02:38:24 --enforcementcount 0 &gt;&gt;C:\Users\stu\Documents\GitHub\eaglep3-reporting\EC\2017-05-13-refined-times.txt</v>
      </c>
      <c r="AI254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{"issue":{"subject":"","project_id":79,"tracker_id":40,"status_id":1,"priority_id":2,"assigned_to_id":23,"start_date":"2017-05-13","description":"","custom_fields":[{"id":1,"name":"Subdivision","value":"Other"},{"id":4,"name":"Milepost","value":"23.3291"},{"id":17,"name":"Train ID","value":"63-12"},{"id":16,"name":"Locomotive ID","value":"4034"},{"id":130,"name":"Impact","value":""},{"id":150,"name":"Time of Event (Mountain Time)","value":"02:38:24"},{"id":151,"name":"Denver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107"/>
        <v>start /low /b %USERPROFILE%\Documents\GitHub\eaglep3\Utilities\DownloadLogsFromS3.py --loco 4034 --day 2017-05-13</v>
      </c>
      <c r="AN254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08:38:24"},{"id":29,"name":"Sharepoint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586</v>
      </c>
      <c r="B255" s="7">
        <v>4034</v>
      </c>
      <c r="C255" s="21" t="s">
        <v>206</v>
      </c>
      <c r="D255" s="21" t="s">
        <v>1020</v>
      </c>
      <c r="E255" s="13">
        <v>42868.120462962965</v>
      </c>
      <c r="F255" s="13">
        <v>42868.149143518516</v>
      </c>
      <c r="G255" s="7">
        <v>1</v>
      </c>
      <c r="H255" s="21" t="s">
        <v>1021</v>
      </c>
      <c r="I255" s="13">
        <v>42868.186331018522</v>
      </c>
      <c r="J255" s="7">
        <v>0</v>
      </c>
      <c r="K255" s="92" t="str">
        <f t="shared" si="95"/>
        <v>4033/4034</v>
      </c>
      <c r="L255" s="21" t="str">
        <f>VLOOKUP(A255,'Trips&amp;Operators'!$C$1:$G$99999,5,FALSE)</f>
        <v>FORTUNATO FRANK</v>
      </c>
      <c r="M255" s="6">
        <f t="shared" si="96"/>
        <v>3.7187500005529728E-2</v>
      </c>
      <c r="N255" s="7">
        <f t="shared" si="116"/>
        <v>53.550000007962808</v>
      </c>
      <c r="O255" s="7"/>
      <c r="P255" s="7"/>
      <c r="Q255" s="22"/>
      <c r="R255" s="190"/>
      <c r="S255" s="196">
        <f t="shared" si="117"/>
        <v>0</v>
      </c>
      <c r="T255" s="190" t="e">
        <f t="shared" si="97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98"/>
        <v>https://d0f6bd738d7f1b3e5a7ca70fe4ff75f0.us-east-1.aws.found.io/app/kibana#/discover/Steve-Slow-Train-Analysis-(2080s-and-2083s)?_g=(refreshInterval:(display:Off,pause:!f,section:0,value:0),time:(from:'2017-05-13T01:53:28-0600',mode:absolute,to:'2017-05-13T05:28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5" s="192" t="str">
        <f t="shared" si="99"/>
        <v>N</v>
      </c>
      <c r="X255" s="192" t="e">
        <f t="shared" si="113"/>
        <v>#VALUE!</v>
      </c>
      <c r="Y255" s="192">
        <f t="shared" si="115"/>
        <v>15.4245</v>
      </c>
      <c r="Z255" s="192">
        <f t="shared" si="114"/>
        <v>23.343699999999998</v>
      </c>
      <c r="AA255" s="192">
        <f t="shared" si="100"/>
        <v>7.9191999999999982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101"/>
        <v>63-12</v>
      </c>
      <c r="AE255" s="80" t="str">
        <f t="shared" si="102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5" s="77" t="str">
        <f t="shared" si="103"/>
        <v>"C:\Program Files (x86)\AstroGrep\AstroGrep.exe" /e /r /s /spath="%USERPROFILE%\AppData\Local\Temp\OnboardLogs" /stypes="app*4034*20170513*" /stext=" 10:.+((SYSTEM_STATE.+slice.+state.+changed )|(ment ac)|(multiple cpu faults)|(system.+state.+changed )|(\[timeout)|(PRM\|1\|D)|(kpr)|(kdp)|(train st.+moving)|(\|lc)|(penalty))"</v>
      </c>
      <c r="AG255" s="1" t="str">
        <f t="shared" si="104"/>
        <v>Other</v>
      </c>
      <c r="AH255" s="81" t="str">
        <f t="shared" si="105"/>
        <v>"%USERPROFILE%\Documents\GitHub\eaglep3\Utilities\RefineRTDCRunTimes.py" --tripid 63-12 --locoid 4034 --swversion DE.1.0.9.0 --startMP 204:154245 --initTime 2017-05-13T02:53:28 --startdatetime 2017-05-13T03:34:46 --delay 1 --endMP 204:233437 --enddatetime 2017-05-13T04:28:19 --enforcementcount 0 &gt;&gt;C:\Users\stu\Documents\GitHub\eaglep3-reporting\EC\2017-05-13-refined-times.txt</v>
      </c>
      <c r="AI255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{"issue":{"subject":"","project_id":79,"tracker_id":40,"status_id":1,"priority_id":2,"assigned_to_id":23,"start_date":"2017-05-13","description":"","custom_fields":[{"id":1,"name":"Subdivision","value":"Other"},{"id":4,"name":"Milepost","value":"23.3437"},{"id":17,"name":"Train ID","value":"63-12"},{"id":16,"name":"Locomotive ID","value":"4034"},{"id":130,"name":"Impact","value":""},{"id":150,"name":"Time of Event (Mountain Time)","value":"04:28:19"},{"id":151,"name":"Denver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107"/>
        <v>start /low /b %USERPROFILE%\Documents\GitHub\eaglep3\Utilities\DownloadLogsFromS3.py --loco 4034 --day 2017-05-13</v>
      </c>
      <c r="AN255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10:28:19"},{"id":29,"name":"Sharepoint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586</v>
      </c>
      <c r="B256" s="7">
        <v>4034</v>
      </c>
      <c r="C256" s="21" t="s">
        <v>206</v>
      </c>
      <c r="D256" s="21" t="s">
        <v>1022</v>
      </c>
      <c r="E256" s="13">
        <v>42868.099930555552</v>
      </c>
      <c r="F256" s="13">
        <v>42868.121620370373</v>
      </c>
      <c r="G256" s="7">
        <v>0</v>
      </c>
      <c r="H256" s="21" t="s">
        <v>384</v>
      </c>
      <c r="I256" s="13">
        <v>42868.130439814813</v>
      </c>
      <c r="J256" s="7">
        <v>0</v>
      </c>
      <c r="K256" s="92" t="str">
        <f t="shared" si="95"/>
        <v>4033/4034</v>
      </c>
      <c r="L256" s="21" t="str">
        <f>VLOOKUP(A256,'Trips&amp;Operators'!$C$1:$G$99999,5,FALSE)</f>
        <v>FORTUNATO FRANK</v>
      </c>
      <c r="M256" s="6">
        <f t="shared" si="96"/>
        <v>8.8194444397231564E-3</v>
      </c>
      <c r="N256" s="7">
        <f t="shared" si="116"/>
        <v>12.699999993201345</v>
      </c>
      <c r="O256" s="7"/>
      <c r="P256" s="7"/>
      <c r="Q256" s="22"/>
      <c r="R256" s="190"/>
      <c r="S256" s="196">
        <f t="shared" si="117"/>
        <v>0</v>
      </c>
      <c r="T256" s="190" t="e">
        <f t="shared" si="97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98"/>
        <v>https://d0f6bd738d7f1b3e5a7ca70fe4ff75f0.us-east-1.aws.found.io/app/kibana#/discover/Steve-Slow-Train-Analysis-(2080s-and-2083s)?_g=(refreshInterval:(display:Off,pause:!f,section:0,value:0),time:(from:'2017-05-13T01:23:54-0600',mode:absolute,to:'2017-05-13T04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6" s="192" t="str">
        <f t="shared" si="99"/>
        <v>N</v>
      </c>
      <c r="X256" s="192" t="e">
        <f t="shared" si="113"/>
        <v>#VALUE!</v>
      </c>
      <c r="Y256" s="192">
        <f t="shared" si="115"/>
        <v>15.425700000000001</v>
      </c>
      <c r="Z256" s="192">
        <f t="shared" si="114"/>
        <v>23.330100000000002</v>
      </c>
      <c r="AA256" s="192">
        <f t="shared" si="100"/>
        <v>7.9044000000000008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101"/>
        <v>63-12</v>
      </c>
      <c r="AE256" s="80" t="str">
        <f t="shared" si="102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6" s="77" t="str">
        <f t="shared" si="103"/>
        <v>"C:\Program Files (x86)\AstroGrep\AstroGrep.exe" /e /r /s /spath="%USERPROFILE%\AppData\Local\Temp\OnboardLogs" /stypes="app*4034*20170513*" /stext=" 09:.+((SYSTEM_STATE.+slice.+state.+changed )|(ment ac)|(multiple cpu faults)|(system.+state.+changed )|(\[timeout)|(PRM\|1\|D)|(kpr)|(kdp)|(train st.+moving)|(\|lc)|(penalty))"</v>
      </c>
      <c r="AG256" s="1" t="str">
        <f t="shared" si="104"/>
        <v>Other</v>
      </c>
      <c r="AH256" s="81" t="str">
        <f t="shared" si="105"/>
        <v>"%USERPROFILE%\Documents\GitHub\eaglep3\Utilities\RefineRTDCRunTimes.py" --tripid 63-12 --locoid 4034 --swversion DE.1.0.9.0 --startMP 204:154257 --initTime 2017-05-13T02:23:54 --startdatetime 2017-05-13T02:55:08 --delay 0 --endMP 204:233301 --enddatetime 2017-05-13T03:07:50 --enforcementcount 0 &gt;&gt;C:\Users\stu\Documents\GitHub\eaglep3-reporting\EC\2017-05-13-refined-times.txt</v>
      </c>
      <c r="AI256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{"issue":{"subject":"","project_id":79,"tracker_id":40,"status_id":1,"priority_id":2,"assigned_to_id":23,"start_date":"2017-05-13","description":"","custom_fields":[{"id":1,"name":"Subdivision","value":"Other"},{"id":4,"name":"Milepost","value":"23.3301"},{"id":17,"name":"Train ID","value":"63-12"},{"id":16,"name":"Locomotive ID","value":"4034"},{"id":130,"name":"Impact","value":""},{"id":150,"name":"Time of Event (Mountain Time)","value":"03:07:50"},{"id":151,"name":"Denver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107"/>
        <v>start /low /b %USERPROFILE%\Documents\GitHub\eaglep3\Utilities\DownloadLogsFromS3.py --loco 4034 --day 2017-05-13</v>
      </c>
      <c r="AN256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09:07:50"},{"id":29,"name":"Sharepoint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586</v>
      </c>
      <c r="B257" s="7">
        <v>4034</v>
      </c>
      <c r="C257" s="21" t="s">
        <v>206</v>
      </c>
      <c r="D257" s="21" t="s">
        <v>1023</v>
      </c>
      <c r="E257" s="13">
        <v>42868.137025462966</v>
      </c>
      <c r="F257" s="13">
        <v>42868.149143518516</v>
      </c>
      <c r="G257" s="7">
        <v>1</v>
      </c>
      <c r="H257" s="21" t="s">
        <v>471</v>
      </c>
      <c r="I257" s="13">
        <v>42868.186331018522</v>
      </c>
      <c r="J257" s="7">
        <v>0</v>
      </c>
      <c r="K257" s="92" t="str">
        <f t="shared" si="95"/>
        <v>4033/4034</v>
      </c>
      <c r="L257" s="21" t="str">
        <f>VLOOKUP(A257,'Trips&amp;Operators'!$C$1:$G$99999,5,FALSE)</f>
        <v>FORTUNATO FRANK</v>
      </c>
      <c r="M257" s="6">
        <f t="shared" si="96"/>
        <v>3.7187500005529728E-2</v>
      </c>
      <c r="N257" s="7">
        <f t="shared" si="116"/>
        <v>53.550000007962808</v>
      </c>
      <c r="O257" s="7"/>
      <c r="P257" s="7"/>
      <c r="Q257" s="22"/>
      <c r="R257" s="190"/>
      <c r="S257" s="196">
        <f t="shared" si="117"/>
        <v>0</v>
      </c>
      <c r="T257" s="190" t="e">
        <f t="shared" si="97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98"/>
        <v>https://d0f6bd738d7f1b3e5a7ca70fe4ff75f0.us-east-1.aws.found.io/app/kibana#/discover/Steve-Slow-Train-Analysis-(2080s-and-2083s)?_g=(refreshInterval:(display:Off,pause:!f,section:0,value:0),time:(from:'2017-05-13T02:17:19-0600',mode:absolute,to:'2017-05-13T05:28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7" s="192" t="str">
        <f t="shared" si="99"/>
        <v>Y</v>
      </c>
      <c r="X257" s="192" t="e">
        <f t="shared" si="113"/>
        <v>#VALUE!</v>
      </c>
      <c r="Y257" s="192">
        <f t="shared" si="115"/>
        <v>23.244299999999999</v>
      </c>
      <c r="Z257" s="192">
        <f t="shared" si="114"/>
        <v>23.327400000000001</v>
      </c>
      <c r="AA257" s="192">
        <f t="shared" si="100"/>
        <v>8.3100000000001728E-2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101"/>
        <v>63-12</v>
      </c>
      <c r="AE257" s="80" t="str">
        <f t="shared" si="102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7" s="77" t="str">
        <f t="shared" si="103"/>
        <v>"C:\Program Files (x86)\AstroGrep\AstroGrep.exe" /e /r /s /spath="%USERPROFILE%\AppData\Local\Temp\OnboardLogs" /stypes="app*4034*20170513*" /stext=" 10:.+((SYSTEM_STATE.+slice.+state.+changed )|(ment ac)|(multiple cpu faults)|(system.+state.+changed )|(\[timeout)|(PRM\|1\|D)|(kpr)|(kdp)|(train st.+moving)|(\|lc)|(penalty))"</v>
      </c>
      <c r="AG257" s="1" t="str">
        <f t="shared" si="104"/>
        <v>Other</v>
      </c>
      <c r="AH257" s="81" t="str">
        <f t="shared" si="105"/>
        <v>"%USERPROFILE%\Documents\GitHub\eaglep3\Utilities\RefineRTDCRunTimes.py" --tripid 63-12 --locoid 4034 --swversion DE.1.0.9.0 --startMP 204:232443 --initTime 2017-05-13T03:17:19 --startdatetime 2017-05-13T03:34:46 --delay 1 --endMP 204:233274 --enddatetime 2017-05-13T04:28:19 --enforcementcount 0 &gt;&gt;C:\Users\stu\Documents\GitHub\eaglep3-reporting\EC\2017-05-13-refined-times.txt</v>
      </c>
      <c r="AI257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{"issue":{"subject":"","project_id":79,"tracker_id":40,"status_id":1,"priority_id":2,"assigned_to_id":23,"start_date":"2017-05-13","description":"","custom_fields":[{"id":1,"name":"Subdivision","value":"Other"},{"id":4,"name":"Milepost","value":"23.3274"},{"id":17,"name":"Train ID","value":"63-12"},{"id":16,"name":"Locomotive ID","value":"4034"},{"id":130,"name":"Impact","value":""},{"id":150,"name":"Time of Event (Mountain Time)","value":"04:28:19"},{"id":151,"name":"Denver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107"/>
        <v>start /low /b %USERPROFILE%\Documents\GitHub\eaglep3\Utilities\DownloadLogsFromS3.py --loco 4034 --day 2017-05-13</v>
      </c>
      <c r="AN257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10:28:19"},{"id":29,"name":"Sharepoint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586</v>
      </c>
      <c r="B258" s="7">
        <v>4034</v>
      </c>
      <c r="C258" s="21" t="s">
        <v>206</v>
      </c>
      <c r="D258" s="21" t="s">
        <v>1024</v>
      </c>
      <c r="E258" s="13">
        <v>42868.14435185185</v>
      </c>
      <c r="F258" s="13">
        <v>42868.149143518516</v>
      </c>
      <c r="G258" s="7">
        <v>1</v>
      </c>
      <c r="H258" s="21" t="s">
        <v>1025</v>
      </c>
      <c r="I258" s="13">
        <v>42868.186331018522</v>
      </c>
      <c r="J258" s="7">
        <v>0</v>
      </c>
      <c r="K258" s="92" t="str">
        <f t="shared" si="95"/>
        <v>4033/4034</v>
      </c>
      <c r="L258" s="21" t="str">
        <f>VLOOKUP(A258,'Trips&amp;Operators'!$C$1:$G$99999,5,FALSE)</f>
        <v>FORTUNATO FRANK</v>
      </c>
      <c r="M258" s="6">
        <f t="shared" si="96"/>
        <v>3.7187500005529728E-2</v>
      </c>
      <c r="N258" s="7">
        <f t="shared" si="116"/>
        <v>53.550000007962808</v>
      </c>
      <c r="O258" s="7"/>
      <c r="P258" s="7"/>
      <c r="Q258" s="22"/>
      <c r="R258" s="190"/>
      <c r="S258" s="196">
        <f t="shared" si="117"/>
        <v>0</v>
      </c>
      <c r="T258" s="190" t="e">
        <f t="shared" si="97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98"/>
        <v>https://d0f6bd738d7f1b3e5a7ca70fe4ff75f0.us-east-1.aws.found.io/app/kibana#/discover/Steve-Slow-Train-Analysis-(2080s-and-2083s)?_g=(refreshInterval:(display:Off,pause:!f,section:0,value:0),time:(from:'2017-05-13T02:27:52-0600',mode:absolute,to:'2017-05-13T05:28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8" s="192" t="str">
        <f t="shared" si="99"/>
        <v>Y</v>
      </c>
      <c r="X258" s="192" t="e">
        <f t="shared" si="113"/>
        <v>#VALUE!</v>
      </c>
      <c r="Y258" s="192">
        <f t="shared" si="115"/>
        <v>23.2498</v>
      </c>
      <c r="Z258" s="192">
        <f t="shared" si="114"/>
        <v>23.303799999999999</v>
      </c>
      <c r="AA258" s="192">
        <f t="shared" si="100"/>
        <v>5.3999999999998494E-2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101"/>
        <v>63-12</v>
      </c>
      <c r="AE258" s="80" t="str">
        <f t="shared" si="102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8" s="77" t="str">
        <f t="shared" si="103"/>
        <v>"C:\Program Files (x86)\AstroGrep\AstroGrep.exe" /e /r /s /spath="%USERPROFILE%\AppData\Local\Temp\OnboardLogs" /stypes="app*4034*20170513*" /stext=" 10:.+((SYSTEM_STATE.+slice.+state.+changed )|(ment ac)|(multiple cpu faults)|(system.+state.+changed )|(\[timeout)|(PRM\|1\|D)|(kpr)|(kdp)|(train st.+moving)|(\|lc)|(penalty))"</v>
      </c>
      <c r="AG258" s="1" t="str">
        <f t="shared" si="104"/>
        <v>Other</v>
      </c>
      <c r="AH258" s="81" t="str">
        <f t="shared" si="105"/>
        <v>"%USERPROFILE%\Documents\GitHub\eaglep3\Utilities\RefineRTDCRunTimes.py" --tripid 63-12 --locoid 4034 --swversion DE.1.0.9.0 --startMP 204:232498 --initTime 2017-05-13T03:27:52 --startdatetime 2017-05-13T03:34:46 --delay 1 --endMP 204:233038 --enddatetime 2017-05-13T04:28:19 --enforcementcount 0 &gt;&gt;C:\Users\stu\Documents\GitHub\eaglep3-reporting\EC\2017-05-13-refined-times.txt</v>
      </c>
      <c r="AI258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{"issue":{"subject":"","project_id":79,"tracker_id":40,"status_id":1,"priority_id":2,"assigned_to_id":23,"start_date":"2017-05-13","description":"","custom_fields":[{"id":1,"name":"Subdivision","value":"Other"},{"id":4,"name":"Milepost","value":"23.3038"},{"id":17,"name":"Train ID","value":"63-12"},{"id":16,"name":"Locomotive ID","value":"4034"},{"id":130,"name":"Impact","value":""},{"id":150,"name":"Time of Event (Mountain Time)","value":"04:28:19"},{"id":151,"name":"Denver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107"/>
        <v>start /low /b %USERPROFILE%\Documents\GitHub\eaglep3\Utilities\DownloadLogsFromS3.py --loco 4034 --day 2017-05-13</v>
      </c>
      <c r="AN258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10:28:19"},{"id":29,"name":"Sharepoint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586</v>
      </c>
      <c r="B259" s="7">
        <v>4034</v>
      </c>
      <c r="C259" s="21" t="s">
        <v>206</v>
      </c>
      <c r="D259" s="21" t="s">
        <v>538</v>
      </c>
      <c r="E259" s="13">
        <v>42868.187534722223</v>
      </c>
      <c r="F259" s="13">
        <v>42868.190196759257</v>
      </c>
      <c r="G259" s="7">
        <v>1</v>
      </c>
      <c r="H259" s="21" t="s">
        <v>363</v>
      </c>
      <c r="I259" s="13">
        <v>42868.20039351852</v>
      </c>
      <c r="J259" s="7">
        <v>0</v>
      </c>
      <c r="K259" s="92" t="str">
        <f t="shared" si="95"/>
        <v>4033/4034</v>
      </c>
      <c r="L259" s="21" t="str">
        <f>VLOOKUP(A259,'Trips&amp;Operators'!$C$1:$G$99999,5,FALSE)</f>
        <v>FORTUNATO FRANK</v>
      </c>
      <c r="M259" s="6">
        <f t="shared" si="96"/>
        <v>1.0196759263635613E-2</v>
      </c>
      <c r="N259" s="7">
        <f t="shared" si="116"/>
        <v>14.683333339635283</v>
      </c>
      <c r="O259" s="7"/>
      <c r="P259" s="7"/>
      <c r="Q259" s="22"/>
      <c r="R259" s="190"/>
      <c r="S259" s="196">
        <f t="shared" si="117"/>
        <v>0</v>
      </c>
      <c r="T259" s="190" t="e">
        <f t="shared" si="97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98"/>
        <v>https://d0f6bd738d7f1b3e5a7ca70fe4ff75f0.us-east-1.aws.found.io/app/kibana#/discover/Steve-Slow-Train-Analysis-(2080s-and-2083s)?_g=(refreshInterval:(display:Off,pause:!f,section:0,value:0),time:(from:'2017-05-13T03:30:03-0600',mode:absolute,to:'2017-05-13T05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9" s="192" t="str">
        <f t="shared" si="99"/>
        <v>Y</v>
      </c>
      <c r="X259" s="192" t="e">
        <f t="shared" si="113"/>
        <v>#VALUE!</v>
      </c>
      <c r="Y259" s="192">
        <f t="shared" si="115"/>
        <v>4.41E-2</v>
      </c>
      <c r="Z259" s="192">
        <f t="shared" si="114"/>
        <v>2.3346</v>
      </c>
      <c r="AA259" s="192">
        <f t="shared" si="100"/>
        <v>2.2905000000000002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101"/>
        <v>63-12</v>
      </c>
      <c r="AE259" s="80" t="str">
        <f t="shared" si="102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59" s="77" t="str">
        <f t="shared" si="103"/>
        <v>"C:\Program Files (x86)\AstroGrep\AstroGrep.exe" /e /r /s /spath="%USERPROFILE%\AppData\Local\Temp\OnboardLogs" /stypes="app*4034*20170513*" /stext=" 10:.+((SYSTEM_STATE.+slice.+state.+changed )|(ment ac)|(multiple cpu faults)|(system.+state.+changed )|(\[timeout)|(PRM\|1\|D)|(kpr)|(kdp)|(train st.+moving)|(\|lc)|(penalty))"</v>
      </c>
      <c r="AG259" s="1" t="str">
        <f t="shared" si="104"/>
        <v>Other</v>
      </c>
      <c r="AH259" s="81" t="str">
        <f t="shared" si="105"/>
        <v>"%USERPROFILE%\Documents\GitHub\eaglep3\Utilities\RefineRTDCRunTimes.py" --tripid 63-12 --locoid 4034 --swversion DE.1.0.9.0 --startMP 204:441 --initTime 2017-05-13T04:30:03 --startdatetime 2017-05-13T04:33:53 --delay 1 --endMP 300:23346 --enddatetime 2017-05-13T04:48:34 --enforcementcount 0 &gt;&gt;C:\Users\stu\Documents\GitHub\eaglep3-reporting\EC\2017-05-13-refined-times.txt</v>
      </c>
      <c r="AI259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{"issue":{"subject":"","project_id":79,"tracker_id":40,"status_id":1,"priority_id":2,"assigned_to_id":23,"start_date":"2017-05-13","description":"","custom_fields":[{"id":1,"name":"Subdivision","value":"Other"},{"id":4,"name":"Milepost","value":"2.3346"},{"id":17,"name":"Train ID","value":"63-12"},{"id":16,"name":"Locomotive ID","value":"4034"},{"id":130,"name":"Impact","value":""},{"id":150,"name":"Time of Event (Mountain Time)","value":"04:48:34"},{"id":151,"name":"Denver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107"/>
        <v>start /low /b %USERPROFILE%\Documents\GitHub\eaglep3\Utilities\DownloadLogsFromS3.py --loco 4034 --day 2017-05-13</v>
      </c>
      <c r="AN259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586</v>
      </c>
      <c r="B260" s="7">
        <v>4034</v>
      </c>
      <c r="C260" s="21" t="s">
        <v>206</v>
      </c>
      <c r="D260" s="21" t="s">
        <v>363</v>
      </c>
      <c r="E260" s="13">
        <v>42868.187534722223</v>
      </c>
      <c r="F260" s="13">
        <v>42868.190196759257</v>
      </c>
      <c r="G260" s="7">
        <v>13</v>
      </c>
      <c r="H260" s="21" t="s">
        <v>363</v>
      </c>
      <c r="I260" s="13">
        <v>42868.20039351852</v>
      </c>
      <c r="J260" s="7">
        <v>0</v>
      </c>
      <c r="K260" s="92" t="str">
        <f t="shared" si="95"/>
        <v>4033/4034</v>
      </c>
      <c r="L260" s="21" t="str">
        <f>VLOOKUP(A260,'Trips&amp;Operators'!$C$1:$G$99999,5,FALSE)</f>
        <v>FORTUNATO FRANK</v>
      </c>
      <c r="M260" s="6">
        <f t="shared" si="96"/>
        <v>1.0196759263635613E-2</v>
      </c>
      <c r="N260" s="7">
        <f t="shared" si="116"/>
        <v>14.683333339635283</v>
      </c>
      <c r="O260" s="7"/>
      <c r="P260" s="7"/>
      <c r="Q260" s="22"/>
      <c r="R260" s="190"/>
      <c r="S260" s="196">
        <f t="shared" si="117"/>
        <v>0</v>
      </c>
      <c r="T260" s="190" t="e">
        <f t="shared" si="97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98"/>
        <v>https://d0f6bd738d7f1b3e5a7ca70fe4ff75f0.us-east-1.aws.found.io/app/kibana#/discover/Steve-Slow-Train-Analysis-(2080s-and-2083s)?_g=(refreshInterval:(display:Off,pause:!f,section:0,value:0),time:(from:'2017-05-13T03:30:03-0600',mode:absolute,to:'2017-05-13T05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60" s="192" t="str">
        <f t="shared" si="99"/>
        <v>Y</v>
      </c>
      <c r="X260" s="192" t="e">
        <f t="shared" si="113"/>
        <v>#VALUE!</v>
      </c>
      <c r="Y260" s="192">
        <f t="shared" si="115"/>
        <v>2.3346</v>
      </c>
      <c r="Z260" s="192">
        <f t="shared" si="114"/>
        <v>2.3346</v>
      </c>
      <c r="AA260" s="192">
        <f t="shared" si="100"/>
        <v>0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101"/>
        <v>63-12</v>
      </c>
      <c r="AE260" s="80" t="str">
        <f t="shared" si="102"/>
        <v>aws s3 cp s3://rtdc.mdm.uploadarchive.raw/RTDC4034/ "%USERPROFILE%\AppData\Local\Temp\OnboardLogs"\RTDC4034\2017-05-13 --exclude "*" --recursive --include "*20170513*" &amp; "%USERPROFILE%\Documents\GitHub\mrs-test-scripts\Headless Mode &amp; Sideloading\WalkAndUnGZ.bat" "%USERPROFILE%\AppData\Local\Temp\OnboardLogs"\RTDC4034\2017-05-13 &amp; aws s3 cp s3://rtdc.mdm.uploadarchive.raw/RTDC4034/ "%USERPROFILE%\AppData\Local\Temp\OnboardLogs"\RTDC4034\2017-05-14 --exclude "*" --recursive --include "*20170514*" &amp; "%USERPROFILE%\Documents\GitHub\mrs-test-scripts\Headless Mode &amp; Sideloading\WalkAndUnGZ.bat" "%USERPROFILE%\AppData\Local\Temp\OnboardLogs"\RTDC4034\2017-05-14</v>
      </c>
      <c r="AF260" s="77" t="str">
        <f t="shared" si="103"/>
        <v>"C:\Program Files (x86)\AstroGrep\AstroGrep.exe" /e /r /s /spath="%USERPROFILE%\AppData\Local\Temp\OnboardLogs" /stypes="app*4034*20170513*" /stext=" 10:.+((SYSTEM_STATE.+slice.+state.+changed )|(ment ac)|(multiple cpu faults)|(system.+state.+changed )|(\[timeout)|(PRM\|1\|D)|(kpr)|(kdp)|(train st.+moving)|(\|lc)|(penalty))"</v>
      </c>
      <c r="AG260" s="1" t="str">
        <f t="shared" si="104"/>
        <v>Other</v>
      </c>
      <c r="AH260" s="81" t="str">
        <f t="shared" si="105"/>
        <v>"%USERPROFILE%\Documents\GitHub\eaglep3\Utilities\RefineRTDCRunTimes.py" --tripid 63-12 --locoid 4034 --swversion DE.1.0.9.0 --startMP 300:23346 --initTime 2017-05-13T04:30:03 --startdatetime 2017-05-13T04:33:53 --delay 13 --endMP 300:23346 --enddatetime 2017-05-13T04:48:34 --enforcementcount 0 &gt;&gt;C:\Users\stu\Documents\GitHub\eaglep3-reporting\EC\2017-05-13-refined-times.txt</v>
      </c>
      <c r="AI260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{"issue":{"subject":"","project_id":79,"tracker_id":40,"status_id":1,"priority_id":2,"assigned_to_id":23,"start_date":"2017-05-13","description":"","custom_fields":[{"id":1,"name":"Subdivision","value":"Other"},{"id":4,"name":"Milepost","value":"2.3346"},{"id":17,"name":"Train ID","value":"63-12"},{"id":16,"name":"Locomotive ID","value":"4034"},{"id":130,"name":"Impact","value":""},{"id":150,"name":"Time of Event (Mountain Time)","value":"04:48:34"},{"id":151,"name":"Denver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107"/>
        <v>start /low /b %USERPROFILE%\Documents\GitHub\eaglep3\Utilities\DownloadLogsFromS3.py --loco 4034 --day 2017-05-13</v>
      </c>
      <c r="AN260" s="154" t="str">
        <f t="shared" si="108"/>
        <v>echo {"issue":{"subject":"","project_id":30,"tracker_id":4,"status_id":1,"priority_id":1,"assigned_to_id":10,"start_date":"2017-05-13","description":"","custom_fields":[{"id":30,"name":"Category","value":"Issue"},{"id":3,"name":"Functional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UTC","value":"2017-05-13 10:48:34"},{"id":29,"name":"Sharepoint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736</v>
      </c>
      <c r="B261" s="7">
        <v>4049</v>
      </c>
      <c r="C261" s="21" t="s">
        <v>206</v>
      </c>
      <c r="D261" s="21" t="s">
        <v>1026</v>
      </c>
      <c r="E261" s="13">
        <v>42868.746840277781</v>
      </c>
      <c r="F261" s="13">
        <v>42868.756215277775</v>
      </c>
      <c r="G261" s="7">
        <v>13</v>
      </c>
      <c r="H261" s="21" t="s">
        <v>912</v>
      </c>
      <c r="I261" s="13">
        <v>42868.761261574073</v>
      </c>
      <c r="J261" s="7">
        <v>0</v>
      </c>
      <c r="K261" s="92" t="str">
        <f t="shared" si="95"/>
        <v>4049/4050</v>
      </c>
      <c r="L261" s="21" t="str">
        <f>VLOOKUP(A261,'Trips&amp;Operators'!$C$1:$G$99999,5,FALSE)</f>
        <v>SWANSON BRYCE</v>
      </c>
      <c r="M261" s="6">
        <f t="shared" si="96"/>
        <v>5.0462962972233072E-3</v>
      </c>
      <c r="N261" s="7">
        <f t="shared" si="116"/>
        <v>7.2666666680015624</v>
      </c>
      <c r="O261" s="7"/>
      <c r="P261" s="7"/>
      <c r="Q261" s="22"/>
      <c r="R261" s="190"/>
      <c r="S261" s="196">
        <f t="shared" si="117"/>
        <v>0</v>
      </c>
      <c r="T261" s="190" t="e">
        <f t="shared" si="97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98"/>
        <v>https://d0f6bd738d7f1b3e5a7ca70fe4ff75f0.us-east-1.aws.found.io/app/kibana#/discover/Steve-Slow-Train-Analysis-(2080s-and-2083s)?_g=(refreshInterval:(display:Off,pause:!f,section:0,value:0),time:(from:'2017-05-13T16:55:27-0600',mode:absolute,to:'2017-05-13T19:16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1" s="192" t="str">
        <f t="shared" si="99"/>
        <v>Y</v>
      </c>
      <c r="X261" s="192" t="e">
        <f t="shared" si="113"/>
        <v>#VALUE!</v>
      </c>
      <c r="Y261" s="192">
        <f t="shared" si="115"/>
        <v>2.1581000000000001</v>
      </c>
      <c r="Z261" s="192">
        <f t="shared" si="114"/>
        <v>1.1900000000000001E-2</v>
      </c>
      <c r="AA261" s="192">
        <f t="shared" si="100"/>
        <v>2.1462000000000003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101"/>
        <v>70-13</v>
      </c>
      <c r="AE261" s="80" t="str">
        <f t="shared" si="102"/>
        <v>aws s3 cp s3://rtdc.mdm.uploadarchive.raw/RTDC4049/ "%USERPROFILE%\AppData\Local\Temp\OnboardLogs"\RTDC4049\2017-05-13 --exclude "*" --recursive --include "*20170513*" &amp; "%USERPROFILE%\Documents\GitHub\mrs-test-scripts\Headless Mode &amp; Sideloading\WalkAndUnGZ.bat" "%USERPROFILE%\AppData\Local\Temp\OnboardLogs"\RTDC4049\2017-05-13 &amp; aws s3 cp s3://rtdc.mdm.uploadarchive.raw/RTDC4049/ "%USERPROFILE%\AppData\Local\Temp\OnboardLogs"\RTDC4049\2017-05-14 --exclude "*" --recursive --include "*20170514*" &amp; "%USERPROFILE%\Documents\GitHub\mrs-test-scripts\Headless Mode &amp; Sideloading\WalkAndUnGZ.bat" "%USERPROFILE%\AppData\Local\Temp\OnboardLogs"\RTDC4049\2017-05-14</v>
      </c>
      <c r="AF261" s="77" t="str">
        <f t="shared" si="103"/>
        <v>"C:\Program Files (x86)\AstroGrep\AstroGrep.exe" /e /r /s /spath="%USERPROFILE%\AppData\Local\Temp\OnboardLogs" /stypes="app*4049*20170514*" /stext=" 00:.+((SYSTEM_STATE.+slice.+state.+changed )|(ment ac)|(multiple cpu faults)|(system.+state.+changed )|(\[timeout)|(PRM\|1\|D)|(kpr)|(kdp)|(train st.+moving)|(\|lc)|(penalty))"</v>
      </c>
      <c r="AG261" s="1" t="str">
        <f t="shared" si="104"/>
        <v>Other</v>
      </c>
      <c r="AH261" s="81" t="str">
        <f t="shared" si="105"/>
        <v>"%USERPROFILE%\Documents\GitHub\eaglep3\Utilities\RefineRTDCRunTimes.py" --tripid 70-13 --locoid 4049 --swversion DE.1.0.9.0 --startMP 300:21581 --initTime 2017-05-13T17:55:27 --startdatetime 2017-05-13T18:08:57 --delay 13 --endMP 204:119 --enddatetime 2017-05-13T18:16:13 --enforcementcount 0 &gt;&gt;C:\Users\stu\Documents\GitHub\eaglep3-reporting\EC\2017-05-13-refined-times.txt</v>
      </c>
      <c r="AI261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{"issue":{"subject":"","project_id":79,"tracker_id":40,"status_id":1,"priority_id":2,"assigned_to_id":23,"start_date":"2017-05-13","description":"","custom_fields":[{"id":1,"name":"Subdivision","value":"Other"},{"id":4,"name":"Milepost","value":"0.0119"},{"id":17,"name":"Train ID","value":"70-13"},{"id":16,"name":"Locomotive ID","value":"4049"},{"id":130,"name":"Impact","value":""},{"id":150,"name":"Time of Event (Mountain Time)","value":"18:16:13"},{"id":151,"name":"Denver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107"/>
        <v>start /low /b %USERPROFILE%\Documents\GitHub\eaglep3\Utilities\DownloadLogsFromS3.py --loco 4049 --day 2017-05-13</v>
      </c>
      <c r="AN261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00:16:13"},{"id":29,"name":"Sharepoint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567</v>
      </c>
      <c r="B262" s="7">
        <v>4021</v>
      </c>
      <c r="C262" s="21" t="s">
        <v>206</v>
      </c>
      <c r="D262" s="21" t="s">
        <v>1027</v>
      </c>
      <c r="E262" s="13">
        <v>42868.733090277776</v>
      </c>
      <c r="F262" s="13">
        <v>42868.735092592593</v>
      </c>
      <c r="G262" s="7">
        <v>2</v>
      </c>
      <c r="H262" s="21" t="s">
        <v>918</v>
      </c>
      <c r="I262" s="13">
        <v>42868.765266203707</v>
      </c>
      <c r="J262" s="7">
        <v>0</v>
      </c>
      <c r="K262" s="92" t="str">
        <f t="shared" si="95"/>
        <v>4021/4022</v>
      </c>
      <c r="L262" s="21" t="str">
        <f>VLOOKUP(A262,'Trips&amp;Operators'!$C$1:$G$99999,5,FALSE)</f>
        <v>FORTUNATO FRANK</v>
      </c>
      <c r="M262" s="6">
        <f t="shared" si="96"/>
        <v>3.0173611114150845E-2</v>
      </c>
      <c r="N262" s="7">
        <f t="shared" si="116"/>
        <v>43.450000004377216</v>
      </c>
      <c r="O262" s="7"/>
      <c r="P262" s="7"/>
      <c r="Q262" s="22"/>
      <c r="R262" s="190"/>
      <c r="S262" s="196">
        <f t="shared" si="117"/>
        <v>0</v>
      </c>
      <c r="T262" s="190" t="e">
        <f t="shared" si="97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98"/>
        <v>https://d0f6bd738d7f1b3e5a7ca70fe4ff75f0.us-east-1.aws.found.io/app/kibana#/discover/Steve-Slow-Train-Analysis-(2080s-and-2083s)?_g=(refreshInterval:(display:Off,pause:!f,section:0,value:0),time:(from:'2017-05-13T16:35:39-0600',mode:absolute,to:'2017-05-13T19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2" s="192" t="str">
        <f t="shared" si="99"/>
        <v>Y</v>
      </c>
      <c r="X262" s="192" t="e">
        <f t="shared" si="113"/>
        <v>#VALUE!</v>
      </c>
      <c r="Y262" s="192">
        <f t="shared" si="115"/>
        <v>2.3321000000000001</v>
      </c>
      <c r="Z262" s="192">
        <f t="shared" si="114"/>
        <v>9.1300000000000006E-2</v>
      </c>
      <c r="AA262" s="192">
        <f t="shared" si="100"/>
        <v>2.2408000000000001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101"/>
        <v>76-13</v>
      </c>
      <c r="AE262" s="80" t="str">
        <f t="shared" si="102"/>
        <v>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 &amp; aws s3 cp s3://rtdc.mdm.uploadarchive.raw/RTDC4021/ "%USERPROFILE%\AppData\Local\Temp\OnboardLogs"\RTDC4021\2017-05-14 --exclude "*" --recursive --include "*20170514*" &amp; "%USERPROFILE%\Documents\GitHub\mrs-test-scripts\Headless Mode &amp; Sideloading\WalkAndUnGZ.bat" "%USERPROFILE%\AppData\Local\Temp\OnboardLogs"\RTDC4021\2017-05-14</v>
      </c>
      <c r="AF262" s="77" t="str">
        <f t="shared" si="103"/>
        <v>"C:\Program Files (x86)\AstroGrep\AstroGrep.exe" /e /r /s /spath="%USERPROFILE%\AppData\Local\Temp\OnboardLogs" /stypes="app*4021*20170514*" /stext=" 00:.+((SYSTEM_STATE.+slice.+state.+changed )|(ment ac)|(multiple cpu faults)|(system.+state.+changed )|(\[timeout)|(PRM\|1\|D)|(kpr)|(kdp)|(train st.+moving)|(\|lc)|(penalty))"</v>
      </c>
      <c r="AG262" s="1" t="str">
        <f t="shared" si="104"/>
        <v>Other</v>
      </c>
      <c r="AH262" s="81" t="str">
        <f t="shared" si="105"/>
        <v>"%USERPROFILE%\Documents\GitHub\eaglep3\Utilities\RefineRTDCRunTimes.py" --tripid 76-13 --locoid 4021 --swversion DE.1.0.9.0 --startMP 300:23321 --initTime 2017-05-13T17:35:39 --startdatetime 2017-05-13T17:38:32 --delay 2 --endMP 204:913 --enddatetime 2017-05-13T18:21:59 --enforcementcount 0 &gt;&gt;C:\Users\stu\Documents\GitHub\eaglep3-reporting\EC\2017-05-13-refined-times.txt</v>
      </c>
      <c r="AI262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{"issue":{"subject":"","project_id":79,"tracker_id":40,"status_id":1,"priority_id":2,"assigned_to_id":23,"start_date":"2017-05-13","description":"","custom_fields":[{"id":1,"name":"Subdivision","value":"Other"},{"id":4,"name":"Milepost","value":"0.0913"},{"id":17,"name":"Train ID","value":"76-13"},{"id":16,"name":"Locomotive ID","value":"4021"},{"id":130,"name":"Impact","value":""},{"id":150,"name":"Time of Event (Mountain Time)","value":"18:21:59"},{"id":151,"name":"Denver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107"/>
        <v>start /low /b %USERPROFILE%\Documents\GitHub\eaglep3\Utilities\DownloadLogsFromS3.py --loco 4021 --day 2017-05-13</v>
      </c>
      <c r="AN262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757</v>
      </c>
      <c r="B263" s="7">
        <v>4061</v>
      </c>
      <c r="C263" s="21" t="s">
        <v>206</v>
      </c>
      <c r="D263" s="21" t="s">
        <v>1028</v>
      </c>
      <c r="E263" s="13">
        <v>42868.829641203702</v>
      </c>
      <c r="F263" s="13">
        <v>42868.832569444443</v>
      </c>
      <c r="G263" s="7">
        <v>4</v>
      </c>
      <c r="H263" s="21" t="s">
        <v>1029</v>
      </c>
      <c r="I263" s="13">
        <v>42868.839259259257</v>
      </c>
      <c r="J263" s="7">
        <v>0</v>
      </c>
      <c r="K263" s="92" t="str">
        <f t="shared" si="95"/>
        <v>4061/4062</v>
      </c>
      <c r="L263" s="21" t="str">
        <f>VLOOKUP(A263,'Trips&amp;Operators'!$C$1:$G$99999,5,FALSE)</f>
        <v>WILLIAMS DONTE</v>
      </c>
      <c r="M263" s="6">
        <f t="shared" si="96"/>
        <v>6.6898148143081926E-3</v>
      </c>
      <c r="N263" s="7">
        <f t="shared" si="116"/>
        <v>9.6333333326037973</v>
      </c>
      <c r="O263" s="7"/>
      <c r="P263" s="7"/>
      <c r="Q263" s="22"/>
      <c r="R263" s="190"/>
      <c r="S263" s="196">
        <f t="shared" si="117"/>
        <v>0</v>
      </c>
      <c r="T263" s="190" t="e">
        <f t="shared" si="97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98"/>
        <v>https://d0f6bd738d7f1b3e5a7ca70fe4ff75f0.us-east-1.aws.found.io/app/kibana#/discover/Steve-Slow-Train-Analysis-(2080s-and-2083s)?_g=(refreshInterval:(display:Off,pause:!f,section:0,value:0),time:(from:'2017-05-13T18:54:41-0600',mode:absolute,to:'2017-05-13T21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63" s="192" t="str">
        <f t="shared" si="99"/>
        <v>Y</v>
      </c>
      <c r="X263" s="192" t="e">
        <f t="shared" si="113"/>
        <v>#VALUE!</v>
      </c>
      <c r="Y263" s="192">
        <f t="shared" si="115"/>
        <v>2.3456999999999999</v>
      </c>
      <c r="Z263" s="192">
        <f t="shared" si="114"/>
        <v>8.3999999999999995E-3</v>
      </c>
      <c r="AA263" s="192">
        <f t="shared" si="100"/>
        <v>2.3372999999999999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101"/>
        <v>78-13</v>
      </c>
      <c r="AE263" s="80" t="str">
        <f t="shared" si="102"/>
        <v>aws s3 cp s3://rtdc.mdm.uploadarchive.raw/RTDC4061/ "%USERPROFILE%\AppData\Local\Temp\OnboardLogs"\RTDC4061\2017-05-13 --exclude "*" --recursive --include "*20170513*" &amp; "%USERPROFILE%\Documents\GitHub\mrs-test-scripts\Headless Mode &amp; Sideloading\WalkAndUnGZ.bat" "%USERPROFILE%\AppData\Local\Temp\OnboardLogs"\RTDC4061\2017-05-13 &amp; 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</v>
      </c>
      <c r="AF263" s="77" t="str">
        <f t="shared" si="103"/>
        <v>"C:\Program Files (x86)\AstroGrep\AstroGrep.exe" /e /r /s /spath="%USERPROFILE%\AppData\Local\Temp\OnboardLogs" /stypes="app*4061*20170514*" /stext=" 02:.+((SYSTEM_STATE.+slice.+state.+changed )|(ment ac)|(multiple cpu faults)|(system.+state.+changed )|(\[timeout)|(PRM\|1\|D)|(kpr)|(kdp)|(train st.+moving)|(\|lc)|(penalty))"</v>
      </c>
      <c r="AG263" s="1" t="str">
        <f t="shared" si="104"/>
        <v>Other</v>
      </c>
      <c r="AH263" s="81" t="str">
        <f t="shared" si="105"/>
        <v>"%USERPROFILE%\Documents\GitHub\eaglep3\Utilities\RefineRTDCRunTimes.py" --tripid 78-13 --locoid 4061 --swversion DE.1.0.9.0 --startMP 300:23457 --initTime 2017-05-13T19:54:41 --startdatetime 2017-05-13T19:58:54 --delay 4 --endMP 204:84 --enddatetime 2017-05-13T20:08:32 --enforcementcount 0 &gt;&gt;C:\Users\stu\Documents\GitHub\eaglep3-reporting\EC\2017-05-13-refined-times.txt</v>
      </c>
      <c r="AI263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{"issue":{"subject":"","project_id":79,"tracker_id":40,"status_id":1,"priority_id":2,"assigned_to_id":23,"start_date":"2017-05-13","description":"","custom_fields":[{"id":1,"name":"Subdivision","value":"Other"},{"id":4,"name":"Milepost","value":"0.0084"},{"id":17,"name":"Train ID","value":"78-13"},{"id":16,"name":"Locomotive ID","value":"4061"},{"id":130,"name":"Impact","value":""},{"id":150,"name":"Time of Event (Mountain Time)","value":"20:08:32"},{"id":151,"name":"Denver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si="107"/>
        <v>start /low /b %USERPROFILE%\Documents\GitHub\eaglep3\Utilities\DownloadLogsFromS3.py --loco 4061 --day 2017-05-13</v>
      </c>
      <c r="AN263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02:08:32"},{"id":29,"name":"Sharepoint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 s="32" t="s">
        <v>745</v>
      </c>
      <c r="B264" s="7">
        <v>4050</v>
      </c>
      <c r="C264" s="21" t="s">
        <v>206</v>
      </c>
      <c r="D264" s="21" t="s">
        <v>1030</v>
      </c>
      <c r="E264" s="13">
        <v>42868.770925925928</v>
      </c>
      <c r="F264" s="13">
        <v>42868.776273148149</v>
      </c>
      <c r="G264" s="7">
        <v>2</v>
      </c>
      <c r="H264" s="21" t="s">
        <v>1031</v>
      </c>
      <c r="I264" s="13">
        <v>42868.78702546296</v>
      </c>
      <c r="J264" s="7">
        <v>0</v>
      </c>
      <c r="K264" s="92" t="str">
        <f t="shared" si="95"/>
        <v>4049/4050</v>
      </c>
      <c r="L264" s="21" t="str">
        <f>VLOOKUP(A264,'Trips&amp;Operators'!$C$1:$G$99999,5,FALSE)</f>
        <v>MCREYNOLDS KYLE</v>
      </c>
      <c r="M264" s="6">
        <f t="shared" si="96"/>
        <v>1.0752314810815733E-2</v>
      </c>
      <c r="N264" s="7">
        <f t="shared" si="116"/>
        <v>15.483333327574655</v>
      </c>
      <c r="O264" s="7"/>
      <c r="P264" s="7"/>
      <c r="Q264" s="22"/>
      <c r="R264" s="190"/>
      <c r="S264" s="196">
        <f t="shared" si="117"/>
        <v>0</v>
      </c>
      <c r="T264" s="190" t="e">
        <f t="shared" si="97"/>
        <v>#VALUE!</v>
      </c>
      <c r="U264" s="190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1" t="str">
        <f t="shared" si="98"/>
        <v>https://d0f6bd738d7f1b3e5a7ca70fe4ff75f0.us-east-1.aws.found.io/app/kibana#/discover/Steve-Slow-Train-Analysis-(2080s-and-2083s)?_g=(refreshInterval:(display:Off,pause:!f,section:0,value:0),time:(from:'2017-05-13T17:30:08-0600',mode:absolute,to:'2017-05-13T19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4" s="192" t="str">
        <f t="shared" si="99"/>
        <v>Y</v>
      </c>
      <c r="X264" s="192" t="e">
        <f t="shared" si="113"/>
        <v>#VALUE!</v>
      </c>
      <c r="Y264" s="192">
        <f t="shared" si="115"/>
        <v>4.2999999999999997E-2</v>
      </c>
      <c r="Z264" s="192">
        <f t="shared" si="114"/>
        <v>2.3306</v>
      </c>
      <c r="AA264" s="192">
        <f t="shared" si="100"/>
        <v>2.2875999999999999</v>
      </c>
      <c r="AB264" s="57" t="e">
        <f>VLOOKUP(A264,Enforcements!$C$7:$K$13,8,0)</f>
        <v>#N/A</v>
      </c>
      <c r="AC264" s="53" t="e">
        <f>VLOOKUP(A264,Enforcements!$C$7:$E$13,3,0)</f>
        <v>#N/A</v>
      </c>
      <c r="AD264" s="54" t="str">
        <f t="shared" si="101"/>
        <v>79-13</v>
      </c>
      <c r="AE264" s="80" t="str">
        <f t="shared" si="102"/>
        <v>aws s3 cp s3://rtdc.mdm.uploadarchive.raw/RTDC4050/ "%USERPROFILE%\AppData\Local\Temp\OnboardLogs"\RTDC4050\2017-05-13 --exclude "*" --recursive --include "*20170513*" &amp; "%USERPROFILE%\Documents\GitHub\mrs-test-scripts\Headless Mode &amp; Sideloading\WalkAndUnGZ.bat" "%USERPROFILE%\AppData\Local\Temp\OnboardLogs"\RTDC4050\2017-05-13 &amp; aws s3 cp s3://rtdc.mdm.uploadarchive.raw/RTDC4050/ "%USERPROFILE%\AppData\Local\Temp\OnboardLogs"\RTDC4050\2017-05-14 --exclude "*" --recursive --include "*20170514*" &amp; "%USERPROFILE%\Documents\GitHub\mrs-test-scripts\Headless Mode &amp; Sideloading\WalkAndUnGZ.bat" "%USERPROFILE%\AppData\Local\Temp\OnboardLogs"\RTDC4050\2017-05-14</v>
      </c>
      <c r="AF264" s="77" t="str">
        <f t="shared" si="103"/>
        <v>"C:\Program Files (x86)\AstroGrep\AstroGrep.exe" /e /r /s /spath="%USERPROFILE%\AppData\Local\Temp\OnboardLogs" /stypes="app*4050*20170514*" /stext=" 00:.+((SYSTEM_STATE.+slice.+state.+changed )|(ment ac)|(multiple cpu faults)|(system.+state.+changed )|(\[timeout)|(PRM\|1\|D)|(kpr)|(kdp)|(train st.+moving)|(\|lc)|(penalty))"</v>
      </c>
      <c r="AG264" s="1" t="str">
        <f t="shared" si="104"/>
        <v>Other</v>
      </c>
      <c r="AH264" s="81" t="str">
        <f t="shared" si="105"/>
        <v>"%USERPROFILE%\Documents\GitHub\eaglep3\Utilities\RefineRTDCRunTimes.py" --tripid 79-13 --locoid 4050 --swversion DE.1.0.9.0 --startMP 204:430 --initTime 2017-05-13T18:30:08 --startdatetime 2017-05-13T18:37:50 --delay 2 --endMP 300:23306 --enddatetime 2017-05-13T18:53:19 --enforcementcount 0 &gt;&gt;C:\Users\stu\Documents\GitHub\eaglep3-reporting\EC\2017-05-13-refined-times.txt</v>
      </c>
      <c r="AI264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{"issue":{"subject":"","project_id":79,"tracker_id":40,"status_id":1,"priority_id":2,"assigned_to_id":23,"start_date":"2017-05-13","description":"","custom_fields":[{"id":1,"name":"Subdivision","value":"Other"},{"id":4,"name":"Milepost","value":"2.3306"},{"id":17,"name":"Train ID","value":"79-13"},{"id":16,"name":"Locomotive ID","value":"4050"},{"id":130,"name":"Impact","value":""},{"id":150,"name":"Time of Event (Mountain Time)","value":"18:53:19"},{"id":151,"name":"Denver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5" t="str">
        <f t="shared" si="107"/>
        <v>start /low /b %USERPROFILE%\Documents\GitHub\eaglep3\Utilities\DownloadLogsFromS3.py --loco 4050 --day 2017-05-13</v>
      </c>
      <c r="AN264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00:53:19"},{"id":29,"name":"Sharepoint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5" spans="1:40" x14ac:dyDescent="0.25">
      <c r="A265" s="32" t="s">
        <v>575</v>
      </c>
      <c r="B265" s="7">
        <v>4062</v>
      </c>
      <c r="C265" s="21" t="s">
        <v>206</v>
      </c>
      <c r="D265" s="21" t="s">
        <v>1032</v>
      </c>
      <c r="E265" s="13">
        <v>42868.840879629628</v>
      </c>
      <c r="F265" s="13">
        <v>42868.862835648149</v>
      </c>
      <c r="G265" s="7">
        <v>1</v>
      </c>
      <c r="H265" s="21" t="s">
        <v>927</v>
      </c>
      <c r="I265" s="13">
        <v>42868.895752314813</v>
      </c>
      <c r="J265" s="7">
        <v>0</v>
      </c>
      <c r="K265" s="92" t="str">
        <f t="shared" si="95"/>
        <v>4061/4062</v>
      </c>
      <c r="L265" s="21" t="str">
        <f>VLOOKUP(A265,'Trips&amp;Operators'!$C$1:$G$99999,5,FALSE)</f>
        <v>WILLIAMS DONTE</v>
      </c>
      <c r="M265" s="6">
        <f t="shared" si="96"/>
        <v>3.2916666663368233E-2</v>
      </c>
      <c r="N265" s="7">
        <f t="shared" si="116"/>
        <v>47.399999995250255</v>
      </c>
      <c r="O265" s="7"/>
      <c r="P265" s="7"/>
      <c r="Q265" s="22"/>
      <c r="R265" s="190"/>
      <c r="S265" s="196">
        <f t="shared" si="117"/>
        <v>0</v>
      </c>
      <c r="T265" s="190" t="e">
        <f t="shared" si="97"/>
        <v>#VALUE!</v>
      </c>
      <c r="U265" s="190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91" t="str">
        <f t="shared" si="98"/>
        <v>https://d0f6bd738d7f1b3e5a7ca70fe4ff75f0.us-east-1.aws.found.io/app/kibana#/discover/Steve-Slow-Train-Analysis-(2080s-and-2083s)?_g=(refreshInterval:(display:Off,pause:!f,section:0,value:0),time:(from:'2017-05-13T19:10:52-0600',mode:absolute,to:'2017-05-13T22:29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65" s="192" t="str">
        <f t="shared" si="99"/>
        <v>N</v>
      </c>
      <c r="X265" s="192" t="e">
        <f t="shared" si="113"/>
        <v>#VALUE!</v>
      </c>
      <c r="Y265" s="192">
        <f t="shared" si="115"/>
        <v>3.85E-2</v>
      </c>
      <c r="Z265" s="192">
        <f t="shared" si="114"/>
        <v>23.338200000000001</v>
      </c>
      <c r="AA265" s="192">
        <f t="shared" si="100"/>
        <v>23.299700000000001</v>
      </c>
      <c r="AB265" s="57" t="e">
        <f>VLOOKUP(A265,Enforcements!$C$7:$K$13,8,0)</f>
        <v>#N/A</v>
      </c>
      <c r="AC265" s="53" t="e">
        <f>VLOOKUP(A265,Enforcements!$C$7:$E$13,3,0)</f>
        <v>#N/A</v>
      </c>
      <c r="AD265" s="54" t="str">
        <f t="shared" si="101"/>
        <v>80-13</v>
      </c>
      <c r="AE265" s="80" t="str">
        <f t="shared" si="102"/>
        <v>aws s3 cp s3://rtdc.mdm.uploadarchive.raw/RTDC4062/ "%USERPROFILE%\AppData\Local\Temp\OnboardLogs"\RTDC4062\2017-05-13 --exclude "*" --recursive --include "*20170513*" &amp; "%USERPROFILE%\Documents\GitHub\mrs-test-scripts\Headless Mode &amp; Sideloading\WalkAndUnGZ.bat" "%USERPROFILE%\AppData\Local\Temp\OnboardLogs"\RTDC4062\2017-05-13 &amp; 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</v>
      </c>
      <c r="AF265" s="77" t="str">
        <f t="shared" si="103"/>
        <v>"C:\Program Files (x86)\AstroGrep\AstroGrep.exe" /e /r /s /spath="%USERPROFILE%\AppData\Local\Temp\OnboardLogs" /stypes="app*4062*20170514*" /stext=" 03:.+((SYSTEM_STATE.+slice.+state.+changed )|(ment ac)|(multiple cpu faults)|(system.+state.+changed )|(\[timeout)|(PRM\|1\|D)|(kpr)|(kdp)|(train st.+moving)|(\|lc)|(penalty))"</v>
      </c>
      <c r="AG265" s="1" t="str">
        <f t="shared" si="104"/>
        <v>Other</v>
      </c>
      <c r="AH265" s="81" t="str">
        <f t="shared" si="105"/>
        <v>"%USERPROFILE%\Documents\GitHub\eaglep3\Utilities\RefineRTDCRunTimes.py" --tripid 80-13 --locoid 4062 --swversion DE.1.0.9.0 --startMP 204:385 --initTime 2017-05-13T20:10:52 --startdatetime 2017-05-13T20:42:29 --delay 1 --endMP 204:233382 --enddatetime 2017-05-13T21:29:53 --enforcementcount 0 &gt;&gt;C:\Users\stu\Documents\GitHub\eaglep3-reporting\EC\2017-05-13-refined-times.txt</v>
      </c>
      <c r="AI265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{"issue":{"subject":"","project_id":79,"tracker_id":40,"status_id":1,"priority_id":2,"assigned_to_id":23,"start_date":"2017-05-13","description":"","custom_fields":[{"id":1,"name":"Subdivision","value":"Other"},{"id":4,"name":"Milepost","value":"23.3382"},{"id":17,"name":"Train ID","value":"80-13"},{"id":16,"name":"Locomotive ID","value":"4062"},{"id":130,"name":"Impact","value":""},{"id":150,"name":"Time of Event (Mountain Time)","value":"21:29:53"},{"id":151,"name":"Denver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5" t="str">
        <f t="shared" si="107"/>
        <v>start /low /b %USERPROFILE%\Documents\GitHub\eaglep3\Utilities\DownloadLogsFromS3.py --loco 4062 --day 2017-05-13</v>
      </c>
      <c r="AN265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03:29:53"},{"id":29,"name":"Sharepoint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6" spans="1:40" x14ac:dyDescent="0.25">
      <c r="A266" s="32" t="s">
        <v>575</v>
      </c>
      <c r="B266" s="7">
        <v>4062</v>
      </c>
      <c r="C266" s="21" t="s">
        <v>206</v>
      </c>
      <c r="D266" s="21" t="s">
        <v>1033</v>
      </c>
      <c r="E266" s="13">
        <v>42868.999780092592</v>
      </c>
      <c r="F266" s="13">
        <v>42869.002141203702</v>
      </c>
      <c r="G266" s="7">
        <v>2</v>
      </c>
      <c r="H266" s="21" t="s">
        <v>527</v>
      </c>
      <c r="I266" s="13">
        <v>42869.013009259259</v>
      </c>
      <c r="J266" s="7">
        <v>0</v>
      </c>
      <c r="K266" s="92" t="str">
        <f t="shared" si="95"/>
        <v>4061/4062</v>
      </c>
      <c r="L266" s="21" t="str">
        <f>VLOOKUP(A266,'Trips&amp;Operators'!$C$1:$G$99999,5,FALSE)</f>
        <v>WILLIAMS DONTE</v>
      </c>
      <c r="M266" s="6">
        <f t="shared" si="96"/>
        <v>1.0868055556784384E-2</v>
      </c>
      <c r="N266" s="7">
        <f t="shared" si="116"/>
        <v>15.650000001769513</v>
      </c>
      <c r="O266" s="7"/>
      <c r="P266" s="7"/>
      <c r="Q266" s="22"/>
      <c r="R266" s="190"/>
      <c r="S266" s="196">
        <f t="shared" si="117"/>
        <v>0</v>
      </c>
      <c r="T266" s="190" t="e">
        <f t="shared" si="97"/>
        <v>#VALUE!</v>
      </c>
      <c r="U266" s="190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91" t="str">
        <f t="shared" si="98"/>
        <v>https://d0f6bd738d7f1b3e5a7ca70fe4ff75f0.us-east-1.aws.found.io/app/kibana#/discover/Steve-Slow-Train-Analysis-(2080s-and-2083s)?_g=(refreshInterval:(display:Off,pause:!f,section:0,value:0),time:(from:'2017-05-13T22:59:41-0600',mode:absolute,to:'2017-05-14T01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66" s="192" t="str">
        <f t="shared" si="99"/>
        <v>N</v>
      </c>
      <c r="X266" s="192" t="e">
        <f t="shared" si="113"/>
        <v>#VALUE!</v>
      </c>
      <c r="Y266" s="192">
        <f t="shared" si="115"/>
        <v>3.9E-2</v>
      </c>
      <c r="Z266" s="192">
        <f t="shared" si="114"/>
        <v>5.8954000000000004</v>
      </c>
      <c r="AA266" s="192">
        <f t="shared" si="100"/>
        <v>5.8564000000000007</v>
      </c>
      <c r="AB266" s="57" t="e">
        <f>VLOOKUP(A266,Enforcements!$C$7:$K$13,8,0)</f>
        <v>#N/A</v>
      </c>
      <c r="AC266" s="53" t="e">
        <f>VLOOKUP(A266,Enforcements!$C$7:$E$13,3,0)</f>
        <v>#N/A</v>
      </c>
      <c r="AD266" s="54" t="str">
        <f t="shared" si="101"/>
        <v>80-13</v>
      </c>
      <c r="AE266" s="80" t="str">
        <f t="shared" si="102"/>
        <v>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 &amp; aws s3 cp s3://rtdc.mdm.uploadarchive.raw/RTDC4062/ "%USERPROFILE%\AppData\Local\Temp\OnboardLogs"\RTDC4062\2017-05-15 --exclude "*" --recursive --include "*20170515*" &amp; "%USERPROFILE%\Documents\GitHub\mrs-test-scripts\Headless Mode &amp; Sideloading\WalkAndUnGZ.bat" "%USERPROFILE%\AppData\Local\Temp\OnboardLogs"\RTDC4062\2017-05-15</v>
      </c>
      <c r="AF266" s="77" t="str">
        <f t="shared" si="103"/>
        <v>"C:\Program Files (x86)\AstroGrep\AstroGrep.exe" /e /r /s /spath="%USERPROFILE%\AppData\Local\Temp\OnboardLogs" /stypes="app*4062*20170514*" /stext=" 06:.+((SYSTEM_STATE.+slice.+state.+changed )|(ment ac)|(multiple cpu faults)|(system.+state.+changed )|(\[timeout)|(PRM\|1\|D)|(kpr)|(kdp)|(train st.+moving)|(\|lc)|(penalty))"</v>
      </c>
      <c r="AG266" s="1" t="str">
        <f t="shared" si="104"/>
        <v>Other</v>
      </c>
      <c r="AH266" s="81" t="str">
        <f t="shared" si="105"/>
        <v>"%USERPROFILE%\Documents\GitHub\eaglep3\Utilities\RefineRTDCRunTimes.py" --tripid 80-13 --locoid 4062 --swversion DE.1.0.9.0 --startMP 204:390 --initTime 2017-05-13T23:59:41 --startdatetime 2017-05-14T00:03:05 --delay 2 --endMP 300:58954 --enddatetime 2017-05-14T00:18:44 --enforcementcount 0 &gt;&gt;C:\Users\stu\Documents\GitHub\eaglep3-reporting\EC\2017-05-13-refined-times.txt</v>
      </c>
      <c r="AI266" s="99" t="str">
        <f t="shared" si="106"/>
        <v>echo {"issue":{"subject":"","project_id":79,"tracker_id":40,"status_id":1,"priority_id":2,"assigned_to_id":23,"start_date":"2017-05-14","description":"","custom_fields":[{"id":1,"name":"Subdivision","value":"Other"},{"id":4,"name":"Milepost","value":"5.8954"},{"id":17,"name":"Train ID","value":"80-13"},{"id":16,"name":"Locomotive ID","value":"4062"},{"id":130,"name":"Impact","value":""},{"id":150,"name":"Time of Event (Mountain Time)","value":"00:18:44"},{"id":151,"name":"Denver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20"/>
      <c r="AK266" s="47"/>
      <c r="AL266" s="47"/>
      <c r="AM266" s="145" t="str">
        <f t="shared" si="107"/>
        <v>start /low /b %USERPROFILE%\Documents\GitHub\eaglep3\Utilities\DownloadLogsFromS3.py --loco 4062 --day 2017-05-14</v>
      </c>
      <c r="AN266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06:18:44"},{"id":29,"name":"Sharepoint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7" spans="1:40" x14ac:dyDescent="0.25">
      <c r="A267" s="32" t="s">
        <v>575</v>
      </c>
      <c r="B267" s="7">
        <v>4062</v>
      </c>
      <c r="C267" s="21" t="s">
        <v>206</v>
      </c>
      <c r="D267" s="21" t="s">
        <v>1034</v>
      </c>
      <c r="E267" s="13">
        <v>42868.967280092591</v>
      </c>
      <c r="F267" s="13">
        <v>42868.969525462962</v>
      </c>
      <c r="G267" s="7">
        <v>1</v>
      </c>
      <c r="H267" s="21" t="s">
        <v>536</v>
      </c>
      <c r="I267" s="13">
        <v>42868.98</v>
      </c>
      <c r="J267" s="7">
        <v>0</v>
      </c>
      <c r="K267" s="92" t="str">
        <f t="shared" si="95"/>
        <v>4061/4062</v>
      </c>
      <c r="L267" s="21" t="str">
        <f>VLOOKUP(A267,'Trips&amp;Operators'!$C$1:$G$99999,5,FALSE)</f>
        <v>WILLIAMS DONTE</v>
      </c>
      <c r="M267" s="6">
        <f t="shared" si="96"/>
        <v>1.0474537040863652E-2</v>
      </c>
      <c r="N267" s="7">
        <f t="shared" si="116"/>
        <v>15.083333338843659</v>
      </c>
      <c r="O267" s="7"/>
      <c r="P267" s="7"/>
      <c r="Q267" s="22"/>
      <c r="R267" s="190"/>
      <c r="S267" s="196">
        <f t="shared" si="117"/>
        <v>0</v>
      </c>
      <c r="T267" s="190" t="e">
        <f t="shared" si="97"/>
        <v>#VALUE!</v>
      </c>
      <c r="U267" s="190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91" t="str">
        <f t="shared" si="98"/>
        <v>https://d0f6bd738d7f1b3e5a7ca70fe4ff75f0.us-east-1.aws.found.io/app/kibana#/discover/Steve-Slow-Train-Analysis-(2080s-and-2083s)?_g=(refreshInterval:(display:Off,pause:!f,section:0,value:0),time:(from:'2017-05-13T22:12:53-0600',mode:absolute,to:'2017-05-14T00:31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67" s="192" t="str">
        <f t="shared" si="99"/>
        <v>N</v>
      </c>
      <c r="X267" s="192" t="e">
        <f t="shared" ref="X267:X276" si="118">VALUE(LEFT(AD267,4))-VALUE(LEFT(AD266,4))</f>
        <v>#VALUE!</v>
      </c>
      <c r="Y267" s="192">
        <f t="shared" si="115"/>
        <v>4.6699999999999998E-2</v>
      </c>
      <c r="Z267" s="192">
        <f t="shared" si="114"/>
        <v>5.8943000000000003</v>
      </c>
      <c r="AA267" s="192">
        <f t="shared" si="100"/>
        <v>5.8475999999999999</v>
      </c>
      <c r="AB267" s="57" t="e">
        <f>VLOOKUP(A267,Enforcements!$C$7:$K$13,8,0)</f>
        <v>#N/A</v>
      </c>
      <c r="AC267" s="53" t="e">
        <f>VLOOKUP(A267,Enforcements!$C$7:$E$13,3,0)</f>
        <v>#N/A</v>
      </c>
      <c r="AD267" s="54" t="str">
        <f t="shared" si="101"/>
        <v>80-13</v>
      </c>
      <c r="AE267" s="80" t="str">
        <f t="shared" si="102"/>
        <v>aws s3 cp s3://rtdc.mdm.uploadarchive.raw/RTDC4062/ "%USERPROFILE%\AppData\Local\Temp\OnboardLogs"\RTDC4062\2017-05-13 --exclude "*" --recursive --include "*20170513*" &amp; "%USERPROFILE%\Documents\GitHub\mrs-test-scripts\Headless Mode &amp; Sideloading\WalkAndUnGZ.bat" "%USERPROFILE%\AppData\Local\Temp\OnboardLogs"\RTDC4062\2017-05-13 &amp; 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</v>
      </c>
      <c r="AF267" s="77" t="str">
        <f t="shared" si="103"/>
        <v>"C:\Program Files (x86)\AstroGrep\AstroGrep.exe" /e /r /s /spath="%USERPROFILE%\AppData\Local\Temp\OnboardLogs" /stypes="app*4062*20170514*" /stext=" 05:.+((SYSTEM_STATE.+slice.+state.+changed )|(ment ac)|(multiple cpu faults)|(system.+state.+changed )|(\[timeout)|(PRM\|1\|D)|(kpr)|(kdp)|(train st.+moving)|(\|lc)|(penalty))"</v>
      </c>
      <c r="AG267" s="1" t="str">
        <f t="shared" si="104"/>
        <v>Other</v>
      </c>
      <c r="AH267" s="81" t="str">
        <f t="shared" si="105"/>
        <v>"%USERPROFILE%\Documents\GitHub\eaglep3\Utilities\RefineRTDCRunTimes.py" --tripid 80-13 --locoid 4062 --swversion DE.1.0.9.0 --startMP 204:467 --initTime 2017-05-13T23:12:53 --startdatetime 2017-05-13T23:16:07 --delay 1 --endMP 300:58943 --enddatetime 2017-05-13T23:31:12 --enforcementcount 0 &gt;&gt;C:\Users\stu\Documents\GitHub\eaglep3-reporting\EC\2017-05-13-refined-times.txt</v>
      </c>
      <c r="AI267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{"issue":{"subject":"","project_id":79,"tracker_id":40,"status_id":1,"priority_id":2,"assigned_to_id":23,"start_date":"2017-05-13","description":"","custom_fields":[{"id":1,"name":"Subdivision","value":"Other"},{"id":4,"name":"Milepost","value":"5.8943"},{"id":17,"name":"Train ID","value":"80-13"},{"id":16,"name":"Locomotive ID","value":"4062"},{"id":130,"name":"Impact","value":""},{"id":150,"name":"Time of Event (Mountain Time)","value":"23:31:12"},{"id":151,"name":"Denver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20"/>
      <c r="AK267" s="47"/>
      <c r="AL267" s="47"/>
      <c r="AM267" s="145" t="str">
        <f t="shared" si="107"/>
        <v>start /low /b %USERPROFILE%\Documents\GitHub\eaglep3\Utilities\DownloadLogsFromS3.py --loco 4062 --day 2017-05-13</v>
      </c>
      <c r="AN267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05:31:12"},{"id":29,"name":"Sharepoint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8" spans="1:40" x14ac:dyDescent="0.25">
      <c r="A268" s="32" t="s">
        <v>575</v>
      </c>
      <c r="B268" s="7">
        <v>4062</v>
      </c>
      <c r="C268" s="21" t="s">
        <v>206</v>
      </c>
      <c r="D268" s="21" t="s">
        <v>1035</v>
      </c>
      <c r="E268" s="13">
        <v>42868.861446759256</v>
      </c>
      <c r="F268" s="13">
        <v>42868.862835648149</v>
      </c>
      <c r="G268" s="7">
        <v>2</v>
      </c>
      <c r="H268" s="21" t="s">
        <v>927</v>
      </c>
      <c r="I268" s="13">
        <v>42868.895752314813</v>
      </c>
      <c r="J268" s="7">
        <v>0</v>
      </c>
      <c r="K268" s="92" t="str">
        <f t="shared" si="95"/>
        <v>4061/4062</v>
      </c>
      <c r="L268" s="21" t="str">
        <f>VLOOKUP(A268,'Trips&amp;Operators'!$C$1:$G$99999,5,FALSE)</f>
        <v>WILLIAMS DONTE</v>
      </c>
      <c r="M268" s="6">
        <f t="shared" si="96"/>
        <v>3.2916666663368233E-2</v>
      </c>
      <c r="N268" s="7">
        <f t="shared" si="116"/>
        <v>47.399999995250255</v>
      </c>
      <c r="O268" s="7"/>
      <c r="P268" s="7"/>
      <c r="Q268" s="22"/>
      <c r="R268" s="190"/>
      <c r="S268" s="196">
        <f t="shared" si="117"/>
        <v>0</v>
      </c>
      <c r="T268" s="190" t="e">
        <f t="shared" si="97"/>
        <v>#VALUE!</v>
      </c>
      <c r="U268" s="190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91" t="str">
        <f t="shared" si="98"/>
        <v>https://d0f6bd738d7f1b3e5a7ca70fe4ff75f0.us-east-1.aws.found.io/app/kibana#/discover/Steve-Slow-Train-Analysis-(2080s-and-2083s)?_g=(refreshInterval:(display:Off,pause:!f,section:0,value:0),time:(from:'2017-05-13T19:40:29-0600',mode:absolute,to:'2017-05-13T22:29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68" s="192" t="str">
        <f t="shared" si="99"/>
        <v>N</v>
      </c>
      <c r="X268" s="192" t="e">
        <f t="shared" si="118"/>
        <v>#VALUE!</v>
      </c>
      <c r="Y268" s="192">
        <f t="shared" si="115"/>
        <v>6.1600000000000002E-2</v>
      </c>
      <c r="Z268" s="192">
        <f t="shared" si="114"/>
        <v>23.338200000000001</v>
      </c>
      <c r="AA268" s="192">
        <f t="shared" si="100"/>
        <v>23.276600000000002</v>
      </c>
      <c r="AB268" s="57" t="e">
        <f>VLOOKUP(A268,Enforcements!$C$7:$K$13,8,0)</f>
        <v>#N/A</v>
      </c>
      <c r="AC268" s="53" t="e">
        <f>VLOOKUP(A268,Enforcements!$C$7:$E$13,3,0)</f>
        <v>#N/A</v>
      </c>
      <c r="AD268" s="54" t="str">
        <f t="shared" si="101"/>
        <v>80-13</v>
      </c>
      <c r="AE268" s="80" t="str">
        <f t="shared" si="102"/>
        <v>aws s3 cp s3://rtdc.mdm.uploadarchive.raw/RTDC4062/ "%USERPROFILE%\AppData\Local\Temp\OnboardLogs"\RTDC4062\2017-05-13 --exclude "*" --recursive --include "*20170513*" &amp; "%USERPROFILE%\Documents\GitHub\mrs-test-scripts\Headless Mode &amp; Sideloading\WalkAndUnGZ.bat" "%USERPROFILE%\AppData\Local\Temp\OnboardLogs"\RTDC4062\2017-05-13 &amp; 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</v>
      </c>
      <c r="AF268" s="77" t="str">
        <f t="shared" si="103"/>
        <v>"C:\Program Files (x86)\AstroGrep\AstroGrep.exe" /e /r /s /spath="%USERPROFILE%\AppData\Local\Temp\OnboardLogs" /stypes="app*4062*20170514*" /stext=" 03:.+((SYSTEM_STATE.+slice.+state.+changed )|(ment ac)|(multiple cpu faults)|(system.+state.+changed )|(\[timeout)|(PRM\|1\|D)|(kpr)|(kdp)|(train st.+moving)|(\|lc)|(penalty))"</v>
      </c>
      <c r="AG268" s="1" t="str">
        <f t="shared" si="104"/>
        <v>Other</v>
      </c>
      <c r="AH268" s="81" t="str">
        <f t="shared" si="105"/>
        <v>"%USERPROFILE%\Documents\GitHub\eaglep3\Utilities\RefineRTDCRunTimes.py" --tripid 80-13 --locoid 4062 --swversion DE.1.0.9.0 --startMP 204:616 --initTime 2017-05-13T20:40:29 --startdatetime 2017-05-13T20:42:29 --delay 2 --endMP 204:233382 --enddatetime 2017-05-13T21:29:53 --enforcementcount 0 &gt;&gt;C:\Users\stu\Documents\GitHub\eaglep3-reporting\EC\2017-05-13-refined-times.txt</v>
      </c>
      <c r="AI268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{"issue":{"subject":"","project_id":79,"tracker_id":40,"status_id":1,"priority_id":2,"assigned_to_id":23,"start_date":"2017-05-13","description":"","custom_fields":[{"id":1,"name":"Subdivision","value":"Other"},{"id":4,"name":"Milepost","value":"23.3382"},{"id":17,"name":"Train ID","value":"80-13"},{"id":16,"name":"Locomotive ID","value":"4062"},{"id":130,"name":"Impact","value":""},{"id":150,"name":"Time of Event (Mountain Time)","value":"21:29:53"},{"id":151,"name":"Denver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20"/>
      <c r="AK268" s="47"/>
      <c r="AL268" s="47"/>
      <c r="AM268" s="145" t="str">
        <f t="shared" si="107"/>
        <v>start /low /b %USERPROFILE%\Documents\GitHub\eaglep3\Utilities\DownloadLogsFromS3.py --loco 4062 --day 2017-05-13</v>
      </c>
      <c r="AN268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03:29:53"},{"id":29,"name":"Sharepoint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9" spans="1:40" x14ac:dyDescent="0.25">
      <c r="A269" s="32" t="s">
        <v>579</v>
      </c>
      <c r="B269" s="7">
        <v>4061</v>
      </c>
      <c r="C269" s="21" t="s">
        <v>206</v>
      </c>
      <c r="D269" s="21" t="s">
        <v>1036</v>
      </c>
      <c r="E269" s="13">
        <v>42868.906134259261</v>
      </c>
      <c r="F269" s="13">
        <v>42868.908414351848</v>
      </c>
      <c r="G269" s="7">
        <v>2</v>
      </c>
      <c r="H269" s="21" t="s">
        <v>525</v>
      </c>
      <c r="I269" s="13">
        <v>42868.95784722222</v>
      </c>
      <c r="J269" s="7">
        <v>0</v>
      </c>
      <c r="K269" s="92" t="str">
        <f t="shared" ref="K269:K276" si="119">IF(ISEVEN(B269),(B269-1)&amp;"/"&amp;B269,B269&amp;"/"&amp;(B269+1))</f>
        <v>4061/4062</v>
      </c>
      <c r="L269" s="21" t="str">
        <f>VLOOKUP(A269,'Trips&amp;Operators'!$C$1:$G$99999,5,FALSE)</f>
        <v>WILLIAMS DONTE</v>
      </c>
      <c r="M269" s="6">
        <f t="shared" ref="M269:M276" si="120">I269-F269</f>
        <v>4.9432870371674653E-2</v>
      </c>
      <c r="N269" s="7">
        <f t="shared" si="116"/>
        <v>71.183333335211501</v>
      </c>
      <c r="O269" s="7"/>
      <c r="P269" s="7"/>
      <c r="Q269" s="22"/>
      <c r="R269" s="190"/>
      <c r="S269" s="196">
        <f t="shared" si="117"/>
        <v>0</v>
      </c>
      <c r="T269" s="190" t="e">
        <f t="shared" ref="T269:T276" si="121">IF(ISEVEN(LEFT(AD269,4)),"Southbound","NorthBound")</f>
        <v>#VALUE!</v>
      </c>
      <c r="U269" s="190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0</v>
      </c>
      <c r="V269" s="191" t="str">
        <f t="shared" ref="V269:V276" si="122">"https://d0f6bd738d7f1b3e5a7ca70fe4ff75f0.us-east-1.aws.found.io/app/kibana#/discover/Steve-Slow-Train-Analysis-(2080s-and-2083s)?_g="&amp;"(refreshInterval:(display:Off,pause:!f,section:0,value:0),time:(from:'"&amp;TEXT(E269-1/24,"yyyy-MM-DDThh:mm:ss")&amp;utc_offset&amp;"00"&amp;"',mode:absolute,to:'"&amp;TEXT(I269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269&amp;"%22')),sort:!(Time.ISO8601,asc))"</f>
        <v>https://d0f6bd738d7f1b3e5a7ca70fe4ff75f0.us-east-1.aws.found.io/app/kibana#/discover/Steve-Slow-Train-Analysis-(2080s-and-2083s)?_g=(refreshInterval:(display:Off,pause:!f,section:0,value:0),time:(from:'2017-05-13T20:44:50-0600',mode:absolute,to:'2017-05-13T23:59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69" s="192" t="str">
        <f t="shared" ref="W269:W276" si="123">IF(AA269&lt;IF(AG269="EC",23,5.65),"Y","N")</f>
        <v>N</v>
      </c>
      <c r="X269" s="192" t="e">
        <f t="shared" si="118"/>
        <v>#VALUE!</v>
      </c>
      <c r="Y269" s="192">
        <f t="shared" si="115"/>
        <v>23.306100000000001</v>
      </c>
      <c r="Z269" s="192">
        <f t="shared" si="114"/>
        <v>1.61E-2</v>
      </c>
      <c r="AA269" s="192">
        <f t="shared" ref="AA269:AA276" si="124">ABS(Z269-Y269)</f>
        <v>23.29</v>
      </c>
      <c r="AB269" s="57" t="e">
        <f>VLOOKUP(A269,Enforcements!$C$7:$K$13,8,0)</f>
        <v>#N/A</v>
      </c>
      <c r="AC269" s="53" t="e">
        <f>VLOOKUP(A269,Enforcements!$C$7:$E$13,3,0)</f>
        <v>#N/A</v>
      </c>
      <c r="AD269" s="54" t="str">
        <f t="shared" ref="AD269:AD276" si="125">IF(LEN(A269)=6,"0"&amp;A269,A269)</f>
        <v>81-13</v>
      </c>
      <c r="AE269" s="80" t="str">
        <f t="shared" ref="AE269:AE276" si="126">"aws s3 cp "&amp;s3_bucket&amp;"/RTDC"&amp;B269&amp;"/ "&amp;search_path&amp;"\RTDC"&amp;B269&amp;"\"&amp;TEXT(F269,"YYYY-MM-DD")&amp;" --exclude ""*"" --recursive --include ""*"&amp;TEXT(F269,"YYYYMMDD")&amp;"*"" &amp; """&amp;walkandungz&amp;""" "&amp;search_path&amp;"\RTDC"&amp;B269&amp;"\"&amp;TEXT(F269,"YYYY-MM-DD")
&amp;" &amp; "&amp;"aws s3 cp "&amp;s3_bucket&amp;"/RTDC"&amp;B269&amp;"/ "&amp;search_path&amp;"\RTDC"&amp;B269&amp;"\"&amp;TEXT(F269+1,"YYYY-MM-DD")&amp;" --exclude ""*"" --recursive --include ""*"&amp;TEXT(F269+1,"YYYYMMDD")&amp;"*"" &amp; """&amp;walkandungz&amp;""" "&amp;search_path&amp;"\RTDC"&amp;B269&amp;"\"&amp;TEXT(F269+1,"YYYY-MM-DD")</f>
        <v>aws s3 cp s3://rtdc.mdm.uploadarchive.raw/RTDC4061/ "%USERPROFILE%\AppData\Local\Temp\OnboardLogs"\RTDC4061\2017-05-13 --exclude "*" --recursive --include "*20170513*" &amp; "%USERPROFILE%\Documents\GitHub\mrs-test-scripts\Headless Mode &amp; Sideloading\WalkAndUnGZ.bat" "%USERPROFILE%\AppData\Local\Temp\OnboardLogs"\RTDC4061\2017-05-13 &amp; 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</v>
      </c>
      <c r="AF269" s="77" t="str">
        <f t="shared" ref="AF269:AF276" si="127">astrogrep_path&amp;" /e /r /s /spath="&amp;search_path&amp;" /stypes=""app*"&amp;B269&amp;"*"&amp;TEXT(I269-utc_offset/24,"YYYYMMDD")&amp;"*"" /stext="" "&amp;TEXT(I269-utc_offset/24,"HH")&amp;search_regexp&amp;""""</f>
        <v>"C:\Program Files (x86)\AstroGrep\AstroGrep.exe" /e /r /s /spath="%USERPROFILE%\AppData\Local\Temp\OnboardLogs" /stypes="app*4061*20170514*" /stext=" 04:.+((SYSTEM_STATE.+slice.+state.+changed )|(ment ac)|(multiple cpu faults)|(system.+state.+changed )|(\[timeout)|(PRM\|1\|D)|(kpr)|(kdp)|(train st.+moving)|(\|lc)|(penalty))"</v>
      </c>
      <c r="AG269" s="1" t="str">
        <f t="shared" ref="AG269:AG276" si="128">IFERROR(IF(VALUE(LEFT(AD269,2))&lt;=2,"EC",IF(OR(VALUE(LEFT(AD269,2))=8,VALUE(LEFT(AD269,2))=18),"NW","Other")),"Other")</f>
        <v>Other</v>
      </c>
      <c r="AH269" s="81" t="str">
        <f t="shared" si="105"/>
        <v>"%USERPROFILE%\Documents\GitHub\eaglep3\Utilities\RefineRTDCRunTimes.py" --tripid 81-13 --locoid 4061 --swversion DE.1.0.9.0 --startMP 204:233061 --initTime 2017-05-13T21:44:50 --startdatetime 2017-05-13T21:48:07 --delay 2 --endMP 204:161 --enddatetime 2017-05-13T22:59:18 --enforcementcount 0 &gt;&gt;C:\Users\stu\Documents\GitHub\eaglep3-reporting\EC\2017-05-13-refined-times.txt</v>
      </c>
      <c r="AI269" s="99" t="str">
        <f t="shared" si="106"/>
        <v>echo {"issue":{"subject":"","project_id":79,"tracker_id":40,"status_id":1,"priority_id":2,"assigned_to_id":23,"start_date":"2017-05-13","description":"","custom_fields":[{"id":1,"name":"Subdivision","value":"Other"},{"id":4,"name":"Milepost","value":"0.0161"},{"id":17,"name":"Train ID","value":"81-13"},{"id":16,"name":"Locomotive ID","value":"4061"},{"id":130,"name":"Impact","value":""},{"id":150,"name":"Time of Event (Mountain Time)","value":"22:59:18"},{"id":151,"name":"Denver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20"/>
      <c r="AK269" s="47"/>
      <c r="AL269" s="47"/>
      <c r="AM269" s="145" t="str">
        <f t="shared" si="107"/>
        <v>start /low /b %USERPROFILE%\Documents\GitHub\eaglep3\Utilities\DownloadLogsFromS3.py --loco 4061 --day 2017-05-13</v>
      </c>
      <c r="AN269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04:59:18"},{"id":29,"name":"Sharepoint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0" spans="1:40" x14ac:dyDescent="0.25">
      <c r="A270" s="32" t="s">
        <v>579</v>
      </c>
      <c r="B270" s="7">
        <v>4061</v>
      </c>
      <c r="C270" s="21" t="s">
        <v>206</v>
      </c>
      <c r="D270" s="21" t="s">
        <v>457</v>
      </c>
      <c r="E270" s="13">
        <v>42868.98196759259</v>
      </c>
      <c r="F270" s="13">
        <v>42869.016481481478</v>
      </c>
      <c r="G270" s="7">
        <v>1</v>
      </c>
      <c r="H270" s="21" t="s">
        <v>1037</v>
      </c>
      <c r="I270" s="13">
        <v>42869.026898148149</v>
      </c>
      <c r="J270" s="7">
        <v>0</v>
      </c>
      <c r="K270" s="92" t="str">
        <f t="shared" si="119"/>
        <v>4061/4062</v>
      </c>
      <c r="L270" s="21" t="str">
        <f>VLOOKUP(A270,'Trips&amp;Operators'!$C$1:$G$99999,5,FALSE)</f>
        <v>WILLIAMS DONTE</v>
      </c>
      <c r="M270" s="6">
        <f t="shared" si="120"/>
        <v>1.0416666671517305E-2</v>
      </c>
      <c r="N270" s="7">
        <f t="shared" si="116"/>
        <v>15.000000006984919</v>
      </c>
      <c r="O270" s="7"/>
      <c r="P270" s="7"/>
      <c r="Q270" s="22"/>
      <c r="R270" s="190"/>
      <c r="S270" s="196">
        <f t="shared" si="117"/>
        <v>0</v>
      </c>
      <c r="T270" s="190" t="e">
        <f t="shared" si="121"/>
        <v>#VALUE!</v>
      </c>
      <c r="U270" s="190">
        <f>IF(AG270="EC",COUNTIFS(Variables!$M$2:$M$19,IF(T270="NorthBound","&gt;=","&lt;=")&amp;Y270,Variables!$M$2:$M$19,IF(T270="NorthBound","&lt;=","&gt;=")&amp;Z270),COUNTIFS(Variables!$P$2:$P$19,IF(T270="NorthBound","&gt;=","&lt;=")&amp;Y270,Variables!$P$2:$P$19,IF(T270="NorthBound","&lt;=","&gt;=")&amp;Z270))</f>
        <v>0</v>
      </c>
      <c r="V270" s="191" t="str">
        <f t="shared" si="122"/>
        <v>https://d0f6bd738d7f1b3e5a7ca70fe4ff75f0.us-east-1.aws.found.io/app/kibana#/discover/Steve-Slow-Train-Analysis-(2080s-and-2083s)?_g=(refreshInterval:(display:Off,pause:!f,section:0,value:0),time:(from:'2017-05-13T22:34:02-0600',mode:absolute,to:'2017-05-14T01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70" s="192" t="str">
        <f t="shared" si="123"/>
        <v>N</v>
      </c>
      <c r="X270" s="192" t="e">
        <f t="shared" si="118"/>
        <v>#VALUE!</v>
      </c>
      <c r="Y270" s="192">
        <f t="shared" si="115"/>
        <v>5.8634000000000004</v>
      </c>
      <c r="Z270" s="192">
        <f t="shared" si="114"/>
        <v>9.4999999999999998E-3</v>
      </c>
      <c r="AA270" s="192">
        <f t="shared" si="124"/>
        <v>5.8539000000000003</v>
      </c>
      <c r="AB270" s="57" t="e">
        <f>VLOOKUP(A270,Enforcements!$C$7:$K$13,8,0)</f>
        <v>#N/A</v>
      </c>
      <c r="AC270" s="53" t="e">
        <f>VLOOKUP(A270,Enforcements!$C$7:$E$13,3,0)</f>
        <v>#N/A</v>
      </c>
      <c r="AD270" s="54" t="str">
        <f t="shared" si="125"/>
        <v>81-13</v>
      </c>
      <c r="AE270" s="80" t="str">
        <f t="shared" si="126"/>
        <v>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 &amp; aws s3 cp s3://rtdc.mdm.uploadarchive.raw/RTDC4061/ "%USERPROFILE%\AppData\Local\Temp\OnboardLogs"\RTDC4061\2017-05-15 --exclude "*" --recursive --include "*20170515*" &amp; "%USERPROFILE%\Documents\GitHub\mrs-test-scripts\Headless Mode &amp; Sideloading\WalkAndUnGZ.bat" "%USERPROFILE%\AppData\Local\Temp\OnboardLogs"\RTDC4061\2017-05-15</v>
      </c>
      <c r="AF270" s="77" t="str">
        <f t="shared" si="127"/>
        <v>"C:\Program Files (x86)\AstroGrep\AstroGrep.exe" /e /r /s /spath="%USERPROFILE%\AppData\Local\Temp\OnboardLogs" /stypes="app*4061*20170514*" /stext=" 06:.+((SYSTEM_STATE.+slice.+state.+changed )|(ment ac)|(multiple cpu faults)|(system.+state.+changed )|(\[timeout)|(PRM\|1\|D)|(kpr)|(kdp)|(train st.+moving)|(\|lc)|(penalty))"</v>
      </c>
      <c r="AG270" s="1" t="str">
        <f t="shared" si="128"/>
        <v>Other</v>
      </c>
      <c r="AH270" s="81" t="str">
        <f t="shared" si="105"/>
        <v>"%USERPROFILE%\Documents\GitHub\eaglep3\Utilities\RefineRTDCRunTimes.py" --tripid 81-13 --locoid 4061 --swversion DE.1.0.9.0 --startMP 300:58634 --initTime 2017-05-13T23:34:02 --startdatetime 2017-05-14T00:23:44 --delay 1 --endMP 204:95 --enddatetime 2017-05-14T00:38:44 --enforcementcount 0 &gt;&gt;C:\Users\stu\Documents\GitHub\eaglep3-reporting\EC\2017-05-13-refined-times.txt</v>
      </c>
      <c r="AI270" s="99" t="str">
        <f t="shared" si="106"/>
        <v>echo {"issue":{"subject":"","project_id":79,"tracker_id":40,"status_id":1,"priority_id":2,"assigned_to_id":23,"start_date":"2017-05-14","description":"","custom_fields":[{"id":1,"name":"Subdivision","value":"Other"},{"id":4,"name":"Milepost","value":"0.0095"},{"id":17,"name":"Train ID","value":"81-13"},{"id":16,"name":"Locomotive ID","value":"4061"},{"id":130,"name":"Impact","value":""},{"id":150,"name":"Time of Event (Mountain Time)","value":"00:38:44"},{"id":151,"name":"Denver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0" s="20"/>
      <c r="AK270" s="47"/>
      <c r="AL270" s="47"/>
      <c r="AM270" s="145" t="str">
        <f t="shared" si="107"/>
        <v>start /low /b %USERPROFILE%\Documents\GitHub\eaglep3\Utilities\DownloadLogsFromS3.py --loco 4061 --day 2017-05-14</v>
      </c>
      <c r="AN270" s="154" t="str">
        <f t="shared" si="108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06:38:44"},{"id":29,"name":"Sharepoint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1" spans="1:40" x14ac:dyDescent="0.25">
      <c r="A271" s="32" t="s">
        <v>579</v>
      </c>
      <c r="B271" s="7">
        <v>4061</v>
      </c>
      <c r="C271" s="21" t="s">
        <v>206</v>
      </c>
      <c r="D271" s="21" t="s">
        <v>528</v>
      </c>
      <c r="E271" s="13">
        <v>42869.015069444446</v>
      </c>
      <c r="F271" s="13">
        <v>42869.040925925925</v>
      </c>
      <c r="G271" s="7">
        <v>1</v>
      </c>
      <c r="H271" s="21" t="s">
        <v>523</v>
      </c>
      <c r="I271" s="13">
        <v>42869.051018518519</v>
      </c>
      <c r="J271" s="7">
        <v>0</v>
      </c>
      <c r="K271" s="92" t="str">
        <f t="shared" si="119"/>
        <v>4061/4062</v>
      </c>
      <c r="L271" s="21" t="str">
        <f>VLOOKUP(A271,'Trips&amp;Operators'!$C$1:$G$99999,5,FALSE)</f>
        <v>WILLIAMS DONTE</v>
      </c>
      <c r="M271" s="6">
        <f t="shared" si="120"/>
        <v>1.0092592594446614E-2</v>
      </c>
      <c r="N271" s="7">
        <f t="shared" si="116"/>
        <v>14.533333336003125</v>
      </c>
      <c r="O271" s="7"/>
      <c r="P271" s="7"/>
      <c r="Q271" s="22"/>
      <c r="R271" s="190"/>
      <c r="S271" s="196">
        <f t="shared" si="117"/>
        <v>0</v>
      </c>
      <c r="T271" s="190" t="e">
        <f t="shared" si="121"/>
        <v>#VALUE!</v>
      </c>
      <c r="U271" s="190">
        <f>IF(AG271="EC",COUNTIFS(Variables!$M$2:$M$19,IF(T271="NorthBound","&gt;=","&lt;=")&amp;Y271,Variables!$M$2:$M$19,IF(T271="NorthBound","&lt;=","&gt;=")&amp;Z271),COUNTIFS(Variables!$P$2:$P$19,IF(T271="NorthBound","&gt;=","&lt;=")&amp;Y271,Variables!$P$2:$P$19,IF(T271="NorthBound","&lt;=","&gt;=")&amp;Z271))</f>
        <v>0</v>
      </c>
      <c r="V271" s="191" t="str">
        <f t="shared" si="122"/>
        <v>https://d0f6bd738d7f1b3e5a7ca70fe4ff75f0.us-east-1.aws.found.io/app/kibana#/discover/Steve-Slow-Train-Analysis-(2080s-and-2083s)?_g=(refreshInterval:(display:Off,pause:!f,section:0,value:0),time:(from:'2017-05-13T23:21:42-0600',mode:absolute,to:'2017-05-14T02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71" s="192" t="str">
        <f t="shared" si="123"/>
        <v>N</v>
      </c>
      <c r="X271" s="192" t="e">
        <f t="shared" si="118"/>
        <v>#VALUE!</v>
      </c>
      <c r="Y271" s="192">
        <f t="shared" si="115"/>
        <v>5.8639999999999999</v>
      </c>
      <c r="Z271" s="192">
        <f t="shared" si="114"/>
        <v>1.4E-2</v>
      </c>
      <c r="AA271" s="192">
        <f t="shared" si="124"/>
        <v>5.85</v>
      </c>
      <c r="AB271" s="57" t="e">
        <f>VLOOKUP(A271,Enforcements!$C$7:$K$13,8,0)</f>
        <v>#N/A</v>
      </c>
      <c r="AC271" s="53" t="e">
        <f>VLOOKUP(A271,Enforcements!$C$7:$E$13,3,0)</f>
        <v>#N/A</v>
      </c>
      <c r="AD271" s="54" t="str">
        <f t="shared" si="125"/>
        <v>81-13</v>
      </c>
      <c r="AE271" s="80" t="str">
        <f t="shared" si="126"/>
        <v>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 &amp; aws s3 cp s3://rtdc.mdm.uploadarchive.raw/RTDC4061/ "%USERPROFILE%\AppData\Local\Temp\OnboardLogs"\RTDC4061\2017-05-15 --exclude "*" --recursive --include "*20170515*" &amp; "%USERPROFILE%\Documents\GitHub\mrs-test-scripts\Headless Mode &amp; Sideloading\WalkAndUnGZ.bat" "%USERPROFILE%\AppData\Local\Temp\OnboardLogs"\RTDC4061\2017-05-15</v>
      </c>
      <c r="AF271" s="77" t="str">
        <f t="shared" si="127"/>
        <v>"C:\Program Files (x86)\AstroGrep\AstroGrep.exe" /e /r /s /spath="%USERPROFILE%\AppData\Local\Temp\OnboardLogs" /stypes="app*4061*20170514*" /stext=" 07:.+((SYSTEM_STATE.+slice.+state.+changed )|(ment ac)|(multiple cpu faults)|(system.+state.+changed )|(\[timeout)|(PRM\|1\|D)|(kpr)|(kdp)|(train st.+moving)|(\|lc)|(penalty))"</v>
      </c>
      <c r="AG271" s="1" t="str">
        <f t="shared" si="128"/>
        <v>Other</v>
      </c>
      <c r="AH271" s="81" t="str">
        <f t="shared" ref="AH271:AH276" si="129">refinertdcruntimes&amp;" --tripid "&amp;A271&amp;" --locoid "&amp;B271&amp;" --swversion "&amp;C271&amp;" --startMP "&amp;D271&amp;" --initTime "&amp;TEXT(E271,"yyyy-mm-ddTHH:MM:SS")&amp;" --startdatetime "&amp;TEXT(F271,"yyyy-mm-ddTHH:MM:SS")&amp;" --delay "&amp;G271&amp;" --endMP "&amp;H271&amp;" --enddatetime "&amp;TEXT(I271,"yyyy-mm-ddTHH:MM:SS")&amp;" --enforcementcount "&amp;J271&amp;IF(outputrefinedruntimes," &gt;&gt;"&amp;RefinedRTDCRunTimesOutputFile,"")</f>
        <v>"%USERPROFILE%\Documents\GitHub\eaglep3\Utilities\RefineRTDCRunTimes.py" --tripid 81-13 --locoid 4061 --swversion DE.1.0.9.0 --startMP 300:58640 --initTime 2017-05-14T00:21:42 --startdatetime 2017-05-14T00:58:56 --delay 1 --endMP 204:140 --enddatetime 2017-05-14T01:13:28 --enforcementcount 0 &gt;&gt;C:\Users\stu\Documents\GitHub\eaglep3-reporting\EC\2017-05-13-refined-times.txt</v>
      </c>
      <c r="AI271" s="99" t="str">
        <f t="shared" ref="AI271:AI276" si="130">"echo {""issue"":{""subject"":"""&amp;R271&amp;""",""project_id"":79,""tracker_id"":40,""status_id"":"&amp;redmine_status&amp;",""priority_id"":"&amp;redmine_priority&amp;",""assigned_to_id"":"&amp;redmine_assignee&amp;",""start_date"":"""&amp;TEXT(I271,"YYYY-mm-dd")&amp;""",""description"":"""&amp;AJ271&amp;""",""custom_fields"":[{""id"":1,""name"":""Subdivision"",""value"":"""&amp;AG271&amp;"""},{""id"":4,""name"":""Milepost"",""value"":"""&amp;Z271&amp;"""},{""id"":17,""name"":""Train ID"",""value"":"""&amp;A271&amp;"""},{""id"":16,""name"":""Locomotive ID"",""value"":"""&amp;B271&amp;"""},{""id"":130,""name"":""Impact"",""value"":"""&amp;AK271&amp;"""},{""id"":150,""name"":""Time of Event (Mountain Time)"",""value"":"""&amp;TEXT(I271,"hh:mm:ss")&amp;"""},{""id"":151,""name"":""Denver Issue ID"",""value"":"""&amp;"""},{""id"":178,""name"":""Operational Impact"",""value"":"""&amp;redmine_op_impact&amp;"""},{""id"":179,""name"":""Denver Segment Assigned"",""value"":"""&amp;AL271&amp;"""}]}}"&amp;"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{"issue":{"subject":"","project_id":79,"tracker_id":40,"status_id":1,"priority_id":2,"assigned_to_id":23,"start_date":"2017-05-14","description":"","custom_fields":[{"id":1,"name":"Subdivision","value":"Other"},{"id":4,"name":"Milepost","value":"0.014"},{"id":17,"name":"Train ID","value":"81-13"},{"id":16,"name":"Locomotive ID","value":"4061"},{"id":130,"name":"Impact","value":""},{"id":150,"name":"Time of Event (Mountain Time)","value":"01:13:28"},{"id":151,"name":"Denver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1" s="20"/>
      <c r="AK271" s="47"/>
      <c r="AL271" s="47"/>
      <c r="AM271" s="145" t="str">
        <f t="shared" ref="AM271:AM276" si="131">"start /low /b "&amp;dls3logs&amp;" --loco "&amp;B271&amp;" --day "&amp;TEXT(F271,"YYYY-MM-DD")</f>
        <v>start /low /b %USERPROFILE%\Documents\GitHub\eaglep3\Utilities\DownloadLogsFromS3.py --loco 4061 --day 2017-05-14</v>
      </c>
      <c r="AN271" s="154" t="str">
        <f t="shared" ref="AN271:AN276" si="132">"echo {""issue"":{""subject"":"""&amp;R271&amp;""",""project_id"":30,""tracker_id"":4,""status_id"":"&amp;redmine_status_wcr&amp;",""priority_id"":"&amp;redmine_priority_wcr&amp;",""assigned_to_id"":"&amp;redmine_assignee_wcr&amp;",""start_date"":"""&amp;TEXT(I271-utc_offset/24,"YYYY-mm-dd")&amp;""",""description"":"""&amp;AJ271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07:13:28"},{"id":29,"name":"Sharepoint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2" spans="1:40" x14ac:dyDescent="0.25">
      <c r="A272" s="32" t="s">
        <v>581</v>
      </c>
      <c r="B272" s="7">
        <v>4061</v>
      </c>
      <c r="C272" s="21" t="s">
        <v>206</v>
      </c>
      <c r="D272" s="21" t="s">
        <v>529</v>
      </c>
      <c r="E272" s="13">
        <v>42869.082037037035</v>
      </c>
      <c r="F272" s="13">
        <v>42869.115578703706</v>
      </c>
      <c r="G272" s="7">
        <v>2</v>
      </c>
      <c r="H272" s="21" t="s">
        <v>1038</v>
      </c>
      <c r="I272" s="13">
        <v>42869.129201388889</v>
      </c>
      <c r="J272" s="7">
        <v>0</v>
      </c>
      <c r="K272" s="92" t="str">
        <f t="shared" si="119"/>
        <v>4061/4062</v>
      </c>
      <c r="L272" s="21" t="str">
        <f>VLOOKUP(A272,'Trips&amp;Operators'!$C$1:$G$99999,5,FALSE)</f>
        <v>WILLIAMS DONTE</v>
      </c>
      <c r="M272" s="6">
        <f t="shared" si="120"/>
        <v>1.3622685182781424E-2</v>
      </c>
      <c r="N272" s="7">
        <f t="shared" si="116"/>
        <v>19.616666663205251</v>
      </c>
      <c r="O272" s="7"/>
      <c r="P272" s="7"/>
      <c r="Q272" s="22"/>
      <c r="R272" s="190"/>
      <c r="S272" s="196">
        <f t="shared" si="117"/>
        <v>0</v>
      </c>
      <c r="T272" s="190" t="e">
        <f t="shared" si="121"/>
        <v>#VALUE!</v>
      </c>
      <c r="U272" s="190">
        <f>IF(AG272="EC",COUNTIFS(Variables!$M$2:$M$19,IF(T272="NorthBound","&gt;=","&lt;=")&amp;Y272,Variables!$M$2:$M$19,IF(T272="NorthBound","&lt;=","&gt;=")&amp;Z272),COUNTIFS(Variables!$P$2:$P$19,IF(T272="NorthBound","&gt;=","&lt;=")&amp;Y272,Variables!$P$2:$P$19,IF(T272="NorthBound","&lt;=","&gt;=")&amp;Z272))</f>
        <v>0</v>
      </c>
      <c r="V272" s="191" t="str">
        <f t="shared" si="122"/>
        <v>https://d0f6bd738d7f1b3e5a7ca70fe4ff75f0.us-east-1.aws.found.io/app/kibana#/discover/Steve-Slow-Train-Analysis-(2080s-and-2083s)?_g=(refreshInterval:(display:Off,pause:!f,section:0,value:0),time:(from:'2017-05-14T00:58:08-0600',mode:absolute,to:'2017-05-14T04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72" s="192" t="str">
        <f t="shared" si="123"/>
        <v>N</v>
      </c>
      <c r="X272" s="192" t="e">
        <f t="shared" si="118"/>
        <v>#VALUE!</v>
      </c>
      <c r="Y272" s="192">
        <f t="shared" si="115"/>
        <v>5.8638000000000003</v>
      </c>
      <c r="Z272" s="192">
        <f t="shared" si="114"/>
        <v>9.1000000000000004E-3</v>
      </c>
      <c r="AA272" s="192">
        <f t="shared" si="124"/>
        <v>5.8547000000000002</v>
      </c>
      <c r="AB272" s="57" t="e">
        <f>VLOOKUP(A272,Enforcements!$C$7:$K$13,8,0)</f>
        <v>#N/A</v>
      </c>
      <c r="AC272" s="53" t="e">
        <f>VLOOKUP(A272,Enforcements!$C$7:$E$13,3,0)</f>
        <v>#N/A</v>
      </c>
      <c r="AD272" s="54" t="str">
        <f t="shared" si="125"/>
        <v>89-13</v>
      </c>
      <c r="AE272" s="80" t="str">
        <f t="shared" si="126"/>
        <v>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 &amp; aws s3 cp s3://rtdc.mdm.uploadarchive.raw/RTDC4061/ "%USERPROFILE%\AppData\Local\Temp\OnboardLogs"\RTDC4061\2017-05-15 --exclude "*" --recursive --include "*20170515*" &amp; "%USERPROFILE%\Documents\GitHub\mrs-test-scripts\Headless Mode &amp; Sideloading\WalkAndUnGZ.bat" "%USERPROFILE%\AppData\Local\Temp\OnboardLogs"\RTDC4061\2017-05-15</v>
      </c>
      <c r="AF272" s="77" t="str">
        <f t="shared" si="127"/>
        <v>"C:\Program Files (x86)\AstroGrep\AstroGrep.exe" /e /r /s /spath="%USERPROFILE%\AppData\Local\Temp\OnboardLogs" /stypes="app*4061*20170514*" /stext=" 09:.+((SYSTEM_STATE.+slice.+state.+changed )|(ment ac)|(multiple cpu faults)|(system.+state.+changed )|(\[timeout)|(PRM\|1\|D)|(kpr)|(kdp)|(train st.+moving)|(\|lc)|(penalty))"</v>
      </c>
      <c r="AG272" s="1" t="str">
        <f t="shared" si="128"/>
        <v>Other</v>
      </c>
      <c r="AH272" s="81" t="str">
        <f t="shared" si="129"/>
        <v>"%USERPROFILE%\Documents\GitHub\eaglep3\Utilities\RefineRTDCRunTimes.py" --tripid 89-13 --locoid 4061 --swversion DE.1.0.9.0 --startMP 300:58638 --initTime 2017-05-14T01:58:08 --startdatetime 2017-05-14T02:46:26 --delay 2 --endMP 204:91 --enddatetime 2017-05-14T03:06:03 --enforcementcount 0 &gt;&gt;C:\Users\stu\Documents\GitHub\eaglep3-reporting\EC\2017-05-13-refined-times.txt</v>
      </c>
      <c r="AI272" s="99" t="str">
        <f t="shared" si="130"/>
        <v>echo {"issue":{"subject":"","project_id":79,"tracker_id":40,"status_id":1,"priority_id":2,"assigned_to_id":23,"start_date":"2017-05-14","description":"","custom_fields":[{"id":1,"name":"Subdivision","value":"Other"},{"id":4,"name":"Milepost","value":"0.0091"},{"id":17,"name":"Train ID","value":"89-13"},{"id":16,"name":"Locomotive ID","value":"4061"},{"id":130,"name":"Impact","value":""},{"id":150,"name":"Time of Event (Mountain Time)","value":"03:06:03"},{"id":151,"name":"Denver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2" s="20"/>
      <c r="AK272" s="47"/>
      <c r="AL272" s="47"/>
      <c r="AM272" s="145" t="str">
        <f t="shared" si="131"/>
        <v>start /low /b %USERPROFILE%\Documents\GitHub\eaglep3\Utilities\DownloadLogsFromS3.py --loco 4061 --day 2017-05-14</v>
      </c>
      <c r="AN272" s="154" t="str">
        <f t="shared" si="132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3" spans="1:40" x14ac:dyDescent="0.25">
      <c r="A273" s="32" t="s">
        <v>581</v>
      </c>
      <c r="B273" s="7">
        <v>4061</v>
      </c>
      <c r="C273" s="21" t="s">
        <v>206</v>
      </c>
      <c r="D273" s="21" t="s">
        <v>1039</v>
      </c>
      <c r="E273" s="13">
        <v>42869.053263888891</v>
      </c>
      <c r="F273" s="13">
        <v>42869.084386574075</v>
      </c>
      <c r="G273" s="7">
        <v>2</v>
      </c>
      <c r="H273" s="21" t="s">
        <v>1040</v>
      </c>
      <c r="I273" s="13">
        <v>42869.095439814817</v>
      </c>
      <c r="J273" s="7">
        <v>0</v>
      </c>
      <c r="K273" s="92" t="str">
        <f t="shared" si="119"/>
        <v>4061/4062</v>
      </c>
      <c r="L273" s="21" t="str">
        <f>VLOOKUP(A273,'Trips&amp;Operators'!$C$1:$G$99999,5,FALSE)</f>
        <v>WILLIAMS DONTE</v>
      </c>
      <c r="M273" s="6">
        <f t="shared" si="120"/>
        <v>1.1053240741603076E-2</v>
      </c>
      <c r="N273" s="7">
        <f t="shared" si="116"/>
        <v>15.91666666790843</v>
      </c>
      <c r="O273" s="7"/>
      <c r="P273" s="7"/>
      <c r="Q273" s="22"/>
      <c r="R273" s="190"/>
      <c r="S273" s="196">
        <f t="shared" si="117"/>
        <v>0</v>
      </c>
      <c r="T273" s="190" t="e">
        <f t="shared" si="121"/>
        <v>#VALUE!</v>
      </c>
      <c r="U273" s="190">
        <f>IF(AG273="EC",COUNTIFS(Variables!$M$2:$M$19,IF(T273="NorthBound","&gt;=","&lt;=")&amp;Y273,Variables!$M$2:$M$19,IF(T273="NorthBound","&lt;=","&gt;=")&amp;Z273),COUNTIFS(Variables!$P$2:$P$19,IF(T273="NorthBound","&gt;=","&lt;=")&amp;Y273,Variables!$P$2:$P$19,IF(T273="NorthBound","&lt;=","&gt;=")&amp;Z273))</f>
        <v>0</v>
      </c>
      <c r="V273" s="191" t="str">
        <f t="shared" si="122"/>
        <v>https://d0f6bd738d7f1b3e5a7ca70fe4ff75f0.us-east-1.aws.found.io/app/kibana#/discover/Steve-Slow-Train-Analysis-(2080s-and-2083s)?_g=(refreshInterval:(display:Off,pause:!f,section:0,value:0),time:(from:'2017-05-14T00:16:42-0600',mode:absolute,to:'2017-05-14T03:17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73" s="192" t="str">
        <f t="shared" si="123"/>
        <v>N</v>
      </c>
      <c r="X273" s="192" t="e">
        <f t="shared" si="118"/>
        <v>#VALUE!</v>
      </c>
      <c r="Y273" s="192">
        <f t="shared" si="115"/>
        <v>5.8653000000000004</v>
      </c>
      <c r="Z273" s="192">
        <f t="shared" si="114"/>
        <v>9.7000000000000003E-3</v>
      </c>
      <c r="AA273" s="192">
        <f t="shared" si="124"/>
        <v>5.8556000000000008</v>
      </c>
      <c r="AB273" s="57" t="e">
        <f>VLOOKUP(A273,Enforcements!$C$7:$K$13,8,0)</f>
        <v>#N/A</v>
      </c>
      <c r="AC273" s="53" t="e">
        <f>VLOOKUP(A273,Enforcements!$C$7:$E$13,3,0)</f>
        <v>#N/A</v>
      </c>
      <c r="AD273" s="54" t="str">
        <f t="shared" si="125"/>
        <v>89-13</v>
      </c>
      <c r="AE273" s="80" t="str">
        <f t="shared" si="126"/>
        <v>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 &amp; aws s3 cp s3://rtdc.mdm.uploadarchive.raw/RTDC4061/ "%USERPROFILE%\AppData\Local\Temp\OnboardLogs"\RTDC4061\2017-05-15 --exclude "*" --recursive --include "*20170515*" &amp; "%USERPROFILE%\Documents\GitHub\mrs-test-scripts\Headless Mode &amp; Sideloading\WalkAndUnGZ.bat" "%USERPROFILE%\AppData\Local\Temp\OnboardLogs"\RTDC4061\2017-05-15</v>
      </c>
      <c r="AF273" s="77" t="str">
        <f t="shared" si="127"/>
        <v>"C:\Program Files (x86)\AstroGrep\AstroGrep.exe" /e /r /s /spath="%USERPROFILE%\AppData\Local\Temp\OnboardLogs" /stypes="app*4061*20170514*" /stext=" 08:.+((SYSTEM_STATE.+slice.+state.+changed )|(ment ac)|(multiple cpu faults)|(system.+state.+changed )|(\[timeout)|(PRM\|1\|D)|(kpr)|(kdp)|(train st.+moving)|(\|lc)|(penalty))"</v>
      </c>
      <c r="AG273" s="1" t="str">
        <f t="shared" si="128"/>
        <v>Other</v>
      </c>
      <c r="AH273" s="81" t="str">
        <f t="shared" si="129"/>
        <v>"%USERPROFILE%\Documents\GitHub\eaglep3\Utilities\RefineRTDCRunTimes.py" --tripid 89-13 --locoid 4061 --swversion DE.1.0.9.0 --startMP 300:58653 --initTime 2017-05-14T01:16:42 --startdatetime 2017-05-14T02:01:31 --delay 2 --endMP 204:97 --enddatetime 2017-05-14T02:17:26 --enforcementcount 0 &gt;&gt;C:\Users\stu\Documents\GitHub\eaglep3-reporting\EC\2017-05-13-refined-times.txt</v>
      </c>
      <c r="AI273" s="99" t="str">
        <f t="shared" si="130"/>
        <v>echo {"issue":{"subject":"","project_id":79,"tracker_id":40,"status_id":1,"priority_id":2,"assigned_to_id":23,"start_date":"2017-05-14","description":"","custom_fields":[{"id":1,"name":"Subdivision","value":"Other"},{"id":4,"name":"Milepost","value":"0.0097"},{"id":17,"name":"Train ID","value":"89-13"},{"id":16,"name":"Locomotive ID","value":"4061"},{"id":130,"name":"Impact","value":""},{"id":150,"name":"Time of Event (Mountain Time)","value":"02:17:26"},{"id":151,"name":"Denver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3" s="20"/>
      <c r="AK273" s="47"/>
      <c r="AL273" s="47"/>
      <c r="AM273" s="145" t="str">
        <f t="shared" si="131"/>
        <v>start /low /b %USERPROFILE%\Documents\GitHub\eaglep3\Utilities\DownloadLogsFromS3.py --loco 4061 --day 2017-05-14</v>
      </c>
      <c r="AN273" s="154" t="str">
        <f t="shared" si="132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08:17:26"},{"id":29,"name":"Sharepoint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4" spans="1:40" x14ac:dyDescent="0.25">
      <c r="A274" s="32" t="s">
        <v>581</v>
      </c>
      <c r="B274" s="7">
        <v>4062</v>
      </c>
      <c r="C274" s="21" t="s">
        <v>206</v>
      </c>
      <c r="D274" s="21" t="s">
        <v>1041</v>
      </c>
      <c r="E274" s="13">
        <v>42869.039236111108</v>
      </c>
      <c r="F274" s="13">
        <v>42869.069861111115</v>
      </c>
      <c r="G274" s="7">
        <v>1</v>
      </c>
      <c r="H274" s="21" t="s">
        <v>866</v>
      </c>
      <c r="I274" s="13">
        <v>42869.080312500002</v>
      </c>
      <c r="J274" s="7">
        <v>0</v>
      </c>
      <c r="K274" s="92" t="str">
        <f t="shared" si="119"/>
        <v>4061/4062</v>
      </c>
      <c r="L274" s="21" t="str">
        <f>VLOOKUP(A274,'Trips&amp;Operators'!$C$1:$G$99999,5,FALSE)</f>
        <v>WILLIAMS DONTE</v>
      </c>
      <c r="M274" s="6">
        <f t="shared" si="120"/>
        <v>1.0451388887304347E-2</v>
      </c>
      <c r="N274" s="7">
        <f t="shared" si="116"/>
        <v>15.04999999771826</v>
      </c>
      <c r="O274" s="7"/>
      <c r="P274" s="7"/>
      <c r="Q274" s="22"/>
      <c r="R274" s="190"/>
      <c r="S274" s="196">
        <f t="shared" si="117"/>
        <v>0</v>
      </c>
      <c r="T274" s="190" t="e">
        <f t="shared" si="121"/>
        <v>#VALUE!</v>
      </c>
      <c r="U274" s="190">
        <f>IF(AG274="EC",COUNTIFS(Variables!$M$2:$M$19,IF(T274="NorthBound","&gt;=","&lt;=")&amp;Y274,Variables!$M$2:$M$19,IF(T274="NorthBound","&lt;=","&gt;=")&amp;Z274),COUNTIFS(Variables!$P$2:$P$19,IF(T274="NorthBound","&gt;=","&lt;=")&amp;Y274,Variables!$P$2:$P$19,IF(T274="NorthBound","&lt;=","&gt;=")&amp;Z274))</f>
        <v>0</v>
      </c>
      <c r="V274" s="191" t="str">
        <f t="shared" si="122"/>
        <v>https://d0f6bd738d7f1b3e5a7ca70fe4ff75f0.us-east-1.aws.found.io/app/kibana#/discover/Steve-Slow-Train-Analysis-(2080s-and-2083s)?_g=(refreshInterval:(display:Off,pause:!f,section:0,value:0),time:(from:'2017-05-13T23:56:30-0600',mode:absolute,to:'2017-05-14T02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74" s="192" t="str">
        <f t="shared" si="123"/>
        <v>N</v>
      </c>
      <c r="X274" s="192" t="e">
        <f t="shared" si="118"/>
        <v>#VALUE!</v>
      </c>
      <c r="Y274" s="192">
        <f t="shared" si="115"/>
        <v>0.1032</v>
      </c>
      <c r="Z274" s="192">
        <f t="shared" si="114"/>
        <v>5.8968999999999996</v>
      </c>
      <c r="AA274" s="192">
        <f t="shared" si="124"/>
        <v>5.7936999999999994</v>
      </c>
      <c r="AB274" s="57" t="e">
        <f>VLOOKUP(A274,Enforcements!$C$7:$K$13,8,0)</f>
        <v>#N/A</v>
      </c>
      <c r="AC274" s="53" t="e">
        <f>VLOOKUP(A274,Enforcements!$C$7:$E$13,3,0)</f>
        <v>#N/A</v>
      </c>
      <c r="AD274" s="54" t="str">
        <f t="shared" si="125"/>
        <v>89-13</v>
      </c>
      <c r="AE274" s="80" t="str">
        <f t="shared" si="126"/>
        <v>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 &amp; aws s3 cp s3://rtdc.mdm.uploadarchive.raw/RTDC4062/ "%USERPROFILE%\AppData\Local\Temp\OnboardLogs"\RTDC4062\2017-05-15 --exclude "*" --recursive --include "*20170515*" &amp; "%USERPROFILE%\Documents\GitHub\mrs-test-scripts\Headless Mode &amp; Sideloading\WalkAndUnGZ.bat" "%USERPROFILE%\AppData\Local\Temp\OnboardLogs"\RTDC4062\2017-05-15</v>
      </c>
      <c r="AF274" s="77" t="str">
        <f t="shared" si="127"/>
        <v>"C:\Program Files (x86)\AstroGrep\AstroGrep.exe" /e /r /s /spath="%USERPROFILE%\AppData\Local\Temp\OnboardLogs" /stypes="app*4062*20170514*" /stext=" 07:.+((SYSTEM_STATE.+slice.+state.+changed )|(ment ac)|(multiple cpu faults)|(system.+state.+changed )|(\[timeout)|(PRM\|1\|D)|(kpr)|(kdp)|(train st.+moving)|(\|lc)|(penalty))"</v>
      </c>
      <c r="AG274" s="1" t="str">
        <f t="shared" si="128"/>
        <v>Other</v>
      </c>
      <c r="AH274" s="81" t="str">
        <f t="shared" si="129"/>
        <v>"%USERPROFILE%\Documents\GitHub\eaglep3\Utilities\RefineRTDCRunTimes.py" --tripid 89-13 --locoid 4062 --swversion DE.1.0.9.0 --startMP 204:1032 --initTime 2017-05-14T00:56:30 --startdatetime 2017-05-14T01:40:36 --delay 1 --endMP 300:58969 --enddatetime 2017-05-14T01:55:39 --enforcementcount 0 &gt;&gt;C:\Users\stu\Documents\GitHub\eaglep3-reporting\EC\2017-05-13-refined-times.txt</v>
      </c>
      <c r="AI274" s="99" t="str">
        <f t="shared" si="130"/>
        <v>echo {"issue":{"subject":"","project_id":79,"tracker_id":40,"status_id":1,"priority_id":2,"assigned_to_id":23,"start_date":"2017-05-14","description":"","custom_fields":[{"id":1,"name":"Subdivision","value":"Other"},{"id":4,"name":"Milepost","value":"5.8969"},{"id":17,"name":"Train ID","value":"89-13"},{"id":16,"name":"Locomotive ID","value":"4062"},{"id":130,"name":"Impact","value":""},{"id":150,"name":"Time of Event (Mountain Time)","value":"01:55:39"},{"id":151,"name":"Denver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4" s="20"/>
      <c r="AK274" s="47"/>
      <c r="AL274" s="47"/>
      <c r="AM274" s="145" t="str">
        <f t="shared" si="131"/>
        <v>start /low /b %USERPROFILE%\Documents\GitHub\eaglep3\Utilities\DownloadLogsFromS3.py --loco 4062 --day 2017-05-14</v>
      </c>
      <c r="AN274" s="154" t="str">
        <f t="shared" si="132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5" spans="1:40" x14ac:dyDescent="0.25">
      <c r="A275" s="32" t="s">
        <v>581</v>
      </c>
      <c r="B275" s="7">
        <v>4062</v>
      </c>
      <c r="C275" s="21" t="s">
        <v>206</v>
      </c>
      <c r="D275" s="21" t="s">
        <v>1042</v>
      </c>
      <c r="E275" s="13">
        <v>42869.068344907406</v>
      </c>
      <c r="F275" s="13">
        <v>42869.101956018516</v>
      </c>
      <c r="G275" s="7">
        <v>1</v>
      </c>
      <c r="H275" s="21" t="s">
        <v>1043</v>
      </c>
      <c r="I275" s="13">
        <v>42869.112407407411</v>
      </c>
      <c r="J275" s="7">
        <v>0</v>
      </c>
      <c r="K275" s="92" t="str">
        <f t="shared" si="119"/>
        <v>4061/4062</v>
      </c>
      <c r="L275" s="21" t="str">
        <f>VLOOKUP(A275,'Trips&amp;Operators'!$C$1:$G$99999,5,FALSE)</f>
        <v>WILLIAMS DONTE</v>
      </c>
      <c r="M275" s="6">
        <f t="shared" si="120"/>
        <v>1.0451388894580305E-2</v>
      </c>
      <c r="N275" s="7">
        <f t="shared" si="116"/>
        <v>15.050000008195639</v>
      </c>
      <c r="O275" s="7"/>
      <c r="P275" s="7"/>
      <c r="Q275" s="22"/>
      <c r="R275" s="190"/>
      <c r="S275" s="196">
        <f t="shared" si="117"/>
        <v>0</v>
      </c>
      <c r="T275" s="190" t="e">
        <f t="shared" si="121"/>
        <v>#VALUE!</v>
      </c>
      <c r="U275" s="190">
        <f>IF(AG275="EC",COUNTIFS(Variables!$M$2:$M$19,IF(T275="NorthBound","&gt;=","&lt;=")&amp;Y275,Variables!$M$2:$M$19,IF(T275="NorthBound","&lt;=","&gt;=")&amp;Z275),COUNTIFS(Variables!$P$2:$P$19,IF(T275="NorthBound","&gt;=","&lt;=")&amp;Y275,Variables!$P$2:$P$19,IF(T275="NorthBound","&lt;=","&gt;=")&amp;Z275))</f>
        <v>0</v>
      </c>
      <c r="V275" s="191" t="str">
        <f t="shared" si="122"/>
        <v>https://d0f6bd738d7f1b3e5a7ca70fe4ff75f0.us-east-1.aws.found.io/app/kibana#/discover/Steve-Slow-Train-Analysis-(2080s-and-2083s)?_g=(refreshInterval:(display:Off,pause:!f,section:0,value:0),time:(from:'2017-05-14T00:38:25-0600',mode:absolute,to:'2017-05-14T03:41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75" s="192" t="str">
        <f t="shared" si="123"/>
        <v>N</v>
      </c>
      <c r="X275" s="192" t="e">
        <f t="shared" si="118"/>
        <v>#VALUE!</v>
      </c>
      <c r="Y275" s="192">
        <f t="shared" si="115"/>
        <v>3.9899999999999998E-2</v>
      </c>
      <c r="Z275" s="192">
        <f t="shared" si="114"/>
        <v>5.8964999999999996</v>
      </c>
      <c r="AA275" s="192">
        <f t="shared" si="124"/>
        <v>5.8565999999999994</v>
      </c>
      <c r="AB275" s="57" t="e">
        <f>VLOOKUP(A275,Enforcements!$C$7:$K$13,8,0)</f>
        <v>#N/A</v>
      </c>
      <c r="AC275" s="53" t="e">
        <f>VLOOKUP(A275,Enforcements!$C$7:$E$13,3,0)</f>
        <v>#N/A</v>
      </c>
      <c r="AD275" s="54" t="str">
        <f t="shared" si="125"/>
        <v>89-13</v>
      </c>
      <c r="AE275" s="80" t="str">
        <f t="shared" si="126"/>
        <v>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 &amp; aws s3 cp s3://rtdc.mdm.uploadarchive.raw/RTDC4062/ "%USERPROFILE%\AppData\Local\Temp\OnboardLogs"\RTDC4062\2017-05-15 --exclude "*" --recursive --include "*20170515*" &amp; "%USERPROFILE%\Documents\GitHub\mrs-test-scripts\Headless Mode &amp; Sideloading\WalkAndUnGZ.bat" "%USERPROFILE%\AppData\Local\Temp\OnboardLogs"\RTDC4062\2017-05-15</v>
      </c>
      <c r="AF275" s="77" t="str">
        <f t="shared" si="127"/>
        <v>"C:\Program Files (x86)\AstroGrep\AstroGrep.exe" /e /r /s /spath="%USERPROFILE%\AppData\Local\Temp\OnboardLogs" /stypes="app*4062*20170514*" /stext=" 08:.+((SYSTEM_STATE.+slice.+state.+changed )|(ment ac)|(multiple cpu faults)|(system.+state.+changed )|(\[timeout)|(PRM\|1\|D)|(kpr)|(kdp)|(train st.+moving)|(\|lc)|(penalty))"</v>
      </c>
      <c r="AG275" s="1" t="str">
        <f t="shared" si="128"/>
        <v>Other</v>
      </c>
      <c r="AH275" s="81" t="str">
        <f t="shared" si="129"/>
        <v>"%USERPROFILE%\Documents\GitHub\eaglep3\Utilities\RefineRTDCRunTimes.py" --tripid 89-13 --locoid 4062 --swversion DE.1.0.9.0 --startMP 204:399 --initTime 2017-05-14T01:38:25 --startdatetime 2017-05-14T02:26:49 --delay 1 --endMP 300:58965 --enddatetime 2017-05-14T02:41:52 --enforcementcount 0 &gt;&gt;C:\Users\stu\Documents\GitHub\eaglep3-reporting\EC\2017-05-13-refined-times.txt</v>
      </c>
      <c r="AI275" s="99" t="str">
        <f t="shared" si="130"/>
        <v>echo {"issue":{"subject":"","project_id":79,"tracker_id":40,"status_id":1,"priority_id":2,"assigned_to_id":23,"start_date":"2017-05-14","description":"","custom_fields":[{"id":1,"name":"Subdivision","value":"Other"},{"id":4,"name":"Milepost","value":"5.8965"},{"id":17,"name":"Train ID","value":"89-13"},{"id":16,"name":"Locomotive ID","value":"4062"},{"id":130,"name":"Impact","value":""},{"id":150,"name":"Time of Event (Mountain Time)","value":"02:41:52"},{"id":151,"name":"Denver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5" s="20"/>
      <c r="AK275" s="47"/>
      <c r="AL275" s="47"/>
      <c r="AM275" s="145" t="str">
        <f t="shared" si="131"/>
        <v>start /low /b %USERPROFILE%\Documents\GitHub\eaglep3\Utilities\DownloadLogsFromS3.py --loco 4062 --day 2017-05-14</v>
      </c>
      <c r="AN275" s="154" t="str">
        <f t="shared" si="132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08:41:52"},{"id":29,"name":"Sharepoint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6" spans="1:40" x14ac:dyDescent="0.25">
      <c r="A276" s="32" t="s">
        <v>581</v>
      </c>
      <c r="B276" s="7">
        <v>4062</v>
      </c>
      <c r="C276" s="21" t="s">
        <v>206</v>
      </c>
      <c r="D276" s="21" t="s">
        <v>1044</v>
      </c>
      <c r="E276" s="13">
        <v>42869.100277777776</v>
      </c>
      <c r="F276" s="13">
        <v>42869.132708333331</v>
      </c>
      <c r="G276" s="7">
        <v>1</v>
      </c>
      <c r="H276" s="21" t="s">
        <v>1045</v>
      </c>
      <c r="I276" s="13">
        <v>42869.140752314815</v>
      </c>
      <c r="J276" s="7">
        <v>0</v>
      </c>
      <c r="K276" s="92" t="str">
        <f t="shared" si="119"/>
        <v>4061/4062</v>
      </c>
      <c r="L276" s="21" t="str">
        <f>VLOOKUP(A276,'Trips&amp;Operators'!$C$1:$G$99999,5,FALSE)</f>
        <v>WILLIAMS DONTE</v>
      </c>
      <c r="M276" s="6">
        <f t="shared" si="120"/>
        <v>8.0439814846613444E-3</v>
      </c>
      <c r="N276" s="7">
        <f t="shared" si="116"/>
        <v>11.583333337912336</v>
      </c>
      <c r="O276" s="7"/>
      <c r="P276" s="7"/>
      <c r="Q276" s="22"/>
      <c r="R276" s="190"/>
      <c r="S276" s="196">
        <f t="shared" si="117"/>
        <v>0</v>
      </c>
      <c r="T276" s="190" t="e">
        <f t="shared" si="121"/>
        <v>#VALUE!</v>
      </c>
      <c r="U276" s="190">
        <f>IF(AG276="EC",COUNTIFS(Variables!$M$2:$M$19,IF(T276="NorthBound","&gt;=","&lt;=")&amp;Y276,Variables!$M$2:$M$19,IF(T276="NorthBound","&lt;=","&gt;=")&amp;Z276),COUNTIFS(Variables!$P$2:$P$19,IF(T276="NorthBound","&gt;=","&lt;=")&amp;Y276,Variables!$P$2:$P$19,IF(T276="NorthBound","&lt;=","&gt;=")&amp;Z276))</f>
        <v>0</v>
      </c>
      <c r="V276" s="191" t="str">
        <f t="shared" si="122"/>
        <v>https://d0f6bd738d7f1b3e5a7ca70fe4ff75f0.us-east-1.aws.found.io/app/kibana#/discover/Steve-Slow-Train-Analysis-(2080s-and-2083s)?_g=(refreshInterval:(display:Off,pause:!f,section:0,value:0),time:(from:'2017-05-14T01:24:24-0600',mode:absolute,to:'2017-05-14T04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76" s="192" t="str">
        <f t="shared" si="123"/>
        <v>N</v>
      </c>
      <c r="X276" s="192" t="e">
        <f t="shared" si="118"/>
        <v>#VALUE!</v>
      </c>
      <c r="Y276" s="192">
        <f t="shared" si="115"/>
        <v>4.0800000000000003E-2</v>
      </c>
      <c r="Z276" s="192">
        <f t="shared" si="114"/>
        <v>5.8949999999999996</v>
      </c>
      <c r="AA276" s="192">
        <f t="shared" si="124"/>
        <v>5.8541999999999996</v>
      </c>
      <c r="AB276" s="57" t="e">
        <f>VLOOKUP(A276,Enforcements!$C$7:$K$13,8,0)</f>
        <v>#N/A</v>
      </c>
      <c r="AC276" s="53" t="e">
        <f>VLOOKUP(A276,Enforcements!$C$7:$E$13,3,0)</f>
        <v>#N/A</v>
      </c>
      <c r="AD276" s="54" t="str">
        <f t="shared" si="125"/>
        <v>89-13</v>
      </c>
      <c r="AE276" s="80" t="str">
        <f t="shared" si="126"/>
        <v>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 &amp; aws s3 cp s3://rtdc.mdm.uploadarchive.raw/RTDC4062/ "%USERPROFILE%\AppData\Local\Temp\OnboardLogs"\RTDC4062\2017-05-15 --exclude "*" --recursive --include "*20170515*" &amp; "%USERPROFILE%\Documents\GitHub\mrs-test-scripts\Headless Mode &amp; Sideloading\WalkAndUnGZ.bat" "%USERPROFILE%\AppData\Local\Temp\OnboardLogs"\RTDC4062\2017-05-15</v>
      </c>
      <c r="AF276" s="77" t="str">
        <f t="shared" si="127"/>
        <v>"C:\Program Files (x86)\AstroGrep\AstroGrep.exe" /e /r /s /spath="%USERPROFILE%\AppData\Local\Temp\OnboardLogs" /stypes="app*4062*20170514*" /stext=" 09:.+((SYSTEM_STATE.+slice.+state.+changed )|(ment ac)|(multiple cpu faults)|(system.+state.+changed )|(\[timeout)|(PRM\|1\|D)|(kpr)|(kdp)|(train st.+moving)|(\|lc)|(penalty))"</v>
      </c>
      <c r="AG276" s="1" t="str">
        <f t="shared" si="128"/>
        <v>Other</v>
      </c>
      <c r="AH276" s="81" t="str">
        <f t="shared" si="129"/>
        <v>"%USERPROFILE%\Documents\GitHub\eaglep3\Utilities\RefineRTDCRunTimes.py" --tripid 89-13 --locoid 4062 --swversion DE.1.0.9.0 --startMP 204:408 --initTime 2017-05-14T02:24:24 --startdatetime 2017-05-14T03:11:06 --delay 1 --endMP 300:58950 --enddatetime 2017-05-14T03:22:41 --enforcementcount 0 &gt;&gt;C:\Users\stu\Documents\GitHub\eaglep3-reporting\EC\2017-05-13-refined-times.txt</v>
      </c>
      <c r="AI276" s="99" t="str">
        <f t="shared" si="130"/>
        <v>echo {"issue":{"subject":"","project_id":79,"tracker_id":40,"status_id":1,"priority_id":2,"assigned_to_id":23,"start_date":"2017-05-14","description":"","custom_fields":[{"id":1,"name":"Subdivision","value":"Other"},{"id":4,"name":"Milepost","value":"5.895"},{"id":17,"name":"Train ID","value":"89-13"},{"id":16,"name":"Locomotive ID","value":"4062"},{"id":130,"name":"Impact","value":""},{"id":150,"name":"Time of Event (Mountain Time)","value":"03:22:41"},{"id":151,"name":"Denver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6" s="20"/>
      <c r="AK276" s="47"/>
      <c r="AL276" s="47"/>
      <c r="AM276" s="145" t="str">
        <f t="shared" si="131"/>
        <v>start /low /b %USERPROFILE%\Documents\GitHub\eaglep3\Utilities\DownloadLogsFromS3.py --loco 4062 --day 2017-05-14</v>
      </c>
      <c r="AN276" s="154" t="str">
        <f t="shared" si="132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</sheetData>
  <autoFilter ref="A12:AG272">
    <sortState ref="A13:AG275">
      <sortCondition ref="AG13:AG275"/>
      <sortCondition ref="AD13:AD275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401" operator="equal">
      <formula>"Y"</formula>
    </cfRule>
  </conditionalFormatting>
  <conditionalFormatting sqref="X13:X1048576">
    <cfRule type="cellIs" dxfId="9" priority="384" operator="greaterThan">
      <formula>1</formula>
    </cfRule>
  </conditionalFormatting>
  <conditionalFormatting sqref="X12:X1048576">
    <cfRule type="cellIs" dxfId="8" priority="381" operator="equal">
      <formula>0</formula>
    </cfRule>
  </conditionalFormatting>
  <conditionalFormatting sqref="A13:S276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A13:S276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AK13:AK276</xm:sqref>
        </x14:dataValidation>
        <x14:dataValidation type="list" allowBlank="1" showInputMessage="1" showErrorMessage="1">
          <x14:formula1>
            <xm:f>'Redmine List Values'!$C$2:$C$15</xm:f>
          </x14:formula1>
          <xm:sqref>AL13:AL276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P33" sqref="P3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COUNTIF($O$7:$O$290,"=Y")</f>
        <v>3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COUNTA($O$7:$O$290)-O2</f>
        <v>41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- 2017-05-13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42868.671412037038</v>
      </c>
      <c r="B7" s="30" t="s">
        <v>486</v>
      </c>
      <c r="C7" s="30" t="s">
        <v>563</v>
      </c>
      <c r="D7" s="30" t="s">
        <v>49</v>
      </c>
      <c r="E7" s="30" t="s">
        <v>191</v>
      </c>
      <c r="F7" s="42">
        <v>0</v>
      </c>
      <c r="G7" s="42">
        <v>247</v>
      </c>
      <c r="H7" s="42">
        <v>26893</v>
      </c>
      <c r="I7" s="42">
        <v>27180</v>
      </c>
      <c r="J7" s="30" t="s">
        <v>192</v>
      </c>
      <c r="K7" s="42">
        <v>27053</v>
      </c>
      <c r="L7" s="134" t="s">
        <v>50</v>
      </c>
      <c r="M7" s="135">
        <f t="shared" ref="M7:M50" si="0">CONVERT((I7-K7)/10000,"mi","ft")*IF(L7="Increasing Mileposts (1)",-1,1)</f>
        <v>-67.055999999999997</v>
      </c>
      <c r="N7" s="136" t="str">
        <f>VLOOKUP(C7,'Trips&amp;Operators'!$C$1:$G$99999,5,FALSE)</f>
        <v>MOSES BRADLEY</v>
      </c>
      <c r="O7" s="207" t="s">
        <v>184</v>
      </c>
      <c r="P7" s="137" t="s">
        <v>541</v>
      </c>
      <c r="Q7" s="30"/>
      <c r="R7" s="84" t="e">
        <f>IF(VLOOKUP(C7,'Train Runs'!$A$13:$AE$9931,1,1)=C7,VLOOKUP(C7,'Train Runs'!$A$13:$AE$9931,31,1),NA())</f>
        <v>#N/A</v>
      </c>
      <c r="S7" s="87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-05-13T14:57:47-0600',mode:absolute,to:'2017-05-13T17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7" s="89" t="str">
        <f t="shared" ref="T7:T5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/stypes="*4054*201705132*" /stext=" 22:.+((SYSTEM_STATE.+slice.+state.+changed )|(ment ac)|(multiple cpu faults)|(system.+state.+changed )|(\[timeout)|(PRM\|1\|D)|(kpr)|(kdp)|(train st.+moving)|(\|lc)|(penalty))"</v>
      </c>
      <c r="U7" s="9" t="str">
        <f t="shared" ref="U7:U50" si="2">MID(B7,13,4)</f>
        <v>4054</v>
      </c>
      <c r="V7" s="31">
        <f t="shared" ref="V7:V50" si="3">A7-utc_offset/24</f>
        <v>42868.921412037038</v>
      </c>
      <c r="W7" s="45" t="str">
        <f t="shared" ref="W7:W50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0" si="5">IF(AND(E7="TRACK WARRANT AUTHORITY",G7&lt;10),"OMIT","KEEP")</f>
        <v>KEEP</v>
      </c>
      <c r="Y7" s="99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arrival","project_id":79,"tracker_id":40,"status_id":1,"priority_id":2,"assigned_to_id":23,"start_date":"2017-05-13","description":"","custom_fields":[{"id":1,"name":"Subdivision","value":"EC"},{"id":4,"name":"Milepost","value":"2.7053"},{"id":17,"name":"Train ID","value":"199-13"},{"id":16,"name":"Locomotive ID","value":"4054"},{"id":130,"name":"Impact","value":""},{"id":150,"name":"Time of Event (Mountain Time)","value":"16:06:50"},{"id":151,"name":"Denver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0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/cygdrive/c/Users/stu/AppData/Local/Temp/OnboardLogs/RTDC4054 --include="*4054*201705132*"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"%USERPROFILE%\AppData\Local\Temp\OnboardLogs"\RTDC4054\*4054*201705132* &gt;&gt; 2017-05-13-SliceDisagreementCheck.txt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4054 --day 2017-05-13</v>
      </c>
    </row>
    <row r="8" spans="1:32" s="1" customFormat="1" x14ac:dyDescent="0.25">
      <c r="A8" s="31">
        <v>42868.696736111109</v>
      </c>
      <c r="B8" s="30" t="s">
        <v>459</v>
      </c>
      <c r="C8" s="30" t="s">
        <v>564</v>
      </c>
      <c r="D8" s="30" t="s">
        <v>49</v>
      </c>
      <c r="E8" s="30" t="s">
        <v>191</v>
      </c>
      <c r="F8" s="42">
        <v>0</v>
      </c>
      <c r="G8" s="42">
        <v>125</v>
      </c>
      <c r="H8" s="42">
        <v>27365</v>
      </c>
      <c r="I8" s="42">
        <v>27227</v>
      </c>
      <c r="J8" s="30" t="s">
        <v>192</v>
      </c>
      <c r="K8" s="42">
        <v>27350</v>
      </c>
      <c r="L8" s="134" t="s">
        <v>51</v>
      </c>
      <c r="M8" s="135">
        <f t="shared" si="0"/>
        <v>-64.944000000000003</v>
      </c>
      <c r="N8" s="136" t="str">
        <f>VLOOKUP(C8,'Trips&amp;Operators'!$C$1:$G$99999,5,FALSE)</f>
        <v>BRANDNER MELINDA</v>
      </c>
      <c r="O8" s="207" t="s">
        <v>184</v>
      </c>
      <c r="P8" s="137" t="s">
        <v>541</v>
      </c>
      <c r="Q8" s="30"/>
      <c r="R8" s="84" t="e">
        <f>IF(VLOOKUP(C8,'Train Runs'!$A$13:$AE$9931,1,1)=C8,VLOOKUP(C8,'Train Runs'!$A$13:$AE$9931,31,1),NA())</f>
        <v>#N/A</v>
      </c>
      <c r="S8" s="87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-05-13T15:05:34-0600',mode:absolute,to:'2017-05-13T17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8" s="89" t="str">
        <f t="shared" si="1"/>
        <v>"C:\Program Files (x86)\AstroGrep\AstroGrep.exe" /e /r /s /spath="%USERPROFILE%\AppData\Local\Temp\OnboardLogs" /stypes="*4001*201705132*" /stext=" 22:.+((SYSTEM_STATE.+slice.+state.+changed )|(ment ac)|(multiple cpu faults)|(system.+state.+changed )|(\[timeout)|(PRM\|1\|D)|(kpr)|(kdp)|(train st.+moving)|(\|lc)|(penalty))"</v>
      </c>
      <c r="U8" s="9" t="str">
        <f t="shared" si="2"/>
        <v>4001</v>
      </c>
      <c r="V8" s="31">
        <f t="shared" si="3"/>
        <v>42868.946736111109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arrival","project_id":79,"tracker_id":40,"status_id":1,"priority_id":2,"assigned_to_id":23,"start_date":"2017-05-13","description":"","custom_fields":[{"id":1,"name":"Subdivision","value":"EC"},{"id":4,"name":"Milepost","value":"2.735"},{"id":17,"name":"Train ID","value":"194-13"},{"id":16,"name":"Locomotive ID","value":"4001"},{"id":130,"name":"Impact","value":""},{"id":150,"name":"Time of Event (Mountain Time)","value":"16:43:18"},{"id":151,"name":"Denver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/cygdrive/c/Users/stu/AppData/Local/Temp/OnboardLogs/RTDC4001 --include="*4001*201705132*"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"%USERPROFILE%\AppData\Local\Temp\OnboardLogs"\RTDC4001\*4001*201705132* &gt;&gt; 2017-05-13-SliceDisagreementCheck.txt</v>
      </c>
      <c r="AE8" s="148" t="str">
        <f t="shared" ref="AE8:AE50" si="9">"start /low /b "&amp;dls3logs&amp;" --loco "&amp;U8&amp;" --day "&amp;TEXT(V8,"YYYY-MM-DD")</f>
        <v>start /low /b %USERPROFILE%\Documents\GitHub\eaglep3\Utilities\DownloadLogsFromS3.py --loco 4001 --day 2017-05-13</v>
      </c>
    </row>
    <row r="9" spans="1:32" s="1" customFormat="1" x14ac:dyDescent="0.25">
      <c r="A9" s="31">
        <v>42868.939027777778</v>
      </c>
      <c r="B9" s="30" t="s">
        <v>383</v>
      </c>
      <c r="C9" s="30" t="s">
        <v>577</v>
      </c>
      <c r="D9" s="30" t="s">
        <v>49</v>
      </c>
      <c r="E9" s="30" t="s">
        <v>191</v>
      </c>
      <c r="F9" s="42">
        <v>10</v>
      </c>
      <c r="G9" s="42">
        <v>82</v>
      </c>
      <c r="H9" s="42">
        <v>27476</v>
      </c>
      <c r="I9" s="42">
        <v>27387</v>
      </c>
      <c r="J9" s="30" t="s">
        <v>192</v>
      </c>
      <c r="K9" s="42">
        <v>27350</v>
      </c>
      <c r="L9" s="134" t="s">
        <v>51</v>
      </c>
      <c r="M9" s="135">
        <f t="shared" si="0"/>
        <v>19.536000000000001</v>
      </c>
      <c r="N9" s="136" t="str">
        <f>VLOOKUP(C9,'Trips&amp;Operators'!$C$1:$G$99999,5,FALSE)</f>
        <v>BROWN JACOB</v>
      </c>
      <c r="O9" s="207" t="s">
        <v>184</v>
      </c>
      <c r="P9" s="137" t="s">
        <v>541</v>
      </c>
      <c r="Q9" s="30"/>
      <c r="R9" s="84" t="e">
        <f>IF(VLOOKUP(C9,'Train Runs'!$A$13:$AE$9931,1,1)=C9,VLOOKUP(C9,'Train Runs'!$A$13:$AE$9931,31,1),NA())</f>
        <v>#N/A</v>
      </c>
      <c r="S9" s="87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-05-13T20:50:59-0600',mode:absolute,to:'2017-05-14T01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9" s="89" t="str">
        <f t="shared" si="1"/>
        <v>"C:\Program Files (x86)\AstroGrep\AstroGrep.exe" /e /r /s /spath="%USERPROFILE%\AppData\Local\Temp\OnboardLogs" /stypes="*4041*201705140*" /stext=" 04:.+((SYSTEM_STATE.+slice.+state.+changed )|(ment ac)|(multiple cpu faults)|(system.+state.+changed )|(\[timeout)|(PRM\|1\|D)|(kpr)|(kdp)|(train st.+moving)|(\|lc)|(penalty))"</v>
      </c>
      <c r="U9" s="9" t="str">
        <f t="shared" si="2"/>
        <v>4041</v>
      </c>
      <c r="V9" s="31">
        <f t="shared" si="3"/>
        <v>42869.189027777778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arrival","project_id":79,"tracker_id":40,"status_id":1,"priority_id":2,"assigned_to_id":23,"start_date":"2017-05-13","description":"","custom_fields":[{"id":1,"name":"Subdivision","value":"EC"},{"id":4,"name":"Milepost","value":"2.735"},{"id":17,"name":"Train ID","value":"230-13"},{"id":16,"name":"Locomotive ID","value":"4041"},{"id":130,"name":"Impact","value":""},{"id":150,"name":"Time of Event (Mountain Time)","value":"22:32:12"},{"id":151,"name":"Denver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/cygdrive/c/Users/stu/AppData/Local/Temp/OnboardLogs/RTDC4041 --include="*4041*201705140*"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"%USERPROFILE%\AppData\Local\Temp\OnboardLogs"\RTDC4041\*4041*201705140* &gt;&gt; 2017-05-13-SliceDisagreementCheck.txt</v>
      </c>
      <c r="AE9" s="148" t="str">
        <f t="shared" si="9"/>
        <v>start /low /b %USERPROFILE%\Documents\GitHub\eaglep3\Utilities\DownloadLogsFromS3.py --loco 4041 --day 2017-05-14</v>
      </c>
    </row>
    <row r="10" spans="1:32" s="1" customFormat="1" x14ac:dyDescent="0.25">
      <c r="A10" s="31">
        <v>42868.938599537039</v>
      </c>
      <c r="B10" s="30" t="s">
        <v>383</v>
      </c>
      <c r="C10" s="30" t="s">
        <v>577</v>
      </c>
      <c r="D10" s="30" t="s">
        <v>49</v>
      </c>
      <c r="E10" s="30" t="s">
        <v>191</v>
      </c>
      <c r="F10" s="42">
        <v>120</v>
      </c>
      <c r="G10" s="42">
        <v>176</v>
      </c>
      <c r="H10" s="42">
        <v>27670</v>
      </c>
      <c r="I10" s="42">
        <v>27539</v>
      </c>
      <c r="J10" s="30" t="s">
        <v>192</v>
      </c>
      <c r="K10" s="42">
        <v>27350</v>
      </c>
      <c r="L10" s="134" t="s">
        <v>51</v>
      </c>
      <c r="M10" s="135">
        <f t="shared" si="0"/>
        <v>99.792000000000002</v>
      </c>
      <c r="N10" s="136" t="str">
        <f>VLOOKUP(C10,'Trips&amp;Operators'!$C$1:$G$99999,5,FALSE)</f>
        <v>BROWN JACOB</v>
      </c>
      <c r="O10" s="207" t="s">
        <v>184</v>
      </c>
      <c r="P10" s="137" t="s">
        <v>541</v>
      </c>
      <c r="Q10" s="30"/>
      <c r="R10" s="84" t="e">
        <f>IF(VLOOKUP(C10,'Train Runs'!$A$13:$AE$9931,1,1)=C10,VLOOKUP(C10,'Train Runs'!$A$13:$AE$9931,31,1),NA())</f>
        <v>#N/A</v>
      </c>
      <c r="S10" s="87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-05-13T20:50:59-0600',mode:absolute,to:'2017-05-14T01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89" t="str">
        <f t="shared" si="1"/>
        <v>"C:\Program Files (x86)\AstroGrep\AstroGrep.exe" /e /r /s /spath="%USERPROFILE%\AppData\Local\Temp\OnboardLogs" /stypes="*4041*201705140*"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4041</v>
      </c>
      <c r="V10" s="31">
        <f t="shared" si="3"/>
        <v>42869.188599537039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arrival","project_id":79,"tracker_id":40,"status_id":1,"priority_id":2,"assigned_to_id":23,"start_date":"2017-05-13","description":"","custom_fields":[{"id":1,"name":"Subdivision","value":"EC"},{"id":4,"name":"Milepost","value":"2.735"},{"id":17,"name":"Train ID","value":"230-13"},{"id":16,"name":"Locomotive ID","value":"4041"},{"id":130,"name":"Impact","value":""},{"id":150,"name":"Time of Event (Mountain Time)","value":"22:31:35"},{"id":151,"name":"Denver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/cygdrive/c/Users/stu/AppData/Local/Temp/OnboardLogs/RTDC4041 --include="*4041*201705140*"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"%USERPROFILE%\AppData\Local\Temp\OnboardLogs"\RTDC4041\*4041*201705140* &gt;&gt; 2017-05-13-SliceDisagreementCheck.txt</v>
      </c>
      <c r="AE10" s="148" t="str">
        <f t="shared" si="9"/>
        <v>start /low /b %USERPROFILE%\Documents\GitHub\eaglep3\Utilities\DownloadLogsFromS3.py --loco 4041 --day 2017-05-14</v>
      </c>
    </row>
    <row r="11" spans="1:32" s="1" customFormat="1" x14ac:dyDescent="0.25">
      <c r="A11" s="31">
        <v>42868.756319444445</v>
      </c>
      <c r="B11" s="30" t="s">
        <v>343</v>
      </c>
      <c r="C11" s="30" t="s">
        <v>569</v>
      </c>
      <c r="D11" s="30" t="s">
        <v>98</v>
      </c>
      <c r="E11" s="30" t="s">
        <v>191</v>
      </c>
      <c r="F11" s="42">
        <v>390</v>
      </c>
      <c r="G11" s="42">
        <v>440</v>
      </c>
      <c r="H11" s="42">
        <v>33141</v>
      </c>
      <c r="I11" s="42">
        <v>34333</v>
      </c>
      <c r="J11" s="30" t="s">
        <v>192</v>
      </c>
      <c r="K11" s="42">
        <v>33137</v>
      </c>
      <c r="L11" s="134" t="s">
        <v>50</v>
      </c>
      <c r="M11" s="135">
        <f t="shared" si="0"/>
        <v>-631.48800000000006</v>
      </c>
      <c r="N11" s="136" t="str">
        <f>VLOOKUP(C11,'Trips&amp;Operators'!$C$1:$G$99999,5,FALSE)</f>
        <v>MOSES BRADLEY</v>
      </c>
      <c r="O11" s="207" t="s">
        <v>184</v>
      </c>
      <c r="P11" s="137" t="s">
        <v>541</v>
      </c>
      <c r="Q11" s="30"/>
      <c r="R11" s="84" t="e">
        <f>IF(VLOOKUP(C11,'Train Runs'!$A$13:$AE$9931,1,1)=C11,VLOOKUP(C11,'Train Runs'!$A$13:$AE$9931,31,1),NA())</f>
        <v>#N/A</v>
      </c>
      <c r="S11" s="87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-05-13T16:54:57-0600',mode:absolute,to:'2017-05-13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9" t="str">
        <f t="shared" si="1"/>
        <v>"C:\Program Files (x86)\AstroGrep\AstroGrep.exe" /e /r /s /spath="%USERPROFILE%\AppData\Local\Temp\OnboardLogs" /stypes="*4028*201705140*" /stext=" 00:.+((SYSTEM_STATE.+slice.+state.+changed )|(ment ac)|(multiple cpu faults)|(system.+state.+changed )|(\[timeout)|(PRM\|1\|D)|(kpr)|(kdp)|(train st.+moving)|(\|lc)|(penalty))"</v>
      </c>
      <c r="U11" s="9" t="str">
        <f t="shared" si="2"/>
        <v>4028</v>
      </c>
      <c r="V11" s="31">
        <f t="shared" si="3"/>
        <v>42869.006319444445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arrival","project_id":79,"tracker_id":40,"status_id":1,"priority_id":2,"assigned_to_id":23,"start_date":"2017-05-13","description":"","custom_fields":[{"id":1,"name":"Subdivision","value":"EC"},{"id":4,"name":"Milepost","value":"3.3137"},{"id":17,"name":"Train ID","value":"215-13"},{"id":16,"name":"Locomotive ID","value":"4028"},{"id":130,"name":"Impact","value":""},{"id":150,"name":"Time of Event (Mountain Time)","value":"18:09:06"},{"id":151,"name":"Denver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/cygdrive/c/Users/stu/AppData/Local/Temp/OnboardLogs/RTDC4028 --include="*4028*201705140*"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"%USERPROFILE%\AppData\Local\Temp\OnboardLogs"\RTDC4028\*4028*201705140* &gt;&gt; 2017-05-13-SliceDisagreementCheck.txt</v>
      </c>
      <c r="AE11" s="148" t="str">
        <f t="shared" si="9"/>
        <v>start /low /b %USERPROFILE%\Documents\GitHub\eaglep3\Utilities\DownloadLogsFromS3.py --loco 4028 --day 2017-05-14</v>
      </c>
    </row>
    <row r="12" spans="1:32" s="1" customFormat="1" x14ac:dyDescent="0.25">
      <c r="A12" s="31">
        <v>42868.394513888888</v>
      </c>
      <c r="B12" s="30" t="s">
        <v>343</v>
      </c>
      <c r="C12" s="30" t="s">
        <v>549</v>
      </c>
      <c r="D12" s="30" t="s">
        <v>49</v>
      </c>
      <c r="E12" s="30" t="s">
        <v>191</v>
      </c>
      <c r="F12" s="42">
        <v>0</v>
      </c>
      <c r="G12" s="42">
        <v>504</v>
      </c>
      <c r="H12" s="42">
        <v>61233</v>
      </c>
      <c r="I12" s="42">
        <v>63093</v>
      </c>
      <c r="J12" s="30" t="s">
        <v>192</v>
      </c>
      <c r="K12" s="42">
        <v>63069</v>
      </c>
      <c r="L12" s="134" t="s">
        <v>50</v>
      </c>
      <c r="M12" s="135">
        <f t="shared" si="0"/>
        <v>-12.672000000000001</v>
      </c>
      <c r="N12" s="136" t="str">
        <f>VLOOKUP(C12,'Trips&amp;Operators'!$C$1:$G$99999,5,FALSE)</f>
        <v>ROBINSON KADDIBA</v>
      </c>
      <c r="O12" s="207" t="s">
        <v>184</v>
      </c>
      <c r="P12" s="137" t="s">
        <v>541</v>
      </c>
      <c r="Q12" s="30"/>
      <c r="R12" s="84" t="str">
        <f>IF(VLOOKUP(C12,'Train Runs'!$A$13:$AE$9931,1,1)=C12,VLOOKUP(C12,'Train Runs'!$A$13:$AE$9931,31,1),NA())</f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S12" s="87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-05-13T08:10:33-0600',mode:absolute,to:'2017-05-13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9" t="str">
        <f t="shared" si="1"/>
        <v>"C:\Program Files (x86)\AstroGrep\AstroGrep.exe" /e /r /s /spath="%USERPROFILE%\AppData\Local\Temp\OnboardLogs" /stypes="*4028*201705131*"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4028</v>
      </c>
      <c r="V12" s="31">
        <f t="shared" si="3"/>
        <v>42868.644513888888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arrival","project_id":79,"tracker_id":40,"status_id":1,"priority_id":2,"assigned_to_id":23,"start_date":"2017-05-13","description":"","custom_fields":[{"id":1,"name":"Subdivision","value":"EC"},{"id":4,"name":"Milepost","value":"6.3069"},{"id":17,"name":"Train ID","value":"145-13"},{"id":16,"name":"Locomotive ID","value":"4028"},{"id":130,"name":"Impact","value":""},{"id":150,"name":"Time of Event (Mountain Time)","value":"09:28:06"},{"id":151,"name":"Denver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/cygdrive/c/Users/stu/AppData/Local/Temp/OnboardLogs/RTDC4028 --include="*4028*201705131*"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"%USERPROFILE%\AppData\Local\Temp\OnboardLogs"\RTDC4028\*4028*201705131* &gt;&gt; 2017-05-13-SliceDisagreementCheck.txt</v>
      </c>
      <c r="AE12" s="148" t="str">
        <f t="shared" si="9"/>
        <v>start /low /b %USERPROFILE%\Documents\GitHub\eaglep3\Utilities\DownloadLogsFromS3.py --loco 4028 --day 2017-05-13</v>
      </c>
    </row>
    <row r="13" spans="1:32" s="1" customFormat="1" x14ac:dyDescent="0.25">
      <c r="A13" s="31">
        <v>42868.541087962964</v>
      </c>
      <c r="B13" s="30" t="s">
        <v>343</v>
      </c>
      <c r="C13" s="30" t="s">
        <v>555</v>
      </c>
      <c r="D13" s="30" t="s">
        <v>49</v>
      </c>
      <c r="E13" s="30" t="s">
        <v>191</v>
      </c>
      <c r="F13" s="42">
        <v>0</v>
      </c>
      <c r="G13" s="42">
        <v>507</v>
      </c>
      <c r="H13" s="42">
        <v>61850</v>
      </c>
      <c r="I13" s="42">
        <v>63219</v>
      </c>
      <c r="J13" s="30" t="s">
        <v>192</v>
      </c>
      <c r="K13" s="42">
        <v>63069</v>
      </c>
      <c r="L13" s="134" t="s">
        <v>50</v>
      </c>
      <c r="M13" s="135">
        <f t="shared" si="0"/>
        <v>-79.2</v>
      </c>
      <c r="N13" s="136" t="str">
        <f>VLOOKUP(C13,'Trips&amp;Operators'!$C$1:$G$99999,5,FALSE)</f>
        <v>STEWART MICHAEL</v>
      </c>
      <c r="O13" s="207" t="s">
        <v>184</v>
      </c>
      <c r="P13" s="137" t="s">
        <v>541</v>
      </c>
      <c r="Q13" s="30"/>
      <c r="R13" s="84" t="str">
        <f>IF(VLOOKUP(C13,'Train Runs'!$A$13:$AE$9931,1,1)=C13,VLOOKUP(C13,'Train Runs'!$A$13:$AE$9931,31,1),NA())</f>
        <v>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 &amp; aws s3 cp s3://rtdc.mdm.uploadarchive.raw/RTDC4028/ "%USERPROFILE%\AppData\Local\Temp\OnboardLogs"\RTDC4028\2017-05-14 --exclude "*" --recursive --include "*20170514*" &amp; "%USERPROFILE%\Documents\GitHub\mrs-test-scripts\Headless Mode &amp; Sideloading\WalkAndUnGZ.bat" "%USERPROFILE%\AppData\Local\Temp\OnboardLogs"\RTDC4028\2017-05-14</v>
      </c>
      <c r="S13" s="87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-05-13T11:40:10-0600',mode:absolute,to:'2017-05-13T14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89" t="str">
        <f t="shared" si="1"/>
        <v>"C:\Program Files (x86)\AstroGrep\AstroGrep.exe" /e /r /s /spath="%USERPROFILE%\AppData\Local\Temp\OnboardLogs" /stypes="*4028*201705131*"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4028</v>
      </c>
      <c r="V13" s="31">
        <f t="shared" si="3"/>
        <v>42868.791087962964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arrival","project_id":79,"tracker_id":40,"status_id":1,"priority_id":2,"assigned_to_id":23,"start_date":"2017-05-13","description":"","custom_fields":[{"id":1,"name":"Subdivision","value":"EC"},{"id":4,"name":"Milepost","value":"6.3069"},{"id":17,"name":"Train ID","value":"173-13"},{"id":16,"name":"Locomotive ID","value":"4028"},{"id":130,"name":"Impact","value":""},{"id":150,"name":"Time of Event (Mountain Time)","value":"12:59:10"},{"id":151,"name":"Denver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/cygdrive/c/Users/stu/AppData/Local/Temp/OnboardLogs/RTDC4028 --include="*4028*201705131*"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"%USERPROFILE%\AppData\Local\Temp\OnboardLogs"\RTDC4028\*4028*201705131* &gt;&gt; 2017-05-13-SliceDisagreementCheck.txt</v>
      </c>
      <c r="AE13" s="148" t="str">
        <f t="shared" si="9"/>
        <v>start /low /b %USERPROFILE%\Documents\GitHub\eaglep3\Utilities\DownloadLogsFromS3.py --loco 4028 --day 2017-05-13</v>
      </c>
    </row>
    <row r="14" spans="1:32" x14ac:dyDescent="0.25">
      <c r="A14" s="31">
        <v>42868.821516203701</v>
      </c>
      <c r="B14" s="30" t="s">
        <v>486</v>
      </c>
      <c r="C14" s="30" t="s">
        <v>572</v>
      </c>
      <c r="D14" s="30" t="s">
        <v>49</v>
      </c>
      <c r="E14" s="30" t="s">
        <v>191</v>
      </c>
      <c r="F14" s="42">
        <v>400</v>
      </c>
      <c r="G14" s="42">
        <v>469</v>
      </c>
      <c r="H14" s="42">
        <v>62247</v>
      </c>
      <c r="I14" s="42">
        <v>63778</v>
      </c>
      <c r="J14" s="30" t="s">
        <v>192</v>
      </c>
      <c r="K14" s="42">
        <v>63069</v>
      </c>
      <c r="L14" s="134" t="s">
        <v>50</v>
      </c>
      <c r="M14" s="135">
        <f t="shared" si="0"/>
        <v>-374.35199999999998</v>
      </c>
      <c r="N14" s="136" t="str">
        <f>VLOOKUP(C14,'Trips&amp;Operators'!$C$1:$G$99999,5,FALSE)</f>
        <v>SMITH MICHAEL</v>
      </c>
      <c r="O14" s="207" t="s">
        <v>184</v>
      </c>
      <c r="P14" s="137" t="s">
        <v>541</v>
      </c>
      <c r="Q14" s="30"/>
      <c r="R14" s="84" t="e">
        <f>IF(VLOOKUP(C14,'Train Runs'!$A$13:$AE$9931,1,1)=C14,VLOOKUP(C14,'Train Runs'!$A$13:$AE$9931,31,1),NA())</f>
        <v>#N/A</v>
      </c>
      <c r="S14" s="87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-05-13T18:23:38-0600',mode:absolute,to:'2017-05-13T21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9" t="str">
        <f t="shared" si="1"/>
        <v>"C:\Program Files (x86)\AstroGrep\AstroGrep.exe" /e /r /s /spath="%USERPROFILE%\AppData\Local\Temp\OnboardLogs" /stypes="*4054*201705140*"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4054</v>
      </c>
      <c r="V14" s="31">
        <f t="shared" si="3"/>
        <v>42869.071516203701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arrival","project_id":79,"tracker_id":40,"status_id":1,"priority_id":2,"assigned_to_id":23,"start_date":"2017-05-13","description":"","custom_fields":[{"id":1,"name":"Subdivision","value":"EC"},{"id":4,"name":"Milepost","value":"6.3069"},{"id":17,"name":"Train ID","value":"223-13"},{"id":16,"name":"Locomotive ID","value":"4054"},{"id":130,"name":"Impact","value":""},{"id":150,"name":"Time of Event (Mountain Time)","value":"19:42:59"},{"id":151,"name":"Denver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/cygdrive/c/Users/stu/AppData/Local/Temp/OnboardLogs/RTDC4054 --include="*4054*201705140*"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"%USERPROFILE%\AppData\Local\Temp\OnboardLogs"\RTDC4054\*4054*201705140* &gt;&gt; 2017-05-13-SliceDisagreementCheck.txt</v>
      </c>
      <c r="AE14" s="148" t="str">
        <f t="shared" si="9"/>
        <v>start /low /b %USERPROFILE%\Documents\GitHub\eaglep3\Utilities\DownloadLogsFromS3.py --loco 4054 --day 2017-05-14</v>
      </c>
      <c r="AF14" s="1"/>
    </row>
    <row r="15" spans="1:32" x14ac:dyDescent="0.25">
      <c r="A15" s="31">
        <v>42869.035694444443</v>
      </c>
      <c r="B15" s="30" t="s">
        <v>485</v>
      </c>
      <c r="C15" s="30" t="s">
        <v>580</v>
      </c>
      <c r="D15" s="30" t="s">
        <v>49</v>
      </c>
      <c r="E15" s="30" t="s">
        <v>191</v>
      </c>
      <c r="F15" s="42">
        <v>230</v>
      </c>
      <c r="G15" s="42">
        <v>292</v>
      </c>
      <c r="H15" s="42">
        <v>63414</v>
      </c>
      <c r="I15" s="42">
        <v>62800</v>
      </c>
      <c r="J15" s="30" t="s">
        <v>192</v>
      </c>
      <c r="K15" s="42">
        <v>63309</v>
      </c>
      <c r="L15" s="134" t="s">
        <v>51</v>
      </c>
      <c r="M15" s="135">
        <f t="shared" si="0"/>
        <v>-268.75200000000001</v>
      </c>
      <c r="N15" s="136" t="str">
        <f>VLOOKUP(C15,'Trips&amp;Operators'!$C$1:$G$99999,5,FALSE)</f>
        <v>SMITH MICHAEL</v>
      </c>
      <c r="O15" s="207" t="s">
        <v>184</v>
      </c>
      <c r="P15" s="137" t="s">
        <v>541</v>
      </c>
      <c r="Q15" s="30"/>
      <c r="R15" s="84" t="e">
        <f>IF(VLOOKUP(C15,'Train Runs'!$A$13:$AE$9931,1,1)=C15,VLOOKUP(C15,'Train Runs'!$A$13:$AE$9931,31,1),NA())</f>
        <v>#N/A</v>
      </c>
      <c r="S15" s="87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-05-13T23:16:36-0600',mode:absolute,to:'2017-05-14T02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89" t="str">
        <f t="shared" si="1"/>
        <v>"C:\Program Files (x86)\AstroGrep\AstroGrep.exe" /e /r /s /spath="%USERPROFILE%\AppData\Local\Temp\OnboardLogs" /stypes="*4053*201705140*" /stext=" 06:.+((SYSTEM_STATE.+slice.+state.+changed )|(ment ac)|(multiple cpu faults)|(system.+state.+changed )|(\[timeout)|(PRM\|1\|D)|(kpr)|(kdp)|(train st.+moving)|(\|lc)|(penalty))"</v>
      </c>
      <c r="U15" s="9" t="str">
        <f t="shared" si="2"/>
        <v>4053</v>
      </c>
      <c r="V15" s="31">
        <f t="shared" si="3"/>
        <v>42869.285694444443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arrival","project_id":79,"tracker_id":40,"status_id":1,"priority_id":2,"assigned_to_id":23,"start_date":"2017-05-14","description":"","custom_fields":[{"id":1,"name":"Subdivision","value":"EC"},{"id":4,"name":"Milepost","value":"6.3309"},{"id":17,"name":"Train ID","value":"240-13"},{"id":16,"name":"Locomotive ID","value":"4053"},{"id":130,"name":"Impact","value":""},{"id":150,"name":"Time of Event (Mountain Time)","value":"00:51:24"},{"id":151,"name":"Denver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/cygdrive/c/Users/stu/AppData/Local/Temp/OnboardLogs/RTDC4053 --include="*4053*201705140*"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"%USERPROFILE%\AppData\Local\Temp\OnboardLogs"\RTDC4053\*4053*201705140* &gt;&gt; 2017-05-13-SliceDisagreementCheck.txt</v>
      </c>
      <c r="AE15" s="148" t="str">
        <f t="shared" si="9"/>
        <v>start /low /b %USERPROFILE%\Documents\GitHub\eaglep3\Utilities\DownloadLogsFromS3.py --loco 4053 --day 2017-05-14</v>
      </c>
      <c r="AF15" s="1"/>
    </row>
    <row r="16" spans="1:32" x14ac:dyDescent="0.25">
      <c r="A16" s="31">
        <v>42868.364247685182</v>
      </c>
      <c r="B16" s="30" t="s">
        <v>344</v>
      </c>
      <c r="C16" s="30" t="s">
        <v>548</v>
      </c>
      <c r="D16" s="30" t="s">
        <v>49</v>
      </c>
      <c r="E16" s="30" t="s">
        <v>191</v>
      </c>
      <c r="F16" s="42">
        <v>250</v>
      </c>
      <c r="G16" s="42">
        <v>323</v>
      </c>
      <c r="H16" s="42">
        <v>110083</v>
      </c>
      <c r="I16" s="42">
        <v>109114</v>
      </c>
      <c r="J16" s="30" t="s">
        <v>192</v>
      </c>
      <c r="K16" s="42">
        <v>109135</v>
      </c>
      <c r="L16" s="134" t="s">
        <v>51</v>
      </c>
      <c r="M16" s="135">
        <f t="shared" si="0"/>
        <v>-11.087999999999999</v>
      </c>
      <c r="N16" s="136" t="str">
        <f>VLOOKUP(C16,'Trips&amp;Operators'!$C$1:$G$99999,5,FALSE)</f>
        <v>ROBINSON KADDIBA</v>
      </c>
      <c r="O16" s="207" t="s">
        <v>184</v>
      </c>
      <c r="P16" s="137" t="s">
        <v>541</v>
      </c>
      <c r="Q16" s="30"/>
      <c r="R16" s="84" t="str">
        <f>IF(VLOOKUP(C16,'Train Runs'!$A$13:$AE$9931,1,1)=C16,VLOOKUP(C16,'Train Runs'!$A$13:$AE$9931,31,1),NA())</f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S16" s="87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-05-13T07:13:59-0600',mode:absolute,to:'2017-05-13T10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6" s="89" t="str">
        <f t="shared" si="1"/>
        <v>"C:\Program Files (x86)\AstroGrep\AstroGrep.exe" /e /r /s /spath="%USERPROFILE%\AppData\Local\Temp\OnboardLogs" /stypes="*4027*201705131*"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4027</v>
      </c>
      <c r="V16" s="31">
        <f t="shared" si="3"/>
        <v>42868.614247685182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arrival","project_id":79,"tracker_id":40,"status_id":1,"priority_id":2,"assigned_to_id":23,"start_date":"2017-05-13","description":"","custom_fields":[{"id":1,"name":"Subdivision","value":"EC"},{"id":4,"name":"Milepost","value":"10.9135"},{"id":17,"name":"Train ID","value":"132-13"},{"id":16,"name":"Locomotive ID","value":"4027"},{"id":130,"name":"Impact","value":""},{"id":150,"name":"Time of Event (Mountain Time)","value":"08:44:31"},{"id":151,"name":"Denver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/cygdrive/c/Users/stu/AppData/Local/Temp/OnboardLogs/RTDC4027 --include="*4027*201705131*"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"%USERPROFILE%\AppData\Local\Temp\OnboardLogs"\RTDC4027\*4027*201705131* &gt;&gt; 2017-05-13-SliceDisagreementCheck.txt</v>
      </c>
      <c r="AE16" s="148" t="str">
        <f t="shared" si="9"/>
        <v>start /low /b %USERPROFILE%\Documents\GitHub\eaglep3\Utilities\DownloadLogsFromS3.py --loco 4027 --day 2017-05-13</v>
      </c>
      <c r="AF16" s="1"/>
    </row>
    <row r="17" spans="1:32" x14ac:dyDescent="0.25">
      <c r="A17" s="31">
        <v>42868.656307870369</v>
      </c>
      <c r="B17" s="30" t="s">
        <v>344</v>
      </c>
      <c r="C17" s="30" t="s">
        <v>561</v>
      </c>
      <c r="D17" s="30" t="s">
        <v>49</v>
      </c>
      <c r="E17" s="30" t="s">
        <v>191</v>
      </c>
      <c r="F17" s="42">
        <v>350</v>
      </c>
      <c r="G17" s="42">
        <v>401</v>
      </c>
      <c r="H17" s="42">
        <v>110180</v>
      </c>
      <c r="I17" s="42">
        <v>108971</v>
      </c>
      <c r="J17" s="30" t="s">
        <v>192</v>
      </c>
      <c r="K17" s="42">
        <v>109135</v>
      </c>
      <c r="L17" s="134" t="s">
        <v>51</v>
      </c>
      <c r="M17" s="135">
        <f t="shared" si="0"/>
        <v>-86.592000000000013</v>
      </c>
      <c r="N17" s="136" t="str">
        <f>VLOOKUP(C17,'Trips&amp;Operators'!$C$1:$G$99999,5,FALSE)</f>
        <v>STEWART MICHAEL</v>
      </c>
      <c r="O17" s="207" t="s">
        <v>184</v>
      </c>
      <c r="P17" s="137" t="s">
        <v>541</v>
      </c>
      <c r="Q17" s="30"/>
      <c r="R17" s="84" t="e">
        <f>IF(VLOOKUP(C17,'Train Runs'!$A$13:$AE$9931,1,1)=C17,VLOOKUP(C17,'Train Runs'!$A$13:$AE$9931,31,1),NA())</f>
        <v>#N/A</v>
      </c>
      <c r="S17" s="87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-05-13T14:22:05-0600',mode:absolute,to:'2017-05-13T17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7" s="89" t="str">
        <f t="shared" si="1"/>
        <v>"C:\Program Files (x86)\AstroGrep\AstroGrep.exe" /e /r /s /spath="%USERPROFILE%\AppData\Local\Temp\OnboardLogs" /stypes="*4027*201705132*" /stext=" 21:.+((SYSTEM_STATE.+slice.+state.+changed )|(ment ac)|(multiple cpu faults)|(system.+state.+changed )|(\[timeout)|(PRM\|1\|D)|(kpr)|(kdp)|(train st.+moving)|(\|lc)|(penalty))"</v>
      </c>
      <c r="U17" s="9" t="str">
        <f t="shared" si="2"/>
        <v>4027</v>
      </c>
      <c r="V17" s="31">
        <f t="shared" si="3"/>
        <v>42868.906307870369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arrival","project_id":79,"tracker_id":40,"status_id":1,"priority_id":2,"assigned_to_id":23,"start_date":"2017-05-13","description":"","custom_fields":[{"id":1,"name":"Subdivision","value":"EC"},{"id":4,"name":"Milepost","value":"10.9135"},{"id":17,"name":"Train ID","value":"188-13"},{"id":16,"name":"Locomotive ID","value":"4027"},{"id":130,"name":"Impact","value":""},{"id":150,"name":"Time of Event (Mountain Time)","value":"15:45:05"},{"id":151,"name":"Denver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/cygdrive/c/Users/stu/AppData/Local/Temp/OnboardLogs/RTDC4027 --include="*4027*201705132*"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"%USERPROFILE%\AppData\Local\Temp\OnboardLogs"\RTDC4027\*4027*201705132* &gt;&gt; 2017-05-13-SliceDisagreementCheck.txt</v>
      </c>
      <c r="AE17" s="148" t="str">
        <f t="shared" si="9"/>
        <v>start /low /b %USERPROFILE%\Documents\GitHub\eaglep3\Utilities\DownloadLogsFromS3.py --loco 4027 --day 2017-05-13</v>
      </c>
      <c r="AF17" s="1"/>
    </row>
    <row r="18" spans="1:32" x14ac:dyDescent="0.25">
      <c r="A18" s="31">
        <v>42868.892858796295</v>
      </c>
      <c r="B18" s="30" t="s">
        <v>356</v>
      </c>
      <c r="C18" s="30" t="s">
        <v>576</v>
      </c>
      <c r="D18" s="30" t="s">
        <v>49</v>
      </c>
      <c r="E18" s="30" t="s">
        <v>191</v>
      </c>
      <c r="F18" s="42">
        <v>370</v>
      </c>
      <c r="G18" s="42">
        <v>423</v>
      </c>
      <c r="H18" s="42">
        <v>110313</v>
      </c>
      <c r="I18" s="42">
        <v>109027</v>
      </c>
      <c r="J18" s="30" t="s">
        <v>192</v>
      </c>
      <c r="K18" s="42">
        <v>109135</v>
      </c>
      <c r="L18" s="134" t="s">
        <v>51</v>
      </c>
      <c r="M18" s="135">
        <f t="shared" si="0"/>
        <v>-57.024000000000001</v>
      </c>
      <c r="N18" s="136" t="str">
        <f>VLOOKUP(C18,'Trips&amp;Operators'!$C$1:$G$99999,5,FALSE)</f>
        <v>DUNCAN SHEILA</v>
      </c>
      <c r="O18" s="207" t="s">
        <v>184</v>
      </c>
      <c r="P18" s="137" t="s">
        <v>541</v>
      </c>
      <c r="Q18" s="30"/>
      <c r="R18" s="84" t="e">
        <f>IF(VLOOKUP(C18,'Train Runs'!$A$13:$AE$9931,1,1)=C18,VLOOKUP(C18,'Train Runs'!$A$13:$AE$9931,31,1),NA())</f>
        <v>#N/A</v>
      </c>
      <c r="S18" s="87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-05-13T19:45:36-0600',mode:absolute,to:'2017-05-13T22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9" t="str">
        <f t="shared" si="1"/>
        <v>"C:\Program Files (x86)\AstroGrep\AstroGrep.exe" /e /r /s /spath="%USERPROFILE%\AppData\Local\Temp\OnboardLogs" /stypes="*4003*201705140*" /stext=" 03:.+((SYSTEM_STATE.+slice.+state.+changed )|(ment ac)|(multiple cpu faults)|(system.+state.+changed )|(\[timeout)|(PRM\|1\|D)|(kpr)|(kdp)|(train st.+moving)|(\|lc)|(penalty))"</v>
      </c>
      <c r="U18" s="9" t="str">
        <f t="shared" si="2"/>
        <v>4003</v>
      </c>
      <c r="V18" s="31">
        <f t="shared" si="3"/>
        <v>42869.142858796295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arrival","project_id":79,"tracker_id":40,"status_id":1,"priority_id":2,"assigned_to_id":23,"start_date":"2017-05-13","description":"","custom_fields":[{"id":1,"name":"Subdivision","value":"EC"},{"id":4,"name":"Milepost","value":"10.9135"},{"id":17,"name":"Train ID","value":"226-13"},{"id":16,"name":"Locomotive ID","value":"4003"},{"id":130,"name":"Impact","value":""},{"id":150,"name":"Time of Event (Mountain Time)","value":"21:25:43"},{"id":151,"name":"Denver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/cygdrive/c/Users/stu/AppData/Local/Temp/OnboardLogs/RTDC4003 --include="*4003*201705140*"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"%USERPROFILE%\AppData\Local\Temp\OnboardLogs"\RTDC4003\*4003*201705140* &gt;&gt; 2017-05-13-SliceDisagreementCheck.txt</v>
      </c>
      <c r="AE18" s="148" t="str">
        <f t="shared" si="9"/>
        <v>start /low /b %USERPROFILE%\Documents\GitHub\eaglep3\Utilities\DownloadLogsFromS3.py --loco 4003 --day 2017-05-14</v>
      </c>
      <c r="AF18" s="1"/>
    </row>
    <row r="19" spans="1:32" x14ac:dyDescent="0.25">
      <c r="A19" s="31">
        <v>42868.71980324074</v>
      </c>
      <c r="B19" s="30" t="s">
        <v>542</v>
      </c>
      <c r="C19" s="30" t="s">
        <v>565</v>
      </c>
      <c r="D19" s="30" t="s">
        <v>49</v>
      </c>
      <c r="E19" s="30" t="s">
        <v>204</v>
      </c>
      <c r="F19" s="42">
        <v>450</v>
      </c>
      <c r="G19" s="42">
        <v>500</v>
      </c>
      <c r="H19" s="42">
        <v>17336</v>
      </c>
      <c r="I19" s="42">
        <v>14217</v>
      </c>
      <c r="J19" s="30" t="s">
        <v>205</v>
      </c>
      <c r="K19" s="42">
        <v>15167</v>
      </c>
      <c r="L19" s="134" t="s">
        <v>51</v>
      </c>
      <c r="M19" s="135">
        <f t="shared" si="0"/>
        <v>-501.6</v>
      </c>
      <c r="N19" s="136" t="str">
        <f>VLOOKUP(C19,'Trips&amp;Operators'!$C$1:$G$99999,5,FALSE)</f>
        <v>ROMERO CHAD</v>
      </c>
      <c r="O19" s="207" t="s">
        <v>184</v>
      </c>
      <c r="P19" s="137"/>
      <c r="Q19" s="30"/>
      <c r="R19" s="84" t="e">
        <f>IF(VLOOKUP(C19,'Train Runs'!$A$13:$AE$9931,1,1)=C19,VLOOKUP(C19,'Train Runs'!$A$13:$AE$9931,31,1),NA())</f>
        <v>#N/A</v>
      </c>
      <c r="S19" s="87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-05-13T15:23:23-0600',mode:absolute,to:'2017-05-13T18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9" s="89" t="str">
        <f t="shared" si="1"/>
        <v>"C:\Program Files (x86)\AstroGrep\AstroGrep.exe" /e /r /s /spath="%USERPROFILE%\AppData\Local\Temp\OnboardLogs" /stypes="*4031*201705132*"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4031</v>
      </c>
      <c r="V19" s="31">
        <f t="shared" si="3"/>
        <v>42868.96980324074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{"issue":{"subject":"","project_id":79,"tracker_id":40,"status_id":1,"priority_id":2,"assigned_to_id":23,"start_date":"2017-05-13","description":"","custom_fields":[{"id":1,"name":"Subdivision","value":"EC"},{"id":4,"name":"Milepost","value":"1.5167"},{"id":17,"name":"Train ID","value":"198-13"},{"id":16,"name":"Locomotive ID","value":"4031"},{"id":130,"name":"Impact","value":""},{"id":150,"name":"Time of Event (Mountain Time)","value":"17:16:31"},{"id":151,"name":"Denver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/cygdrive/c/Users/stu/AppData/Local/Temp/OnboardLogs/RTDC4031 --include="*4031*201705132*"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"%USERPROFILE%\AppData\Local\Temp\OnboardLogs"\RTDC4031\*4031*201705132* &gt;&gt; 2017-05-13-SliceDisagreementCheck.txt</v>
      </c>
      <c r="AE19" s="148" t="str">
        <f t="shared" si="9"/>
        <v>start /low /b %USERPROFILE%\Documents\GitHub\eaglep3\Utilities\DownloadLogsFromS3.py --loco 4031 --day 2017-05-13</v>
      </c>
      <c r="AF19" s="1"/>
    </row>
    <row r="20" spans="1:32" x14ac:dyDescent="0.25">
      <c r="A20" s="31">
        <v>42868.585798611108</v>
      </c>
      <c r="B20" s="30" t="s">
        <v>438</v>
      </c>
      <c r="C20" s="30" t="s">
        <v>558</v>
      </c>
      <c r="D20" s="30" t="s">
        <v>49</v>
      </c>
      <c r="E20" s="30" t="s">
        <v>204</v>
      </c>
      <c r="F20" s="42">
        <v>400</v>
      </c>
      <c r="G20" s="42">
        <v>639</v>
      </c>
      <c r="H20" s="42">
        <v>13276</v>
      </c>
      <c r="I20" s="42">
        <v>17194</v>
      </c>
      <c r="J20" s="30" t="s">
        <v>205</v>
      </c>
      <c r="K20" s="42">
        <v>17867</v>
      </c>
      <c r="L20" s="134" t="s">
        <v>50</v>
      </c>
      <c r="M20" s="135">
        <f t="shared" si="0"/>
        <v>355.34399999999999</v>
      </c>
      <c r="N20" s="136" t="str">
        <f>VLOOKUP(C20,'Trips&amp;Operators'!$C$1:$G$99999,5,FALSE)</f>
        <v>ROMERO CHAD</v>
      </c>
      <c r="O20" s="207" t="s">
        <v>184</v>
      </c>
      <c r="P20" s="137"/>
      <c r="Q20" s="30"/>
      <c r="R20" s="84" t="e">
        <f>IF(VLOOKUP(C20,'Train Runs'!$A$13:$AE$9931,1,1)=C20,VLOOKUP(C20,'Train Runs'!$A$13:$AE$9931,31,1),NA())</f>
        <v>#N/A</v>
      </c>
      <c r="S20" s="87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-05-13T12:55:20-0600',mode:absolute,to:'2017-05-13T15:45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0" s="89" t="str">
        <f t="shared" si="1"/>
        <v>"C:\Program Files (x86)\AstroGrep\AstroGrep.exe" /e /r /s /spath="%USERPROFILE%\AppData\Local\Temp\OnboardLogs" /stypes="*4032*201705132*"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4032</v>
      </c>
      <c r="V20" s="31">
        <f t="shared" si="3"/>
        <v>42868.835798611108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{"issue":{"subject":"","project_id":79,"tracker_id":40,"status_id":1,"priority_id":2,"assigned_to_id":23,"start_date":"2017-05-13","description":"","custom_fields":[{"id":1,"name":"Subdivision","value":"EC"},{"id":4,"name":"Milepost","value":"1.7867"},{"id":17,"name":"Train ID","value":"183-13"},{"id":16,"name":"Locomotive ID","value":"4032"},{"id":130,"name":"Impact","value":""},{"id":150,"name":"Time of Event (Mountain Time)","value":"14:03:33"},{"id":151,"name":"Denver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/cygdrive/c/Users/stu/AppData/Local/Temp/OnboardLogs/RTDC4032 --include="*4032*201705132*"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"%USERPROFILE%\AppData\Local\Temp\OnboardLogs"\RTDC4032\*4032*201705132* &gt;&gt; 2017-05-13-SliceDisagreementCheck.txt</v>
      </c>
      <c r="AE20" s="148" t="str">
        <f t="shared" si="9"/>
        <v>start /low /b %USERPROFILE%\Documents\GitHub\eaglep3\Utilities\DownloadLogsFromS3.py --loco 4032 --day 2017-05-13</v>
      </c>
      <c r="AF20" s="1"/>
    </row>
    <row r="21" spans="1:32" x14ac:dyDescent="0.25">
      <c r="A21" s="31">
        <v>42868.550821759258</v>
      </c>
      <c r="B21" s="30" t="s">
        <v>383</v>
      </c>
      <c r="C21" s="30" t="s">
        <v>556</v>
      </c>
      <c r="D21" s="30" t="s">
        <v>49</v>
      </c>
      <c r="E21" s="30" t="s">
        <v>204</v>
      </c>
      <c r="F21" s="42">
        <v>400</v>
      </c>
      <c r="G21" s="42">
        <v>484</v>
      </c>
      <c r="H21" s="42">
        <v>121151</v>
      </c>
      <c r="I21" s="42">
        <v>119448</v>
      </c>
      <c r="J21" s="30" t="s">
        <v>205</v>
      </c>
      <c r="K21" s="42">
        <v>119716</v>
      </c>
      <c r="L21" s="134" t="s">
        <v>51</v>
      </c>
      <c r="M21" s="135">
        <f t="shared" si="0"/>
        <v>-141.50399999999999</v>
      </c>
      <c r="N21" s="136" t="str">
        <f>VLOOKUP(C21,'Trips&amp;Operators'!$C$1:$G$99999,5,FALSE)</f>
        <v>LEVIN SCOTT</v>
      </c>
      <c r="O21" s="207" t="s">
        <v>184</v>
      </c>
      <c r="P21" s="137"/>
      <c r="Q21" s="30"/>
      <c r="R21" s="84" t="str">
        <f>IF(VLOOKUP(C21,'Train Runs'!$A$13:$AE$9931,1,1)=C21,VLOOKUP(C21,'Train Runs'!$A$13:$AE$9931,31,1),NA())</f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S21" s="87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-05-13T11:50:59-0600',mode:absolute,to:'2017-05-13T14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9" t="str">
        <f t="shared" si="1"/>
        <v>"C:\Program Files (x86)\AstroGrep\AstroGrep.exe" /e /r /s /spath="%USERPROFILE%\AppData\Local\Temp\OnboardLogs" /stypes="*4041*201705131*"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42868.800821759258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{"issue":{"subject":"","project_id":79,"tracker_id":40,"status_id":1,"priority_id":2,"assigned_to_id":23,"start_date":"2017-05-13","description":"","custom_fields":[{"id":1,"name":"Subdivision","value":"EC"},{"id":4,"name":"Milepost","value":"11.9716"},{"id":17,"name":"Train ID","value":"168-13"},{"id":16,"name":"Locomotive ID","value":"4041"},{"id":130,"name":"Impact","value":""},{"id":150,"name":"Time of Event (Mountain Time)","value":"13:13:11"},{"id":151,"name":"Denver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/cygdrive/c/Users/stu/AppData/Local/Temp/OnboardLogs/RTDC4041 --include="*4041*201705131*"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"%USERPROFILE%\AppData\Local\Temp\OnboardLogs"\RTDC4041\*4041*201705131* &gt;&gt; 2017-05-13-SliceDisagreementCheck.txt</v>
      </c>
      <c r="AE21" s="148" t="str">
        <f t="shared" si="9"/>
        <v>start /low /b %USERPROFILE%\Documents\GitHub\eaglep3\Utilities\DownloadLogsFromS3.py --loco 4041 --day 2017-05-13</v>
      </c>
      <c r="AF21" s="1"/>
    </row>
    <row r="22" spans="1:32" x14ac:dyDescent="0.25">
      <c r="A22" s="31">
        <v>42868.77144675926</v>
      </c>
      <c r="B22" s="30" t="s">
        <v>355</v>
      </c>
      <c r="C22" s="30" t="s">
        <v>570</v>
      </c>
      <c r="D22" s="30" t="s">
        <v>49</v>
      </c>
      <c r="E22" s="30" t="s">
        <v>377</v>
      </c>
      <c r="F22" s="42">
        <v>0</v>
      </c>
      <c r="G22" s="42">
        <v>653</v>
      </c>
      <c r="H22" s="42">
        <v>78917</v>
      </c>
      <c r="I22" s="42">
        <v>81892</v>
      </c>
      <c r="J22" s="30" t="s">
        <v>378</v>
      </c>
      <c r="K22" s="42">
        <v>81738</v>
      </c>
      <c r="L22" s="134" t="s">
        <v>50</v>
      </c>
      <c r="M22" s="135">
        <f t="shared" si="0"/>
        <v>-81.311999999999998</v>
      </c>
      <c r="N22" s="136" t="str">
        <f>VLOOKUP(C22,'Trips&amp;Operators'!$C$1:$G$99999,5,FALSE)</f>
        <v>DUNCAN SHEILA</v>
      </c>
      <c r="O22" s="207" t="s">
        <v>380</v>
      </c>
      <c r="P22" s="137" t="s">
        <v>540</v>
      </c>
      <c r="Q22" s="30"/>
      <c r="R22" s="84" t="e">
        <f>IF(VLOOKUP(C22,'Train Runs'!$A$13:$AE$9931,1,1)=C22,VLOOKUP(C22,'Train Runs'!$A$13:$AE$9931,31,1),NA())</f>
        <v>#N/A</v>
      </c>
      <c r="S22" s="87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-05-13T17:10:03-0600',mode:absolute,to:'2017-05-13T19:30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89" t="str">
        <f t="shared" si="1"/>
        <v>"C:\Program Files (x86)\AstroGrep\AstroGrep.exe" /e /r /s /spath="%USERPROFILE%\AppData\Local\Temp\OnboardLogs" /stypes="*4004*201705140*"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4004</v>
      </c>
      <c r="V22" s="31">
        <f t="shared" si="3"/>
        <v>42869.02144675926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drop","project_id":79,"tracker_id":40,"status_id":1,"priority_id":2,"assigned_to_id":23,"start_date":"2017-05-13","description":"","custom_fields":[{"id":1,"name":"Subdivision","value":"EC"},{"id":4,"name":"Milepost","value":"8.1738"},{"id":17,"name":"Train ID","value":"217-13"},{"id":16,"name":"Locomotive ID","value":"4004"},{"id":130,"name":"Impact","value":""},{"id":150,"name":"Time of Event (Mountain Time)","value":"18:30:53"},{"id":151,"name":"Denver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/cygdrive/c/Users/stu/AppData/Local/Temp/OnboardLogs/RTDC4004 --include="*4004*201705140*"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"%USERPROFILE%\AppData\Local\Temp\OnboardLogs"\RTDC4004\*4004*201705140* &gt;&gt; 2017-05-13-SliceDisagreementCheck.txt</v>
      </c>
      <c r="AE22" s="148" t="str">
        <f t="shared" si="9"/>
        <v>start /low /b %USERPROFILE%\Documents\GitHub\eaglep3\Utilities\DownloadLogsFromS3.py --loco 4004 --day 2017-05-14</v>
      </c>
      <c r="AF22" s="1"/>
    </row>
    <row r="23" spans="1:32" x14ac:dyDescent="0.25">
      <c r="A23" s="31">
        <v>42868.59957175926</v>
      </c>
      <c r="B23" s="30" t="s">
        <v>438</v>
      </c>
      <c r="C23" s="30" t="s">
        <v>558</v>
      </c>
      <c r="D23" s="30" t="s">
        <v>49</v>
      </c>
      <c r="E23" s="30" t="s">
        <v>377</v>
      </c>
      <c r="F23" s="42">
        <v>0</v>
      </c>
      <c r="G23" s="42">
        <v>33</v>
      </c>
      <c r="H23" s="42">
        <v>107867</v>
      </c>
      <c r="I23" s="42">
        <v>107891</v>
      </c>
      <c r="J23" s="30" t="s">
        <v>378</v>
      </c>
      <c r="K23" s="42">
        <v>107939</v>
      </c>
      <c r="L23" s="134" t="s">
        <v>50</v>
      </c>
      <c r="M23" s="135">
        <f t="shared" si="0"/>
        <v>25.344000000000001</v>
      </c>
      <c r="N23" s="136" t="str">
        <f>VLOOKUP(C23,'Trips&amp;Operators'!$C$1:$G$99999,5,FALSE)</f>
        <v>ROMERO CHAD</v>
      </c>
      <c r="O23" s="207" t="s">
        <v>184</v>
      </c>
      <c r="P23" s="137" t="s">
        <v>1072</v>
      </c>
      <c r="Q23" s="30"/>
      <c r="R23" s="84" t="e">
        <f>IF(VLOOKUP(C23,'Train Runs'!$A$13:$AE$9931,1,1)=C23,VLOOKUP(C23,'Train Runs'!$A$13:$AE$9931,31,1),NA())</f>
        <v>#N/A</v>
      </c>
      <c r="S23" s="87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-05-13T12:55:20-0600',mode:absolute,to:'2017-05-13T15:45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9" t="str">
        <f t="shared" si="1"/>
        <v>"C:\Program Files (x86)\AstroGrep\AstroGrep.exe" /e /r /s /spath="%USERPROFILE%\AppData\Local\Temp\OnboardLogs" /stypes="*4032*201705132*"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4032</v>
      </c>
      <c r="V23" s="31">
        <f t="shared" si="3"/>
        <v>42868.84957175926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{"issue":{"subject":"Chambers 2N STOP, cleared afterward","project_id":79,"tracker_id":40,"status_id":1,"priority_id":2,"assigned_to_id":23,"start_date":"2017-05-13","description":"","custom_fields":[{"id":1,"name":"Subdivision","value":"EC"},{"id":4,"name":"Milepost","value":"10.7939"},{"id":17,"name":"Train ID","value":"183-13"},{"id":16,"name":"Locomotive ID","value":"4032"},{"id":130,"name":"Impact","value":""},{"id":150,"name":"Time of Event (Mountain Time)","value":"14:23:23"},{"id":151,"name":"Denver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/cygdrive/c/Users/stu/AppData/Local/Temp/OnboardLogs/RTDC4032 --include="*4032*201705132*"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"%USERPROFILE%\AppData\Local\Temp\OnboardLogs"\RTDC4032\*4032*201705132* &gt;&gt; 2017-05-13-SliceDisagreementCheck.txt</v>
      </c>
      <c r="AE23" s="148" t="str">
        <f t="shared" si="9"/>
        <v>start /low /b %USERPROFILE%\Documents\GitHub\eaglep3\Utilities\DownloadLogsFromS3.py --loco 4032 --day 2017-05-13</v>
      </c>
      <c r="AF23" s="1"/>
    </row>
    <row r="24" spans="1:32" x14ac:dyDescent="0.25">
      <c r="A24" s="31">
        <v>42868.850694444445</v>
      </c>
      <c r="B24" s="30" t="s">
        <v>355</v>
      </c>
      <c r="C24" s="30" t="s">
        <v>573</v>
      </c>
      <c r="D24" s="30" t="s">
        <v>49</v>
      </c>
      <c r="E24" s="30" t="s">
        <v>377</v>
      </c>
      <c r="F24" s="42">
        <v>0</v>
      </c>
      <c r="G24" s="42">
        <v>796</v>
      </c>
      <c r="H24" s="42">
        <v>143230</v>
      </c>
      <c r="I24" s="42">
        <v>147579</v>
      </c>
      <c r="J24" s="30" t="s">
        <v>378</v>
      </c>
      <c r="K24" s="42">
        <v>144300</v>
      </c>
      <c r="L24" s="134" t="s">
        <v>50</v>
      </c>
      <c r="M24" s="135">
        <f t="shared" si="0"/>
        <v>-1731.3119999999999</v>
      </c>
      <c r="N24" s="136" t="str">
        <f>VLOOKUP(C24,'Trips&amp;Operators'!$C$1:$G$99999,5,FALSE)</f>
        <v>DUNCAN SHEILA</v>
      </c>
      <c r="O24" s="207" t="s">
        <v>380</v>
      </c>
      <c r="P24" s="137" t="s">
        <v>540</v>
      </c>
      <c r="Q24" s="30"/>
      <c r="R24" s="84" t="e">
        <f>IF(VLOOKUP(C24,'Train Runs'!$A$13:$AE$9931,1,1)=C24,VLOOKUP(C24,'Train Runs'!$A$13:$AE$9931,31,1),NA())</f>
        <v>#N/A</v>
      </c>
      <c r="S24" s="87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-05-13T18:53:51-0600',mode:absolute,to:'2017-05-13T21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4" s="89" t="str">
        <f t="shared" si="1"/>
        <v>"C:\Program Files (x86)\AstroGrep\AstroGrep.exe" /e /r /s /spath="%USERPROFILE%\AppData\Local\Temp\OnboardLogs" /stypes="*4004*201705140*" /stext=" 02:.+((SYSTEM_STATE.+slice.+state.+changed )|(ment ac)|(multiple cpu faults)|(system.+state.+changed )|(\[timeout)|(PRM\|1\|D)|(kpr)|(kdp)|(train st.+moving)|(\|lc)|(penalty))"</v>
      </c>
      <c r="U24" s="9" t="str">
        <f t="shared" si="2"/>
        <v>4004</v>
      </c>
      <c r="V24" s="31">
        <f t="shared" si="3"/>
        <v>42869.100694444445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drop","project_id":79,"tracker_id":40,"status_id":1,"priority_id":2,"assigned_to_id":23,"start_date":"2017-05-13","description":"","custom_fields":[{"id":1,"name":"Subdivision","value":"EC"},{"id":4,"name":"Milepost","value":"14.43"},{"id":17,"name":"Train ID","value":"225-13"},{"id":16,"name":"Locomotive ID","value":"4004"},{"id":130,"name":"Impact","value":""},{"id":150,"name":"Time of Event (Mountain Time)","value":"20:25:00"},{"id":151,"name":"Denver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/cygdrive/c/Users/stu/AppData/Local/Temp/OnboardLogs/RTDC4004 --include="*4004*201705140*"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"%USERPROFILE%\AppData\Local\Temp\OnboardLogs"\RTDC4004\*4004*201705140* &gt;&gt; 2017-05-13-SliceDisagreementCheck.txt</v>
      </c>
      <c r="AE24" s="148" t="str">
        <f t="shared" si="9"/>
        <v>start /low /b %USERPROFILE%\Documents\GitHub\eaglep3\Utilities\DownloadLogsFromS3.py --loco 4004 --day 2017-05-14</v>
      </c>
      <c r="AF24" s="1"/>
    </row>
    <row r="25" spans="1:32" x14ac:dyDescent="0.25">
      <c r="A25" s="31">
        <v>42868.607187499998</v>
      </c>
      <c r="B25" s="30" t="s">
        <v>438</v>
      </c>
      <c r="C25" s="30" t="s">
        <v>558</v>
      </c>
      <c r="D25" s="30" t="s">
        <v>49</v>
      </c>
      <c r="E25" s="30" t="s">
        <v>377</v>
      </c>
      <c r="F25" s="42">
        <v>0</v>
      </c>
      <c r="G25" s="42">
        <v>360</v>
      </c>
      <c r="H25" s="42">
        <v>153251</v>
      </c>
      <c r="I25" s="42">
        <v>154075</v>
      </c>
      <c r="J25" s="30" t="s">
        <v>378</v>
      </c>
      <c r="K25" s="42">
        <v>155600</v>
      </c>
      <c r="L25" s="134" t="s">
        <v>50</v>
      </c>
      <c r="M25" s="135">
        <f t="shared" si="0"/>
        <v>805.2</v>
      </c>
      <c r="N25" s="136" t="str">
        <f>VLOOKUP(C25,'Trips&amp;Operators'!$C$1:$G$99999,5,FALSE)</f>
        <v>ROMERO CHAD</v>
      </c>
      <c r="O25" s="207" t="s">
        <v>184</v>
      </c>
      <c r="P25" s="137" t="s">
        <v>1073</v>
      </c>
      <c r="Q25" s="30"/>
      <c r="R25" s="84" t="e">
        <f>IF(VLOOKUP(C25,'Train Runs'!$A$13:$AE$9931,1,1)=C25,VLOOKUP(C25,'Train Runs'!$A$13:$AE$9931,31,1),NA())</f>
        <v>#N/A</v>
      </c>
      <c r="S25" s="87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-05-13T12:55:20-0600',mode:absolute,to:'2017-05-13T15:45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89" t="str">
        <f t="shared" si="1"/>
        <v>"C:\Program Files (x86)\AstroGrep\AstroGrep.exe" /e /r /s /spath="%USERPROFILE%\AppData\Local\Temp\OnboardLogs" /stypes="*4032*201705132*"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4032</v>
      </c>
      <c r="V25" s="31">
        <f t="shared" si="3"/>
        <v>42868.857187499998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{"issue":{"subject":"Pena 2N STOP, cleared afterward","project_id":79,"tracker_id":40,"status_id":1,"priority_id":2,"assigned_to_id":23,"start_date":"2017-05-13","description":"","custom_fields":[{"id":1,"name":"Subdivision","value":"EC"},{"id":4,"name":"Milepost","value":"15.56"},{"id":17,"name":"Train ID","value":"183-13"},{"id":16,"name":"Locomotive ID","value":"4032"},{"id":130,"name":"Impact","value":""},{"id":150,"name":"Time of Event (Mountain Time)","value":"14:34:21"},{"id":151,"name":"Denver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/cygdrive/c/Users/stu/AppData/Local/Temp/OnboardLogs/RTDC4032 --include="*4032*201705132*"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"%USERPROFILE%\AppData\Local\Temp\OnboardLogs"\RTDC4032\*4032*201705132* &gt;&gt; 2017-05-13-SliceDisagreementCheck.txt</v>
      </c>
      <c r="AE25" s="148" t="str">
        <f t="shared" si="9"/>
        <v>start /low /b %USERPROFILE%\Documents\GitHub\eaglep3\Utilities\DownloadLogsFromS3.py --loco 4032 --day 2017-05-13</v>
      </c>
      <c r="AF25" s="1"/>
    </row>
    <row r="26" spans="1:32" x14ac:dyDescent="0.25">
      <c r="A26" s="31">
        <v>42868.532812500001</v>
      </c>
      <c r="B26" s="30" t="s">
        <v>438</v>
      </c>
      <c r="C26" s="30" t="s">
        <v>554</v>
      </c>
      <c r="D26" s="30" t="s">
        <v>49</v>
      </c>
      <c r="E26" s="30" t="s">
        <v>483</v>
      </c>
      <c r="F26" s="42">
        <v>0</v>
      </c>
      <c r="G26" s="42">
        <v>478</v>
      </c>
      <c r="H26" s="42">
        <v>215250</v>
      </c>
      <c r="I26" s="42">
        <v>216933</v>
      </c>
      <c r="J26" s="30" t="s">
        <v>484</v>
      </c>
      <c r="K26" s="42">
        <v>217106</v>
      </c>
      <c r="L26" s="134" t="s">
        <v>50</v>
      </c>
      <c r="M26" s="135">
        <f t="shared" si="0"/>
        <v>91.343999999999994</v>
      </c>
      <c r="N26" s="136" t="str">
        <f>VLOOKUP(C26,'Trips&amp;Operators'!$C$1:$G$99999,5,FALSE)</f>
        <v>ROMERO CHAD</v>
      </c>
      <c r="O26" s="207" t="s">
        <v>380</v>
      </c>
      <c r="P26" s="137" t="s">
        <v>540</v>
      </c>
      <c r="Q26" s="30"/>
      <c r="R26" s="84" t="str">
        <f>IF(VLOOKUP(C26,'Train Runs'!$A$13:$AE$9931,1,1)=C26,VLOOKUP(C26,'Train Runs'!$A$13:$AE$9931,31,1),NA())</f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S26" s="87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-05-13T11:08:57-0600',mode:absolute,to:'2017-05-13T13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89" t="str">
        <f t="shared" si="1"/>
        <v>"C:\Program Files (x86)\AstroGrep\AstroGrep.exe" /e /r /s /spath="%USERPROFILE%\AppData\Local\Temp\OnboardLogs" /stypes="*4032*201705131*"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4032</v>
      </c>
      <c r="V26" s="31">
        <f t="shared" si="3"/>
        <v>42868.782812500001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drop","project_id":79,"tracker_id":40,"status_id":1,"priority_id":2,"assigned_to_id":23,"start_date":"2017-05-13","description":"","custom_fields":[{"id":1,"name":"Subdivision","value":"EC"},{"id":4,"name":"Milepost","value":"21.7106"},{"id":17,"name":"Train ID","value":"169-13"},{"id":16,"name":"Locomotive ID","value":"4032"},{"id":130,"name":"Impact","value":""},{"id":150,"name":"Time of Event (Mountain Time)","value":"12:47:15"},{"id":151,"name":"Denver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/cygdrive/c/Users/stu/AppData/Local/Temp/OnboardLogs/RTDC4032 --include="*4032*201705131*"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"%USERPROFILE%\AppData\Local\Temp\OnboardLogs"\RTDC4032\*4032*201705131* &gt;&gt; 2017-05-13-SliceDisagreementCheck.txt</v>
      </c>
      <c r="AE26" s="148" t="str">
        <f t="shared" si="9"/>
        <v>start /low /b %USERPROFILE%\Documents\GitHub\eaglep3\Utilities\DownloadLogsFromS3.py --loco 4032 --day 2017-05-13</v>
      </c>
      <c r="AF26" s="1"/>
    </row>
    <row r="27" spans="1:32" x14ac:dyDescent="0.25">
      <c r="A27" s="31">
        <v>42868.273402777777</v>
      </c>
      <c r="B27" s="30" t="s">
        <v>383</v>
      </c>
      <c r="C27" s="30" t="s">
        <v>544</v>
      </c>
      <c r="D27" s="30" t="s">
        <v>49</v>
      </c>
      <c r="E27" s="30" t="s">
        <v>185</v>
      </c>
      <c r="F27" s="42">
        <v>0</v>
      </c>
      <c r="G27" s="42">
        <v>34</v>
      </c>
      <c r="H27" s="42">
        <v>114</v>
      </c>
      <c r="I27" s="42">
        <v>98</v>
      </c>
      <c r="J27" s="30" t="s">
        <v>186</v>
      </c>
      <c r="K27" s="42">
        <v>1</v>
      </c>
      <c r="L27" s="134" t="s">
        <v>51</v>
      </c>
      <c r="M27" s="135">
        <f t="shared" si="0"/>
        <v>51.216000000000001</v>
      </c>
      <c r="N27" s="136" t="str">
        <f>VLOOKUP(C27,'Trips&amp;Operators'!$C$1:$G$99999,5,FALSE)</f>
        <v>DELGADO DIANAH</v>
      </c>
      <c r="O27" s="207" t="s">
        <v>184</v>
      </c>
      <c r="P27" s="137"/>
      <c r="Q27" s="30"/>
      <c r="R27" s="84" t="str">
        <f>IF(VLOOKUP(C27,'Train Runs'!$A$13:$AE$9931,1,1)=C27,VLOOKUP(C27,'Train Runs'!$A$13:$AE$9931,31,1),NA())</f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S27" s="87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-05-13T04:46:14-0600',mode:absolute,to:'2017-05-13T07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89" t="str">
        <f t="shared" si="1"/>
        <v>"C:\Program Files (x86)\AstroGrep\AstroGrep.exe" /e /r /s /spath="%USERPROFILE%\AppData\Local\Temp\OnboardLogs" /stypes="*4041*201705131*"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4041</v>
      </c>
      <c r="V27" s="31">
        <f t="shared" si="3"/>
        <v>42868.523402777777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{"issue":{"subject":"","project_id":79,"tracker_id":40,"status_id":1,"priority_id":2,"assigned_to_id":23,"start_date":"2017-05-13","description":"","custom_fields":[{"id":1,"name":"Subdivision","value":"EC"},{"id":4,"name":"Milepost","value":"0.0001"},{"id":17,"name":"Train ID","value":"112-13"},{"id":16,"name":"Locomotive ID","value":"4041"},{"id":130,"name":"Impact","value":""},{"id":150,"name":"Time of Event (Mountain Time)","value":"06:33:42"},{"id":151,"name":"Denver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/cygdrive/c/Users/stu/AppData/Local/Temp/OnboardLogs/RTDC4041 --include="*4041*201705131*"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"%USERPROFILE%\AppData\Local\Temp\OnboardLogs"\RTDC4041\*4041*201705131* &gt;&gt; 2017-05-13-SliceDisagreementCheck.txt</v>
      </c>
      <c r="AE27" s="148" t="str">
        <f t="shared" si="9"/>
        <v>start /low /b %USERPROFILE%\Documents\GitHub\eaglep3\Utilities\DownloadLogsFromS3.py --loco 4041 --day 2017-05-13</v>
      </c>
      <c r="AF27" s="1"/>
    </row>
    <row r="28" spans="1:32" x14ac:dyDescent="0.25">
      <c r="A28" s="31">
        <v>42868.327222222222</v>
      </c>
      <c r="B28" s="30" t="s">
        <v>399</v>
      </c>
      <c r="C28" s="30" t="s">
        <v>547</v>
      </c>
      <c r="D28" s="30" t="s">
        <v>49</v>
      </c>
      <c r="E28" s="30" t="s">
        <v>185</v>
      </c>
      <c r="F28" s="42">
        <v>0</v>
      </c>
      <c r="G28" s="42">
        <v>97</v>
      </c>
      <c r="H28" s="42">
        <v>351</v>
      </c>
      <c r="I28" s="42">
        <v>265</v>
      </c>
      <c r="J28" s="30" t="s">
        <v>186</v>
      </c>
      <c r="K28" s="42">
        <v>1</v>
      </c>
      <c r="L28" s="134" t="s">
        <v>51</v>
      </c>
      <c r="M28" s="135">
        <f t="shared" si="0"/>
        <v>139.392</v>
      </c>
      <c r="N28" s="136" t="str">
        <f>VLOOKUP(C28,'Trips&amp;Operators'!$C$1:$G$99999,5,FALSE)</f>
        <v>DAVIS WENDY</v>
      </c>
      <c r="O28" s="207" t="s">
        <v>184</v>
      </c>
      <c r="P28" s="137"/>
      <c r="Q28" s="30"/>
      <c r="R28" s="84" t="str">
        <f>IF(VLOOKUP(C28,'Train Runs'!$A$13:$AE$9931,1,1)=C28,VLOOKUP(C28,'Train Runs'!$A$13:$AE$9931,31,1),NA())</f>
        <v>aws s3 cp s3://rtdc.mdm.uploadarchive.raw/RTDC4013/ "%USERPROFILE%\AppData\Local\Temp\OnboardLogs"\RTDC4013\2017-05-13 --exclude "*" --recursive --include "*20170513*" &amp; "%USERPROFILE%\Documents\GitHub\mrs-test-scripts\Headless Mode &amp; Sideloading\WalkAndUnGZ.bat" "%USERPROFILE%\AppData\Local\Temp\OnboardLogs"\RTDC4013\2017-05-13 &amp; aws s3 cp s3://rtdc.mdm.uploadarchive.raw/RTDC4013/ "%USERPROFILE%\AppData\Local\Temp\OnboardLogs"\RTDC4013\2017-05-14 --exclude "*" --recursive --include "*20170514*" &amp; "%USERPROFILE%\Documents\GitHub\mrs-test-scripts\Headless Mode &amp; Sideloading\WalkAndUnGZ.bat" "%USERPROFILE%\AppData\Local\Temp\OnboardLogs"\RTDC4013\2017-05-14</v>
      </c>
      <c r="S28" s="87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-05-13T06:06:08-0600',mode:absolute,to:'2017-05-13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8" s="89" t="str">
        <f t="shared" si="1"/>
        <v>"C:\Program Files (x86)\AstroGrep\AstroGrep.exe" /e /r /s /spath="%USERPROFILE%\AppData\Local\Temp\OnboardLogs" /stypes="*4013*201705131*" /stext=" 13:.+((SYSTEM_STATE.+slice.+state.+changed )|(ment ac)|(multiple cpu faults)|(system.+state.+changed )|(\[timeout)|(PRM\|1\|D)|(kpr)|(kdp)|(train st.+moving)|(\|lc)|(penalty))"</v>
      </c>
      <c r="U28" s="9" t="str">
        <f t="shared" si="2"/>
        <v>4013</v>
      </c>
      <c r="V28" s="31">
        <f t="shared" si="3"/>
        <v>42868.577222222222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{"issue":{"subject":"","project_id":79,"tracker_id":40,"status_id":1,"priority_id":2,"assigned_to_id":23,"start_date":"2017-05-13","description":"","custom_fields":[{"id":1,"name":"Subdivision","value":"EC"},{"id":4,"name":"Milepost","value":"0.0001"},{"id":17,"name":"Train ID","value":"122-13"},{"id":16,"name":"Locomotive ID","value":"4013"},{"id":130,"name":"Impact","value":""},{"id":150,"name":"Time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/cygdrive/c/Users/stu/AppData/Local/Temp/OnboardLogs/RTDC4013 --include="*4013*201705131*"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"%USERPROFILE%\AppData\Local\Temp\OnboardLogs"\RTDC4013\*4013*201705131* &gt;&gt; 2017-05-13-SliceDisagreementCheck.txt</v>
      </c>
      <c r="AE28" s="148" t="str">
        <f t="shared" si="9"/>
        <v>start /low /b %USERPROFILE%\Documents\GitHub\eaglep3\Utilities\DownloadLogsFromS3.py --loco 4013 --day 2017-05-13</v>
      </c>
      <c r="AF28" s="1"/>
    </row>
    <row r="29" spans="1:32" x14ac:dyDescent="0.25">
      <c r="A29" s="31">
        <v>42868.569050925929</v>
      </c>
      <c r="B29" s="30" t="s">
        <v>383</v>
      </c>
      <c r="C29" s="30" t="s">
        <v>556</v>
      </c>
      <c r="D29" s="30" t="s">
        <v>49</v>
      </c>
      <c r="E29" s="30" t="s">
        <v>185</v>
      </c>
      <c r="F29" s="42">
        <v>0</v>
      </c>
      <c r="G29" s="42">
        <v>40</v>
      </c>
      <c r="H29" s="42">
        <v>152</v>
      </c>
      <c r="I29" s="42">
        <v>103</v>
      </c>
      <c r="J29" s="30" t="s">
        <v>186</v>
      </c>
      <c r="K29" s="42">
        <v>1</v>
      </c>
      <c r="L29" s="134" t="s">
        <v>51</v>
      </c>
      <c r="M29" s="135">
        <f t="shared" si="0"/>
        <v>53.856000000000002</v>
      </c>
      <c r="N29" s="136" t="str">
        <f>VLOOKUP(C29,'Trips&amp;Operators'!$C$1:$G$99999,5,FALSE)</f>
        <v>LEVIN SCOTT</v>
      </c>
      <c r="O29" s="207" t="s">
        <v>184</v>
      </c>
      <c r="P29" s="137"/>
      <c r="Q29" s="30"/>
      <c r="R29" s="84" t="str">
        <f>IF(VLOOKUP(C29,'Train Runs'!$A$13:$AE$9931,1,1)=C29,VLOOKUP(C29,'Train Runs'!$A$13:$AE$9931,31,1),NA())</f>
        <v>aws s3 cp s3://rtdc.mdm.uploadarchive.raw/RTDC4041/ "%USERPROFILE%\AppData\Local\Temp\OnboardLogs"\RTDC4041\2017-05-13 --exclude "*" --recursive --include "*20170513*" &amp; "%USERPROFILE%\Documents\GitHub\mrs-test-scripts\Headless Mode &amp; Sideloading\WalkAndUnGZ.bat" "%USERPROFILE%\AppData\Local\Temp\OnboardLogs"\RTDC4041\2017-05-13 &amp; aws s3 cp s3://rtdc.mdm.uploadarchive.raw/RTDC4041/ "%USERPROFILE%\AppData\Local\Temp\OnboardLogs"\RTDC4041\2017-05-14 --exclude "*" --recursive --include "*20170514*" &amp; "%USERPROFILE%\Documents\GitHub\mrs-test-scripts\Headless Mode &amp; Sideloading\WalkAndUnGZ.bat" "%USERPROFILE%\AppData\Local\Temp\OnboardLogs"\RTDC4041\2017-05-14</v>
      </c>
      <c r="S29" s="87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-05-13T11:50:59-0600',mode:absolute,to:'2017-05-13T14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89" t="str">
        <f t="shared" si="1"/>
        <v>"C:\Program Files (x86)\AstroGrep\AstroGrep.exe" /e /r /s /spath="%USERPROFILE%\AppData\Local\Temp\OnboardLogs" /stypes="*4041*201705131*"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4041</v>
      </c>
      <c r="V29" s="31">
        <f t="shared" si="3"/>
        <v>42868.819050925929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{"issue":{"subject":"","project_id":79,"tracker_id":40,"status_id":1,"priority_id":2,"assigned_to_id":23,"start_date":"2017-05-13","description":"","custom_fields":[{"id":1,"name":"Subdivision","value":"EC"},{"id":4,"name":"Milepost","value":"0.0001"},{"id":17,"name":"Train ID","value":"168-13"},{"id":16,"name":"Locomotive ID","value":"4041"},{"id":130,"name":"Impact","value":""},{"id":150,"name":"Time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/cygdrive/c/Users/stu/AppData/Local/Temp/OnboardLogs/RTDC4041 --include="*4041*201705131*"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"%USERPROFILE%\AppData\Local\Temp\OnboardLogs"\RTDC4041\*4041*201705131* &gt;&gt; 2017-05-13-SliceDisagreementCheck.txt</v>
      </c>
      <c r="AE29" s="148" t="str">
        <f t="shared" si="9"/>
        <v>start /low /b %USERPROFILE%\Documents\GitHub\eaglep3\Utilities\DownloadLogsFromS3.py --loco 4041 --day 2017-05-13</v>
      </c>
      <c r="AF29" s="1"/>
    </row>
    <row r="30" spans="1:32" x14ac:dyDescent="0.25">
      <c r="A30" s="31">
        <v>42868.598611111112</v>
      </c>
      <c r="B30" s="30" t="s">
        <v>344</v>
      </c>
      <c r="C30" s="30" t="s">
        <v>560</v>
      </c>
      <c r="D30" s="30" t="s">
        <v>49</v>
      </c>
      <c r="E30" s="30" t="s">
        <v>185</v>
      </c>
      <c r="F30" s="42">
        <v>0</v>
      </c>
      <c r="G30" s="42">
        <v>157</v>
      </c>
      <c r="H30" s="42">
        <v>683</v>
      </c>
      <c r="I30" s="42">
        <v>464</v>
      </c>
      <c r="J30" s="30" t="s">
        <v>186</v>
      </c>
      <c r="K30" s="42">
        <v>1</v>
      </c>
      <c r="L30" s="134" t="s">
        <v>51</v>
      </c>
      <c r="M30" s="135">
        <f t="shared" si="0"/>
        <v>244.464</v>
      </c>
      <c r="N30" s="136" t="str">
        <f>VLOOKUP(C30,'Trips&amp;Operators'!$C$1:$G$99999,5,FALSE)</f>
        <v>STEWART MICHAEL</v>
      </c>
      <c r="O30" s="207" t="s">
        <v>184</v>
      </c>
      <c r="P30" s="137"/>
      <c r="Q30" s="30"/>
      <c r="R30" s="84" t="str">
        <f>IF(VLOOKUP(C30,'Train Runs'!$A$13:$AE$9931,1,1)=C30,VLOOKUP(C30,'Train Runs'!$A$13:$AE$9931,31,1),NA())</f>
        <v>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 &amp; aws s3 cp s3://rtdc.mdm.uploadarchive.raw/RTDC4027/ "%USERPROFILE%\AppData\Local\Temp\OnboardLogs"\RTDC4027\2017-05-14 --exclude "*" --recursive --include "*20170514*" &amp; "%USERPROFILE%\Documents\GitHub\mrs-test-scripts\Headless Mode &amp; Sideloading\WalkAndUnGZ.bat" "%USERPROFILE%\AppData\Local\Temp\OnboardLogs"\RTDC4027\2017-05-14</v>
      </c>
      <c r="S30" s="87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-05-13T12:35:37-0600',mode:absolute,to:'2017-05-13T15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0" s="89" t="str">
        <f t="shared" si="1"/>
        <v>"C:\Program Files (x86)\AstroGrep\AstroGrep.exe" /e /r /s /spath="%USERPROFILE%\AppData\Local\Temp\OnboardLogs" /stypes="*4027*201705132*" /stext=" 20:.+((SYSTEM_STATE.+slice.+state.+changed )|(ment ac)|(multiple cpu faults)|(system.+state.+changed )|(\[timeout)|(PRM\|1\|D)|(kpr)|(kdp)|(train st.+moving)|(\|lc)|(penalty))"</v>
      </c>
      <c r="U30" s="9" t="str">
        <f t="shared" si="2"/>
        <v>4027</v>
      </c>
      <c r="V30" s="31">
        <f t="shared" si="3"/>
        <v>42868.848611111112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{"issue":{"subject":"","project_id":79,"tracker_id":40,"status_id":1,"priority_id":2,"assigned_to_id":23,"start_date":"2017-05-13","description":"","custom_fields":[{"id":1,"name":"Subdivision","value":"EC"},{"id":4,"name":"Milepost","value":"0.0001"},{"id":17,"name":"Train ID","value":"174-13"},{"id":16,"name":"Locomotive ID","value":"4027"},{"id":130,"name":"Impact","value":""},{"id":150,"name":"Time of Event (Mountain Time)","value":"14:22:00"},{"id":151,"name":"Denver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/cygdrive/c/Users/stu/AppData/Local/Temp/OnboardLogs/RTDC4027 --include="*4027*201705132*"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"%USERPROFILE%\AppData\Local\Temp\OnboardLogs"\RTDC4027\*4027*201705132* &gt;&gt; 2017-05-13-SliceDisagreementCheck.txt</v>
      </c>
      <c r="AE30" s="148" t="str">
        <f t="shared" si="9"/>
        <v>start /low /b %USERPROFILE%\Documents\GitHub\eaglep3\Utilities\DownloadLogsFromS3.py --loco 4027 --day 2017-05-13</v>
      </c>
      <c r="AF30" s="1"/>
    </row>
    <row r="31" spans="1:32" x14ac:dyDescent="0.25">
      <c r="A31" s="31">
        <v>42868.77547453704</v>
      </c>
      <c r="B31" s="30" t="s">
        <v>459</v>
      </c>
      <c r="C31" s="30" t="s">
        <v>571</v>
      </c>
      <c r="D31" s="30" t="s">
        <v>49</v>
      </c>
      <c r="E31" s="30" t="s">
        <v>185</v>
      </c>
      <c r="F31" s="42">
        <v>0</v>
      </c>
      <c r="G31" s="42">
        <v>34</v>
      </c>
      <c r="H31" s="42">
        <v>908</v>
      </c>
      <c r="I31" s="42">
        <v>880</v>
      </c>
      <c r="J31" s="30" t="s">
        <v>186</v>
      </c>
      <c r="K31" s="42">
        <v>826</v>
      </c>
      <c r="L31" s="134" t="s">
        <v>51</v>
      </c>
      <c r="M31" s="135">
        <f t="shared" si="0"/>
        <v>28.512</v>
      </c>
      <c r="N31" s="136" t="str">
        <f>VLOOKUP(C31,'Trips&amp;Operators'!$C$1:$G$99999,5,FALSE)</f>
        <v>BRANDNER MELINDA</v>
      </c>
      <c r="O31" s="207" t="s">
        <v>184</v>
      </c>
      <c r="P31" s="137"/>
      <c r="Q31" s="30"/>
      <c r="R31" s="84" t="e">
        <f>IF(VLOOKUP(C31,'Train Runs'!$A$13:$AE$9931,1,1)=C31,VLOOKUP(C31,'Train Runs'!$A$13:$AE$9931,31,1),NA())</f>
        <v>#N/A</v>
      </c>
      <c r="S31" s="87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-05-13T16:49:10-0600',mode:absolute,to:'2017-05-13T19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89" t="str">
        <f t="shared" si="1"/>
        <v>"C:\Program Files (x86)\AstroGrep\AstroGrep.exe" /e /r /s /spath="%USERPROFILE%\AppData\Local\Temp\OnboardLogs" /stypes="*4001*201705140*"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4001</v>
      </c>
      <c r="V31" s="31">
        <f t="shared" si="3"/>
        <v>42869.02547453704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{"issue":{"subject":"","project_id":79,"tracker_id":40,"status_id":1,"priority_id":2,"assigned_to_id":23,"start_date":"2017-05-13","description":"","custom_fields":[{"id":1,"name":"Subdivision","value":"EC"},{"id":4,"name":"Milepost","value":"0.0826"},{"id":17,"name":"Train ID","value":"208-13"},{"id":16,"name":"Locomotive ID","value":"4001"},{"id":130,"name":"Impact","value":""},{"id":150,"name":"Time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/cygdrive/c/Users/stu/AppData/Local/Temp/OnboardLogs/RTDC4001 --include="*4001*201705140*"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"%USERPROFILE%\AppData\Local\Temp\OnboardLogs"\RTDC4001\*4001*201705140* &gt;&gt; 2017-05-13-SliceDisagreementCheck.txt</v>
      </c>
      <c r="AE31" s="148" t="str">
        <f t="shared" si="9"/>
        <v>start /low /b %USERPROFILE%\Documents\GitHub\eaglep3\Utilities\DownloadLogsFromS3.py --loco 4001 --day 2017-05-14</v>
      </c>
      <c r="AF31" s="1"/>
    </row>
    <row r="32" spans="1:32" x14ac:dyDescent="0.25">
      <c r="A32" s="31">
        <v>42868.286527777775</v>
      </c>
      <c r="B32" s="30" t="s">
        <v>406</v>
      </c>
      <c r="C32" s="30" t="s">
        <v>546</v>
      </c>
      <c r="D32" s="30" t="s">
        <v>49</v>
      </c>
      <c r="E32" s="30" t="s">
        <v>185</v>
      </c>
      <c r="F32" s="42">
        <v>0</v>
      </c>
      <c r="G32" s="42">
        <v>171</v>
      </c>
      <c r="H32" s="42">
        <v>232679</v>
      </c>
      <c r="I32" s="42">
        <v>232917</v>
      </c>
      <c r="J32" s="30" t="s">
        <v>186</v>
      </c>
      <c r="K32" s="42">
        <v>233491</v>
      </c>
      <c r="L32" s="134" t="s">
        <v>50</v>
      </c>
      <c r="M32" s="135">
        <f t="shared" si="0"/>
        <v>303.072</v>
      </c>
      <c r="N32" s="136" t="str">
        <f>VLOOKUP(C32,'Trips&amp;Operators'!$C$1:$G$99999,5,FALSE)</f>
        <v>DAVIS WENDY</v>
      </c>
      <c r="O32" s="207" t="s">
        <v>184</v>
      </c>
      <c r="P32" s="137"/>
      <c r="Q32" s="30"/>
      <c r="R32" s="84" t="str">
        <f>IF(VLOOKUP(C32,'Train Runs'!$A$13:$AE$9931,1,1)=C32,VLOOKUP(C32,'Train Runs'!$A$13:$AE$9931,31,1),NA())</f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S32" s="87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-05-13T05:09:40-0600',mode:absolute,to:'2017-05-13T07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2" s="89" t="str">
        <f t="shared" si="1"/>
        <v>"C:\Program Files (x86)\AstroGrep\AstroGrep.exe" /e /r /s /spath="%USERPROFILE%\AppData\Local\Temp\OnboardLogs" /stypes="*4014*201705131*"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4014</v>
      </c>
      <c r="V32" s="31">
        <f t="shared" si="3"/>
        <v>42868.536527777775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{"issue":{"subject":"","project_id":79,"tracker_id":40,"status_id":1,"priority_id":2,"assigned_to_id":23,"start_date":"2017-05-13","description":"","custom_fields":[{"id":1,"name":"Subdivision","value":"EC"},{"id":4,"name":"Milepost","value":"23.3491"},{"id":17,"name":"Train ID","value":"121-13"},{"id":16,"name":"Locomotive ID","value":"4014"},{"id":130,"name":"Impact","value":""},{"id":150,"name":"Time of Event (Mountain Time)","value":"06:52:36"},{"id":151,"name":"Denver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/cygdrive/c/Users/stu/AppData/Local/Temp/OnboardLogs/RTDC4014 --include="*4014*201705131*"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"%USERPROFILE%\AppData\Local\Temp\OnboardLogs"\RTDC4014\*4014*201705131* &gt;&gt; 2017-05-13-SliceDisagreementCheck.txt</v>
      </c>
      <c r="AE32" s="148" t="str">
        <f t="shared" si="9"/>
        <v>start /low /b %USERPROFILE%\Documents\GitHub\eaglep3\Utilities\DownloadLogsFromS3.py --loco 4014 --day 2017-05-13</v>
      </c>
      <c r="AF32" s="1"/>
    </row>
    <row r="33" spans="1:32" x14ac:dyDescent="0.25">
      <c r="A33" s="31">
        <v>42868.434155092589</v>
      </c>
      <c r="B33" s="30" t="s">
        <v>406</v>
      </c>
      <c r="C33" s="30" t="s">
        <v>550</v>
      </c>
      <c r="D33" s="30" t="s">
        <v>49</v>
      </c>
      <c r="E33" s="30" t="s">
        <v>185</v>
      </c>
      <c r="F33" s="42">
        <v>0</v>
      </c>
      <c r="G33" s="42">
        <v>58</v>
      </c>
      <c r="H33" s="42">
        <v>233297</v>
      </c>
      <c r="I33" s="42">
        <v>233338</v>
      </c>
      <c r="J33" s="30" t="s">
        <v>186</v>
      </c>
      <c r="K33" s="42">
        <v>233491</v>
      </c>
      <c r="L33" s="134" t="s">
        <v>50</v>
      </c>
      <c r="M33" s="135">
        <f t="shared" si="0"/>
        <v>80.784000000000006</v>
      </c>
      <c r="N33" s="136" t="str">
        <f>VLOOKUP(C33,'Trips&amp;Operators'!$C$1:$G$99999,5,FALSE)</f>
        <v>DAVIS WENDY</v>
      </c>
      <c r="O33" s="207" t="s">
        <v>184</v>
      </c>
      <c r="P33" s="137"/>
      <c r="Q33" s="30"/>
      <c r="R33" s="84" t="str">
        <f>IF(VLOOKUP(C33,'Train Runs'!$A$13:$AE$9931,1,1)=C33,VLOOKUP(C33,'Train Runs'!$A$13:$AE$9931,31,1),NA())</f>
        <v>aws s3 cp s3://rtdc.mdm.uploadarchive.raw/RTDC4014/ "%USERPROFILE%\AppData\Local\Temp\OnboardLogs"\RTDC4014\2017-05-13 --exclude "*" --recursive --include "*20170513*" &amp; "%USERPROFILE%\Documents\GitHub\mrs-test-scripts\Headless Mode &amp; Sideloading\WalkAndUnGZ.bat" "%USERPROFILE%\AppData\Local\Temp\OnboardLogs"\RTDC4014\2017-05-13 &amp; 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</v>
      </c>
      <c r="S33" s="87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-05-13T08:39:06-0600',mode:absolute,to:'2017-05-13T11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3" s="89" t="str">
        <f t="shared" si="1"/>
        <v>"C:\Program Files (x86)\AstroGrep\AstroGrep.exe" /e /r /s /spath="%USERPROFILE%\AppData\Local\Temp\OnboardLogs" /stypes="*4014*201705131*"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4014</v>
      </c>
      <c r="V33" s="31">
        <f t="shared" si="3"/>
        <v>42868.684155092589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{"issue":{"subject":"","project_id":79,"tracker_id":40,"status_id":1,"priority_id":2,"assigned_to_id":23,"start_date":"2017-05-13","description":"","custom_fields":[{"id":1,"name":"Subdivision","value":"EC"},{"id":4,"name":"Milepost","value":"23.3491"},{"id":17,"name":"Train ID","value":"149-13"},{"id":16,"name":"Locomotive ID","value":"4014"},{"id":130,"name":"Impact","value":""},{"id":150,"name":"Time of Event (Mountain Time)","value":"10:25:11"},{"id":151,"name":"Denver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/cygdrive/c/Users/stu/AppData/Local/Temp/OnboardLogs/RTDC4014 --include="*4014*201705131*"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"%USERPROFILE%\AppData\Local\Temp\OnboardLogs"\RTDC4014\*4014*201705131* &gt;&gt; 2017-05-13-SliceDisagreementCheck.txt</v>
      </c>
      <c r="AE33" s="148" t="str">
        <f t="shared" si="9"/>
        <v>start /low /b %USERPROFILE%\Documents\GitHub\eaglep3\Utilities\DownloadLogsFromS3.py --loco 4014 --day 2017-05-13</v>
      </c>
      <c r="AF33" s="1"/>
    </row>
    <row r="34" spans="1:32" x14ac:dyDescent="0.25">
      <c r="A34" s="31">
        <v>42868.517650462964</v>
      </c>
      <c r="B34" s="30" t="s">
        <v>494</v>
      </c>
      <c r="C34" s="30" t="s">
        <v>553</v>
      </c>
      <c r="D34" s="30" t="s">
        <v>49</v>
      </c>
      <c r="E34" s="30" t="s">
        <v>185</v>
      </c>
      <c r="F34" s="42">
        <v>0</v>
      </c>
      <c r="G34" s="42">
        <v>20</v>
      </c>
      <c r="H34" s="42">
        <v>233427</v>
      </c>
      <c r="I34" s="42">
        <v>233438</v>
      </c>
      <c r="J34" s="30" t="s">
        <v>186</v>
      </c>
      <c r="K34" s="42">
        <v>233491</v>
      </c>
      <c r="L34" s="134" t="s">
        <v>50</v>
      </c>
      <c r="M34" s="135">
        <f t="shared" si="0"/>
        <v>27.984000000000002</v>
      </c>
      <c r="N34" s="136" t="str">
        <f>VLOOKUP(C34,'Trips&amp;Operators'!$C$1:$G$99999,5,FALSE)</f>
        <v>BRANDNER MELINDA</v>
      </c>
      <c r="O34" s="207" t="s">
        <v>184</v>
      </c>
      <c r="P34" s="137"/>
      <c r="Q34" s="30"/>
      <c r="R34" s="84" t="str">
        <f>IF(VLOOKUP(C34,'Train Runs'!$A$13:$AE$9931,1,1)=C34,VLOOKUP(C34,'Train Runs'!$A$13:$AE$9931,31,1),NA())</f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S34" s="87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-05-13T10:39:47-0600',mode:absolute,to:'2017-05-13T13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4" s="89" t="str">
        <f t="shared" si="1"/>
        <v>"C:\Program Files (x86)\AstroGrep\AstroGrep.exe" /e /r /s /spath="%USERPROFILE%\AppData\Local\Temp\OnboardLogs" /stypes="*4002*201705131*" /stext=" 18:.+((SYSTEM_STATE.+slice.+state.+changed )|(ment ac)|(multiple cpu faults)|(system.+state.+changed )|(\[timeout)|(PRM\|1\|D)|(kpr)|(kdp)|(train st.+moving)|(\|lc)|(penalty))"</v>
      </c>
      <c r="U34" s="9" t="str">
        <f t="shared" si="2"/>
        <v>4002</v>
      </c>
      <c r="V34" s="31">
        <f t="shared" si="3"/>
        <v>42868.767650462964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{"issue":{"subject":"","project_id":79,"tracker_id":40,"status_id":1,"priority_id":2,"assigned_to_id":23,"start_date":"2017-05-13","description":"","custom_fields":[{"id":1,"name":"Subdivision","value":"EC"},{"id":4,"name":"Milepost","value":"23.3491"},{"id":17,"name":"Train ID","value":"165-13"},{"id":16,"name":"Locomotive ID","value":"4002"},{"id":130,"name":"Impact","value":""},{"id":150,"name":"Time of Event (Mountain Time)","value":"12:25:25"},{"id":151,"name":"Denver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/cygdrive/c/Users/stu/AppData/Local/Temp/OnboardLogs/RTDC4002 --include="*4002*201705131*"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"%USERPROFILE%\AppData\Local\Temp\OnboardLogs"\RTDC4002\*4002*201705131* &gt;&gt; 2017-05-13-SliceDisagreementCheck.txt</v>
      </c>
      <c r="AE34" s="148" t="str">
        <f t="shared" si="9"/>
        <v>start /low /b %USERPROFILE%\Documents\GitHub\eaglep3\Utilities\DownloadLogsFromS3.py --loco 4002 --day 2017-05-13</v>
      </c>
      <c r="AF34" s="1"/>
    </row>
    <row r="35" spans="1:32" x14ac:dyDescent="0.25">
      <c r="A35" s="31">
        <v>42868.535381944443</v>
      </c>
      <c r="B35" s="30" t="s">
        <v>438</v>
      </c>
      <c r="C35" s="30" t="s">
        <v>554</v>
      </c>
      <c r="D35" s="30" t="s">
        <v>49</v>
      </c>
      <c r="E35" s="30" t="s">
        <v>185</v>
      </c>
      <c r="F35" s="42">
        <v>0</v>
      </c>
      <c r="G35" s="42">
        <v>162</v>
      </c>
      <c r="H35" s="42">
        <v>232730</v>
      </c>
      <c r="I35" s="42">
        <v>232955</v>
      </c>
      <c r="J35" s="30" t="s">
        <v>186</v>
      </c>
      <c r="K35" s="42">
        <v>233491</v>
      </c>
      <c r="L35" s="134" t="s">
        <v>50</v>
      </c>
      <c r="M35" s="135">
        <f t="shared" si="0"/>
        <v>283.00799999999998</v>
      </c>
      <c r="N35" s="136" t="str">
        <f>VLOOKUP(C35,'Trips&amp;Operators'!$C$1:$G$99999,5,FALSE)</f>
        <v>ROMERO CHAD</v>
      </c>
      <c r="O35" s="207" t="s">
        <v>184</v>
      </c>
      <c r="P35" s="137"/>
      <c r="Q35" s="30"/>
      <c r="R35" s="84" t="str">
        <f>IF(VLOOKUP(C35,'Train Runs'!$A$13:$AE$9931,1,1)=C35,VLOOKUP(C35,'Train Runs'!$A$13:$AE$9931,31,1),NA())</f>
        <v>aws s3 cp s3://rtdc.mdm.uploadarchive.raw/RTDC4032/ "%USERPROFILE%\AppData\Local\Temp\OnboardLogs"\RTDC4032\2017-05-13 --exclude "*" --recursive --include "*20170513*" &amp; "%USERPROFILE%\Documents\GitHub\mrs-test-scripts\Headless Mode &amp; Sideloading\WalkAndUnGZ.bat" "%USERPROFILE%\AppData\Local\Temp\OnboardLogs"\RTDC4032\2017-05-13 &amp; 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</v>
      </c>
      <c r="S35" s="87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-05-13T11:08:57-0600',mode:absolute,to:'2017-05-13T13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5" s="89" t="str">
        <f t="shared" si="1"/>
        <v>"C:\Program Files (x86)\AstroGrep\AstroGrep.exe" /e /r /s /spath="%USERPROFILE%\AppData\Local\Temp\OnboardLogs" /stypes="*4032*201705131*" /stext=" 18:.+((SYSTEM_STATE.+slice.+state.+changed )|(ment ac)|(multiple cpu faults)|(system.+state.+changed )|(\[timeout)|(PRM\|1\|D)|(kpr)|(kdp)|(train st.+moving)|(\|lc)|(penalty))"</v>
      </c>
      <c r="U35" s="9" t="str">
        <f t="shared" si="2"/>
        <v>4032</v>
      </c>
      <c r="V35" s="31">
        <f t="shared" si="3"/>
        <v>42868.785381944443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{"issue":{"subject":"","project_id":79,"tracker_id":40,"status_id":1,"priority_id":2,"assigned_to_id":23,"start_date":"2017-05-13","description":"","custom_fields":[{"id":1,"name":"Subdivision","value":"EC"},{"id":4,"name":"Milepost","value":"23.3491"},{"id":17,"name":"Train ID","value":"169-13"},{"id":16,"name":"Locomotive ID","value":"4032"},{"id":130,"name":"Impact","value":""},{"id":150,"name":"Time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/cygdrive/c/Users/stu/AppData/Local/Temp/OnboardLogs/RTDC4032 --include="*4032*201705131*"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"%USERPROFILE%\AppData\Local\Temp\OnboardLogs"\RTDC4032\*4032*201705131* &gt;&gt; 2017-05-13-SliceDisagreementCheck.txt</v>
      </c>
      <c r="AE35" s="148" t="str">
        <f t="shared" si="9"/>
        <v>start /low /b %USERPROFILE%\Documents\GitHub\eaglep3\Utilities\DownloadLogsFromS3.py --loco 4032 --day 2017-05-13</v>
      </c>
      <c r="AF35" s="1"/>
    </row>
    <row r="36" spans="1:32" x14ac:dyDescent="0.25">
      <c r="A36" s="31">
        <v>42868.59065972222</v>
      </c>
      <c r="B36" s="30" t="s">
        <v>494</v>
      </c>
      <c r="C36" s="30" t="s">
        <v>559</v>
      </c>
      <c r="D36" s="30" t="s">
        <v>49</v>
      </c>
      <c r="E36" s="30" t="s">
        <v>185</v>
      </c>
      <c r="F36" s="42">
        <v>0</v>
      </c>
      <c r="G36" s="42">
        <v>38</v>
      </c>
      <c r="H36" s="42">
        <v>233376</v>
      </c>
      <c r="I36" s="42">
        <v>233416</v>
      </c>
      <c r="J36" s="30" t="s">
        <v>186</v>
      </c>
      <c r="K36" s="42">
        <v>233491</v>
      </c>
      <c r="L36" s="134" t="s">
        <v>50</v>
      </c>
      <c r="M36" s="135">
        <f t="shared" si="0"/>
        <v>39.6</v>
      </c>
      <c r="N36" s="136" t="str">
        <f>VLOOKUP(C36,'Trips&amp;Operators'!$C$1:$G$99999,5,FALSE)</f>
        <v>BRANDNER MELINDA</v>
      </c>
      <c r="O36" s="207" t="s">
        <v>184</v>
      </c>
      <c r="P36" s="137"/>
      <c r="Q36" s="30"/>
      <c r="R36" s="84" t="str">
        <f>IF(VLOOKUP(C36,'Train Runs'!$A$13:$AE$9931,1,1)=C36,VLOOKUP(C36,'Train Runs'!$A$13:$AE$9931,31,1),NA())</f>
        <v>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 &amp; 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</v>
      </c>
      <c r="S36" s="87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-05-13T12:27:44-0600',mode:absolute,to:'2017-05-13T15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9" t="str">
        <f t="shared" si="1"/>
        <v>"C:\Program Files (x86)\AstroGrep\AstroGrep.exe" /e /r /s /spath="%USERPROFILE%\AppData\Local\Temp\OnboardLogs" /stypes="*4002*201705132*"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4002</v>
      </c>
      <c r="V36" s="31">
        <f t="shared" si="3"/>
        <v>42868.84065972222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{"issue":{"subject":"","project_id":79,"tracker_id":40,"status_id":1,"priority_id":2,"assigned_to_id":23,"start_date":"2017-05-13","description":"","custom_fields":[{"id":1,"name":"Subdivision","value":"EC"},{"id":4,"name":"Milepost","value":"23.3491"},{"id":17,"name":"Train ID","value":"179-13"},{"id":16,"name":"Locomotive ID","value":"4002"},{"id":130,"name":"Impact","value":""},{"id":150,"name":"Time of Event (Mountain Time)","value":"14:10:33"},{"id":151,"name":"Denver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/cygdrive/c/Users/stu/AppData/Local/Temp/OnboardLogs/RTDC4002 --include="*4002*201705132*"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"%USERPROFILE%\AppData\Local\Temp\OnboardLogs"\RTDC4002\*4002*201705132* &gt;&gt; 2017-05-13-SliceDisagreementCheck.txt</v>
      </c>
      <c r="AE36" s="148" t="str">
        <f t="shared" si="9"/>
        <v>start /low /b %USERPROFILE%\Documents\GitHub\eaglep3\Utilities\DownloadLogsFromS3.py --loco 4002 --day 2017-05-13</v>
      </c>
      <c r="AF36" s="1"/>
    </row>
    <row r="37" spans="1:32" x14ac:dyDescent="0.25">
      <c r="A37" s="31">
        <v>42868.662766203706</v>
      </c>
      <c r="B37" s="30" t="s">
        <v>494</v>
      </c>
      <c r="C37" s="30" t="s">
        <v>562</v>
      </c>
      <c r="D37" s="30" t="s">
        <v>49</v>
      </c>
      <c r="E37" s="30" t="s">
        <v>185</v>
      </c>
      <c r="F37" s="42">
        <v>0</v>
      </c>
      <c r="G37" s="42">
        <v>59</v>
      </c>
      <c r="H37" s="42">
        <v>233264</v>
      </c>
      <c r="I37" s="42">
        <v>233338</v>
      </c>
      <c r="J37" s="30" t="s">
        <v>186</v>
      </c>
      <c r="K37" s="42">
        <v>233491</v>
      </c>
      <c r="L37" s="134" t="s">
        <v>50</v>
      </c>
      <c r="M37" s="135">
        <f t="shared" si="0"/>
        <v>80.784000000000006</v>
      </c>
      <c r="N37" s="136" t="str">
        <f>VLOOKUP(C37,'Trips&amp;Operators'!$C$1:$G$99999,5,FALSE)</f>
        <v>BRANDNER MELINDA</v>
      </c>
      <c r="O37" s="207" t="s">
        <v>184</v>
      </c>
      <c r="P37" s="137"/>
      <c r="Q37" s="30"/>
      <c r="R37" s="84" t="e">
        <f>IF(VLOOKUP(C37,'Train Runs'!$A$13:$AE$9931,1,1)=C37,VLOOKUP(C37,'Train Runs'!$A$13:$AE$9931,31,1),NA())</f>
        <v>#N/A</v>
      </c>
      <c r="S37" s="87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-05-13T14:10:25-0600',mode:absolute,to:'2017-05-13T16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7" s="89" t="str">
        <f t="shared" si="1"/>
        <v>"C:\Program Files (x86)\AstroGrep\AstroGrep.exe" /e /r /s /spath="%USERPROFILE%\AppData\Local\Temp\OnboardLogs" /stypes="*4002*201705132*"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4002</v>
      </c>
      <c r="V37" s="31">
        <f t="shared" si="3"/>
        <v>42868.912766203706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{"issue":{"subject":"","project_id":79,"tracker_id":40,"status_id":1,"priority_id":2,"assigned_to_id":23,"start_date":"2017-05-13","description":"","custom_fields":[{"id":1,"name":"Subdivision","value":"EC"},{"id":4,"name":"Milepost","value":"23.3491"},{"id":17,"name":"Train ID","value":"193-13"},{"id":16,"name":"Locomotive ID","value":"4002"},{"id":130,"name":"Impact","value":""},{"id":150,"name":"Time of Event (Mountain Time)","value":"15:54:23"},{"id":151,"name":"Denver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/cygdrive/c/Users/stu/AppData/Local/Temp/OnboardLogs/RTDC4002 --include="*4002*201705132*"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"%USERPROFILE%\AppData\Local\Temp\OnboardLogs"\RTDC4002\*4002*201705132* &gt;&gt; 2017-05-13-SliceDisagreementCheck.txt</v>
      </c>
      <c r="AE37" s="148" t="str">
        <f t="shared" si="9"/>
        <v>start /low /b %USERPROFILE%\Documents\GitHub\eaglep3\Utilities\DownloadLogsFromS3.py --loco 4002 --day 2017-05-13</v>
      </c>
      <c r="AF37" s="1"/>
    </row>
    <row r="38" spans="1:32" x14ac:dyDescent="0.25">
      <c r="A38" s="31">
        <v>42868.735567129632</v>
      </c>
      <c r="B38" s="30" t="s">
        <v>494</v>
      </c>
      <c r="C38" s="30" t="s">
        <v>566</v>
      </c>
      <c r="D38" s="30" t="s">
        <v>49</v>
      </c>
      <c r="E38" s="30" t="s">
        <v>185</v>
      </c>
      <c r="F38" s="42">
        <v>0</v>
      </c>
      <c r="G38" s="42">
        <v>19</v>
      </c>
      <c r="H38" s="42">
        <v>233414</v>
      </c>
      <c r="I38" s="42">
        <v>233412</v>
      </c>
      <c r="J38" s="30" t="s">
        <v>186</v>
      </c>
      <c r="K38" s="42">
        <v>233491</v>
      </c>
      <c r="L38" s="134" t="s">
        <v>50</v>
      </c>
      <c r="M38" s="135">
        <f t="shared" si="0"/>
        <v>41.712000000000003</v>
      </c>
      <c r="N38" s="136" t="str">
        <f>VLOOKUP(C38,'Trips&amp;Operators'!$C$1:$G$99999,5,FALSE)</f>
        <v>BRANDNER MELINDA</v>
      </c>
      <c r="O38" s="207" t="s">
        <v>184</v>
      </c>
      <c r="P38" s="137"/>
      <c r="Q38" s="30"/>
      <c r="R38" s="84" t="e">
        <f>IF(VLOOKUP(C38,'Train Runs'!$A$13:$AE$9931,1,1)=C38,VLOOKUP(C38,'Train Runs'!$A$13:$AE$9931,31,1),NA())</f>
        <v>#N/A</v>
      </c>
      <c r="S38" s="87" t="str">
        <f>VLOOKUP(C38,'Train Runs'!$A$13:$AE$9931,22,0)</f>
        <v>https://d0f6bd738d7f1b3e5a7ca70fe4ff75f0.us-east-1.aws.found.io/app/kibana#/discover/Steve-Slow-Train-Analysis-(2080s-and-2083s)?_g=(refreshInterval:(display:Off,pause:!f,section:0,value:0),time:(from:'2017-05-13T15:54:41-0600',mode:absolute,to:'2017-05-13T18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8" s="89" t="str">
        <f t="shared" si="1"/>
        <v>"C:\Program Files (x86)\AstroGrep\AstroGrep.exe" /e /r /s /spath="%USERPROFILE%\AppData\Local\Temp\OnboardLogs" /stypes="*4002*201705132*"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4002</v>
      </c>
      <c r="V38" s="31">
        <f t="shared" si="3"/>
        <v>42868.985567129632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{"issue":{"subject":"","project_id":79,"tracker_id":40,"status_id":1,"priority_id":2,"assigned_to_id":23,"start_date":"2017-05-13","description":"","custom_fields":[{"id":1,"name":"Subdivision","value":"EC"},{"id":4,"name":"Milepost","value":"23.3491"},{"id":17,"name":"Train ID","value":"207-13"},{"id":16,"name":"Locomotive ID","value":"4002"},{"id":130,"name":"Impact","value":""},{"id":150,"name":"Time of Event (Mountain Time)","value":"17:39:13"},{"id":151,"name":"Denver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/cygdrive/c/Users/stu/AppData/Local/Temp/OnboardLogs/RTDC4002 --include="*4002*201705132*"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"%USERPROFILE%\AppData\Local\Temp\OnboardLogs"\RTDC4002\*4002*201705132* &gt;&gt; 2017-05-13-SliceDisagreementCheck.txt</v>
      </c>
      <c r="AE38" s="148" t="str">
        <f t="shared" si="9"/>
        <v>start /low /b %USERPROFILE%\Documents\GitHub\eaglep3\Utilities\DownloadLogsFromS3.py --loco 4002 --day 2017-05-13</v>
      </c>
      <c r="AF38" s="1"/>
    </row>
    <row r="39" spans="1:32" x14ac:dyDescent="0.25">
      <c r="A39" s="31">
        <v>42868.744259259256</v>
      </c>
      <c r="B39" s="30" t="s">
        <v>371</v>
      </c>
      <c r="C39" s="30" t="s">
        <v>568</v>
      </c>
      <c r="D39" s="30" t="s">
        <v>49</v>
      </c>
      <c r="E39" s="30" t="s">
        <v>185</v>
      </c>
      <c r="F39" s="42">
        <v>0</v>
      </c>
      <c r="G39" s="42">
        <v>54</v>
      </c>
      <c r="H39" s="42">
        <v>233295</v>
      </c>
      <c r="I39" s="42">
        <v>233344</v>
      </c>
      <c r="J39" s="30" t="s">
        <v>186</v>
      </c>
      <c r="K39" s="42">
        <v>233491</v>
      </c>
      <c r="L39" s="134" t="s">
        <v>50</v>
      </c>
      <c r="M39" s="135">
        <f t="shared" si="0"/>
        <v>77.616</v>
      </c>
      <c r="N39" s="136" t="str">
        <f>VLOOKUP(C39,'Trips&amp;Operators'!$C$1:$G$99999,5,FALSE)</f>
        <v>LEVIN SCOTT</v>
      </c>
      <c r="O39" s="207" t="s">
        <v>184</v>
      </c>
      <c r="P39" s="137"/>
      <c r="Q39" s="30"/>
      <c r="R39" s="84" t="e">
        <f>IF(VLOOKUP(C39,'Train Runs'!$A$13:$AE$9931,1,1)=C39,VLOOKUP(C39,'Train Runs'!$A$13:$AE$9931,31,1),NA())</f>
        <v>#N/A</v>
      </c>
      <c r="S39" s="87" t="str">
        <f>VLOOKUP(C39,'Train Runs'!$A$13:$AE$9931,22,0)</f>
        <v>https://d0f6bd738d7f1b3e5a7ca70fe4ff75f0.us-east-1.aws.found.io/app/kibana#/discover/Steve-Slow-Train-Analysis-(2080s-and-2083s)?_g=(refreshInterval:(display:Off,pause:!f,section:0,value:0),time:(from:'2017-05-13T16:11:54-0600',mode:absolute,to:'2017-05-13T18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9" s="89" t="str">
        <f t="shared" si="1"/>
        <v>"C:\Program Files (x86)\AstroGrep\AstroGrep.exe" /e /r /s /spath="%USERPROFILE%\AppData\Local\Temp\OnboardLogs" /stypes="*4042*201705132*"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4042</v>
      </c>
      <c r="V39" s="31">
        <f t="shared" si="3"/>
        <v>42868.994259259256</v>
      </c>
      <c r="W39" s="45" t="str">
        <f t="shared" si="4"/>
        <v>EC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{"issue":{"subject":"","project_id":79,"tracker_id":40,"status_id":1,"priority_id":2,"assigned_to_id":23,"start_date":"2017-05-13","description":"","custom_fields":[{"id":1,"name":"Subdivision","value":"EC"},{"id":4,"name":"Milepost","value":"23.3491"},{"id":17,"name":"Train ID","value":"209-13"},{"id":16,"name":"Locomotive ID","value":"4042"},{"id":130,"name":"Impact","value":""},{"id":150,"name":"Time of Event (Mountain Time)","value":"17:51:44"},{"id":151,"name":"Denver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/cygdrive/c/Users/stu/AppData/Local/Temp/OnboardLogs/RTDC4042 --include="*4042*201705132*"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"%USERPROFILE%\AppData\Local\Temp\OnboardLogs"\RTDC4042\*4042*201705132* &gt;&gt; 2017-05-13-SliceDisagreementCheck.txt</v>
      </c>
      <c r="AE39" s="148" t="str">
        <f t="shared" si="9"/>
        <v>start /low /b %USERPROFILE%\Documents\GitHub\eaglep3\Utilities\DownloadLogsFromS3.py --loco 4042 --day 2017-05-13</v>
      </c>
      <c r="AF39" s="1"/>
    </row>
    <row r="40" spans="1:32" x14ac:dyDescent="0.25">
      <c r="A40" s="31">
        <v>42868.449120370373</v>
      </c>
      <c r="B40" s="30" t="s">
        <v>379</v>
      </c>
      <c r="C40" s="30" t="s">
        <v>551</v>
      </c>
      <c r="D40" s="30" t="s">
        <v>98</v>
      </c>
      <c r="E40" s="30" t="s">
        <v>204</v>
      </c>
      <c r="F40" s="42">
        <v>400</v>
      </c>
      <c r="G40" s="42">
        <v>450</v>
      </c>
      <c r="H40" s="42">
        <v>38976</v>
      </c>
      <c r="I40" s="42">
        <v>37680</v>
      </c>
      <c r="J40" s="30" t="s">
        <v>205</v>
      </c>
      <c r="K40" s="42">
        <v>40977</v>
      </c>
      <c r="L40" s="134" t="s">
        <v>51</v>
      </c>
      <c r="M40" s="135">
        <f t="shared" si="0"/>
        <v>-1740.816</v>
      </c>
      <c r="N40" s="136" t="str">
        <f>VLOOKUP(C40,'Trips&amp;Operators'!$C$1:$G$99999,5,FALSE)</f>
        <v>MACDONALD THOMAS</v>
      </c>
      <c r="O40" s="207" t="s">
        <v>184</v>
      </c>
      <c r="P40" s="137"/>
      <c r="Q40" s="30"/>
      <c r="R40" s="84" t="str">
        <f>IF(VLOOKUP(C40,'Train Runs'!$A$13:$AE$9931,1,1)=C40,VLOOKUP(C40,'Train Runs'!$A$13:$AE$9931,31,1),NA())</f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S40" s="87" t="str">
        <f>VLOOKUP(C40,'Train Runs'!$A$13:$AE$9931,22,0)</f>
        <v>https://d0f6bd738d7f1b3e5a7ca70fe4ff75f0.us-east-1.aws.found.io/app/kibana#/discover/Steve-Slow-Train-Analysis-(2080s-and-2083s)?_g=(refreshInterval:(display:Off,pause:!f,section:0,value:0),time:(from:'2017-05-13T09:35:57-0600',mode:absolute,to:'2017-05-13T11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0" s="89" t="str">
        <f t="shared" si="1"/>
        <v>"C:\Program Files (x86)\AstroGrep\AstroGrep.exe" /e /r /s /spath="%USERPROFILE%\AppData\Local\Temp\OnboardLogs" /stypes="*4051*201705131*" /stext=" 16:.+((SYSTEM_STATE.+slice.+state.+changed )|(ment ac)|(multiple cpu faults)|(system.+state.+changed )|(\[timeout)|(PRM\|1\|D)|(kpr)|(kdp)|(train st.+moving)|(\|lc)|(penalty))"</v>
      </c>
      <c r="U40" s="9" t="str">
        <f t="shared" si="2"/>
        <v>4051</v>
      </c>
      <c r="V40" s="31">
        <f t="shared" si="3"/>
        <v>42868.699120370373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{"issue":{"subject":"","project_id":79,"tracker_id":40,"status_id":1,"priority_id":2,"assigned_to_id":23,"start_date":"2017-05-13","description":"","custom_fields":[{"id":1,"name":"Subdivision","value":"NW"},{"id":4,"name":"Milepost","value":"4.0977"},{"id":17,"name":"Train ID","value":"1810-13"},{"id":16,"name":"Locomotive ID","value":"4051"},{"id":130,"name":"Impact","value":""},{"id":150,"name":"Time of Event (Mountain Time)","value":"10:46:44"},{"id":151,"name":"Denver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/cygdrive/c/Users/stu/AppData/Local/Temp/OnboardLogs/RTDC4051 --include="*4051*201705131*"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"%USERPROFILE%\AppData\Local\Temp\OnboardLogs"\RTDC4051\*4051*201705131* &gt;&gt; 2017-05-13-SliceDisagreementCheck.txt</v>
      </c>
      <c r="AE40" s="148" t="str">
        <f t="shared" si="9"/>
        <v>start /low /b %USERPROFILE%\Documents\GitHub\eaglep3\Utilities\DownloadLogsFromS3.py --loco 4051 --day 2017-05-13</v>
      </c>
      <c r="AF40" s="1"/>
    </row>
    <row r="41" spans="1:32" x14ac:dyDescent="0.25">
      <c r="A41" s="31">
        <v>42868.496168981481</v>
      </c>
      <c r="B41" s="30" t="s">
        <v>379</v>
      </c>
      <c r="C41" s="30" t="s">
        <v>552</v>
      </c>
      <c r="D41" s="30" t="s">
        <v>49</v>
      </c>
      <c r="E41" s="30" t="s">
        <v>185</v>
      </c>
      <c r="F41" s="42">
        <v>0</v>
      </c>
      <c r="G41" s="42">
        <v>80</v>
      </c>
      <c r="H41" s="42">
        <v>773</v>
      </c>
      <c r="I41" s="42">
        <v>712</v>
      </c>
      <c r="J41" s="30" t="s">
        <v>186</v>
      </c>
      <c r="K41" s="42">
        <v>575</v>
      </c>
      <c r="L41" s="134" t="s">
        <v>51</v>
      </c>
      <c r="M41" s="135">
        <f t="shared" si="0"/>
        <v>72.335999999999999</v>
      </c>
      <c r="N41" s="136" t="str">
        <f>VLOOKUP(C41,'Trips&amp;Operators'!$C$1:$G$99999,5,FALSE)</f>
        <v>MACDONALD THOMAS</v>
      </c>
      <c r="O41" s="207" t="s">
        <v>184</v>
      </c>
      <c r="P41" s="137"/>
      <c r="Q41" s="30"/>
      <c r="R41" s="84" t="str">
        <f>IF(VLOOKUP(C41,'Train Runs'!$A$13:$AE$9931,1,1)=C41,VLOOKUP(C41,'Train Runs'!$A$13:$AE$9931,31,1),NA())</f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S41" s="87" t="str">
        <f>VLOOKUP(C41,'Train Runs'!$A$13:$AE$9931,22,0)</f>
        <v>https://d0f6bd738d7f1b3e5a7ca70fe4ff75f0.us-east-1.aws.found.io/app/kibana#/discover/Steve-Slow-Train-Analysis-(2080s-and-2083s)?_g=(refreshInterval:(display:Off,pause:!f,section:0,value:0),time:(from:'2017-05-13T10:35:23-0600',mode:absolute,to:'2017-05-13T12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1" s="89" t="str">
        <f t="shared" si="1"/>
        <v>"C:\Program Files (x86)\AstroGrep\AstroGrep.exe" /e /r /s /spath="%USERPROFILE%\AppData\Local\Temp\OnboardLogs" /stypes="*4051*201705131*" /stext=" 17:.+((SYSTEM_STATE.+slice.+state.+changed )|(ment ac)|(multiple cpu faults)|(system.+state.+changed )|(\[timeout)|(PRM\|1\|D)|(kpr)|(kdp)|(train st.+moving)|(\|lc)|(penalty))"</v>
      </c>
      <c r="U41" s="9" t="str">
        <f t="shared" si="2"/>
        <v>4051</v>
      </c>
      <c r="V41" s="31">
        <f t="shared" si="3"/>
        <v>42868.746168981481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{"issue":{"subject":"","project_id":79,"tracker_id":40,"status_id":1,"priority_id":2,"assigned_to_id":23,"start_date":"2017-05-13","description":"","custom_fields":[{"id":1,"name":"Subdivision","value":"NW"},{"id":4,"name":"Milepost","value":"0.0575"},{"id":17,"name":"Train ID","value":"1812-13"},{"id":16,"name":"Locomotive ID","value":"4051"},{"id":130,"name":"Impact","value":""},{"id":150,"name":"Time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/cygdrive/c/Users/stu/AppData/Local/Temp/OnboardLogs/RTDC4051 --include="*4051*201705131*"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"%USERPROFILE%\AppData\Local\Temp\OnboardLogs"\RTDC4051\*4051*201705131* &gt;&gt; 2017-05-13-SliceDisagreementCheck.txt</v>
      </c>
      <c r="AE41" s="148" t="str">
        <f t="shared" si="9"/>
        <v>start /low /b %USERPROFILE%\Documents\GitHub\eaglep3\Utilities\DownloadLogsFromS3.py --loco 4051 --day 2017-05-13</v>
      </c>
      <c r="AF41" s="1"/>
    </row>
    <row r="42" spans="1:32" x14ac:dyDescent="0.25">
      <c r="A42" s="31">
        <v>42868.579583333332</v>
      </c>
      <c r="B42" s="30" t="s">
        <v>379</v>
      </c>
      <c r="C42" s="30" t="s">
        <v>557</v>
      </c>
      <c r="D42" s="30" t="s">
        <v>49</v>
      </c>
      <c r="E42" s="30" t="s">
        <v>185</v>
      </c>
      <c r="F42" s="42">
        <v>0</v>
      </c>
      <c r="G42" s="42">
        <v>65</v>
      </c>
      <c r="H42" s="42">
        <v>741</v>
      </c>
      <c r="I42" s="42">
        <v>698</v>
      </c>
      <c r="J42" s="30" t="s">
        <v>186</v>
      </c>
      <c r="K42" s="42">
        <v>575</v>
      </c>
      <c r="L42" s="134" t="s">
        <v>51</v>
      </c>
      <c r="M42" s="135">
        <f t="shared" si="0"/>
        <v>64.944000000000003</v>
      </c>
      <c r="N42" s="136" t="str">
        <f>VLOOKUP(C42,'Trips&amp;Operators'!$C$1:$G$99999,5,FALSE)</f>
        <v>MACDONALD THOMAS</v>
      </c>
      <c r="O42" s="207" t="s">
        <v>184</v>
      </c>
      <c r="P42" s="137"/>
      <c r="Q42" s="30"/>
      <c r="R42" s="84" t="str">
        <f>IF(VLOOKUP(C42,'Train Runs'!$A$13:$AE$9931,1,1)=C42,VLOOKUP(C42,'Train Runs'!$A$13:$AE$9931,31,1),NA())</f>
        <v>aws s3 cp s3://rtdc.mdm.uploadarchive.raw/RTDC4051/ "%USERPROFILE%\AppData\Local\Temp\OnboardLogs"\RTDC4051\2017-05-13 --exclude "*" --recursive --include "*20170513*" &amp; "%USERPROFILE%\Documents\GitHub\mrs-test-scripts\Headless Mode &amp; Sideloading\WalkAndUnGZ.bat" "%USERPROFILE%\AppData\Local\Temp\OnboardLogs"\RTDC4051\2017-05-13 &amp; aws s3 cp s3://rtdc.mdm.uploadarchive.raw/RTDC4051/ "%USERPROFILE%\AppData\Local\Temp\OnboardLogs"\RTDC4051\2017-05-14 --exclude "*" --recursive --include "*20170514*" &amp; "%USERPROFILE%\Documents\GitHub\mrs-test-scripts\Headless Mode &amp; Sideloading\WalkAndUnGZ.bat" "%USERPROFILE%\AppData\Local\Temp\OnboardLogs"\RTDC4051\2017-05-14</v>
      </c>
      <c r="S42" s="87" t="str">
        <f>VLOOKUP(C42,'Train Runs'!$A$13:$AE$9931,22,0)</f>
        <v>https://d0f6bd738d7f1b3e5a7ca70fe4ff75f0.us-east-1.aws.found.io/app/kibana#/discover/Steve-Slow-Train-Analysis-(2080s-and-2083s)?_g=(refreshInterval:(display:Off,pause:!f,section:0,value:0),time:(from:'2017-05-13T12:34:58-0600',mode:absolute,to:'2017-05-13T14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2" s="89" t="str">
        <f t="shared" si="1"/>
        <v>"C:\Program Files (x86)\AstroGrep\AstroGrep.exe" /e /r /s /spath="%USERPROFILE%\AppData\Local\Temp\OnboardLogs" /stypes="*4051*201705131*" /stext=" 19:.+((SYSTEM_STATE.+slice.+state.+changed )|(ment ac)|(multiple cpu faults)|(system.+state.+changed )|(\[timeout)|(PRM\|1\|D)|(kpr)|(kdp)|(train st.+moving)|(\|lc)|(penalty))"</v>
      </c>
      <c r="U42" s="9" t="str">
        <f t="shared" si="2"/>
        <v>4051</v>
      </c>
      <c r="V42" s="31">
        <f t="shared" si="3"/>
        <v>42868.829583333332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{"issue":{"subject":"","project_id":79,"tracker_id":40,"status_id":1,"priority_id":2,"assigned_to_id":23,"start_date":"2017-05-13","description":"","custom_fields":[{"id":1,"name":"Subdivision","value":"NW"},{"id":4,"name":"Milepost","value":"0.0575"},{"id":17,"name":"Train ID","value":"1816-13"},{"id":16,"name":"Locomotive ID","value":"4051"},{"id":130,"name":"Impact","value":""},{"id":150,"name":"Time of Event (Mountain Time)","value":"13:54:36"},{"id":151,"name":"Denver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/cygdrive/c/Users/stu/AppData/Local/Temp/OnboardLogs/RTDC4051 --include="*4051*201705131*"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"%USERPROFILE%\AppData\Local\Temp\OnboardLogs"\RTDC4051\*4051*201705131* &gt;&gt; 2017-05-13-SliceDisagreementCheck.txt</v>
      </c>
      <c r="AE42" s="148" t="str">
        <f t="shared" si="9"/>
        <v>start /low /b %USERPROFILE%\Documents\GitHub\eaglep3\Utilities\DownloadLogsFromS3.py --loco 4051 --day 2017-05-13</v>
      </c>
      <c r="AF42" s="1"/>
    </row>
    <row r="43" spans="1:32" x14ac:dyDescent="0.25">
      <c r="A43" s="31">
        <v>42868.273587962962</v>
      </c>
      <c r="B43" s="30" t="s">
        <v>381</v>
      </c>
      <c r="C43" s="30" t="s">
        <v>545</v>
      </c>
      <c r="D43" s="30" t="s">
        <v>49</v>
      </c>
      <c r="E43" s="30" t="s">
        <v>185</v>
      </c>
      <c r="F43" s="42">
        <v>0</v>
      </c>
      <c r="G43" s="42">
        <v>53</v>
      </c>
      <c r="H43" s="42">
        <v>58918</v>
      </c>
      <c r="I43" s="42">
        <v>58969</v>
      </c>
      <c r="J43" s="30" t="s">
        <v>186</v>
      </c>
      <c r="K43" s="42">
        <v>59048</v>
      </c>
      <c r="L43" s="134" t="s">
        <v>50</v>
      </c>
      <c r="M43" s="135">
        <f t="shared" si="0"/>
        <v>41.712000000000003</v>
      </c>
      <c r="N43" s="136" t="str">
        <f>VLOOKUP(C43,'Trips&amp;Operators'!$C$1:$G$99999,5,FALSE)</f>
        <v>MACDONALD THOMAS</v>
      </c>
      <c r="O43" s="207" t="s">
        <v>184</v>
      </c>
      <c r="P43" s="137"/>
      <c r="Q43" s="30"/>
      <c r="R43" s="84" t="str">
        <f>IF(VLOOKUP(C43,'Train Runs'!$A$13:$AE$9931,1,1)=C43,VLOOKUP(C43,'Train Runs'!$A$13:$AE$9931,31,1),NA())</f>
        <v>aws s3 cp s3://rtdc.mdm.uploadarchive.raw/RTDC4052/ "%USERPROFILE%\AppData\Local\Temp\OnboardLogs"\RTDC4052\2017-05-13 --exclude "*" --recursive --include "*20170513*" &amp; "%USERPROFILE%\Documents\GitHub\mrs-test-scripts\Headless Mode &amp; Sideloading\WalkAndUnGZ.bat" "%USERPROFILE%\AppData\Local\Temp\OnboardLogs"\RTDC4052\2017-05-13 &amp; aws s3 cp s3://rtdc.mdm.uploadarchive.raw/RTDC4052/ "%USERPROFILE%\AppData\Local\Temp\OnboardLogs"\RTDC4052\2017-05-14 --exclude "*" --recursive --include "*20170514*" &amp; "%USERPROFILE%\Documents\GitHub\mrs-test-scripts\Headless Mode &amp; Sideloading\WalkAndUnGZ.bat" "%USERPROFILE%\AppData\Local\Temp\OnboardLogs"\RTDC4052\2017-05-14</v>
      </c>
      <c r="S43" s="87" t="str">
        <f>VLOOKUP(C43,'Train Runs'!$A$13:$AE$9931,22,0)</f>
        <v>https://d0f6bd738d7f1b3e5a7ca70fe4ff75f0.us-east-1.aws.found.io/app/kibana#/discover/Steve-Slow-Train-Analysis-(2080s-and-2083s)?_g=(refreshInterval:(display:Off,pause:!f,section:0,value:0),time:(from:'2017-05-13T04:56:46-0600',mode:absolute,to:'2017-05-13T07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3" s="89" t="str">
        <f t="shared" si="1"/>
        <v>"C:\Program Files (x86)\AstroGrep\AstroGrep.exe" /e /r /s /spath="%USERPROFILE%\AppData\Local\Temp\OnboardLogs" /stypes="*4052*201705131*" /stext=" 12:.+((SYSTEM_STATE.+slice.+state.+changed )|(ment ac)|(multiple cpu faults)|(system.+state.+changed )|(\[timeout)|(PRM\|1\|D)|(kpr)|(kdp)|(train st.+moving)|(\|lc)|(penalty))"</v>
      </c>
      <c r="U43" s="9" t="str">
        <f t="shared" si="2"/>
        <v>4052</v>
      </c>
      <c r="V43" s="31">
        <f t="shared" si="3"/>
        <v>42868.523587962962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{"issue":{"subject":"","project_id":79,"tracker_id":40,"status_id":1,"priority_id":2,"assigned_to_id":23,"start_date":"2017-05-13","description":"","custom_fields":[{"id":1,"name":"Subdivision","value":"NW"},{"id":4,"name":"Milepost","value":"5.9048"},{"id":17,"name":"Train ID","value":"1801-13"},{"id":16,"name":"Locomotive ID","value":"4052"},{"id":130,"name":"Impact","value":""},{"id":150,"name":"Time of Event (Mountain Time)","value":"06:33:58"},{"id":151,"name":"Denver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/cygdrive/c/Users/stu/AppData/Local/Temp/OnboardLogs/RTDC4052 --include="*4052*201705131*"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"%USERPROFILE%\AppData\Local\Temp\OnboardLogs"\RTDC4052\*4052*201705131* &gt;&gt; 2017-05-13-SliceDisagreementCheck.txt</v>
      </c>
      <c r="AE43" s="148" t="str">
        <f t="shared" si="9"/>
        <v>start /low /b %USERPROFILE%\Documents\GitHub\eaglep3\Utilities\DownloadLogsFromS3.py --loco 4052 --day 2017-05-13</v>
      </c>
      <c r="AF43" s="1"/>
    </row>
    <row r="44" spans="1:32" x14ac:dyDescent="0.25">
      <c r="A44" s="31">
        <v>42868.741180555553</v>
      </c>
      <c r="B44" s="30" t="s">
        <v>393</v>
      </c>
      <c r="C44" s="30" t="s">
        <v>567</v>
      </c>
      <c r="D44" s="30" t="s">
        <v>49</v>
      </c>
      <c r="E44" s="30" t="s">
        <v>377</v>
      </c>
      <c r="F44" s="42">
        <v>0</v>
      </c>
      <c r="G44" s="42">
        <v>25</v>
      </c>
      <c r="H44" s="42">
        <v>14171</v>
      </c>
      <c r="I44" s="42">
        <v>14154</v>
      </c>
      <c r="J44" s="30" t="s">
        <v>378</v>
      </c>
      <c r="K44" s="42">
        <v>14077</v>
      </c>
      <c r="L44" s="134" t="s">
        <v>51</v>
      </c>
      <c r="M44" s="135">
        <f t="shared" si="0"/>
        <v>40.655999999999999</v>
      </c>
      <c r="N44" s="136" t="str">
        <f>VLOOKUP(C44,'Trips&amp;Operators'!$C$1:$G$99999,5,FALSE)</f>
        <v>FORTUNATO FRANK</v>
      </c>
      <c r="O44" s="207" t="s">
        <v>184</v>
      </c>
      <c r="P44" s="137"/>
      <c r="Q44" s="30"/>
      <c r="R44" s="84" t="str">
        <f>IF(VLOOKUP(C44,'Train Runs'!$A$13:$AE$9931,1,1)=C44,VLOOKUP(C44,'Train Runs'!$A$13:$AE$9931,31,1),NA())</f>
        <v>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 &amp; aws s3 cp s3://rtdc.mdm.uploadarchive.raw/RTDC4021/ "%USERPROFILE%\AppData\Local\Temp\OnboardLogs"\RTDC4021\2017-05-14 --exclude "*" --recursive --include "*20170514*" &amp; "%USERPROFILE%\Documents\GitHub\mrs-test-scripts\Headless Mode &amp; Sideloading\WalkAndUnGZ.bat" "%USERPROFILE%\AppData\Local\Temp\OnboardLogs"\RTDC4021\2017-05-14</v>
      </c>
      <c r="S44" s="87" t="str">
        <f>VLOOKUP(C44,'Train Runs'!$A$13:$AE$9931,22,0)</f>
        <v>https://d0f6bd738d7f1b3e5a7ca70fe4ff75f0.us-east-1.aws.found.io/app/kibana#/discover/Steve-Slow-Train-Analysis-(2080s-and-2083s)?_g=(refreshInterval:(display:Off,pause:!f,section:0,value:0),time:(from:'2017-05-13T16:35:39-0600',mode:absolute,to:'2017-05-13T19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89" t="str">
        <f t="shared" si="1"/>
        <v>"C:\Program Files (x86)\AstroGrep\AstroGrep.exe" /e /r /s /spath="%USERPROFILE%\AppData\Local\Temp\OnboardLogs" /stypes="*4021*201705132*" /stext=" 23:.+((SYSTEM_STATE.+slice.+state.+changed )|(ment ac)|(multiple cpu faults)|(system.+state.+changed )|(\[timeout)|(PRM\|1\|D)|(kpr)|(kdp)|(train st.+moving)|(\|lc)|(penalty))"</v>
      </c>
      <c r="U44" s="9" t="str">
        <f t="shared" si="2"/>
        <v>4021</v>
      </c>
      <c r="V44" s="31">
        <f t="shared" si="3"/>
        <v>42868.991180555553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{"issue":{"subject":"","project_id":79,"tracker_id":40,"status_id":1,"priority_id":2,"assigned_to_id":23,"start_date":"2017-05-13","description":"","custom_fields":[{"id":1,"name":"Subdivision","value":"Other"},{"id":4,"name":"Milepost","value":"1.4077"},{"id":17,"name":"Train ID","value":"76-13"},{"id":16,"name":"Locomotive ID","value":"4021"},{"id":130,"name":"Impact","value":""},{"id":150,"name":"Time of Event (Mountain Time)","value":"17:47:18"},{"id":151,"name":"Denver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/cygdrive/c/Users/stu/AppData/Local/Temp/OnboardLogs/RTDC4021 --include="*4021*201705132*"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"%USERPROFILE%\AppData\Local\Temp\OnboardLogs"\RTDC4021\*4021*201705132* &gt;&gt; 2017-05-13-SliceDisagreementCheck.txt</v>
      </c>
      <c r="AE44" s="148" t="str">
        <f t="shared" si="9"/>
        <v>start /low /b %USERPROFILE%\Documents\GitHub\eaglep3\Utilities\DownloadLogsFromS3.py --loco 4021 --day 2017-05-13</v>
      </c>
      <c r="AF44" s="1"/>
    </row>
    <row r="45" spans="1:32" x14ac:dyDescent="0.25">
      <c r="A45" s="31">
        <v>42868.884571759256</v>
      </c>
      <c r="B45" s="30" t="s">
        <v>574</v>
      </c>
      <c r="C45" s="30" t="s">
        <v>575</v>
      </c>
      <c r="D45" s="30" t="s">
        <v>49</v>
      </c>
      <c r="E45" s="30" t="s">
        <v>377</v>
      </c>
      <c r="F45" s="42">
        <v>0</v>
      </c>
      <c r="G45" s="42">
        <v>799</v>
      </c>
      <c r="H45" s="42">
        <v>145701</v>
      </c>
      <c r="I45" s="42">
        <v>149378</v>
      </c>
      <c r="J45" s="30" t="s">
        <v>378</v>
      </c>
      <c r="K45" s="42">
        <v>149694</v>
      </c>
      <c r="L45" s="134" t="s">
        <v>50</v>
      </c>
      <c r="M45" s="135">
        <f t="shared" si="0"/>
        <v>166.84800000000001</v>
      </c>
      <c r="N45" s="136" t="str">
        <f>VLOOKUP(C45,'Trips&amp;Operators'!$C$1:$G$99999,5,FALSE)</f>
        <v>WILLIAMS DONTE</v>
      </c>
      <c r="O45" s="207" t="s">
        <v>184</v>
      </c>
      <c r="P45" s="137"/>
      <c r="Q45" s="30"/>
      <c r="R45" s="84" t="str">
        <f>IF(VLOOKUP(C45,'Train Runs'!$A$13:$AE$9931,1,1)=C45,VLOOKUP(C45,'Train Runs'!$A$13:$AE$9931,31,1),NA())</f>
        <v>aws s3 cp s3://rtdc.mdm.uploadarchive.raw/RTDC4062/ "%USERPROFILE%\AppData\Local\Temp\OnboardLogs"\RTDC4062\2017-05-13 --exclude "*" --recursive --include "*20170513*" &amp; "%USERPROFILE%\Documents\GitHub\mrs-test-scripts\Headless Mode &amp; Sideloading\WalkAndUnGZ.bat" "%USERPROFILE%\AppData\Local\Temp\OnboardLogs"\RTDC4062\2017-05-13 &amp; 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</v>
      </c>
      <c r="S45" s="87" t="str">
        <f>VLOOKUP(C45,'Train Runs'!$A$13:$AE$9931,22,0)</f>
        <v>https://d0f6bd738d7f1b3e5a7ca70fe4ff75f0.us-east-1.aws.found.io/app/kibana#/discover/Steve-Slow-Train-Analysis-(2080s-and-2083s)?_g=(refreshInterval:(display:Off,pause:!f,section:0,value:0),time:(from:'2017-05-13T19:10:52-0600',mode:absolute,to:'2017-05-13T22:29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5" s="89" t="str">
        <f t="shared" si="1"/>
        <v>"C:\Program Files (x86)\AstroGrep\AstroGrep.exe" /e /r /s /spath="%USERPROFILE%\AppData\Local\Temp\OnboardLogs" /stypes="*4062*201705140*" /stext=" 03:.+((SYSTEM_STATE.+slice.+state.+changed )|(ment ac)|(multiple cpu faults)|(system.+state.+changed )|(\[timeout)|(PRM\|1\|D)|(kpr)|(kdp)|(train st.+moving)|(\|lc)|(penalty))"</v>
      </c>
      <c r="U45" s="9" t="str">
        <f t="shared" si="2"/>
        <v>4062</v>
      </c>
      <c r="V45" s="31">
        <f t="shared" si="3"/>
        <v>42869.134571759256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{"issue":{"subject":"","project_id":79,"tracker_id":40,"status_id":1,"priority_id":2,"assigned_to_id":23,"start_date":"2017-05-13","description":"","custom_fields":[{"id":1,"name":"Subdivision","value":"Other"},{"id":4,"name":"Milepost","value":"14.9694"},{"id":17,"name":"Train ID","value":"80-13"},{"id":16,"name":"Locomotive ID","value":"4062"},{"id":130,"name":"Impact","value":""},{"id":150,"name":"Time of Event (Mountain Time)","value":"21:13:47"},{"id":151,"name":"Denver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/cygdrive/c/Users/stu/AppData/Local/Temp/OnboardLogs/RTDC4062 --include="*4062*201705140*"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"%USERPROFILE%\AppData\Local\Temp\OnboardLogs"\RTDC4062\*4062*201705140* &gt;&gt; 2017-05-13-SliceDisagreementCheck.txt</v>
      </c>
      <c r="AE45" s="148" t="str">
        <f t="shared" si="9"/>
        <v>start /low /b %USERPROFILE%\Documents\GitHub\eaglep3\Utilities\DownloadLogsFromS3.py --loco 4062 --day 2017-05-14</v>
      </c>
      <c r="AF45" s="1"/>
    </row>
    <row r="46" spans="1:32" x14ac:dyDescent="0.25">
      <c r="A46" s="31">
        <v>42868.891145833331</v>
      </c>
      <c r="B46" s="30" t="s">
        <v>574</v>
      </c>
      <c r="C46" s="30" t="s">
        <v>575</v>
      </c>
      <c r="D46" s="30" t="s">
        <v>49</v>
      </c>
      <c r="E46" s="30" t="s">
        <v>483</v>
      </c>
      <c r="F46" s="42">
        <v>0</v>
      </c>
      <c r="G46" s="42">
        <v>799</v>
      </c>
      <c r="H46" s="42">
        <v>211940</v>
      </c>
      <c r="I46" s="42">
        <v>216154</v>
      </c>
      <c r="J46" s="30" t="s">
        <v>484</v>
      </c>
      <c r="K46" s="42">
        <v>217106</v>
      </c>
      <c r="L46" s="134" t="s">
        <v>50</v>
      </c>
      <c r="M46" s="135">
        <f t="shared" si="0"/>
        <v>502.65600000000001</v>
      </c>
      <c r="N46" s="136" t="str">
        <f>VLOOKUP(C46,'Trips&amp;Operators'!$C$1:$G$99999,5,FALSE)</f>
        <v>WILLIAMS DONTE</v>
      </c>
      <c r="O46" s="207" t="s">
        <v>184</v>
      </c>
      <c r="P46" s="137"/>
      <c r="Q46" s="30"/>
      <c r="R46" s="84" t="str">
        <f>IF(VLOOKUP(C46,'Train Runs'!$A$13:$AE$9931,1,1)=C46,VLOOKUP(C46,'Train Runs'!$A$13:$AE$9931,31,1),NA())</f>
        <v>aws s3 cp s3://rtdc.mdm.uploadarchive.raw/RTDC4062/ "%USERPROFILE%\AppData\Local\Temp\OnboardLogs"\RTDC4062\2017-05-13 --exclude "*" --recursive --include "*20170513*" &amp; "%USERPROFILE%\Documents\GitHub\mrs-test-scripts\Headless Mode &amp; Sideloading\WalkAndUnGZ.bat" "%USERPROFILE%\AppData\Local\Temp\OnboardLogs"\RTDC4062\2017-05-13 &amp; 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</v>
      </c>
      <c r="S46" s="87" t="str">
        <f>VLOOKUP(C46,'Train Runs'!$A$13:$AE$9931,22,0)</f>
        <v>https://d0f6bd738d7f1b3e5a7ca70fe4ff75f0.us-east-1.aws.found.io/app/kibana#/discover/Steve-Slow-Train-Analysis-(2080s-and-2083s)?_g=(refreshInterval:(display:Off,pause:!f,section:0,value:0),time:(from:'2017-05-13T19:10:52-0600',mode:absolute,to:'2017-05-13T22:29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6" s="89" t="str">
        <f t="shared" si="1"/>
        <v>"C:\Program Files (x86)\AstroGrep\AstroGrep.exe" /e /r /s /spath="%USERPROFILE%\AppData\Local\Temp\OnboardLogs" /stypes="*4062*201705140*" /stext=" 03:.+((SYSTEM_STATE.+slice.+state.+changed )|(ment ac)|(multiple cpu faults)|(system.+state.+changed )|(\[timeout)|(PRM\|1\|D)|(kpr)|(kdp)|(train st.+moving)|(\|lc)|(penalty))"</v>
      </c>
      <c r="U46" s="9" t="str">
        <f t="shared" si="2"/>
        <v>4062</v>
      </c>
      <c r="V46" s="31">
        <f t="shared" si="3"/>
        <v>42869.141145833331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{"issue":{"subject":"","project_id":79,"tracker_id":40,"status_id":1,"priority_id":2,"assigned_to_id":23,"start_date":"2017-05-13","description":"","custom_fields":[{"id":1,"name":"Subdivision","value":"Other"},{"id":4,"name":"Milepost","value":"21.7106"},{"id":17,"name":"Train ID","value":"80-13"},{"id":16,"name":"Locomotive ID","value":"4062"},{"id":130,"name":"Impact","value":""},{"id":150,"name":"Time of Event (Mountain Time)","value":"21:23:15"},{"id":151,"name":"Denver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/cygdrive/c/Users/stu/AppData/Local/Temp/OnboardLogs/RTDC4062 --include="*4062*201705140*"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"%USERPROFILE%\AppData\Local\Temp\OnboardLogs"\RTDC4062\*4062*201705140* &gt;&gt; 2017-05-13-SliceDisagreementCheck.txt</v>
      </c>
      <c r="AE46" s="148" t="str">
        <f t="shared" si="9"/>
        <v>start /low /b %USERPROFILE%\Documents\GitHub\eaglep3\Utilities\DownloadLogsFromS3.py --loco 4062 --day 2017-05-14</v>
      </c>
      <c r="AF46" s="1"/>
    </row>
    <row r="47" spans="1:32" x14ac:dyDescent="0.25">
      <c r="A47" s="31">
        <v>42868.128217592595</v>
      </c>
      <c r="B47" s="30" t="s">
        <v>542</v>
      </c>
      <c r="C47" s="30" t="s">
        <v>543</v>
      </c>
      <c r="D47" s="30" t="s">
        <v>49</v>
      </c>
      <c r="E47" s="30" t="s">
        <v>185</v>
      </c>
      <c r="F47" s="42">
        <v>0</v>
      </c>
      <c r="G47" s="42">
        <v>45</v>
      </c>
      <c r="H47" s="42">
        <v>145</v>
      </c>
      <c r="I47" s="42">
        <v>99</v>
      </c>
      <c r="J47" s="30" t="s">
        <v>186</v>
      </c>
      <c r="K47" s="42">
        <v>1</v>
      </c>
      <c r="L47" s="134" t="s">
        <v>51</v>
      </c>
      <c r="M47" s="135">
        <f t="shared" si="0"/>
        <v>51.744</v>
      </c>
      <c r="N47" s="136" t="str">
        <f>VLOOKUP(C47,'Trips&amp;Operators'!$C$1:$G$99999,5,FALSE)</f>
        <v>BADERTSCHER DIANE</v>
      </c>
      <c r="O47" s="207" t="s">
        <v>184</v>
      </c>
      <c r="P47" s="137"/>
      <c r="Q47" s="30"/>
      <c r="R47" s="84" t="str">
        <f>IF(VLOOKUP(C47,'Train Runs'!$A$13:$AE$9931,1,1)=C47,VLOOKUP(C47,'Train Runs'!$A$13:$AE$9931,31,1),NA())</f>
        <v>aws s3 cp s3://rtdc.mdm.uploadarchive.raw/RTDC4031/ "%USERPROFILE%\AppData\Local\Temp\OnboardLogs"\RTDC4031\2017-05-13 --exclude "*" --recursive --include "*20170513*" &amp; "%USERPROFILE%\Documents\GitHub\mrs-test-scripts\Headless Mode &amp; Sideloading\WalkAndUnGZ.bat" "%USERPROFILE%\AppData\Local\Temp\OnboardLogs"\RTDC4031\2017-05-13 &amp; 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</v>
      </c>
      <c r="S47" s="87" t="str">
        <f>VLOOKUP(C47,'Train Runs'!$A$13:$AE$9931,22,0)</f>
        <v>https://d0f6bd738d7f1b3e5a7ca70fe4ff75f0.us-east-1.aws.found.io/app/kibana#/discover/Steve-Slow-Train-Analysis-(2080s-and-2083s)?_g=(refreshInterval:(display:Off,pause:!f,section:0,value:0),time:(from:'2017-05-13T01:49:53-0600',mode:absolute,to:'2017-05-13T04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7" s="89" t="str">
        <f t="shared" si="1"/>
        <v>"C:\Program Files (x86)\AstroGrep\AstroGrep.exe" /e /r /s /spath="%USERPROFILE%\AppData\Local\Temp\OnboardLogs" /stypes="*4031*201705130*" /stext=" 09:.+((SYSTEM_STATE.+slice.+state.+changed )|(ment ac)|(multiple cpu faults)|(system.+state.+changed )|(\[timeout)|(PRM\|1\|D)|(kpr)|(kdp)|(train st.+moving)|(\|lc)|(penalty))"</v>
      </c>
      <c r="U47" s="9" t="str">
        <f t="shared" si="2"/>
        <v>4031</v>
      </c>
      <c r="V47" s="31">
        <f t="shared" si="3"/>
        <v>42868.378217592595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{"issue":{"subject":"","project_id":79,"tracker_id":40,"status_id":1,"priority_id":2,"assigned_to_id":23,"start_date":"2017-05-13","description":"","custom_fields":[{"id":1,"name":"Subdivision","value":"Other"},{"id":4,"name":"Milepost","value":"0.0001"},{"id":17,"name":"Train ID","value":"302-13"},{"id":16,"name":"Locomotive ID","value":"4031"},{"id":130,"name":"Impact","value":""},{"id":150,"name":"Time of Event (Mountain Time)","value":"03:04:38"},{"id":151,"name":"Denver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/cygdrive/c/Users/stu/AppData/Local/Temp/OnboardLogs/RTDC4031 --include="*4031*201705130*"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"%USERPROFILE%\AppData\Local\Temp\OnboardLogs"\RTDC4031\*4031*201705130* &gt;&gt; 2017-05-13-SliceDisagreementCheck.txt</v>
      </c>
      <c r="AE47" s="148" t="str">
        <f t="shared" si="9"/>
        <v>start /low /b %USERPROFILE%\Documents\GitHub\eaglep3\Utilities\DownloadLogsFromS3.py --loco 4031 --day 2017-05-13</v>
      </c>
      <c r="AF47" s="1"/>
    </row>
    <row r="48" spans="1:32" x14ac:dyDescent="0.25">
      <c r="A48" s="31">
        <v>42869.026909722219</v>
      </c>
      <c r="B48" s="30" t="s">
        <v>578</v>
      </c>
      <c r="C48" s="30" t="s">
        <v>579</v>
      </c>
      <c r="D48" s="30" t="s">
        <v>49</v>
      </c>
      <c r="E48" s="30" t="s">
        <v>185</v>
      </c>
      <c r="F48" s="42">
        <v>0</v>
      </c>
      <c r="G48" s="42">
        <v>31</v>
      </c>
      <c r="H48" s="42">
        <v>129</v>
      </c>
      <c r="I48" s="42">
        <v>110</v>
      </c>
      <c r="J48" s="30" t="s">
        <v>186</v>
      </c>
      <c r="K48" s="42">
        <v>1</v>
      </c>
      <c r="L48" s="134" t="s">
        <v>51</v>
      </c>
      <c r="M48" s="135">
        <f t="shared" si="0"/>
        <v>57.552</v>
      </c>
      <c r="N48" s="136" t="str">
        <f>VLOOKUP(C48,'Trips&amp;Operators'!$C$1:$G$99999,5,FALSE)</f>
        <v>WILLIAMS DONTE</v>
      </c>
      <c r="O48" s="207" t="s">
        <v>184</v>
      </c>
      <c r="P48" s="137"/>
      <c r="Q48" s="30"/>
      <c r="R48" s="84" t="str">
        <f>IF(VLOOKUP(C48,'Train Runs'!$A$13:$AE$9931,1,1)=C48,VLOOKUP(C48,'Train Runs'!$A$13:$AE$9931,31,1),NA())</f>
        <v>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 &amp; aws s3 cp s3://rtdc.mdm.uploadarchive.raw/RTDC4061/ "%USERPROFILE%\AppData\Local\Temp\OnboardLogs"\RTDC4061\2017-05-15 --exclude "*" --recursive --include "*20170515*" &amp; "%USERPROFILE%\Documents\GitHub\mrs-test-scripts\Headless Mode &amp; Sideloading\WalkAndUnGZ.bat" "%USERPROFILE%\AppData\Local\Temp\OnboardLogs"\RTDC4061\2017-05-15</v>
      </c>
      <c r="S48" s="87" t="str">
        <f>VLOOKUP(C48,'Train Runs'!$A$13:$AE$9931,22,0)</f>
        <v>https://d0f6bd738d7f1b3e5a7ca70fe4ff75f0.us-east-1.aws.found.io/app/kibana#/discover/Steve-Slow-Train-Analysis-(2080s-and-2083s)?_g=(refreshInterval:(display:Off,pause:!f,section:0,value:0),time:(from:'2017-05-13T20:44:50-0600',mode:absolute,to:'2017-05-13T23:59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8" s="89" t="str">
        <f t="shared" si="1"/>
        <v>"C:\Program Files (x86)\AstroGrep\AstroGrep.exe" /e /r /s /spath="%USERPROFILE%\AppData\Local\Temp\OnboardLogs" /stypes="*4061*201705140*" /stext=" 06:.+((SYSTEM_STATE.+slice.+state.+changed )|(ment ac)|(multiple cpu faults)|(system.+state.+changed )|(\[timeout)|(PRM\|1\|D)|(kpr)|(kdp)|(train st.+moving)|(\|lc)|(penalty))"</v>
      </c>
      <c r="U48" s="9" t="str">
        <f t="shared" si="2"/>
        <v>4061</v>
      </c>
      <c r="V48" s="31">
        <f t="shared" si="3"/>
        <v>42869.276909722219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{"issue":{"subject":"","project_id":79,"tracker_id":40,"status_id":1,"priority_id":2,"assigned_to_id":23,"start_date":"2017-05-14","description":"","custom_fields":[{"id":1,"name":"Subdivision","value":"Other"},{"id":4,"name":"Milepost","value":"0.0001"},{"id":17,"name":"Train ID","value":"81-13"},{"id":16,"name":"Locomotive ID","value":"4061"},{"id":130,"name":"Impact","value":""},{"id":150,"name":"Time of Event (Mountain Time)","value":"00:38:45"},{"id":151,"name":"Denver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/cygdrive/c/Users/stu/AppData/Local/Temp/OnboardLogs/RTDC4061 --include="*4061*201705140*"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"%USERPROFILE%\AppData\Local\Temp\OnboardLogs"\RTDC4061\*4061*201705140* &gt;&gt; 2017-05-13-SliceDisagreementCheck.txt</v>
      </c>
      <c r="AE48" s="148" t="str">
        <f t="shared" si="9"/>
        <v>start /low /b %USERPROFILE%\Documents\GitHub\eaglep3\Utilities\DownloadLogsFromS3.py --loco 4061 --day 2017-05-14</v>
      </c>
      <c r="AF48" s="1"/>
    </row>
    <row r="49" spans="1:32" x14ac:dyDescent="0.25">
      <c r="A49" s="31">
        <v>42869.066608796296</v>
      </c>
      <c r="B49" s="30" t="s">
        <v>578</v>
      </c>
      <c r="C49" s="30" t="s">
        <v>581</v>
      </c>
      <c r="D49" s="30" t="s">
        <v>49</v>
      </c>
      <c r="E49" s="30" t="s">
        <v>185</v>
      </c>
      <c r="F49" s="42">
        <v>0</v>
      </c>
      <c r="G49" s="42">
        <v>26</v>
      </c>
      <c r="H49" s="42">
        <v>90</v>
      </c>
      <c r="I49" s="42">
        <v>63</v>
      </c>
      <c r="J49" s="30" t="s">
        <v>186</v>
      </c>
      <c r="K49" s="42">
        <v>1</v>
      </c>
      <c r="L49" s="134" t="s">
        <v>51</v>
      </c>
      <c r="M49" s="135">
        <f t="shared" si="0"/>
        <v>32.735999999999997</v>
      </c>
      <c r="N49" s="136" t="str">
        <f>VLOOKUP(C49,'Trips&amp;Operators'!$C$1:$G$99999,5,FALSE)</f>
        <v>WILLIAMS DONTE</v>
      </c>
      <c r="O49" s="207" t="s">
        <v>184</v>
      </c>
      <c r="P49" s="137"/>
      <c r="Q49" s="30"/>
      <c r="R49" s="84" t="str">
        <f>IF(VLOOKUP(C49,'Train Runs'!$A$13:$AE$9931,1,1)=C49,VLOOKUP(C49,'Train Runs'!$A$13:$AE$9931,31,1),NA())</f>
        <v>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 &amp; aws s3 cp s3://rtdc.mdm.uploadarchive.raw/RTDC4062/ "%USERPROFILE%\AppData\Local\Temp\OnboardLogs"\RTDC4062\2017-05-15 --exclude "*" --recursive --include "*20170515*" &amp; "%USERPROFILE%\Documents\GitHub\mrs-test-scripts\Headless Mode &amp; Sideloading\WalkAndUnGZ.bat" "%USERPROFILE%\AppData\Local\Temp\OnboardLogs"\RTDC4062\2017-05-15</v>
      </c>
      <c r="S49" s="87" t="str">
        <f>VLOOKUP(C49,'Train Runs'!$A$13:$AE$9931,22,0)</f>
        <v>https://d0f6bd738d7f1b3e5a7ca70fe4ff75f0.us-east-1.aws.found.io/app/kibana#/discover/Steve-Slow-Train-Analysis-(2080s-and-2083s)?_g=(refreshInterval:(display:Off,pause:!f,section:0,value:0),time:(from:'2017-05-14T00:58:08-0600',mode:absolute,to:'2017-05-14T04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9" s="89" t="str">
        <f t="shared" si="1"/>
        <v>"C:\Program Files (x86)\AstroGrep\AstroGrep.exe" /e /r /s /spath="%USERPROFILE%\AppData\Local\Temp\OnboardLogs" /stypes="*4061*201705140*" /stext=" 07:.+((SYSTEM_STATE.+slice.+state.+changed )|(ment ac)|(multiple cpu faults)|(system.+state.+changed )|(\[timeout)|(PRM\|1\|D)|(kpr)|(kdp)|(train st.+moving)|(\|lc)|(penalty))"</v>
      </c>
      <c r="U49" s="9" t="str">
        <f t="shared" si="2"/>
        <v>4061</v>
      </c>
      <c r="V49" s="31">
        <f t="shared" si="3"/>
        <v>42869.316608796296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{"issue":{"subject":"","project_id":79,"tracker_id":40,"status_id":1,"priority_id":2,"assigned_to_id":23,"start_date":"2017-05-14","description":"","custom_fields":[{"id":1,"name":"Subdivision","value":"Other"},{"id":4,"name":"Milepost","value":"0.0001"},{"id":17,"name":"Train ID","value":"89-13"},{"id":16,"name":"Locomotive ID","value":"4061"},{"id":130,"name":"Impact","value":""},{"id":150,"name":"Time of Event (Mountain Time)","value":"01:35:55"},{"id":151,"name":"Denver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/cygdrive/c/Users/stu/AppData/Local/Temp/OnboardLogs/RTDC4061 --include="*4061*201705140*"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"%USERPROFILE%\AppData\Local\Temp\OnboardLogs"\RTDC4061\*4061*201705140* &gt;&gt; 2017-05-13-SliceDisagreementCheck.txt</v>
      </c>
      <c r="AE49" s="148" t="str">
        <f t="shared" si="9"/>
        <v>start /low /b %USERPROFILE%\Documents\GitHub\eaglep3\Utilities\DownloadLogsFromS3.py --loco 4061 --day 2017-05-14</v>
      </c>
      <c r="AF49" s="1"/>
    </row>
    <row r="50" spans="1:32" x14ac:dyDescent="0.25">
      <c r="A50" s="31">
        <v>42868.765266203707</v>
      </c>
      <c r="B50" s="30" t="s">
        <v>393</v>
      </c>
      <c r="C50" s="30" t="s">
        <v>567</v>
      </c>
      <c r="D50" s="30" t="s">
        <v>49</v>
      </c>
      <c r="E50" s="30" t="s">
        <v>185</v>
      </c>
      <c r="F50" s="42">
        <v>0</v>
      </c>
      <c r="G50" s="42">
        <v>18</v>
      </c>
      <c r="H50" s="42">
        <v>898</v>
      </c>
      <c r="I50" s="42">
        <v>879</v>
      </c>
      <c r="J50" s="30" t="s">
        <v>186</v>
      </c>
      <c r="K50" s="42">
        <v>839</v>
      </c>
      <c r="L50" s="134" t="s">
        <v>51</v>
      </c>
      <c r="M50" s="135">
        <f t="shared" si="0"/>
        <v>21.12</v>
      </c>
      <c r="N50" s="136" t="str">
        <f>VLOOKUP(C50,'Trips&amp;Operators'!$C$1:$G$99999,5,FALSE)</f>
        <v>FORTUNATO FRANK</v>
      </c>
      <c r="O50" s="207" t="s">
        <v>184</v>
      </c>
      <c r="P50" s="137"/>
      <c r="Q50" s="30"/>
      <c r="R50" s="84" t="str">
        <f>IF(VLOOKUP(C50,'Train Runs'!$A$13:$AE$9931,1,1)=C50,VLOOKUP(C50,'Train Runs'!$A$13:$AE$9931,31,1),NA())</f>
        <v>aws s3 cp s3://rtdc.mdm.uploadarchive.raw/RTDC4021/ "%USERPROFILE%\AppData\Local\Temp\OnboardLogs"\RTDC4021\2017-05-13 --exclude "*" --recursive --include "*20170513*" &amp; "%USERPROFILE%\Documents\GitHub\mrs-test-scripts\Headless Mode &amp; Sideloading\WalkAndUnGZ.bat" "%USERPROFILE%\AppData\Local\Temp\OnboardLogs"\RTDC4021\2017-05-13 &amp; aws s3 cp s3://rtdc.mdm.uploadarchive.raw/RTDC4021/ "%USERPROFILE%\AppData\Local\Temp\OnboardLogs"\RTDC4021\2017-05-14 --exclude "*" --recursive --include "*20170514*" &amp; "%USERPROFILE%\Documents\GitHub\mrs-test-scripts\Headless Mode &amp; Sideloading\WalkAndUnGZ.bat" "%USERPROFILE%\AppData\Local\Temp\OnboardLogs"\RTDC4021\2017-05-14</v>
      </c>
      <c r="S50" s="87" t="str">
        <f>VLOOKUP(C50,'Train Runs'!$A$13:$AE$9931,22,0)</f>
        <v>https://d0f6bd738d7f1b3e5a7ca70fe4ff75f0.us-east-1.aws.found.io/app/kibana#/discover/Steve-Slow-Train-Analysis-(2080s-and-2083s)?_g=(refreshInterval:(display:Off,pause:!f,section:0,value:0),time:(from:'2017-05-13T16:35:39-0600',mode:absolute,to:'2017-05-13T19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0" s="89" t="str">
        <f t="shared" si="1"/>
        <v>"C:\Program Files (x86)\AstroGrep\AstroGrep.exe" /e /r /s /spath="%USERPROFILE%\AppData\Local\Temp\OnboardLogs" /stypes="*4021*201705140*" /stext=" 00:.+((SYSTEM_STATE.+slice.+state.+changed )|(ment ac)|(multiple cpu faults)|(system.+state.+changed )|(\[timeout)|(PRM\|1\|D)|(kpr)|(kdp)|(train st.+moving)|(\|lc)|(penalty))"</v>
      </c>
      <c r="U50" s="9" t="str">
        <f t="shared" si="2"/>
        <v>4021</v>
      </c>
      <c r="V50" s="31">
        <f t="shared" si="3"/>
        <v>42869.015266203707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{"issue":{"subject":"","project_id":79,"tracker_id":40,"status_id":1,"priority_id":2,"assigned_to_id":23,"start_date":"2017-05-13","description":"","custom_fields":[{"id":1,"name":"Subdivision","value":"Other"},{"id":4,"name":"Milepost","value":"0.0839"},{"id":17,"name":"Train ID","value":"76-13"},{"id":16,"name":"Locomotive ID","value":"4021"},{"id":130,"name":"Impact","value":""},{"id":150,"name":"Time of Event (Mountain Time)","value":"18:21:59"},{"id":151,"name":"Denver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/cygdrive/c/Users/stu/AppData/Local/Temp/OnboardLogs/RTDC4021 --include="*4021*201705140*"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"%USERPROFILE%\AppData\Local\Temp\OnboardLogs"\RTDC4021\*4021*201705140* &gt;&gt; 2017-05-13-SliceDisagreementCheck.txt</v>
      </c>
      <c r="AE50" s="148" t="str">
        <f t="shared" si="9"/>
        <v>start /low /b %USERPROFILE%\Documents\GitHub\eaglep3\Utilities\DownloadLogsFromS3.py --loco 4021 --day 2017-05-14</v>
      </c>
      <c r="AF50" s="1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>
    <sortState ref="A7:AC62">
      <sortCondition ref="W7:W50"/>
      <sortCondition ref="E7:E50"/>
      <sortCondition ref="K7:K50"/>
      <sortCondition ref="F7:F5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5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0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E3" sqref="E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2017-05-13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236</v>
      </c>
      <c r="B3" s="42" t="str">
        <f>A3&amp;"-"&amp;IF(DAY(Variables!$A$2)&lt;10,0,"")&amp;DAY(Variables!$A$2)</f>
        <v>236-13</v>
      </c>
      <c r="C3" s="138"/>
      <c r="D3" s="156"/>
      <c r="E3" s="30" t="s">
        <v>1071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22236-13%22)),sort:!(Time.ISO8601,asc))</v>
      </c>
      <c r="J3" s="30" t="e">
        <f>VLOOKUP(B3,'Train Runs'!$A$13:$A$99928,1,FALSE)</f>
        <v>#N/A</v>
      </c>
    </row>
    <row r="4" spans="1:10" x14ac:dyDescent="0.25">
      <c r="A4" s="190"/>
      <c r="B4" s="42" t="str">
        <f>A4&amp;"-"&amp;IF(DAY(Variables!$A$2)&lt;10,0,"")&amp;DAY(Variables!$A$2)</f>
        <v>-13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Runs'!$A$13:$A$99928,1,FALSE)</f>
        <v>#N/A</v>
      </c>
    </row>
    <row r="5" spans="1:10" x14ac:dyDescent="0.25">
      <c r="A5" s="190"/>
      <c r="B5" s="42" t="str">
        <f>A5&amp;"-"&amp;IF(DAY(Variables!$A$2)&lt;10,0,"")&amp;DAY(Variables!$A$2)</f>
        <v>-13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Runs'!$A$13:$A$99928,1,FALSE)</f>
        <v>#N/A</v>
      </c>
    </row>
    <row r="6" spans="1:10" x14ac:dyDescent="0.25">
      <c r="A6" s="190"/>
      <c r="B6" s="42" t="str">
        <f>A6&amp;"-"&amp;IF(DAY(Variables!$A$2)&lt;10,0,"")&amp;DAY(Variables!$A$2)</f>
        <v>-13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Runs'!$A$13:$A$99928,1,FALSE)</f>
        <v>#N/A</v>
      </c>
    </row>
    <row r="7" spans="1:10" x14ac:dyDescent="0.25">
      <c r="A7" s="190"/>
      <c r="B7" s="42" t="str">
        <f>A7&amp;"-"&amp;IF(DAY(Variables!$A$2)&lt;10,0,"")&amp;DAY(Variables!$A$2)</f>
        <v>-13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Runs'!$A$13:$A$99928,1,FALSE)</f>
        <v>#N/A</v>
      </c>
    </row>
    <row r="8" spans="1:10" x14ac:dyDescent="0.25">
      <c r="A8" s="190"/>
      <c r="B8" s="42" t="str">
        <f>A8&amp;"-"&amp;IF(DAY(Variables!$A$2)&lt;10,0,"")&amp;DAY(Variables!$A$2)</f>
        <v>-13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49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Runs'!$A$13:$A$99928,1,FALSE)</f>
        <v>#N/A</v>
      </c>
    </row>
    <row r="9" spans="1:10" x14ac:dyDescent="0.25">
      <c r="A9" s="190"/>
      <c r="B9" s="42" t="str">
        <f>A9&amp;"-"&amp;IF(DAY(Variables!$A$2)&lt;10,0,"")&amp;DAY(Variables!$A$2)</f>
        <v>-13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Runs'!$A$13:$A$99928,1,FALSE)</f>
        <v>#N/A</v>
      </c>
    </row>
    <row r="10" spans="1:10" x14ac:dyDescent="0.25">
      <c r="A10" s="190"/>
      <c r="B10" s="42" t="str">
        <f>A10&amp;"-"&amp;IF(DAY(Variables!$A$2)&lt;10,0,"")&amp;DAY(Variables!$A$2)</f>
        <v>-13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Runs'!$A$13:$A$99928,1,FALSE)</f>
        <v>#N/A</v>
      </c>
    </row>
    <row r="11" spans="1:10" x14ac:dyDescent="0.25">
      <c r="A11" s="190"/>
      <c r="B11" s="42" t="str">
        <f>A11&amp;"-"&amp;IF(DAY(Variables!$A$2)&lt;10,0,"")&amp;DAY(Variables!$A$2)</f>
        <v>-13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Runs'!$A$13:$A$99928,1,FALSE)</f>
        <v>#N/A</v>
      </c>
    </row>
    <row r="12" spans="1:10" x14ac:dyDescent="0.25">
      <c r="A12" s="190"/>
      <c r="B12" s="42" t="str">
        <f>A12&amp;"-"&amp;IF(DAY(Variables!$A$2)&lt;10,0,"")&amp;DAY(Variables!$A$2)</f>
        <v>-13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Runs'!$A$13:$A$99928,1,FALSE)</f>
        <v>#N/A</v>
      </c>
    </row>
    <row r="13" spans="1:10" x14ac:dyDescent="0.25">
      <c r="A13" s="190"/>
      <c r="B13" s="42" t="str">
        <f>A13&amp;"-"&amp;IF(DAY(Variables!$A$2)&lt;10,0,"")&amp;DAY(Variables!$A$2)</f>
        <v>-13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Runs'!$A$13:$A$99928,1,FALSE)</f>
        <v>#N/A</v>
      </c>
    </row>
    <row r="14" spans="1:10" x14ac:dyDescent="0.25">
      <c r="A14" s="190"/>
      <c r="B14" s="42" t="str">
        <f>A14&amp;"-"&amp;IF(DAY(Variables!$A$2)&lt;10,0,"")&amp;DAY(Variables!$A$2)</f>
        <v>-13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Runs'!$A$13:$A$99928,1,FALSE)</f>
        <v>#N/A</v>
      </c>
    </row>
    <row r="15" spans="1:10" x14ac:dyDescent="0.25">
      <c r="A15" s="190"/>
      <c r="B15" s="42" t="str">
        <f>A15&amp;"-"&amp;IF(DAY(Variables!$A$2)&lt;10,0,"")&amp;DAY(Variables!$A$2)</f>
        <v>-13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Runs'!$A$13:$A$99928,1,FALSE)</f>
        <v>#N/A</v>
      </c>
    </row>
    <row r="16" spans="1:10" x14ac:dyDescent="0.25">
      <c r="A16" s="190"/>
      <c r="B16" s="42" t="str">
        <f>A16&amp;"-"&amp;IF(DAY(Variables!$A$2)&lt;10,0,"")&amp;DAY(Variables!$A$2)</f>
        <v>-13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Runs'!$A$13:$A$99928,1,FALSE)</f>
        <v>#N/A</v>
      </c>
    </row>
    <row r="17" spans="1:10" x14ac:dyDescent="0.25">
      <c r="A17" s="190"/>
      <c r="B17" s="42" t="str">
        <f>A17&amp;"-"&amp;IF(DAY(Variables!$A$2)&lt;10,0,"")&amp;DAY(Variables!$A$2)</f>
        <v>-13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Runs'!$A$13:$A$99928,1,FALSE)</f>
        <v>#N/A</v>
      </c>
    </row>
    <row r="18" spans="1:10" x14ac:dyDescent="0.25">
      <c r="A18" s="190"/>
      <c r="B18" s="42" t="str">
        <f>A18&amp;"-"&amp;IF(DAY(Variables!$A$2)&lt;10,0,"")&amp;DAY(Variables!$A$2)</f>
        <v>-13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Runs'!$A$13:$A$99928,1,FALSE)</f>
        <v>#N/A</v>
      </c>
    </row>
    <row r="19" spans="1:10" x14ac:dyDescent="0.25">
      <c r="A19" s="190"/>
      <c r="B19" s="42" t="str">
        <f>A19&amp;"-"&amp;IF(DAY(Variables!$A$2)&lt;10,0,"")&amp;DAY(Variables!$A$2)</f>
        <v>-13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9" s="30" t="e">
        <f>VLOOKUP(B19,'Train Runs'!$A$13:$A$99928,1,FALSE)</f>
        <v>#N/A</v>
      </c>
    </row>
    <row r="20" spans="1:10" x14ac:dyDescent="0.25">
      <c r="A20" s="190"/>
      <c r="B20" s="42" t="str">
        <f>A20&amp;"-"&amp;IF(DAY(Variables!$A$2)&lt;10,0,"")&amp;DAY(Variables!$A$2)</f>
        <v>-13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0" s="30" t="e">
        <f>VLOOKUP(B20,'Train Runs'!$A$13:$A$99928,1,FALSE)</f>
        <v>#N/A</v>
      </c>
    </row>
    <row r="21" spans="1:10" x14ac:dyDescent="0.25">
      <c r="A21" s="190"/>
      <c r="B21" s="42" t="str">
        <f>A21&amp;"-"&amp;IF(DAY(Variables!$A$2)&lt;10,0,"")&amp;DAY(Variables!$A$2)</f>
        <v>-13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1" s="30" t="e">
        <f>VLOOKUP(B21,'Train Runs'!$A$13:$A$99928,1,FALSE)</f>
        <v>#N/A</v>
      </c>
    </row>
    <row r="22" spans="1:10" x14ac:dyDescent="0.25">
      <c r="A22" s="190"/>
      <c r="B22" s="42" t="str">
        <f>A22&amp;"-"&amp;IF(DAY(Variables!$A$2)&lt;10,0,"")&amp;DAY(Variables!$A$2)</f>
        <v>-13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2" s="30" t="e">
        <f>VLOOKUP(B22,'Train Runs'!$A$13:$A$99928,1,FALSE)</f>
        <v>#N/A</v>
      </c>
    </row>
    <row r="23" spans="1:10" x14ac:dyDescent="0.25">
      <c r="A23" s="190"/>
      <c r="B23" s="42" t="str">
        <f>A23&amp;"-"&amp;IF(DAY(Variables!$A$2)&lt;10,0,"")&amp;DAY(Variables!$A$2)</f>
        <v>-13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3" s="30" t="e">
        <f>VLOOKUP(B23,'Train Runs'!$A$13:$A$99928,1,FALSE)</f>
        <v>#N/A</v>
      </c>
    </row>
    <row r="24" spans="1:10" x14ac:dyDescent="0.25">
      <c r="A24" s="190"/>
      <c r="B24" s="42" t="str">
        <f>A24&amp;"-"&amp;IF(DAY(Variables!$A$2)&lt;10,0,"")&amp;DAY(Variables!$A$2)</f>
        <v>-13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4" s="30" t="e">
        <f>VLOOKUP(B24,'Train Runs'!$A$13:$A$99928,1,FALSE)</f>
        <v>#N/A</v>
      </c>
    </row>
    <row r="25" spans="1:10" x14ac:dyDescent="0.25">
      <c r="A25" s="190"/>
      <c r="B25" s="42" t="str">
        <f>A25&amp;"-"&amp;IF(DAY(Variables!$A$2)&lt;10,0,"")&amp;DAY(Variables!$A$2)</f>
        <v>-13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5" s="30" t="e">
        <f>VLOOKUP(B25,'Train Runs'!$A$13:$A$99928,1,FALSE)</f>
        <v>#N/A</v>
      </c>
    </row>
    <row r="26" spans="1:10" x14ac:dyDescent="0.25">
      <c r="A26" s="190"/>
      <c r="B26" s="42" t="str">
        <f>A26&amp;"-"&amp;IF(DAY(Variables!$A$2)&lt;10,0,"")&amp;DAY(Variables!$A$2)</f>
        <v>-13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6" s="30" t="e">
        <f>VLOOKUP(B26,'Train Runs'!$A$13:$A$99928,1,FALSE)</f>
        <v>#N/A</v>
      </c>
    </row>
    <row r="27" spans="1:10" x14ac:dyDescent="0.25">
      <c r="A27" s="190"/>
      <c r="B27" s="42" t="str">
        <f>A27&amp;"-"&amp;IF(DAY(Variables!$A$2)&lt;10,0,"")&amp;DAY(Variables!$A$2)</f>
        <v>-13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7" s="30" t="e">
        <f>VLOOKUP(B27,'Train Runs'!$A$13:$A$99928,1,FALSE)</f>
        <v>#N/A</v>
      </c>
    </row>
    <row r="28" spans="1:10" x14ac:dyDescent="0.25">
      <c r="A28" s="190"/>
      <c r="B28" s="42" t="str">
        <f>A28&amp;"-"&amp;IF(DAY(Variables!$A$2)&lt;10,0,"")&amp;DAY(Variables!$A$2)</f>
        <v>-13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8" s="30" t="e">
        <f>VLOOKUP(B28,'Train Runs'!$A$13:$A$99928,1,FALSE)</f>
        <v>#N/A</v>
      </c>
    </row>
    <row r="29" spans="1:10" x14ac:dyDescent="0.25">
      <c r="A29" s="190"/>
      <c r="B29" s="42" t="str">
        <f>A29&amp;"-"&amp;IF(DAY(Variables!$A$2)&lt;10,0,"")&amp;DAY(Variables!$A$2)</f>
        <v>-13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9" s="30" t="e">
        <f>VLOOKUP(B29,'Train Runs'!$A$13:$A$99928,1,FALSE)</f>
        <v>#N/A</v>
      </c>
    </row>
    <row r="30" spans="1:10" x14ac:dyDescent="0.25">
      <c r="A30" s="190"/>
      <c r="B30" s="42" t="str">
        <f>A30&amp;"-"&amp;IF(DAY(Variables!$A$2)&lt;10,0,"")&amp;DAY(Variables!$A$2)</f>
        <v>-13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0" s="30" t="e">
        <f>VLOOKUP(B30,'Train Runs'!$A$13:$A$99928,1,FALSE)</f>
        <v>#N/A</v>
      </c>
    </row>
    <row r="31" spans="1:10" x14ac:dyDescent="0.25">
      <c r="A31" s="190"/>
      <c r="B31" s="42" t="str">
        <f>A31&amp;"-"&amp;IF(DAY(Variables!$A$2)&lt;10,0,"")&amp;DAY(Variables!$A$2)</f>
        <v>-13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1" s="30" t="e">
        <f>VLOOKUP(B31,'Train Runs'!$A$13:$A$99928,1,FALSE)</f>
        <v>#N/A</v>
      </c>
    </row>
    <row r="32" spans="1:10" x14ac:dyDescent="0.25">
      <c r="A32" s="190"/>
      <c r="B32" s="42" t="str">
        <f>A32&amp;"-"&amp;IF(DAY(Variables!$A$2)&lt;10,0,"")&amp;DAY(Variables!$A$2)</f>
        <v>-13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2" s="30" t="e">
        <f>VLOOKUP(B32,'Train Runs'!$A$13:$A$99928,1,FALSE)</f>
        <v>#N/A</v>
      </c>
    </row>
    <row r="33" spans="1:10" x14ac:dyDescent="0.25">
      <c r="A33" s="190"/>
      <c r="B33" s="42" t="str">
        <f>A33&amp;"-"&amp;IF(DAY(Variables!$A$2)&lt;10,0,"")&amp;DAY(Variables!$A$2)</f>
        <v>-13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3" s="30" t="e">
        <f>VLOOKUP(B33,'Train Runs'!$A$13:$A$99928,1,FALSE)</f>
        <v>#N/A</v>
      </c>
    </row>
    <row r="34" spans="1:10" x14ac:dyDescent="0.25">
      <c r="A34" s="190"/>
      <c r="B34" s="42" t="str">
        <f>A34&amp;"-"&amp;IF(DAY(Variables!$A$2)&lt;10,0,"")&amp;DAY(Variables!$A$2)</f>
        <v>-13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4" s="30" t="e">
        <f>VLOOKUP(B34,'Train Runs'!$A$13:$A$99928,1,FALSE)</f>
        <v>#N/A</v>
      </c>
    </row>
    <row r="35" spans="1:10" x14ac:dyDescent="0.25">
      <c r="A35" s="190"/>
      <c r="B35" s="42" t="str">
        <f>A35&amp;"-"&amp;IF(DAY(Variables!$A$2)&lt;10,0,"")&amp;DAY(Variables!$A$2)</f>
        <v>-13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5" s="30" t="e">
        <f>VLOOKUP(B35,'Train Runs'!$A$13:$A$99928,1,FALSE)</f>
        <v>#N/A</v>
      </c>
    </row>
    <row r="36" spans="1:10" x14ac:dyDescent="0.25">
      <c r="A36" s="190"/>
      <c r="B36" s="42" t="str">
        <f>A36&amp;"-"&amp;IF(DAY(Variables!$A$2)&lt;10,0,"")&amp;DAY(Variables!$A$2)</f>
        <v>-13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6" s="30" t="e">
        <f>VLOOKUP(B36,'Train Runs'!$A$13:$A$99928,1,FALSE)</f>
        <v>#N/A</v>
      </c>
    </row>
    <row r="37" spans="1:10" x14ac:dyDescent="0.25">
      <c r="A37" s="190"/>
      <c r="B37" s="42" t="str">
        <f>A37&amp;"-"&amp;IF(DAY(Variables!$A$2)&lt;10,0,"")&amp;DAY(Variables!$A$2)</f>
        <v>-13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7" s="30" t="e">
        <f>VLOOKUP(B37,'Train Runs'!$A$13:$A$99928,1,FALSE)</f>
        <v>#N/A</v>
      </c>
    </row>
    <row r="38" spans="1:10" x14ac:dyDescent="0.25">
      <c r="A38" s="190"/>
      <c r="B38" s="42" t="str">
        <f>A38&amp;"-"&amp;IF(DAY(Variables!$A$2)&lt;10,0,"")&amp;DAY(Variables!$A$2)</f>
        <v>-13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8" s="30" t="e">
        <f>VLOOKUP(B38,'Train Runs'!$A$13:$A$99928,1,FALSE)</f>
        <v>#N/A</v>
      </c>
    </row>
    <row r="39" spans="1:10" x14ac:dyDescent="0.25">
      <c r="A39" s="190"/>
      <c r="B39" s="42" t="str">
        <f>A39&amp;"-"&amp;IF(DAY(Variables!$A$2)&lt;10,0,"")&amp;DAY(Variables!$A$2)</f>
        <v>-13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9" s="30" t="e">
        <f>VLOOKUP(B39,'Train Runs'!$A$13:$A$99928,1,FALSE)</f>
        <v>#N/A</v>
      </c>
    </row>
    <row r="40" spans="1:10" x14ac:dyDescent="0.25">
      <c r="A40" s="190"/>
      <c r="B40" s="42" t="str">
        <f>A40&amp;"-"&amp;IF(DAY(Variables!$A$2)&lt;10,0,"")&amp;DAY(Variables!$A$2)</f>
        <v>-13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0" s="30" t="e">
        <f>VLOOKUP(B40,'Train Runs'!$A$13:$A$99928,1,FALSE)</f>
        <v>#N/A</v>
      </c>
    </row>
    <row r="41" spans="1:10" x14ac:dyDescent="0.25">
      <c r="A41" s="190"/>
      <c r="B41" s="42" t="str">
        <f>A41&amp;"-"&amp;IF(DAY(Variables!$A$2)&lt;10,0,"")&amp;DAY(Variables!$A$2)</f>
        <v>-13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1" s="30" t="e">
        <f>VLOOKUP(B41,'Train Runs'!$A$13:$A$99928,1,FALSE)</f>
        <v>#N/A</v>
      </c>
    </row>
    <row r="42" spans="1:10" x14ac:dyDescent="0.25">
      <c r="A42" s="190"/>
      <c r="B42" s="42" t="str">
        <f>A42&amp;"-"&amp;IF(DAY(Variables!$A$2)&lt;10,0,"")&amp;DAY(Variables!$A$2)</f>
        <v>-13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2" s="30" t="e">
        <f>VLOOKUP(B42,'Train Runs'!$A$13:$A$99928,1,FALSE)</f>
        <v>#N/A</v>
      </c>
    </row>
    <row r="43" spans="1:10" x14ac:dyDescent="0.25">
      <c r="A43" s="190"/>
      <c r="B43" s="42" t="str">
        <f>A43&amp;"-"&amp;IF(DAY(Variables!$A$2)&lt;10,0,"")&amp;DAY(Variables!$A$2)</f>
        <v>-13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3" s="30" t="e">
        <f>VLOOKUP(B43,'Train Runs'!$A$13:$A$99928,1,FALSE)</f>
        <v>#N/A</v>
      </c>
    </row>
    <row r="44" spans="1:10" x14ac:dyDescent="0.25">
      <c r="A44" s="190"/>
      <c r="B44" s="42" t="str">
        <f>A44&amp;"-"&amp;IF(DAY(Variables!$A$2)&lt;10,0,"")&amp;DAY(Variables!$A$2)</f>
        <v>-13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4" s="30" t="e">
        <f>VLOOKUP(B44,'Train Runs'!$A$13:$A$99928,1,FALSE)</f>
        <v>#N/A</v>
      </c>
    </row>
    <row r="45" spans="1:10" x14ac:dyDescent="0.25">
      <c r="A45" s="190"/>
      <c r="B45" s="42" t="str">
        <f>A45&amp;"-"&amp;IF(DAY(Variables!$A$2)&lt;10,0,"")&amp;DAY(Variables!$A$2)</f>
        <v>-13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5" s="30" t="e">
        <f>VLOOKUP(B45,'Train Runs'!$A$13:$A$99928,1,FALSE)</f>
        <v>#N/A</v>
      </c>
    </row>
    <row r="46" spans="1:10" x14ac:dyDescent="0.25">
      <c r="A46" s="190"/>
      <c r="B46" s="42" t="str">
        <f>A46&amp;"-"&amp;IF(DAY(Variables!$A$2)&lt;10,0,"")&amp;DAY(Variables!$A$2)</f>
        <v>-13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6" s="30" t="e">
        <f>VLOOKUP(B46,'Train Runs'!$A$13:$A$99928,1,FALSE)</f>
        <v>#N/A</v>
      </c>
    </row>
    <row r="47" spans="1:10" x14ac:dyDescent="0.25">
      <c r="A47" s="190"/>
      <c r="B47" s="42" t="str">
        <f>A47&amp;"-"&amp;IF(DAY(Variables!$A$2)&lt;10,0,"")&amp;DAY(Variables!$A$2)</f>
        <v>-13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7" s="30" t="e">
        <f>VLOOKUP(B47,'Train Runs'!$A$13:$A$99928,1,FALSE)</f>
        <v>#N/A</v>
      </c>
    </row>
    <row r="48" spans="1:10" x14ac:dyDescent="0.25">
      <c r="A48" s="190"/>
      <c r="B48" s="42" t="str">
        <f>A48&amp;"-"&amp;IF(DAY(Variables!$A$2)&lt;10,0,"")&amp;DAY(Variables!$A$2)</f>
        <v>-13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8" s="30" t="e">
        <f>VLOOKUP(B48,'Train Runs'!$A$13:$A$99928,1,FALSE)</f>
        <v>#N/A</v>
      </c>
    </row>
    <row r="49" spans="1:10" x14ac:dyDescent="0.25">
      <c r="A49" s="190"/>
      <c r="B49" s="42" t="str">
        <f>A49&amp;"-"&amp;IF(DAY(Variables!$A$2)&lt;10,0,"")&amp;DAY(Variables!$A$2)</f>
        <v>-13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9" s="30" t="e">
        <f>VLOOKUP(B49,'Train Runs'!$A$13:$A$99928,1,FALSE)</f>
        <v>#N/A</v>
      </c>
    </row>
    <row r="50" spans="1:10" x14ac:dyDescent="0.25">
      <c r="A50" s="190"/>
      <c r="B50" s="42" t="str">
        <f>A50&amp;"-"&amp;IF(DAY(Variables!$A$2)&lt;10,0,"")&amp;DAY(Variables!$A$2)</f>
        <v>-13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ref="I50:I7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0" s="30" t="e">
        <f>VLOOKUP(B50,'Train Runs'!$A$13:$A$99928,1,FALSE)</f>
        <v>#N/A</v>
      </c>
    </row>
    <row r="51" spans="1:10" x14ac:dyDescent="0.25">
      <c r="A51" s="190"/>
      <c r="B51" s="42" t="str">
        <f>A51&amp;"-"&amp;IF(DAY(Variables!$A$2)&lt;10,0,"")&amp;DAY(Variables!$A$2)</f>
        <v>-13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1" s="30" t="e">
        <f>VLOOKUP(B51,'Train Runs'!$A$13:$A$99928,1,FALSE)</f>
        <v>#N/A</v>
      </c>
    </row>
    <row r="52" spans="1:10" x14ac:dyDescent="0.25">
      <c r="A52" s="190"/>
      <c r="B52" s="42" t="str">
        <f>A52&amp;"-"&amp;IF(DAY(Variables!$A$2)&lt;10,0,"")&amp;DAY(Variables!$A$2)</f>
        <v>-13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2" s="30" t="e">
        <f>VLOOKUP(B52,'Train Runs'!$A$13:$A$99928,1,FALSE)</f>
        <v>#N/A</v>
      </c>
    </row>
    <row r="53" spans="1:10" x14ac:dyDescent="0.25">
      <c r="A53" s="190"/>
      <c r="B53" s="42" t="str">
        <f>A53&amp;"-"&amp;IF(DAY(Variables!$A$2)&lt;10,0,"")&amp;DAY(Variables!$A$2)</f>
        <v>-13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3" s="30" t="e">
        <f>VLOOKUP(B53,'Train Runs'!$A$13:$A$99928,1,FALSE)</f>
        <v>#N/A</v>
      </c>
    </row>
    <row r="54" spans="1:10" x14ac:dyDescent="0.25">
      <c r="A54" s="190"/>
      <c r="B54" s="42" t="str">
        <f>A54&amp;"-"&amp;IF(DAY(Variables!$A$2)&lt;10,0,"")&amp;DAY(Variables!$A$2)</f>
        <v>-13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4" s="30" t="e">
        <f>VLOOKUP(B54,'Train Runs'!$A$13:$A$99928,1,FALSE)</f>
        <v>#N/A</v>
      </c>
    </row>
    <row r="55" spans="1:10" x14ac:dyDescent="0.25">
      <c r="A55" s="190"/>
      <c r="B55" s="42" t="str">
        <f>A55&amp;"-"&amp;IF(DAY(Variables!$A$2)&lt;10,0,"")&amp;DAY(Variables!$A$2)</f>
        <v>-13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5" s="30" t="e">
        <f>VLOOKUP(B55,'Train Runs'!$A$13:$A$99928,1,FALSE)</f>
        <v>#N/A</v>
      </c>
    </row>
    <row r="56" spans="1:10" x14ac:dyDescent="0.25">
      <c r="A56" s="190"/>
      <c r="B56" s="42" t="str">
        <f>A56&amp;"-"&amp;IF(DAY(Variables!$A$2)&lt;10,0,"")&amp;DAY(Variables!$A$2)</f>
        <v>-13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6" s="30" t="e">
        <f>VLOOKUP(B56,'Train Runs'!$A$13:$A$99928,1,FALSE)</f>
        <v>#N/A</v>
      </c>
    </row>
    <row r="57" spans="1:10" x14ac:dyDescent="0.25">
      <c r="A57" s="190"/>
      <c r="B57" s="42" t="str">
        <f>A57&amp;"-"&amp;IF(DAY(Variables!$A$2)&lt;10,0,"")&amp;DAY(Variables!$A$2)</f>
        <v>-13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7" s="30" t="e">
        <f>VLOOKUP(B57,'Train Runs'!$A$13:$A$99928,1,FALSE)</f>
        <v>#N/A</v>
      </c>
    </row>
    <row r="58" spans="1:10" x14ac:dyDescent="0.25">
      <c r="A58" s="190"/>
      <c r="B58" s="42" t="str">
        <f>A58&amp;"-"&amp;IF(DAY(Variables!$A$2)&lt;10,0,"")&amp;DAY(Variables!$A$2)</f>
        <v>-13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8" s="30" t="e">
        <f>VLOOKUP(B58,'Train Runs'!$A$13:$A$99928,1,FALSE)</f>
        <v>#N/A</v>
      </c>
    </row>
    <row r="59" spans="1:10" x14ac:dyDescent="0.25">
      <c r="A59" s="190"/>
      <c r="B59" s="42" t="str">
        <f>A59&amp;"-"&amp;IF(DAY(Variables!$A$2)&lt;10,0,"")&amp;DAY(Variables!$A$2)</f>
        <v>-13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9" s="30" t="e">
        <f>VLOOKUP(B59,'Train Runs'!$A$13:$A$99928,1,FALSE)</f>
        <v>#N/A</v>
      </c>
    </row>
    <row r="60" spans="1:10" x14ac:dyDescent="0.25">
      <c r="A60" s="190"/>
      <c r="B60" s="42" t="str">
        <f>A60&amp;"-"&amp;IF(DAY(Variables!$A$2)&lt;10,0,"")&amp;DAY(Variables!$A$2)</f>
        <v>-13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0" s="30" t="e">
        <f>VLOOKUP(B60,'Train Runs'!$A$13:$A$99928,1,FALSE)</f>
        <v>#N/A</v>
      </c>
    </row>
    <row r="61" spans="1:10" x14ac:dyDescent="0.25">
      <c r="A61" s="190"/>
      <c r="B61" s="42" t="str">
        <f>A61&amp;"-"&amp;IF(DAY(Variables!$A$2)&lt;10,0,"")&amp;DAY(Variables!$A$2)</f>
        <v>-13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1" s="30" t="e">
        <f>VLOOKUP(B61,'Train Runs'!$A$13:$A$99928,1,FALSE)</f>
        <v>#N/A</v>
      </c>
    </row>
    <row r="62" spans="1:10" x14ac:dyDescent="0.25">
      <c r="A62" s="190"/>
      <c r="B62" s="42" t="str">
        <f>A62&amp;"-"&amp;IF(DAY(Variables!$A$2)&lt;10,0,"")&amp;DAY(Variables!$A$2)</f>
        <v>-13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2" s="30" t="e">
        <f>VLOOKUP(B62,'Train Runs'!$A$13:$A$99928,1,FALSE)</f>
        <v>#N/A</v>
      </c>
    </row>
    <row r="63" spans="1:10" x14ac:dyDescent="0.25">
      <c r="A63" s="190"/>
      <c r="B63" s="42" t="str">
        <f>A63&amp;"-"&amp;IF(DAY(Variables!$A$2)&lt;10,0,"")&amp;DAY(Variables!$A$2)</f>
        <v>-13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3" s="30" t="e">
        <f>VLOOKUP(B63,'Train Runs'!$A$13:$A$99928,1,FALSE)</f>
        <v>#N/A</v>
      </c>
    </row>
    <row r="64" spans="1:10" x14ac:dyDescent="0.25">
      <c r="A64" s="190"/>
      <c r="B64" s="42" t="str">
        <f>A64&amp;"-"&amp;IF(DAY(Variables!$A$2)&lt;10,0,"")&amp;DAY(Variables!$A$2)</f>
        <v>-13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4" s="30" t="e">
        <f>VLOOKUP(B64,'Train Runs'!$A$13:$A$99928,1,FALSE)</f>
        <v>#N/A</v>
      </c>
    </row>
    <row r="65" spans="1:10" x14ac:dyDescent="0.25">
      <c r="A65" s="190"/>
      <c r="B65" s="42" t="str">
        <f>A65&amp;"-"&amp;IF(DAY(Variables!$A$2)&lt;10,0,"")&amp;DAY(Variables!$A$2)</f>
        <v>-13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5" s="30" t="e">
        <f>VLOOKUP(B65,'Train Runs'!$A$13:$A$99928,1,FALSE)</f>
        <v>#N/A</v>
      </c>
    </row>
    <row r="66" spans="1:10" x14ac:dyDescent="0.25">
      <c r="A66" s="190"/>
      <c r="B66" s="42" t="str">
        <f>A66&amp;"-"&amp;IF(DAY(Variables!$A$2)&lt;10,0,"")&amp;DAY(Variables!$A$2)</f>
        <v>-13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6" s="30" t="e">
        <f>VLOOKUP(B66,'Train Runs'!$A$13:$A$99928,1,FALSE)</f>
        <v>#N/A</v>
      </c>
    </row>
    <row r="67" spans="1:10" x14ac:dyDescent="0.25">
      <c r="A67" s="190"/>
      <c r="B67" s="42" t="str">
        <f>A67&amp;"-"&amp;IF(DAY(Variables!$A$2)&lt;10,0,"")&amp;DAY(Variables!$A$2)</f>
        <v>-13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7" s="30" t="e">
        <f>VLOOKUP(B67,'Train Runs'!$A$13:$A$99928,1,FALSE)</f>
        <v>#N/A</v>
      </c>
    </row>
    <row r="68" spans="1:10" x14ac:dyDescent="0.25">
      <c r="A68" s="190"/>
      <c r="B68" s="42" t="str">
        <f>A68&amp;"-"&amp;IF(DAY(Variables!$A$2)&lt;10,0,"")&amp;DAY(Variables!$A$2)</f>
        <v>-13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8" s="30" t="e">
        <f>VLOOKUP(B68,'Train Runs'!$A$13:$A$99928,1,FALSE)</f>
        <v>#N/A</v>
      </c>
    </row>
    <row r="69" spans="1:10" x14ac:dyDescent="0.25">
      <c r="A69" s="190"/>
      <c r="B69" s="42" t="str">
        <f>A69&amp;"-"&amp;IF(DAY(Variables!$A$2)&lt;10,0,"")&amp;DAY(Variables!$A$2)</f>
        <v>-13</v>
      </c>
      <c r="C69" s="138"/>
      <c r="D69" s="156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9" s="30" t="e">
        <f>VLOOKUP(B69,'Train Runs'!$A$13:$A$99928,1,FALSE)</f>
        <v>#N/A</v>
      </c>
    </row>
    <row r="70" spans="1:10" x14ac:dyDescent="0.25">
      <c r="A70" s="190"/>
      <c r="B70" s="42" t="str">
        <f>A70&amp;"-"&amp;IF(DAY(Variables!$A$2)&lt;10,0,"")&amp;DAY(Variables!$A$2)</f>
        <v>-13</v>
      </c>
      <c r="C70" s="138"/>
      <c r="D70" s="156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0" s="30" t="e">
        <f>VLOOKUP(B70,'Train Runs'!$A$13:$A$99928,1,FALSE)</f>
        <v>#N/A</v>
      </c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  <row r="125" spans="1:10" x14ac:dyDescent="0.25">
      <c r="A125" s="190"/>
      <c r="B125" s="42"/>
      <c r="C125" s="138"/>
      <c r="D125" s="156"/>
      <c r="E125" s="30"/>
      <c r="F125" s="21"/>
      <c r="G125" s="21"/>
      <c r="H125" s="29"/>
      <c r="I125" s="45"/>
      <c r="J125" s="30"/>
    </row>
    <row r="126" spans="1:10" x14ac:dyDescent="0.25">
      <c r="A126" s="190"/>
      <c r="B126" s="42"/>
      <c r="C126" s="138"/>
      <c r="D126" s="156"/>
      <c r="E126" s="30"/>
      <c r="F126" s="21"/>
      <c r="G126" s="21"/>
      <c r="H126" s="29"/>
      <c r="I126" s="45"/>
      <c r="J126" s="30"/>
    </row>
  </sheetData>
  <autoFilter ref="A2:J7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42868.037974537037</v>
      </c>
      <c r="B2" s="20" t="s">
        <v>582</v>
      </c>
      <c r="C2" s="20" t="s">
        <v>583</v>
      </c>
      <c r="D2" s="141">
        <v>2270000</v>
      </c>
      <c r="E2" s="20" t="s">
        <v>467</v>
      </c>
      <c r="F2" s="20" t="s">
        <v>468</v>
      </c>
      <c r="G2" s="8" t="str">
        <f>E2&amp;" "&amp;F2</f>
        <v>BROWN JACOB</v>
      </c>
    </row>
    <row r="3" spans="1:7" x14ac:dyDescent="0.25">
      <c r="A3" s="8">
        <v>42868.047986111109</v>
      </c>
      <c r="B3" s="20" t="s">
        <v>394</v>
      </c>
      <c r="C3" s="20" t="s">
        <v>584</v>
      </c>
      <c r="D3" s="141">
        <v>3090000</v>
      </c>
      <c r="E3" s="20" t="s">
        <v>407</v>
      </c>
      <c r="F3" s="20" t="s">
        <v>408</v>
      </c>
      <c r="G3" s="8" t="str">
        <f t="shared" ref="G3:G66" si="0">E3&amp;" "&amp;F3</f>
        <v>LAMAR NEKESHA</v>
      </c>
    </row>
    <row r="4" spans="1:7" x14ac:dyDescent="0.25">
      <c r="A4" s="8">
        <v>42868.054247685184</v>
      </c>
      <c r="B4" s="20" t="s">
        <v>458</v>
      </c>
      <c r="C4" s="20" t="s">
        <v>585</v>
      </c>
      <c r="D4" s="141">
        <v>3030000</v>
      </c>
      <c r="E4" s="20" t="s">
        <v>413</v>
      </c>
      <c r="F4" s="20" t="s">
        <v>395</v>
      </c>
      <c r="G4" s="8" t="str">
        <f t="shared" si="0"/>
        <v>BIRENBAUM THOMAS</v>
      </c>
    </row>
    <row r="5" spans="1:7" x14ac:dyDescent="0.25">
      <c r="A5" s="8">
        <v>42868.062662037039</v>
      </c>
      <c r="B5" s="20" t="s">
        <v>386</v>
      </c>
      <c r="C5" s="20" t="s">
        <v>586</v>
      </c>
      <c r="D5" s="141">
        <v>3000000</v>
      </c>
      <c r="E5" s="20" t="s">
        <v>442</v>
      </c>
      <c r="F5" s="20" t="s">
        <v>443</v>
      </c>
      <c r="G5" s="8" t="str">
        <f t="shared" si="0"/>
        <v>FORTUNATO FRANK</v>
      </c>
    </row>
    <row r="6" spans="1:7" x14ac:dyDescent="0.25">
      <c r="A6" s="8">
        <v>42868.068472222221</v>
      </c>
      <c r="B6" s="20" t="s">
        <v>345</v>
      </c>
      <c r="C6" s="20" t="s">
        <v>587</v>
      </c>
      <c r="D6" s="141">
        <v>2610000</v>
      </c>
      <c r="E6" s="20" t="s">
        <v>588</v>
      </c>
      <c r="F6" s="20" t="s">
        <v>589</v>
      </c>
      <c r="G6" s="8" t="str">
        <f t="shared" si="0"/>
        <v>MAGEE KENYA</v>
      </c>
    </row>
    <row r="7" spans="1:7" x14ac:dyDescent="0.25">
      <c r="A7" s="8">
        <v>42868.074733796297</v>
      </c>
      <c r="B7" s="20" t="s">
        <v>387</v>
      </c>
      <c r="C7" s="20" t="s">
        <v>586</v>
      </c>
      <c r="D7" s="141">
        <v>3000000</v>
      </c>
      <c r="E7" s="20" t="s">
        <v>442</v>
      </c>
      <c r="F7" s="20" t="s">
        <v>443</v>
      </c>
      <c r="G7" s="8" t="str">
        <f t="shared" si="0"/>
        <v>FORTUNATO FRANK</v>
      </c>
    </row>
    <row r="8" spans="1:7" x14ac:dyDescent="0.25">
      <c r="A8" s="8">
        <v>42868.078773148147</v>
      </c>
      <c r="B8" s="20" t="s">
        <v>590</v>
      </c>
      <c r="C8" s="20" t="s">
        <v>591</v>
      </c>
      <c r="D8" s="141">
        <v>2270000</v>
      </c>
      <c r="E8" s="20" t="s">
        <v>467</v>
      </c>
      <c r="F8" s="20" t="s">
        <v>468</v>
      </c>
      <c r="G8" s="8" t="str">
        <f t="shared" si="0"/>
        <v>BROWN JACOB</v>
      </c>
    </row>
    <row r="9" spans="1:7" ht="15.75" thickBot="1" x14ac:dyDescent="0.3">
      <c r="A9" s="24">
        <v>42868.088472222225</v>
      </c>
      <c r="B9" s="20" t="s">
        <v>464</v>
      </c>
      <c r="C9" s="20" t="s">
        <v>592</v>
      </c>
      <c r="D9" s="141">
        <v>3030000</v>
      </c>
      <c r="E9" s="20" t="s">
        <v>413</v>
      </c>
      <c r="F9" s="20" t="s">
        <v>395</v>
      </c>
      <c r="G9" s="8" t="str">
        <f t="shared" si="0"/>
        <v>BIRENBAUM THOMAS</v>
      </c>
    </row>
    <row r="10" spans="1:7" x14ac:dyDescent="0.25">
      <c r="A10" s="8">
        <v>42868.08965277778</v>
      </c>
      <c r="B10" s="20" t="s">
        <v>386</v>
      </c>
      <c r="C10" s="20" t="s">
        <v>586</v>
      </c>
      <c r="D10" s="141">
        <v>3000000</v>
      </c>
      <c r="E10" s="20" t="s">
        <v>442</v>
      </c>
      <c r="F10" s="20" t="s">
        <v>443</v>
      </c>
      <c r="G10" s="8" t="str">
        <f t="shared" si="0"/>
        <v>FORTUNATO FRANK</v>
      </c>
    </row>
    <row r="11" spans="1:7" x14ac:dyDescent="0.25">
      <c r="A11" s="8">
        <v>42868.100208333337</v>
      </c>
      <c r="B11" s="20" t="s">
        <v>387</v>
      </c>
      <c r="C11" s="20" t="s">
        <v>586</v>
      </c>
      <c r="D11" s="141">
        <v>3000000</v>
      </c>
      <c r="E11" s="20" t="s">
        <v>442</v>
      </c>
      <c r="F11" s="20" t="s">
        <v>443</v>
      </c>
      <c r="G11" s="8" t="str">
        <f t="shared" si="0"/>
        <v>FORTUNATO FRANK</v>
      </c>
    </row>
    <row r="12" spans="1:7" x14ac:dyDescent="0.25">
      <c r="A12" s="8">
        <v>42868.111122685186</v>
      </c>
      <c r="B12" s="20" t="s">
        <v>582</v>
      </c>
      <c r="C12" s="20" t="s">
        <v>593</v>
      </c>
      <c r="D12" s="141">
        <v>2270000</v>
      </c>
      <c r="E12" s="20" t="s">
        <v>467</v>
      </c>
      <c r="F12" s="20" t="s">
        <v>468</v>
      </c>
      <c r="G12" s="8" t="str">
        <f t="shared" si="0"/>
        <v>BROWN JACOB</v>
      </c>
    </row>
    <row r="13" spans="1:7" x14ac:dyDescent="0.25">
      <c r="A13" s="8">
        <v>42868.111527777779</v>
      </c>
      <c r="B13" s="20" t="s">
        <v>386</v>
      </c>
      <c r="C13" s="20" t="s">
        <v>586</v>
      </c>
      <c r="D13" s="141">
        <v>3000000</v>
      </c>
      <c r="E13" s="20" t="s">
        <v>442</v>
      </c>
      <c r="F13" s="20" t="s">
        <v>443</v>
      </c>
      <c r="G13" s="8" t="str">
        <f t="shared" si="0"/>
        <v>FORTUNATO FRANK</v>
      </c>
    </row>
    <row r="14" spans="1:7" x14ac:dyDescent="0.25">
      <c r="A14" s="8">
        <v>42868.118564814817</v>
      </c>
      <c r="B14" s="20" t="s">
        <v>542</v>
      </c>
      <c r="C14" s="20" t="s">
        <v>543</v>
      </c>
      <c r="D14" s="141">
        <v>2550000</v>
      </c>
      <c r="E14" s="20" t="s">
        <v>460</v>
      </c>
      <c r="F14" s="20" t="s">
        <v>461</v>
      </c>
      <c r="G14" s="8" t="str">
        <f t="shared" si="0"/>
        <v>BADERTSCHER DIANE</v>
      </c>
    </row>
    <row r="15" spans="1:7" x14ac:dyDescent="0.25">
      <c r="A15" s="8">
        <v>42868.120821759258</v>
      </c>
      <c r="B15" s="20" t="s">
        <v>387</v>
      </c>
      <c r="C15" s="20" t="s">
        <v>586</v>
      </c>
      <c r="D15" s="141">
        <v>3000000</v>
      </c>
      <c r="E15" s="20" t="s">
        <v>442</v>
      </c>
      <c r="F15" s="20" t="s">
        <v>443</v>
      </c>
      <c r="G15" s="8" t="str">
        <f t="shared" si="0"/>
        <v>FORTUNATO FRANK</v>
      </c>
    </row>
    <row r="16" spans="1:7" x14ac:dyDescent="0.25">
      <c r="A16" s="8">
        <v>42868.125879629632</v>
      </c>
      <c r="B16" s="20" t="s">
        <v>436</v>
      </c>
      <c r="C16" s="20" t="s">
        <v>594</v>
      </c>
      <c r="D16" s="141">
        <v>1340000</v>
      </c>
      <c r="E16" s="20" t="s">
        <v>595</v>
      </c>
      <c r="F16" s="20" t="s">
        <v>596</v>
      </c>
      <c r="G16" s="8" t="str">
        <f t="shared" si="0"/>
        <v>BEAM ROSS</v>
      </c>
    </row>
    <row r="17" spans="1:7" x14ac:dyDescent="0.25">
      <c r="A17" s="8">
        <v>42868.131354166668</v>
      </c>
      <c r="B17" s="20" t="s">
        <v>371</v>
      </c>
      <c r="C17" s="20" t="s">
        <v>597</v>
      </c>
      <c r="D17" s="141">
        <v>2550000</v>
      </c>
      <c r="E17" s="20" t="s">
        <v>460</v>
      </c>
      <c r="F17" s="20" t="s">
        <v>461</v>
      </c>
      <c r="G17" s="8" t="str">
        <f t="shared" si="0"/>
        <v>BADERTSCHER DIANE</v>
      </c>
    </row>
    <row r="18" spans="1:7" x14ac:dyDescent="0.25">
      <c r="A18" s="8">
        <v>42868.132997685185</v>
      </c>
      <c r="B18" s="20" t="s">
        <v>386</v>
      </c>
      <c r="C18" s="20" t="s">
        <v>586</v>
      </c>
      <c r="D18" s="141">
        <v>3000000</v>
      </c>
      <c r="E18" s="20" t="s">
        <v>442</v>
      </c>
      <c r="F18" s="20" t="s">
        <v>443</v>
      </c>
      <c r="G18" s="8" t="str">
        <f t="shared" si="0"/>
        <v>FORTUNATO FRANK</v>
      </c>
    </row>
    <row r="19" spans="1:7" x14ac:dyDescent="0.25">
      <c r="A19" s="8">
        <v>42868.133645833332</v>
      </c>
      <c r="B19" s="20" t="s">
        <v>435</v>
      </c>
      <c r="C19" s="20" t="s">
        <v>598</v>
      </c>
      <c r="D19" s="141">
        <v>1340000</v>
      </c>
      <c r="E19" s="20" t="s">
        <v>595</v>
      </c>
      <c r="F19" s="20" t="s">
        <v>596</v>
      </c>
      <c r="G19" s="8" t="str">
        <f t="shared" si="0"/>
        <v>BEAM ROSS</v>
      </c>
    </row>
    <row r="20" spans="1:7" x14ac:dyDescent="0.25">
      <c r="A20" s="8">
        <v>42868.134953703702</v>
      </c>
      <c r="B20" s="20" t="s">
        <v>344</v>
      </c>
      <c r="C20" s="20" t="s">
        <v>599</v>
      </c>
      <c r="D20" s="141">
        <v>2140000</v>
      </c>
      <c r="E20" s="20" t="s">
        <v>487</v>
      </c>
      <c r="F20" s="20" t="s">
        <v>488</v>
      </c>
      <c r="G20" s="8" t="str">
        <f t="shared" si="0"/>
        <v>ROBINSON KADDIBA</v>
      </c>
    </row>
    <row r="21" spans="1:7" x14ac:dyDescent="0.25">
      <c r="A21" s="8">
        <v>42868.137326388889</v>
      </c>
      <c r="B21" s="20" t="s">
        <v>387</v>
      </c>
      <c r="C21" s="20" t="s">
        <v>586</v>
      </c>
      <c r="D21" s="141">
        <v>3000000</v>
      </c>
      <c r="E21" s="20" t="s">
        <v>442</v>
      </c>
      <c r="F21" s="20" t="s">
        <v>443</v>
      </c>
      <c r="G21" s="8" t="str">
        <f t="shared" si="0"/>
        <v>FORTUNATO FRANK</v>
      </c>
    </row>
    <row r="22" spans="1:7" x14ac:dyDescent="0.25">
      <c r="A22" s="26">
        <v>42868.141157407408</v>
      </c>
      <c r="B22" s="20" t="s">
        <v>386</v>
      </c>
      <c r="C22" s="20" t="s">
        <v>586</v>
      </c>
      <c r="D22" s="141">
        <v>3000000</v>
      </c>
      <c r="E22" s="20" t="s">
        <v>442</v>
      </c>
      <c r="F22" s="20" t="s">
        <v>443</v>
      </c>
      <c r="G22" s="8" t="str">
        <f t="shared" si="0"/>
        <v>FORTUNATO FRANK</v>
      </c>
    </row>
    <row r="23" spans="1:7" x14ac:dyDescent="0.25">
      <c r="A23" s="8">
        <v>42868.14162037037</v>
      </c>
      <c r="B23" s="20" t="s">
        <v>436</v>
      </c>
      <c r="C23" s="20" t="s">
        <v>594</v>
      </c>
      <c r="D23" s="141">
        <v>1340000</v>
      </c>
      <c r="E23" s="20" t="s">
        <v>595</v>
      </c>
      <c r="F23" s="20" t="s">
        <v>596</v>
      </c>
      <c r="G23" s="8" t="str">
        <f t="shared" si="0"/>
        <v>BEAM ROSS</v>
      </c>
    </row>
    <row r="24" spans="1:7" x14ac:dyDescent="0.25">
      <c r="A24" s="8">
        <v>42868.144652777781</v>
      </c>
      <c r="B24" s="20" t="s">
        <v>387</v>
      </c>
      <c r="C24" s="20" t="s">
        <v>586</v>
      </c>
      <c r="D24" s="141">
        <v>3000000</v>
      </c>
      <c r="E24" s="20" t="s">
        <v>442</v>
      </c>
      <c r="F24" s="20" t="s">
        <v>443</v>
      </c>
      <c r="G24" s="8" t="str">
        <f t="shared" si="0"/>
        <v>FORTUNATO FRANK</v>
      </c>
    </row>
    <row r="25" spans="1:7" x14ac:dyDescent="0.25">
      <c r="A25" s="8">
        <v>42868.147476851853</v>
      </c>
      <c r="B25" s="20" t="s">
        <v>486</v>
      </c>
      <c r="C25" s="20" t="s">
        <v>600</v>
      </c>
      <c r="D25" s="141">
        <v>2140000</v>
      </c>
      <c r="E25" s="20" t="s">
        <v>487</v>
      </c>
      <c r="F25" s="20" t="s">
        <v>488</v>
      </c>
      <c r="G25" s="8" t="str">
        <f t="shared" si="0"/>
        <v>ROBINSON KADDIBA</v>
      </c>
    </row>
    <row r="26" spans="1:7" x14ac:dyDescent="0.25">
      <c r="A26" s="8">
        <v>42868.148009259261</v>
      </c>
      <c r="B26" s="20" t="s">
        <v>386</v>
      </c>
      <c r="C26" s="20" t="s">
        <v>586</v>
      </c>
      <c r="D26" s="141">
        <v>3000000</v>
      </c>
      <c r="E26" s="20" t="s">
        <v>442</v>
      </c>
      <c r="F26" s="20" t="s">
        <v>443</v>
      </c>
      <c r="G26" s="8" t="str">
        <f t="shared" si="0"/>
        <v>FORTUNATO FRANK</v>
      </c>
    </row>
    <row r="27" spans="1:7" x14ac:dyDescent="0.25">
      <c r="A27" s="8">
        <v>42868.150231481479</v>
      </c>
      <c r="B27" s="20" t="s">
        <v>435</v>
      </c>
      <c r="C27" s="20" t="s">
        <v>598</v>
      </c>
      <c r="D27" s="141">
        <v>1340000</v>
      </c>
      <c r="E27" s="20" t="s">
        <v>595</v>
      </c>
      <c r="F27" s="20" t="s">
        <v>596</v>
      </c>
      <c r="G27" s="8" t="str">
        <f t="shared" si="0"/>
        <v>BEAM ROSS</v>
      </c>
    </row>
    <row r="28" spans="1:7" x14ac:dyDescent="0.25">
      <c r="A28" s="8">
        <v>42868.157060185185</v>
      </c>
      <c r="B28" s="20" t="s">
        <v>356</v>
      </c>
      <c r="C28" s="20" t="s">
        <v>601</v>
      </c>
      <c r="D28" s="141">
        <v>2010000</v>
      </c>
      <c r="E28" s="20" t="s">
        <v>602</v>
      </c>
      <c r="F28" s="20" t="s">
        <v>603</v>
      </c>
      <c r="G28" s="8" t="str">
        <f t="shared" si="0"/>
        <v>MAELZER KURT</v>
      </c>
    </row>
    <row r="29" spans="1:7" x14ac:dyDescent="0.25">
      <c r="A29" s="8">
        <v>42868.15965277778</v>
      </c>
      <c r="B29" s="20" t="s">
        <v>436</v>
      </c>
      <c r="C29" s="20" t="s">
        <v>594</v>
      </c>
      <c r="D29" s="141">
        <v>1340000</v>
      </c>
      <c r="E29" s="20" t="s">
        <v>595</v>
      </c>
      <c r="F29" s="20" t="s">
        <v>596</v>
      </c>
      <c r="G29" s="8" t="str">
        <f t="shared" si="0"/>
        <v>BEAM ROSS</v>
      </c>
    </row>
    <row r="30" spans="1:7" x14ac:dyDescent="0.25">
      <c r="A30" s="8">
        <v>42868.165925925925</v>
      </c>
      <c r="B30" s="20" t="s">
        <v>435</v>
      </c>
      <c r="C30" s="20" t="s">
        <v>598</v>
      </c>
      <c r="D30" s="141">
        <v>1340000</v>
      </c>
      <c r="E30" s="20" t="s">
        <v>595</v>
      </c>
      <c r="F30" s="20" t="s">
        <v>596</v>
      </c>
      <c r="G30" s="8" t="str">
        <f t="shared" si="0"/>
        <v>BEAM ROSS</v>
      </c>
    </row>
    <row r="31" spans="1:7" x14ac:dyDescent="0.25">
      <c r="A31" s="8">
        <v>42868.168298611112</v>
      </c>
      <c r="B31" s="20" t="s">
        <v>542</v>
      </c>
      <c r="C31" s="20" t="s">
        <v>604</v>
      </c>
      <c r="D31" s="141">
        <v>2550000</v>
      </c>
      <c r="E31" s="20" t="s">
        <v>460</v>
      </c>
      <c r="F31" s="20" t="s">
        <v>461</v>
      </c>
      <c r="G31" s="8" t="str">
        <f t="shared" si="0"/>
        <v>BADERTSCHER DIANE</v>
      </c>
    </row>
    <row r="32" spans="1:7" x14ac:dyDescent="0.25">
      <c r="A32" s="8">
        <v>42868.171747685185</v>
      </c>
      <c r="B32" s="20" t="s">
        <v>439</v>
      </c>
      <c r="C32" s="20" t="s">
        <v>605</v>
      </c>
      <c r="D32" s="141">
        <v>2010000</v>
      </c>
      <c r="E32" s="20" t="s">
        <v>602</v>
      </c>
      <c r="F32" s="20" t="s">
        <v>603</v>
      </c>
      <c r="G32" s="8" t="str">
        <f t="shared" si="0"/>
        <v>MAELZER KURT</v>
      </c>
    </row>
    <row r="33" spans="1:7" x14ac:dyDescent="0.25">
      <c r="A33" s="8">
        <v>42868.171759259261</v>
      </c>
      <c r="B33" s="20" t="s">
        <v>399</v>
      </c>
      <c r="C33" s="20" t="s">
        <v>606</v>
      </c>
      <c r="D33" s="141">
        <v>1990000</v>
      </c>
      <c r="E33" s="20" t="s">
        <v>607</v>
      </c>
      <c r="F33" s="20" t="s">
        <v>608</v>
      </c>
      <c r="G33" s="8" t="str">
        <f t="shared" si="0"/>
        <v>DAVIS WENDY</v>
      </c>
    </row>
    <row r="34" spans="1:7" x14ac:dyDescent="0.25">
      <c r="A34" s="8">
        <v>42868.174375000002</v>
      </c>
      <c r="B34" s="20" t="s">
        <v>436</v>
      </c>
      <c r="C34" s="20" t="s">
        <v>594</v>
      </c>
      <c r="D34" s="141">
        <v>1340000</v>
      </c>
      <c r="E34" s="20" t="s">
        <v>595</v>
      </c>
      <c r="F34" s="20" t="s">
        <v>596</v>
      </c>
      <c r="G34" s="8" t="str">
        <f t="shared" si="0"/>
        <v>BEAM ROSS</v>
      </c>
    </row>
    <row r="35" spans="1:7" x14ac:dyDescent="0.25">
      <c r="A35" s="8">
        <v>42868.178912037038</v>
      </c>
      <c r="B35" s="20" t="s">
        <v>459</v>
      </c>
      <c r="C35" s="20" t="s">
        <v>609</v>
      </c>
      <c r="D35" s="141">
        <v>1360000</v>
      </c>
      <c r="E35" s="20" t="s">
        <v>610</v>
      </c>
      <c r="F35" s="20" t="s">
        <v>611</v>
      </c>
      <c r="G35" s="8" t="str">
        <f t="shared" si="0"/>
        <v>SANTIZO D. EDY</v>
      </c>
    </row>
    <row r="36" spans="1:7" x14ac:dyDescent="0.25">
      <c r="A36" s="8">
        <v>42868.18310185185</v>
      </c>
      <c r="B36" s="20" t="s">
        <v>435</v>
      </c>
      <c r="C36" s="20" t="s">
        <v>598</v>
      </c>
      <c r="D36" s="141">
        <v>1340000</v>
      </c>
      <c r="E36" s="20" t="s">
        <v>595</v>
      </c>
      <c r="F36" s="20" t="s">
        <v>596</v>
      </c>
      <c r="G36" s="8" t="str">
        <f t="shared" si="0"/>
        <v>BEAM ROSS</v>
      </c>
    </row>
    <row r="37" spans="1:7" x14ac:dyDescent="0.25">
      <c r="A37" s="8">
        <v>42868.1872337963</v>
      </c>
      <c r="B37" s="20" t="s">
        <v>406</v>
      </c>
      <c r="C37" s="20" t="s">
        <v>612</v>
      </c>
      <c r="D37" s="141">
        <v>1990000</v>
      </c>
      <c r="E37" s="20" t="s">
        <v>607</v>
      </c>
      <c r="F37" s="20" t="s">
        <v>608</v>
      </c>
      <c r="G37" s="8" t="str">
        <f t="shared" si="0"/>
        <v>DAVIS WENDY</v>
      </c>
    </row>
    <row r="38" spans="1:7" x14ac:dyDescent="0.25">
      <c r="A38" s="8">
        <v>42868.187731481485</v>
      </c>
      <c r="B38" s="20" t="s">
        <v>344</v>
      </c>
      <c r="C38" s="20" t="s">
        <v>613</v>
      </c>
      <c r="D38" s="141">
        <v>2140000</v>
      </c>
      <c r="E38" s="20" t="s">
        <v>487</v>
      </c>
      <c r="F38" s="20" t="s">
        <v>488</v>
      </c>
      <c r="G38" s="8" t="str">
        <f t="shared" si="0"/>
        <v>ROBINSON KADDIBA</v>
      </c>
    </row>
    <row r="39" spans="1:7" x14ac:dyDescent="0.25">
      <c r="A39" s="8">
        <v>42868.188009259262</v>
      </c>
      <c r="B39" s="20" t="s">
        <v>387</v>
      </c>
      <c r="C39" s="20" t="s">
        <v>586</v>
      </c>
      <c r="D39" s="141">
        <v>3000000</v>
      </c>
      <c r="E39" s="20" t="s">
        <v>442</v>
      </c>
      <c r="F39" s="20" t="s">
        <v>443</v>
      </c>
      <c r="G39" s="8" t="str">
        <f t="shared" si="0"/>
        <v>FORTUNATO FRANK</v>
      </c>
    </row>
    <row r="40" spans="1:7" x14ac:dyDescent="0.25">
      <c r="A40" s="8">
        <v>42868.188414351855</v>
      </c>
      <c r="B40" s="25" t="s">
        <v>406</v>
      </c>
      <c r="C40" s="20" t="s">
        <v>612</v>
      </c>
      <c r="D40" s="141">
        <v>1990000</v>
      </c>
      <c r="E40" s="20" t="s">
        <v>607</v>
      </c>
      <c r="F40" s="20" t="s">
        <v>608</v>
      </c>
      <c r="G40" s="8" t="str">
        <f t="shared" si="0"/>
        <v>DAVIS WENDY</v>
      </c>
    </row>
    <row r="41" spans="1:7" x14ac:dyDescent="0.25">
      <c r="A41" s="8">
        <v>42868.19027777778</v>
      </c>
      <c r="B41" s="20" t="s">
        <v>406</v>
      </c>
      <c r="C41" s="20" t="s">
        <v>612</v>
      </c>
      <c r="D41" s="141">
        <v>1990000</v>
      </c>
      <c r="E41" s="20" t="s">
        <v>607</v>
      </c>
      <c r="F41" s="20" t="s">
        <v>608</v>
      </c>
      <c r="G41" s="8" t="str">
        <f t="shared" si="0"/>
        <v>DAVIS WENDY</v>
      </c>
    </row>
    <row r="42" spans="1:7" x14ac:dyDescent="0.25">
      <c r="A42" s="8">
        <v>42868.191655092596</v>
      </c>
      <c r="B42" s="20" t="s">
        <v>494</v>
      </c>
      <c r="C42" s="20" t="s">
        <v>614</v>
      </c>
      <c r="D42" s="141">
        <v>1360000</v>
      </c>
      <c r="E42" s="20" t="s">
        <v>610</v>
      </c>
      <c r="F42" s="20" t="s">
        <v>611</v>
      </c>
      <c r="G42" s="8" t="str">
        <f t="shared" si="0"/>
        <v>SANTIZO D. EDY</v>
      </c>
    </row>
    <row r="43" spans="1:7" x14ac:dyDescent="0.25">
      <c r="A43" s="8">
        <v>42868.192280092589</v>
      </c>
      <c r="B43" s="20" t="s">
        <v>436</v>
      </c>
      <c r="C43" s="20" t="s">
        <v>594</v>
      </c>
      <c r="D43" s="141">
        <v>1340000</v>
      </c>
      <c r="E43" s="20" t="s">
        <v>595</v>
      </c>
      <c r="F43" s="20" t="s">
        <v>596</v>
      </c>
      <c r="G43" s="8" t="str">
        <f t="shared" si="0"/>
        <v>BEAM ROSS</v>
      </c>
    </row>
    <row r="44" spans="1:7" x14ac:dyDescent="0.25">
      <c r="A44" s="8">
        <v>42868.198553240742</v>
      </c>
      <c r="B44" s="20" t="s">
        <v>435</v>
      </c>
      <c r="C44" s="20" t="s">
        <v>598</v>
      </c>
      <c r="D44" s="141">
        <v>1340000</v>
      </c>
      <c r="E44" s="20" t="s">
        <v>595</v>
      </c>
      <c r="F44" s="20" t="s">
        <v>596</v>
      </c>
      <c r="G44" s="8" t="str">
        <f t="shared" si="0"/>
        <v>BEAM ROSS</v>
      </c>
    </row>
    <row r="45" spans="1:7" x14ac:dyDescent="0.25">
      <c r="A45" s="8">
        <v>42868.204155092593</v>
      </c>
      <c r="B45" s="20" t="s">
        <v>371</v>
      </c>
      <c r="C45" s="20" t="s">
        <v>615</v>
      </c>
      <c r="D45" s="141">
        <v>2370000</v>
      </c>
      <c r="E45" s="20" t="s">
        <v>462</v>
      </c>
      <c r="F45" s="20" t="s">
        <v>463</v>
      </c>
      <c r="G45" s="8" t="str">
        <f t="shared" si="0"/>
        <v>DELGADO DIANAH</v>
      </c>
    </row>
    <row r="46" spans="1:7" x14ac:dyDescent="0.25">
      <c r="A46" s="8">
        <v>42868.207129629627</v>
      </c>
      <c r="B46" s="20" t="s">
        <v>436</v>
      </c>
      <c r="C46" s="20" t="s">
        <v>594</v>
      </c>
      <c r="D46" s="141">
        <v>1340000</v>
      </c>
      <c r="E46" s="20" t="s">
        <v>595</v>
      </c>
      <c r="F46" s="20" t="s">
        <v>596</v>
      </c>
      <c r="G46" s="8" t="str">
        <f t="shared" si="0"/>
        <v>BEAM ROSS</v>
      </c>
    </row>
    <row r="47" spans="1:7" x14ac:dyDescent="0.25">
      <c r="A47" s="8">
        <v>42868.209560185183</v>
      </c>
      <c r="B47" s="20" t="s">
        <v>356</v>
      </c>
      <c r="C47" s="20" t="s">
        <v>616</v>
      </c>
      <c r="D47" s="141">
        <v>2010000</v>
      </c>
      <c r="E47" s="20" t="s">
        <v>602</v>
      </c>
      <c r="F47" s="20" t="s">
        <v>603</v>
      </c>
      <c r="G47" s="8" t="str">
        <f t="shared" si="0"/>
        <v>MAELZER KURT</v>
      </c>
    </row>
    <row r="48" spans="1:7" x14ac:dyDescent="0.25">
      <c r="A48" s="8">
        <v>42868.209594907406</v>
      </c>
      <c r="B48" s="20" t="s">
        <v>438</v>
      </c>
      <c r="C48" s="20" t="s">
        <v>617</v>
      </c>
      <c r="D48" s="141">
        <v>2550000</v>
      </c>
      <c r="E48" s="20" t="s">
        <v>460</v>
      </c>
      <c r="F48" s="20" t="s">
        <v>461</v>
      </c>
      <c r="G48" s="8" t="str">
        <f t="shared" si="0"/>
        <v>BADERTSCHER DIANE</v>
      </c>
    </row>
    <row r="49" spans="1:7" x14ac:dyDescent="0.25">
      <c r="A49" s="8">
        <v>42868.210694444446</v>
      </c>
      <c r="B49" s="20" t="s">
        <v>438</v>
      </c>
      <c r="C49" s="20" t="s">
        <v>617</v>
      </c>
      <c r="D49" s="141">
        <v>2550000</v>
      </c>
      <c r="E49" s="20" t="s">
        <v>460</v>
      </c>
      <c r="F49" s="20" t="s">
        <v>461</v>
      </c>
      <c r="G49" s="8" t="str">
        <f t="shared" si="0"/>
        <v>BADERTSCHER DIANE</v>
      </c>
    </row>
    <row r="50" spans="1:7" x14ac:dyDescent="0.25">
      <c r="A50" s="8">
        <v>42868.213888888888</v>
      </c>
      <c r="B50" s="20" t="s">
        <v>435</v>
      </c>
      <c r="C50" s="20" t="s">
        <v>598</v>
      </c>
      <c r="D50" s="141">
        <v>1340000</v>
      </c>
      <c r="E50" s="20" t="s">
        <v>595</v>
      </c>
      <c r="F50" s="20" t="s">
        <v>596</v>
      </c>
      <c r="G50" s="8" t="str">
        <f t="shared" si="0"/>
        <v>BEAM ROSS</v>
      </c>
    </row>
    <row r="51" spans="1:7" x14ac:dyDescent="0.25">
      <c r="A51" s="8">
        <v>42868.223680555559</v>
      </c>
      <c r="B51" s="20" t="s">
        <v>381</v>
      </c>
      <c r="C51" s="20" t="s">
        <v>618</v>
      </c>
      <c r="D51" s="141">
        <v>2560000</v>
      </c>
      <c r="E51" s="20" t="s">
        <v>491</v>
      </c>
      <c r="F51" s="20" t="s">
        <v>395</v>
      </c>
      <c r="G51" s="8" t="str">
        <f t="shared" si="0"/>
        <v>MACDONALD THOMAS</v>
      </c>
    </row>
    <row r="52" spans="1:7" x14ac:dyDescent="0.25">
      <c r="A52" s="8">
        <v>42868.225416666668</v>
      </c>
      <c r="B52" s="20" t="s">
        <v>459</v>
      </c>
      <c r="C52" s="20" t="s">
        <v>619</v>
      </c>
      <c r="D52" s="141">
        <v>1360000</v>
      </c>
      <c r="E52" s="20" t="s">
        <v>610</v>
      </c>
      <c r="F52" s="20" t="s">
        <v>611</v>
      </c>
      <c r="G52" s="8" t="str">
        <f t="shared" si="0"/>
        <v>SANTIZO D. EDY</v>
      </c>
    </row>
    <row r="53" spans="1:7" x14ac:dyDescent="0.25">
      <c r="A53" s="8">
        <v>42868.226076388892</v>
      </c>
      <c r="B53" s="20" t="s">
        <v>399</v>
      </c>
      <c r="C53" s="20" t="s">
        <v>620</v>
      </c>
      <c r="D53" s="141">
        <v>1990000</v>
      </c>
      <c r="E53" s="20" t="s">
        <v>607</v>
      </c>
      <c r="F53" s="20" t="s">
        <v>608</v>
      </c>
      <c r="G53" s="8" t="str">
        <f t="shared" si="0"/>
        <v>DAVIS WENDY</v>
      </c>
    </row>
    <row r="54" spans="1:7" x14ac:dyDescent="0.25">
      <c r="A54" s="8">
        <v>42868.227523148147</v>
      </c>
      <c r="B54" s="20" t="s">
        <v>486</v>
      </c>
      <c r="C54" s="20" t="s">
        <v>621</v>
      </c>
      <c r="D54" s="141">
        <v>1100000</v>
      </c>
      <c r="E54" s="20" t="s">
        <v>622</v>
      </c>
      <c r="F54" s="20" t="s">
        <v>623</v>
      </c>
      <c r="G54" s="8" t="str">
        <f t="shared" si="0"/>
        <v>GEBRETEKLE DAGNEW</v>
      </c>
    </row>
    <row r="55" spans="1:7" x14ac:dyDescent="0.25">
      <c r="A55" s="8">
        <v>42868.230416666665</v>
      </c>
      <c r="B55" s="20" t="s">
        <v>436</v>
      </c>
      <c r="C55" s="20" t="s">
        <v>594</v>
      </c>
      <c r="D55" s="141">
        <v>1340000</v>
      </c>
      <c r="E55" s="20" t="s">
        <v>595</v>
      </c>
      <c r="F55" s="20" t="s">
        <v>596</v>
      </c>
      <c r="G55" s="8" t="str">
        <f t="shared" si="0"/>
        <v>BEAM ROSS</v>
      </c>
    </row>
    <row r="56" spans="1:7" x14ac:dyDescent="0.25">
      <c r="A56" s="8">
        <v>42868.235081018516</v>
      </c>
      <c r="B56" s="20" t="s">
        <v>343</v>
      </c>
      <c r="C56" s="20" t="s">
        <v>624</v>
      </c>
      <c r="D56" s="141">
        <v>2140000</v>
      </c>
      <c r="E56" s="20" t="s">
        <v>487</v>
      </c>
      <c r="F56" s="20" t="s">
        <v>488</v>
      </c>
      <c r="G56" s="8" t="str">
        <f t="shared" si="0"/>
        <v>ROBINSON KADDIBA</v>
      </c>
    </row>
    <row r="57" spans="1:7" x14ac:dyDescent="0.25">
      <c r="A57" s="8">
        <v>42868.235613425924</v>
      </c>
      <c r="B57" s="20" t="s">
        <v>379</v>
      </c>
      <c r="C57" s="20" t="s">
        <v>625</v>
      </c>
      <c r="D57" s="141">
        <v>2560000</v>
      </c>
      <c r="E57" s="20" t="s">
        <v>491</v>
      </c>
      <c r="F57" s="20" t="s">
        <v>395</v>
      </c>
      <c r="G57" s="8" t="str">
        <f t="shared" si="0"/>
        <v>MACDONALD THOMAS</v>
      </c>
    </row>
    <row r="58" spans="1:7" x14ac:dyDescent="0.25">
      <c r="A58" s="8">
        <v>42868.236932870372</v>
      </c>
      <c r="B58" s="20" t="s">
        <v>435</v>
      </c>
      <c r="C58" s="20" t="s">
        <v>598</v>
      </c>
      <c r="D58" s="141">
        <v>1340000</v>
      </c>
      <c r="E58" s="20" t="s">
        <v>595</v>
      </c>
      <c r="F58" s="20" t="s">
        <v>596</v>
      </c>
      <c r="G58" s="8" t="str">
        <f t="shared" si="0"/>
        <v>BEAM ROSS</v>
      </c>
    </row>
    <row r="59" spans="1:7" x14ac:dyDescent="0.25">
      <c r="A59" s="8">
        <v>42868.241041666668</v>
      </c>
      <c r="B59" s="20" t="s">
        <v>383</v>
      </c>
      <c r="C59" s="20" t="s">
        <v>544</v>
      </c>
      <c r="D59" s="141">
        <v>2370000</v>
      </c>
      <c r="E59" s="20" t="s">
        <v>462</v>
      </c>
      <c r="F59" s="20" t="s">
        <v>463</v>
      </c>
      <c r="G59" s="8" t="str">
        <f t="shared" si="0"/>
        <v>DELGADO DIANAH</v>
      </c>
    </row>
    <row r="60" spans="1:7" x14ac:dyDescent="0.25">
      <c r="A60" s="8">
        <v>42868.246770833335</v>
      </c>
      <c r="B60" s="20" t="s">
        <v>355</v>
      </c>
      <c r="C60" s="20" t="s">
        <v>626</v>
      </c>
      <c r="D60" s="141">
        <v>1290000</v>
      </c>
      <c r="E60" s="20" t="s">
        <v>489</v>
      </c>
      <c r="F60" s="20" t="s">
        <v>490</v>
      </c>
      <c r="G60" s="8" t="str">
        <f t="shared" si="0"/>
        <v>COOLAHAN JOHN</v>
      </c>
    </row>
    <row r="61" spans="1:7" x14ac:dyDescent="0.25">
      <c r="A61" s="8">
        <v>42868.247303240743</v>
      </c>
      <c r="B61" s="20" t="s">
        <v>439</v>
      </c>
      <c r="C61" s="20" t="s">
        <v>627</v>
      </c>
      <c r="D61" s="141">
        <v>2010000</v>
      </c>
      <c r="E61" s="20" t="s">
        <v>602</v>
      </c>
      <c r="F61" s="20" t="s">
        <v>603</v>
      </c>
      <c r="G61" s="8" t="str">
        <f t="shared" si="0"/>
        <v>MAELZER KURT</v>
      </c>
    </row>
    <row r="62" spans="1:7" x14ac:dyDescent="0.25">
      <c r="A62" s="8">
        <v>42868.248182870368</v>
      </c>
      <c r="B62" s="20" t="s">
        <v>381</v>
      </c>
      <c r="C62" s="20" t="s">
        <v>545</v>
      </c>
      <c r="D62" s="141">
        <v>2560000</v>
      </c>
      <c r="E62" s="20" t="s">
        <v>491</v>
      </c>
      <c r="F62" s="20" t="s">
        <v>395</v>
      </c>
      <c r="G62" s="8" t="str">
        <f t="shared" si="0"/>
        <v>MACDONALD THOMAS</v>
      </c>
    </row>
    <row r="63" spans="1:7" x14ac:dyDescent="0.25">
      <c r="A63" s="8">
        <v>42868.249479166669</v>
      </c>
      <c r="B63" s="20" t="s">
        <v>436</v>
      </c>
      <c r="C63" s="20" t="s">
        <v>594</v>
      </c>
      <c r="D63" s="141">
        <v>1340000</v>
      </c>
      <c r="E63" s="20" t="s">
        <v>595</v>
      </c>
      <c r="F63" s="20" t="s">
        <v>596</v>
      </c>
      <c r="G63" s="8" t="str">
        <f t="shared" si="0"/>
        <v>BEAM ROSS</v>
      </c>
    </row>
    <row r="64" spans="1:7" x14ac:dyDescent="0.25">
      <c r="A64" s="26">
        <v>42868.251851851855</v>
      </c>
      <c r="B64" s="20" t="s">
        <v>542</v>
      </c>
      <c r="C64" s="20" t="s">
        <v>628</v>
      </c>
      <c r="D64" s="141">
        <v>2550000</v>
      </c>
      <c r="E64" s="20" t="s">
        <v>460</v>
      </c>
      <c r="F64" s="20" t="s">
        <v>461</v>
      </c>
      <c r="G64" s="8" t="str">
        <f t="shared" si="0"/>
        <v>BADERTSCHER DIANE</v>
      </c>
    </row>
    <row r="65" spans="1:7" x14ac:dyDescent="0.25">
      <c r="A65" s="8">
        <v>42868.256944444445</v>
      </c>
      <c r="B65" s="20" t="s">
        <v>435</v>
      </c>
      <c r="C65" s="20" t="s">
        <v>598</v>
      </c>
      <c r="D65" s="141">
        <v>1340000</v>
      </c>
      <c r="E65" s="20" t="s">
        <v>595</v>
      </c>
      <c r="F65" s="20" t="s">
        <v>596</v>
      </c>
      <c r="G65" s="8" t="str">
        <f t="shared" si="0"/>
        <v>BEAM ROSS</v>
      </c>
    </row>
    <row r="66" spans="1:7" x14ac:dyDescent="0.25">
      <c r="A66" s="8">
        <v>42868.25708333333</v>
      </c>
      <c r="B66" s="20" t="s">
        <v>406</v>
      </c>
      <c r="C66" s="20" t="s">
        <v>546</v>
      </c>
      <c r="D66" s="141">
        <v>1990000</v>
      </c>
      <c r="E66" s="20" t="s">
        <v>607</v>
      </c>
      <c r="F66" s="20" t="s">
        <v>608</v>
      </c>
      <c r="G66" s="8" t="str">
        <f t="shared" si="0"/>
        <v>DAVIS WENDY</v>
      </c>
    </row>
    <row r="67" spans="1:7" x14ac:dyDescent="0.25">
      <c r="A67" s="8">
        <v>42868.257662037038</v>
      </c>
      <c r="B67" s="20" t="s">
        <v>356</v>
      </c>
      <c r="C67" s="20" t="s">
        <v>629</v>
      </c>
      <c r="D67" s="141">
        <v>1290000</v>
      </c>
      <c r="E67" s="20" t="s">
        <v>489</v>
      </c>
      <c r="F67" s="20" t="s">
        <v>490</v>
      </c>
      <c r="G67" s="8" t="str">
        <f t="shared" ref="G67:G130" si="1">E67&amp;" "&amp;F67</f>
        <v>COOLAHAN JOHN</v>
      </c>
    </row>
    <row r="68" spans="1:7" x14ac:dyDescent="0.25">
      <c r="A68" s="8">
        <v>42868.265173611115</v>
      </c>
      <c r="B68" s="20" t="s">
        <v>436</v>
      </c>
      <c r="C68" s="20" t="s">
        <v>594</v>
      </c>
      <c r="D68" s="141">
        <v>1340000</v>
      </c>
      <c r="E68" s="20" t="s">
        <v>595</v>
      </c>
      <c r="F68" s="20" t="s">
        <v>596</v>
      </c>
      <c r="G68" s="8" t="str">
        <f t="shared" si="1"/>
        <v>BEAM ROSS</v>
      </c>
    </row>
    <row r="69" spans="1:7" x14ac:dyDescent="0.25">
      <c r="A69" s="8">
        <v>42868.265370370369</v>
      </c>
      <c r="B69" s="20" t="s">
        <v>485</v>
      </c>
      <c r="C69" s="20" t="s">
        <v>630</v>
      </c>
      <c r="D69" s="141">
        <v>1100000</v>
      </c>
      <c r="E69" s="20" t="s">
        <v>622</v>
      </c>
      <c r="F69" s="20" t="s">
        <v>623</v>
      </c>
      <c r="G69" s="8" t="str">
        <f t="shared" si="1"/>
        <v>GEBRETEKLE DAGNEW</v>
      </c>
    </row>
    <row r="70" spans="1:7" x14ac:dyDescent="0.25">
      <c r="A70" s="8">
        <v>42868.265439814815</v>
      </c>
      <c r="B70" s="20" t="s">
        <v>494</v>
      </c>
      <c r="C70" s="20" t="s">
        <v>631</v>
      </c>
      <c r="D70" s="141">
        <v>1360000</v>
      </c>
      <c r="E70" s="20" t="s">
        <v>610</v>
      </c>
      <c r="F70" s="20" t="s">
        <v>611</v>
      </c>
      <c r="G70" s="8" t="str">
        <f t="shared" si="1"/>
        <v>SANTIZO D. EDY</v>
      </c>
    </row>
    <row r="71" spans="1:7" x14ac:dyDescent="0.25">
      <c r="A71" s="8">
        <v>42868.271990740737</v>
      </c>
      <c r="B71" s="20" t="s">
        <v>435</v>
      </c>
      <c r="C71" s="20" t="s">
        <v>598</v>
      </c>
      <c r="D71" s="141">
        <v>1340000</v>
      </c>
      <c r="E71" s="20" t="s">
        <v>595</v>
      </c>
      <c r="F71" s="20" t="s">
        <v>596</v>
      </c>
      <c r="G71" s="8" t="str">
        <f t="shared" si="1"/>
        <v>BEAM ROSS</v>
      </c>
    </row>
    <row r="72" spans="1:7" x14ac:dyDescent="0.25">
      <c r="A72" s="8">
        <v>42868.274583333332</v>
      </c>
      <c r="B72" s="20" t="s">
        <v>379</v>
      </c>
      <c r="C72" s="20" t="s">
        <v>632</v>
      </c>
      <c r="D72" s="141">
        <v>2560000</v>
      </c>
      <c r="E72" s="20" t="s">
        <v>491</v>
      </c>
      <c r="F72" s="20" t="s">
        <v>395</v>
      </c>
      <c r="G72" s="8" t="str">
        <f t="shared" si="1"/>
        <v>MACDONALD THOMAS</v>
      </c>
    </row>
    <row r="73" spans="1:7" x14ac:dyDescent="0.25">
      <c r="A73" s="8">
        <v>42868.275578703702</v>
      </c>
      <c r="B73" s="20" t="s">
        <v>371</v>
      </c>
      <c r="C73" s="20" t="s">
        <v>633</v>
      </c>
      <c r="D73" s="141">
        <v>2370000</v>
      </c>
      <c r="E73" s="20" t="s">
        <v>462</v>
      </c>
      <c r="F73" s="20" t="s">
        <v>463</v>
      </c>
      <c r="G73" s="8" t="str">
        <f t="shared" si="1"/>
        <v>DELGADO DIANAH</v>
      </c>
    </row>
    <row r="74" spans="1:7" x14ac:dyDescent="0.25">
      <c r="A74" s="8">
        <v>42868.275925925926</v>
      </c>
      <c r="B74" s="20" t="s">
        <v>344</v>
      </c>
      <c r="C74" s="20" t="s">
        <v>634</v>
      </c>
      <c r="D74" s="141">
        <v>2140000</v>
      </c>
      <c r="E74" s="20" t="s">
        <v>487</v>
      </c>
      <c r="F74" s="20" t="s">
        <v>488</v>
      </c>
      <c r="G74" s="8" t="str">
        <f t="shared" si="1"/>
        <v>ROBINSON KADDIBA</v>
      </c>
    </row>
    <row r="75" spans="1:7" x14ac:dyDescent="0.25">
      <c r="A75" s="8">
        <v>42868.283032407409</v>
      </c>
      <c r="B75" s="20" t="s">
        <v>437</v>
      </c>
      <c r="C75" s="20" t="s">
        <v>635</v>
      </c>
      <c r="D75" s="141">
        <v>2010000</v>
      </c>
      <c r="E75" s="20" t="s">
        <v>602</v>
      </c>
      <c r="F75" s="20" t="s">
        <v>603</v>
      </c>
      <c r="G75" s="8" t="str">
        <f t="shared" si="1"/>
        <v>MAELZER KURT</v>
      </c>
    </row>
    <row r="76" spans="1:7" x14ac:dyDescent="0.25">
      <c r="A76" s="8">
        <v>42868.283576388887</v>
      </c>
      <c r="B76" s="20" t="s">
        <v>437</v>
      </c>
      <c r="C76" s="20" t="s">
        <v>635</v>
      </c>
      <c r="D76" s="141">
        <v>2010000</v>
      </c>
      <c r="E76" s="20" t="s">
        <v>602</v>
      </c>
      <c r="F76" s="20" t="s">
        <v>603</v>
      </c>
      <c r="G76" s="8" t="str">
        <f t="shared" si="1"/>
        <v>MAELZER KURT</v>
      </c>
    </row>
    <row r="77" spans="1:7" x14ac:dyDescent="0.25">
      <c r="A77" s="8">
        <v>42868.284386574072</v>
      </c>
      <c r="B77" s="20" t="s">
        <v>436</v>
      </c>
      <c r="C77" s="20" t="s">
        <v>594</v>
      </c>
      <c r="D77" s="141">
        <v>1340000</v>
      </c>
      <c r="E77" s="20" t="s">
        <v>595</v>
      </c>
      <c r="F77" s="20" t="s">
        <v>596</v>
      </c>
      <c r="G77" s="8" t="str">
        <f t="shared" si="1"/>
        <v>BEAM ROSS</v>
      </c>
    </row>
    <row r="78" spans="1:7" x14ac:dyDescent="0.25">
      <c r="A78" s="8">
        <v>42868.284745370373</v>
      </c>
      <c r="B78" s="20" t="s">
        <v>437</v>
      </c>
      <c r="C78" s="20" t="s">
        <v>635</v>
      </c>
      <c r="D78" s="141">
        <v>2010000</v>
      </c>
      <c r="E78" s="20" t="s">
        <v>602</v>
      </c>
      <c r="F78" s="20" t="s">
        <v>603</v>
      </c>
      <c r="G78" s="8" t="str">
        <f t="shared" si="1"/>
        <v>MAELZER KURT</v>
      </c>
    </row>
    <row r="79" spans="1:7" x14ac:dyDescent="0.25">
      <c r="A79" s="8">
        <v>42868.289305555554</v>
      </c>
      <c r="B79" s="20" t="s">
        <v>381</v>
      </c>
      <c r="C79" s="20" t="s">
        <v>636</v>
      </c>
      <c r="D79" s="141">
        <v>2560000</v>
      </c>
      <c r="E79" s="20" t="s">
        <v>491</v>
      </c>
      <c r="F79" s="20" t="s">
        <v>395</v>
      </c>
      <c r="G79" s="8" t="str">
        <f t="shared" si="1"/>
        <v>MACDONALD THOMAS</v>
      </c>
    </row>
    <row r="80" spans="1:7" x14ac:dyDescent="0.25">
      <c r="A80" s="8">
        <v>42868.289456018516</v>
      </c>
      <c r="B80" s="20" t="s">
        <v>438</v>
      </c>
      <c r="C80" s="20" t="s">
        <v>637</v>
      </c>
      <c r="D80" s="141">
        <v>2550000</v>
      </c>
      <c r="E80" s="20" t="s">
        <v>460</v>
      </c>
      <c r="F80" s="20" t="s">
        <v>461</v>
      </c>
      <c r="G80" s="8" t="str">
        <f t="shared" si="1"/>
        <v>BADERTSCHER DIANE</v>
      </c>
    </row>
    <row r="81" spans="1:7" x14ac:dyDescent="0.25">
      <c r="A81" s="8">
        <v>42868.294282407405</v>
      </c>
      <c r="B81" s="20" t="s">
        <v>435</v>
      </c>
      <c r="C81" s="20" t="s">
        <v>598</v>
      </c>
      <c r="D81" s="141">
        <v>1340000</v>
      </c>
      <c r="E81" s="20" t="s">
        <v>595</v>
      </c>
      <c r="F81" s="20" t="s">
        <v>596</v>
      </c>
      <c r="G81" s="8" t="str">
        <f t="shared" si="1"/>
        <v>BEAM ROSS</v>
      </c>
    </row>
    <row r="82" spans="1:7" x14ac:dyDescent="0.25">
      <c r="A82" s="8">
        <v>42868.296261574076</v>
      </c>
      <c r="B82" s="20" t="s">
        <v>399</v>
      </c>
      <c r="C82" s="20" t="s">
        <v>547</v>
      </c>
      <c r="D82" s="141">
        <v>1990000</v>
      </c>
      <c r="E82" s="20" t="s">
        <v>607</v>
      </c>
      <c r="F82" s="20" t="s">
        <v>608</v>
      </c>
      <c r="G82" s="8" t="str">
        <f t="shared" si="1"/>
        <v>DAVIS WENDY</v>
      </c>
    </row>
    <row r="83" spans="1:7" x14ac:dyDescent="0.25">
      <c r="A83" s="8">
        <v>42868.296851851854</v>
      </c>
      <c r="B83" s="20" t="s">
        <v>459</v>
      </c>
      <c r="C83" s="20" t="s">
        <v>638</v>
      </c>
      <c r="D83" s="141">
        <v>1360000</v>
      </c>
      <c r="E83" s="20" t="s">
        <v>610</v>
      </c>
      <c r="F83" s="20" t="s">
        <v>611</v>
      </c>
      <c r="G83" s="8" t="str">
        <f t="shared" si="1"/>
        <v>SANTIZO D. EDY</v>
      </c>
    </row>
    <row r="84" spans="1:7" x14ac:dyDescent="0.25">
      <c r="A84" s="8">
        <v>42868.298587962963</v>
      </c>
      <c r="B84" s="20" t="s">
        <v>486</v>
      </c>
      <c r="C84" s="20" t="s">
        <v>639</v>
      </c>
      <c r="D84" s="141">
        <v>1100000</v>
      </c>
      <c r="E84" s="20" t="s">
        <v>622</v>
      </c>
      <c r="F84" s="20" t="s">
        <v>623</v>
      </c>
      <c r="G84" s="8" t="str">
        <f t="shared" si="1"/>
        <v>GEBRETEKLE DAGNEW</v>
      </c>
    </row>
    <row r="85" spans="1:7" x14ac:dyDescent="0.25">
      <c r="A85" s="8">
        <v>42868.301921296297</v>
      </c>
      <c r="B85" s="20" t="s">
        <v>436</v>
      </c>
      <c r="C85" s="20" t="s">
        <v>594</v>
      </c>
      <c r="D85" s="141">
        <v>1340000</v>
      </c>
      <c r="E85" s="20" t="s">
        <v>595</v>
      </c>
      <c r="F85" s="20" t="s">
        <v>596</v>
      </c>
      <c r="G85" s="8" t="str">
        <f t="shared" si="1"/>
        <v>BEAM ROSS</v>
      </c>
    </row>
    <row r="86" spans="1:7" x14ac:dyDescent="0.25">
      <c r="A86" s="8">
        <v>42868.307928240742</v>
      </c>
      <c r="B86" s="20" t="s">
        <v>343</v>
      </c>
      <c r="C86" s="20" t="s">
        <v>640</v>
      </c>
      <c r="D86" s="141">
        <v>2140000</v>
      </c>
      <c r="E86" s="20" t="s">
        <v>487</v>
      </c>
      <c r="F86" s="20" t="s">
        <v>488</v>
      </c>
      <c r="G86" s="8" t="str">
        <f t="shared" si="1"/>
        <v>ROBINSON KADDIBA</v>
      </c>
    </row>
    <row r="87" spans="1:7" x14ac:dyDescent="0.25">
      <c r="A87" s="8">
        <v>42868.311435185184</v>
      </c>
      <c r="B87" s="20" t="s">
        <v>435</v>
      </c>
      <c r="C87" s="20" t="s">
        <v>598</v>
      </c>
      <c r="D87" s="141">
        <v>1340000</v>
      </c>
      <c r="E87" s="20" t="s">
        <v>595</v>
      </c>
      <c r="F87" s="20" t="s">
        <v>596</v>
      </c>
      <c r="G87" s="8" t="str">
        <f t="shared" si="1"/>
        <v>BEAM ROSS</v>
      </c>
    </row>
    <row r="88" spans="1:7" x14ac:dyDescent="0.25">
      <c r="A88" s="8">
        <v>42868.316874999997</v>
      </c>
      <c r="B88" s="20" t="s">
        <v>379</v>
      </c>
      <c r="C88" s="20" t="s">
        <v>641</v>
      </c>
      <c r="D88" s="141">
        <v>2560000</v>
      </c>
      <c r="E88" s="20" t="s">
        <v>491</v>
      </c>
      <c r="F88" s="20" t="s">
        <v>395</v>
      </c>
      <c r="G88" s="8" t="str">
        <f t="shared" si="1"/>
        <v>MACDONALD THOMAS</v>
      </c>
    </row>
    <row r="89" spans="1:7" x14ac:dyDescent="0.25">
      <c r="A89" s="8">
        <v>42868.317442129628</v>
      </c>
      <c r="B89" s="20" t="s">
        <v>383</v>
      </c>
      <c r="C89" s="20" t="s">
        <v>642</v>
      </c>
      <c r="D89" s="141">
        <v>2370000</v>
      </c>
      <c r="E89" s="20" t="s">
        <v>462</v>
      </c>
      <c r="F89" s="20" t="s">
        <v>463</v>
      </c>
      <c r="G89" s="8" t="str">
        <f t="shared" si="1"/>
        <v>DELGADO DIANAH</v>
      </c>
    </row>
    <row r="90" spans="1:7" x14ac:dyDescent="0.25">
      <c r="A90" s="8">
        <v>42868.319340277776</v>
      </c>
      <c r="B90" s="20" t="s">
        <v>439</v>
      </c>
      <c r="C90" s="20" t="s">
        <v>643</v>
      </c>
      <c r="D90" s="141">
        <v>2010000</v>
      </c>
      <c r="E90" s="20" t="s">
        <v>602</v>
      </c>
      <c r="F90" s="20" t="s">
        <v>603</v>
      </c>
      <c r="G90" s="8" t="str">
        <f t="shared" si="1"/>
        <v>MAELZER KURT</v>
      </c>
    </row>
    <row r="91" spans="1:7" x14ac:dyDescent="0.25">
      <c r="A91" s="8">
        <v>42868.319490740738</v>
      </c>
      <c r="B91" s="20" t="s">
        <v>436</v>
      </c>
      <c r="C91" s="20" t="s">
        <v>594</v>
      </c>
      <c r="D91" s="141">
        <v>1340000</v>
      </c>
      <c r="E91" s="20" t="s">
        <v>595</v>
      </c>
      <c r="F91" s="20" t="s">
        <v>596</v>
      </c>
      <c r="G91" s="8" t="str">
        <f t="shared" si="1"/>
        <v>BEAM ROSS</v>
      </c>
    </row>
    <row r="92" spans="1:7" x14ac:dyDescent="0.25">
      <c r="A92" s="8">
        <v>42868.320868055554</v>
      </c>
      <c r="B92" s="20" t="s">
        <v>542</v>
      </c>
      <c r="C92" s="20" t="s">
        <v>644</v>
      </c>
      <c r="D92" s="141">
        <v>2550000</v>
      </c>
      <c r="E92" s="20" t="s">
        <v>460</v>
      </c>
      <c r="F92" s="20" t="s">
        <v>461</v>
      </c>
      <c r="G92" s="8" t="str">
        <f t="shared" si="1"/>
        <v>BADERTSCHER DIANE</v>
      </c>
    </row>
    <row r="93" spans="1:7" x14ac:dyDescent="0.25">
      <c r="A93" s="8">
        <v>42868.325648148151</v>
      </c>
      <c r="B93" s="20" t="s">
        <v>435</v>
      </c>
      <c r="C93" s="20" t="s">
        <v>598</v>
      </c>
      <c r="D93" s="141">
        <v>1340000</v>
      </c>
      <c r="E93" s="20" t="s">
        <v>595</v>
      </c>
      <c r="F93" s="20" t="s">
        <v>596</v>
      </c>
      <c r="G93" s="8" t="str">
        <f t="shared" si="1"/>
        <v>BEAM ROSS</v>
      </c>
    </row>
    <row r="94" spans="1:7" x14ac:dyDescent="0.25">
      <c r="A94" s="8">
        <v>42868.330324074072</v>
      </c>
      <c r="B94" s="20" t="s">
        <v>406</v>
      </c>
      <c r="C94" s="20" t="s">
        <v>645</v>
      </c>
      <c r="D94" s="141">
        <v>1990000</v>
      </c>
      <c r="E94" s="20" t="s">
        <v>607</v>
      </c>
      <c r="F94" s="20" t="s">
        <v>608</v>
      </c>
      <c r="G94" s="8" t="str">
        <f t="shared" si="1"/>
        <v>DAVIS WENDY</v>
      </c>
    </row>
    <row r="95" spans="1:7" x14ac:dyDescent="0.25">
      <c r="A95" s="8">
        <v>42868.333194444444</v>
      </c>
      <c r="B95" s="20" t="s">
        <v>436</v>
      </c>
      <c r="C95" s="20" t="s">
        <v>594</v>
      </c>
      <c r="D95" s="141">
        <v>1340000</v>
      </c>
      <c r="E95" s="20" t="s">
        <v>595</v>
      </c>
      <c r="F95" s="20" t="s">
        <v>596</v>
      </c>
      <c r="G95" s="8" t="str">
        <f t="shared" si="1"/>
        <v>BEAM ROSS</v>
      </c>
    </row>
    <row r="96" spans="1:7" x14ac:dyDescent="0.25">
      <c r="A96" s="8">
        <v>42868.337048611109</v>
      </c>
      <c r="B96" s="20" t="s">
        <v>485</v>
      </c>
      <c r="C96" s="20" t="s">
        <v>646</v>
      </c>
      <c r="D96" s="141">
        <v>1100000</v>
      </c>
      <c r="E96" s="20" t="s">
        <v>622</v>
      </c>
      <c r="F96" s="20" t="s">
        <v>623</v>
      </c>
      <c r="G96" s="8" t="str">
        <f t="shared" si="1"/>
        <v>GEBRETEKLE DAGNEW</v>
      </c>
    </row>
    <row r="97" spans="1:7" x14ac:dyDescent="0.25">
      <c r="A97" s="8">
        <v>42868.337361111109</v>
      </c>
      <c r="B97" s="20" t="s">
        <v>494</v>
      </c>
      <c r="C97" s="20" t="s">
        <v>647</v>
      </c>
      <c r="D97" s="141">
        <v>1360000</v>
      </c>
      <c r="E97" s="20" t="s">
        <v>610</v>
      </c>
      <c r="F97" s="20" t="s">
        <v>611</v>
      </c>
      <c r="G97" s="8" t="str">
        <f t="shared" si="1"/>
        <v>SANTIZO D. EDY</v>
      </c>
    </row>
    <row r="98" spans="1:7" x14ac:dyDescent="0.25">
      <c r="A98" s="8">
        <v>42868.339722222219</v>
      </c>
      <c r="B98" s="20" t="s">
        <v>435</v>
      </c>
      <c r="C98" s="20" t="s">
        <v>598</v>
      </c>
      <c r="D98" s="141">
        <v>1340000</v>
      </c>
      <c r="E98" s="20" t="s">
        <v>595</v>
      </c>
      <c r="F98" s="20" t="s">
        <v>596</v>
      </c>
      <c r="G98" s="8" t="str">
        <f t="shared" si="1"/>
        <v>BEAM ROSS</v>
      </c>
    </row>
    <row r="99" spans="1:7" x14ac:dyDescent="0.25">
      <c r="A99" s="8">
        <v>42868.343425925923</v>
      </c>
      <c r="B99" s="20" t="s">
        <v>344</v>
      </c>
      <c r="C99" s="20" t="s">
        <v>548</v>
      </c>
      <c r="D99" s="141">
        <v>2140000</v>
      </c>
      <c r="E99" s="20" t="s">
        <v>487</v>
      </c>
      <c r="F99" s="20" t="s">
        <v>488</v>
      </c>
      <c r="G99" s="8" t="str">
        <f t="shared" si="1"/>
        <v>ROBINSON KADDIBA</v>
      </c>
    </row>
    <row r="100" spans="1:7" x14ac:dyDescent="0.25">
      <c r="A100" s="8">
        <v>42868.345856481479</v>
      </c>
      <c r="B100" s="20" t="s">
        <v>381</v>
      </c>
      <c r="C100" s="20" t="s">
        <v>648</v>
      </c>
      <c r="D100" s="141">
        <v>2560000</v>
      </c>
      <c r="E100" s="20" t="s">
        <v>491</v>
      </c>
      <c r="F100" s="20" t="s">
        <v>395</v>
      </c>
      <c r="G100" s="8" t="str">
        <f t="shared" si="1"/>
        <v>MACDONALD THOMAS</v>
      </c>
    </row>
    <row r="101" spans="1:7" x14ac:dyDescent="0.25">
      <c r="A101" s="8">
        <v>42868.349907407406</v>
      </c>
      <c r="B101" s="20" t="s">
        <v>371</v>
      </c>
      <c r="C101" s="20" t="s">
        <v>649</v>
      </c>
      <c r="D101" s="141">
        <v>2370000</v>
      </c>
      <c r="E101" s="20" t="s">
        <v>462</v>
      </c>
      <c r="F101" s="20" t="s">
        <v>463</v>
      </c>
      <c r="G101" s="8" t="str">
        <f t="shared" si="1"/>
        <v>DELGADO DIANAH</v>
      </c>
    </row>
    <row r="102" spans="1:7" x14ac:dyDescent="0.25">
      <c r="A102" s="8">
        <v>42868.355798611112</v>
      </c>
      <c r="B102" s="20" t="s">
        <v>437</v>
      </c>
      <c r="C102" s="20" t="s">
        <v>650</v>
      </c>
      <c r="D102" s="141">
        <v>2010000</v>
      </c>
      <c r="E102" s="20" t="s">
        <v>602</v>
      </c>
      <c r="F102" s="20" t="s">
        <v>603</v>
      </c>
      <c r="G102" s="8" t="str">
        <f t="shared" si="1"/>
        <v>MAELZER KURT</v>
      </c>
    </row>
    <row r="103" spans="1:7" x14ac:dyDescent="0.25">
      <c r="A103" s="8">
        <v>42868.358449074076</v>
      </c>
      <c r="B103" s="20" t="s">
        <v>379</v>
      </c>
      <c r="C103" s="20" t="s">
        <v>651</v>
      </c>
      <c r="D103" s="141">
        <v>2560000</v>
      </c>
      <c r="E103" s="20" t="s">
        <v>491</v>
      </c>
      <c r="F103" s="20" t="s">
        <v>395</v>
      </c>
      <c r="G103" s="8" t="str">
        <f t="shared" si="1"/>
        <v>MACDONALD THOMAS</v>
      </c>
    </row>
    <row r="104" spans="1:7" x14ac:dyDescent="0.25">
      <c r="A104" s="8">
        <v>42868.360682870371</v>
      </c>
      <c r="B104" s="20" t="s">
        <v>438</v>
      </c>
      <c r="C104" s="20" t="s">
        <v>652</v>
      </c>
      <c r="D104" s="141">
        <v>2550000</v>
      </c>
      <c r="E104" s="20" t="s">
        <v>460</v>
      </c>
      <c r="F104" s="20" t="s">
        <v>461</v>
      </c>
      <c r="G104" s="8" t="str">
        <f t="shared" si="1"/>
        <v>BADERTSCHER DIANE</v>
      </c>
    </row>
    <row r="105" spans="1:7" x14ac:dyDescent="0.25">
      <c r="A105" s="8">
        <v>42868.369560185187</v>
      </c>
      <c r="B105" s="20" t="s">
        <v>486</v>
      </c>
      <c r="C105" s="20" t="s">
        <v>653</v>
      </c>
      <c r="D105" s="141">
        <v>1100000</v>
      </c>
      <c r="E105" s="20" t="s">
        <v>622</v>
      </c>
      <c r="F105" s="20" t="s">
        <v>623</v>
      </c>
      <c r="G105" s="8" t="str">
        <f t="shared" si="1"/>
        <v>GEBRETEKLE DAGNEW</v>
      </c>
    </row>
    <row r="106" spans="1:7" x14ac:dyDescent="0.25">
      <c r="A106" s="8">
        <v>42868.37060185185</v>
      </c>
      <c r="B106" s="20" t="s">
        <v>459</v>
      </c>
      <c r="C106" s="20" t="s">
        <v>654</v>
      </c>
      <c r="D106" s="141">
        <v>1360000</v>
      </c>
      <c r="E106" s="20" t="s">
        <v>610</v>
      </c>
      <c r="F106" s="20" t="s">
        <v>611</v>
      </c>
      <c r="G106" s="8" t="str">
        <f t="shared" si="1"/>
        <v>SANTIZO D. EDY</v>
      </c>
    </row>
    <row r="107" spans="1:7" x14ac:dyDescent="0.25">
      <c r="A107" s="8">
        <v>42868.370752314811</v>
      </c>
      <c r="B107" s="20" t="s">
        <v>399</v>
      </c>
      <c r="C107" s="20" t="s">
        <v>655</v>
      </c>
      <c r="D107" s="141">
        <v>1990000</v>
      </c>
      <c r="E107" s="20" t="s">
        <v>607</v>
      </c>
      <c r="F107" s="20" t="s">
        <v>608</v>
      </c>
      <c r="G107" s="8" t="str">
        <f t="shared" si="1"/>
        <v>DAVIS WENDY</v>
      </c>
    </row>
    <row r="108" spans="1:7" x14ac:dyDescent="0.25">
      <c r="A108" s="8">
        <v>42868.374861111108</v>
      </c>
      <c r="B108" s="20" t="s">
        <v>381</v>
      </c>
      <c r="C108" s="20" t="s">
        <v>656</v>
      </c>
      <c r="D108" s="141">
        <v>2560000</v>
      </c>
      <c r="E108" s="20" t="s">
        <v>491</v>
      </c>
      <c r="F108" s="20" t="s">
        <v>395</v>
      </c>
      <c r="G108" s="8" t="str">
        <f t="shared" si="1"/>
        <v>MACDONALD THOMAS</v>
      </c>
    </row>
    <row r="109" spans="1:7" x14ac:dyDescent="0.25">
      <c r="A109" s="8">
        <v>42868.382743055554</v>
      </c>
      <c r="B109" s="20" t="s">
        <v>343</v>
      </c>
      <c r="C109" s="20" t="s">
        <v>549</v>
      </c>
      <c r="D109" s="141">
        <v>2140000</v>
      </c>
      <c r="E109" s="20" t="s">
        <v>487</v>
      </c>
      <c r="F109" s="20" t="s">
        <v>488</v>
      </c>
      <c r="G109" s="8" t="str">
        <f t="shared" si="1"/>
        <v>ROBINSON KADDIBA</v>
      </c>
    </row>
    <row r="110" spans="1:7" x14ac:dyDescent="0.25">
      <c r="A110" s="8">
        <v>42868.385879629626</v>
      </c>
      <c r="B110" s="20" t="s">
        <v>383</v>
      </c>
      <c r="C110" s="20" t="s">
        <v>657</v>
      </c>
      <c r="D110" s="141">
        <v>2370000</v>
      </c>
      <c r="E110" s="20" t="s">
        <v>462</v>
      </c>
      <c r="F110" s="20" t="s">
        <v>463</v>
      </c>
      <c r="G110" s="8" t="str">
        <f t="shared" si="1"/>
        <v>DELGADO DIANAH</v>
      </c>
    </row>
    <row r="111" spans="1:7" x14ac:dyDescent="0.25">
      <c r="A111" s="8">
        <v>42868.391365740739</v>
      </c>
      <c r="B111" s="20" t="s">
        <v>439</v>
      </c>
      <c r="C111" s="20" t="s">
        <v>658</v>
      </c>
      <c r="D111" s="141">
        <v>2010000</v>
      </c>
      <c r="E111" s="20" t="s">
        <v>602</v>
      </c>
      <c r="F111" s="20" t="s">
        <v>603</v>
      </c>
      <c r="G111" s="8" t="str">
        <f t="shared" si="1"/>
        <v>MAELZER KURT</v>
      </c>
    </row>
    <row r="112" spans="1:7" x14ac:dyDescent="0.25">
      <c r="A112" s="8">
        <v>42868.400196759256</v>
      </c>
      <c r="B112" s="20" t="s">
        <v>542</v>
      </c>
      <c r="C112" s="20" t="s">
        <v>659</v>
      </c>
      <c r="D112" s="141">
        <v>2550000</v>
      </c>
      <c r="E112" s="20" t="s">
        <v>460</v>
      </c>
      <c r="F112" s="20" t="s">
        <v>461</v>
      </c>
      <c r="G112" s="8" t="str">
        <f t="shared" si="1"/>
        <v>BADERTSCHER DIANE</v>
      </c>
    </row>
    <row r="113" spans="1:7" x14ac:dyDescent="0.25">
      <c r="A113" s="8">
        <v>42868.40048611111</v>
      </c>
      <c r="B113" s="20" t="s">
        <v>379</v>
      </c>
      <c r="C113" s="20" t="s">
        <v>660</v>
      </c>
      <c r="D113" s="141">
        <v>2560000</v>
      </c>
      <c r="E113" s="20" t="s">
        <v>491</v>
      </c>
      <c r="F113" s="20" t="s">
        <v>395</v>
      </c>
      <c r="G113" s="8" t="str">
        <f t="shared" si="1"/>
        <v>MACDONALD THOMAS</v>
      </c>
    </row>
    <row r="114" spans="1:7" x14ac:dyDescent="0.25">
      <c r="A114" s="8">
        <v>42868.402465277781</v>
      </c>
      <c r="B114" s="20" t="s">
        <v>406</v>
      </c>
      <c r="C114" s="20" t="s">
        <v>550</v>
      </c>
      <c r="D114" s="141">
        <v>1990000</v>
      </c>
      <c r="E114" s="20" t="s">
        <v>607</v>
      </c>
      <c r="F114" s="20" t="s">
        <v>608</v>
      </c>
      <c r="G114" s="8" t="str">
        <f t="shared" si="1"/>
        <v>DAVIS WENDY</v>
      </c>
    </row>
    <row r="115" spans="1:7" x14ac:dyDescent="0.25">
      <c r="A115" s="8">
        <v>42868.408206018517</v>
      </c>
      <c r="B115" s="20" t="s">
        <v>485</v>
      </c>
      <c r="C115" s="20" t="s">
        <v>661</v>
      </c>
      <c r="D115" s="141">
        <v>1100000</v>
      </c>
      <c r="E115" s="20" t="s">
        <v>622</v>
      </c>
      <c r="F115" s="20" t="s">
        <v>623</v>
      </c>
      <c r="G115" s="8" t="str">
        <f t="shared" si="1"/>
        <v>GEBRETEKLE DAGNEW</v>
      </c>
    </row>
    <row r="116" spans="1:7" x14ac:dyDescent="0.25">
      <c r="A116" s="8">
        <v>42868.410081018519</v>
      </c>
      <c r="B116" s="20" t="s">
        <v>494</v>
      </c>
      <c r="C116" s="20" t="s">
        <v>662</v>
      </c>
      <c r="D116" s="141">
        <v>1360000</v>
      </c>
      <c r="E116" s="20" t="s">
        <v>610</v>
      </c>
      <c r="F116" s="20" t="s">
        <v>611</v>
      </c>
      <c r="G116" s="8" t="str">
        <f t="shared" si="1"/>
        <v>SANTIZO D. EDY</v>
      </c>
    </row>
    <row r="117" spans="1:7" x14ac:dyDescent="0.25">
      <c r="A117" s="8">
        <v>42868.414525462962</v>
      </c>
      <c r="B117" s="20" t="s">
        <v>381</v>
      </c>
      <c r="C117" s="20" t="s">
        <v>663</v>
      </c>
      <c r="D117" s="141">
        <v>2560000</v>
      </c>
      <c r="E117" s="20" t="s">
        <v>491</v>
      </c>
      <c r="F117" s="20" t="s">
        <v>395</v>
      </c>
      <c r="G117" s="8" t="str">
        <f t="shared" si="1"/>
        <v>MACDONALD THOMAS</v>
      </c>
    </row>
    <row r="118" spans="1:7" x14ac:dyDescent="0.25">
      <c r="A118" s="8">
        <v>42868.418217592596</v>
      </c>
      <c r="B118" s="20" t="s">
        <v>344</v>
      </c>
      <c r="C118" s="20" t="s">
        <v>664</v>
      </c>
      <c r="D118" s="141">
        <v>2140000</v>
      </c>
      <c r="E118" s="20" t="s">
        <v>487</v>
      </c>
      <c r="F118" s="20" t="s">
        <v>488</v>
      </c>
      <c r="G118" s="8" t="str">
        <f t="shared" si="1"/>
        <v>ROBINSON KADDIBA</v>
      </c>
    </row>
    <row r="119" spans="1:7" x14ac:dyDescent="0.25">
      <c r="A119" s="8">
        <v>42868.424050925925</v>
      </c>
      <c r="B119" s="20" t="s">
        <v>371</v>
      </c>
      <c r="C119" s="20" t="s">
        <v>665</v>
      </c>
      <c r="D119" s="141">
        <v>2370000</v>
      </c>
      <c r="E119" s="20" t="s">
        <v>462</v>
      </c>
      <c r="F119" s="20" t="s">
        <v>463</v>
      </c>
      <c r="G119" s="8" t="str">
        <f t="shared" si="1"/>
        <v>DELGADO DIANAH</v>
      </c>
    </row>
    <row r="120" spans="1:7" x14ac:dyDescent="0.25">
      <c r="A120" s="8">
        <v>42868.427708333336</v>
      </c>
      <c r="B120" s="20" t="s">
        <v>437</v>
      </c>
      <c r="C120" s="20" t="s">
        <v>666</v>
      </c>
      <c r="D120" s="141">
        <v>2010000</v>
      </c>
      <c r="E120" s="20" t="s">
        <v>602</v>
      </c>
      <c r="F120" s="20" t="s">
        <v>603</v>
      </c>
      <c r="G120" s="8" t="str">
        <f t="shared" si="1"/>
        <v>MAELZER KURT</v>
      </c>
    </row>
    <row r="121" spans="1:7" x14ac:dyDescent="0.25">
      <c r="A121" s="8">
        <v>42868.437083333331</v>
      </c>
      <c r="B121" s="20" t="s">
        <v>438</v>
      </c>
      <c r="C121" s="20" t="s">
        <v>667</v>
      </c>
      <c r="D121" s="141">
        <v>2470000</v>
      </c>
      <c r="E121" s="20" t="s">
        <v>668</v>
      </c>
      <c r="F121" s="20" t="s">
        <v>669</v>
      </c>
      <c r="G121" s="8" t="str">
        <f t="shared" si="1"/>
        <v>ROMERO CHAD</v>
      </c>
    </row>
    <row r="122" spans="1:7" x14ac:dyDescent="0.25">
      <c r="A122" s="8">
        <v>42868.442118055558</v>
      </c>
      <c r="B122" s="25" t="s">
        <v>379</v>
      </c>
      <c r="C122" s="20" t="s">
        <v>551</v>
      </c>
      <c r="D122" s="141">
        <v>2560000</v>
      </c>
      <c r="E122" s="20" t="s">
        <v>491</v>
      </c>
      <c r="F122" s="20" t="s">
        <v>395</v>
      </c>
      <c r="G122" s="8" t="str">
        <f t="shared" si="1"/>
        <v>MACDONALD THOMAS</v>
      </c>
    </row>
    <row r="123" spans="1:7" x14ac:dyDescent="0.25">
      <c r="A123" s="8">
        <v>42868.442604166667</v>
      </c>
      <c r="B123" s="20" t="s">
        <v>399</v>
      </c>
      <c r="C123" s="20" t="s">
        <v>670</v>
      </c>
      <c r="D123" s="141">
        <v>1990000</v>
      </c>
      <c r="E123" s="20" t="s">
        <v>607</v>
      </c>
      <c r="F123" s="20" t="s">
        <v>608</v>
      </c>
      <c r="G123" s="8" t="str">
        <f t="shared" si="1"/>
        <v>DAVIS WENDY</v>
      </c>
    </row>
    <row r="124" spans="1:7" x14ac:dyDescent="0.25">
      <c r="A124" s="8">
        <v>42868.442812499998</v>
      </c>
      <c r="B124" s="20" t="s">
        <v>438</v>
      </c>
      <c r="C124" s="20" t="s">
        <v>667</v>
      </c>
      <c r="D124" s="141">
        <v>2470000</v>
      </c>
      <c r="E124" s="20" t="s">
        <v>668</v>
      </c>
      <c r="F124" s="20" t="s">
        <v>669</v>
      </c>
      <c r="G124" s="8" t="str">
        <f t="shared" si="1"/>
        <v>ROMERO CHAD</v>
      </c>
    </row>
    <row r="125" spans="1:7" x14ac:dyDescent="0.25">
      <c r="A125" s="8">
        <v>42868.443090277775</v>
      </c>
      <c r="B125" s="20" t="s">
        <v>459</v>
      </c>
      <c r="C125" s="20" t="s">
        <v>671</v>
      </c>
      <c r="D125" s="141">
        <v>1360000</v>
      </c>
      <c r="E125" s="20" t="s">
        <v>610</v>
      </c>
      <c r="F125" s="20" t="s">
        <v>611</v>
      </c>
      <c r="G125" s="8" t="str">
        <f t="shared" si="1"/>
        <v>SANTIZO D. EDY</v>
      </c>
    </row>
    <row r="126" spans="1:7" x14ac:dyDescent="0.25">
      <c r="A126" s="8">
        <v>42868.44730324074</v>
      </c>
      <c r="B126" s="20" t="s">
        <v>486</v>
      </c>
      <c r="C126" s="20" t="s">
        <v>672</v>
      </c>
      <c r="D126" s="141">
        <v>1100000</v>
      </c>
      <c r="E126" s="20" t="s">
        <v>622</v>
      </c>
      <c r="F126" s="20" t="s">
        <v>623</v>
      </c>
      <c r="G126" s="8" t="str">
        <f t="shared" si="1"/>
        <v>GEBRETEKLE DAGNEW</v>
      </c>
    </row>
    <row r="127" spans="1:7" x14ac:dyDescent="0.25">
      <c r="A127" s="8">
        <v>42868.449745370373</v>
      </c>
      <c r="B127" s="20" t="s">
        <v>438</v>
      </c>
      <c r="C127" s="20" t="s">
        <v>667</v>
      </c>
      <c r="D127" s="141">
        <v>2470000</v>
      </c>
      <c r="E127" s="20" t="s">
        <v>668</v>
      </c>
      <c r="F127" s="20" t="s">
        <v>669</v>
      </c>
      <c r="G127" s="8" t="str">
        <f t="shared" si="1"/>
        <v>ROMERO CHAD</v>
      </c>
    </row>
    <row r="128" spans="1:7" x14ac:dyDescent="0.25">
      <c r="A128" s="8">
        <v>42868.456388888888</v>
      </c>
      <c r="B128" s="20" t="s">
        <v>381</v>
      </c>
      <c r="C128" s="20" t="s">
        <v>673</v>
      </c>
      <c r="D128" s="141">
        <v>2560000</v>
      </c>
      <c r="E128" s="20" t="s">
        <v>491</v>
      </c>
      <c r="F128" s="20" t="s">
        <v>395</v>
      </c>
      <c r="G128" s="8" t="str">
        <f t="shared" si="1"/>
        <v>MACDONALD THOMAS</v>
      </c>
    </row>
    <row r="129" spans="1:7" x14ac:dyDescent="0.25">
      <c r="A129" s="8">
        <v>42868.456736111111</v>
      </c>
      <c r="B129" s="20" t="s">
        <v>343</v>
      </c>
      <c r="C129" s="20" t="s">
        <v>674</v>
      </c>
      <c r="D129" s="141">
        <v>880000</v>
      </c>
      <c r="E129" s="20" t="s">
        <v>675</v>
      </c>
      <c r="F129" s="20" t="s">
        <v>196</v>
      </c>
      <c r="G129" s="8" t="str">
        <f t="shared" si="1"/>
        <v>STEWART MICHAEL</v>
      </c>
    </row>
    <row r="130" spans="1:7" x14ac:dyDescent="0.25">
      <c r="A130" s="8">
        <v>42868.460555555554</v>
      </c>
      <c r="B130" s="20" t="s">
        <v>383</v>
      </c>
      <c r="C130" s="20" t="s">
        <v>676</v>
      </c>
      <c r="D130" s="141">
        <v>2370000</v>
      </c>
      <c r="E130" s="20" t="s">
        <v>462</v>
      </c>
      <c r="F130" s="20" t="s">
        <v>463</v>
      </c>
      <c r="G130" s="8" t="str">
        <f t="shared" si="1"/>
        <v>DELGADO DIANAH</v>
      </c>
    </row>
    <row r="131" spans="1:7" x14ac:dyDescent="0.25">
      <c r="A131" s="8">
        <v>42868.46570601852</v>
      </c>
      <c r="B131" s="20" t="s">
        <v>439</v>
      </c>
      <c r="C131" s="20" t="s">
        <v>677</v>
      </c>
      <c r="D131" s="141">
        <v>920000</v>
      </c>
      <c r="E131" s="20" t="s">
        <v>607</v>
      </c>
      <c r="F131" s="20" t="s">
        <v>196</v>
      </c>
      <c r="G131" s="8" t="str">
        <f t="shared" ref="G131:G194" si="2">E131&amp;" "&amp;F131</f>
        <v>DAVIS MICHAEL</v>
      </c>
    </row>
    <row r="132" spans="1:7" x14ac:dyDescent="0.25">
      <c r="A132" s="8">
        <v>42868.473043981481</v>
      </c>
      <c r="B132" s="20" t="s">
        <v>542</v>
      </c>
      <c r="C132" s="20" t="s">
        <v>678</v>
      </c>
      <c r="D132" s="141">
        <v>2470000</v>
      </c>
      <c r="E132" s="20" t="s">
        <v>668</v>
      </c>
      <c r="F132" s="20" t="s">
        <v>669</v>
      </c>
      <c r="G132" s="8" t="str">
        <f t="shared" si="2"/>
        <v>ROMERO CHAD</v>
      </c>
    </row>
    <row r="133" spans="1:7" x14ac:dyDescent="0.25">
      <c r="A133" s="8">
        <v>42868.476168981484</v>
      </c>
      <c r="B133" s="20" t="s">
        <v>406</v>
      </c>
      <c r="C133" s="20" t="s">
        <v>679</v>
      </c>
      <c r="D133" s="141">
        <v>2540000</v>
      </c>
      <c r="E133" s="20" t="s">
        <v>680</v>
      </c>
      <c r="F133" s="20" t="s">
        <v>681</v>
      </c>
      <c r="G133" s="8" t="str">
        <f t="shared" si="2"/>
        <v>MCREYNOLDS KYLE</v>
      </c>
    </row>
    <row r="134" spans="1:7" x14ac:dyDescent="0.25">
      <c r="A134" s="8">
        <v>42868.483275462961</v>
      </c>
      <c r="B134" s="20" t="s">
        <v>379</v>
      </c>
      <c r="C134" s="20" t="s">
        <v>552</v>
      </c>
      <c r="D134" s="141">
        <v>2560000</v>
      </c>
      <c r="E134" s="20" t="s">
        <v>491</v>
      </c>
      <c r="F134" s="20" t="s">
        <v>395</v>
      </c>
      <c r="G134" s="8" t="str">
        <f t="shared" si="2"/>
        <v>MACDONALD THOMAS</v>
      </c>
    </row>
    <row r="135" spans="1:7" x14ac:dyDescent="0.25">
      <c r="A135" s="8">
        <v>42868.483831018515</v>
      </c>
      <c r="B135" s="20" t="s">
        <v>485</v>
      </c>
      <c r="C135" s="20" t="s">
        <v>682</v>
      </c>
      <c r="D135" s="141">
        <v>1100000</v>
      </c>
      <c r="E135" s="20" t="s">
        <v>622</v>
      </c>
      <c r="F135" s="20" t="s">
        <v>623</v>
      </c>
      <c r="G135" s="8" t="str">
        <f t="shared" si="2"/>
        <v>GEBRETEKLE DAGNEW</v>
      </c>
    </row>
    <row r="136" spans="1:7" x14ac:dyDescent="0.25">
      <c r="A136" s="8">
        <v>42868.486759259256</v>
      </c>
      <c r="B136" s="20" t="s">
        <v>494</v>
      </c>
      <c r="C136" s="20" t="s">
        <v>553</v>
      </c>
      <c r="D136" s="141">
        <v>2360000</v>
      </c>
      <c r="E136" s="20" t="s">
        <v>492</v>
      </c>
      <c r="F136" s="20" t="s">
        <v>493</v>
      </c>
      <c r="G136" s="8" t="str">
        <f t="shared" si="2"/>
        <v>BRANDNER MELINDA</v>
      </c>
    </row>
    <row r="137" spans="1:7" x14ac:dyDescent="0.25">
      <c r="A137" s="8">
        <v>42868.494479166664</v>
      </c>
      <c r="B137" s="20" t="s">
        <v>344</v>
      </c>
      <c r="C137" s="20" t="s">
        <v>683</v>
      </c>
      <c r="D137" s="141">
        <v>880000</v>
      </c>
      <c r="E137" s="20" t="s">
        <v>675</v>
      </c>
      <c r="F137" s="20" t="s">
        <v>196</v>
      </c>
      <c r="G137" s="8" t="str">
        <f t="shared" si="2"/>
        <v>STEWART MICHAEL</v>
      </c>
    </row>
    <row r="138" spans="1:7" x14ac:dyDescent="0.25">
      <c r="A138" s="8">
        <v>42868.496516203704</v>
      </c>
      <c r="B138" s="20" t="s">
        <v>371</v>
      </c>
      <c r="C138" s="20" t="s">
        <v>684</v>
      </c>
      <c r="D138" s="141">
        <v>1300000</v>
      </c>
      <c r="E138" s="20" t="s">
        <v>685</v>
      </c>
      <c r="F138" s="20" t="s">
        <v>686</v>
      </c>
      <c r="G138" s="8" t="str">
        <f t="shared" si="2"/>
        <v>LEVIN SCOTT</v>
      </c>
    </row>
    <row r="139" spans="1:7" x14ac:dyDescent="0.25">
      <c r="A139" s="8">
        <v>42868.505972222221</v>
      </c>
      <c r="B139" s="20" t="s">
        <v>437</v>
      </c>
      <c r="C139" s="20" t="s">
        <v>687</v>
      </c>
      <c r="D139" s="141">
        <v>920000</v>
      </c>
      <c r="E139" s="20" t="s">
        <v>607</v>
      </c>
      <c r="F139" s="20" t="s">
        <v>196</v>
      </c>
      <c r="G139" s="8" t="str">
        <f t="shared" si="2"/>
        <v>DAVIS MICHAEL</v>
      </c>
    </row>
    <row r="140" spans="1:7" x14ac:dyDescent="0.25">
      <c r="A140" s="8">
        <v>42868.506747685184</v>
      </c>
      <c r="B140" s="20" t="s">
        <v>438</v>
      </c>
      <c r="C140" s="20" t="s">
        <v>554</v>
      </c>
      <c r="D140" s="141">
        <v>2470000</v>
      </c>
      <c r="E140" s="20" t="s">
        <v>668</v>
      </c>
      <c r="F140" s="20" t="s">
        <v>669</v>
      </c>
      <c r="G140" s="8" t="str">
        <f t="shared" si="2"/>
        <v>ROMERO CHAD</v>
      </c>
    </row>
    <row r="141" spans="1:7" x14ac:dyDescent="0.25">
      <c r="A141" s="8">
        <v>42868.509814814817</v>
      </c>
      <c r="B141" s="20" t="s">
        <v>399</v>
      </c>
      <c r="C141" s="20" t="s">
        <v>688</v>
      </c>
      <c r="D141" s="141">
        <v>2540000</v>
      </c>
      <c r="E141" s="20" t="s">
        <v>680</v>
      </c>
      <c r="F141" s="20" t="s">
        <v>681</v>
      </c>
      <c r="G141" s="8" t="str">
        <f t="shared" si="2"/>
        <v>MCREYNOLDS KYLE</v>
      </c>
    </row>
    <row r="142" spans="1:7" x14ac:dyDescent="0.25">
      <c r="A142" s="8">
        <v>42868.511064814818</v>
      </c>
      <c r="B142" s="20" t="s">
        <v>381</v>
      </c>
      <c r="C142" s="20" t="s">
        <v>689</v>
      </c>
      <c r="D142" s="141">
        <v>2560000</v>
      </c>
      <c r="E142" s="20" t="s">
        <v>491</v>
      </c>
      <c r="F142" s="20" t="s">
        <v>395</v>
      </c>
      <c r="G142" s="8" t="str">
        <f t="shared" si="2"/>
        <v>MACDONALD THOMAS</v>
      </c>
    </row>
    <row r="143" spans="1:7" x14ac:dyDescent="0.25">
      <c r="A143" s="8">
        <v>42868.51766203704</v>
      </c>
      <c r="B143" s="20" t="s">
        <v>486</v>
      </c>
      <c r="C143" s="20" t="s">
        <v>690</v>
      </c>
      <c r="D143" s="141">
        <v>2040000</v>
      </c>
      <c r="E143" s="20" t="s">
        <v>497</v>
      </c>
      <c r="F143" s="20" t="s">
        <v>498</v>
      </c>
      <c r="G143" s="8" t="str">
        <f t="shared" si="2"/>
        <v>MOSES BRADLEY</v>
      </c>
    </row>
    <row r="144" spans="1:7" x14ac:dyDescent="0.25">
      <c r="A144" s="8">
        <v>42868.52480324074</v>
      </c>
      <c r="B144" s="20" t="s">
        <v>379</v>
      </c>
      <c r="C144" s="20" t="s">
        <v>691</v>
      </c>
      <c r="D144" s="141">
        <v>2560000</v>
      </c>
      <c r="E144" s="20" t="s">
        <v>491</v>
      </c>
      <c r="F144" s="20" t="s">
        <v>395</v>
      </c>
      <c r="G144" s="8" t="str">
        <f t="shared" si="2"/>
        <v>MACDONALD THOMAS</v>
      </c>
    </row>
    <row r="145" spans="1:7" x14ac:dyDescent="0.25">
      <c r="A145" s="8">
        <v>42868.526909722219</v>
      </c>
      <c r="B145" s="20" t="s">
        <v>459</v>
      </c>
      <c r="C145" s="20" t="s">
        <v>692</v>
      </c>
      <c r="D145" s="141">
        <v>2360000</v>
      </c>
      <c r="E145" s="20" t="s">
        <v>492</v>
      </c>
      <c r="F145" s="20" t="s">
        <v>493</v>
      </c>
      <c r="G145" s="8" t="str">
        <f t="shared" si="2"/>
        <v>BRANDNER MELINDA</v>
      </c>
    </row>
    <row r="146" spans="1:7" x14ac:dyDescent="0.25">
      <c r="A146" s="8">
        <v>42868.528587962966</v>
      </c>
      <c r="B146" s="20" t="s">
        <v>343</v>
      </c>
      <c r="C146" s="20" t="s">
        <v>555</v>
      </c>
      <c r="D146" s="141">
        <v>880000</v>
      </c>
      <c r="E146" s="20" t="s">
        <v>675</v>
      </c>
      <c r="F146" s="20" t="s">
        <v>196</v>
      </c>
      <c r="G146" s="8" t="str">
        <f t="shared" si="2"/>
        <v>STEWART MICHAEL</v>
      </c>
    </row>
    <row r="147" spans="1:7" x14ac:dyDescent="0.25">
      <c r="A147" s="8">
        <v>42868.535937499997</v>
      </c>
      <c r="B147" s="20" t="s">
        <v>383</v>
      </c>
      <c r="C147" s="20" t="s">
        <v>556</v>
      </c>
      <c r="D147" s="141">
        <v>1300000</v>
      </c>
      <c r="E147" s="20" t="s">
        <v>685</v>
      </c>
      <c r="F147" s="20" t="s">
        <v>686</v>
      </c>
      <c r="G147" s="8" t="str">
        <f t="shared" si="2"/>
        <v>LEVIN SCOTT</v>
      </c>
    </row>
    <row r="148" spans="1:7" x14ac:dyDescent="0.25">
      <c r="A148" s="8">
        <v>42868.538726851853</v>
      </c>
      <c r="B148" s="20" t="s">
        <v>542</v>
      </c>
      <c r="C148" s="20" t="s">
        <v>693</v>
      </c>
      <c r="D148" s="141">
        <v>2470000</v>
      </c>
      <c r="E148" s="20" t="s">
        <v>668</v>
      </c>
      <c r="F148" s="20" t="s">
        <v>669</v>
      </c>
      <c r="G148" s="8" t="str">
        <f t="shared" si="2"/>
        <v>ROMERO CHAD</v>
      </c>
    </row>
    <row r="149" spans="1:7" x14ac:dyDescent="0.25">
      <c r="A149" s="8">
        <v>42868.539444444446</v>
      </c>
      <c r="B149" s="20" t="s">
        <v>381</v>
      </c>
      <c r="C149" s="20" t="s">
        <v>694</v>
      </c>
      <c r="D149" s="141">
        <v>2560000</v>
      </c>
      <c r="E149" s="20" t="s">
        <v>491</v>
      </c>
      <c r="F149" s="20" t="s">
        <v>395</v>
      </c>
      <c r="G149" s="8" t="str">
        <f t="shared" si="2"/>
        <v>MACDONALD THOMAS</v>
      </c>
    </row>
    <row r="150" spans="1:7" x14ac:dyDescent="0.25">
      <c r="A150" s="8">
        <v>42868.539861111109</v>
      </c>
      <c r="B150" s="20" t="s">
        <v>439</v>
      </c>
      <c r="C150" s="20" t="s">
        <v>695</v>
      </c>
      <c r="D150" s="141">
        <v>920000</v>
      </c>
      <c r="E150" s="20" t="s">
        <v>607</v>
      </c>
      <c r="F150" s="20" t="s">
        <v>196</v>
      </c>
      <c r="G150" s="8" t="str">
        <f t="shared" si="2"/>
        <v>DAVIS MICHAEL</v>
      </c>
    </row>
    <row r="151" spans="1:7" x14ac:dyDescent="0.25">
      <c r="A151" s="8">
        <v>42868.547731481478</v>
      </c>
      <c r="B151" s="20" t="s">
        <v>406</v>
      </c>
      <c r="C151" s="20" t="s">
        <v>696</v>
      </c>
      <c r="D151" s="141">
        <v>2540000</v>
      </c>
      <c r="E151" s="20" t="s">
        <v>680</v>
      </c>
      <c r="F151" s="20" t="s">
        <v>681</v>
      </c>
      <c r="G151" s="8" t="str">
        <f t="shared" si="2"/>
        <v>MCREYNOLDS KYLE</v>
      </c>
    </row>
    <row r="152" spans="1:7" x14ac:dyDescent="0.25">
      <c r="A152" s="8">
        <v>42868.556111111109</v>
      </c>
      <c r="B152" s="20" t="s">
        <v>485</v>
      </c>
      <c r="C152" s="20" t="s">
        <v>697</v>
      </c>
      <c r="D152" s="141">
        <v>2040000</v>
      </c>
      <c r="E152" s="20" t="s">
        <v>497</v>
      </c>
      <c r="F152" s="20" t="s">
        <v>498</v>
      </c>
      <c r="G152" s="8" t="str">
        <f t="shared" si="2"/>
        <v>MOSES BRADLEY</v>
      </c>
    </row>
    <row r="153" spans="1:7" x14ac:dyDescent="0.25">
      <c r="A153" s="8">
        <v>42868.560543981483</v>
      </c>
      <c r="B153" s="20" t="s">
        <v>383</v>
      </c>
      <c r="C153" s="20" t="s">
        <v>556</v>
      </c>
      <c r="D153" s="141">
        <v>1300000</v>
      </c>
      <c r="E153" s="20" t="s">
        <v>685</v>
      </c>
      <c r="F153" s="20" t="s">
        <v>686</v>
      </c>
      <c r="G153" s="8" t="str">
        <f t="shared" si="2"/>
        <v>LEVIN SCOTT</v>
      </c>
    </row>
    <row r="154" spans="1:7" x14ac:dyDescent="0.25">
      <c r="A154" s="8">
        <v>42868.56150462963</v>
      </c>
      <c r="B154" s="20" t="s">
        <v>494</v>
      </c>
      <c r="C154" s="20" t="s">
        <v>559</v>
      </c>
      <c r="D154" s="141">
        <v>2360000</v>
      </c>
      <c r="E154" s="20" t="s">
        <v>492</v>
      </c>
      <c r="F154" s="20" t="s">
        <v>493</v>
      </c>
      <c r="G154" s="8" t="str">
        <f t="shared" si="2"/>
        <v>BRANDNER MELINDA</v>
      </c>
    </row>
    <row r="155" spans="1:7" x14ac:dyDescent="0.25">
      <c r="A155" s="8">
        <v>42868.566261574073</v>
      </c>
      <c r="B155" s="20" t="s">
        <v>379</v>
      </c>
      <c r="C155" s="20" t="s">
        <v>557</v>
      </c>
      <c r="D155" s="141">
        <v>2560000</v>
      </c>
      <c r="E155" s="20" t="s">
        <v>491</v>
      </c>
      <c r="F155" s="20" t="s">
        <v>395</v>
      </c>
      <c r="G155" s="8" t="str">
        <f t="shared" si="2"/>
        <v>MACDONALD THOMAS</v>
      </c>
    </row>
    <row r="156" spans="1:7" x14ac:dyDescent="0.25">
      <c r="A156" s="8">
        <v>42868.566990740743</v>
      </c>
      <c r="B156" s="20" t="s">
        <v>344</v>
      </c>
      <c r="C156" s="20" t="s">
        <v>560</v>
      </c>
      <c r="D156" s="141">
        <v>880000</v>
      </c>
      <c r="E156" s="20" t="s">
        <v>675</v>
      </c>
      <c r="F156" s="20" t="s">
        <v>196</v>
      </c>
      <c r="G156" s="8" t="str">
        <f t="shared" si="2"/>
        <v>STEWART MICHAEL</v>
      </c>
    </row>
    <row r="157" spans="1:7" x14ac:dyDescent="0.25">
      <c r="A157" s="8">
        <v>42868.571076388886</v>
      </c>
      <c r="B157" s="20" t="s">
        <v>371</v>
      </c>
      <c r="C157" s="20" t="s">
        <v>698</v>
      </c>
      <c r="D157" s="141">
        <v>1300000</v>
      </c>
      <c r="E157" s="20" t="s">
        <v>685</v>
      </c>
      <c r="F157" s="20" t="s">
        <v>686</v>
      </c>
      <c r="G157" s="8" t="str">
        <f t="shared" si="2"/>
        <v>LEVIN SCOTT</v>
      </c>
    </row>
    <row r="158" spans="1:7" x14ac:dyDescent="0.25">
      <c r="A158" s="8">
        <v>42868.578622685185</v>
      </c>
      <c r="B158" s="20" t="s">
        <v>437</v>
      </c>
      <c r="C158" s="20" t="s">
        <v>699</v>
      </c>
      <c r="D158" s="141">
        <v>920000</v>
      </c>
      <c r="E158" s="20" t="s">
        <v>607</v>
      </c>
      <c r="F158" s="20" t="s">
        <v>196</v>
      </c>
      <c r="G158" s="8" t="str">
        <f t="shared" si="2"/>
        <v>DAVIS MICHAEL</v>
      </c>
    </row>
    <row r="159" spans="1:7" x14ac:dyDescent="0.25">
      <c r="A159" s="8">
        <v>42868.580601851849</v>
      </c>
      <c r="B159" s="20" t="s">
        <v>438</v>
      </c>
      <c r="C159" s="20" t="s">
        <v>558</v>
      </c>
      <c r="D159" s="141">
        <v>2470000</v>
      </c>
      <c r="E159" s="20" t="s">
        <v>668</v>
      </c>
      <c r="F159" s="20" t="s">
        <v>669</v>
      </c>
      <c r="G159" s="8" t="str">
        <f t="shared" si="2"/>
        <v>ROMERO CHAD</v>
      </c>
    </row>
    <row r="160" spans="1:7" x14ac:dyDescent="0.25">
      <c r="A160" s="8">
        <v>42868.584444444445</v>
      </c>
      <c r="B160" s="20" t="s">
        <v>437</v>
      </c>
      <c r="C160" s="20" t="s">
        <v>699</v>
      </c>
      <c r="D160" s="141">
        <v>920000</v>
      </c>
      <c r="E160" s="20" t="s">
        <v>607</v>
      </c>
      <c r="F160" s="20" t="s">
        <v>196</v>
      </c>
      <c r="G160" s="8" t="str">
        <f t="shared" si="2"/>
        <v>DAVIS MICHAEL</v>
      </c>
    </row>
    <row r="161" spans="1:7" x14ac:dyDescent="0.25">
      <c r="A161" s="8">
        <v>42868.584652777776</v>
      </c>
      <c r="B161" s="20" t="s">
        <v>399</v>
      </c>
      <c r="C161" s="20" t="s">
        <v>700</v>
      </c>
      <c r="D161" s="141">
        <v>2540000</v>
      </c>
      <c r="E161" s="20" t="s">
        <v>680</v>
      </c>
      <c r="F161" s="20" t="s">
        <v>681</v>
      </c>
      <c r="G161" s="8" t="str">
        <f t="shared" si="2"/>
        <v>MCREYNOLDS KYLE</v>
      </c>
    </row>
    <row r="162" spans="1:7" x14ac:dyDescent="0.25">
      <c r="A162" s="8">
        <v>42868.592118055552</v>
      </c>
      <c r="B162" s="20" t="s">
        <v>486</v>
      </c>
      <c r="C162" s="20" t="s">
        <v>701</v>
      </c>
      <c r="D162" s="141">
        <v>2040000</v>
      </c>
      <c r="E162" s="20" t="s">
        <v>497</v>
      </c>
      <c r="F162" s="20" t="s">
        <v>498</v>
      </c>
      <c r="G162" s="8" t="str">
        <f t="shared" si="2"/>
        <v>MOSES BRADLEY</v>
      </c>
    </row>
    <row r="163" spans="1:7" x14ac:dyDescent="0.25">
      <c r="A163" s="8">
        <v>42868.596331018518</v>
      </c>
      <c r="B163" s="20" t="s">
        <v>381</v>
      </c>
      <c r="C163" s="20" t="s">
        <v>702</v>
      </c>
      <c r="D163" s="141">
        <v>1540000</v>
      </c>
      <c r="E163" s="20" t="s">
        <v>465</v>
      </c>
      <c r="F163" s="20" t="s">
        <v>466</v>
      </c>
      <c r="G163" s="8" t="str">
        <f t="shared" si="2"/>
        <v>HELVIE ADAM</v>
      </c>
    </row>
    <row r="164" spans="1:7" x14ac:dyDescent="0.25">
      <c r="A164" s="8">
        <v>42868.59646990741</v>
      </c>
      <c r="B164" s="20" t="s">
        <v>437</v>
      </c>
      <c r="C164" s="20" t="s">
        <v>699</v>
      </c>
      <c r="D164" s="141">
        <v>920000</v>
      </c>
      <c r="E164" s="20" t="s">
        <v>607</v>
      </c>
      <c r="F164" s="20" t="s">
        <v>196</v>
      </c>
      <c r="G164" s="8" t="str">
        <f t="shared" si="2"/>
        <v>DAVIS MICHAEL</v>
      </c>
    </row>
    <row r="165" spans="1:7" x14ac:dyDescent="0.25">
      <c r="A165" s="8">
        <v>42868.597395833334</v>
      </c>
      <c r="B165" s="20" t="s">
        <v>459</v>
      </c>
      <c r="C165" s="20" t="s">
        <v>703</v>
      </c>
      <c r="D165" s="141">
        <v>2360000</v>
      </c>
      <c r="E165" s="20" t="s">
        <v>492</v>
      </c>
      <c r="F165" s="20" t="s">
        <v>493</v>
      </c>
      <c r="G165" s="8" t="str">
        <f t="shared" si="2"/>
        <v>BRANDNER MELINDA</v>
      </c>
    </row>
    <row r="166" spans="1:7" x14ac:dyDescent="0.25">
      <c r="A166" s="8">
        <v>42868.601793981485</v>
      </c>
      <c r="B166" s="20" t="s">
        <v>343</v>
      </c>
      <c r="C166" s="20" t="s">
        <v>704</v>
      </c>
      <c r="D166" s="141">
        <v>880000</v>
      </c>
      <c r="E166" s="20" t="s">
        <v>675</v>
      </c>
      <c r="F166" s="20" t="s">
        <v>196</v>
      </c>
      <c r="G166" s="8" t="str">
        <f t="shared" si="2"/>
        <v>STEWART MICHAEL</v>
      </c>
    </row>
    <row r="167" spans="1:7" x14ac:dyDescent="0.25">
      <c r="A167" s="8">
        <v>42868.60359953704</v>
      </c>
      <c r="B167" s="20" t="s">
        <v>355</v>
      </c>
      <c r="C167" s="20" t="s">
        <v>705</v>
      </c>
      <c r="D167" s="141">
        <v>2480000</v>
      </c>
      <c r="E167" s="20" t="s">
        <v>495</v>
      </c>
      <c r="F167" s="20" t="s">
        <v>496</v>
      </c>
      <c r="G167" s="8" t="str">
        <f t="shared" si="2"/>
        <v>WHITED DUSTIN</v>
      </c>
    </row>
    <row r="168" spans="1:7" x14ac:dyDescent="0.25">
      <c r="A168" s="8">
        <v>42868.6091087963</v>
      </c>
      <c r="B168" s="20" t="s">
        <v>383</v>
      </c>
      <c r="C168" s="20" t="s">
        <v>706</v>
      </c>
      <c r="D168" s="141">
        <v>1300000</v>
      </c>
      <c r="E168" s="20" t="s">
        <v>685</v>
      </c>
      <c r="F168" s="20" t="s">
        <v>686</v>
      </c>
      <c r="G168" s="8" t="str">
        <f t="shared" si="2"/>
        <v>LEVIN SCOTT</v>
      </c>
    </row>
    <row r="169" spans="1:7" x14ac:dyDescent="0.25">
      <c r="A169" s="8">
        <v>42868.610509259262</v>
      </c>
      <c r="B169" s="20" t="s">
        <v>379</v>
      </c>
      <c r="C169" s="20" t="s">
        <v>707</v>
      </c>
      <c r="D169" s="141">
        <v>1540000</v>
      </c>
      <c r="E169" s="20" t="s">
        <v>465</v>
      </c>
      <c r="F169" s="20" t="s">
        <v>466</v>
      </c>
      <c r="G169" s="8" t="str">
        <f t="shared" si="2"/>
        <v>HELVIE ADAM</v>
      </c>
    </row>
    <row r="170" spans="1:7" x14ac:dyDescent="0.25">
      <c r="A170" s="8">
        <v>42868.610636574071</v>
      </c>
      <c r="B170" s="20" t="s">
        <v>356</v>
      </c>
      <c r="C170" s="20" t="s">
        <v>705</v>
      </c>
      <c r="D170" s="141">
        <v>2480000</v>
      </c>
      <c r="E170" s="20" t="s">
        <v>495</v>
      </c>
      <c r="F170" s="20" t="s">
        <v>496</v>
      </c>
      <c r="G170" s="8" t="str">
        <f t="shared" si="2"/>
        <v>WHITED DUSTIN</v>
      </c>
    </row>
    <row r="171" spans="1:7" x14ac:dyDescent="0.25">
      <c r="A171" s="8">
        <v>42868.614733796298</v>
      </c>
      <c r="B171" s="20" t="s">
        <v>355</v>
      </c>
      <c r="C171" s="20" t="s">
        <v>708</v>
      </c>
      <c r="D171" s="141">
        <v>2480000</v>
      </c>
      <c r="E171" s="20" t="s">
        <v>495</v>
      </c>
      <c r="F171" s="20" t="s">
        <v>496</v>
      </c>
      <c r="G171" s="8" t="str">
        <f t="shared" si="2"/>
        <v>WHITED DUSTIN</v>
      </c>
    </row>
    <row r="172" spans="1:7" x14ac:dyDescent="0.25">
      <c r="A172" s="8">
        <v>42868.617442129631</v>
      </c>
      <c r="B172" s="20" t="s">
        <v>542</v>
      </c>
      <c r="C172" s="20" t="s">
        <v>709</v>
      </c>
      <c r="D172" s="141">
        <v>2470000</v>
      </c>
      <c r="E172" s="20" t="s">
        <v>668</v>
      </c>
      <c r="F172" s="20" t="s">
        <v>669</v>
      </c>
      <c r="G172" s="8" t="str">
        <f t="shared" si="2"/>
        <v>ROMERO CHAD</v>
      </c>
    </row>
    <row r="173" spans="1:7" x14ac:dyDescent="0.25">
      <c r="A173" s="8">
        <v>42868.625127314815</v>
      </c>
      <c r="B173" s="20" t="s">
        <v>406</v>
      </c>
      <c r="C173" s="20" t="s">
        <v>710</v>
      </c>
      <c r="D173" s="141">
        <v>2540000</v>
      </c>
      <c r="E173" s="20" t="s">
        <v>680</v>
      </c>
      <c r="F173" s="20" t="s">
        <v>681</v>
      </c>
      <c r="G173" s="8" t="str">
        <f t="shared" si="2"/>
        <v>MCREYNOLDS KYLE</v>
      </c>
    </row>
    <row r="174" spans="1:7" x14ac:dyDescent="0.25">
      <c r="A174" s="8">
        <v>42868.630694444444</v>
      </c>
      <c r="B174" s="20" t="s">
        <v>485</v>
      </c>
      <c r="C174" s="20" t="s">
        <v>711</v>
      </c>
      <c r="D174" s="141">
        <v>2040000</v>
      </c>
      <c r="E174" s="20" t="s">
        <v>497</v>
      </c>
      <c r="F174" s="20" t="s">
        <v>498</v>
      </c>
      <c r="G174" s="8" t="str">
        <f t="shared" si="2"/>
        <v>MOSES BRADLEY</v>
      </c>
    </row>
    <row r="175" spans="1:7" x14ac:dyDescent="0.25">
      <c r="A175" s="8">
        <v>42868.632754629631</v>
      </c>
      <c r="B175" s="20" t="s">
        <v>494</v>
      </c>
      <c r="C175" s="20" t="s">
        <v>562</v>
      </c>
      <c r="D175" s="141">
        <v>2360000</v>
      </c>
      <c r="E175" s="20" t="s">
        <v>492</v>
      </c>
      <c r="F175" s="20" t="s">
        <v>493</v>
      </c>
      <c r="G175" s="8" t="str">
        <f t="shared" si="2"/>
        <v>BRANDNER MELINDA</v>
      </c>
    </row>
    <row r="176" spans="1:7" x14ac:dyDescent="0.25">
      <c r="A176" s="8">
        <v>42868.638090277775</v>
      </c>
      <c r="B176" s="20" t="s">
        <v>381</v>
      </c>
      <c r="C176" s="20" t="s">
        <v>712</v>
      </c>
      <c r="D176" s="141">
        <v>1540000</v>
      </c>
      <c r="E176" s="20" t="s">
        <v>465</v>
      </c>
      <c r="F176" s="20" t="s">
        <v>466</v>
      </c>
      <c r="G176" s="8" t="str">
        <f t="shared" si="2"/>
        <v>HELVIE ADAM</v>
      </c>
    </row>
    <row r="177" spans="1:7" x14ac:dyDescent="0.25">
      <c r="A177" s="8">
        <v>42868.641030092593</v>
      </c>
      <c r="B177" s="20" t="s">
        <v>344</v>
      </c>
      <c r="C177" s="20" t="s">
        <v>561</v>
      </c>
      <c r="D177" s="141">
        <v>880000</v>
      </c>
      <c r="E177" s="20" t="s">
        <v>675</v>
      </c>
      <c r="F177" s="20" t="s">
        <v>196</v>
      </c>
      <c r="G177" s="8" t="str">
        <f t="shared" si="2"/>
        <v>STEWART MICHAEL</v>
      </c>
    </row>
    <row r="178" spans="1:7" x14ac:dyDescent="0.25">
      <c r="A178" s="8">
        <v>42868.644050925926</v>
      </c>
      <c r="B178" s="20" t="s">
        <v>371</v>
      </c>
      <c r="C178" s="20" t="s">
        <v>713</v>
      </c>
      <c r="D178" s="141">
        <v>1300000</v>
      </c>
      <c r="E178" s="20" t="s">
        <v>685</v>
      </c>
      <c r="F178" s="20" t="s">
        <v>686</v>
      </c>
      <c r="G178" s="8" t="str">
        <f t="shared" si="2"/>
        <v>LEVIN SCOTT</v>
      </c>
    </row>
    <row r="179" spans="1:7" x14ac:dyDescent="0.25">
      <c r="A179" s="8">
        <v>42868.650960648149</v>
      </c>
      <c r="B179" s="20" t="s">
        <v>379</v>
      </c>
      <c r="C179" s="20" t="s">
        <v>714</v>
      </c>
      <c r="D179" s="141">
        <v>1540000</v>
      </c>
      <c r="E179" s="20" t="s">
        <v>465</v>
      </c>
      <c r="F179" s="20" t="s">
        <v>466</v>
      </c>
      <c r="G179" s="8" t="str">
        <f t="shared" si="2"/>
        <v>HELVIE ADAM</v>
      </c>
    </row>
    <row r="180" spans="1:7" x14ac:dyDescent="0.25">
      <c r="A180" s="8">
        <v>42868.651412037034</v>
      </c>
      <c r="B180" s="20" t="s">
        <v>356</v>
      </c>
      <c r="C180" s="20" t="s">
        <v>715</v>
      </c>
      <c r="D180" s="141">
        <v>2480000</v>
      </c>
      <c r="E180" s="20" t="s">
        <v>495</v>
      </c>
      <c r="F180" s="20" t="s">
        <v>496</v>
      </c>
      <c r="G180" s="8" t="str">
        <f t="shared" si="2"/>
        <v>WHITED DUSTIN</v>
      </c>
    </row>
    <row r="181" spans="1:7" x14ac:dyDescent="0.25">
      <c r="A181" s="8">
        <v>42868.653217592589</v>
      </c>
      <c r="B181" s="20" t="s">
        <v>438</v>
      </c>
      <c r="C181" s="20" t="s">
        <v>716</v>
      </c>
      <c r="D181" s="141">
        <v>2470000</v>
      </c>
      <c r="E181" s="20" t="s">
        <v>668</v>
      </c>
      <c r="F181" s="20" t="s">
        <v>669</v>
      </c>
      <c r="G181" s="8" t="str">
        <f t="shared" si="2"/>
        <v>ROMERO CHAD</v>
      </c>
    </row>
    <row r="182" spans="1:7" x14ac:dyDescent="0.25">
      <c r="A182" s="8">
        <v>42868.65452546296</v>
      </c>
      <c r="B182" s="20" t="s">
        <v>399</v>
      </c>
      <c r="C182" s="20" t="s">
        <v>717</v>
      </c>
      <c r="D182" s="141">
        <v>2540000</v>
      </c>
      <c r="E182" s="20" t="s">
        <v>680</v>
      </c>
      <c r="F182" s="20" t="s">
        <v>681</v>
      </c>
      <c r="G182" s="8" t="str">
        <f t="shared" si="2"/>
        <v>MCREYNOLDS KYLE</v>
      </c>
    </row>
    <row r="183" spans="1:7" x14ac:dyDescent="0.25">
      <c r="A183" s="8">
        <v>42868.665497685186</v>
      </c>
      <c r="B183" s="20" t="s">
        <v>486</v>
      </c>
      <c r="C183" s="20" t="s">
        <v>563</v>
      </c>
      <c r="D183" s="141">
        <v>2040000</v>
      </c>
      <c r="E183" s="20" t="s">
        <v>497</v>
      </c>
      <c r="F183" s="20" t="s">
        <v>498</v>
      </c>
      <c r="G183" s="8" t="str">
        <f t="shared" si="2"/>
        <v>MOSES BRADLEY</v>
      </c>
    </row>
    <row r="184" spans="1:7" x14ac:dyDescent="0.25">
      <c r="A184" s="8">
        <v>42868.670983796299</v>
      </c>
      <c r="B184" s="20" t="s">
        <v>459</v>
      </c>
      <c r="C184" s="20" t="s">
        <v>564</v>
      </c>
      <c r="D184" s="141">
        <v>2360000</v>
      </c>
      <c r="E184" s="20" t="s">
        <v>492</v>
      </c>
      <c r="F184" s="20" t="s">
        <v>493</v>
      </c>
      <c r="G184" s="8" t="str">
        <f t="shared" si="2"/>
        <v>BRANDNER MELINDA</v>
      </c>
    </row>
    <row r="185" spans="1:7" x14ac:dyDescent="0.25">
      <c r="A185" s="8">
        <v>42868.674664351849</v>
      </c>
      <c r="B185" s="20" t="s">
        <v>343</v>
      </c>
      <c r="C185" s="20" t="s">
        <v>718</v>
      </c>
      <c r="D185" s="141">
        <v>880000</v>
      </c>
      <c r="E185" s="20" t="s">
        <v>675</v>
      </c>
      <c r="F185" s="20" t="s">
        <v>196</v>
      </c>
      <c r="G185" s="8" t="str">
        <f t="shared" si="2"/>
        <v>STEWART MICHAEL</v>
      </c>
    </row>
    <row r="186" spans="1:7" x14ac:dyDescent="0.25">
      <c r="A186" s="8">
        <v>42868.680752314816</v>
      </c>
      <c r="B186" s="20" t="s">
        <v>381</v>
      </c>
      <c r="C186" s="20" t="s">
        <v>719</v>
      </c>
      <c r="D186" s="141">
        <v>1540000</v>
      </c>
      <c r="E186" s="20" t="s">
        <v>465</v>
      </c>
      <c r="F186" s="20" t="s">
        <v>466</v>
      </c>
      <c r="G186" s="8" t="str">
        <f t="shared" si="2"/>
        <v>HELVIE ADAM</v>
      </c>
    </row>
    <row r="187" spans="1:7" x14ac:dyDescent="0.25">
      <c r="A187" s="8">
        <v>42868.68246527778</v>
      </c>
      <c r="B187" s="20" t="s">
        <v>383</v>
      </c>
      <c r="C187" s="20" t="s">
        <v>720</v>
      </c>
      <c r="D187" s="141">
        <v>1300000</v>
      </c>
      <c r="E187" s="20" t="s">
        <v>685</v>
      </c>
      <c r="F187" s="20" t="s">
        <v>686</v>
      </c>
      <c r="G187" s="8" t="str">
        <f t="shared" si="2"/>
        <v>LEVIN SCOTT</v>
      </c>
    </row>
    <row r="188" spans="1:7" x14ac:dyDescent="0.25">
      <c r="A188" s="8">
        <v>42868.682962962965</v>
      </c>
      <c r="B188" s="20" t="s">
        <v>355</v>
      </c>
      <c r="C188" s="20" t="s">
        <v>721</v>
      </c>
      <c r="D188" s="141">
        <v>920000</v>
      </c>
      <c r="E188" s="20" t="s">
        <v>607</v>
      </c>
      <c r="F188" s="20" t="s">
        <v>196</v>
      </c>
      <c r="G188" s="8" t="str">
        <f t="shared" si="2"/>
        <v>DAVIS MICHAEL</v>
      </c>
    </row>
    <row r="189" spans="1:7" x14ac:dyDescent="0.25">
      <c r="A189" s="8">
        <v>42868.68340277778</v>
      </c>
      <c r="B189" s="20" t="s">
        <v>542</v>
      </c>
      <c r="C189" s="20" t="s">
        <v>565</v>
      </c>
      <c r="D189" s="141">
        <v>2470000</v>
      </c>
      <c r="E189" s="20" t="s">
        <v>668</v>
      </c>
      <c r="F189" s="20" t="s">
        <v>669</v>
      </c>
      <c r="G189" s="8" t="str">
        <f t="shared" si="2"/>
        <v>ROMERO CHAD</v>
      </c>
    </row>
    <row r="190" spans="1:7" x14ac:dyDescent="0.25">
      <c r="A190" s="8">
        <v>42868.69222222222</v>
      </c>
      <c r="B190" s="20" t="s">
        <v>379</v>
      </c>
      <c r="C190" s="20" t="s">
        <v>722</v>
      </c>
      <c r="D190" s="141">
        <v>1540000</v>
      </c>
      <c r="E190" s="20" t="s">
        <v>465</v>
      </c>
      <c r="F190" s="20" t="s">
        <v>466</v>
      </c>
      <c r="G190" s="8" t="str">
        <f t="shared" si="2"/>
        <v>HELVIE ADAM</v>
      </c>
    </row>
    <row r="191" spans="1:7" x14ac:dyDescent="0.25">
      <c r="A191" s="8">
        <v>42868.693518518521</v>
      </c>
      <c r="B191" s="20" t="s">
        <v>406</v>
      </c>
      <c r="C191" s="20" t="s">
        <v>723</v>
      </c>
      <c r="D191" s="141">
        <v>2540000</v>
      </c>
      <c r="E191" s="20" t="s">
        <v>680</v>
      </c>
      <c r="F191" s="20" t="s">
        <v>681</v>
      </c>
      <c r="G191" s="8" t="str">
        <f t="shared" si="2"/>
        <v>MCREYNOLDS KYLE</v>
      </c>
    </row>
    <row r="192" spans="1:7" x14ac:dyDescent="0.25">
      <c r="A192" s="8">
        <v>42868.702997685185</v>
      </c>
      <c r="B192" s="20" t="s">
        <v>485</v>
      </c>
      <c r="C192" s="20" t="s">
        <v>724</v>
      </c>
      <c r="D192" s="141">
        <v>2040000</v>
      </c>
      <c r="E192" s="20" t="s">
        <v>497</v>
      </c>
      <c r="F192" s="20" t="s">
        <v>498</v>
      </c>
      <c r="G192" s="8" t="str">
        <f t="shared" si="2"/>
        <v>MOSES BRADLEY</v>
      </c>
    </row>
    <row r="193" spans="1:7" x14ac:dyDescent="0.25">
      <c r="A193" s="8">
        <v>42868.705057870371</v>
      </c>
      <c r="B193" s="20" t="s">
        <v>494</v>
      </c>
      <c r="C193" s="20" t="s">
        <v>566</v>
      </c>
      <c r="D193" s="141">
        <v>2360000</v>
      </c>
      <c r="E193" s="20" t="s">
        <v>492</v>
      </c>
      <c r="F193" s="20" t="s">
        <v>493</v>
      </c>
      <c r="G193" s="8" t="str">
        <f t="shared" si="2"/>
        <v>BRANDNER MELINDA</v>
      </c>
    </row>
    <row r="194" spans="1:7" x14ac:dyDescent="0.25">
      <c r="A194" s="8">
        <v>42868.711712962962</v>
      </c>
      <c r="B194" s="20" t="s">
        <v>344</v>
      </c>
      <c r="C194" s="20" t="s">
        <v>725</v>
      </c>
      <c r="D194" s="141">
        <v>880000</v>
      </c>
      <c r="E194" s="20" t="s">
        <v>675</v>
      </c>
      <c r="F194" s="20" t="s">
        <v>196</v>
      </c>
      <c r="G194" s="8" t="str">
        <f t="shared" si="2"/>
        <v>STEWART MICHAEL</v>
      </c>
    </row>
    <row r="195" spans="1:7" x14ac:dyDescent="0.25">
      <c r="A195" s="8">
        <v>42868.717048611114</v>
      </c>
      <c r="B195" s="20" t="s">
        <v>371</v>
      </c>
      <c r="C195" s="20" t="s">
        <v>568</v>
      </c>
      <c r="D195" s="141">
        <v>1300000</v>
      </c>
      <c r="E195" s="20" t="s">
        <v>685</v>
      </c>
      <c r="F195" s="20" t="s">
        <v>686</v>
      </c>
      <c r="G195" s="8" t="str">
        <f t="shared" ref="G195:G258" si="3">E195&amp;" "&amp;F195</f>
        <v>LEVIN SCOTT</v>
      </c>
    </row>
    <row r="196" spans="1:7" x14ac:dyDescent="0.25">
      <c r="A196" s="8">
        <v>42868.72246527778</v>
      </c>
      <c r="B196" s="20" t="s">
        <v>381</v>
      </c>
      <c r="C196" s="20" t="s">
        <v>726</v>
      </c>
      <c r="D196" s="141">
        <v>1540000</v>
      </c>
      <c r="E196" s="20" t="s">
        <v>465</v>
      </c>
      <c r="F196" s="20" t="s">
        <v>466</v>
      </c>
      <c r="G196" s="8" t="str">
        <f t="shared" si="3"/>
        <v>HELVIE ADAM</v>
      </c>
    </row>
    <row r="197" spans="1:7" x14ac:dyDescent="0.25">
      <c r="A197" s="8">
        <v>42868.724999999999</v>
      </c>
      <c r="B197" s="20" t="s">
        <v>356</v>
      </c>
      <c r="C197" s="20" t="s">
        <v>727</v>
      </c>
      <c r="D197" s="141">
        <v>920000</v>
      </c>
      <c r="E197" s="20" t="s">
        <v>607</v>
      </c>
      <c r="F197" s="20" t="s">
        <v>196</v>
      </c>
      <c r="G197" s="8" t="str">
        <f t="shared" si="3"/>
        <v>DAVIS MICHAEL</v>
      </c>
    </row>
    <row r="198" spans="1:7" x14ac:dyDescent="0.25">
      <c r="A198" s="8">
        <v>42868.725046296298</v>
      </c>
      <c r="B198" s="20" t="s">
        <v>438</v>
      </c>
      <c r="C198" s="20" t="s">
        <v>728</v>
      </c>
      <c r="D198" s="141">
        <v>2470000</v>
      </c>
      <c r="E198" s="20" t="s">
        <v>668</v>
      </c>
      <c r="F198" s="20" t="s">
        <v>669</v>
      </c>
      <c r="G198" s="8" t="str">
        <f t="shared" si="3"/>
        <v>ROMERO CHAD</v>
      </c>
    </row>
    <row r="199" spans="1:7" x14ac:dyDescent="0.25">
      <c r="A199" s="8">
        <v>42868.727407407408</v>
      </c>
      <c r="B199" s="20" t="s">
        <v>439</v>
      </c>
      <c r="C199" s="20" t="s">
        <v>729</v>
      </c>
      <c r="D199" s="141">
        <v>2450000</v>
      </c>
      <c r="E199" s="20" t="s">
        <v>730</v>
      </c>
      <c r="F199" s="20" t="s">
        <v>731</v>
      </c>
      <c r="G199" s="8" t="str">
        <f t="shared" si="3"/>
        <v>NELSON ARIANE</v>
      </c>
    </row>
    <row r="200" spans="1:7" x14ac:dyDescent="0.25">
      <c r="A200" s="8">
        <v>42868.728379629632</v>
      </c>
      <c r="B200" s="20" t="s">
        <v>439</v>
      </c>
      <c r="C200" s="20" t="s">
        <v>729</v>
      </c>
      <c r="D200" s="141">
        <v>2450000</v>
      </c>
      <c r="E200" s="20" t="s">
        <v>730</v>
      </c>
      <c r="F200" s="20" t="s">
        <v>731</v>
      </c>
      <c r="G200" s="8" t="str">
        <f t="shared" si="3"/>
        <v>NELSON ARIANE</v>
      </c>
    </row>
    <row r="201" spans="1:7" x14ac:dyDescent="0.25">
      <c r="A201" s="8">
        <v>42868.72923611111</v>
      </c>
      <c r="B201" s="20" t="s">
        <v>399</v>
      </c>
      <c r="C201" s="20" t="s">
        <v>732</v>
      </c>
      <c r="D201" s="141">
        <v>2540000</v>
      </c>
      <c r="E201" s="20" t="s">
        <v>680</v>
      </c>
      <c r="F201" s="20" t="s">
        <v>681</v>
      </c>
      <c r="G201" s="8" t="str">
        <f t="shared" si="3"/>
        <v>MCREYNOLDS KYLE</v>
      </c>
    </row>
    <row r="202" spans="1:7" x14ac:dyDescent="0.25">
      <c r="A202" s="26">
        <v>42868.733576388891</v>
      </c>
      <c r="B202" s="20" t="s">
        <v>393</v>
      </c>
      <c r="C202" s="20" t="s">
        <v>567</v>
      </c>
      <c r="D202" s="141">
        <v>3000000</v>
      </c>
      <c r="E202" s="20" t="s">
        <v>442</v>
      </c>
      <c r="F202" s="20" t="s">
        <v>443</v>
      </c>
      <c r="G202" s="8" t="str">
        <f t="shared" si="3"/>
        <v>FORTUNATO FRANK</v>
      </c>
    </row>
    <row r="203" spans="1:7" x14ac:dyDescent="0.25">
      <c r="A203" s="8">
        <v>42868.733657407407</v>
      </c>
      <c r="B203" s="20" t="s">
        <v>379</v>
      </c>
      <c r="C203" s="20" t="s">
        <v>733</v>
      </c>
      <c r="D203" s="141">
        <v>1540000</v>
      </c>
      <c r="E203" s="20" t="s">
        <v>465</v>
      </c>
      <c r="F203" s="20" t="s">
        <v>466</v>
      </c>
      <c r="G203" s="8" t="str">
        <f t="shared" si="3"/>
        <v>HELVIE ADAM</v>
      </c>
    </row>
    <row r="204" spans="1:7" x14ac:dyDescent="0.25">
      <c r="A204" s="8">
        <v>42868.738310185188</v>
      </c>
      <c r="B204" s="20" t="s">
        <v>486</v>
      </c>
      <c r="C204" s="20" t="s">
        <v>734</v>
      </c>
      <c r="D204" s="141">
        <v>2230000</v>
      </c>
      <c r="E204" s="20" t="s">
        <v>346</v>
      </c>
      <c r="F204" s="20" t="s">
        <v>196</v>
      </c>
      <c r="G204" s="8" t="str">
        <f t="shared" si="3"/>
        <v>SMITH MICHAEL</v>
      </c>
    </row>
    <row r="205" spans="1:7" x14ac:dyDescent="0.25">
      <c r="A205" s="8">
        <v>42868.743009259262</v>
      </c>
      <c r="B205" s="20" t="s">
        <v>459</v>
      </c>
      <c r="C205" s="20" t="s">
        <v>571</v>
      </c>
      <c r="D205" s="141">
        <v>2360000</v>
      </c>
      <c r="E205" s="20" t="s">
        <v>492</v>
      </c>
      <c r="F205" s="20" t="s">
        <v>493</v>
      </c>
      <c r="G205" s="8" t="str">
        <f t="shared" si="3"/>
        <v>BRANDNER MELINDA</v>
      </c>
    </row>
    <row r="206" spans="1:7" x14ac:dyDescent="0.25">
      <c r="A206" s="8">
        <v>42868.747337962966</v>
      </c>
      <c r="B206" s="20" t="s">
        <v>343</v>
      </c>
      <c r="C206" s="20" t="s">
        <v>569</v>
      </c>
      <c r="D206" s="141">
        <v>2040000</v>
      </c>
      <c r="E206" s="20" t="s">
        <v>497</v>
      </c>
      <c r="F206" s="20" t="s">
        <v>498</v>
      </c>
      <c r="G206" s="8" t="str">
        <f t="shared" si="3"/>
        <v>MOSES BRADLEY</v>
      </c>
    </row>
    <row r="207" spans="1:7" x14ac:dyDescent="0.25">
      <c r="A207" s="8">
        <v>42868.748761574076</v>
      </c>
      <c r="B207" s="20" t="s">
        <v>735</v>
      </c>
      <c r="C207" s="20" t="s">
        <v>736</v>
      </c>
      <c r="D207" s="141">
        <v>2150000</v>
      </c>
      <c r="E207" s="20" t="s">
        <v>440</v>
      </c>
      <c r="F207" s="20" t="s">
        <v>441</v>
      </c>
      <c r="G207" s="8" t="str">
        <f t="shared" si="3"/>
        <v>SWANSON BRYCE</v>
      </c>
    </row>
    <row r="208" spans="1:7" x14ac:dyDescent="0.25">
      <c r="A208" s="8">
        <v>42868.754583333335</v>
      </c>
      <c r="B208" s="20" t="s">
        <v>383</v>
      </c>
      <c r="C208" s="20" t="s">
        <v>737</v>
      </c>
      <c r="D208" s="141">
        <v>1300000</v>
      </c>
      <c r="E208" s="20" t="s">
        <v>685</v>
      </c>
      <c r="F208" s="20" t="s">
        <v>686</v>
      </c>
      <c r="G208" s="8" t="str">
        <f t="shared" si="3"/>
        <v>LEVIN SCOTT</v>
      </c>
    </row>
    <row r="209" spans="1:7" x14ac:dyDescent="0.25">
      <c r="A209" s="8">
        <v>42868.757962962962</v>
      </c>
      <c r="B209" s="20" t="s">
        <v>355</v>
      </c>
      <c r="C209" s="20" t="s">
        <v>570</v>
      </c>
      <c r="D209" s="141">
        <v>2680000</v>
      </c>
      <c r="E209" s="20" t="s">
        <v>738</v>
      </c>
      <c r="F209" s="20" t="s">
        <v>739</v>
      </c>
      <c r="G209" s="8" t="str">
        <f t="shared" si="3"/>
        <v>DUNCAN SHEILA</v>
      </c>
    </row>
    <row r="210" spans="1:7" x14ac:dyDescent="0.25">
      <c r="A210" s="8">
        <v>42868.757974537039</v>
      </c>
      <c r="B210" s="20" t="s">
        <v>542</v>
      </c>
      <c r="C210" s="20" t="s">
        <v>740</v>
      </c>
      <c r="D210" s="141">
        <v>2470000</v>
      </c>
      <c r="E210" s="20" t="s">
        <v>668</v>
      </c>
      <c r="F210" s="20" t="s">
        <v>669</v>
      </c>
      <c r="G210" s="8" t="str">
        <f t="shared" si="3"/>
        <v>ROMERO CHAD</v>
      </c>
    </row>
    <row r="211" spans="1:7" x14ac:dyDescent="0.25">
      <c r="A211" s="8">
        <v>42868.763738425929</v>
      </c>
      <c r="B211" s="20" t="s">
        <v>381</v>
      </c>
      <c r="C211" s="20" t="s">
        <v>741</v>
      </c>
      <c r="D211" s="141">
        <v>1540000</v>
      </c>
      <c r="E211" s="20" t="s">
        <v>465</v>
      </c>
      <c r="F211" s="20" t="s">
        <v>466</v>
      </c>
      <c r="G211" s="8" t="str">
        <f t="shared" si="3"/>
        <v>HELVIE ADAM</v>
      </c>
    </row>
    <row r="212" spans="1:7" x14ac:dyDescent="0.25">
      <c r="A212" s="8">
        <v>42868.768113425926</v>
      </c>
      <c r="B212" s="20" t="s">
        <v>406</v>
      </c>
      <c r="C212" s="20" t="s">
        <v>742</v>
      </c>
      <c r="D212" s="141">
        <v>2150000</v>
      </c>
      <c r="E212" s="20" t="s">
        <v>440</v>
      </c>
      <c r="F212" s="20" t="s">
        <v>441</v>
      </c>
      <c r="G212" s="8" t="str">
        <f t="shared" si="3"/>
        <v>SWANSON BRYCE</v>
      </c>
    </row>
    <row r="213" spans="1:7" x14ac:dyDescent="0.25">
      <c r="A213" s="8">
        <v>42868.770439814813</v>
      </c>
      <c r="B213" s="20" t="s">
        <v>485</v>
      </c>
      <c r="C213" s="20" t="s">
        <v>743</v>
      </c>
      <c r="D213" s="141">
        <v>2230000</v>
      </c>
      <c r="E213" s="20" t="s">
        <v>346</v>
      </c>
      <c r="F213" s="20" t="s">
        <v>196</v>
      </c>
      <c r="G213" s="8" t="str">
        <f t="shared" si="3"/>
        <v>SMITH MICHAEL</v>
      </c>
    </row>
    <row r="214" spans="1:7" x14ac:dyDescent="0.25">
      <c r="A214" s="8">
        <v>42868.771504629629</v>
      </c>
      <c r="B214" s="20" t="s">
        <v>744</v>
      </c>
      <c r="C214" s="20" t="s">
        <v>745</v>
      </c>
      <c r="D214" s="141">
        <v>2540000</v>
      </c>
      <c r="E214" s="20" t="s">
        <v>680</v>
      </c>
      <c r="F214" s="20" t="s">
        <v>681</v>
      </c>
      <c r="G214" s="8" t="str">
        <f t="shared" si="3"/>
        <v>MCREYNOLDS KYLE</v>
      </c>
    </row>
    <row r="215" spans="1:7" x14ac:dyDescent="0.25">
      <c r="A215" s="8">
        <v>42868.775671296295</v>
      </c>
      <c r="B215" s="20" t="s">
        <v>379</v>
      </c>
      <c r="C215" s="20" t="s">
        <v>746</v>
      </c>
      <c r="D215" s="141">
        <v>1540000</v>
      </c>
      <c r="E215" s="20" t="s">
        <v>465</v>
      </c>
      <c r="F215" s="20" t="s">
        <v>466</v>
      </c>
      <c r="G215" s="8" t="str">
        <f t="shared" si="3"/>
        <v>HELVIE ADAM</v>
      </c>
    </row>
    <row r="216" spans="1:7" x14ac:dyDescent="0.25">
      <c r="A216" s="8">
        <v>42868.779629629629</v>
      </c>
      <c r="B216" s="20" t="s">
        <v>494</v>
      </c>
      <c r="C216" s="20" t="s">
        <v>747</v>
      </c>
      <c r="D216" s="141">
        <v>2360000</v>
      </c>
      <c r="E216" s="20" t="s">
        <v>492</v>
      </c>
      <c r="F216" s="20" t="s">
        <v>493</v>
      </c>
      <c r="G216" s="8" t="str">
        <f t="shared" si="3"/>
        <v>BRANDNER MELINDA</v>
      </c>
    </row>
    <row r="217" spans="1:7" x14ac:dyDescent="0.25">
      <c r="A217" s="8">
        <v>42868.786435185182</v>
      </c>
      <c r="B217" s="20" t="s">
        <v>344</v>
      </c>
      <c r="C217" s="20" t="s">
        <v>748</v>
      </c>
      <c r="D217" s="141">
        <v>2040000</v>
      </c>
      <c r="E217" s="20" t="s">
        <v>497</v>
      </c>
      <c r="F217" s="20" t="s">
        <v>498</v>
      </c>
      <c r="G217" s="8" t="str">
        <f t="shared" si="3"/>
        <v>MOSES BRADLEY</v>
      </c>
    </row>
    <row r="218" spans="1:7" x14ac:dyDescent="0.25">
      <c r="A218" s="8">
        <v>42868.788206018522</v>
      </c>
      <c r="B218" s="20" t="s">
        <v>371</v>
      </c>
      <c r="C218" s="20" t="s">
        <v>749</v>
      </c>
      <c r="D218" s="141">
        <v>2270000</v>
      </c>
      <c r="E218" s="20" t="s">
        <v>467</v>
      </c>
      <c r="F218" s="20" t="s">
        <v>468</v>
      </c>
      <c r="G218" s="8" t="str">
        <f t="shared" si="3"/>
        <v>BROWN JACOB</v>
      </c>
    </row>
    <row r="219" spans="1:7" x14ac:dyDescent="0.25">
      <c r="A219" s="8">
        <v>42868.794247685182</v>
      </c>
      <c r="B219" s="20" t="s">
        <v>356</v>
      </c>
      <c r="C219" s="20" t="s">
        <v>750</v>
      </c>
      <c r="D219" s="141">
        <v>2680000</v>
      </c>
      <c r="E219" s="20" t="s">
        <v>738</v>
      </c>
      <c r="F219" s="20" t="s">
        <v>739</v>
      </c>
      <c r="G219" s="8" t="str">
        <f t="shared" si="3"/>
        <v>DUNCAN SHEILA</v>
      </c>
    </row>
    <row r="220" spans="1:7" x14ac:dyDescent="0.25">
      <c r="A220" s="8">
        <v>42868.796516203707</v>
      </c>
      <c r="B220" s="20" t="s">
        <v>438</v>
      </c>
      <c r="C220" s="20" t="s">
        <v>751</v>
      </c>
      <c r="D220" s="141">
        <v>2470000</v>
      </c>
      <c r="E220" s="20" t="s">
        <v>668</v>
      </c>
      <c r="F220" s="20" t="s">
        <v>669</v>
      </c>
      <c r="G220" s="8" t="str">
        <f t="shared" si="3"/>
        <v>ROMERO CHAD</v>
      </c>
    </row>
    <row r="221" spans="1:7" x14ac:dyDescent="0.25">
      <c r="A221" s="8">
        <v>42868.799872685187</v>
      </c>
      <c r="B221" s="20" t="s">
        <v>399</v>
      </c>
      <c r="C221" s="20" t="s">
        <v>752</v>
      </c>
      <c r="D221" s="141">
        <v>2150000</v>
      </c>
      <c r="E221" s="20" t="s">
        <v>440</v>
      </c>
      <c r="F221" s="20" t="s">
        <v>441</v>
      </c>
      <c r="G221" s="8" t="str">
        <f t="shared" si="3"/>
        <v>SWANSON BRYCE</v>
      </c>
    </row>
    <row r="222" spans="1:7" x14ac:dyDescent="0.25">
      <c r="A222" s="8">
        <v>42868.805925925924</v>
      </c>
      <c r="B222" s="20" t="s">
        <v>381</v>
      </c>
      <c r="C222" s="20" t="s">
        <v>753</v>
      </c>
      <c r="D222" s="141">
        <v>1540000</v>
      </c>
      <c r="E222" s="20" t="s">
        <v>465</v>
      </c>
      <c r="F222" s="20" t="s">
        <v>466</v>
      </c>
      <c r="G222" s="8" t="str">
        <f t="shared" si="3"/>
        <v>HELVIE ADAM</v>
      </c>
    </row>
    <row r="223" spans="1:7" x14ac:dyDescent="0.25">
      <c r="A223" s="8">
        <v>42868.808495370373</v>
      </c>
      <c r="B223" s="20" t="s">
        <v>486</v>
      </c>
      <c r="C223" s="20" t="s">
        <v>572</v>
      </c>
      <c r="D223" s="141">
        <v>2230000</v>
      </c>
      <c r="E223" s="20" t="s">
        <v>346</v>
      </c>
      <c r="F223" s="20" t="s">
        <v>196</v>
      </c>
      <c r="G223" s="8" t="str">
        <f t="shared" si="3"/>
        <v>SMITH MICHAEL</v>
      </c>
    </row>
    <row r="224" spans="1:7" x14ac:dyDescent="0.25">
      <c r="A224" s="8">
        <v>42868.816793981481</v>
      </c>
      <c r="B224" t="s">
        <v>379</v>
      </c>
      <c r="C224" t="s">
        <v>754</v>
      </c>
      <c r="D224" s="141">
        <v>1540000</v>
      </c>
      <c r="E224" t="s">
        <v>465</v>
      </c>
      <c r="F224" s="20" t="s">
        <v>466</v>
      </c>
      <c r="G224" s="8" t="str">
        <f t="shared" si="3"/>
        <v>HELVIE ADAM</v>
      </c>
    </row>
    <row r="225" spans="1:7" x14ac:dyDescent="0.25">
      <c r="A225" s="8">
        <v>42868.818981481483</v>
      </c>
      <c r="B225" t="s">
        <v>343</v>
      </c>
      <c r="C225" t="s">
        <v>755</v>
      </c>
      <c r="D225" s="141">
        <v>2040000</v>
      </c>
      <c r="E225" t="s">
        <v>497</v>
      </c>
      <c r="F225" s="20" t="s">
        <v>498</v>
      </c>
      <c r="G225" s="8" t="str">
        <f t="shared" si="3"/>
        <v>MOSES BRADLEY</v>
      </c>
    </row>
    <row r="226" spans="1:7" x14ac:dyDescent="0.25">
      <c r="A226" s="8">
        <v>42868.827870370369</v>
      </c>
      <c r="B226" t="s">
        <v>383</v>
      </c>
      <c r="C226" t="s">
        <v>756</v>
      </c>
      <c r="D226" s="141">
        <v>2270000</v>
      </c>
      <c r="E226" t="s">
        <v>467</v>
      </c>
      <c r="F226" s="20" t="s">
        <v>468</v>
      </c>
      <c r="G226" s="8" t="str">
        <f t="shared" si="3"/>
        <v>BROWN JACOB</v>
      </c>
    </row>
    <row r="227" spans="1:7" x14ac:dyDescent="0.25">
      <c r="A227" s="8">
        <v>42868.829456018517</v>
      </c>
      <c r="B227" t="s">
        <v>355</v>
      </c>
      <c r="C227" t="s">
        <v>573</v>
      </c>
      <c r="D227" s="141">
        <v>2680000</v>
      </c>
      <c r="E227" t="s">
        <v>738</v>
      </c>
      <c r="F227" s="20" t="s">
        <v>739</v>
      </c>
      <c r="G227" s="8" t="str">
        <f t="shared" si="3"/>
        <v>DUNCAN SHEILA</v>
      </c>
    </row>
    <row r="228" spans="1:7" x14ac:dyDescent="0.25">
      <c r="A228" s="8">
        <v>42868.830208333333</v>
      </c>
      <c r="B228" t="s">
        <v>578</v>
      </c>
      <c r="C228" t="s">
        <v>757</v>
      </c>
      <c r="D228" s="141">
        <v>3040000</v>
      </c>
      <c r="E228" t="s">
        <v>414</v>
      </c>
      <c r="F228" s="20" t="s">
        <v>415</v>
      </c>
      <c r="G228" s="8" t="str">
        <f t="shared" si="3"/>
        <v>WILLIAMS DONTE</v>
      </c>
    </row>
    <row r="229" spans="1:7" x14ac:dyDescent="0.25">
      <c r="A229" s="8">
        <v>42868.840833333335</v>
      </c>
      <c r="B229" t="s">
        <v>381</v>
      </c>
      <c r="C229" t="s">
        <v>758</v>
      </c>
      <c r="D229" s="141">
        <v>3000000</v>
      </c>
      <c r="E229" t="s">
        <v>442</v>
      </c>
      <c r="F229" s="20" t="s">
        <v>443</v>
      </c>
      <c r="G229" s="8" t="str">
        <f t="shared" si="3"/>
        <v>FORTUNATO FRANK</v>
      </c>
    </row>
    <row r="230" spans="1:7" x14ac:dyDescent="0.25">
      <c r="A230" s="8">
        <v>42868.841678240744</v>
      </c>
      <c r="B230" t="s">
        <v>574</v>
      </c>
      <c r="C230" t="s">
        <v>575</v>
      </c>
      <c r="D230" s="141">
        <v>3040000</v>
      </c>
      <c r="E230" t="s">
        <v>414</v>
      </c>
      <c r="F230" s="20" t="s">
        <v>415</v>
      </c>
      <c r="G230" s="8" t="str">
        <f t="shared" si="3"/>
        <v>WILLIAMS DONTE</v>
      </c>
    </row>
    <row r="231" spans="1:7" x14ac:dyDescent="0.25">
      <c r="A231" s="8">
        <v>42868.842986111114</v>
      </c>
      <c r="B231" t="s">
        <v>485</v>
      </c>
      <c r="C231" t="s">
        <v>759</v>
      </c>
      <c r="D231" s="141">
        <v>2230000</v>
      </c>
      <c r="E231" t="s">
        <v>346</v>
      </c>
      <c r="F231" s="20" t="s">
        <v>196</v>
      </c>
      <c r="G231" s="8" t="str">
        <f t="shared" si="3"/>
        <v>SMITH MICHAEL</v>
      </c>
    </row>
    <row r="232" spans="1:7" x14ac:dyDescent="0.25">
      <c r="A232" s="8">
        <v>42868.851655092592</v>
      </c>
      <c r="B232" t="s">
        <v>406</v>
      </c>
      <c r="C232" t="s">
        <v>760</v>
      </c>
      <c r="D232" s="141">
        <v>2150000</v>
      </c>
      <c r="E232" t="s">
        <v>440</v>
      </c>
      <c r="F232" s="20" t="s">
        <v>441</v>
      </c>
      <c r="G232" s="8" t="str">
        <f t="shared" si="3"/>
        <v>SWANSON BRYCE</v>
      </c>
    </row>
    <row r="233" spans="1:7" x14ac:dyDescent="0.25">
      <c r="A233" s="8">
        <v>42868.860243055555</v>
      </c>
      <c r="B233" t="s">
        <v>379</v>
      </c>
      <c r="C233" t="s">
        <v>761</v>
      </c>
      <c r="D233" s="141">
        <v>3000000</v>
      </c>
      <c r="E233" t="s">
        <v>442</v>
      </c>
      <c r="F233" s="20" t="s">
        <v>443</v>
      </c>
      <c r="G233" s="8" t="str">
        <f t="shared" si="3"/>
        <v>FORTUNATO FRANK</v>
      </c>
    </row>
    <row r="234" spans="1:7" x14ac:dyDescent="0.25">
      <c r="A234" s="8">
        <v>42868.861793981479</v>
      </c>
      <c r="B234" t="s">
        <v>574</v>
      </c>
      <c r="C234" t="s">
        <v>575</v>
      </c>
      <c r="D234" s="141">
        <v>3040000</v>
      </c>
      <c r="E234" t="s">
        <v>414</v>
      </c>
      <c r="F234" s="20" t="s">
        <v>415</v>
      </c>
      <c r="G234" s="8" t="str">
        <f t="shared" si="3"/>
        <v>WILLIAMS DONTE</v>
      </c>
    </row>
    <row r="235" spans="1:7" x14ac:dyDescent="0.25">
      <c r="A235" s="8">
        <v>42868.865740740737</v>
      </c>
      <c r="B235" t="s">
        <v>356</v>
      </c>
      <c r="C235" t="s">
        <v>576</v>
      </c>
      <c r="D235" s="141">
        <v>2680000</v>
      </c>
      <c r="E235" t="s">
        <v>738</v>
      </c>
      <c r="F235" s="20" t="s">
        <v>739</v>
      </c>
      <c r="G235" s="8" t="str">
        <f t="shared" si="3"/>
        <v>DUNCAN SHEILA</v>
      </c>
    </row>
    <row r="236" spans="1:7" x14ac:dyDescent="0.25">
      <c r="A236" s="8">
        <v>42868.87</v>
      </c>
      <c r="B236" t="s">
        <v>371</v>
      </c>
      <c r="C236" t="s">
        <v>762</v>
      </c>
      <c r="D236" s="141">
        <v>2270000</v>
      </c>
      <c r="E236" t="s">
        <v>467</v>
      </c>
      <c r="F236" s="20" t="s">
        <v>468</v>
      </c>
      <c r="G236" s="8" t="str">
        <f t="shared" si="3"/>
        <v>BROWN JACOB</v>
      </c>
    </row>
    <row r="237" spans="1:7" x14ac:dyDescent="0.25">
      <c r="A237" s="8">
        <v>42868.882071759261</v>
      </c>
      <c r="B237" t="s">
        <v>399</v>
      </c>
      <c r="C237" t="s">
        <v>763</v>
      </c>
      <c r="D237" s="141">
        <v>2150000</v>
      </c>
      <c r="E237" t="s">
        <v>440</v>
      </c>
      <c r="F237" s="20" t="s">
        <v>441</v>
      </c>
      <c r="G237" s="8" t="str">
        <f t="shared" si="3"/>
        <v>SWANSON BRYCE</v>
      </c>
    </row>
    <row r="238" spans="1:7" x14ac:dyDescent="0.25">
      <c r="A238" s="8">
        <v>42868.888518518521</v>
      </c>
      <c r="B238" t="s">
        <v>486</v>
      </c>
      <c r="C238" t="s">
        <v>764</v>
      </c>
      <c r="D238" s="141">
        <v>2230000</v>
      </c>
      <c r="E238" t="s">
        <v>346</v>
      </c>
      <c r="F238" s="20" t="s">
        <v>196</v>
      </c>
      <c r="G238" s="8" t="str">
        <f t="shared" si="3"/>
        <v>SMITH MICHAEL</v>
      </c>
    </row>
    <row r="239" spans="1:7" x14ac:dyDescent="0.25">
      <c r="A239" s="8">
        <v>42868.889513888891</v>
      </c>
      <c r="B239" t="s">
        <v>381</v>
      </c>
      <c r="C239" t="s">
        <v>765</v>
      </c>
      <c r="D239" s="141">
        <v>1540000</v>
      </c>
      <c r="E239" t="s">
        <v>465</v>
      </c>
      <c r="F239" s="20" t="s">
        <v>466</v>
      </c>
      <c r="G239" s="8" t="str">
        <f t="shared" si="3"/>
        <v>HELVIE ADAM</v>
      </c>
    </row>
    <row r="240" spans="1:7" x14ac:dyDescent="0.25">
      <c r="A240" s="8">
        <v>42868.901967592596</v>
      </c>
      <c r="B240" t="s">
        <v>379</v>
      </c>
      <c r="C240" t="s">
        <v>766</v>
      </c>
      <c r="D240" s="141">
        <v>1540000</v>
      </c>
      <c r="E240" t="s">
        <v>465</v>
      </c>
      <c r="F240" s="20" t="s">
        <v>466</v>
      </c>
      <c r="G240" s="8" t="str">
        <f t="shared" si="3"/>
        <v>HELVIE ADAM</v>
      </c>
    </row>
    <row r="241" spans="1:7" x14ac:dyDescent="0.25">
      <c r="A241" s="8">
        <v>42868.906724537039</v>
      </c>
      <c r="B241" t="s">
        <v>578</v>
      </c>
      <c r="C241" t="s">
        <v>579</v>
      </c>
      <c r="D241" s="141">
        <v>3040000</v>
      </c>
      <c r="E241" t="s">
        <v>414</v>
      </c>
      <c r="F241" s="20" t="s">
        <v>415</v>
      </c>
      <c r="G241" s="8" t="str">
        <f t="shared" si="3"/>
        <v>WILLIAMS DONTE</v>
      </c>
    </row>
    <row r="242" spans="1:7" x14ac:dyDescent="0.25">
      <c r="A242" s="8">
        <v>42868.911041666666</v>
      </c>
      <c r="B242" t="s">
        <v>383</v>
      </c>
      <c r="C242" t="s">
        <v>577</v>
      </c>
      <c r="D242" s="141">
        <v>2270000</v>
      </c>
      <c r="E242" t="s">
        <v>467</v>
      </c>
      <c r="F242" s="20" t="s">
        <v>468</v>
      </c>
      <c r="G242" s="8" t="str">
        <f t="shared" si="3"/>
        <v>BROWN JACOB</v>
      </c>
    </row>
    <row r="243" spans="1:7" x14ac:dyDescent="0.25">
      <c r="A243" s="8">
        <v>42868.9140162037</v>
      </c>
      <c r="B243" t="s">
        <v>355</v>
      </c>
      <c r="C243" t="s">
        <v>767</v>
      </c>
      <c r="D243" s="141">
        <v>2680000</v>
      </c>
      <c r="E243" t="s">
        <v>738</v>
      </c>
      <c r="F243" s="20" t="s">
        <v>739</v>
      </c>
      <c r="G243" s="8" t="str">
        <f t="shared" si="3"/>
        <v>DUNCAN SHEILA</v>
      </c>
    </row>
    <row r="244" spans="1:7" x14ac:dyDescent="0.25">
      <c r="A244" s="8">
        <v>42868.922939814816</v>
      </c>
      <c r="B244" t="s">
        <v>406</v>
      </c>
      <c r="C244" t="s">
        <v>768</v>
      </c>
      <c r="D244" s="141">
        <v>2150000</v>
      </c>
      <c r="E244" t="s">
        <v>440</v>
      </c>
      <c r="F244" s="20" t="s">
        <v>441</v>
      </c>
      <c r="G244" s="8" t="str">
        <f t="shared" si="3"/>
        <v>SWANSON BRYCE</v>
      </c>
    </row>
    <row r="245" spans="1:7" x14ac:dyDescent="0.25">
      <c r="A245" s="8">
        <v>42868.926099537035</v>
      </c>
      <c r="B245" t="s">
        <v>485</v>
      </c>
      <c r="C245" t="s">
        <v>769</v>
      </c>
      <c r="D245" s="141">
        <v>2230000</v>
      </c>
      <c r="E245" t="s">
        <v>346</v>
      </c>
      <c r="F245" s="20" t="s">
        <v>196</v>
      </c>
      <c r="G245" s="8" t="str">
        <f t="shared" si="3"/>
        <v>SMITH MICHAEL</v>
      </c>
    </row>
    <row r="246" spans="1:7" x14ac:dyDescent="0.25">
      <c r="A246" s="8">
        <v>42868.929849537039</v>
      </c>
      <c r="B246" t="s">
        <v>381</v>
      </c>
      <c r="C246" t="s">
        <v>770</v>
      </c>
      <c r="D246" s="141">
        <v>1540000</v>
      </c>
      <c r="E246" t="s">
        <v>465</v>
      </c>
      <c r="F246" s="20" t="s">
        <v>466</v>
      </c>
      <c r="G246" s="8" t="str">
        <f t="shared" si="3"/>
        <v>HELVIE ADAM</v>
      </c>
    </row>
    <row r="247" spans="1:7" x14ac:dyDescent="0.25">
      <c r="A247" s="8">
        <v>42868.941354166665</v>
      </c>
      <c r="B247" t="s">
        <v>379</v>
      </c>
      <c r="C247" t="s">
        <v>771</v>
      </c>
      <c r="D247" s="141">
        <v>1540000</v>
      </c>
      <c r="E247" t="s">
        <v>465</v>
      </c>
      <c r="F247" s="20" t="s">
        <v>466</v>
      </c>
      <c r="G247" s="8" t="str">
        <f t="shared" si="3"/>
        <v>HELVIE ADAM</v>
      </c>
    </row>
    <row r="248" spans="1:7" x14ac:dyDescent="0.25">
      <c r="A248" s="8">
        <v>42868.944965277777</v>
      </c>
      <c r="B248" t="s">
        <v>383</v>
      </c>
      <c r="C248" t="s">
        <v>577</v>
      </c>
      <c r="D248" s="141">
        <v>2270000</v>
      </c>
      <c r="E248" t="s">
        <v>467</v>
      </c>
      <c r="F248" s="20" t="s">
        <v>468</v>
      </c>
      <c r="G248" s="8" t="str">
        <f t="shared" si="3"/>
        <v>BROWN JACOB</v>
      </c>
    </row>
    <row r="249" spans="1:7" x14ac:dyDescent="0.25">
      <c r="A249" s="8">
        <v>42868.94939814815</v>
      </c>
      <c r="B249" t="s">
        <v>356</v>
      </c>
      <c r="C249" t="s">
        <v>772</v>
      </c>
      <c r="D249" s="141">
        <v>2680000</v>
      </c>
      <c r="E249" t="s">
        <v>738</v>
      </c>
      <c r="F249" s="20" t="s">
        <v>739</v>
      </c>
      <c r="G249" s="8" t="str">
        <f t="shared" si="3"/>
        <v>DUNCAN SHEILA</v>
      </c>
    </row>
    <row r="250" spans="1:7" x14ac:dyDescent="0.25">
      <c r="A250" s="8">
        <v>42868.950277777774</v>
      </c>
      <c r="B250" t="s">
        <v>371</v>
      </c>
      <c r="C250" t="s">
        <v>773</v>
      </c>
      <c r="D250" s="141">
        <v>2270000</v>
      </c>
      <c r="E250" t="s">
        <v>467</v>
      </c>
      <c r="F250" s="20" t="s">
        <v>468</v>
      </c>
      <c r="G250" s="8" t="str">
        <f t="shared" si="3"/>
        <v>BROWN JACOB</v>
      </c>
    </row>
    <row r="251" spans="1:7" x14ac:dyDescent="0.25">
      <c r="A251" s="8">
        <v>42868.964733796296</v>
      </c>
      <c r="B251" t="s">
        <v>399</v>
      </c>
      <c r="C251" t="s">
        <v>768</v>
      </c>
      <c r="D251" s="141">
        <v>2150000</v>
      </c>
      <c r="E251" t="s">
        <v>440</v>
      </c>
      <c r="F251" s="20" t="s">
        <v>441</v>
      </c>
      <c r="G251" s="8" t="str">
        <f t="shared" si="3"/>
        <v>SWANSON BRYCE</v>
      </c>
    </row>
    <row r="252" spans="1:7" x14ac:dyDescent="0.25">
      <c r="A252" s="8">
        <v>42868.966562499998</v>
      </c>
      <c r="B252" t="s">
        <v>486</v>
      </c>
      <c r="C252" t="s">
        <v>774</v>
      </c>
      <c r="D252" s="141">
        <v>2230000</v>
      </c>
      <c r="E252" t="s">
        <v>346</v>
      </c>
      <c r="F252" s="20" t="s">
        <v>196</v>
      </c>
      <c r="G252" s="8" t="str">
        <f t="shared" si="3"/>
        <v>SMITH MICHAEL</v>
      </c>
    </row>
    <row r="253" spans="1:7" x14ac:dyDescent="0.25">
      <c r="A253" s="8">
        <v>42868.967777777776</v>
      </c>
      <c r="B253" t="s">
        <v>574</v>
      </c>
      <c r="C253" t="s">
        <v>575</v>
      </c>
      <c r="D253" s="141">
        <v>3040000</v>
      </c>
      <c r="E253" t="s">
        <v>414</v>
      </c>
      <c r="F253" s="20" t="s">
        <v>415</v>
      </c>
      <c r="G253" s="8" t="str">
        <f t="shared" si="3"/>
        <v>WILLIAMS DONTE</v>
      </c>
    </row>
    <row r="254" spans="1:7" x14ac:dyDescent="0.25">
      <c r="A254" s="8">
        <v>42868.982453703706</v>
      </c>
      <c r="B254" t="s">
        <v>578</v>
      </c>
      <c r="C254" t="s">
        <v>579</v>
      </c>
      <c r="D254" s="141">
        <v>3040000</v>
      </c>
      <c r="E254" t="s">
        <v>414</v>
      </c>
      <c r="F254" s="20" t="s">
        <v>415</v>
      </c>
      <c r="G254" s="8" t="str">
        <f t="shared" si="3"/>
        <v>WILLIAMS DONTE</v>
      </c>
    </row>
    <row r="255" spans="1:7" x14ac:dyDescent="0.25">
      <c r="A255" s="8">
        <v>42868.984479166669</v>
      </c>
      <c r="B255" t="s">
        <v>399</v>
      </c>
      <c r="C255" t="s">
        <v>768</v>
      </c>
      <c r="D255" s="141">
        <v>2150000</v>
      </c>
      <c r="E255" t="s">
        <v>440</v>
      </c>
      <c r="F255" s="20" t="s">
        <v>441</v>
      </c>
      <c r="G255" s="8" t="str">
        <f t="shared" si="3"/>
        <v>SWANSON BRYCE</v>
      </c>
    </row>
    <row r="256" spans="1:7" x14ac:dyDescent="0.25">
      <c r="A256" s="8">
        <v>42868.988159722219</v>
      </c>
      <c r="B256" t="s">
        <v>355</v>
      </c>
      <c r="C256" t="s">
        <v>775</v>
      </c>
      <c r="D256" s="141">
        <v>2680000</v>
      </c>
      <c r="E256" t="s">
        <v>738</v>
      </c>
      <c r="F256" s="20" t="s">
        <v>739</v>
      </c>
      <c r="G256" s="8" t="str">
        <f t="shared" si="3"/>
        <v>DUNCAN SHEILA</v>
      </c>
    </row>
    <row r="257" spans="1:7" x14ac:dyDescent="0.25">
      <c r="A257" s="8">
        <v>42868.999351851853</v>
      </c>
      <c r="B257" t="s">
        <v>383</v>
      </c>
      <c r="C257" t="s">
        <v>776</v>
      </c>
      <c r="D257" s="141">
        <v>2270000</v>
      </c>
      <c r="E257" t="s">
        <v>467</v>
      </c>
      <c r="F257" s="20" t="s">
        <v>468</v>
      </c>
      <c r="G257" s="8" t="str">
        <f t="shared" si="3"/>
        <v>BROWN JACOB</v>
      </c>
    </row>
    <row r="258" spans="1:7" x14ac:dyDescent="0.25">
      <c r="A258" s="8">
        <v>42869.00104166667</v>
      </c>
      <c r="B258" t="s">
        <v>574</v>
      </c>
      <c r="C258" t="s">
        <v>575</v>
      </c>
      <c r="D258" s="141">
        <v>3040000</v>
      </c>
      <c r="E258" t="s">
        <v>414</v>
      </c>
      <c r="F258" s="20" t="s">
        <v>415</v>
      </c>
      <c r="G258" s="8" t="str">
        <f t="shared" si="3"/>
        <v>WILLIAMS DONTE</v>
      </c>
    </row>
    <row r="259" spans="1:7" x14ac:dyDescent="0.25">
      <c r="A259" s="8">
        <v>42869.001747685186</v>
      </c>
      <c r="B259" t="s">
        <v>406</v>
      </c>
      <c r="C259" t="s">
        <v>777</v>
      </c>
      <c r="D259" s="141">
        <v>2150000</v>
      </c>
      <c r="E259" t="s">
        <v>440</v>
      </c>
      <c r="F259" s="20" t="s">
        <v>441</v>
      </c>
      <c r="G259" s="8" t="str">
        <f t="shared" ref="G259:G322" si="4">E259&amp;" "&amp;F259</f>
        <v>SWANSON BRYCE</v>
      </c>
    </row>
    <row r="260" spans="1:7" x14ac:dyDescent="0.25">
      <c r="A260" s="8">
        <v>42869.002766203703</v>
      </c>
      <c r="B260" t="s">
        <v>406</v>
      </c>
      <c r="C260" t="s">
        <v>777</v>
      </c>
      <c r="D260" s="141">
        <v>2150000</v>
      </c>
      <c r="E260" t="s">
        <v>440</v>
      </c>
      <c r="F260" s="20" t="s">
        <v>441</v>
      </c>
      <c r="G260" s="8" t="str">
        <f t="shared" si="4"/>
        <v>SWANSON BRYCE</v>
      </c>
    </row>
    <row r="261" spans="1:7" x14ac:dyDescent="0.25">
      <c r="A261" s="8">
        <v>42869.011944444443</v>
      </c>
      <c r="B261" t="s">
        <v>485</v>
      </c>
      <c r="C261" t="s">
        <v>580</v>
      </c>
      <c r="D261" s="141">
        <v>2230000</v>
      </c>
      <c r="E261" t="s">
        <v>346</v>
      </c>
      <c r="F261" s="20" t="s">
        <v>196</v>
      </c>
      <c r="G261" s="8" t="str">
        <f t="shared" si="4"/>
        <v>SMITH MICHAEL</v>
      </c>
    </row>
    <row r="262" spans="1:7" x14ac:dyDescent="0.25">
      <c r="A262" s="8">
        <v>42869.015405092592</v>
      </c>
      <c r="B262" t="s">
        <v>578</v>
      </c>
      <c r="C262" t="s">
        <v>579</v>
      </c>
      <c r="D262" s="141">
        <v>3040000</v>
      </c>
      <c r="E262" t="s">
        <v>414</v>
      </c>
      <c r="F262" s="20" t="s">
        <v>415</v>
      </c>
      <c r="G262" s="8" t="str">
        <f t="shared" si="4"/>
        <v>WILLIAMS DONTE</v>
      </c>
    </row>
    <row r="263" spans="1:7" x14ac:dyDescent="0.25">
      <c r="A263" s="8">
        <v>42869.02952546296</v>
      </c>
      <c r="B263" t="s">
        <v>356</v>
      </c>
      <c r="C263" t="s">
        <v>778</v>
      </c>
      <c r="D263" s="141">
        <v>2680000</v>
      </c>
      <c r="E263" t="s">
        <v>738</v>
      </c>
      <c r="F263" s="20" t="s">
        <v>739</v>
      </c>
      <c r="G263" s="8" t="str">
        <f t="shared" si="4"/>
        <v>DUNCAN SHEILA</v>
      </c>
    </row>
    <row r="264" spans="1:7" x14ac:dyDescent="0.25">
      <c r="A264" s="8">
        <v>42869.034803240742</v>
      </c>
      <c r="B264" t="s">
        <v>574</v>
      </c>
      <c r="C264" t="s">
        <v>579</v>
      </c>
      <c r="D264" s="141">
        <v>3040000</v>
      </c>
      <c r="E264" t="s">
        <v>414</v>
      </c>
      <c r="F264" s="20" t="s">
        <v>415</v>
      </c>
      <c r="G264" s="8" t="str">
        <f t="shared" si="4"/>
        <v>WILLIAMS DONTE</v>
      </c>
    </row>
    <row r="265" spans="1:7" x14ac:dyDescent="0.25">
      <c r="A265" s="8">
        <v>42869.036874999998</v>
      </c>
      <c r="B265" t="s">
        <v>574</v>
      </c>
      <c r="C265" t="s">
        <v>579</v>
      </c>
      <c r="D265" s="141">
        <v>3040000</v>
      </c>
      <c r="E265" t="s">
        <v>414</v>
      </c>
      <c r="F265" s="20" t="s">
        <v>415</v>
      </c>
      <c r="G265" s="8" t="str">
        <f t="shared" si="4"/>
        <v>WILLIAMS DONTE</v>
      </c>
    </row>
    <row r="266" spans="1:7" x14ac:dyDescent="0.25">
      <c r="A266" s="8">
        <v>42869.037048611113</v>
      </c>
      <c r="B266" t="s">
        <v>371</v>
      </c>
      <c r="C266" t="s">
        <v>779</v>
      </c>
      <c r="D266" s="141">
        <v>2270000</v>
      </c>
      <c r="E266" t="s">
        <v>467</v>
      </c>
      <c r="F266" s="20" t="s">
        <v>468</v>
      </c>
      <c r="G266" s="8" t="str">
        <f t="shared" si="4"/>
        <v>BROWN JACOB</v>
      </c>
    </row>
    <row r="267" spans="1:7" x14ac:dyDescent="0.25">
      <c r="A267" s="8">
        <v>42869.039814814816</v>
      </c>
      <c r="B267" t="s">
        <v>574</v>
      </c>
      <c r="C267" t="s">
        <v>581</v>
      </c>
      <c r="D267" s="141">
        <v>3040000</v>
      </c>
      <c r="E267" t="s">
        <v>414</v>
      </c>
      <c r="F267" s="20" t="s">
        <v>415</v>
      </c>
      <c r="G267" s="8" t="str">
        <f t="shared" si="4"/>
        <v>WILLIAMS DONTE</v>
      </c>
    </row>
    <row r="268" spans="1:7" x14ac:dyDescent="0.25">
      <c r="A268" s="8">
        <v>42869.046782407408</v>
      </c>
      <c r="B268" t="s">
        <v>486</v>
      </c>
      <c r="C268" t="s">
        <v>780</v>
      </c>
      <c r="D268" s="141">
        <v>2230000</v>
      </c>
      <c r="E268" t="s">
        <v>346</v>
      </c>
      <c r="F268" s="20" t="s">
        <v>196</v>
      </c>
      <c r="G268" s="8" t="str">
        <f t="shared" si="4"/>
        <v>SMITH MICHAEL</v>
      </c>
    </row>
    <row r="269" spans="1:7" x14ac:dyDescent="0.25">
      <c r="A269" s="8">
        <v>42869.049409722225</v>
      </c>
      <c r="B269" t="s">
        <v>399</v>
      </c>
      <c r="C269" t="s">
        <v>781</v>
      </c>
      <c r="D269" s="141">
        <v>2150000</v>
      </c>
      <c r="E269" t="s">
        <v>440</v>
      </c>
      <c r="F269" s="20" t="s">
        <v>441</v>
      </c>
      <c r="G269" s="8" t="str">
        <f t="shared" si="4"/>
        <v>SWANSON BRYCE</v>
      </c>
    </row>
    <row r="270" spans="1:7" x14ac:dyDescent="0.25">
      <c r="A270" s="8">
        <v>42869.054675925923</v>
      </c>
      <c r="B270" t="s">
        <v>578</v>
      </c>
      <c r="C270" t="s">
        <v>581</v>
      </c>
      <c r="D270" s="141">
        <v>3040000</v>
      </c>
      <c r="E270" t="s">
        <v>414</v>
      </c>
      <c r="F270" s="20" t="s">
        <v>415</v>
      </c>
      <c r="G270" s="8" t="str">
        <f t="shared" si="4"/>
        <v>WILLIAMS DONTE</v>
      </c>
    </row>
    <row r="271" spans="1:7" x14ac:dyDescent="0.25">
      <c r="A271" s="8">
        <v>42869.05636574074</v>
      </c>
      <c r="B271" t="s">
        <v>399</v>
      </c>
      <c r="C271" t="s">
        <v>781</v>
      </c>
      <c r="D271" s="141">
        <v>2150000</v>
      </c>
      <c r="E271" t="s">
        <v>440</v>
      </c>
      <c r="F271" s="20" t="s">
        <v>441</v>
      </c>
      <c r="G271" s="8" t="str">
        <f t="shared" si="4"/>
        <v>SWANSON BRYCE</v>
      </c>
    </row>
    <row r="272" spans="1:7" x14ac:dyDescent="0.25">
      <c r="A272" s="8">
        <v>42869.057835648149</v>
      </c>
      <c r="B272" t="s">
        <v>399</v>
      </c>
      <c r="C272" t="s">
        <v>781</v>
      </c>
      <c r="D272" s="141">
        <v>2150000</v>
      </c>
      <c r="E272" t="s">
        <v>440</v>
      </c>
      <c r="F272" s="20" t="s">
        <v>441</v>
      </c>
      <c r="G272" s="8" t="str">
        <f t="shared" si="4"/>
        <v>SWANSON BRYCE</v>
      </c>
    </row>
    <row r="273" spans="1:7" x14ac:dyDescent="0.25">
      <c r="A273" s="8">
        <v>42869.068692129629</v>
      </c>
      <c r="B273" t="s">
        <v>574</v>
      </c>
      <c r="C273" t="s">
        <v>581</v>
      </c>
      <c r="D273" s="141">
        <v>3040000</v>
      </c>
      <c r="E273" t="s">
        <v>414</v>
      </c>
      <c r="F273" s="20" t="s">
        <v>415</v>
      </c>
      <c r="G273" s="8" t="str">
        <f t="shared" si="4"/>
        <v>WILLIAMS DONTE</v>
      </c>
    </row>
    <row r="274" spans="1:7" x14ac:dyDescent="0.25">
      <c r="A274" s="8">
        <v>42869.069745370369</v>
      </c>
      <c r="B274" t="s">
        <v>355</v>
      </c>
      <c r="C274" t="s">
        <v>782</v>
      </c>
      <c r="D274" s="141">
        <v>2680000</v>
      </c>
      <c r="E274" t="s">
        <v>738</v>
      </c>
      <c r="F274" s="20" t="s">
        <v>739</v>
      </c>
      <c r="G274" s="8" t="str">
        <f t="shared" si="4"/>
        <v>DUNCAN SHEILA</v>
      </c>
    </row>
    <row r="275" spans="1:7" x14ac:dyDescent="0.25">
      <c r="A275" s="8">
        <v>42869.075567129628</v>
      </c>
      <c r="B275" t="s">
        <v>383</v>
      </c>
      <c r="C275" t="s">
        <v>783</v>
      </c>
      <c r="D275" s="141">
        <v>2270000</v>
      </c>
      <c r="E275" t="s">
        <v>467</v>
      </c>
      <c r="F275" s="20" t="s">
        <v>468</v>
      </c>
      <c r="G275" s="8" t="str">
        <f t="shared" si="4"/>
        <v>BROWN JACOB</v>
      </c>
    </row>
    <row r="276" spans="1:7" x14ac:dyDescent="0.25">
      <c r="A276" s="8">
        <v>42869.082418981481</v>
      </c>
      <c r="B276" t="s">
        <v>578</v>
      </c>
      <c r="C276" t="s">
        <v>581</v>
      </c>
      <c r="D276" s="141">
        <v>3040000</v>
      </c>
      <c r="E276" t="s">
        <v>414</v>
      </c>
      <c r="F276" s="20" t="s">
        <v>415</v>
      </c>
      <c r="G276" s="8" t="str">
        <f t="shared" si="4"/>
        <v>WILLIAMS DONTE</v>
      </c>
    </row>
    <row r="277" spans="1:7" x14ac:dyDescent="0.25">
      <c r="A277" s="8">
        <v>42869.091168981482</v>
      </c>
      <c r="B277" t="s">
        <v>406</v>
      </c>
      <c r="C277" t="s">
        <v>784</v>
      </c>
      <c r="D277" s="141">
        <v>2150000</v>
      </c>
      <c r="E277" t="s">
        <v>440</v>
      </c>
      <c r="F277" s="20" t="s">
        <v>441</v>
      </c>
      <c r="G277" s="8" t="str">
        <f t="shared" si="4"/>
        <v>SWANSON BRYCE</v>
      </c>
    </row>
    <row r="278" spans="1:7" x14ac:dyDescent="0.25">
      <c r="A278" s="8">
        <v>42869.100671296299</v>
      </c>
      <c r="B278" t="s">
        <v>574</v>
      </c>
      <c r="C278" t="s">
        <v>581</v>
      </c>
      <c r="D278" s="141">
        <v>3040000</v>
      </c>
      <c r="E278" t="s">
        <v>414</v>
      </c>
      <c r="F278" s="20" t="s">
        <v>415</v>
      </c>
      <c r="G278" s="8" t="str">
        <f t="shared" si="4"/>
        <v>WILLIAMS DONTE</v>
      </c>
    </row>
    <row r="279" spans="1:7" x14ac:dyDescent="0.25">
      <c r="A279" s="8">
        <v>42869.111655092594</v>
      </c>
      <c r="B279" t="s">
        <v>371</v>
      </c>
      <c r="C279" t="s">
        <v>785</v>
      </c>
      <c r="D279" s="141">
        <v>2270000</v>
      </c>
      <c r="E279" t="s">
        <v>467</v>
      </c>
      <c r="F279" s="20" t="s">
        <v>468</v>
      </c>
      <c r="G279" s="8" t="str">
        <f t="shared" si="4"/>
        <v>BROWN JACOB</v>
      </c>
    </row>
    <row r="280" spans="1:7" x14ac:dyDescent="0.25">
      <c r="A280" s="8">
        <v>42869.114293981482</v>
      </c>
      <c r="B280" t="s">
        <v>578</v>
      </c>
      <c r="C280" t="s">
        <v>581</v>
      </c>
      <c r="D280" s="141">
        <v>3040000</v>
      </c>
      <c r="E280" t="s">
        <v>414</v>
      </c>
      <c r="F280" s="20" t="s">
        <v>415</v>
      </c>
      <c r="G280" s="8" t="str">
        <f t="shared" si="4"/>
        <v>WILLIAMS DONTE</v>
      </c>
    </row>
    <row r="281" spans="1:7" x14ac:dyDescent="0.25">
      <c r="A281" s="8">
        <v>42867.053252314814</v>
      </c>
      <c r="B281" t="s">
        <v>343</v>
      </c>
      <c r="C281" t="s">
        <v>499</v>
      </c>
      <c r="D281" s="141">
        <v>1810000</v>
      </c>
      <c r="E281" t="s">
        <v>396</v>
      </c>
      <c r="F281" s="20" t="s">
        <v>193</v>
      </c>
      <c r="G281" s="8" t="str">
        <f t="shared" si="4"/>
        <v>NEWELL JAMES</v>
      </c>
    </row>
    <row r="282" spans="1:7" x14ac:dyDescent="0.25">
      <c r="A282" s="8">
        <v>42867.070532407408</v>
      </c>
      <c r="B282" t="s">
        <v>494</v>
      </c>
      <c r="C282" t="s">
        <v>500</v>
      </c>
      <c r="D282" s="141">
        <v>2270000</v>
      </c>
      <c r="E282" t="s">
        <v>467</v>
      </c>
      <c r="F282" s="20" t="s">
        <v>468</v>
      </c>
      <c r="G282" s="8" t="str">
        <f t="shared" si="4"/>
        <v>BROWN JACOB</v>
      </c>
    </row>
    <row r="283" spans="1:7" x14ac:dyDescent="0.25">
      <c r="A283" s="8">
        <v>42867.071527777778</v>
      </c>
      <c r="B283" t="s">
        <v>494</v>
      </c>
      <c r="C283" t="s">
        <v>500</v>
      </c>
      <c r="D283" s="141">
        <v>2270000</v>
      </c>
      <c r="E283" t="s">
        <v>467</v>
      </c>
      <c r="F283" s="20" t="s">
        <v>468</v>
      </c>
      <c r="G283" s="8" t="str">
        <f t="shared" si="4"/>
        <v>BROWN JACOB</v>
      </c>
    </row>
    <row r="284" spans="1:7" x14ac:dyDescent="0.25">
      <c r="A284" s="8">
        <v>42867.090428240743</v>
      </c>
      <c r="B284" t="s">
        <v>355</v>
      </c>
      <c r="C284" t="s">
        <v>501</v>
      </c>
      <c r="D284" s="141">
        <v>3000000</v>
      </c>
      <c r="E284" t="s">
        <v>442</v>
      </c>
      <c r="F284" s="20" t="s">
        <v>443</v>
      </c>
      <c r="G284" s="8" t="str">
        <f t="shared" si="4"/>
        <v>FORTUNATO FRANK</v>
      </c>
    </row>
    <row r="285" spans="1:7" x14ac:dyDescent="0.25">
      <c r="A285" s="8">
        <v>42863.995520833334</v>
      </c>
      <c r="B285" t="s">
        <v>344</v>
      </c>
      <c r="C285" t="s">
        <v>419</v>
      </c>
      <c r="D285" s="141">
        <v>1800000</v>
      </c>
      <c r="E285" t="s">
        <v>409</v>
      </c>
      <c r="F285" s="20" t="s">
        <v>410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406</v>
      </c>
      <c r="C286" t="s">
        <v>401</v>
      </c>
      <c r="D286" s="141">
        <v>2970000</v>
      </c>
      <c r="E286" t="s">
        <v>411</v>
      </c>
      <c r="F286" s="20" t="s">
        <v>412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383</v>
      </c>
      <c r="C287" t="s">
        <v>420</v>
      </c>
      <c r="D287" s="141">
        <v>2230000</v>
      </c>
      <c r="E287" t="s">
        <v>346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403</v>
      </c>
      <c r="C288" t="s">
        <v>418</v>
      </c>
      <c r="D288" s="141">
        <v>3130000</v>
      </c>
      <c r="E288" t="s">
        <v>416</v>
      </c>
      <c r="F288" s="20" t="s">
        <v>417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387</v>
      </c>
      <c r="C289" t="s">
        <v>402</v>
      </c>
      <c r="D289" s="141">
        <v>3040000</v>
      </c>
      <c r="E289" t="s">
        <v>414</v>
      </c>
      <c r="F289" s="20" t="s">
        <v>415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403</v>
      </c>
      <c r="C290" t="s">
        <v>418</v>
      </c>
      <c r="D290" s="141">
        <v>3130000</v>
      </c>
      <c r="E290" t="s">
        <v>416</v>
      </c>
      <c r="F290" s="20" t="s">
        <v>417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387</v>
      </c>
      <c r="C291" t="s">
        <v>402</v>
      </c>
      <c r="D291" s="141">
        <v>3040000</v>
      </c>
      <c r="E291" t="s">
        <v>414</v>
      </c>
      <c r="F291" s="20" t="s">
        <v>415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399</v>
      </c>
      <c r="C292" t="s">
        <v>401</v>
      </c>
      <c r="D292" s="141">
        <v>2970000</v>
      </c>
      <c r="E292" t="s">
        <v>411</v>
      </c>
      <c r="F292" s="20" t="s">
        <v>412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403</v>
      </c>
      <c r="C293" t="s">
        <v>404</v>
      </c>
      <c r="D293" s="141">
        <v>3130000</v>
      </c>
      <c r="E293" t="s">
        <v>416</v>
      </c>
      <c r="F293" s="20" t="s">
        <v>417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387</v>
      </c>
      <c r="C294" t="s">
        <v>402</v>
      </c>
      <c r="D294" s="141">
        <v>3040000</v>
      </c>
      <c r="E294" t="s">
        <v>414</v>
      </c>
      <c r="F294" s="20" t="s">
        <v>415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343</v>
      </c>
      <c r="C295" t="s">
        <v>421</v>
      </c>
      <c r="D295" s="141">
        <v>1800000</v>
      </c>
      <c r="E295" t="s">
        <v>409</v>
      </c>
      <c r="F295" s="20" t="s">
        <v>410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393</v>
      </c>
      <c r="C296" t="s">
        <v>422</v>
      </c>
      <c r="D296" s="141">
        <v>3030000</v>
      </c>
      <c r="E296" t="s">
        <v>413</v>
      </c>
      <c r="F296" s="20" t="s">
        <v>395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406</v>
      </c>
      <c r="C297" t="s">
        <v>401</v>
      </c>
      <c r="D297" s="141">
        <v>2970000</v>
      </c>
      <c r="E297" t="s">
        <v>411</v>
      </c>
      <c r="F297" s="20" t="s">
        <v>412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371</v>
      </c>
      <c r="C298" t="s">
        <v>423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399</v>
      </c>
      <c r="C299" t="s">
        <v>401</v>
      </c>
      <c r="D299" s="141">
        <v>2970000</v>
      </c>
      <c r="E299" t="s">
        <v>411</v>
      </c>
      <c r="F299" s="20" t="s">
        <v>412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400</v>
      </c>
      <c r="C300" t="s">
        <v>405</v>
      </c>
      <c r="D300" s="141">
        <v>3130000</v>
      </c>
      <c r="E300" t="s">
        <v>416</v>
      </c>
      <c r="F300" s="20" t="s">
        <v>417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399</v>
      </c>
      <c r="C301" t="s">
        <v>401</v>
      </c>
      <c r="D301" s="141">
        <v>2970000</v>
      </c>
      <c r="E301" t="s">
        <v>411</v>
      </c>
      <c r="F301" s="20" t="s">
        <v>412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386</v>
      </c>
      <c r="C302" t="s">
        <v>402</v>
      </c>
      <c r="D302" s="141">
        <v>3040000</v>
      </c>
      <c r="E302" t="s">
        <v>414</v>
      </c>
      <c r="F302" s="20" t="s">
        <v>415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386</v>
      </c>
      <c r="C303" t="s">
        <v>402</v>
      </c>
      <c r="D303" s="141">
        <v>3040000</v>
      </c>
      <c r="E303" t="s">
        <v>414</v>
      </c>
      <c r="F303" s="20" t="s">
        <v>415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424</v>
      </c>
      <c r="D304" s="141">
        <v>3030000</v>
      </c>
      <c r="E304" t="s">
        <v>413</v>
      </c>
      <c r="F304" s="20" t="s">
        <v>395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406</v>
      </c>
      <c r="C305" t="s">
        <v>401</v>
      </c>
      <c r="D305" s="141">
        <v>2970000</v>
      </c>
      <c r="E305" t="s">
        <v>411</v>
      </c>
      <c r="F305" s="20" t="s">
        <v>412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399</v>
      </c>
      <c r="C306" t="s">
        <v>401</v>
      </c>
      <c r="D306" s="141">
        <v>2970000</v>
      </c>
      <c r="E306" t="s">
        <v>411</v>
      </c>
      <c r="F306" s="20" t="s">
        <v>412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387</v>
      </c>
      <c r="C307" t="s">
        <v>402</v>
      </c>
      <c r="D307" s="141">
        <v>3040000</v>
      </c>
      <c r="E307" t="s">
        <v>414</v>
      </c>
      <c r="F307" s="20" t="s">
        <v>415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403</v>
      </c>
      <c r="C308" t="s">
        <v>425</v>
      </c>
      <c r="D308" s="141">
        <v>3130000</v>
      </c>
      <c r="E308" t="s">
        <v>416</v>
      </c>
      <c r="F308" s="20" t="s">
        <v>417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386</v>
      </c>
      <c r="C309" t="s">
        <v>402</v>
      </c>
      <c r="D309" s="141">
        <v>3040000</v>
      </c>
      <c r="E309" t="s">
        <v>414</v>
      </c>
      <c r="F309" s="20" t="s">
        <v>415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406</v>
      </c>
      <c r="C310" t="s">
        <v>401</v>
      </c>
      <c r="D310" s="141">
        <v>2970000</v>
      </c>
      <c r="E310" t="s">
        <v>411</v>
      </c>
      <c r="F310" s="20" t="s">
        <v>412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399</v>
      </c>
      <c r="C311" t="s">
        <v>401</v>
      </c>
      <c r="D311" s="141">
        <v>2970000</v>
      </c>
      <c r="E311" t="s">
        <v>411</v>
      </c>
      <c r="F311" s="20" t="s">
        <v>412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397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61.33</v>
      </c>
      <c r="B2" s="168">
        <v>0.36</v>
      </c>
      <c r="C2" s="168">
        <v>42.86</v>
      </c>
      <c r="D2" s="8">
        <v>42868</v>
      </c>
      <c r="E2" s="168">
        <v>0.51</v>
      </c>
      <c r="F2" s="168" t="s">
        <v>786</v>
      </c>
      <c r="G2" s="168">
        <v>305.04000000000002</v>
      </c>
      <c r="H2" s="168">
        <v>8.9999999999999998E-4</v>
      </c>
      <c r="I2" s="168">
        <v>0.01</v>
      </c>
      <c r="J2" s="168" t="s">
        <v>398</v>
      </c>
      <c r="K2" s="168">
        <v>1008.43</v>
      </c>
      <c r="L2" s="168" t="s">
        <v>502</v>
      </c>
      <c r="M2" s="168">
        <v>61.33</v>
      </c>
      <c r="N2" s="168">
        <v>1494655200</v>
      </c>
      <c r="O2" s="168">
        <v>4.4800000000000004</v>
      </c>
      <c r="P2" s="168">
        <v>173</v>
      </c>
      <c r="Q2" s="168">
        <v>6.46</v>
      </c>
      <c r="R2"/>
    </row>
    <row r="3" spans="1:18" x14ac:dyDescent="0.25">
      <c r="A3" s="168">
        <v>59.49</v>
      </c>
      <c r="B3" s="168">
        <v>0.28999999999999998</v>
      </c>
      <c r="C3" s="168">
        <v>42.57</v>
      </c>
      <c r="D3" s="8">
        <v>42868.041666666664</v>
      </c>
      <c r="E3" s="168">
        <v>0.53</v>
      </c>
      <c r="F3" s="168" t="s">
        <v>786</v>
      </c>
      <c r="G3" s="168">
        <v>304.7</v>
      </c>
      <c r="H3" s="168">
        <v>0</v>
      </c>
      <c r="I3" s="168">
        <v>0</v>
      </c>
      <c r="J3" s="168"/>
      <c r="K3" s="168">
        <v>1008.21</v>
      </c>
      <c r="L3" s="168" t="s">
        <v>502</v>
      </c>
      <c r="M3" s="168">
        <v>59.49</v>
      </c>
      <c r="N3" s="168">
        <v>1494658800</v>
      </c>
      <c r="O3" s="168">
        <v>4.7</v>
      </c>
      <c r="P3" s="168">
        <v>177</v>
      </c>
      <c r="Q3" s="168">
        <v>4.96</v>
      </c>
      <c r="R3"/>
    </row>
    <row r="4" spans="1:18" x14ac:dyDescent="0.25">
      <c r="A4" s="168">
        <v>56.71</v>
      </c>
      <c r="B4" s="168">
        <v>0.19</v>
      </c>
      <c r="C4" s="168">
        <v>41.26</v>
      </c>
      <c r="D4" s="8">
        <v>42868.083333333336</v>
      </c>
      <c r="E4" s="168">
        <v>0.56000000000000005</v>
      </c>
      <c r="F4" s="168" t="s">
        <v>504</v>
      </c>
      <c r="G4" s="168">
        <v>304.37</v>
      </c>
      <c r="H4" s="168">
        <v>0</v>
      </c>
      <c r="I4" s="168">
        <v>0</v>
      </c>
      <c r="J4" s="168"/>
      <c r="K4" s="168">
        <v>1007.99</v>
      </c>
      <c r="L4" s="168" t="s">
        <v>503</v>
      </c>
      <c r="M4" s="168">
        <v>56.71</v>
      </c>
      <c r="N4" s="168">
        <v>1494662400</v>
      </c>
      <c r="O4" s="168">
        <v>4.47</v>
      </c>
      <c r="P4" s="168">
        <v>194</v>
      </c>
      <c r="Q4" s="168">
        <v>4.1100000000000003</v>
      </c>
      <c r="R4"/>
    </row>
    <row r="5" spans="1:18" x14ac:dyDescent="0.25">
      <c r="A5" s="168">
        <v>54.38</v>
      </c>
      <c r="B5" s="168">
        <v>0.09</v>
      </c>
      <c r="C5" s="168">
        <v>40.97</v>
      </c>
      <c r="D5" s="8">
        <v>42868.125</v>
      </c>
      <c r="E5" s="168">
        <v>0.6</v>
      </c>
      <c r="F5" s="168" t="s">
        <v>504</v>
      </c>
      <c r="G5" s="168">
        <v>304.04000000000002</v>
      </c>
      <c r="H5" s="168">
        <v>0</v>
      </c>
      <c r="I5" s="168">
        <v>0</v>
      </c>
      <c r="J5" s="168"/>
      <c r="K5" s="168">
        <v>1007.8</v>
      </c>
      <c r="L5" s="168" t="s">
        <v>503</v>
      </c>
      <c r="M5" s="168">
        <v>54.38</v>
      </c>
      <c r="N5" s="168">
        <v>1494666000</v>
      </c>
      <c r="O5" s="168">
        <v>4.49</v>
      </c>
      <c r="P5" s="168">
        <v>244</v>
      </c>
      <c r="Q5" s="168">
        <v>2.11</v>
      </c>
      <c r="R5"/>
    </row>
    <row r="6" spans="1:18" x14ac:dyDescent="0.25">
      <c r="A6" s="168">
        <v>52.97</v>
      </c>
      <c r="B6" s="168">
        <v>0.17</v>
      </c>
      <c r="C6" s="168">
        <v>42.16</v>
      </c>
      <c r="D6" s="8">
        <v>42868.166666666664</v>
      </c>
      <c r="E6" s="168">
        <v>0.67</v>
      </c>
      <c r="F6" s="168" t="s">
        <v>504</v>
      </c>
      <c r="G6" s="168">
        <v>304.51</v>
      </c>
      <c r="H6" s="168">
        <v>0</v>
      </c>
      <c r="I6" s="168">
        <v>0</v>
      </c>
      <c r="J6" s="168"/>
      <c r="K6" s="168">
        <v>1007.89</v>
      </c>
      <c r="L6" s="168" t="s">
        <v>503</v>
      </c>
      <c r="M6" s="168">
        <v>52.97</v>
      </c>
      <c r="N6" s="168">
        <v>1494669600</v>
      </c>
      <c r="O6" s="168">
        <v>4.8600000000000003</v>
      </c>
      <c r="P6" s="168">
        <v>245</v>
      </c>
      <c r="Q6" s="168">
        <v>2.1</v>
      </c>
      <c r="R6"/>
    </row>
    <row r="7" spans="1:18" x14ac:dyDescent="0.25">
      <c r="A7" s="168">
        <v>51.29</v>
      </c>
      <c r="B7" s="168">
        <v>0.32</v>
      </c>
      <c r="C7" s="168">
        <v>41.83</v>
      </c>
      <c r="D7" s="8">
        <v>42868.208333333336</v>
      </c>
      <c r="E7" s="168">
        <v>0.7</v>
      </c>
      <c r="F7" s="168" t="s">
        <v>786</v>
      </c>
      <c r="G7" s="168">
        <v>305.3</v>
      </c>
      <c r="H7" s="168">
        <v>0</v>
      </c>
      <c r="I7" s="168">
        <v>0</v>
      </c>
      <c r="J7" s="168"/>
      <c r="K7" s="168">
        <v>1008.1</v>
      </c>
      <c r="L7" s="168" t="s">
        <v>502</v>
      </c>
      <c r="M7" s="168">
        <v>51.29</v>
      </c>
      <c r="N7" s="168">
        <v>1494673200</v>
      </c>
      <c r="O7" s="168">
        <v>5.84</v>
      </c>
      <c r="P7" s="168">
        <v>229</v>
      </c>
      <c r="Q7" s="168">
        <v>2.4900000000000002</v>
      </c>
      <c r="R7"/>
    </row>
    <row r="8" spans="1:18" x14ac:dyDescent="0.25">
      <c r="A8" s="168">
        <v>50.42</v>
      </c>
      <c r="B8" s="168">
        <v>0.45</v>
      </c>
      <c r="C8" s="168">
        <v>41.73</v>
      </c>
      <c r="D8" s="8">
        <v>42868.25</v>
      </c>
      <c r="E8" s="168">
        <v>0.72</v>
      </c>
      <c r="F8" s="168" t="s">
        <v>388</v>
      </c>
      <c r="G8" s="168">
        <v>305.83</v>
      </c>
      <c r="H8" s="168">
        <v>0</v>
      </c>
      <c r="I8" s="168">
        <v>0</v>
      </c>
      <c r="J8" s="168"/>
      <c r="K8" s="168">
        <v>1008.08</v>
      </c>
      <c r="L8" s="168" t="s">
        <v>502</v>
      </c>
      <c r="M8" s="168">
        <v>50.42</v>
      </c>
      <c r="N8" s="168">
        <v>1494676800</v>
      </c>
      <c r="O8" s="168">
        <v>4.95</v>
      </c>
      <c r="P8" s="168">
        <v>211</v>
      </c>
      <c r="Q8" s="168">
        <v>2.33</v>
      </c>
      <c r="R8"/>
    </row>
    <row r="9" spans="1:18" x14ac:dyDescent="0.25">
      <c r="A9" s="168">
        <v>53.08</v>
      </c>
      <c r="B9" s="168">
        <v>0.44</v>
      </c>
      <c r="C9" s="168">
        <v>42.94</v>
      </c>
      <c r="D9" s="8">
        <v>42868.291666666664</v>
      </c>
      <c r="E9" s="168">
        <v>0.68</v>
      </c>
      <c r="F9" s="168" t="s">
        <v>388</v>
      </c>
      <c r="G9" s="168">
        <v>305.74</v>
      </c>
      <c r="H9" s="168">
        <v>0</v>
      </c>
      <c r="I9" s="168">
        <v>0</v>
      </c>
      <c r="J9" s="168"/>
      <c r="K9" s="168">
        <v>1007.48</v>
      </c>
      <c r="L9" s="168" t="s">
        <v>502</v>
      </c>
      <c r="M9" s="168">
        <v>53.08</v>
      </c>
      <c r="N9" s="168">
        <v>1494680400</v>
      </c>
      <c r="O9" s="168">
        <v>4.12</v>
      </c>
      <c r="P9" s="168">
        <v>198</v>
      </c>
      <c r="Q9" s="168">
        <v>1.99</v>
      </c>
      <c r="R9"/>
    </row>
    <row r="10" spans="1:18" x14ac:dyDescent="0.25">
      <c r="A10" s="168">
        <v>60.94</v>
      </c>
      <c r="B10" s="168">
        <v>0.34</v>
      </c>
      <c r="C10" s="168">
        <v>44.21</v>
      </c>
      <c r="D10" s="8">
        <v>42868.333333333336</v>
      </c>
      <c r="E10" s="168">
        <v>0.54</v>
      </c>
      <c r="F10" s="168" t="s">
        <v>388</v>
      </c>
      <c r="G10" s="168">
        <v>305.39</v>
      </c>
      <c r="H10" s="168">
        <v>0</v>
      </c>
      <c r="I10" s="168">
        <v>0</v>
      </c>
      <c r="J10" s="168"/>
      <c r="K10" s="168">
        <v>1006.57</v>
      </c>
      <c r="L10" s="168" t="s">
        <v>502</v>
      </c>
      <c r="M10" s="168">
        <v>60.94</v>
      </c>
      <c r="N10" s="168">
        <v>1494684000</v>
      </c>
      <c r="O10" s="168">
        <v>10</v>
      </c>
      <c r="P10" s="168">
        <v>217</v>
      </c>
      <c r="Q10" s="168">
        <v>2.0099999999999998</v>
      </c>
      <c r="R10"/>
    </row>
    <row r="11" spans="1:18" x14ac:dyDescent="0.25">
      <c r="A11" s="168">
        <v>66.94</v>
      </c>
      <c r="B11" s="168">
        <v>0.25</v>
      </c>
      <c r="C11" s="168">
        <v>41.9</v>
      </c>
      <c r="D11" s="8">
        <v>42868.375</v>
      </c>
      <c r="E11" s="168">
        <v>0.4</v>
      </c>
      <c r="F11" s="168" t="s">
        <v>388</v>
      </c>
      <c r="G11" s="168">
        <v>305.33999999999997</v>
      </c>
      <c r="H11" s="168">
        <v>0</v>
      </c>
      <c r="I11" s="168">
        <v>0</v>
      </c>
      <c r="J11" s="168"/>
      <c r="K11" s="168">
        <v>1005.62</v>
      </c>
      <c r="L11" s="168" t="s">
        <v>502</v>
      </c>
      <c r="M11" s="168">
        <v>66.94</v>
      </c>
      <c r="N11" s="168">
        <v>1494687600</v>
      </c>
      <c r="O11" s="168">
        <v>3.83</v>
      </c>
      <c r="P11" s="168">
        <v>183</v>
      </c>
      <c r="Q11" s="168">
        <v>2.9</v>
      </c>
      <c r="R11"/>
    </row>
    <row r="12" spans="1:18" x14ac:dyDescent="0.25">
      <c r="A12" s="168">
        <v>73.52</v>
      </c>
      <c r="B12" s="168">
        <v>0.27</v>
      </c>
      <c r="C12" s="168">
        <v>41.53</v>
      </c>
      <c r="D12" s="8">
        <v>42868.416666666664</v>
      </c>
      <c r="E12" s="168">
        <v>0.32</v>
      </c>
      <c r="F12" s="168" t="s">
        <v>388</v>
      </c>
      <c r="G12" s="168">
        <v>306.10000000000002</v>
      </c>
      <c r="H12" s="168">
        <v>0</v>
      </c>
      <c r="I12" s="168">
        <v>0</v>
      </c>
      <c r="J12" s="168"/>
      <c r="K12" s="168">
        <v>1004.58</v>
      </c>
      <c r="L12" s="168" t="s">
        <v>502</v>
      </c>
      <c r="M12" s="168">
        <v>73.52</v>
      </c>
      <c r="N12" s="168">
        <v>1494691200</v>
      </c>
      <c r="O12" s="168">
        <v>4.03</v>
      </c>
      <c r="P12" s="168">
        <v>179</v>
      </c>
      <c r="Q12" s="168">
        <v>3.13</v>
      </c>
      <c r="R12"/>
    </row>
    <row r="13" spans="1:18" x14ac:dyDescent="0.25">
      <c r="A13" s="168">
        <v>76.849999999999994</v>
      </c>
      <c r="B13" s="168">
        <v>0.3</v>
      </c>
      <c r="C13" s="168">
        <v>39.24</v>
      </c>
      <c r="D13" s="8">
        <v>42868.458333333336</v>
      </c>
      <c r="E13" s="168">
        <v>0.26</v>
      </c>
      <c r="F13" s="168" t="s">
        <v>388</v>
      </c>
      <c r="G13" s="168">
        <v>307.14999999999998</v>
      </c>
      <c r="H13" s="168">
        <v>0</v>
      </c>
      <c r="I13" s="168">
        <v>0</v>
      </c>
      <c r="J13" s="168"/>
      <c r="K13" s="168">
        <v>1003.54</v>
      </c>
      <c r="L13" s="168" t="s">
        <v>502</v>
      </c>
      <c r="M13" s="168">
        <v>76.849999999999994</v>
      </c>
      <c r="N13" s="168">
        <v>1494694800</v>
      </c>
      <c r="O13" s="168">
        <v>4.1399999999999997</v>
      </c>
      <c r="P13" s="168">
        <v>171</v>
      </c>
      <c r="Q13" s="168">
        <v>3.96</v>
      </c>
      <c r="R13"/>
    </row>
    <row r="14" spans="1:18" x14ac:dyDescent="0.25">
      <c r="A14" s="168">
        <v>79.94</v>
      </c>
      <c r="B14" s="168">
        <v>0.31</v>
      </c>
      <c r="C14" s="168">
        <v>39.15</v>
      </c>
      <c r="D14" s="8">
        <v>42868.5</v>
      </c>
      <c r="E14" s="168">
        <v>0.23</v>
      </c>
      <c r="F14" s="168" t="s">
        <v>388</v>
      </c>
      <c r="G14" s="168">
        <v>307.5</v>
      </c>
      <c r="H14" s="168">
        <v>0</v>
      </c>
      <c r="I14" s="168">
        <v>0</v>
      </c>
      <c r="J14" s="168"/>
      <c r="K14" s="168">
        <v>1002.59</v>
      </c>
      <c r="L14" s="168" t="s">
        <v>502</v>
      </c>
      <c r="M14" s="168">
        <v>79.94</v>
      </c>
      <c r="N14" s="168">
        <v>1494698400</v>
      </c>
      <c r="O14" s="168">
        <v>4.37</v>
      </c>
      <c r="P14" s="168">
        <v>159</v>
      </c>
      <c r="Q14" s="168">
        <v>2.4</v>
      </c>
      <c r="R14"/>
    </row>
    <row r="15" spans="1:18" x14ac:dyDescent="0.25">
      <c r="A15" s="168">
        <v>79.44</v>
      </c>
      <c r="B15" s="168">
        <v>0.32</v>
      </c>
      <c r="C15" s="168">
        <v>37.04</v>
      </c>
      <c r="D15" s="8">
        <v>42868.541666666664</v>
      </c>
      <c r="E15" s="168">
        <v>0.21</v>
      </c>
      <c r="F15" s="168" t="s">
        <v>388</v>
      </c>
      <c r="G15" s="168">
        <v>306.45</v>
      </c>
      <c r="H15" s="168">
        <v>0</v>
      </c>
      <c r="I15" s="168">
        <v>0</v>
      </c>
      <c r="J15" s="168"/>
      <c r="K15" s="168">
        <v>1001.7</v>
      </c>
      <c r="L15" s="168" t="s">
        <v>502</v>
      </c>
      <c r="M15" s="168">
        <v>81.31</v>
      </c>
      <c r="N15" s="168">
        <v>1494702000</v>
      </c>
      <c r="O15" s="168">
        <v>10</v>
      </c>
      <c r="P15" s="168">
        <v>162</v>
      </c>
      <c r="Q15" s="168">
        <v>2.41</v>
      </c>
      <c r="R15"/>
    </row>
    <row r="16" spans="1:18" x14ac:dyDescent="0.25">
      <c r="A16" s="168">
        <v>79.849999999999994</v>
      </c>
      <c r="B16" s="168">
        <v>0.33</v>
      </c>
      <c r="C16" s="168">
        <v>35.24</v>
      </c>
      <c r="D16" s="8">
        <v>42868.583333333336</v>
      </c>
      <c r="E16" s="168">
        <v>0.19</v>
      </c>
      <c r="F16" s="168" t="s">
        <v>388</v>
      </c>
      <c r="G16" s="168">
        <v>304.7</v>
      </c>
      <c r="H16" s="168">
        <v>0</v>
      </c>
      <c r="I16" s="168">
        <v>0</v>
      </c>
      <c r="J16" s="168"/>
      <c r="K16" s="168">
        <v>1000.83</v>
      </c>
      <c r="L16" s="168" t="s">
        <v>502</v>
      </c>
      <c r="M16" s="168">
        <v>82.06</v>
      </c>
      <c r="N16" s="168">
        <v>1494705600</v>
      </c>
      <c r="O16" s="168">
        <v>4.63</v>
      </c>
      <c r="P16" s="168">
        <v>194</v>
      </c>
      <c r="Q16" s="168">
        <v>2.04</v>
      </c>
      <c r="R16"/>
    </row>
    <row r="17" spans="1:18" x14ac:dyDescent="0.25">
      <c r="A17" s="168">
        <v>81.47</v>
      </c>
      <c r="B17" s="168">
        <v>0.34</v>
      </c>
      <c r="C17" s="168">
        <v>33.67</v>
      </c>
      <c r="D17" s="8">
        <v>42868.625</v>
      </c>
      <c r="E17" s="168">
        <v>0.16</v>
      </c>
      <c r="F17" s="168" t="s">
        <v>388</v>
      </c>
      <c r="G17" s="168">
        <v>303.39</v>
      </c>
      <c r="H17" s="168">
        <v>0</v>
      </c>
      <c r="I17" s="168">
        <v>0</v>
      </c>
      <c r="J17" s="168"/>
      <c r="K17" s="168">
        <v>999.98</v>
      </c>
      <c r="L17" s="168" t="s">
        <v>502</v>
      </c>
      <c r="M17" s="168">
        <v>84.43</v>
      </c>
      <c r="N17" s="168">
        <v>1494709200</v>
      </c>
      <c r="O17" s="168">
        <v>3.45</v>
      </c>
      <c r="P17" s="168">
        <v>132</v>
      </c>
      <c r="Q17" s="168">
        <v>1.67</v>
      </c>
      <c r="R17"/>
    </row>
    <row r="18" spans="1:18" x14ac:dyDescent="0.25">
      <c r="A18" s="168">
        <v>80.48</v>
      </c>
      <c r="B18" s="168">
        <v>0.4</v>
      </c>
      <c r="C18" s="168">
        <v>32</v>
      </c>
      <c r="D18" s="8">
        <v>42868.666666666664</v>
      </c>
      <c r="E18" s="168">
        <v>0.16</v>
      </c>
      <c r="F18" s="168" t="s">
        <v>388</v>
      </c>
      <c r="G18" s="168">
        <v>303.13</v>
      </c>
      <c r="H18" s="168">
        <v>1E-3</v>
      </c>
      <c r="I18" s="168">
        <v>0.01</v>
      </c>
      <c r="J18" s="168" t="s">
        <v>398</v>
      </c>
      <c r="K18" s="168">
        <v>999.29</v>
      </c>
      <c r="L18" s="168" t="s">
        <v>502</v>
      </c>
      <c r="M18" s="168">
        <v>83.09</v>
      </c>
      <c r="N18" s="168">
        <v>1494712800</v>
      </c>
      <c r="O18" s="168">
        <v>3.47</v>
      </c>
      <c r="P18" s="168">
        <v>163</v>
      </c>
      <c r="Q18" s="168">
        <v>1.86</v>
      </c>
      <c r="R18"/>
    </row>
    <row r="19" spans="1:18" x14ac:dyDescent="0.25">
      <c r="A19" s="168">
        <v>80.010000000000005</v>
      </c>
      <c r="B19" s="168">
        <v>0.48</v>
      </c>
      <c r="C19" s="168">
        <v>30.55</v>
      </c>
      <c r="D19" s="8">
        <v>42868.708333333336</v>
      </c>
      <c r="E19" s="168">
        <v>0.15</v>
      </c>
      <c r="F19" s="168" t="s">
        <v>388</v>
      </c>
      <c r="G19" s="168">
        <v>303.32</v>
      </c>
      <c r="H19" s="168">
        <v>0</v>
      </c>
      <c r="I19" s="168">
        <v>0</v>
      </c>
      <c r="J19" s="168"/>
      <c r="K19" s="168">
        <v>998.57</v>
      </c>
      <c r="L19" s="168" t="s">
        <v>502</v>
      </c>
      <c r="M19" s="168">
        <v>82.45</v>
      </c>
      <c r="N19" s="168">
        <v>1494716400</v>
      </c>
      <c r="O19" s="168">
        <v>10</v>
      </c>
      <c r="P19" s="168">
        <v>266</v>
      </c>
      <c r="Q19" s="168">
        <v>2.1800000000000002</v>
      </c>
      <c r="R19"/>
    </row>
    <row r="20" spans="1:18" x14ac:dyDescent="0.25">
      <c r="A20" s="168">
        <v>79.88</v>
      </c>
      <c r="B20" s="168">
        <v>0.52</v>
      </c>
      <c r="C20" s="168">
        <v>27.59</v>
      </c>
      <c r="D20" s="8">
        <v>42868.75</v>
      </c>
      <c r="E20" s="168">
        <v>0.15</v>
      </c>
      <c r="F20" s="168" t="s">
        <v>388</v>
      </c>
      <c r="G20" s="168">
        <v>303.29000000000002</v>
      </c>
      <c r="H20" s="168">
        <v>1.2999999999999999E-3</v>
      </c>
      <c r="I20" s="168">
        <v>0.02</v>
      </c>
      <c r="J20" s="168" t="s">
        <v>398</v>
      </c>
      <c r="K20" s="168">
        <v>998.3</v>
      </c>
      <c r="L20" s="168" t="s">
        <v>502</v>
      </c>
      <c r="M20" s="168">
        <v>79.88</v>
      </c>
      <c r="N20" s="168">
        <v>1494720000</v>
      </c>
      <c r="O20" s="168">
        <v>3.56</v>
      </c>
      <c r="P20" s="168">
        <v>252</v>
      </c>
      <c r="Q20" s="168">
        <v>2.84</v>
      </c>
      <c r="R20"/>
    </row>
    <row r="21" spans="1:18" x14ac:dyDescent="0.25">
      <c r="A21" s="168">
        <v>79.69</v>
      </c>
      <c r="B21" s="168">
        <v>0.42</v>
      </c>
      <c r="C21" s="168">
        <v>26.52</v>
      </c>
      <c r="D21" s="8">
        <v>42868.791666666664</v>
      </c>
      <c r="E21" s="168">
        <v>0.14000000000000001</v>
      </c>
      <c r="F21" s="168" t="s">
        <v>388</v>
      </c>
      <c r="G21" s="168">
        <v>302.75</v>
      </c>
      <c r="H21" s="168">
        <v>0</v>
      </c>
      <c r="I21" s="168">
        <v>0</v>
      </c>
      <c r="J21" s="168"/>
      <c r="K21" s="168">
        <v>998.29</v>
      </c>
      <c r="L21" s="168" t="s">
        <v>502</v>
      </c>
      <c r="M21" s="168">
        <v>79.69</v>
      </c>
      <c r="N21" s="168">
        <v>1494723600</v>
      </c>
      <c r="O21" s="168">
        <v>3.85</v>
      </c>
      <c r="P21" s="168">
        <v>243</v>
      </c>
      <c r="Q21" s="168">
        <v>4.24</v>
      </c>
      <c r="R21"/>
    </row>
    <row r="22" spans="1:18" x14ac:dyDescent="0.25">
      <c r="A22" s="168">
        <v>75.56</v>
      </c>
      <c r="B22" s="168">
        <v>0.31</v>
      </c>
      <c r="C22" s="168">
        <v>26.02</v>
      </c>
      <c r="D22" s="8">
        <v>42868.833333333336</v>
      </c>
      <c r="E22" s="168">
        <v>0.16</v>
      </c>
      <c r="F22" s="168" t="s">
        <v>388</v>
      </c>
      <c r="G22" s="168">
        <v>302</v>
      </c>
      <c r="H22" s="168">
        <v>0</v>
      </c>
      <c r="I22" s="168">
        <v>0</v>
      </c>
      <c r="J22" s="168"/>
      <c r="K22" s="168">
        <v>999.19</v>
      </c>
      <c r="L22" s="168" t="s">
        <v>502</v>
      </c>
      <c r="M22" s="168">
        <v>75.56</v>
      </c>
      <c r="N22" s="168">
        <v>1494727200</v>
      </c>
      <c r="O22" s="168">
        <v>4.43</v>
      </c>
      <c r="P22" s="168">
        <v>225</v>
      </c>
      <c r="Q22" s="168">
        <v>4.46</v>
      </c>
      <c r="R22"/>
    </row>
    <row r="23" spans="1:18" x14ac:dyDescent="0.25">
      <c r="A23" s="168">
        <v>70.91</v>
      </c>
      <c r="B23" s="168">
        <v>0.23</v>
      </c>
      <c r="C23" s="168">
        <v>26.41</v>
      </c>
      <c r="D23" s="8">
        <v>42868.875</v>
      </c>
      <c r="E23" s="168">
        <v>0.19</v>
      </c>
      <c r="F23" s="168" t="s">
        <v>504</v>
      </c>
      <c r="G23" s="168">
        <v>301.24</v>
      </c>
      <c r="H23" s="168">
        <v>0</v>
      </c>
      <c r="I23" s="168">
        <v>0</v>
      </c>
      <c r="J23" s="168"/>
      <c r="K23" s="168">
        <v>1000.33</v>
      </c>
      <c r="L23" s="168" t="s">
        <v>503</v>
      </c>
      <c r="M23" s="168">
        <v>70.91</v>
      </c>
      <c r="N23" s="168">
        <v>1494730800</v>
      </c>
      <c r="O23" s="168">
        <v>5.45</v>
      </c>
      <c r="P23" s="168">
        <v>227</v>
      </c>
      <c r="Q23" s="168">
        <v>4.54</v>
      </c>
      <c r="R23"/>
    </row>
    <row r="24" spans="1:18" x14ac:dyDescent="0.25">
      <c r="A24" s="168">
        <v>69.010000000000005</v>
      </c>
      <c r="B24" s="168">
        <v>0.2</v>
      </c>
      <c r="C24" s="168">
        <v>26.32</v>
      </c>
      <c r="D24" s="8">
        <v>42868.916666666664</v>
      </c>
      <c r="E24" s="168">
        <v>0.2</v>
      </c>
      <c r="F24" s="168" t="s">
        <v>504</v>
      </c>
      <c r="G24" s="168">
        <v>300.42</v>
      </c>
      <c r="H24" s="168">
        <v>0</v>
      </c>
      <c r="I24" s="168">
        <v>0</v>
      </c>
      <c r="J24" s="168"/>
      <c r="K24" s="168">
        <v>1001.51</v>
      </c>
      <c r="L24" s="168" t="s">
        <v>503</v>
      </c>
      <c r="M24" s="168">
        <v>69.010000000000005</v>
      </c>
      <c r="N24" s="168">
        <v>1494734400</v>
      </c>
      <c r="O24" s="168">
        <v>4</v>
      </c>
      <c r="P24" s="168">
        <v>227</v>
      </c>
      <c r="Q24" s="168">
        <v>4.09</v>
      </c>
      <c r="R24"/>
    </row>
    <row r="25" spans="1:18" x14ac:dyDescent="0.25">
      <c r="A25" s="168">
        <v>67.239999999999995</v>
      </c>
      <c r="B25" s="168">
        <v>0.16</v>
      </c>
      <c r="C25" s="168">
        <v>27.34</v>
      </c>
      <c r="D25" s="8">
        <v>42868.958333333336</v>
      </c>
      <c r="E25" s="168">
        <v>0.22</v>
      </c>
      <c r="F25" s="168" t="s">
        <v>504</v>
      </c>
      <c r="G25" s="168">
        <v>299.60000000000002</v>
      </c>
      <c r="H25" s="168">
        <v>0</v>
      </c>
      <c r="I25" s="168">
        <v>0</v>
      </c>
      <c r="J25" s="168"/>
      <c r="K25" s="168">
        <v>1002.51</v>
      </c>
      <c r="L25" s="168" t="s">
        <v>503</v>
      </c>
      <c r="M25" s="168">
        <v>67.239999999999995</v>
      </c>
      <c r="N25" s="168">
        <v>1494738000</v>
      </c>
      <c r="O25" s="168">
        <v>3.01</v>
      </c>
      <c r="P25" s="168">
        <v>213</v>
      </c>
      <c r="Q25" s="168">
        <v>4.04</v>
      </c>
      <c r="R25"/>
    </row>
    <row r="26" spans="1:18" x14ac:dyDescent="0.25">
      <c r="A26" s="168">
        <v>64.95</v>
      </c>
      <c r="B26" s="168">
        <v>0.14000000000000001</v>
      </c>
      <c r="C26" s="168">
        <v>28.33</v>
      </c>
      <c r="D26" s="8">
        <v>42869</v>
      </c>
      <c r="E26" s="168">
        <v>0.25</v>
      </c>
      <c r="F26" s="168" t="s">
        <v>504</v>
      </c>
      <c r="G26" s="168">
        <v>299.14</v>
      </c>
      <c r="H26" s="168">
        <v>0</v>
      </c>
      <c r="I26" s="168">
        <v>0</v>
      </c>
      <c r="J26" s="168"/>
      <c r="K26" s="168">
        <v>1003.39</v>
      </c>
      <c r="L26" s="168" t="s">
        <v>503</v>
      </c>
      <c r="M26" s="168">
        <v>64.95</v>
      </c>
      <c r="N26" s="168">
        <v>1494741600</v>
      </c>
      <c r="O26" s="168">
        <v>2.65</v>
      </c>
      <c r="P26" s="168">
        <v>206</v>
      </c>
      <c r="Q26" s="168">
        <v>3.35</v>
      </c>
      <c r="R26"/>
    </row>
    <row r="27" spans="1:18" x14ac:dyDescent="0.25">
      <c r="A27" s="168">
        <v>62.18</v>
      </c>
      <c r="B27" s="168">
        <v>0.04</v>
      </c>
      <c r="C27" s="168">
        <v>29.38</v>
      </c>
      <c r="D27" s="8">
        <v>42869.041666666664</v>
      </c>
      <c r="E27" s="168">
        <v>0.28999999999999998</v>
      </c>
      <c r="F27" s="168" t="s">
        <v>504</v>
      </c>
      <c r="G27" s="168">
        <v>299.52999999999997</v>
      </c>
      <c r="H27" s="168">
        <v>0</v>
      </c>
      <c r="I27" s="168">
        <v>0</v>
      </c>
      <c r="J27" s="168"/>
      <c r="K27" s="168">
        <v>1004.22</v>
      </c>
      <c r="L27" s="168" t="s">
        <v>503</v>
      </c>
      <c r="M27" s="168">
        <v>62.18</v>
      </c>
      <c r="N27" s="168">
        <v>1494745200</v>
      </c>
      <c r="O27" s="168">
        <v>10</v>
      </c>
      <c r="P27" s="168">
        <v>185</v>
      </c>
      <c r="Q27" s="168">
        <v>3.04</v>
      </c>
      <c r="R27"/>
    </row>
    <row r="28" spans="1:18" x14ac:dyDescent="0.25">
      <c r="A28" s="168">
        <v>60.9</v>
      </c>
      <c r="B28" s="168">
        <v>0.04</v>
      </c>
      <c r="C28" s="168">
        <v>30.15</v>
      </c>
      <c r="D28" s="8">
        <v>42869.083333333336</v>
      </c>
      <c r="E28" s="168">
        <v>0.31</v>
      </c>
      <c r="F28" s="168" t="s">
        <v>504</v>
      </c>
      <c r="G28" s="168">
        <v>299.92</v>
      </c>
      <c r="H28" s="168">
        <v>0</v>
      </c>
      <c r="I28" s="168">
        <v>0</v>
      </c>
      <c r="J28" s="168"/>
      <c r="K28" s="168">
        <v>1005</v>
      </c>
      <c r="L28" s="168" t="s">
        <v>503</v>
      </c>
      <c r="M28" s="168">
        <v>60.9</v>
      </c>
      <c r="N28" s="168">
        <v>1494748800</v>
      </c>
      <c r="O28" s="168">
        <v>10</v>
      </c>
      <c r="P28" s="168">
        <v>152</v>
      </c>
      <c r="Q28" s="168">
        <v>2.6</v>
      </c>
      <c r="R28"/>
    </row>
    <row r="29" spans="1:18" x14ac:dyDescent="0.25">
      <c r="A29" s="168">
        <v>58.02</v>
      </c>
      <c r="B29" s="168">
        <v>0.04</v>
      </c>
      <c r="C29" s="168">
        <v>29.6</v>
      </c>
      <c r="D29" s="8">
        <v>42869.125</v>
      </c>
      <c r="E29" s="168">
        <v>0.34</v>
      </c>
      <c r="F29" s="168" t="s">
        <v>504</v>
      </c>
      <c r="G29" s="168">
        <v>300.3</v>
      </c>
      <c r="H29" s="168">
        <v>0</v>
      </c>
      <c r="I29" s="168">
        <v>0</v>
      </c>
      <c r="J29" s="168"/>
      <c r="K29" s="168">
        <v>1005.76</v>
      </c>
      <c r="L29" s="168" t="s">
        <v>503</v>
      </c>
      <c r="M29" s="168">
        <v>58.02</v>
      </c>
      <c r="N29" s="168">
        <v>1494752400</v>
      </c>
      <c r="O29" s="168">
        <v>2.0299999999999998</v>
      </c>
      <c r="P29" s="168">
        <v>152</v>
      </c>
      <c r="Q29" s="168">
        <v>1.53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9"/>
  <sheetViews>
    <sheetView workbookViewId="0">
      <selection activeCell="D11" sqref="D11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42868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1046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1047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1048</v>
      </c>
      <c r="J20" s="143" t="s">
        <v>87</v>
      </c>
      <c r="M20" s="157" t="s">
        <v>374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1049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1050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1051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1052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1053</v>
      </c>
      <c r="J25" s="143" t="s">
        <v>150</v>
      </c>
      <c r="M25" s="157" t="b">
        <v>1</v>
      </c>
    </row>
    <row r="26" spans="3:24" x14ac:dyDescent="0.25">
      <c r="C26" t="s">
        <v>1054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C:\Users\stu\Documents\GitHub\eaglep3-reporting\EC\2017-05-13-refined-times.txt</v>
      </c>
    </row>
    <row r="27" spans="3:24" x14ac:dyDescent="0.25">
      <c r="C27" t="s">
        <v>1055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C:\Users\stu\Documents\GitHub\eaglep3-reporting\EC\2017-05-13-Enforcements.txt</v>
      </c>
    </row>
    <row r="28" spans="3:24" x14ac:dyDescent="0.25">
      <c r="C28" t="s">
        <v>1056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C:\Users\stu\Documents\GitHub\eaglep3-reporting\EC\2017-05-13-Runs-refined.txt</v>
      </c>
    </row>
    <row r="29" spans="3:24" x14ac:dyDescent="0.25">
      <c r="C29" t="s">
        <v>1057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C:\Users\stu\Documents\GitHub\eaglep3-reporting\EC\2017-05-13-Trips.txt</v>
      </c>
    </row>
    <row r="30" spans="3:24" x14ac:dyDescent="0.25">
      <c r="C30" t="s">
        <v>1058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C:\Users\stu\Documents\GitHub\eaglep3-reporting\EC\2017-05-13-Weather.txt</v>
      </c>
    </row>
    <row r="31" spans="3:24" x14ac:dyDescent="0.25">
      <c r="C31" t="s">
        <v>1059</v>
      </c>
      <c r="J31" s="143" t="s">
        <v>200</v>
      </c>
      <c r="M31" s="157" t="s">
        <v>201</v>
      </c>
    </row>
    <row r="32" spans="3:24" x14ac:dyDescent="0.25">
      <c r="C32" t="s">
        <v>1060</v>
      </c>
    </row>
    <row r="33" spans="3:3" x14ac:dyDescent="0.25">
      <c r="C33" t="s">
        <v>1061</v>
      </c>
    </row>
    <row r="34" spans="3:3" x14ac:dyDescent="0.25">
      <c r="C34" t="s">
        <v>1062</v>
      </c>
    </row>
    <row r="35" spans="3:3" x14ac:dyDescent="0.25">
      <c r="C35" t="s">
        <v>1063</v>
      </c>
    </row>
    <row r="36" spans="3:3" x14ac:dyDescent="0.25">
      <c r="C36" t="s">
        <v>1064</v>
      </c>
    </row>
    <row r="37" spans="3:3" x14ac:dyDescent="0.25">
      <c r="C37" t="s">
        <v>1065</v>
      </c>
    </row>
    <row r="38" spans="3:3" x14ac:dyDescent="0.25">
      <c r="C38" t="s">
        <v>1066</v>
      </c>
    </row>
    <row r="39" spans="3:3" x14ac:dyDescent="0.25">
      <c r="C39" t="s">
        <v>1067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2017-05-15T15:43:06Z</dcterms:modified>
</cp:coreProperties>
</file>