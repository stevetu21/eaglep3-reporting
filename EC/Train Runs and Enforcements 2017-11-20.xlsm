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Enforcements!$A$6:$AC$13</definedName>
    <definedName name="_xlnm._FilterDatabase" localSheetId="2" hidden="1">'Missing Trips'!$A$2:$J$26</definedName>
    <definedName name="_xlnm._FilterDatabase" localSheetId="0" hidden="1">'Train Runs'!$A$12:$AG$493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Runs'!$A$12:$J$70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3" i="1" l="1"/>
  <c r="X161" i="1" l="1"/>
  <c r="K160" i="1"/>
  <c r="L160" i="1"/>
  <c r="M160" i="1"/>
  <c r="N160" i="1" s="1"/>
  <c r="V160" i="1"/>
  <c r="AA160" i="1"/>
  <c r="AB160" i="1"/>
  <c r="AC160" i="1"/>
  <c r="AD160" i="1"/>
  <c r="T160" i="1" s="1"/>
  <c r="AE160" i="1"/>
  <c r="AF160" i="1"/>
  <c r="AH160" i="1"/>
  <c r="AM160" i="1"/>
  <c r="AN160" i="1"/>
  <c r="AO160" i="1"/>
  <c r="K159" i="1"/>
  <c r="L159" i="1"/>
  <c r="M159" i="1"/>
  <c r="N159" i="1" s="1"/>
  <c r="T159" i="1"/>
  <c r="V159" i="1"/>
  <c r="AA159" i="1"/>
  <c r="AB159" i="1"/>
  <c r="AC159" i="1"/>
  <c r="AD159" i="1"/>
  <c r="X159" i="1" s="1"/>
  <c r="AE159" i="1"/>
  <c r="AF159" i="1"/>
  <c r="AH159" i="1"/>
  <c r="AM159" i="1"/>
  <c r="AN159" i="1"/>
  <c r="AO159" i="1"/>
  <c r="X208" i="1"/>
  <c r="X209" i="1"/>
  <c r="M207" i="1"/>
  <c r="N207" i="1" s="1"/>
  <c r="K207" i="1"/>
  <c r="L207" i="1"/>
  <c r="V207" i="1"/>
  <c r="Y207" i="1"/>
  <c r="Z207" i="1"/>
  <c r="AA207" i="1" s="1"/>
  <c r="AB207" i="1"/>
  <c r="AC207" i="1"/>
  <c r="AD207" i="1"/>
  <c r="T207" i="1" s="1"/>
  <c r="AE207" i="1"/>
  <c r="AF207" i="1"/>
  <c r="AH207" i="1"/>
  <c r="AM207" i="1"/>
  <c r="AN207" i="1"/>
  <c r="AO207" i="1"/>
  <c r="X155" i="1"/>
  <c r="X156" i="1"/>
  <c r="X157" i="1"/>
  <c r="X158" i="1"/>
  <c r="AG160" i="1"/>
  <c r="AG159" i="1"/>
  <c r="AG207" i="1"/>
  <c r="U160" i="1" l="1"/>
  <c r="S160" i="1" s="1"/>
  <c r="AI160" i="1"/>
  <c r="W160" i="1"/>
  <c r="X160" i="1"/>
  <c r="AI159" i="1"/>
  <c r="U159" i="1"/>
  <c r="S159" i="1" s="1"/>
  <c r="W159" i="1"/>
  <c r="AI207" i="1"/>
  <c r="U207" i="1"/>
  <c r="S207" i="1" s="1"/>
  <c r="W207" i="1"/>
  <c r="X207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A34" i="1" s="1"/>
  <c r="AB34" i="1"/>
  <c r="AC34" i="1"/>
  <c r="AD34" i="1"/>
  <c r="AE34" i="1"/>
  <c r="AF34" i="1"/>
  <c r="AH34" i="1"/>
  <c r="AM34" i="1"/>
  <c r="AN34" i="1"/>
  <c r="AO34" i="1"/>
  <c r="K35" i="1"/>
  <c r="L35" i="1"/>
  <c r="M35" i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/>
  <c r="V36" i="1"/>
  <c r="Y36" i="1"/>
  <c r="AA36" i="1" s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/>
  <c r="V37" i="1"/>
  <c r="Y37" i="1"/>
  <c r="AA37" i="1" s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A41" i="1" s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A45" i="1" s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A49" i="1" s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A50" i="1" s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/>
  <c r="V53" i="1"/>
  <c r="Y53" i="1"/>
  <c r="AA53" i="1" s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T56" i="1"/>
  <c r="V56" i="1"/>
  <c r="Y56" i="1"/>
  <c r="AA56" i="1" s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A58" i="1" s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A60" i="1" s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X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/>
  <c r="V62" i="1"/>
  <c r="Y62" i="1"/>
  <c r="Z62" i="1"/>
  <c r="AA62" i="1" s="1"/>
  <c r="AB62" i="1"/>
  <c r="AC62" i="1"/>
  <c r="AD62" i="1"/>
  <c r="X62" i="1" s="1"/>
  <c r="AE62" i="1"/>
  <c r="AF62" i="1"/>
  <c r="AH62" i="1"/>
  <c r="AM62" i="1"/>
  <c r="AN62" i="1"/>
  <c r="AO62" i="1"/>
  <c r="K63" i="1"/>
  <c r="L63" i="1"/>
  <c r="M63" i="1"/>
  <c r="N63" i="1"/>
  <c r="V63" i="1"/>
  <c r="Y63" i="1"/>
  <c r="Z63" i="1"/>
  <c r="AA63" i="1" s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/>
  <c r="V69" i="1"/>
  <c r="Y69" i="1"/>
  <c r="AA69" i="1" s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X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A71" i="1" s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AA74" i="1" s="1"/>
  <c r="Z74" i="1"/>
  <c r="AB74" i="1"/>
  <c r="AC74" i="1"/>
  <c r="AD74" i="1"/>
  <c r="X74" i="1" s="1"/>
  <c r="AE74" i="1"/>
  <c r="AF74" i="1"/>
  <c r="AH74" i="1"/>
  <c r="AM74" i="1"/>
  <c r="AN74" i="1"/>
  <c r="AO74" i="1"/>
  <c r="K75" i="1"/>
  <c r="L75" i="1"/>
  <c r="M75" i="1"/>
  <c r="P75" i="1" s="1"/>
  <c r="T75" i="1"/>
  <c r="V75" i="1"/>
  <c r="X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V76" i="1"/>
  <c r="X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X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X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T81" i="1"/>
  <c r="V81" i="1"/>
  <c r="Y81" i="1"/>
  <c r="Z81" i="1"/>
  <c r="AB81" i="1"/>
  <c r="AC81" i="1"/>
  <c r="AD81" i="1"/>
  <c r="X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T83" i="1"/>
  <c r="V83" i="1"/>
  <c r="Y83" i="1"/>
  <c r="Z83" i="1"/>
  <c r="AB83" i="1"/>
  <c r="AC83" i="1"/>
  <c r="AD83" i="1"/>
  <c r="X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X89" i="1" s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A90" i="1" s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A91" i="1" s="1"/>
  <c r="AB91" i="1"/>
  <c r="AC91" i="1"/>
  <c r="AD91" i="1"/>
  <c r="X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A92" i="1"/>
  <c r="AB92" i="1"/>
  <c r="AC92" i="1"/>
  <c r="AD92" i="1"/>
  <c r="X92" i="1" s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A94" i="1" s="1"/>
  <c r="AB94" i="1"/>
  <c r="AC94" i="1"/>
  <c r="AD94" i="1"/>
  <c r="T94" i="1" s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X96" i="1"/>
  <c r="Y96" i="1"/>
  <c r="Z96" i="1"/>
  <c r="AA96" i="1" s="1"/>
  <c r="AB96" i="1"/>
  <c r="AC96" i="1"/>
  <c r="AD96" i="1"/>
  <c r="T96" i="1" s="1"/>
  <c r="AE96" i="1"/>
  <c r="AF96" i="1"/>
  <c r="AH96" i="1"/>
  <c r="AM96" i="1"/>
  <c r="AN96" i="1"/>
  <c r="AO96" i="1"/>
  <c r="K97" i="1"/>
  <c r="L97" i="1"/>
  <c r="M97" i="1"/>
  <c r="N97" i="1"/>
  <c r="V97" i="1"/>
  <c r="Y97" i="1"/>
  <c r="Z97" i="1"/>
  <c r="AA97" i="1" s="1"/>
  <c r="AB97" i="1"/>
  <c r="AC97" i="1"/>
  <c r="AD97" i="1"/>
  <c r="T97" i="1" s="1"/>
  <c r="AE97" i="1"/>
  <c r="AF97" i="1"/>
  <c r="AH97" i="1"/>
  <c r="AM97" i="1"/>
  <c r="AN97" i="1"/>
  <c r="AO97" i="1"/>
  <c r="K98" i="1"/>
  <c r="L98" i="1"/>
  <c r="M98" i="1"/>
  <c r="N98" i="1" s="1"/>
  <c r="T98" i="1"/>
  <c r="V98" i="1"/>
  <c r="Y98" i="1"/>
  <c r="Z98" i="1"/>
  <c r="AA98" i="1" s="1"/>
  <c r="AB98" i="1"/>
  <c r="AC98" i="1"/>
  <c r="AD98" i="1"/>
  <c r="X98" i="1" s="1"/>
  <c r="AE98" i="1"/>
  <c r="AF98" i="1"/>
  <c r="AH98" i="1"/>
  <c r="AM98" i="1"/>
  <c r="AN98" i="1"/>
  <c r="AO98" i="1"/>
  <c r="K99" i="1"/>
  <c r="L99" i="1"/>
  <c r="M99" i="1"/>
  <c r="N99" i="1" s="1"/>
  <c r="T99" i="1"/>
  <c r="V99" i="1"/>
  <c r="Y99" i="1"/>
  <c r="Z99" i="1"/>
  <c r="AA99" i="1"/>
  <c r="AB99" i="1"/>
  <c r="AC99" i="1"/>
  <c r="AD99" i="1"/>
  <c r="X99" i="1" s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A100" i="1" s="1"/>
  <c r="AB100" i="1"/>
  <c r="AC100" i="1"/>
  <c r="AD100" i="1"/>
  <c r="T100" i="1" s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X102" i="1" s="1"/>
  <c r="AE102" i="1"/>
  <c r="AF102" i="1"/>
  <c r="AH102" i="1"/>
  <c r="AM102" i="1"/>
  <c r="AN102" i="1"/>
  <c r="AO102" i="1"/>
  <c r="K103" i="1"/>
  <c r="L103" i="1"/>
  <c r="M103" i="1"/>
  <c r="N103" i="1"/>
  <c r="V103" i="1"/>
  <c r="Y103" i="1"/>
  <c r="AA103" i="1" s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A106" i="1" s="1"/>
  <c r="AB106" i="1"/>
  <c r="AC106" i="1"/>
  <c r="AD106" i="1"/>
  <c r="T106" i="1" s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R15" i="3" s="1"/>
  <c r="AF110" i="1"/>
  <c r="AH110" i="1"/>
  <c r="AM110" i="1"/>
  <c r="AN110" i="1"/>
  <c r="AO110" i="1"/>
  <c r="K111" i="1"/>
  <c r="L111" i="1"/>
  <c r="M111" i="1"/>
  <c r="N111" i="1"/>
  <c r="V111" i="1"/>
  <c r="Y111" i="1"/>
  <c r="AA111" i="1" s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A115" i="1" s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A119" i="1" s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A123" i="1" s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A127" i="1" s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A131" i="1" s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A135" i="1" s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R7" i="3" s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A139" i="1" s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P140" i="1" s="1"/>
  <c r="V140" i="1"/>
  <c r="Y140" i="1"/>
  <c r="Z140" i="1"/>
  <c r="AB140" i="1"/>
  <c r="AC140" i="1"/>
  <c r="AD140" i="1"/>
  <c r="AE140" i="1"/>
  <c r="R20" i="3" s="1"/>
  <c r="AF140" i="1"/>
  <c r="AH140" i="1"/>
  <c r="AM140" i="1"/>
  <c r="AN140" i="1"/>
  <c r="AO140" i="1"/>
  <c r="K141" i="1"/>
  <c r="L141" i="1"/>
  <c r="M141" i="1"/>
  <c r="P141" i="1" s="1"/>
  <c r="V141" i="1"/>
  <c r="S17" i="3" s="1"/>
  <c r="Y141" i="1"/>
  <c r="Z141" i="1"/>
  <c r="AA141" i="1" s="1"/>
  <c r="AB141" i="1"/>
  <c r="AC141" i="1"/>
  <c r="AD141" i="1"/>
  <c r="AE141" i="1"/>
  <c r="R11" i="3" s="1"/>
  <c r="AF141" i="1"/>
  <c r="AH141" i="1"/>
  <c r="AM141" i="1"/>
  <c r="AN141" i="1"/>
  <c r="AO141" i="1"/>
  <c r="K142" i="1"/>
  <c r="L142" i="1"/>
  <c r="M142" i="1"/>
  <c r="V142" i="1"/>
  <c r="Y142" i="1"/>
  <c r="Z142" i="1"/>
  <c r="AA142" i="1" s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/>
  <c r="V145" i="1"/>
  <c r="Y145" i="1"/>
  <c r="Z145" i="1"/>
  <c r="AA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S13" i="3" s="1"/>
  <c r="Y147" i="1"/>
  <c r="Z147" i="1"/>
  <c r="AA147" i="1"/>
  <c r="AB147" i="1"/>
  <c r="AC147" i="1"/>
  <c r="AD147" i="1"/>
  <c r="AE147" i="1"/>
  <c r="R13" i="3" s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A151" i="1" s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A154" i="1" s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A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A156" i="1"/>
  <c r="AB156" i="1"/>
  <c r="AC156" i="1"/>
  <c r="AD156" i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A158" i="1" s="1"/>
  <c r="AB158" i="1"/>
  <c r="AC158" i="1"/>
  <c r="AD158" i="1"/>
  <c r="AE158" i="1"/>
  <c r="AF158" i="1"/>
  <c r="AH158" i="1"/>
  <c r="AM158" i="1"/>
  <c r="AN158" i="1"/>
  <c r="AO158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A211" i="1" s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A212" i="1" s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A213" i="1"/>
  <c r="AB213" i="1"/>
  <c r="AC213" i="1"/>
  <c r="AD213" i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AA215" i="1" s="1"/>
  <c r="Z215" i="1"/>
  <c r="AB215" i="1"/>
  <c r="AC215" i="1"/>
  <c r="AD215" i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A217" i="1" s="1"/>
  <c r="AB217" i="1"/>
  <c r="AC217" i="1"/>
  <c r="AD217" i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A219" i="1" s="1"/>
  <c r="AB219" i="1"/>
  <c r="AC219" i="1"/>
  <c r="AD219" i="1"/>
  <c r="AE219" i="1"/>
  <c r="AF219" i="1"/>
  <c r="AH170" i="1"/>
  <c r="AM170" i="1"/>
  <c r="AN170" i="1"/>
  <c r="AO170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1" i="1"/>
  <c r="AM171" i="1"/>
  <c r="AN171" i="1"/>
  <c r="AO171" i="1"/>
  <c r="K221" i="1"/>
  <c r="L221" i="1"/>
  <c r="M221" i="1"/>
  <c r="N221" i="1" s="1"/>
  <c r="V221" i="1"/>
  <c r="Y221" i="1"/>
  <c r="Z221" i="1"/>
  <c r="AA221" i="1" s="1"/>
  <c r="AB221" i="1"/>
  <c r="AC221" i="1"/>
  <c r="AD221" i="1"/>
  <c r="AE221" i="1"/>
  <c r="AF221" i="1"/>
  <c r="AH172" i="1"/>
  <c r="AM172" i="1"/>
  <c r="AN172" i="1"/>
  <c r="AO172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73" i="1"/>
  <c r="AM173" i="1"/>
  <c r="AN173" i="1"/>
  <c r="AO173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4" i="1"/>
  <c r="AM174" i="1"/>
  <c r="AN174" i="1"/>
  <c r="AO174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5" i="1"/>
  <c r="AM175" i="1"/>
  <c r="AN175" i="1"/>
  <c r="AO175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6" i="1"/>
  <c r="AM176" i="1"/>
  <c r="AN176" i="1"/>
  <c r="AO176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7" i="1"/>
  <c r="AM177" i="1"/>
  <c r="AN177" i="1"/>
  <c r="AO177" i="1"/>
  <c r="K233" i="1"/>
  <c r="L233" i="1"/>
  <c r="M233" i="1"/>
  <c r="N233" i="1" s="1"/>
  <c r="V233" i="1"/>
  <c r="Y233" i="1"/>
  <c r="Z233" i="1"/>
  <c r="AA233" i="1" s="1"/>
  <c r="AB233" i="1"/>
  <c r="AC233" i="1"/>
  <c r="AD233" i="1"/>
  <c r="AE233" i="1"/>
  <c r="AF233" i="1"/>
  <c r="AH178" i="1"/>
  <c r="AM178" i="1"/>
  <c r="AN178" i="1"/>
  <c r="AO178" i="1"/>
  <c r="K234" i="1"/>
  <c r="L234" i="1"/>
  <c r="M234" i="1"/>
  <c r="N234" i="1" s="1"/>
  <c r="V234" i="1"/>
  <c r="Y234" i="1"/>
  <c r="Z234" i="1"/>
  <c r="AA234" i="1" s="1"/>
  <c r="AB234" i="1"/>
  <c r="AC234" i="1"/>
  <c r="AD234" i="1"/>
  <c r="AE234" i="1"/>
  <c r="AF234" i="1"/>
  <c r="AH179" i="1"/>
  <c r="AM179" i="1"/>
  <c r="AN179" i="1"/>
  <c r="AO179" i="1"/>
  <c r="K235" i="1"/>
  <c r="L235" i="1"/>
  <c r="M235" i="1"/>
  <c r="N235" i="1" s="1"/>
  <c r="V235" i="1"/>
  <c r="Y235" i="1"/>
  <c r="AA235" i="1" s="1"/>
  <c r="Z235" i="1"/>
  <c r="AB235" i="1"/>
  <c r="AC235" i="1"/>
  <c r="AD235" i="1"/>
  <c r="AE235" i="1"/>
  <c r="AF235" i="1"/>
  <c r="AH180" i="1"/>
  <c r="AM180" i="1"/>
  <c r="AN180" i="1"/>
  <c r="AO180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1" i="1"/>
  <c r="AM181" i="1"/>
  <c r="AN181" i="1"/>
  <c r="AO181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2" i="1"/>
  <c r="AM182" i="1"/>
  <c r="AN182" i="1"/>
  <c r="AO182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3" i="1"/>
  <c r="AM183" i="1"/>
  <c r="AN183" i="1"/>
  <c r="AO183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4" i="1"/>
  <c r="AM184" i="1"/>
  <c r="AN184" i="1"/>
  <c r="AO184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R29" i="3" s="1"/>
  <c r="AF163" i="1"/>
  <c r="AH185" i="1"/>
  <c r="AM185" i="1"/>
  <c r="AN185" i="1"/>
  <c r="AO185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6" i="1"/>
  <c r="AM186" i="1"/>
  <c r="AN186" i="1"/>
  <c r="AO186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7" i="1"/>
  <c r="AM187" i="1"/>
  <c r="AN187" i="1"/>
  <c r="AO187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8" i="1"/>
  <c r="AM188" i="1"/>
  <c r="AN188" i="1"/>
  <c r="AO188" i="1"/>
  <c r="K167" i="1"/>
  <c r="L167" i="1"/>
  <c r="M167" i="1"/>
  <c r="N167" i="1" s="1"/>
  <c r="V167" i="1"/>
  <c r="S24" i="3" s="1"/>
  <c r="Y167" i="1"/>
  <c r="Z167" i="1"/>
  <c r="AB167" i="1"/>
  <c r="AC167" i="1"/>
  <c r="AD167" i="1"/>
  <c r="T167" i="1" s="1"/>
  <c r="AE167" i="1"/>
  <c r="R24" i="3" s="1"/>
  <c r="AF167" i="1"/>
  <c r="AH189" i="1"/>
  <c r="AM189" i="1"/>
  <c r="AN189" i="1"/>
  <c r="AO189" i="1"/>
  <c r="K168" i="1"/>
  <c r="L168" i="1"/>
  <c r="M168" i="1"/>
  <c r="N168" i="1" s="1"/>
  <c r="V168" i="1"/>
  <c r="S23" i="3" s="1"/>
  <c r="Y168" i="1"/>
  <c r="Z168" i="1"/>
  <c r="AB168" i="1"/>
  <c r="AC168" i="1"/>
  <c r="AD168" i="1"/>
  <c r="T168" i="1" s="1"/>
  <c r="AE168" i="1"/>
  <c r="AF168" i="1"/>
  <c r="AH190" i="1"/>
  <c r="AM190" i="1"/>
  <c r="AN190" i="1"/>
  <c r="AO190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1" i="1"/>
  <c r="AM191" i="1"/>
  <c r="AN191" i="1"/>
  <c r="AO191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2" i="1"/>
  <c r="AM192" i="1"/>
  <c r="AN192" i="1"/>
  <c r="AO192" i="1"/>
  <c r="K171" i="1"/>
  <c r="L171" i="1"/>
  <c r="M171" i="1"/>
  <c r="N171" i="1" s="1"/>
  <c r="V171" i="1"/>
  <c r="S30" i="3" s="1"/>
  <c r="Y171" i="1"/>
  <c r="Z171" i="1"/>
  <c r="AB171" i="1"/>
  <c r="AC171" i="1"/>
  <c r="AD171" i="1"/>
  <c r="T171" i="1" s="1"/>
  <c r="AE171" i="1"/>
  <c r="R30" i="3" s="1"/>
  <c r="AF171" i="1"/>
  <c r="AH193" i="1"/>
  <c r="AM193" i="1"/>
  <c r="AN193" i="1"/>
  <c r="AO193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4" i="1"/>
  <c r="AM194" i="1"/>
  <c r="AN194" i="1"/>
  <c r="AO194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5" i="1"/>
  <c r="AM195" i="1"/>
  <c r="AN195" i="1"/>
  <c r="AO195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6" i="1"/>
  <c r="AM196" i="1"/>
  <c r="AN196" i="1"/>
  <c r="AO196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7" i="1"/>
  <c r="AM197" i="1"/>
  <c r="AN197" i="1"/>
  <c r="AO197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8" i="1"/>
  <c r="AM198" i="1"/>
  <c r="AN198" i="1"/>
  <c r="AO198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9" i="1"/>
  <c r="AM199" i="1"/>
  <c r="AN199" i="1"/>
  <c r="AO199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0" i="1"/>
  <c r="AM200" i="1"/>
  <c r="AN200" i="1"/>
  <c r="AO200" i="1"/>
  <c r="K179" i="1"/>
  <c r="L179" i="1"/>
  <c r="M179" i="1"/>
  <c r="N179" i="1" s="1"/>
  <c r="V179" i="1"/>
  <c r="S25" i="3" s="1"/>
  <c r="Y179" i="1"/>
  <c r="Z179" i="1"/>
  <c r="AB179" i="1"/>
  <c r="AC179" i="1"/>
  <c r="AD179" i="1"/>
  <c r="T179" i="1" s="1"/>
  <c r="AE179" i="1"/>
  <c r="R25" i="3" s="1"/>
  <c r="AF179" i="1"/>
  <c r="AH201" i="1"/>
  <c r="AM201" i="1"/>
  <c r="AN201" i="1"/>
  <c r="AO201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2" i="1"/>
  <c r="AM202" i="1"/>
  <c r="AN202" i="1"/>
  <c r="AO202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3" i="1"/>
  <c r="AM203" i="1"/>
  <c r="AN203" i="1"/>
  <c r="AO203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4" i="1"/>
  <c r="AM204" i="1"/>
  <c r="AN204" i="1"/>
  <c r="AO204" i="1"/>
  <c r="K183" i="1"/>
  <c r="L183" i="1"/>
  <c r="M183" i="1"/>
  <c r="N183" i="1" s="1"/>
  <c r="V183" i="1"/>
  <c r="S26" i="3" s="1"/>
  <c r="Y183" i="1"/>
  <c r="Z183" i="1"/>
  <c r="AB183" i="1"/>
  <c r="AC183" i="1"/>
  <c r="AD183" i="1"/>
  <c r="T183" i="1" s="1"/>
  <c r="AE183" i="1"/>
  <c r="R26" i="3" s="1"/>
  <c r="AF183" i="1"/>
  <c r="AH205" i="1"/>
  <c r="AM205" i="1"/>
  <c r="AN205" i="1"/>
  <c r="AO205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6" i="1"/>
  <c r="AM206" i="1"/>
  <c r="AN206" i="1"/>
  <c r="AO206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8" i="1"/>
  <c r="AM208" i="1"/>
  <c r="AN208" i="1"/>
  <c r="AO208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9" i="1"/>
  <c r="AM209" i="1"/>
  <c r="AN209" i="1"/>
  <c r="AO209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0" i="1"/>
  <c r="AM210" i="1"/>
  <c r="AN210" i="1"/>
  <c r="AO210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1" i="1"/>
  <c r="AM211" i="1"/>
  <c r="AN211" i="1"/>
  <c r="AO211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2" i="1"/>
  <c r="AM212" i="1"/>
  <c r="AN212" i="1"/>
  <c r="AO212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3" i="1"/>
  <c r="AM213" i="1"/>
  <c r="AN213" i="1"/>
  <c r="AO213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4" i="1"/>
  <c r="AM214" i="1"/>
  <c r="AN214" i="1"/>
  <c r="AO214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5" i="1"/>
  <c r="AM215" i="1"/>
  <c r="AN215" i="1"/>
  <c r="AO215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6" i="1"/>
  <c r="AM216" i="1"/>
  <c r="AN216" i="1"/>
  <c r="AO216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7" i="1"/>
  <c r="AM217" i="1"/>
  <c r="AN217" i="1"/>
  <c r="AO217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8" i="1"/>
  <c r="AM218" i="1"/>
  <c r="AN218" i="1"/>
  <c r="AO218" i="1"/>
  <c r="K196" i="1"/>
  <c r="L196" i="1"/>
  <c r="M196" i="1"/>
  <c r="N196" i="1"/>
  <c r="V196" i="1"/>
  <c r="Y196" i="1"/>
  <c r="Z196" i="1"/>
  <c r="AB196" i="1"/>
  <c r="AC196" i="1"/>
  <c r="AD196" i="1"/>
  <c r="T196" i="1" s="1"/>
  <c r="AE196" i="1"/>
  <c r="AF196" i="1"/>
  <c r="AH219" i="1"/>
  <c r="AM219" i="1"/>
  <c r="AN219" i="1"/>
  <c r="AO219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0" i="1"/>
  <c r="AM220" i="1"/>
  <c r="AN220" i="1"/>
  <c r="AO220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1" i="1"/>
  <c r="AM221" i="1"/>
  <c r="AN221" i="1"/>
  <c r="AO221" i="1"/>
  <c r="K199" i="1"/>
  <c r="L199" i="1"/>
  <c r="M199" i="1"/>
  <c r="N199" i="1" s="1"/>
  <c r="V199" i="1"/>
  <c r="S27" i="3" s="1"/>
  <c r="Y199" i="1"/>
  <c r="Z199" i="1"/>
  <c r="AB199" i="1"/>
  <c r="AC199" i="1"/>
  <c r="AD199" i="1"/>
  <c r="T199" i="1" s="1"/>
  <c r="AE199" i="1"/>
  <c r="R27" i="3" s="1"/>
  <c r="AF199" i="1"/>
  <c r="AH222" i="1"/>
  <c r="AM222" i="1"/>
  <c r="AN222" i="1"/>
  <c r="AO222" i="1"/>
  <c r="K200" i="1"/>
  <c r="L200" i="1"/>
  <c r="M200" i="1"/>
  <c r="N200" i="1"/>
  <c r="V200" i="1"/>
  <c r="Y200" i="1"/>
  <c r="Z200" i="1"/>
  <c r="AB200" i="1"/>
  <c r="AC200" i="1"/>
  <c r="AD200" i="1"/>
  <c r="T200" i="1" s="1"/>
  <c r="AE200" i="1"/>
  <c r="AF200" i="1"/>
  <c r="AH223" i="1"/>
  <c r="AM223" i="1"/>
  <c r="AN223" i="1"/>
  <c r="AO223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4" i="1"/>
  <c r="AM224" i="1"/>
  <c r="AN224" i="1"/>
  <c r="AO224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5" i="1"/>
  <c r="AM225" i="1"/>
  <c r="AN225" i="1"/>
  <c r="AO225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6" i="1"/>
  <c r="AM226" i="1"/>
  <c r="AN226" i="1"/>
  <c r="AO22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7" i="1"/>
  <c r="AM227" i="1"/>
  <c r="AN227" i="1"/>
  <c r="AO227" i="1"/>
  <c r="K205" i="1"/>
  <c r="L205" i="1"/>
  <c r="M205" i="1"/>
  <c r="N205" i="1"/>
  <c r="V205" i="1"/>
  <c r="S28" i="3" s="1"/>
  <c r="Y205" i="1"/>
  <c r="Z205" i="1"/>
  <c r="AB205" i="1"/>
  <c r="AC205" i="1"/>
  <c r="AD205" i="1"/>
  <c r="T205" i="1" s="1"/>
  <c r="AE205" i="1"/>
  <c r="R28" i="3" s="1"/>
  <c r="AF205" i="1"/>
  <c r="AH228" i="1"/>
  <c r="AM228" i="1"/>
  <c r="AN228" i="1"/>
  <c r="AO22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29" i="1"/>
  <c r="AM229" i="1"/>
  <c r="AN229" i="1"/>
  <c r="AO229" i="1"/>
  <c r="K208" i="1"/>
  <c r="L208" i="1"/>
  <c r="M208" i="1"/>
  <c r="N208" i="1"/>
  <c r="V208" i="1"/>
  <c r="Y208" i="1"/>
  <c r="Z208" i="1"/>
  <c r="AB208" i="1"/>
  <c r="AC208" i="1"/>
  <c r="AD208" i="1"/>
  <c r="T208" i="1" s="1"/>
  <c r="AE208" i="1"/>
  <c r="AF208" i="1"/>
  <c r="AH230" i="1"/>
  <c r="AM230" i="1"/>
  <c r="AN230" i="1"/>
  <c r="AO230" i="1"/>
  <c r="K209" i="1"/>
  <c r="L209" i="1"/>
  <c r="M209" i="1"/>
  <c r="N209" i="1" s="1"/>
  <c r="V209" i="1"/>
  <c r="Y209" i="1"/>
  <c r="Z209" i="1"/>
  <c r="AA209" i="1" s="1"/>
  <c r="AB209" i="1"/>
  <c r="AC209" i="1"/>
  <c r="AD209" i="1"/>
  <c r="T209" i="1" s="1"/>
  <c r="AE209" i="1"/>
  <c r="AF209" i="1"/>
  <c r="AH231" i="1"/>
  <c r="AM231" i="1"/>
  <c r="AN231" i="1"/>
  <c r="AO231" i="1"/>
  <c r="K223" i="1"/>
  <c r="L223" i="1"/>
  <c r="M223" i="1"/>
  <c r="N223" i="1" s="1"/>
  <c r="V223" i="1"/>
  <c r="Y223" i="1"/>
  <c r="Z223" i="1"/>
  <c r="AA223" i="1" s="1"/>
  <c r="AB223" i="1"/>
  <c r="AC223" i="1"/>
  <c r="AD223" i="1"/>
  <c r="AE223" i="1"/>
  <c r="AF223" i="1"/>
  <c r="AH232" i="1"/>
  <c r="AM232" i="1"/>
  <c r="AN232" i="1"/>
  <c r="AO232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3" i="1"/>
  <c r="AM233" i="1"/>
  <c r="AN233" i="1"/>
  <c r="AO233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4" i="1"/>
  <c r="AM234" i="1"/>
  <c r="AN234" i="1"/>
  <c r="AO234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35" i="1"/>
  <c r="AM235" i="1"/>
  <c r="AN235" i="1"/>
  <c r="AO235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36" i="1"/>
  <c r="AM236" i="1"/>
  <c r="AN236" i="1"/>
  <c r="AO236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37" i="1"/>
  <c r="AM237" i="1"/>
  <c r="AN237" i="1"/>
  <c r="AO237" i="1"/>
  <c r="M29" i="3"/>
  <c r="S29" i="3"/>
  <c r="U29" i="3"/>
  <c r="T29" i="3" s="1"/>
  <c r="V29" i="3"/>
  <c r="X29" i="3"/>
  <c r="M12" i="3"/>
  <c r="R12" i="3"/>
  <c r="S12" i="3"/>
  <c r="U12" i="3"/>
  <c r="AD12" i="3" s="1"/>
  <c r="V12" i="3"/>
  <c r="X12" i="3"/>
  <c r="M24" i="3"/>
  <c r="U24" i="3"/>
  <c r="T24" i="3" s="1"/>
  <c r="V24" i="3"/>
  <c r="X24" i="3"/>
  <c r="M23" i="3"/>
  <c r="R23" i="3"/>
  <c r="U23" i="3"/>
  <c r="T23" i="3" s="1"/>
  <c r="V23" i="3"/>
  <c r="X23" i="3"/>
  <c r="M19" i="3"/>
  <c r="R19" i="3"/>
  <c r="S19" i="3"/>
  <c r="U19" i="3"/>
  <c r="V19" i="3"/>
  <c r="X19" i="3"/>
  <c r="M30" i="3"/>
  <c r="U30" i="3"/>
  <c r="T30" i="3" s="1"/>
  <c r="V30" i="3"/>
  <c r="X30" i="3"/>
  <c r="M8" i="3"/>
  <c r="R8" i="3"/>
  <c r="S8" i="3"/>
  <c r="U8" i="3"/>
  <c r="T8" i="3" s="1"/>
  <c r="V8" i="3"/>
  <c r="X8" i="3"/>
  <c r="M21" i="3"/>
  <c r="R21" i="3"/>
  <c r="S21" i="3"/>
  <c r="U21" i="3"/>
  <c r="V21" i="3"/>
  <c r="X21" i="3"/>
  <c r="M25" i="3"/>
  <c r="U25" i="3"/>
  <c r="V25" i="3"/>
  <c r="X25" i="3"/>
  <c r="AD19" i="3"/>
  <c r="M10" i="3"/>
  <c r="R10" i="3"/>
  <c r="S10" i="3"/>
  <c r="U10" i="3"/>
  <c r="T10" i="3" s="1"/>
  <c r="V10" i="3"/>
  <c r="X10" i="3"/>
  <c r="M26" i="3"/>
  <c r="U26" i="3"/>
  <c r="V26" i="3"/>
  <c r="X26" i="3"/>
  <c r="M15" i="3"/>
  <c r="S15" i="3"/>
  <c r="U15" i="3"/>
  <c r="V15" i="3"/>
  <c r="X15" i="3"/>
  <c r="M22" i="3"/>
  <c r="R22" i="3"/>
  <c r="S22" i="3"/>
  <c r="U22" i="3"/>
  <c r="T22" i="3" s="1"/>
  <c r="V22" i="3"/>
  <c r="X22" i="3"/>
  <c r="M27" i="3"/>
  <c r="U27" i="3"/>
  <c r="AC27" i="3" s="1"/>
  <c r="V27" i="3"/>
  <c r="X27" i="3"/>
  <c r="M7" i="3"/>
  <c r="S7" i="3"/>
  <c r="U7" i="3"/>
  <c r="V7" i="3"/>
  <c r="X7" i="3"/>
  <c r="M14" i="3"/>
  <c r="R14" i="3"/>
  <c r="S14" i="3"/>
  <c r="U14" i="3"/>
  <c r="V14" i="3"/>
  <c r="X14" i="3"/>
  <c r="M20" i="3"/>
  <c r="S20" i="3"/>
  <c r="U20" i="3"/>
  <c r="T20" i="3" s="1"/>
  <c r="V20" i="3"/>
  <c r="X20" i="3"/>
  <c r="M11" i="3"/>
  <c r="U11" i="3"/>
  <c r="V11" i="3"/>
  <c r="X11" i="3"/>
  <c r="M16" i="3"/>
  <c r="U16" i="3"/>
  <c r="V16" i="3"/>
  <c r="X16" i="3"/>
  <c r="M17" i="3"/>
  <c r="R17" i="3"/>
  <c r="U17" i="3"/>
  <c r="T17" i="3" s="1"/>
  <c r="V17" i="3"/>
  <c r="X17" i="3"/>
  <c r="M18" i="3"/>
  <c r="U18" i="3"/>
  <c r="AC18" i="3" s="1"/>
  <c r="V18" i="3"/>
  <c r="X18" i="3"/>
  <c r="M28" i="3"/>
  <c r="U28" i="3"/>
  <c r="T28" i="3" s="1"/>
  <c r="V28" i="3"/>
  <c r="X28" i="3"/>
  <c r="M13" i="3"/>
  <c r="U13" i="3"/>
  <c r="T13" i="3" s="1"/>
  <c r="V13" i="3"/>
  <c r="X13" i="3"/>
  <c r="AG16" i="1"/>
  <c r="AG20" i="1"/>
  <c r="AG24" i="1"/>
  <c r="AG28" i="1"/>
  <c r="AG32" i="1"/>
  <c r="AG36" i="1"/>
  <c r="AG40" i="1"/>
  <c r="AG44" i="1"/>
  <c r="AG48" i="1"/>
  <c r="AG52" i="1"/>
  <c r="AG56" i="1"/>
  <c r="AG60" i="1"/>
  <c r="AG64" i="1"/>
  <c r="AG68" i="1"/>
  <c r="AG72" i="1"/>
  <c r="AG76" i="1"/>
  <c r="AG80" i="1"/>
  <c r="AG84" i="1"/>
  <c r="AG88" i="1"/>
  <c r="AG92" i="1"/>
  <c r="AG96" i="1"/>
  <c r="AG100" i="1"/>
  <c r="AG104" i="1"/>
  <c r="AG108" i="1"/>
  <c r="AG112" i="1"/>
  <c r="AG116" i="1"/>
  <c r="AG120" i="1"/>
  <c r="AG124" i="1"/>
  <c r="AG128" i="1"/>
  <c r="AG132" i="1"/>
  <c r="AG136" i="1"/>
  <c r="AG140" i="1"/>
  <c r="AG144" i="1"/>
  <c r="AG151" i="1"/>
  <c r="AG158" i="1"/>
  <c r="AG217" i="1"/>
  <c r="AG231" i="1"/>
  <c r="AG150" i="1"/>
  <c r="AG157" i="1"/>
  <c r="AG216" i="1"/>
  <c r="AG230" i="1"/>
  <c r="AG237" i="1"/>
  <c r="AG164" i="1"/>
  <c r="AG168" i="1"/>
  <c r="AG172" i="1"/>
  <c r="AG176" i="1"/>
  <c r="AG180" i="1"/>
  <c r="AG184" i="1"/>
  <c r="AG188" i="1"/>
  <c r="AG192" i="1"/>
  <c r="AG196" i="1"/>
  <c r="AG200" i="1"/>
  <c r="AG204" i="1"/>
  <c r="AG226" i="1"/>
  <c r="AG208" i="1"/>
  <c r="AG17" i="1"/>
  <c r="AG21" i="1"/>
  <c r="AG25" i="1"/>
  <c r="AG29" i="1"/>
  <c r="AG33" i="1"/>
  <c r="AG37" i="1"/>
  <c r="AG41" i="1"/>
  <c r="AG45" i="1"/>
  <c r="AG19" i="1"/>
  <c r="AG27" i="1"/>
  <c r="AG35" i="1"/>
  <c r="AG43" i="1"/>
  <c r="AG50" i="1"/>
  <c r="AG55" i="1"/>
  <c r="AG61" i="1"/>
  <c r="AG66" i="1"/>
  <c r="AG71" i="1"/>
  <c r="AG77" i="1"/>
  <c r="AG82" i="1"/>
  <c r="AG87" i="1"/>
  <c r="AG93" i="1"/>
  <c r="AG98" i="1"/>
  <c r="AG103" i="1"/>
  <c r="AG109" i="1"/>
  <c r="AG114" i="1"/>
  <c r="AG119" i="1"/>
  <c r="AG125" i="1"/>
  <c r="AG130" i="1"/>
  <c r="AG135" i="1"/>
  <c r="AG141" i="1"/>
  <c r="AG147" i="1"/>
  <c r="AG156" i="1"/>
  <c r="AG219" i="1"/>
  <c r="AG235" i="1"/>
  <c r="AG218" i="1"/>
  <c r="AG234" i="1"/>
  <c r="AG163" i="1"/>
  <c r="AG169" i="1"/>
  <c r="AG174" i="1"/>
  <c r="AG179" i="1"/>
  <c r="AG185" i="1"/>
  <c r="AG190" i="1"/>
  <c r="AG195" i="1"/>
  <c r="AG201" i="1"/>
  <c r="AG209" i="1"/>
  <c r="AG206" i="1"/>
  <c r="AG22" i="1"/>
  <c r="AG30" i="1"/>
  <c r="AG46" i="1"/>
  <c r="AG57" i="1"/>
  <c r="AG67" i="1"/>
  <c r="AG78" i="1"/>
  <c r="AG89" i="1"/>
  <c r="AG99" i="1"/>
  <c r="AG110" i="1"/>
  <c r="AG121" i="1"/>
  <c r="AG131" i="1"/>
  <c r="AG142" i="1"/>
  <c r="AG211" i="1"/>
  <c r="AG146" i="1"/>
  <c r="AG220" i="1"/>
  <c r="AG165" i="1"/>
  <c r="AG175" i="1"/>
  <c r="AG186" i="1"/>
  <c r="AG197" i="1"/>
  <c r="AG223" i="1"/>
  <c r="AG15" i="1"/>
  <c r="AG23" i="1"/>
  <c r="AG31" i="1"/>
  <c r="AG39" i="1"/>
  <c r="AG47" i="1"/>
  <c r="AG53" i="1"/>
  <c r="AG58" i="1"/>
  <c r="AG63" i="1"/>
  <c r="AG69" i="1"/>
  <c r="AG74" i="1"/>
  <c r="AG79" i="1"/>
  <c r="AG85" i="1"/>
  <c r="AG90" i="1"/>
  <c r="AG95" i="1"/>
  <c r="AG101" i="1"/>
  <c r="AG106" i="1"/>
  <c r="AG111" i="1"/>
  <c r="AG117" i="1"/>
  <c r="AG122" i="1"/>
  <c r="AG127" i="1"/>
  <c r="AG133" i="1"/>
  <c r="AG138" i="1"/>
  <c r="AG143" i="1"/>
  <c r="AG153" i="1"/>
  <c r="AG213" i="1"/>
  <c r="AG229" i="1"/>
  <c r="AG152" i="1"/>
  <c r="AG212" i="1"/>
  <c r="AG222" i="1"/>
  <c r="AG161" i="1"/>
  <c r="AG166" i="1"/>
  <c r="AG171" i="1"/>
  <c r="AG177" i="1"/>
  <c r="AG182" i="1"/>
  <c r="AG187" i="1"/>
  <c r="AG193" i="1"/>
  <c r="AG198" i="1"/>
  <c r="AG203" i="1"/>
  <c r="AG227" i="1"/>
  <c r="AG225" i="1"/>
  <c r="AG224" i="1"/>
  <c r="AG18" i="1"/>
  <c r="AG26" i="1"/>
  <c r="AG34" i="1"/>
  <c r="AG42" i="1"/>
  <c r="AG49" i="1"/>
  <c r="AG54" i="1"/>
  <c r="AG59" i="1"/>
  <c r="AG65" i="1"/>
  <c r="AG70" i="1"/>
  <c r="AG75" i="1"/>
  <c r="AG81" i="1"/>
  <c r="AG86" i="1"/>
  <c r="AG91" i="1"/>
  <c r="AG97" i="1"/>
  <c r="AG102" i="1"/>
  <c r="AG107" i="1"/>
  <c r="AG113" i="1"/>
  <c r="AG118" i="1"/>
  <c r="AG123" i="1"/>
  <c r="AG129" i="1"/>
  <c r="AG134" i="1"/>
  <c r="AG139" i="1"/>
  <c r="AG145" i="1"/>
  <c r="AG155" i="1"/>
  <c r="AG215" i="1"/>
  <c r="AG233" i="1"/>
  <c r="AG154" i="1"/>
  <c r="AG214" i="1"/>
  <c r="AG232" i="1"/>
  <c r="AG162" i="1"/>
  <c r="AG167" i="1"/>
  <c r="AG173" i="1"/>
  <c r="AG178" i="1"/>
  <c r="AG183" i="1"/>
  <c r="AG189" i="1"/>
  <c r="AG194" i="1"/>
  <c r="AG199" i="1"/>
  <c r="AG205" i="1"/>
  <c r="AG148" i="1"/>
  <c r="AG228" i="1"/>
  <c r="AG14" i="1"/>
  <c r="AG38" i="1"/>
  <c r="AG51" i="1"/>
  <c r="AG62" i="1"/>
  <c r="AG73" i="1"/>
  <c r="AG83" i="1"/>
  <c r="AG94" i="1"/>
  <c r="AG105" i="1"/>
  <c r="AG115" i="1"/>
  <c r="AG126" i="1"/>
  <c r="AG137" i="1"/>
  <c r="AG149" i="1"/>
  <c r="AG221" i="1"/>
  <c r="AG210" i="1"/>
  <c r="AG236" i="1"/>
  <c r="AG170" i="1"/>
  <c r="AG181" i="1"/>
  <c r="AG191" i="1"/>
  <c r="AG202" i="1"/>
  <c r="W21" i="3"/>
  <c r="W28" i="3"/>
  <c r="W8" i="3"/>
  <c r="W15" i="3"/>
  <c r="W17" i="3"/>
  <c r="W18" i="3"/>
  <c r="W24" i="3"/>
  <c r="W22" i="3"/>
  <c r="W20" i="3"/>
  <c r="W23" i="3"/>
  <c r="W26" i="3"/>
  <c r="W12" i="3"/>
  <c r="W7" i="3"/>
  <c r="W30" i="3"/>
  <c r="W13" i="3"/>
  <c r="W29" i="3"/>
  <c r="W16" i="3"/>
  <c r="W27" i="3"/>
  <c r="W19" i="3"/>
  <c r="W11" i="3"/>
  <c r="W25" i="3"/>
  <c r="W10" i="3"/>
  <c r="W14" i="3"/>
  <c r="S16" i="3" l="1"/>
  <c r="S11" i="3"/>
  <c r="S18" i="3"/>
  <c r="X203" i="1"/>
  <c r="X193" i="1"/>
  <c r="X187" i="1"/>
  <c r="X181" i="1"/>
  <c r="X175" i="1"/>
  <c r="X173" i="1"/>
  <c r="X170" i="1"/>
  <c r="X167" i="1"/>
  <c r="X166" i="1"/>
  <c r="X165" i="1"/>
  <c r="X164" i="1"/>
  <c r="X163" i="1"/>
  <c r="X162" i="1"/>
  <c r="X237" i="1"/>
  <c r="X88" i="1"/>
  <c r="X58" i="1"/>
  <c r="AA44" i="1"/>
  <c r="AA40" i="1"/>
  <c r="X206" i="1"/>
  <c r="X199" i="1"/>
  <c r="X189" i="1"/>
  <c r="X185" i="1"/>
  <c r="X179" i="1"/>
  <c r="X169" i="1"/>
  <c r="AC29" i="3"/>
  <c r="AA229" i="1"/>
  <c r="T89" i="1"/>
  <c r="X85" i="1"/>
  <c r="X84" i="1"/>
  <c r="X82" i="1"/>
  <c r="AA82" i="1"/>
  <c r="AA80" i="1"/>
  <c r="T78" i="1"/>
  <c r="T70" i="1"/>
  <c r="X66" i="1"/>
  <c r="X195" i="1"/>
  <c r="X191" i="1"/>
  <c r="X183" i="1"/>
  <c r="X177" i="1"/>
  <c r="X171" i="1"/>
  <c r="X168" i="1"/>
  <c r="AA208" i="1"/>
  <c r="AA205" i="1"/>
  <c r="AA204" i="1"/>
  <c r="AA203" i="1"/>
  <c r="AA201" i="1"/>
  <c r="AA200" i="1"/>
  <c r="AA199" i="1"/>
  <c r="AA197" i="1"/>
  <c r="AA196" i="1"/>
  <c r="AA195" i="1"/>
  <c r="AA193" i="1"/>
  <c r="AA191" i="1"/>
  <c r="AA189" i="1"/>
  <c r="AA187" i="1"/>
  <c r="AA185" i="1"/>
  <c r="AA183" i="1"/>
  <c r="AA181" i="1"/>
  <c r="AA179" i="1"/>
  <c r="AA177" i="1"/>
  <c r="AA175" i="1"/>
  <c r="AA173" i="1"/>
  <c r="AA171" i="1"/>
  <c r="AA170" i="1"/>
  <c r="AA169" i="1"/>
  <c r="AA168" i="1"/>
  <c r="AA167" i="1"/>
  <c r="AA166" i="1"/>
  <c r="AA165" i="1"/>
  <c r="AA164" i="1"/>
  <c r="AA163" i="1"/>
  <c r="AA162" i="1"/>
  <c r="AA161" i="1"/>
  <c r="AA237" i="1"/>
  <c r="AA231" i="1"/>
  <c r="AA220" i="1"/>
  <c r="AA101" i="1"/>
  <c r="X94" i="1"/>
  <c r="T91" i="1"/>
  <c r="AA89" i="1"/>
  <c r="AA88" i="1"/>
  <c r="X86" i="1"/>
  <c r="AA73" i="1"/>
  <c r="AA61" i="1"/>
  <c r="X60" i="1"/>
  <c r="AA54" i="1"/>
  <c r="AA38" i="1"/>
  <c r="X225" i="1"/>
  <c r="AA236" i="1"/>
  <c r="AA222" i="1"/>
  <c r="AA214" i="1"/>
  <c r="AA146" i="1"/>
  <c r="AA144" i="1"/>
  <c r="AA143" i="1"/>
  <c r="AA110" i="1"/>
  <c r="AA107" i="1"/>
  <c r="AA105" i="1"/>
  <c r="AA102" i="1"/>
  <c r="T102" i="1"/>
  <c r="X101" i="1"/>
  <c r="T85" i="1"/>
  <c r="T77" i="1"/>
  <c r="AA68" i="1"/>
  <c r="AA66" i="1"/>
  <c r="AA64" i="1"/>
  <c r="X57" i="1"/>
  <c r="AA52" i="1"/>
  <c r="AA42" i="1"/>
  <c r="AA39" i="1"/>
  <c r="AA32" i="1"/>
  <c r="AA28" i="1"/>
  <c r="AA24" i="1"/>
  <c r="AA20" i="1"/>
  <c r="AA16" i="1"/>
  <c r="X224" i="1"/>
  <c r="AA230" i="1"/>
  <c r="AA216" i="1"/>
  <c r="AA157" i="1"/>
  <c r="X100" i="1"/>
  <c r="X97" i="1"/>
  <c r="AA46" i="1"/>
  <c r="AA43" i="1"/>
  <c r="AA33" i="1"/>
  <c r="AA29" i="1"/>
  <c r="AA25" i="1"/>
  <c r="AA21" i="1"/>
  <c r="AA17" i="1"/>
  <c r="AA227" i="1"/>
  <c r="AA226" i="1"/>
  <c r="AA225" i="1"/>
  <c r="AA232" i="1"/>
  <c r="AA218" i="1"/>
  <c r="AA210" i="1"/>
  <c r="AA153" i="1"/>
  <c r="AA149" i="1"/>
  <c r="AA138" i="1"/>
  <c r="AA134" i="1"/>
  <c r="AA130" i="1"/>
  <c r="AA126" i="1"/>
  <c r="AA122" i="1"/>
  <c r="AA118" i="1"/>
  <c r="AA114" i="1"/>
  <c r="X95" i="1"/>
  <c r="X90" i="1"/>
  <c r="X87" i="1"/>
  <c r="AA84" i="1"/>
  <c r="X79" i="1"/>
  <c r="AA79" i="1"/>
  <c r="AA76" i="1"/>
  <c r="AA65" i="1"/>
  <c r="AA59" i="1"/>
  <c r="AA47" i="1"/>
  <c r="T86" i="1"/>
  <c r="T66" i="1"/>
  <c r="X59" i="1"/>
  <c r="AA57" i="1"/>
  <c r="AA51" i="1"/>
  <c r="AA48" i="1"/>
  <c r="AA35" i="1"/>
  <c r="AA31" i="1"/>
  <c r="AA27" i="1"/>
  <c r="AA23" i="1"/>
  <c r="AA19" i="1"/>
  <c r="AA15" i="1"/>
  <c r="X228" i="1"/>
  <c r="T223" i="1"/>
  <c r="U223" i="1" s="1"/>
  <c r="S223" i="1" s="1"/>
  <c r="X223" i="1"/>
  <c r="T227" i="1"/>
  <c r="X227" i="1"/>
  <c r="X205" i="1"/>
  <c r="X201" i="1"/>
  <c r="X197" i="1"/>
  <c r="AA152" i="1"/>
  <c r="AA150" i="1"/>
  <c r="W150" i="1" s="1"/>
  <c r="AA137" i="1"/>
  <c r="AA133" i="1"/>
  <c r="AA129" i="1"/>
  <c r="AA125" i="1"/>
  <c r="W125" i="1" s="1"/>
  <c r="AA121" i="1"/>
  <c r="AA117" i="1"/>
  <c r="AA113" i="1"/>
  <c r="AA109" i="1"/>
  <c r="AA95" i="1"/>
  <c r="T95" i="1"/>
  <c r="T90" i="1"/>
  <c r="AA87" i="1"/>
  <c r="W87" i="1" s="1"/>
  <c r="T87" i="1"/>
  <c r="T79" i="1"/>
  <c r="AA72" i="1"/>
  <c r="AA67" i="1"/>
  <c r="W67" i="1" s="1"/>
  <c r="AA55" i="1"/>
  <c r="AA228" i="1"/>
  <c r="X226" i="1"/>
  <c r="AA224" i="1"/>
  <c r="W224" i="1" s="1"/>
  <c r="AA206" i="1"/>
  <c r="X204" i="1"/>
  <c r="AA202" i="1"/>
  <c r="W202" i="1" s="1"/>
  <c r="X200" i="1"/>
  <c r="AA198" i="1"/>
  <c r="X196" i="1"/>
  <c r="AA194" i="1"/>
  <c r="W194" i="1" s="1"/>
  <c r="X192" i="1"/>
  <c r="AA190" i="1"/>
  <c r="X188" i="1"/>
  <c r="AA186" i="1"/>
  <c r="W186" i="1" s="1"/>
  <c r="X184" i="1"/>
  <c r="AA182" i="1"/>
  <c r="X180" i="1"/>
  <c r="AA178" i="1"/>
  <c r="W178" i="1" s="1"/>
  <c r="X176" i="1"/>
  <c r="AA174" i="1"/>
  <c r="X172" i="1"/>
  <c r="X105" i="1"/>
  <c r="X104" i="1"/>
  <c r="X93" i="1"/>
  <c r="T92" i="1"/>
  <c r="X72" i="1"/>
  <c r="T72" i="1"/>
  <c r="T67" i="1"/>
  <c r="X67" i="1"/>
  <c r="AA86" i="1"/>
  <c r="T82" i="1"/>
  <c r="X80" i="1"/>
  <c r="AA78" i="1"/>
  <c r="T74" i="1"/>
  <c r="X73" i="1"/>
  <c r="X64" i="1"/>
  <c r="X202" i="1"/>
  <c r="X198" i="1"/>
  <c r="X194" i="1"/>
  <c r="AA192" i="1"/>
  <c r="X190" i="1"/>
  <c r="AA188" i="1"/>
  <c r="W188" i="1" s="1"/>
  <c r="X186" i="1"/>
  <c r="AA184" i="1"/>
  <c r="X182" i="1"/>
  <c r="AA180" i="1"/>
  <c r="W180" i="1" s="1"/>
  <c r="X178" i="1"/>
  <c r="AA176" i="1"/>
  <c r="X174" i="1"/>
  <c r="AA172" i="1"/>
  <c r="W172" i="1" s="1"/>
  <c r="AA140" i="1"/>
  <c r="AA136" i="1"/>
  <c r="AA132" i="1"/>
  <c r="AA128" i="1"/>
  <c r="AA124" i="1"/>
  <c r="AA120" i="1"/>
  <c r="AA116" i="1"/>
  <c r="AA112" i="1"/>
  <c r="W112" i="1" s="1"/>
  <c r="T111" i="1"/>
  <c r="X111" i="1"/>
  <c r="AA108" i="1"/>
  <c r="T107" i="1"/>
  <c r="U107" i="1" s="1"/>
  <c r="S107" i="1" s="1"/>
  <c r="X107" i="1"/>
  <c r="AA104" i="1"/>
  <c r="AA93" i="1"/>
  <c r="AA83" i="1"/>
  <c r="W83" i="1" s="1"/>
  <c r="AA75" i="1"/>
  <c r="X71" i="1"/>
  <c r="T69" i="1"/>
  <c r="X69" i="1"/>
  <c r="X65" i="1"/>
  <c r="AA14" i="1"/>
  <c r="X56" i="1"/>
  <c r="X110" i="1"/>
  <c r="X106" i="1"/>
  <c r="X103" i="1"/>
  <c r="AA85" i="1"/>
  <c r="AA81" i="1"/>
  <c r="AA77" i="1"/>
  <c r="AA70" i="1"/>
  <c r="X68" i="1"/>
  <c r="AI237" i="1"/>
  <c r="U228" i="1"/>
  <c r="S228" i="1" s="1"/>
  <c r="AI234" i="1"/>
  <c r="U225" i="1"/>
  <c r="S225" i="1" s="1"/>
  <c r="AI233" i="1"/>
  <c r="U224" i="1"/>
  <c r="S224" i="1" s="1"/>
  <c r="AI230" i="1"/>
  <c r="U208" i="1"/>
  <c r="S208" i="1" s="1"/>
  <c r="AI229" i="1"/>
  <c r="U206" i="1"/>
  <c r="S206" i="1" s="1"/>
  <c r="AI148" i="1"/>
  <c r="AI236" i="1"/>
  <c r="U227" i="1"/>
  <c r="S227" i="1" s="1"/>
  <c r="AI235" i="1"/>
  <c r="U226" i="1"/>
  <c r="S226" i="1" s="1"/>
  <c r="AI232" i="1"/>
  <c r="AI231" i="1"/>
  <c r="U209" i="1"/>
  <c r="S209" i="1" s="1"/>
  <c r="AI228" i="1"/>
  <c r="U205" i="1"/>
  <c r="S205" i="1" s="1"/>
  <c r="AI227" i="1"/>
  <c r="U204" i="1"/>
  <c r="S204" i="1" s="1"/>
  <c r="AI226" i="1"/>
  <c r="U203" i="1"/>
  <c r="S203" i="1" s="1"/>
  <c r="AI225" i="1"/>
  <c r="U202" i="1"/>
  <c r="S202" i="1" s="1"/>
  <c r="AI224" i="1"/>
  <c r="U201" i="1"/>
  <c r="S201" i="1" s="1"/>
  <c r="AI223" i="1"/>
  <c r="U200" i="1"/>
  <c r="S200" i="1" s="1"/>
  <c r="AI222" i="1"/>
  <c r="U199" i="1"/>
  <c r="S199" i="1" s="1"/>
  <c r="AI221" i="1"/>
  <c r="U198" i="1"/>
  <c r="S198" i="1" s="1"/>
  <c r="AI220" i="1"/>
  <c r="U197" i="1"/>
  <c r="S197" i="1" s="1"/>
  <c r="AI219" i="1"/>
  <c r="U196" i="1"/>
  <c r="S196" i="1" s="1"/>
  <c r="AI218" i="1"/>
  <c r="U195" i="1"/>
  <c r="S195" i="1" s="1"/>
  <c r="AI217" i="1"/>
  <c r="U194" i="1"/>
  <c r="S194" i="1" s="1"/>
  <c r="AI216" i="1"/>
  <c r="U193" i="1"/>
  <c r="S193" i="1" s="1"/>
  <c r="AI215" i="1"/>
  <c r="U192" i="1"/>
  <c r="S192" i="1" s="1"/>
  <c r="AI214" i="1"/>
  <c r="U191" i="1"/>
  <c r="S191" i="1" s="1"/>
  <c r="AI213" i="1"/>
  <c r="U190" i="1"/>
  <c r="S190" i="1" s="1"/>
  <c r="AI212" i="1"/>
  <c r="U189" i="1"/>
  <c r="S189" i="1" s="1"/>
  <c r="AI211" i="1"/>
  <c r="U188" i="1"/>
  <c r="S188" i="1" s="1"/>
  <c r="AI210" i="1"/>
  <c r="U187" i="1"/>
  <c r="S187" i="1" s="1"/>
  <c r="AI209" i="1"/>
  <c r="U186" i="1"/>
  <c r="S186" i="1" s="1"/>
  <c r="AI208" i="1"/>
  <c r="U185" i="1"/>
  <c r="S185" i="1" s="1"/>
  <c r="AI206" i="1"/>
  <c r="U184" i="1"/>
  <c r="S184" i="1" s="1"/>
  <c r="AI205" i="1"/>
  <c r="U183" i="1"/>
  <c r="S183" i="1" s="1"/>
  <c r="AI204" i="1"/>
  <c r="U182" i="1"/>
  <c r="S182" i="1" s="1"/>
  <c r="AI203" i="1"/>
  <c r="U181" i="1"/>
  <c r="S181" i="1" s="1"/>
  <c r="AI202" i="1"/>
  <c r="U180" i="1"/>
  <c r="S180" i="1" s="1"/>
  <c r="AI201" i="1"/>
  <c r="U179" i="1"/>
  <c r="S179" i="1" s="1"/>
  <c r="AI200" i="1"/>
  <c r="U178" i="1"/>
  <c r="S178" i="1" s="1"/>
  <c r="AI199" i="1"/>
  <c r="U177" i="1"/>
  <c r="S177" i="1" s="1"/>
  <c r="AI198" i="1"/>
  <c r="U176" i="1"/>
  <c r="S176" i="1" s="1"/>
  <c r="AI197" i="1"/>
  <c r="U175" i="1"/>
  <c r="S175" i="1" s="1"/>
  <c r="AI196" i="1"/>
  <c r="U174" i="1"/>
  <c r="S174" i="1" s="1"/>
  <c r="AI195" i="1"/>
  <c r="U173" i="1"/>
  <c r="S173" i="1" s="1"/>
  <c r="AI194" i="1"/>
  <c r="U172" i="1"/>
  <c r="S172" i="1" s="1"/>
  <c r="AI193" i="1"/>
  <c r="U171" i="1"/>
  <c r="S171" i="1" s="1"/>
  <c r="AI192" i="1"/>
  <c r="U170" i="1"/>
  <c r="S170" i="1" s="1"/>
  <c r="AI191" i="1"/>
  <c r="U169" i="1"/>
  <c r="S169" i="1" s="1"/>
  <c r="AI190" i="1"/>
  <c r="U168" i="1"/>
  <c r="S168" i="1" s="1"/>
  <c r="AI189" i="1"/>
  <c r="U167" i="1"/>
  <c r="S167" i="1" s="1"/>
  <c r="AI188" i="1"/>
  <c r="U166" i="1"/>
  <c r="S166" i="1" s="1"/>
  <c r="AI187" i="1"/>
  <c r="U165" i="1"/>
  <c r="S165" i="1" s="1"/>
  <c r="AI186" i="1"/>
  <c r="U164" i="1"/>
  <c r="S164" i="1" s="1"/>
  <c r="AI185" i="1"/>
  <c r="U163" i="1"/>
  <c r="S163" i="1" s="1"/>
  <c r="AI184" i="1"/>
  <c r="U162" i="1"/>
  <c r="S162" i="1" s="1"/>
  <c r="AI183" i="1"/>
  <c r="U161" i="1"/>
  <c r="S161" i="1" s="1"/>
  <c r="AI182" i="1"/>
  <c r="U237" i="1"/>
  <c r="S237" i="1" s="1"/>
  <c r="AI181" i="1"/>
  <c r="W236" i="1"/>
  <c r="AI179" i="1"/>
  <c r="W234" i="1"/>
  <c r="AI177" i="1"/>
  <c r="W232" i="1"/>
  <c r="AI175" i="1"/>
  <c r="W230" i="1"/>
  <c r="AI173" i="1"/>
  <c r="W222" i="1"/>
  <c r="AI171" i="1"/>
  <c r="W220" i="1"/>
  <c r="AI169" i="1"/>
  <c r="W218" i="1"/>
  <c r="AI167" i="1"/>
  <c r="W216" i="1"/>
  <c r="AI165" i="1"/>
  <c r="W214" i="1"/>
  <c r="AI163" i="1"/>
  <c r="W212" i="1"/>
  <c r="AI161" i="1"/>
  <c r="W210" i="1"/>
  <c r="AI157" i="1"/>
  <c r="W157" i="1"/>
  <c r="AI154" i="1"/>
  <c r="W154" i="1"/>
  <c r="AI152" i="1"/>
  <c r="W152" i="1"/>
  <c r="AI150" i="1"/>
  <c r="AI146" i="1"/>
  <c r="AI180" i="1"/>
  <c r="W235" i="1"/>
  <c r="AI178" i="1"/>
  <c r="W233" i="1"/>
  <c r="AI176" i="1"/>
  <c r="W231" i="1"/>
  <c r="AI174" i="1"/>
  <c r="W229" i="1"/>
  <c r="AI172" i="1"/>
  <c r="W221" i="1"/>
  <c r="AI170" i="1"/>
  <c r="W219" i="1"/>
  <c r="AI168" i="1"/>
  <c r="W217" i="1"/>
  <c r="AI166" i="1"/>
  <c r="W215" i="1"/>
  <c r="AI164" i="1"/>
  <c r="W213" i="1"/>
  <c r="AI162" i="1"/>
  <c r="W211" i="1"/>
  <c r="AI158" i="1"/>
  <c r="W158" i="1"/>
  <c r="AI156" i="1"/>
  <c r="W156" i="1"/>
  <c r="AI155" i="1"/>
  <c r="W155" i="1"/>
  <c r="AI153" i="1"/>
  <c r="W153" i="1"/>
  <c r="AI151" i="1"/>
  <c r="W151" i="1"/>
  <c r="AI149" i="1"/>
  <c r="AI147" i="1"/>
  <c r="W147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U111" i="1"/>
  <c r="S111" i="1" s="1"/>
  <c r="AI111" i="1"/>
  <c r="U110" i="1"/>
  <c r="S110" i="1" s="1"/>
  <c r="AI110" i="1"/>
  <c r="U109" i="1"/>
  <c r="S109" i="1" s="1"/>
  <c r="AI109" i="1"/>
  <c r="AI108" i="1"/>
  <c r="AI107" i="1"/>
  <c r="U106" i="1"/>
  <c r="S106" i="1" s="1"/>
  <c r="AI106" i="1"/>
  <c r="AI105" i="1"/>
  <c r="U104" i="1"/>
  <c r="S104" i="1" s="1"/>
  <c r="AI104" i="1"/>
  <c r="AI103" i="1"/>
  <c r="W103" i="1"/>
  <c r="U102" i="1"/>
  <c r="S102" i="1" s="1"/>
  <c r="AI102" i="1"/>
  <c r="U101" i="1"/>
  <c r="S101" i="1" s="1"/>
  <c r="AI101" i="1"/>
  <c r="U100" i="1"/>
  <c r="S100" i="1" s="1"/>
  <c r="AI100" i="1"/>
  <c r="U99" i="1"/>
  <c r="S99" i="1" s="1"/>
  <c r="AI99" i="1"/>
  <c r="U98" i="1"/>
  <c r="S98" i="1" s="1"/>
  <c r="AI98" i="1"/>
  <c r="U97" i="1"/>
  <c r="S97" i="1" s="1"/>
  <c r="AI97" i="1"/>
  <c r="U96" i="1"/>
  <c r="S96" i="1" s="1"/>
  <c r="AI96" i="1"/>
  <c r="U95" i="1"/>
  <c r="S95" i="1" s="1"/>
  <c r="AI95" i="1"/>
  <c r="U94" i="1"/>
  <c r="S94" i="1" s="1"/>
  <c r="AI94" i="1"/>
  <c r="U93" i="1"/>
  <c r="S93" i="1" s="1"/>
  <c r="AI93" i="1"/>
  <c r="U92" i="1"/>
  <c r="S92" i="1" s="1"/>
  <c r="AI92" i="1"/>
  <c r="U91" i="1"/>
  <c r="S91" i="1" s="1"/>
  <c r="AI91" i="1"/>
  <c r="U90" i="1"/>
  <c r="S90" i="1" s="1"/>
  <c r="AI90" i="1"/>
  <c r="U89" i="1"/>
  <c r="S89" i="1" s="1"/>
  <c r="AI89" i="1"/>
  <c r="U88" i="1"/>
  <c r="S88" i="1" s="1"/>
  <c r="AI88" i="1"/>
  <c r="U87" i="1"/>
  <c r="S87" i="1" s="1"/>
  <c r="AI87" i="1"/>
  <c r="U86" i="1"/>
  <c r="S86" i="1" s="1"/>
  <c r="AI86" i="1"/>
  <c r="U85" i="1"/>
  <c r="S85" i="1" s="1"/>
  <c r="AI85" i="1"/>
  <c r="U84" i="1"/>
  <c r="S84" i="1" s="1"/>
  <c r="AI84" i="1"/>
  <c r="U83" i="1"/>
  <c r="S83" i="1" s="1"/>
  <c r="AI83" i="1"/>
  <c r="U82" i="1"/>
  <c r="S82" i="1" s="1"/>
  <c r="AI82" i="1"/>
  <c r="U81" i="1"/>
  <c r="S81" i="1" s="1"/>
  <c r="AI81" i="1"/>
  <c r="U80" i="1"/>
  <c r="S80" i="1" s="1"/>
  <c r="AI80" i="1"/>
  <c r="U79" i="1"/>
  <c r="S79" i="1" s="1"/>
  <c r="AI79" i="1"/>
  <c r="U78" i="1"/>
  <c r="S78" i="1" s="1"/>
  <c r="AI78" i="1"/>
  <c r="U77" i="1"/>
  <c r="S77" i="1" s="1"/>
  <c r="AI77" i="1"/>
  <c r="U76" i="1"/>
  <c r="AI76" i="1"/>
  <c r="U75" i="1"/>
  <c r="AI75" i="1"/>
  <c r="U74" i="1"/>
  <c r="S74" i="1" s="1"/>
  <c r="AI74" i="1"/>
  <c r="U73" i="1"/>
  <c r="S73" i="1" s="1"/>
  <c r="AI73" i="1"/>
  <c r="U72" i="1"/>
  <c r="S72" i="1" s="1"/>
  <c r="AI72" i="1"/>
  <c r="U71" i="1"/>
  <c r="S71" i="1" s="1"/>
  <c r="AI71" i="1"/>
  <c r="U70" i="1"/>
  <c r="S70" i="1" s="1"/>
  <c r="AI70" i="1"/>
  <c r="U69" i="1"/>
  <c r="S69" i="1" s="1"/>
  <c r="AI69" i="1"/>
  <c r="U68" i="1"/>
  <c r="S68" i="1" s="1"/>
  <c r="AI68" i="1"/>
  <c r="U67" i="1"/>
  <c r="S67" i="1" s="1"/>
  <c r="AI67" i="1"/>
  <c r="U66" i="1"/>
  <c r="S66" i="1" s="1"/>
  <c r="AI66" i="1"/>
  <c r="U65" i="1"/>
  <c r="S65" i="1" s="1"/>
  <c r="AI65" i="1"/>
  <c r="AI64" i="1"/>
  <c r="U63" i="1"/>
  <c r="S63" i="1" s="1"/>
  <c r="AI63" i="1"/>
  <c r="AI62" i="1"/>
  <c r="U61" i="1"/>
  <c r="S61" i="1" s="1"/>
  <c r="AI61" i="1"/>
  <c r="AI60" i="1"/>
  <c r="U59" i="1"/>
  <c r="S59" i="1" s="1"/>
  <c r="AI59" i="1"/>
  <c r="AI58" i="1"/>
  <c r="W58" i="1"/>
  <c r="U57" i="1"/>
  <c r="S57" i="1" s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W37" i="1"/>
  <c r="AI36" i="1"/>
  <c r="W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149" i="1"/>
  <c r="W140" i="1"/>
  <c r="W111" i="1"/>
  <c r="W107" i="1"/>
  <c r="W144" i="1"/>
  <c r="W143" i="1"/>
  <c r="W226" i="1"/>
  <c r="W223" i="1"/>
  <c r="W201" i="1"/>
  <c r="W200" i="1"/>
  <c r="W199" i="1"/>
  <c r="W198" i="1"/>
  <c r="W197" i="1"/>
  <c r="W196" i="1"/>
  <c r="W195" i="1"/>
  <c r="W193" i="1"/>
  <c r="W192" i="1"/>
  <c r="W191" i="1"/>
  <c r="W190" i="1"/>
  <c r="W189" i="1"/>
  <c r="W187" i="1"/>
  <c r="W185" i="1"/>
  <c r="W184" i="1"/>
  <c r="W183" i="1"/>
  <c r="W182" i="1"/>
  <c r="W181" i="1"/>
  <c r="W179" i="1"/>
  <c r="W177" i="1"/>
  <c r="W176" i="1"/>
  <c r="W175" i="1"/>
  <c r="W174" i="1"/>
  <c r="W173" i="1"/>
  <c r="W171" i="1"/>
  <c r="W170" i="1"/>
  <c r="W169" i="1"/>
  <c r="W168" i="1"/>
  <c r="W167" i="1"/>
  <c r="W166" i="1"/>
  <c r="W165" i="1"/>
  <c r="W164" i="1"/>
  <c r="W163" i="1"/>
  <c r="W162" i="1"/>
  <c r="W161" i="1"/>
  <c r="W237" i="1"/>
  <c r="W146" i="1"/>
  <c r="T145" i="1"/>
  <c r="U145" i="1" s="1"/>
  <c r="S145" i="1" s="1"/>
  <c r="X145" i="1"/>
  <c r="W142" i="1"/>
  <c r="T141" i="1"/>
  <c r="U141" i="1" s="1"/>
  <c r="X141" i="1"/>
  <c r="T138" i="1"/>
  <c r="U138" i="1" s="1"/>
  <c r="S138" i="1" s="1"/>
  <c r="X138" i="1"/>
  <c r="T136" i="1"/>
  <c r="U136" i="1" s="1"/>
  <c r="S136" i="1" s="1"/>
  <c r="X136" i="1"/>
  <c r="T134" i="1"/>
  <c r="U134" i="1" s="1"/>
  <c r="S134" i="1" s="1"/>
  <c r="X134" i="1"/>
  <c r="T132" i="1"/>
  <c r="U132" i="1" s="1"/>
  <c r="S132" i="1" s="1"/>
  <c r="X132" i="1"/>
  <c r="T130" i="1"/>
  <c r="U130" i="1" s="1"/>
  <c r="S130" i="1" s="1"/>
  <c r="X130" i="1"/>
  <c r="T128" i="1"/>
  <c r="U128" i="1" s="1"/>
  <c r="S128" i="1" s="1"/>
  <c r="X128" i="1"/>
  <c r="T126" i="1"/>
  <c r="U126" i="1" s="1"/>
  <c r="S126" i="1" s="1"/>
  <c r="X126" i="1"/>
  <c r="T124" i="1"/>
  <c r="U124" i="1" s="1"/>
  <c r="S124" i="1" s="1"/>
  <c r="X124" i="1"/>
  <c r="T122" i="1"/>
  <c r="U122" i="1" s="1"/>
  <c r="S122" i="1" s="1"/>
  <c r="X122" i="1"/>
  <c r="T120" i="1"/>
  <c r="U120" i="1" s="1"/>
  <c r="S120" i="1" s="1"/>
  <c r="X120" i="1"/>
  <c r="T118" i="1"/>
  <c r="U118" i="1" s="1"/>
  <c r="S118" i="1" s="1"/>
  <c r="X118" i="1"/>
  <c r="T116" i="1"/>
  <c r="U116" i="1" s="1"/>
  <c r="S116" i="1" s="1"/>
  <c r="X116" i="1"/>
  <c r="T114" i="1"/>
  <c r="U114" i="1" s="1"/>
  <c r="S114" i="1" s="1"/>
  <c r="X114" i="1"/>
  <c r="X112" i="1"/>
  <c r="T112" i="1"/>
  <c r="U112" i="1" s="1"/>
  <c r="S112" i="1" s="1"/>
  <c r="T148" i="1"/>
  <c r="U148" i="1" s="1"/>
  <c r="S148" i="1" s="1"/>
  <c r="X148" i="1"/>
  <c r="W145" i="1"/>
  <c r="T144" i="1"/>
  <c r="U144" i="1" s="1"/>
  <c r="S144" i="1" s="1"/>
  <c r="X144" i="1"/>
  <c r="R16" i="3"/>
  <c r="R18" i="3"/>
  <c r="W141" i="1"/>
  <c r="T140" i="1"/>
  <c r="U140" i="1" s="1"/>
  <c r="S140" i="1" s="1"/>
  <c r="X140" i="1"/>
  <c r="W138" i="1"/>
  <c r="W136" i="1"/>
  <c r="W134" i="1"/>
  <c r="W132" i="1"/>
  <c r="W130" i="1"/>
  <c r="W128" i="1"/>
  <c r="W126" i="1"/>
  <c r="W124" i="1"/>
  <c r="W122" i="1"/>
  <c r="W120" i="1"/>
  <c r="W118" i="1"/>
  <c r="W116" i="1"/>
  <c r="W114" i="1"/>
  <c r="W109" i="1"/>
  <c r="X108" i="1"/>
  <c r="T108" i="1"/>
  <c r="U108" i="1" s="1"/>
  <c r="S108" i="1" s="1"/>
  <c r="X109" i="1"/>
  <c r="W104" i="1"/>
  <c r="W99" i="1"/>
  <c r="W69" i="1"/>
  <c r="W228" i="1"/>
  <c r="W227" i="1"/>
  <c r="W225" i="1"/>
  <c r="W209" i="1"/>
  <c r="W208" i="1"/>
  <c r="W206" i="1"/>
  <c r="W205" i="1"/>
  <c r="W204" i="1"/>
  <c r="W203" i="1"/>
  <c r="T236" i="1"/>
  <c r="U236" i="1" s="1"/>
  <c r="S236" i="1" s="1"/>
  <c r="X236" i="1"/>
  <c r="T235" i="1"/>
  <c r="U235" i="1" s="1"/>
  <c r="S235" i="1" s="1"/>
  <c r="X235" i="1"/>
  <c r="T234" i="1"/>
  <c r="U234" i="1" s="1"/>
  <c r="S234" i="1" s="1"/>
  <c r="X234" i="1"/>
  <c r="T233" i="1"/>
  <c r="U233" i="1" s="1"/>
  <c r="S233" i="1" s="1"/>
  <c r="X233" i="1"/>
  <c r="T232" i="1"/>
  <c r="U232" i="1" s="1"/>
  <c r="S232" i="1" s="1"/>
  <c r="X232" i="1"/>
  <c r="T231" i="1"/>
  <c r="U231" i="1" s="1"/>
  <c r="S231" i="1" s="1"/>
  <c r="X231" i="1"/>
  <c r="T230" i="1"/>
  <c r="U230" i="1" s="1"/>
  <c r="S230" i="1" s="1"/>
  <c r="X230" i="1"/>
  <c r="T229" i="1"/>
  <c r="U229" i="1" s="1"/>
  <c r="S229" i="1" s="1"/>
  <c r="X229" i="1"/>
  <c r="T222" i="1"/>
  <c r="U222" i="1" s="1"/>
  <c r="S222" i="1" s="1"/>
  <c r="X222" i="1"/>
  <c r="T221" i="1"/>
  <c r="U221" i="1" s="1"/>
  <c r="S221" i="1" s="1"/>
  <c r="X221" i="1"/>
  <c r="T220" i="1"/>
  <c r="U220" i="1" s="1"/>
  <c r="S220" i="1" s="1"/>
  <c r="X220" i="1"/>
  <c r="T219" i="1"/>
  <c r="U219" i="1" s="1"/>
  <c r="S219" i="1" s="1"/>
  <c r="X219" i="1"/>
  <c r="T218" i="1"/>
  <c r="U218" i="1" s="1"/>
  <c r="S218" i="1" s="1"/>
  <c r="X218" i="1"/>
  <c r="T217" i="1"/>
  <c r="U217" i="1" s="1"/>
  <c r="S217" i="1" s="1"/>
  <c r="X217" i="1"/>
  <c r="T216" i="1"/>
  <c r="U216" i="1" s="1"/>
  <c r="S216" i="1" s="1"/>
  <c r="X216" i="1"/>
  <c r="T215" i="1"/>
  <c r="U215" i="1" s="1"/>
  <c r="S215" i="1" s="1"/>
  <c r="X215" i="1"/>
  <c r="T214" i="1"/>
  <c r="U214" i="1" s="1"/>
  <c r="S214" i="1" s="1"/>
  <c r="X214" i="1"/>
  <c r="T213" i="1"/>
  <c r="U213" i="1" s="1"/>
  <c r="S213" i="1" s="1"/>
  <c r="X213" i="1"/>
  <c r="T212" i="1"/>
  <c r="U212" i="1" s="1"/>
  <c r="S212" i="1" s="1"/>
  <c r="X212" i="1"/>
  <c r="T211" i="1"/>
  <c r="U211" i="1" s="1"/>
  <c r="S211" i="1" s="1"/>
  <c r="X211" i="1"/>
  <c r="T210" i="1"/>
  <c r="U210" i="1" s="1"/>
  <c r="S210" i="1" s="1"/>
  <c r="X210" i="1"/>
  <c r="T158" i="1"/>
  <c r="U158" i="1" s="1"/>
  <c r="S158" i="1" s="1"/>
  <c r="T157" i="1"/>
  <c r="U157" i="1" s="1"/>
  <c r="S157" i="1" s="1"/>
  <c r="T156" i="1"/>
  <c r="U156" i="1" s="1"/>
  <c r="S156" i="1" s="1"/>
  <c r="T155" i="1"/>
  <c r="U155" i="1" s="1"/>
  <c r="S155" i="1" s="1"/>
  <c r="T154" i="1"/>
  <c r="U154" i="1" s="1"/>
  <c r="S154" i="1" s="1"/>
  <c r="X154" i="1"/>
  <c r="T153" i="1"/>
  <c r="U153" i="1" s="1"/>
  <c r="S153" i="1" s="1"/>
  <c r="X153" i="1"/>
  <c r="T152" i="1"/>
  <c r="U152" i="1" s="1"/>
  <c r="S152" i="1" s="1"/>
  <c r="X152" i="1"/>
  <c r="T151" i="1"/>
  <c r="U151" i="1" s="1"/>
  <c r="S151" i="1" s="1"/>
  <c r="X151" i="1"/>
  <c r="T150" i="1"/>
  <c r="U150" i="1" s="1"/>
  <c r="S150" i="1" s="1"/>
  <c r="X150" i="1"/>
  <c r="T146" i="1"/>
  <c r="U146" i="1" s="1"/>
  <c r="S146" i="1" s="1"/>
  <c r="X146" i="1"/>
  <c r="T142" i="1"/>
  <c r="U142" i="1" s="1"/>
  <c r="X142" i="1"/>
  <c r="W139" i="1"/>
  <c r="W137" i="1"/>
  <c r="W135" i="1"/>
  <c r="W133" i="1"/>
  <c r="W131" i="1"/>
  <c r="W129" i="1"/>
  <c r="W127" i="1"/>
  <c r="W123" i="1"/>
  <c r="W121" i="1"/>
  <c r="W119" i="1"/>
  <c r="W117" i="1"/>
  <c r="W115" i="1"/>
  <c r="W113" i="1"/>
  <c r="W101" i="1"/>
  <c r="W97" i="1"/>
  <c r="AA148" i="1"/>
  <c r="W148" i="1" s="1"/>
  <c r="T143" i="1"/>
  <c r="U143" i="1" s="1"/>
  <c r="S143" i="1" s="1"/>
  <c r="X143" i="1"/>
  <c r="T139" i="1"/>
  <c r="U139" i="1" s="1"/>
  <c r="S139" i="1" s="1"/>
  <c r="X139" i="1"/>
  <c r="T137" i="1"/>
  <c r="U137" i="1" s="1"/>
  <c r="S137" i="1" s="1"/>
  <c r="X137" i="1"/>
  <c r="T135" i="1"/>
  <c r="U135" i="1" s="1"/>
  <c r="S135" i="1" s="1"/>
  <c r="X135" i="1"/>
  <c r="T133" i="1"/>
  <c r="U133" i="1" s="1"/>
  <c r="S133" i="1" s="1"/>
  <c r="X133" i="1"/>
  <c r="T131" i="1"/>
  <c r="U131" i="1" s="1"/>
  <c r="S131" i="1" s="1"/>
  <c r="X131" i="1"/>
  <c r="T129" i="1"/>
  <c r="U129" i="1" s="1"/>
  <c r="S129" i="1" s="1"/>
  <c r="X129" i="1"/>
  <c r="T127" i="1"/>
  <c r="U127" i="1" s="1"/>
  <c r="S127" i="1" s="1"/>
  <c r="X127" i="1"/>
  <c r="T125" i="1"/>
  <c r="U125" i="1" s="1"/>
  <c r="S125" i="1" s="1"/>
  <c r="X125" i="1"/>
  <c r="T123" i="1"/>
  <c r="U123" i="1" s="1"/>
  <c r="S123" i="1" s="1"/>
  <c r="X123" i="1"/>
  <c r="T121" i="1"/>
  <c r="U121" i="1" s="1"/>
  <c r="S121" i="1" s="1"/>
  <c r="X121" i="1"/>
  <c r="T119" i="1"/>
  <c r="U119" i="1" s="1"/>
  <c r="S119" i="1" s="1"/>
  <c r="X119" i="1"/>
  <c r="T117" i="1"/>
  <c r="U117" i="1" s="1"/>
  <c r="S117" i="1" s="1"/>
  <c r="X117" i="1"/>
  <c r="T115" i="1"/>
  <c r="U115" i="1" s="1"/>
  <c r="S115" i="1" s="1"/>
  <c r="X115" i="1"/>
  <c r="T113" i="1"/>
  <c r="U113" i="1" s="1"/>
  <c r="S113" i="1" s="1"/>
  <c r="X113" i="1"/>
  <c r="W105" i="1"/>
  <c r="W102" i="1"/>
  <c r="W110" i="1"/>
  <c r="W106" i="1"/>
  <c r="W71" i="1"/>
  <c r="T149" i="1"/>
  <c r="U149" i="1" s="1"/>
  <c r="S149" i="1" s="1"/>
  <c r="X149" i="1"/>
  <c r="T147" i="1"/>
  <c r="U147" i="1" s="1"/>
  <c r="S147" i="1" s="1"/>
  <c r="X147" i="1"/>
  <c r="W98" i="1"/>
  <c r="W73" i="1"/>
  <c r="W65" i="1"/>
  <c r="W57" i="1"/>
  <c r="W108" i="1"/>
  <c r="W100" i="1"/>
  <c r="W95" i="1"/>
  <c r="W93" i="1"/>
  <c r="W91" i="1"/>
  <c r="W89" i="1"/>
  <c r="W85" i="1"/>
  <c r="W81" i="1"/>
  <c r="W77" i="1"/>
  <c r="W61" i="1"/>
  <c r="W59" i="1"/>
  <c r="W54" i="1"/>
  <c r="W50" i="1"/>
  <c r="W46" i="1"/>
  <c r="W42" i="1"/>
  <c r="W38" i="1"/>
  <c r="W84" i="1"/>
  <c r="W80" i="1"/>
  <c r="W76" i="1"/>
  <c r="X63" i="1"/>
  <c r="W56" i="1"/>
  <c r="T105" i="1"/>
  <c r="U105" i="1" s="1"/>
  <c r="S105" i="1" s="1"/>
  <c r="T103" i="1"/>
  <c r="U103" i="1" s="1"/>
  <c r="S103" i="1" s="1"/>
  <c r="W96" i="1"/>
  <c r="W94" i="1"/>
  <c r="W92" i="1"/>
  <c r="W90" i="1"/>
  <c r="W88" i="1"/>
  <c r="W79" i="1"/>
  <c r="W75" i="1"/>
  <c r="W72" i="1"/>
  <c r="W70" i="1"/>
  <c r="W68" i="1"/>
  <c r="W66" i="1"/>
  <c r="W64" i="1"/>
  <c r="W63" i="1"/>
  <c r="T62" i="1"/>
  <c r="U62" i="1" s="1"/>
  <c r="S62" i="1" s="1"/>
  <c r="W86" i="1"/>
  <c r="W82" i="1"/>
  <c r="W78" i="1"/>
  <c r="W74" i="1"/>
  <c r="W62" i="1"/>
  <c r="W60" i="1"/>
  <c r="T60" i="1"/>
  <c r="U60" i="1" s="1"/>
  <c r="S60" i="1" s="1"/>
  <c r="W53" i="1"/>
  <c r="W49" i="1"/>
  <c r="W45" i="1"/>
  <c r="W41" i="1"/>
  <c r="T58" i="1"/>
  <c r="U58" i="1" s="1"/>
  <c r="S58" i="1" s="1"/>
  <c r="W52" i="1"/>
  <c r="W48" i="1"/>
  <c r="W44" i="1"/>
  <c r="W40" i="1"/>
  <c r="T64" i="1"/>
  <c r="U64" i="1" s="1"/>
  <c r="S64" i="1" s="1"/>
  <c r="W55" i="1"/>
  <c r="W51" i="1"/>
  <c r="W47" i="1"/>
  <c r="W43" i="1"/>
  <c r="W39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X35" i="1"/>
  <c r="T34" i="1"/>
  <c r="U34" i="1" s="1"/>
  <c r="S34" i="1" s="1"/>
  <c r="X34" i="1"/>
  <c r="T33" i="1"/>
  <c r="U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9" i="1"/>
  <c r="X18" i="1"/>
  <c r="X17" i="1"/>
  <c r="X16" i="1"/>
  <c r="X15" i="1"/>
  <c r="AD20" i="3"/>
  <c r="AE26" i="3"/>
  <c r="AD24" i="3"/>
  <c r="AD23" i="3"/>
  <c r="AC30" i="3"/>
  <c r="AE11" i="3"/>
  <c r="AE27" i="3"/>
  <c r="AD17" i="3"/>
  <c r="AD11" i="3"/>
  <c r="AD28" i="3"/>
  <c r="AD27" i="3"/>
  <c r="AE22" i="3"/>
  <c r="AD16" i="3"/>
  <c r="AE15" i="3"/>
  <c r="AC13" i="3"/>
  <c r="AE23" i="3"/>
  <c r="AD21" i="3"/>
  <c r="AE19" i="3"/>
  <c r="AD15" i="3"/>
  <c r="AD13" i="3"/>
  <c r="AD8" i="3"/>
  <c r="AE30" i="3"/>
  <c r="AC16" i="3"/>
  <c r="T16" i="3"/>
  <c r="AC14" i="3"/>
  <c r="T14" i="3"/>
  <c r="AC15" i="3"/>
  <c r="T15" i="3"/>
  <c r="AC25" i="3"/>
  <c r="T25" i="3"/>
  <c r="AC23" i="3"/>
  <c r="AC26" i="3"/>
  <c r="AC8" i="3"/>
  <c r="AC17" i="3"/>
  <c r="AC20" i="3"/>
  <c r="AC22" i="3"/>
  <c r="AC10" i="3"/>
  <c r="AC24" i="3"/>
  <c r="Y16" i="3"/>
  <c r="Y23" i="3"/>
  <c r="Y17" i="3"/>
  <c r="Y14" i="3"/>
  <c r="Y29" i="3"/>
  <c r="Y20" i="3"/>
  <c r="Y15" i="3"/>
  <c r="Y10" i="3"/>
  <c r="Y13" i="3"/>
  <c r="Y22" i="3"/>
  <c r="Y8" i="3"/>
  <c r="Y25" i="3"/>
  <c r="Y30" i="3"/>
  <c r="Y24" i="3"/>
  <c r="Y28" i="3"/>
  <c r="Y11" i="3"/>
  <c r="Y7" i="3"/>
  <c r="Y21" i="3"/>
  <c r="Y19" i="3"/>
  <c r="Y12" i="3"/>
  <c r="Y18" i="3"/>
  <c r="Y27" i="3"/>
  <c r="Y26" i="3"/>
  <c r="AC11" i="3"/>
  <c r="AD26" i="3"/>
  <c r="AC19" i="3"/>
  <c r="AD14" i="3"/>
  <c r="T19" i="3"/>
  <c r="AE14" i="3"/>
  <c r="AD29" i="3"/>
  <c r="T18" i="3"/>
  <c r="AE29" i="3"/>
  <c r="T11" i="3"/>
  <c r="AC7" i="3"/>
  <c r="AD22" i="3"/>
  <c r="AC12" i="3"/>
  <c r="AD10" i="3"/>
  <c r="T12" i="3"/>
  <c r="AE10" i="3"/>
  <c r="AD25" i="3"/>
  <c r="AE25" i="3"/>
  <c r="T7" i="3"/>
  <c r="AC28" i="3"/>
  <c r="AD30" i="3"/>
  <c r="T27" i="3"/>
  <c r="AC21" i="3"/>
  <c r="AD18" i="3"/>
  <c r="T21" i="3"/>
  <c r="AE18" i="3"/>
  <c r="AE21" i="3"/>
  <c r="T26" i="3"/>
  <c r="AE17" i="3"/>
  <c r="AE13" i="3"/>
  <c r="AE28" i="3"/>
  <c r="AE24" i="3"/>
  <c r="AE20" i="3"/>
  <c r="AE16" i="3"/>
  <c r="AE12" i="3"/>
  <c r="AE8" i="3"/>
  <c r="M9" i="3"/>
  <c r="R9" i="3"/>
  <c r="S9" i="3"/>
  <c r="U9" i="3"/>
  <c r="AD9" i="3" s="1"/>
  <c r="V9" i="3"/>
  <c r="X9" i="3"/>
  <c r="W9" i="3"/>
  <c r="S141" i="1" l="1"/>
  <c r="S75" i="1"/>
  <c r="AE9" i="3"/>
  <c r="AC9" i="3"/>
  <c r="Y9" i="3"/>
  <c r="T9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N29" i="3" s="1"/>
  <c r="G43" i="4"/>
  <c r="G44" i="4"/>
  <c r="G45" i="4"/>
  <c r="N12" i="3" s="1"/>
  <c r="G46" i="4"/>
  <c r="G47" i="4"/>
  <c r="N9" i="3" s="1"/>
  <c r="G48" i="4"/>
  <c r="G49" i="4"/>
  <c r="G50" i="4"/>
  <c r="G51" i="4"/>
  <c r="G52" i="4"/>
  <c r="G53" i="4"/>
  <c r="G54" i="4"/>
  <c r="G55" i="4"/>
  <c r="G56" i="4"/>
  <c r="N24" i="3" s="1"/>
  <c r="G57" i="4"/>
  <c r="N23" i="3" s="1"/>
  <c r="G58" i="4"/>
  <c r="G59" i="4"/>
  <c r="N19" i="3" s="1"/>
  <c r="G60" i="4"/>
  <c r="G61" i="4"/>
  <c r="G62" i="4"/>
  <c r="G63" i="4"/>
  <c r="G64" i="4"/>
  <c r="G65" i="4"/>
  <c r="G66" i="4"/>
  <c r="G67" i="4"/>
  <c r="N30" i="3" s="1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N8" i="3" s="1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N21" i="3" s="1"/>
  <c r="G103" i="4"/>
  <c r="G104" i="4"/>
  <c r="N25" i="3" s="1"/>
  <c r="G105" i="4"/>
  <c r="G106" i="4"/>
  <c r="G107" i="4"/>
  <c r="N10" i="3" s="1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N26" i="3" s="1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N15" i="3" s="1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N27" i="3" s="1"/>
  <c r="G188" i="4"/>
  <c r="G189" i="4"/>
  <c r="N22" i="3" s="1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N20" i="3" s="1"/>
  <c r="G203" i="4"/>
  <c r="G204" i="4"/>
  <c r="G205" i="4"/>
  <c r="G206" i="4"/>
  <c r="G207" i="4"/>
  <c r="G208" i="4"/>
  <c r="G209" i="4"/>
  <c r="G210" i="4"/>
  <c r="G211" i="4"/>
  <c r="N13" i="3" s="1"/>
  <c r="G212" i="4"/>
  <c r="G213" i="4"/>
  <c r="N28" i="3" s="1"/>
  <c r="G214" i="4"/>
  <c r="G215" i="4"/>
  <c r="G216" i="4"/>
  <c r="G217" i="4"/>
  <c r="G218" i="4"/>
  <c r="G219" i="4"/>
  <c r="G220" i="4"/>
  <c r="G221" i="4"/>
  <c r="G222" i="4"/>
  <c r="G223" i="4"/>
  <c r="G2" i="4"/>
  <c r="N17" i="3" l="1"/>
  <c r="N16" i="3"/>
  <c r="N11" i="3"/>
  <c r="N18" i="3"/>
  <c r="N14" i="3"/>
  <c r="N7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<sst xmlns="http://schemas.openxmlformats.org/spreadsheetml/2006/main" count="2793" uniqueCount="1117">
  <si>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</si>
  <si>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</si>
  <si>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</si>
  <si>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</si>
  <si>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</si>
  <si>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</si>
  <si>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</si>
  <si>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</si>
  <si>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</si>
  <si>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</si>
  <si>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</si>
  <si>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</si>
  <si>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</si>
  <si>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</si>
  <si>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</si>
  <si>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</si>
  <si>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</si>
  <si>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</si>
  <si>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</si>
  <si>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</si>
  <si>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</si>
  <si>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</si>
  <si>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</si>
  <si>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</si>
  <si>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</si>
  <si>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</si>
  <si>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</si>
  <si>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</si>
  <si>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</si>
  <si>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</si>
  <si>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</si>
  <si>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</si>
  <si>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</si>
  <si>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</si>
  <si>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</si>
  <si>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</si>
  <si>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</si>
  <si>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</si>
  <si>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</si>
  <si>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</si>
  <si>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</si>
  <si>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</si>
  <si>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</si>
  <si>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</si>
  <si>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</si>
  <si>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</si>
  <si>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</si>
  <si>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</si>
  <si>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</si>
  <si>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</si>
  <si>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</si>
  <si>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</si>
  <si>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</si>
  <si>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</si>
  <si>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</si>
  <si>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</si>
  <si>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</si>
  <si>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</si>
  <si>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</si>
  <si>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</si>
  <si>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</si>
  <si>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</si>
  <si>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</si>
  <si>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</si>
  <si>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</si>
  <si>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</si>
  <si>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</si>
  <si>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</si>
  <si>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</si>
  <si>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</si>
  <si>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</si>
  <si>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</si>
  <si>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</si>
  <si>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</si>
  <si>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</si>
  <si>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</si>
  <si>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</si>
  <si>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</si>
  <si>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</si>
  <si>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</si>
  <si>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</si>
  <si>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</si>
  <si>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</si>
  <si>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</si>
  <si>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</si>
  <si>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</si>
  <si>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</si>
  <si>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</si>
  <si>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</si>
  <si>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</si>
  <si>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</si>
  <si>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</si>
  <si>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</si>
  <si>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</si>
  <si>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</si>
  <si>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</si>
  <si>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</si>
  <si>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</si>
  <si>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</si>
  <si>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</si>
  <si>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</si>
  <si>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</si>
  <si>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</si>
  <si>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</si>
  <si>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</si>
  <si>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</si>
  <si>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</si>
  <si>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</si>
  <si>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</si>
  <si>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</si>
  <si>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</si>
  <si>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</si>
  <si>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</si>
  <si>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</si>
  <si>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</si>
  <si>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</si>
  <si>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</si>
  <si>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</si>
  <si>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</si>
  <si>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</si>
  <si>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</si>
  <si>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</si>
  <si>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</si>
  <si>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</si>
  <si>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</si>
  <si>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</si>
  <si>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</si>
  <si>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</si>
  <si>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</si>
  <si>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</si>
  <si>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</si>
  <si>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</si>
  <si>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</si>
  <si>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</si>
  <si>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</si>
  <si>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</si>
  <si>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</si>
  <si>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</si>
  <si>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</si>
  <si>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</si>
  <si>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</si>
  <si>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</si>
  <si>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</si>
  <si>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</si>
  <si>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</si>
  <si>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</si>
  <si>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</si>
  <si>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</si>
  <si>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</si>
  <si>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</si>
  <si>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</si>
  <si>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</si>
  <si>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</si>
  <si>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</si>
  <si>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</si>
  <si>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</si>
  <si>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</si>
  <si>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</si>
  <si>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</si>
  <si>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</si>
  <si>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</si>
  <si>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</si>
  <si>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</si>
  <si>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</si>
  <si>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</si>
  <si>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</si>
  <si>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</si>
  <si>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</si>
  <si>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</si>
  <si>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</si>
  <si>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</si>
  <si>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</si>
  <si>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</si>
  <si>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</si>
  <si>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</si>
  <si>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</si>
  <si>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</si>
  <si>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</si>
  <si>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</si>
  <si>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</si>
  <si>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</si>
  <si>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</si>
  <si>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</si>
  <si>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</si>
  <si>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</si>
  <si>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</si>
  <si>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</si>
  <si>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</si>
  <si>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</si>
  <si>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</si>
  <si>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</si>
  <si>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</si>
  <si>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</si>
  <si>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</si>
  <si>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</si>
  <si>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</si>
  <si>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</si>
  <si>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</si>
  <si>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</si>
  <si>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</si>
  <si>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</si>
  <si>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</si>
  <si>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</si>
  <si>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</si>
  <si>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</si>
  <si>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</si>
  <si>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</si>
  <si>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</si>
  <si>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</si>
  <si>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</si>
  <si>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</si>
  <si>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</si>
  <si>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</si>
  <si>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</si>
  <si>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</si>
  <si>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</si>
  <si>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</si>
  <si>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</si>
  <si>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</si>
  <si>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</si>
  <si>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</si>
  <si>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</si>
  <si>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</si>
  <si>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</si>
  <si>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</si>
  <si>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</si>
  <si>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</si>
  <si>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</si>
  <si>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</si>
  <si>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</si>
  <si>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</si>
  <si>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</si>
  <si>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</si>
  <si>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</si>
  <si>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</si>
  <si>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</si>
  <si>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</si>
  <si>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</si>
  <si>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</si>
  <si>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</si>
  <si>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</si>
  <si>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</si>
  <si>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</si>
  <si>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</si>
  <si>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</si>
  <si>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</si>
  <si>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</si>
  <si>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</si>
  <si>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</si>
  <si>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</si>
  <si>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</si>
  <si>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</si>
  <si>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</si>
  <si>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</si>
  <si>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</si>
  <si>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</si>
  <si>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</si>
  <si>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</si>
  <si>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</si>
  <si>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</si>
  <si>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</si>
  <si>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</si>
  <si>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</si>
  <si>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</si>
  <si>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</si>
  <si>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</si>
  <si>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</si>
  <si>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</si>
  <si>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</si>
  <si>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</si>
  <si>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</si>
  <si>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</si>
  <si>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</si>
  <si>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</si>
  <si>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</si>
  <si>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</si>
  <si>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</si>
  <si>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</si>
  <si>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</si>
  <si>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</si>
  <si>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</si>
  <si>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</si>
  <si>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</si>
  <si>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</si>
  <si>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</si>
  <si>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</si>
  <si>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</si>
  <si>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</si>
  <si>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</si>
  <si>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</si>
  <si>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</si>
  <si>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</si>
  <si>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</si>
  <si>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</si>
  <si>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</si>
  <si>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</si>
  <si>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</si>
  <si>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</si>
  <si>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</si>
  <si>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</si>
  <si>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</si>
  <si>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</si>
  <si>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</si>
  <si>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</si>
  <si>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</si>
  <si>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</si>
  <si>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</si>
  <si>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</si>
  <si>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</si>
  <si>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</si>
  <si>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</si>
  <si>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</si>
  <si>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</si>
  <si>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</si>
  <si>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</si>
  <si>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</si>
  <si>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</si>
  <si>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</si>
  <si>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</si>
  <si>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</si>
  <si>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</si>
  <si>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</si>
  <si>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</si>
  <si>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</si>
  <si>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</si>
  <si>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</si>
  <si>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</si>
  <si>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</si>
  <si>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</si>
  <si>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</si>
  <si>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</si>
  <si>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</si>
  <si>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</si>
  <si>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</si>
  <si>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</si>
  <si>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</si>
  <si>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</si>
  <si>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</si>
  <si>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</si>
  <si>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</si>
  <si>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</si>
  <si>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</si>
  <si>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</si>
  <si>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</si>
  <si>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</si>
  <si>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</si>
  <si>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</si>
  <si>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</si>
  <si>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</si>
  <si>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</si>
  <si>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</si>
  <si>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</si>
  <si>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</si>
  <si>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</si>
  <si>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</si>
  <si>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</si>
  <si>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</si>
  <si>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</si>
  <si>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</si>
  <si>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</si>
  <si>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</si>
  <si>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</si>
  <si>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</si>
  <si>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</si>
  <si>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</si>
  <si>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</si>
  <si>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</si>
  <si>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</si>
  <si>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</si>
  <si>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</si>
  <si>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</si>
  <si>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</si>
  <si>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</si>
  <si>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</si>
  <si>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</si>
  <si>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</si>
  <si>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</si>
  <si>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</si>
  <si>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</si>
  <si>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</si>
  <si>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STEWART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</si>
  <si>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</si>
  <si>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</si>
  <si>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</si>
  <si>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</si>
  <si>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</si>
  <si>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</si>
  <si>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</si>
  <si>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</si>
  <si>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</si>
  <si>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</si>
  <si>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</si>
  <si>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</si>
  <si>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</si>
  <si>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</si>
  <si>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</si>
  <si>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</si>
  <si>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</si>
  <si>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</si>
  <si>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</si>
  <si>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</si>
  <si>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</si>
  <si>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</si>
  <si>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</si>
  <si>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</si>
  <si>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</si>
  <si>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</si>
  <si>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</si>
  <si>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</si>
  <si>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</si>
  <si>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</si>
  <si>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</si>
  <si>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</si>
  <si>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</si>
  <si>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</si>
  <si>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</si>
  <si>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</si>
  <si>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</si>
  <si>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</si>
  <si>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</si>
  <si>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</si>
  <si>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</si>
  <si>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</si>
  <si>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</si>
  <si>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</si>
  <si>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</si>
  <si>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</si>
  <si>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</si>
  <si>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</si>
  <si>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</si>
  <si>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</si>
  <si>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</si>
  <si>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</si>
  <si>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</si>
  <si>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</si>
  <si>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</si>
  <si>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</si>
  <si>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</si>
  <si>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</si>
  <si>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</si>
  <si>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</si>
  <si>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</si>
  <si>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</si>
  <si>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204:517</t>
  </si>
  <si>
    <t>204:506</t>
  </si>
  <si>
    <t>rtdc.l.rtdc.4009:itc</t>
  </si>
  <si>
    <t>rtdc.l.rtdc.4010:itc</t>
  </si>
  <si>
    <t>rtdc.l.rtdc.4049:itc</t>
  </si>
  <si>
    <t>rtdc.l.rtdc.4050:itc</t>
  </si>
  <si>
    <t>AUSTIN</t>
  </si>
  <si>
    <t>204:509</t>
  </si>
  <si>
    <t>204:528</t>
  </si>
  <si>
    <t>204:209</t>
  </si>
  <si>
    <t>SWITCH UNKNOWN</t>
  </si>
  <si>
    <t>Track device (7)</t>
  </si>
  <si>
    <t>rtdc.l.rtdc.4052:itc</t>
  </si>
  <si>
    <t>rtdc.l.rtdc.4024:itc</t>
  </si>
  <si>
    <t>rtdc.l.rtdc.4023:itc</t>
  </si>
  <si>
    <t>243-08</t>
  </si>
  <si>
    <t>rtdc.l.rtdc.4051:itc</t>
  </si>
  <si>
    <t>LOPES</t>
  </si>
  <si>
    <t>KIMBERLY</t>
  </si>
  <si>
    <t>237-08</t>
  </si>
  <si>
    <t>234-08</t>
  </si>
  <si>
    <t>849-08</t>
  </si>
  <si>
    <t>239-08</t>
  </si>
  <si>
    <t>MCREYNOLDS</t>
  </si>
  <si>
    <t>KYLE</t>
  </si>
  <si>
    <t>236-08</t>
  </si>
  <si>
    <t>908-08</t>
  </si>
  <si>
    <t>241-08</t>
  </si>
  <si>
    <t>238-08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</si>
  <si>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</si>
  <si>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</si>
  <si>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</si>
  <si>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</si>
  <si>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</si>
  <si>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</si>
  <si>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</si>
  <si>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</si>
  <si>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</si>
  <si>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204:233270</t>
  </si>
  <si>
    <t>204:232981</t>
  </si>
  <si>
    <t>204:233251</t>
  </si>
  <si>
    <t>300:23304</t>
  </si>
  <si>
    <t>DAVID</t>
  </si>
  <si>
    <t>204:200</t>
  </si>
  <si>
    <t>204:522</t>
  </si>
  <si>
    <t>204:232959</t>
  </si>
  <si>
    <t>rtdc.l.rtdc.4040:itc</t>
  </si>
  <si>
    <t>rtdc.l.rtdc.4014:itc</t>
  </si>
  <si>
    <t>rtdc.l.rtdc.4065:itc</t>
  </si>
  <si>
    <t>204:232944</t>
  </si>
  <si>
    <t>204:233293</t>
  </si>
  <si>
    <t>204:220</t>
  </si>
  <si>
    <t>204:520</t>
  </si>
  <si>
    <t>204:233295</t>
  </si>
  <si>
    <t>204:493</t>
  </si>
  <si>
    <t>204:196</t>
  </si>
  <si>
    <t>204:526</t>
  </si>
  <si>
    <t>204:513</t>
  </si>
  <si>
    <t>204:212</t>
  </si>
  <si>
    <t>rtdc.l.rtdc.4003:itc</t>
  </si>
  <si>
    <t>rtdc.l.rtdc.4066:itc</t>
  </si>
  <si>
    <t>ANDERS</t>
  </si>
  <si>
    <t>STEVEN</t>
  </si>
  <si>
    <t>204:232971</t>
  </si>
  <si>
    <t>204:216</t>
  </si>
  <si>
    <t>204:457</t>
  </si>
  <si>
    <t>204:233240</t>
  </si>
  <si>
    <t>204:486</t>
  </si>
  <si>
    <t>204:203</t>
  </si>
  <si>
    <t>204:504</t>
  </si>
  <si>
    <t>204:233219</t>
  </si>
  <si>
    <t>204:535</t>
  </si>
  <si>
    <t>KILLION</t>
  </si>
  <si>
    <t>313-15</t>
  </si>
  <si>
    <t>242-15</t>
  </si>
  <si>
    <t>307-15</t>
  </si>
  <si>
    <t>244-15</t>
  </si>
  <si>
    <t>311-15</t>
  </si>
  <si>
    <t>300-16</t>
  </si>
  <si>
    <t>clear-day</t>
  </si>
  <si>
    <t>204:233238</t>
  </si>
  <si>
    <t>204:232977</t>
  </si>
  <si>
    <t>204:232963</t>
  </si>
  <si>
    <t>204:232968</t>
  </si>
  <si>
    <t>204:214</t>
  </si>
  <si>
    <t>204:265</t>
  </si>
  <si>
    <t>204:198</t>
  </si>
  <si>
    <t>204:232989</t>
  </si>
  <si>
    <t>204:519</t>
  </si>
  <si>
    <t>204:498</t>
  </si>
  <si>
    <t>204:187</t>
  </si>
  <si>
    <t>204:234</t>
  </si>
  <si>
    <t>204:233281</t>
  </si>
  <si>
    <t>204:232902</t>
  </si>
  <si>
    <t>204:508</t>
  </si>
  <si>
    <t>204:571</t>
  </si>
  <si>
    <t>300:23346</t>
  </si>
  <si>
    <t>204:497</t>
  </si>
  <si>
    <t>300:23308</t>
  </si>
  <si>
    <t>300:58604</t>
  </si>
  <si>
    <t>rtdc.l.rtdc.4041:itc</t>
  </si>
  <si>
    <t>rtdc.l.rtdc.4042:itc</t>
  </si>
  <si>
    <t>MAELZER</t>
  </si>
  <si>
    <t>KURT</t>
  </si>
  <si>
    <t>DONTE</t>
  </si>
  <si>
    <t>STRICKLAND</t>
  </si>
  <si>
    <t>EVAN</t>
  </si>
  <si>
    <t>BADERTSCHER</t>
  </si>
  <si>
    <t>DIANE</t>
  </si>
  <si>
    <t>ELBAUM</t>
  </si>
  <si>
    <t>MIKE</t>
  </si>
  <si>
    <t>311-16</t>
  </si>
  <si>
    <t>300-17</t>
  </si>
  <si>
    <t>204:502</t>
  </si>
  <si>
    <t>204:232942</t>
  </si>
  <si>
    <t>204:500</t>
  </si>
  <si>
    <t>204:205</t>
  </si>
  <si>
    <t>204:192</t>
  </si>
  <si>
    <t>204:232928</t>
  </si>
  <si>
    <t>204:165</t>
  </si>
  <si>
    <t>204:232932</t>
  </si>
  <si>
    <t>204:511</t>
  </si>
  <si>
    <t>204:233259</t>
  </si>
  <si>
    <t>204:548</t>
  </si>
  <si>
    <t>204:233257</t>
  </si>
  <si>
    <t>204:180</t>
  </si>
  <si>
    <t>300:23310</t>
  </si>
  <si>
    <t>204:143</t>
  </si>
  <si>
    <t>204:869</t>
  </si>
  <si>
    <t>300:58598</t>
  </si>
  <si>
    <t>rtdc.l.rtdc.4054:itc</t>
  </si>
  <si>
    <t>rtdc.l.rtdc.4027:itc</t>
  </si>
  <si>
    <t>rtdc.l.rtdc.4053:itc</t>
  </si>
  <si>
    <t>Early Arrival</t>
  </si>
  <si>
    <t>LESTER</t>
  </si>
  <si>
    <t>LANGERAK</t>
  </si>
  <si>
    <t>WILLIAM</t>
  </si>
  <si>
    <t>LAMAR</t>
  </si>
  <si>
    <t>NEKESHA</t>
  </si>
  <si>
    <t>MACDONALD</t>
  </si>
  <si>
    <t>THOMAS</t>
  </si>
  <si>
    <t>BIRENBAUM</t>
  </si>
  <si>
    <t>BROWN</t>
  </si>
  <si>
    <t>JACOB</t>
  </si>
  <si>
    <t>DAVIS</t>
  </si>
  <si>
    <t>ROMERO</t>
  </si>
  <si>
    <t>CHAD</t>
  </si>
  <si>
    <t>242-19</t>
  </si>
  <si>
    <t>244-19</t>
  </si>
  <si>
    <t>307-19</t>
  </si>
  <si>
    <t>309-19</t>
  </si>
  <si>
    <t>311-19</t>
  </si>
  <si>
    <t>204:161</t>
  </si>
  <si>
    <t>204:484</t>
  </si>
  <si>
    <t>204:233304</t>
  </si>
  <si>
    <t>204:232998</t>
  </si>
  <si>
    <t>204:449</t>
  </si>
  <si>
    <t>204:233314</t>
  </si>
  <si>
    <t>204:491</t>
  </si>
  <si>
    <t>204:460</t>
  </si>
  <si>
    <t>204:178</t>
  </si>
  <si>
    <t>204:232926</t>
  </si>
  <si>
    <t>204:524</t>
  </si>
  <si>
    <t>204:232936</t>
  </si>
  <si>
    <t>204:233297</t>
  </si>
  <si>
    <t>204:232993</t>
  </si>
  <si>
    <t>204:233282</t>
  </si>
  <si>
    <t>204:232979</t>
  </si>
  <si>
    <t>204:232930</t>
  </si>
  <si>
    <t>204:233315</t>
  </si>
  <si>
    <t>204:233308</t>
  </si>
  <si>
    <t>204:169</t>
  </si>
  <si>
    <t>204:154</t>
  </si>
  <si>
    <t>204:267</t>
  </si>
  <si>
    <t>204:232908</t>
  </si>
  <si>
    <t>204:233213</t>
  </si>
  <si>
    <t>204:254</t>
  </si>
  <si>
    <t>300:58592</t>
  </si>
  <si>
    <t>204:1125</t>
  </si>
  <si>
    <t>204:853</t>
  </si>
  <si>
    <t>300:58911</t>
  </si>
  <si>
    <t>300:58632</t>
  </si>
  <si>
    <t>204:232934</t>
  </si>
  <si>
    <t>300:58623</t>
  </si>
  <si>
    <t>204:233266</t>
  </si>
  <si>
    <t>300:58943</t>
  </si>
  <si>
    <t>300:58630</t>
  </si>
  <si>
    <t>204:232970</t>
  </si>
  <si>
    <t>204:557</t>
  </si>
  <si>
    <t>204:232975</t>
  </si>
  <si>
    <t>204:544</t>
  </si>
  <si>
    <t>204:233284</t>
  </si>
  <si>
    <t>204:243</t>
  </si>
  <si>
    <t>204:258</t>
  </si>
  <si>
    <t>204:256</t>
  </si>
  <si>
    <t>204:591</t>
  </si>
  <si>
    <t>204:562</t>
  </si>
  <si>
    <t>204:451</t>
  </si>
  <si>
    <t>204:566</t>
  </si>
  <si>
    <t>300:23297</t>
  </si>
  <si>
    <t>204:1150</t>
  </si>
  <si>
    <t>start /low /b %USERPROFILE%\Documents\GitHub\eaglep3\Utilities\DownloadLogsFromS3.py --loco 4028 --day 2017-11-20</t>
  </si>
  <si>
    <t>103-20</t>
  </si>
  <si>
    <t>802-20</t>
  </si>
  <si>
    <t>rtdc.l.rtdc.4025:itc</t>
  </si>
  <si>
    <t>112-20</t>
  </si>
  <si>
    <t>116-20</t>
  </si>
  <si>
    <t>806-20</t>
  </si>
  <si>
    <t>807-20</t>
  </si>
  <si>
    <t>rtdc.l.rtdc.4006:itc</t>
  </si>
  <si>
    <t>127-20</t>
  </si>
  <si>
    <t>124-20</t>
  </si>
  <si>
    <t>810-20</t>
  </si>
  <si>
    <t>TEMPORARY SPEED RESTRICTION</t>
  </si>
  <si>
    <t>140-20</t>
  </si>
  <si>
    <t>54-20</t>
  </si>
  <si>
    <t>rtdc.l.rtdc.4064:itc</t>
  </si>
  <si>
    <t>161-20</t>
  </si>
  <si>
    <t>rtdc.l.rtdc.4013:itc</t>
  </si>
  <si>
    <t>818-20</t>
  </si>
  <si>
    <t>158-20</t>
  </si>
  <si>
    <t>822-20</t>
  </si>
  <si>
    <t>172-20</t>
  </si>
  <si>
    <t>rtdc.l.rtdc.4026:itc</t>
  </si>
  <si>
    <t>195-20</t>
  </si>
  <si>
    <t>839-20</t>
  </si>
  <si>
    <t>838-20</t>
  </si>
  <si>
    <t>221-20</t>
  </si>
  <si>
    <t>225-20</t>
  </si>
  <si>
    <t>224-20</t>
  </si>
  <si>
    <t>rtdc.l.rtdc.4063:itc</t>
  </si>
  <si>
    <t>226-20</t>
  </si>
  <si>
    <t>844-20</t>
  </si>
  <si>
    <t>231-20</t>
  </si>
  <si>
    <t>51-20</t>
  </si>
  <si>
    <t>SPECTOR</t>
  </si>
  <si>
    <t>101-20</t>
  </si>
  <si>
    <t>52-20</t>
  </si>
  <si>
    <t>302-20</t>
  </si>
  <si>
    <t>STARKS</t>
  </si>
  <si>
    <t>ANGELINA</t>
  </si>
  <si>
    <t>304-20</t>
  </si>
  <si>
    <t>105-20</t>
  </si>
  <si>
    <t>102-20</t>
  </si>
  <si>
    <t>107-20</t>
  </si>
  <si>
    <t>306-20</t>
  </si>
  <si>
    <t>104-20</t>
  </si>
  <si>
    <t>308-20</t>
  </si>
  <si>
    <t>109-20</t>
  </si>
  <si>
    <t>rtdc.l.rtdc.4005:itc</t>
  </si>
  <si>
    <t>310-20</t>
  </si>
  <si>
    <t>DAVIDSON</t>
  </si>
  <si>
    <t>106-20</t>
  </si>
  <si>
    <t>901-20</t>
  </si>
  <si>
    <t>111-20</t>
  </si>
  <si>
    <t>800-20</t>
  </si>
  <si>
    <t>113-20</t>
  </si>
  <si>
    <t>108-20</t>
  </si>
  <si>
    <t>115-20</t>
  </si>
  <si>
    <t>rtdc.l.rtdc.4001:itc</t>
  </si>
  <si>
    <t>312-20</t>
  </si>
  <si>
    <t>110-20</t>
  </si>
  <si>
    <t>902-20</t>
  </si>
  <si>
    <t>YANAI</t>
  </si>
  <si>
    <t>IAN</t>
  </si>
  <si>
    <t>801-20</t>
  </si>
  <si>
    <t>rtdc.l.rtdc.4002:itc</t>
  </si>
  <si>
    <t>117-20</t>
  </si>
  <si>
    <t>803-20</t>
  </si>
  <si>
    <t>114-20</t>
  </si>
  <si>
    <t>119-20</t>
  </si>
  <si>
    <t>121-20</t>
  </si>
  <si>
    <t>804-20</t>
  </si>
  <si>
    <t>123-20</t>
  </si>
  <si>
    <t>118-20</t>
  </si>
  <si>
    <t>120-20</t>
  </si>
  <si>
    <t>805-20</t>
  </si>
  <si>
    <t>125-20</t>
  </si>
  <si>
    <t>122-20</t>
  </si>
  <si>
    <t>129-20</t>
  </si>
  <si>
    <t>131-20</t>
  </si>
  <si>
    <t>808-20</t>
  </si>
  <si>
    <t>809-20</t>
  </si>
  <si>
    <t>133-20</t>
  </si>
  <si>
    <t>126-20</t>
  </si>
  <si>
    <t>128-20</t>
  </si>
  <si>
    <t>135-20</t>
  </si>
  <si>
    <t>811-20</t>
  </si>
  <si>
    <t>130-20</t>
  </si>
  <si>
    <t>137-20</t>
  </si>
  <si>
    <t>812-20</t>
  </si>
  <si>
    <t>134-20</t>
  </si>
  <si>
    <t>132-20</t>
  </si>
  <si>
    <t>139-20</t>
  </si>
  <si>
    <t>903-20</t>
  </si>
  <si>
    <t>141-20</t>
  </si>
  <si>
    <t>136-20</t>
  </si>
  <si>
    <t>143-20</t>
  </si>
  <si>
    <t>138-20</t>
  </si>
  <si>
    <t>813-20</t>
  </si>
  <si>
    <t>145-20</t>
  </si>
  <si>
    <t>147-20</t>
  </si>
  <si>
    <t>814-20</t>
  </si>
  <si>
    <t>142-20</t>
  </si>
  <si>
    <t>149-20</t>
  </si>
  <si>
    <t>144-20</t>
  </si>
  <si>
    <t>151-20</t>
  </si>
  <si>
    <t>815-20</t>
  </si>
  <si>
    <t>146-20</t>
  </si>
  <si>
    <t>153-20</t>
  </si>
  <si>
    <t>155-20</t>
  </si>
  <si>
    <t>816-20</t>
  </si>
  <si>
    <t>150-20</t>
  </si>
  <si>
    <t>148-20</t>
  </si>
  <si>
    <t>157-20</t>
  </si>
  <si>
    <t>152-20</t>
  </si>
  <si>
    <t>817-20</t>
  </si>
  <si>
    <t>159-20</t>
  </si>
  <si>
    <t>156-20</t>
  </si>
  <si>
    <t>154-20</t>
  </si>
  <si>
    <t>163-20</t>
  </si>
  <si>
    <t>55-20</t>
  </si>
  <si>
    <t>165-20</t>
  </si>
  <si>
    <t>160-20</t>
  </si>
  <si>
    <t>167-20</t>
  </si>
  <si>
    <t>819-20</t>
  </si>
  <si>
    <t>162-20</t>
  </si>
  <si>
    <t>169-20</t>
  </si>
  <si>
    <t>820-20</t>
  </si>
  <si>
    <t>164-20</t>
  </si>
  <si>
    <t>171-20</t>
  </si>
  <si>
    <t>166-20</t>
  </si>
  <si>
    <t>168-20</t>
  </si>
  <si>
    <t>173-20</t>
  </si>
  <si>
    <t>GONZALEZ</t>
  </si>
  <si>
    <t>ARMANDO</t>
  </si>
  <si>
    <t>170-20</t>
  </si>
  <si>
    <t>175-20</t>
  </si>
  <si>
    <t>821-20</t>
  </si>
  <si>
    <t>177-20</t>
  </si>
  <si>
    <t>179-20</t>
  </si>
  <si>
    <t>174-20</t>
  </si>
  <si>
    <t>181-20</t>
  </si>
  <si>
    <t>176-20</t>
  </si>
  <si>
    <t>183-20</t>
  </si>
  <si>
    <t>823-20</t>
  </si>
  <si>
    <t>178-20</t>
  </si>
  <si>
    <t>185-20</t>
  </si>
  <si>
    <t>187-20</t>
  </si>
  <si>
    <t>180-20</t>
  </si>
  <si>
    <t>182-20</t>
  </si>
  <si>
    <t>824-20</t>
  </si>
  <si>
    <t>189-20</t>
  </si>
  <si>
    <t>184-20</t>
  </si>
  <si>
    <t>191-20</t>
  </si>
  <si>
    <t>825-20</t>
  </si>
  <si>
    <t>186-20</t>
  </si>
  <si>
    <t>193-20</t>
  </si>
  <si>
    <t>904-20</t>
  </si>
  <si>
    <t>188-20</t>
  </si>
  <si>
    <t>826-20</t>
  </si>
  <si>
    <t>190-20</t>
  </si>
  <si>
    <t>827-20</t>
  </si>
  <si>
    <t>197-20</t>
  </si>
  <si>
    <t>192-20</t>
  </si>
  <si>
    <t>199-20</t>
  </si>
  <si>
    <t>828-20</t>
  </si>
  <si>
    <t>829-20</t>
  </si>
  <si>
    <t>201-20</t>
  </si>
  <si>
    <t>75-20</t>
  </si>
  <si>
    <t>194-20</t>
  </si>
  <si>
    <t>196-20</t>
  </si>
  <si>
    <t>203-20</t>
  </si>
  <si>
    <t>198-20</t>
  </si>
  <si>
    <t>830-20</t>
  </si>
  <si>
    <t>831-20</t>
  </si>
  <si>
    <t>205-20</t>
  </si>
  <si>
    <t>200-20</t>
  </si>
  <si>
    <t>rtdc.l.rtdc.4016:itc</t>
  </si>
  <si>
    <t>77-20</t>
  </si>
  <si>
    <t>832-20</t>
  </si>
  <si>
    <t>207-20</t>
  </si>
  <si>
    <t>833-20</t>
  </si>
  <si>
    <t>202-20</t>
  </si>
  <si>
    <t>209-20</t>
  </si>
  <si>
    <t>204-20</t>
  </si>
  <si>
    <t>72-20</t>
  </si>
  <si>
    <t>211-20</t>
  </si>
  <si>
    <t>834-20</t>
  </si>
  <si>
    <t>835-20</t>
  </si>
  <si>
    <t>206-20</t>
  </si>
  <si>
    <t>213-20</t>
  </si>
  <si>
    <t>215-20</t>
  </si>
  <si>
    <t>208-20</t>
  </si>
  <si>
    <t>836-20</t>
  </si>
  <si>
    <t>210-20</t>
  </si>
  <si>
    <t>837-20</t>
  </si>
  <si>
    <t>217-20</t>
  </si>
  <si>
    <t>212-20</t>
  </si>
  <si>
    <t>219-20</t>
  </si>
  <si>
    <t>HAMMOND</t>
  </si>
  <si>
    <t>JUSTYNN</t>
  </si>
  <si>
    <t>214-20</t>
  </si>
  <si>
    <t>301-20</t>
  </si>
  <si>
    <t>216-20</t>
  </si>
  <si>
    <t>906-20</t>
  </si>
  <si>
    <t>841-20</t>
  </si>
  <si>
    <t>218-20</t>
  </si>
  <si>
    <t>303-20</t>
  </si>
  <si>
    <t>220-20</t>
  </si>
  <si>
    <t>223-20</t>
  </si>
  <si>
    <t>840-20</t>
  </si>
  <si>
    <t>222-20</t>
  </si>
  <si>
    <t>305-20</t>
  </si>
  <si>
    <t>843-20</t>
  </si>
  <si>
    <t>227-20</t>
  </si>
  <si>
    <t>842-20</t>
  </si>
  <si>
    <t>229-20</t>
  </si>
  <si>
    <t>845-20</t>
  </si>
  <si>
    <t>228-20</t>
  </si>
  <si>
    <t>230-20</t>
  </si>
  <si>
    <t>233-20</t>
  </si>
  <si>
    <t>847-20</t>
  </si>
  <si>
    <t>232-20</t>
  </si>
  <si>
    <t>235-20</t>
  </si>
  <si>
    <t>846-20</t>
  </si>
  <si>
    <t>237-20</t>
  </si>
  <si>
    <t>234-20</t>
  </si>
  <si>
    <t>849-20</t>
  </si>
  <si>
    <t>239-20</t>
  </si>
  <si>
    <t>908-20</t>
  </si>
  <si>
    <t>236-20</t>
  </si>
  <si>
    <t>238-20</t>
  </si>
  <si>
    <t>241-20</t>
  </si>
  <si>
    <t>240-20</t>
  </si>
  <si>
    <t>243-20</t>
  </si>
  <si>
    <t>313-20</t>
  </si>
  <si>
    <t>242-20</t>
  </si>
  <si>
    <t>307-20</t>
  </si>
  <si>
    <t>244-20</t>
  </si>
  <si>
    <t>309-20</t>
  </si>
  <si>
    <t>311-20</t>
  </si>
  <si>
    <t>300-21</t>
  </si>
  <si>
    <t>partly-cloudy-night</t>
  </si>
  <si>
    <t>Partly Cloudy</t>
  </si>
  <si>
    <t>204:896</t>
  </si>
  <si>
    <t>204:233272</t>
  </si>
  <si>
    <t>204:232948</t>
  </si>
  <si>
    <t>204:152</t>
  </si>
  <si>
    <t>204:469</t>
  </si>
  <si>
    <t>204:233278</t>
  </si>
  <si>
    <t>204:232967</t>
  </si>
  <si>
    <t>204:1160</t>
  </si>
  <si>
    <t>204:232947</t>
  </si>
  <si>
    <t>204:172</t>
  </si>
  <si>
    <t>204:233301</t>
  </si>
  <si>
    <t>204:477</t>
  </si>
  <si>
    <t>204:233283</t>
  </si>
  <si>
    <t>204:233264</t>
  </si>
  <si>
    <t>204:232957</t>
  </si>
  <si>
    <t>204:232</t>
  </si>
  <si>
    <t>204:440</t>
  </si>
  <si>
    <t>204:233280</t>
  </si>
  <si>
    <t>204:145</t>
  </si>
  <si>
    <t>204:482</t>
  </si>
  <si>
    <t>204:233298</t>
  </si>
  <si>
    <t>204:464</t>
  </si>
  <si>
    <t>204:233002</t>
  </si>
  <si>
    <t>204:189</t>
  </si>
  <si>
    <t>204:233345</t>
  </si>
  <si>
    <t>204:233025</t>
  </si>
  <si>
    <t>204:233172</t>
  </si>
  <si>
    <t>204:232851</t>
  </si>
  <si>
    <t>204:458</t>
  </si>
  <si>
    <t>204:150</t>
  </si>
  <si>
    <t>204:174</t>
  </si>
  <si>
    <t>204:233289</t>
  </si>
  <si>
    <t>204:232969</t>
  </si>
  <si>
    <t>204:489</t>
  </si>
  <si>
    <t>204:232986</t>
  </si>
  <si>
    <t>204:167</t>
  </si>
  <si>
    <t>204:233319</t>
  </si>
  <si>
    <t>204:233312</t>
  </si>
  <si>
    <t>204:232991</t>
  </si>
  <si>
    <t>204:147</t>
  </si>
  <si>
    <t>204:488</t>
  </si>
  <si>
    <t>204:233288</t>
  </si>
  <si>
    <t>204:232965</t>
  </si>
  <si>
    <t>204:232987</t>
  </si>
  <si>
    <t>204:232894</t>
  </si>
  <si>
    <t>204:233225</t>
  </si>
  <si>
    <t>204:218</t>
  </si>
  <si>
    <t>204:232927</t>
  </si>
  <si>
    <t>204:233232</t>
  </si>
  <si>
    <t>204:128251</t>
  </si>
  <si>
    <t>204:233286</t>
  </si>
  <si>
    <t>204:127486</t>
  </si>
  <si>
    <t>204:232952</t>
  </si>
  <si>
    <t>204:232960</t>
  </si>
  <si>
    <t>204:232953</t>
  </si>
  <si>
    <t>204:225</t>
  </si>
  <si>
    <t>204:233208</t>
  </si>
  <si>
    <t>204:233228</t>
  </si>
  <si>
    <t>204:229</t>
  </si>
  <si>
    <t>204:285</t>
  </si>
  <si>
    <t>204:475</t>
  </si>
  <si>
    <t>204:232955</t>
  </si>
  <si>
    <t>204:233274</t>
  </si>
  <si>
    <t>204:232945</t>
  </si>
  <si>
    <t>204:582</t>
  </si>
  <si>
    <t>204:233246</t>
  </si>
  <si>
    <t>204:232915</t>
  </si>
  <si>
    <t>204:593</t>
  </si>
  <si>
    <t>204:245</t>
  </si>
  <si>
    <t>204:163</t>
  </si>
  <si>
    <t>204:233261</t>
  </si>
  <si>
    <t>204:232946</t>
  </si>
  <si>
    <t>204:139</t>
  </si>
  <si>
    <t>204:262</t>
  </si>
  <si>
    <t>204:233206</t>
  </si>
  <si>
    <t>204:232889</t>
  </si>
  <si>
    <t>204:232904</t>
  </si>
  <si>
    <t>204:564</t>
  </si>
  <si>
    <t>204:232938</t>
  </si>
  <si>
    <t>204:233234</t>
  </si>
  <si>
    <t>204:575</t>
  </si>
  <si>
    <t>204:251</t>
  </si>
  <si>
    <t>204:271</t>
  </si>
  <si>
    <t>204:232925</t>
  </si>
  <si>
    <t>204:233220</t>
  </si>
  <si>
    <t>204:232896</t>
  </si>
  <si>
    <t>204:233217</t>
  </si>
  <si>
    <t>204:233211</t>
  </si>
  <si>
    <t>204:232898</t>
  </si>
  <si>
    <t>204:233210</t>
  </si>
  <si>
    <t>204:232906</t>
  </si>
  <si>
    <t>204:584</t>
  </si>
  <si>
    <t>204:531</t>
  </si>
  <si>
    <t>204:212969</t>
  </si>
  <si>
    <t>204:57953</t>
  </si>
  <si>
    <t>204:36771</t>
  </si>
  <si>
    <t>204:233223</t>
  </si>
  <si>
    <t>204:247</t>
  </si>
  <si>
    <t>204:577</t>
  </si>
  <si>
    <t>204:263</t>
  </si>
  <si>
    <t>204:540</t>
  </si>
  <si>
    <t>204:551</t>
  </si>
  <si>
    <t>300:23553</t>
  </si>
  <si>
    <t>300:25785</t>
  </si>
  <si>
    <t>204:149</t>
  </si>
  <si>
    <t>300:23314</t>
  </si>
  <si>
    <t>300:20223</t>
  </si>
  <si>
    <t>300:23316</t>
  </si>
  <si>
    <t>300:22660</t>
  </si>
  <si>
    <t>204:549</t>
  </si>
  <si>
    <t>300:19671</t>
  </si>
  <si>
    <t>300:23338</t>
  </si>
  <si>
    <t>300:23312</t>
  </si>
  <si>
    <t>300:22376</t>
  </si>
  <si>
    <t>204:3564</t>
  </si>
  <si>
    <t>204:1501</t>
  </si>
  <si>
    <t>204:3551</t>
  </si>
  <si>
    <t>204:3223</t>
  </si>
  <si>
    <t>204:1175</t>
  </si>
  <si>
    <t>204:3227</t>
  </si>
  <si>
    <t>300:23355</t>
  </si>
  <si>
    <t>204:997</t>
  </si>
  <si>
    <t>204:1309</t>
  </si>
  <si>
    <t>300:24239</t>
  </si>
  <si>
    <t>300:23624</t>
  </si>
  <si>
    <t>204:1075</t>
  </si>
  <si>
    <t>204:1475</t>
  </si>
  <si>
    <t>300:58602</t>
  </si>
  <si>
    <t>204:841</t>
  </si>
  <si>
    <t>204:1128</t>
  </si>
  <si>
    <t>300:58918</t>
  </si>
  <si>
    <t>300:58591</t>
  </si>
  <si>
    <t>204:818</t>
  </si>
  <si>
    <t>204:1112</t>
  </si>
  <si>
    <t>204:866</t>
  </si>
  <si>
    <t>204:1118</t>
  </si>
  <si>
    <t>204:839</t>
  </si>
  <si>
    <t>204:1161</t>
  </si>
  <si>
    <t>300:58899</t>
  </si>
  <si>
    <t>300:58581</t>
  </si>
  <si>
    <t>204:867</t>
  </si>
  <si>
    <t>300:58903</t>
  </si>
  <si>
    <t>204:804</t>
  </si>
  <si>
    <t>204:1172</t>
  </si>
  <si>
    <t>300:58583</t>
  </si>
  <si>
    <t>204:1168</t>
  </si>
  <si>
    <t>204:860</t>
  </si>
  <si>
    <t>204:1167</t>
  </si>
  <si>
    <t>300:58928</t>
  </si>
  <si>
    <t>300:58611</t>
  </si>
  <si>
    <t>204:885</t>
  </si>
  <si>
    <t>204:1186</t>
  </si>
  <si>
    <t>300:58920</t>
  </si>
  <si>
    <t>300:58600</t>
  </si>
  <si>
    <t>204:4522</t>
  </si>
  <si>
    <t>204:1153</t>
  </si>
  <si>
    <t>300:58926</t>
  </si>
  <si>
    <t>204:862</t>
  </si>
  <si>
    <t>300:58969</t>
  </si>
  <si>
    <t>300:58656</t>
  </si>
  <si>
    <t>204:4513</t>
  </si>
  <si>
    <t>204:1121</t>
  </si>
  <si>
    <t>300:58944</t>
  </si>
  <si>
    <t>300:58948</t>
  </si>
  <si>
    <t>300:58638</t>
  </si>
  <si>
    <t>204:848</t>
  </si>
  <si>
    <t>204:983</t>
  </si>
  <si>
    <t>300:58609</t>
  </si>
  <si>
    <t>204:705</t>
  </si>
  <si>
    <t>300:58628</t>
  </si>
  <si>
    <t>204:950</t>
  </si>
  <si>
    <t>204:1023</t>
  </si>
  <si>
    <t>300:58929</t>
  </si>
  <si>
    <t>300:58613</t>
  </si>
  <si>
    <t>204:701</t>
  </si>
  <si>
    <t>204:1126</t>
  </si>
  <si>
    <t>300:58946</t>
  </si>
  <si>
    <t>204:881</t>
  </si>
  <si>
    <t>204:993</t>
  </si>
  <si>
    <t>300:58937</t>
  </si>
  <si>
    <t>204:652</t>
  </si>
  <si>
    <t>204:1114</t>
  </si>
  <si>
    <t>300:58958</t>
  </si>
  <si>
    <t>300:58651</t>
  </si>
  <si>
    <t>204:4494</t>
  </si>
  <si>
    <t>204:1345</t>
  </si>
  <si>
    <t>300:58931</t>
  </si>
  <si>
    <t>300:58641</t>
  </si>
  <si>
    <t>204:825</t>
  </si>
  <si>
    <t>204:827</t>
  </si>
  <si>
    <t>204:1111</t>
  </si>
  <si>
    <t>300:57832</t>
  </si>
  <si>
    <t>204:661</t>
  </si>
  <si>
    <t>204:1102</t>
  </si>
  <si>
    <t>300:58935</t>
  </si>
  <si>
    <t>204:990</t>
  </si>
  <si>
    <t>300:29902</t>
  </si>
  <si>
    <t>300:58914</t>
  </si>
  <si>
    <t>300:23781</t>
  </si>
  <si>
    <t>204:808</t>
  </si>
  <si>
    <t>204:1104</t>
  </si>
  <si>
    <t>300:24237</t>
  </si>
  <si>
    <t>300:23762</t>
  </si>
  <si>
    <t>204:710</t>
  </si>
  <si>
    <t>300:28759</t>
  </si>
  <si>
    <t>300:28786</t>
  </si>
  <si>
    <t>start /low /b %USERPROFILE%\Documents\GitHub\eaglep3\Utilities\DownloadLogsFromS3.py --loco 4064 --day 2017-11-20</t>
  </si>
  <si>
    <t>start /low /b %USERPROFILE%\Documents\GitHub\eaglep3\Utilities\DownloadLogsFromS3.py --loco 4063 --day 2017-11-20</t>
  </si>
  <si>
    <t>start /low /b %USERPROFILE%\Documents\GitHub\eaglep3\Utilities\DownloadLogsFromS3.py --loco 4018 --day 2017-11-20</t>
  </si>
  <si>
    <t>start /low /b %USERPROFILE%\Documents\GitHub\eaglep3\Utilities\DownloadLogsFromS3.py --loco 4013 --day 2017-11-20</t>
  </si>
  <si>
    <t>start /low /b %USERPROFILE%\Documents\GitHub\eaglep3\Utilities\DownloadLogsFromS3.py --loco 4026 --day 2017-11-21</t>
  </si>
  <si>
    <t>start /low /b %USERPROFILE%\Documents\GitHub\eaglep3\Utilities\DownloadLogsFromS3.py --loco 4025 --day 2017-11-20</t>
  </si>
  <si>
    <t>start /low /b %USERPROFILE%\Documents\GitHub\eaglep3\Utilities\DownloadLogsFromS3.py --loco 4017 --day 2017-11-20</t>
  </si>
  <si>
    <t>start /low /b %USERPROFILE%\Documents\GitHub\eaglep3\Utilities\DownloadLogsFromS3.py --loco 4063 --day 2017-11-21</t>
  </si>
  <si>
    <t>start /low /b %USERPROFILE%\Documents\GitHub\eaglep3\Utilities\DownloadLogsFromS3.py --loco 4018 --day 2017-11-21</t>
  </si>
  <si>
    <t>start /low /b %USERPROFILE%\Documents\GitHub\eaglep3\Utilities\DownloadLogsFromS3.py --loco 4026 --day 2017-11-20</t>
  </si>
  <si>
    <t>start /low /b %USERPROFILE%\Documents\GitHub\eaglep3\Utilities\DownloadLogsFromS3.py --loco 4059 --day 2017-11-20</t>
  </si>
  <si>
    <t>start /low /b %USERPROFILE%\Documents\GitHub\eaglep3\Utilities\DownloadLogsFromS3.py --loco 4064 --day 2017-11-21</t>
  </si>
  <si>
    <t>start /low /b %USERPROFILE%\Documents\GitHub\eaglep3\Utilities\DownloadLogsFromS3.py --loco 4062 --day 2017-11-21</t>
  </si>
  <si>
    <t>start /low /b %USERPROFILE%\Documents\GitHub\eaglep3\Utilities\DownloadLogsFromS3.py --loco 4014 --day 2017-11-20</t>
  </si>
  <si>
    <t>start /low /b %USERPROFILE%\Documents\GitHub\eaglep3\Utilities\DownloadLogsFromS3.py --loco 4061 --day 2017-11-20</t>
  </si>
  <si>
    <t>start /low /b %USERPROFILE%\Documents\GitHub\eaglep3\Utilities\DownloadLogsFromS3.py --loco 4013 --day 2017-11-21</t>
  </si>
  <si>
    <t>Selected wrong track, quickly rectified</t>
  </si>
  <si>
    <t>Wi-MAX data drop</t>
  </si>
  <si>
    <t>TMDS issue - could not clear Quebec 4S</t>
  </si>
  <si>
    <t>Poor GPS @ Wewatta</t>
  </si>
  <si>
    <t>Early Arrival caused by Wi-MAX data drop</t>
  </si>
  <si>
    <t>Banner without braking</t>
  </si>
  <si>
    <t>Brief Wi-MAX data drop caused unhealthy crossing banner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</si>
</sst>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0" fontId="17" fillId="6" borderId="0" xfId="0" applyNumberFormat="1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98"/>
  <sheetViews>
    <sheetView tabSelected="1" zoomScaleNormal="100" workbookViewId="0">
      <selection activeCell="A13" sqref="A13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8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8" customWidth="1"/>
    <col min="20" max="20" width="3.85546875" style="167" customWidth="1"/>
    <col min="21" max="21" width="5" style="195" customWidth="1"/>
    <col min="22" max="22" width="5.7109375" style="216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7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7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43059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43059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COUNTIFS($N$13:$N$9541,"&gt;0",$AG$13:$AG$9541,I1)</f>
        <v>141</v>
      </c>
      <c r="K5" s="39"/>
      <c r="L5" s="171"/>
      <c r="M5" s="40">
        <f>AVERAGEIFS($N$13:$N$9541,$AG$13:$AG$9541,I1)</f>
        <v>37.299763593089551</v>
      </c>
      <c r="N5" s="38">
        <f t="array" ref="N5">MIN(IF($AG$13:$AG$9541=I1,IF(ISNUMBER($N$13:$N$9541),IF($N$13:$N$9541&gt;0,$N$13:$N$9541))))</f>
        <v>34.449999995995313</v>
      </c>
      <c r="O5" s="3">
        <f t="array" ref="O5">MAX(IF($AG$13:$AG$9541=I1,IF(ISNUMBER($N$13:$N$9541),IF($N$13:$N$9541&gt;0,$N$13:$N$9541))))</f>
        <v>43.599999997531995</v>
      </c>
      <c r="P5" s="2"/>
      <c r="R5" s="162" t="s">
        <v>17</v>
      </c>
      <c r="S5" s="206">
        <f>COUNTIFS($N$13:$N$9541,"&gt;0",$AG$13:$AG$9541,R1)</f>
        <v>49</v>
      </c>
      <c r="T5" s="171"/>
      <c r="U5" s="194"/>
      <c r="V5" s="210">
        <f>AVERAGEIFS($N$13:$N$9541,$AG$13:$AG$9541,R1)</f>
        <v>13.28741496607034</v>
      </c>
      <c r="W5" s="211">
        <f t="array" ref="W5">MIN(IF($AG$13:$AG$9541=R1,IF(ISNUMBER($N$13:$N$9541),IF($N$13:$N$9541&gt;0,$N$13:$N$9541))))</f>
        <v>10.733333327807486</v>
      </c>
      <c r="X5" s="199">
        <f t="array" ref="X5">MAX(IF($AG$13:$AG$9541=R1,IF(ISNUMBER($N$13:$N$9541),IF($N$13:$N$9541&gt;0,$N$13:$N$9541))))</f>
        <v>16.716666666325182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COUNT($O$13:$O$299)</f>
        <v>0</v>
      </c>
      <c r="K6" s="39"/>
      <c r="L6" s="171"/>
      <c r="M6" s="40">
        <f>IFERROR(AVERAGE($O$13:$O$299),0)</f>
        <v>0</v>
      </c>
      <c r="N6" s="38">
        <f>MIN($O$13:$O$299)</f>
        <v>0</v>
      </c>
      <c r="O6" s="3">
        <f>MAX($O$13:$O$299)</f>
        <v>0</v>
      </c>
      <c r="P6" s="2"/>
      <c r="R6" s="163" t="s">
        <v>43</v>
      </c>
      <c r="S6" s="206">
        <f>COUNT($O$13:$O$299)</f>
        <v>0</v>
      </c>
      <c r="T6" s="171"/>
      <c r="U6" s="194"/>
      <c r="V6" s="210">
        <f>IFERROR(AVERAGE($O$13:$O$299),0)</f>
        <v>0</v>
      </c>
      <c r="W6" s="211">
        <f>MIN($O$13:$O$299)</f>
        <v>0</v>
      </c>
      <c r="X6" s="199">
        <f>MAX($O$13:$O$299)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COUNTIFS($P$13:$P$9541,"&gt;0",$AG$13:$AG$9541,I1)</f>
        <v>3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COUNTIFS($P$13:$P$9541,"&gt;0",$AG$13:$AG$9541,R1)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1"/>
      <c r="M8" s="40">
        <f>M5</f>
        <v>37.299763593089551</v>
      </c>
      <c r="N8" s="38">
        <f>N5</f>
        <v>34.449999995995313</v>
      </c>
      <c r="O8" s="3">
        <f>O5</f>
        <v>43.599999997531995</v>
      </c>
      <c r="P8" s="2"/>
      <c r="R8" s="162" t="s">
        <v>16</v>
      </c>
      <c r="S8" s="206">
        <f>S5</f>
        <v>49</v>
      </c>
      <c r="T8" s="171"/>
      <c r="U8" s="194"/>
      <c r="V8" s="210">
        <f>V5</f>
        <v>13.28741496607034</v>
      </c>
      <c r="W8" s="211">
        <f>W5</f>
        <v>10.733333327807486</v>
      </c>
      <c r="X8" s="199">
        <f>X5</f>
        <v>16.716666666325182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5" thickBot="1" x14ac:dyDescent="0.3">
      <c r="A11" s="226" t="str">
        <f>"Eagle P3 System Performance - "&amp;TEXT(Variables!A2,"yyyy-mm-dd")</f>
        <v>Eagle P3 System Performance - 2017-11-20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8">
        <f>AVERAGE(S13:S120)</f>
        <v>1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679</v>
      </c>
      <c r="B13" s="7">
        <v>4026</v>
      </c>
      <c r="C13" s="21" t="s">
        <v>192</v>
      </c>
      <c r="D13" s="21" t="s">
        <v>888</v>
      </c>
      <c r="E13" s="13">
        <v>43059.128564814811</v>
      </c>
      <c r="F13" s="13">
        <v>43059.135706018518</v>
      </c>
      <c r="G13" s="7">
        <v>62</v>
      </c>
      <c r="H13" s="21" t="s">
        <v>889</v>
      </c>
      <c r="I13" s="13">
        <v>43059.160821759258</v>
      </c>
      <c r="J13" s="7">
        <v>0</v>
      </c>
      <c r="K13" s="89" t="str">
        <f t="shared" ref="K13:K76" si="0">IF(ISEVEN(B13),(B13-1)&amp;"/"&amp;B13,B13&amp;"/"&amp;(B13+1))</f>
        <v>4025/4026</v>
      </c>
      <c r="L13" s="184" t="str">
        <f>VLOOKUP(A13,'Trips&amp;Operators'!$C$1:$G$99911,5,FALSE)</f>
        <v>THOMPSON LESTER</v>
      </c>
      <c r="M13" s="6">
        <f t="shared" ref="M13:M76" si="1">I13-F13</f>
        <v>2.5115740740147885E-2</v>
      </c>
      <c r="N13" s="7">
        <f t="shared" ref="N13:N32" si="2">24*60*SUM($M13:$M13)</f>
        <v>36.166666665812954</v>
      </c>
      <c r="O13" s="7"/>
      <c r="P13" s="7"/>
      <c r="Q13" s="22"/>
      <c r="R13" s="166"/>
      <c r="S13" s="220">
        <f t="shared" ref="S13:S32" si="3">1/IF(AG13="EC",12,1)*SUM(U13:U13)</f>
        <v>1</v>
      </c>
      <c r="T13" s="173" t="str">
        <f t="shared" ref="T13:T76" si="4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-20T02:05:08-0700',mode:absolute,to:'2017-11-20T04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" s="203" t="str">
        <f>IF(AA13&lt;VLOOKUP(AG13,Variables!$AC$3:$AD$8,2,FALSE),"Y","N")</f>
        <v>N</v>
      </c>
      <c r="X13" s="203" t="e">
        <f t="shared" ref="X13:X44" si="6">VALUE(LEFT(AD13,4))-VALUE(LEFT(AD12,4))</f>
        <v>#VALUE!</v>
      </c>
      <c r="Y13" s="203">
        <f t="shared" ref="Y13:Y44" si="7">RIGHT(D13,LEN(D13)-4)/10000</f>
        <v>8.9599999999999999E-2</v>
      </c>
      <c r="Z13" s="203">
        <f t="shared" ref="Z13:Z44" si="8">RIGHT(H13,LEN(H13)-4)/10000</f>
        <v>23.327200000000001</v>
      </c>
      <c r="AA13" s="203">
        <f t="shared" ref="AA13:AA76" si="9">ABS(Z13-Y13)</f>
        <v>23.2376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s3://rtdc.mdm.uploadarchive.raw/RTDC4026/ "%USERPROFILE%\AppData\Local\Temp\OnboardLogs"\RTDC4026\2017-11-20 --exclude "*" --recursive --include "*20171120*" &amp; "%USERPROFILE%\Documents\GitHub\mrs-test-scripts\Headless Mode &amp; Sideloading\WalkAndUnGZ.bat" "%USERPROFILE%\AppData\Local\Temp\OnboardLogs"\RTDC4026\2017-11-20 &amp; aws s3 cp s3://rtdc.mdm.uploadarchive.raw/RTDC4026/ "%USERPROFILE%\AppData\Local\Temp\OnboardLogs"\RTDC4026\2017-11-21 --exclude "*" --recursive --include "*20171121*" &amp; "%USERPROFILE%\Documents\GitHub\mrs-test-scripts\Headless Mode &amp; Sideloading\WalkAndUnGZ.bat" "%USERPROFILE%\AppData\Local\Temp\OnboardLogs"\RTDC4026\2017-11-21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/stypes="app*4026*20171120*" /stext=" 10:.+((SYSTEM_STATE.+slice.+state.+changed )|(ment ac)|(multiple cpu faults)|(system.+state.+changed )|(\[timeout)|(PRM\|1\|D)|(kpr)|(kdp)|(train st.+moving)|(\|lc)|(penalty))"</v>
      </c>
      <c r="AG13" s="181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4026 --swversion DE.1.0.9.0 --startMP 204:896 --initTime 2017-11-20T03:05:08 --startdatetime 2017-11-20T03:15:25 --delay 62 --endMP 204:233272 --enddatetime 2017-11-20T03:51:35 --enforcementcount 0 &gt;&gt;%USERPROFILE%\Documents\GitHub\eaglep3-reporting\EC\2017-11-20-refined-times.txt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{"issue":{"subject":"","project_id":79,"tracker_id":40,"status_id":1,"priority_id":2,"assigned_to_id":338,"start_date":"2017-11-20","description":"","custom_fields":[{"id":1,"name":"Subdivision","value":"EC"},{"id":4,"name":"Milepost","value":"23.3272"},{"id":17,"name":"Train ID","value":"101-20"},{"id":16,"name":"Locomotive ID","value":"4026"},{"id":130,"name":"Impact","value":""},{"id":150,"name":"Time of Event (Mountain Time)","value":"03:51:35"},{"id":151,"name":"Denver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4026 --day 2017-11-20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10:51:35"},{"id":29,"name":"Sharepoint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-20T02:05:08-0700',mode:absolute,to:'2017-11-20T04:51:35-0700'))&amp;_a=(columns:!('Message%20ID',Summary),filters:!(),index:'emp_*',interval:auto,query:(query_string:(analyze_wildcard:!t,query:'%22rtdc.l.rtdc.4026%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686</v>
      </c>
      <c r="B14" s="7">
        <v>4025</v>
      </c>
      <c r="C14" s="21" t="s">
        <v>192</v>
      </c>
      <c r="D14" s="21" t="s">
        <v>890</v>
      </c>
      <c r="E14" s="13">
        <v>43059.172893518517</v>
      </c>
      <c r="F14" s="13">
        <v>43059.175185185188</v>
      </c>
      <c r="G14" s="7">
        <v>65</v>
      </c>
      <c r="H14" s="21" t="s">
        <v>568</v>
      </c>
      <c r="I14" s="13">
        <v>43059.202465277776</v>
      </c>
      <c r="J14" s="7">
        <v>0</v>
      </c>
      <c r="K14" s="89" t="str">
        <f t="shared" si="0"/>
        <v>4025/4026</v>
      </c>
      <c r="L14" s="184" t="str">
        <f>VLOOKUP(A14,'Trips&amp;Operators'!$C$1:$G$99911,5,FALSE)</f>
        <v>THOMPSON LESTER</v>
      </c>
      <c r="M14" s="6">
        <f t="shared" si="1"/>
        <v>2.7280092588625848E-2</v>
      </c>
      <c r="N14" s="7">
        <f t="shared" si="2"/>
        <v>39.283333327621222</v>
      </c>
      <c r="O14" s="7"/>
      <c r="P14" s="7"/>
      <c r="Q14" s="22"/>
      <c r="R14" s="173"/>
      <c r="S14" s="220">
        <f t="shared" si="3"/>
        <v>1</v>
      </c>
      <c r="T14" s="173" t="str">
        <f t="shared" si="4"/>
        <v>Southbound</v>
      </c>
      <c r="U14" s="19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5" t="str">
        <f t="shared" si="5"/>
        <v>https://d0f6bd738d7f1b3e5a7ca70fe4ff75f0.us-east-1.aws.found.io/app/kibana#/discover/Steve-Slow-Train-Analysis-(2080s-and-2083s)?_g=(refreshInterval:(display:Off,pause:!f,section:0,value:0),time:(from:'2017-11-20T03:08:58-0700',mode:absolute,to:'2017-11-20T05:51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" s="203" t="str">
        <f>IF(AA14&lt;VLOOKUP(AG14,Variables!$AC$3:$AD$8,2,FALSE),"Y","N")</f>
        <v>N</v>
      </c>
      <c r="X14" s="203">
        <f t="shared" si="6"/>
        <v>1</v>
      </c>
      <c r="Y14" s="203">
        <f t="shared" si="7"/>
        <v>23.294799999999999</v>
      </c>
      <c r="Z14" s="203">
        <f t="shared" si="8"/>
        <v>1.7999999999999999E-2</v>
      </c>
      <c r="AA14" s="203">
        <f t="shared" si="9"/>
        <v>23.276799999999998</v>
      </c>
      <c r="AB14" s="54" t="e">
        <f>VLOOKUP(A14,Enforcements!$C$7:$K$9,8,0)</f>
        <v>#N/A</v>
      </c>
      <c r="AC14" s="51" t="e">
        <f>VLOOKUP(A14,Enforcements!$C$7:$E$9,3,0)</f>
        <v>#N/A</v>
      </c>
      <c r="AD14" s="178">
        <f t="shared" si="10"/>
        <v>102</v>
      </c>
      <c r="AE14" s="77" t="str">
        <f t="shared" si="11"/>
        <v>aws s3 cp s3://rtdc.mdm.uploadarchive.raw/RTDC4025/ "%USERPROFILE%\AppData\Local\Temp\OnboardLogs"\RTDC4025\2017-11-20 --exclude "*" --recursive --include "*20171120*" &amp; "%USERPROFILE%\Documents\GitHub\mrs-test-scripts\Headless Mode &amp; Sideloading\WalkAndUnGZ.bat" "%USERPROFILE%\AppData\Local\Temp\OnboardLogs"\RTDC4025\2017-11-20 &amp; aws s3 cp s3://rtdc.mdm.uploadarchive.raw/RTDC4025/ "%USERPROFILE%\AppData\Local\Temp\OnboardLogs"\RTDC4025\2017-11-21 --exclude "*" --recursive --include "*20171121*" &amp; "%USERPROFILE%\Documents\GitHub\mrs-test-scripts\Headless Mode &amp; Sideloading\WalkAndUnGZ.bat" "%USERPROFILE%\AppData\Local\Temp\OnboardLogs"\RTDC4025\2017-11-21</v>
      </c>
      <c r="AF14" s="74" t="str">
        <f t="shared" si="12"/>
        <v>"C:\Program Files (x86)\AstroGrep\AstroGrep.exe" /e /r /s /spath="%USERPROFILE%\AppData\Local\Temp\OnboardLogs" /stypes="app*4025*20171120*" /stext=" 11:.+((SYSTEM_STATE.+slice.+state.+changed )|(ment ac)|(multiple cpu faults)|(system.+state.+changed )|(\[timeout)|(PRM\|1\|D)|(kpr)|(kdp)|(train st.+moving)|(\|lc)|(penalty))"</v>
      </c>
      <c r="AG14" s="181" t="str">
        <f t="shared" si="13"/>
        <v>EC</v>
      </c>
      <c r="AH14" s="78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102-20 --locoid 4025 --swversion DE.1.0.9.0 --startMP 204:232948 --initTime 2017-11-20T04:08:58 --startdatetime 2017-11-20T04:12:16 --delay 65 --endMP 204:180 --enddatetime 2017-11-20T04:51:33 --enforcementcount 0 &gt;&gt;%USERPROFILE%\Documents\GitHub\eaglep3-reporting\EC\2017-11-20-refined-times.txt</v>
      </c>
      <c r="AI14" s="96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{"issue":{"subject":"","project_id":79,"tracker_id":40,"status_id":1,"priority_id":2,"assigned_to_id":338,"start_date":"2017-11-20","description":"","custom_fields":[{"id":1,"name":"Subdivision","value":"EC"},{"id":4,"name":"Milepost","value":"0.018"},{"id":17,"name":"Train ID","value":"102-20"},{"id":16,"name":"Locomotive ID","value":"4025"},{"id":130,"name":"Impact","value":""},{"id":150,"name":"Time of Event (Mountain Time)","value":"04:51:33"},{"id":151,"name":"Denver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1" t="str">
        <f t="shared" ref="AM14:AM77" si="21">"start /low /b "&amp;dls3logs&amp;" --loco "&amp;B14&amp;" --day "&amp;TEXT(F14,"YYYY-MM-DD")</f>
        <v>start /low /b %USERPROFILE%\Documents\GitHub\eaglep3\Utilities\DownloadLogsFromS3.py --loco 4025 --day 2017-11-20</v>
      </c>
      <c r="AN14" s="150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11:51:33"},{"id":29,"name":"Sharepoint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7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-20T03:08:58-0700',mode:absolute,to:'2017-11-20T05:51:33-0700'))&amp;_a=(columns:!('Message%20ID',Summary),filters:!(),index:'emp_*',interval:auto,query:(query_string:(analyze_wildcard:!t,query:'%22rtdc.l.rtdc.4025%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645</v>
      </c>
      <c r="B15" s="7">
        <v>4018</v>
      </c>
      <c r="C15" s="21" t="s">
        <v>192</v>
      </c>
      <c r="D15" s="21" t="s">
        <v>599</v>
      </c>
      <c r="E15" s="13">
        <v>43059.153796296298</v>
      </c>
      <c r="F15" s="13">
        <v>43059.156435185185</v>
      </c>
      <c r="G15" s="7">
        <v>73</v>
      </c>
      <c r="H15" s="21" t="s">
        <v>607</v>
      </c>
      <c r="I15" s="13">
        <v>43059.181608796294</v>
      </c>
      <c r="J15" s="7">
        <v>0</v>
      </c>
      <c r="K15" s="89" t="str">
        <f t="shared" si="0"/>
        <v>4017/4018</v>
      </c>
      <c r="L15" s="184" t="str">
        <f>VLOOKUP(A15,'Trips&amp;Operators'!$C$1:$G$99911,5,FALSE)</f>
        <v>STARKS ANGELINA</v>
      </c>
      <c r="M15" s="6">
        <f t="shared" si="1"/>
        <v>2.5173611109494232E-2</v>
      </c>
      <c r="N15" s="7">
        <f t="shared" si="2"/>
        <v>36.249999997671694</v>
      </c>
      <c r="O15" s="7"/>
      <c r="P15" s="7"/>
      <c r="Q15" s="22"/>
      <c r="R15" s="173"/>
      <c r="S15" s="220">
        <f t="shared" si="3"/>
        <v>1</v>
      </c>
      <c r="T15" s="173" t="str">
        <f t="shared" si="4"/>
        <v>NorthBound</v>
      </c>
      <c r="U15" s="19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5" t="str">
        <f t="shared" si="5"/>
        <v>https://d0f6bd738d7f1b3e5a7ca70fe4ff75f0.us-east-1.aws.found.io/app/kibana#/discover/Steve-Slow-Train-Analysis-(2080s-and-2083s)?_g=(refreshInterval:(display:Off,pause:!f,section:0,value:0),time:(from:'2017-11-20T02:41:28-0700',mode:absolute,to:'2017-11-20T05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" s="203" t="str">
        <f>IF(AA15&lt;VLOOKUP(AG15,Variables!$AC$3:$AD$8,2,FALSE),"Y","N")</f>
        <v>N</v>
      </c>
      <c r="X15" s="203">
        <f t="shared" si="6"/>
        <v>1</v>
      </c>
      <c r="Y15" s="203">
        <f t="shared" si="7"/>
        <v>4.4900000000000002E-2</v>
      </c>
      <c r="Z15" s="203">
        <f t="shared" si="8"/>
        <v>23.329699999999999</v>
      </c>
      <c r="AA15" s="203">
        <f t="shared" si="9"/>
        <v>23.284800000000001</v>
      </c>
      <c r="AB15" s="54" t="str">
        <f>VLOOKUP(A15,Enforcements!$C$7:$K$9,8,0)</f>
        <v>Bulletin (2)</v>
      </c>
      <c r="AC15" s="51" t="str">
        <f>VLOOKUP(A15,Enforcements!$C$7:$E$9,3,0)</f>
        <v>GRADE CROSSING</v>
      </c>
      <c r="AD15" s="178">
        <f t="shared" si="10"/>
        <v>103</v>
      </c>
      <c r="AE15" s="77" t="str">
        <f t="shared" si="11"/>
        <v>aws s3 cp s3://rtdc.mdm.uploadarchive.raw/RTDC4018/ "%USERPROFILE%\AppData\Local\Temp\OnboardLogs"\RTDC4018\2017-11-20 --exclude "*" --recursive --include "*20171120*" &amp; "%USERPROFILE%\Documents\GitHub\mrs-test-scripts\Headless Mode &amp; Sideloading\WalkAndUnGZ.bat" "%USERPROFILE%\AppData\Local\Temp\OnboardLogs"\RTDC4018\2017-11-20 &amp; aws s3 cp s3://rtdc.mdm.uploadarchive.raw/RTDC4018/ "%USERPROFILE%\AppData\Local\Temp\OnboardLogs"\RTDC4018\2017-11-21 --exclude "*" --recursive --include "*20171121*" &amp; "%USERPROFILE%\Documents\GitHub\mrs-test-scripts\Headless Mode &amp; Sideloading\WalkAndUnGZ.bat" "%USERPROFILE%\AppData\Local\Temp\OnboardLogs"\RTDC4018\2017-11-21</v>
      </c>
      <c r="AF15" s="74" t="str">
        <f t="shared" si="12"/>
        <v>"C:\Program Files (x86)\AstroGrep\AstroGrep.exe" /e /r /s /spath="%USERPROFILE%\AppData\Local\Temp\OnboardLogs" /stypes="app*4018*20171120*" /stext=" 11:.+((SYSTEM_STATE.+slice.+state.+changed )|(ment ac)|(multiple cpu faults)|(system.+state.+changed )|(\[timeout)|(PRM\|1\|D)|(kpr)|(kdp)|(train st.+moving)|(\|lc)|(penalty))"</v>
      </c>
      <c r="AG15" s="181" t="str">
        <f t="shared" si="13"/>
        <v>EC</v>
      </c>
      <c r="AH15" s="78" t="str">
        <f t="shared" si="19"/>
        <v>"%USERPROFILE%\Documents\GitHub\eaglep3\Utilities\RefineRTDCRunTimes.py" --tripid 103-20 --locoid 4018 --swversion DE.1.0.9.0 --startMP 204:449 --initTime 2017-11-20T03:41:28 --startdatetime 2017-11-20T03:45:16 --delay 73 --endMP 204:233297 --enddatetime 2017-11-20T04:21:31 --enforcementcount 0 &gt;&gt;%USERPROFILE%\Documents\GitHub\eaglep3-reporting\EC\2017-11-20-refined-times.txt</v>
      </c>
      <c r="AI15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{"issue":{"subject":"","project_id":79,"tracker_id":40,"status_id":1,"priority_id":2,"assigned_to_id":338,"start_date":"2017-11-20","description":"","custom_fields":[{"id":1,"name":"Subdivision","value":"EC"},{"id":4,"name":"Milepost","value":"23.3297"},{"id":17,"name":"Train ID","value":"103-20"},{"id":16,"name":"Locomotive ID","value":"4018"},{"id":130,"name":"Impact","value":""},{"id":150,"name":"Time of Event (Mountain Time)","value":"04:21:31"},{"id":151,"name":"Denver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1" t="str">
        <f t="shared" si="21"/>
        <v>start /low /b %USERPROFILE%\Documents\GitHub\eaglep3\Utilities\DownloadLogsFromS3.py --loco 4018 --day 2017-11-20</v>
      </c>
      <c r="AN15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11:21:31"},{"id":29,"name":"Sharepoint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7" t="str">
        <f t="shared" si="23"/>
        <v>https://d0f6bd738d7f1b3e5a7ca70fe4ff75f0.us-east-1.aws.found.io/app/kibana#/discover/Steve-Slow-Train-Analysis-(2080s-and-2083s)?_g=(refreshInterval:(display:Off,pause:!f,section:0,value:0),time:(from:'2017-11-20T02:41:28-0700',mode:absolute,to:'2017-11-20T05:21:31-0700'))&amp;_a=(columns:!('Message%20ID',Summary),filters:!(),index:'emp_*',interval:auto,query:(query_string:(analyze_wildcard:!t,query:'%22rtdc.l.rtdc.4018%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689</v>
      </c>
      <c r="B16" s="7">
        <v>4017</v>
      </c>
      <c r="C16" s="21" t="s">
        <v>192</v>
      </c>
      <c r="D16" s="21" t="s">
        <v>525</v>
      </c>
      <c r="E16" s="13">
        <v>43059.182824074072</v>
      </c>
      <c r="F16" s="13">
        <v>43059.196018518516</v>
      </c>
      <c r="G16" s="7">
        <v>72</v>
      </c>
      <c r="H16" s="21" t="s">
        <v>891</v>
      </c>
      <c r="I16" s="13">
        <v>43059.223576388889</v>
      </c>
      <c r="J16" s="7">
        <v>0</v>
      </c>
      <c r="K16" s="89" t="str">
        <f t="shared" si="0"/>
        <v>4017/4018</v>
      </c>
      <c r="L16" s="184" t="str">
        <f>VLOOKUP(A16,'Trips&amp;Operators'!$C$1:$G$99911,5,FALSE)</f>
        <v>STARKS ANGELINA</v>
      </c>
      <c r="M16" s="6">
        <f t="shared" si="1"/>
        <v>2.7557870373129845E-2</v>
      </c>
      <c r="N16" s="7">
        <f t="shared" si="2"/>
        <v>39.683333337306976</v>
      </c>
      <c r="O16" s="7"/>
      <c r="P16" s="7"/>
      <c r="Q16" s="22"/>
      <c r="R16" s="173"/>
      <c r="S16" s="220">
        <f t="shared" si="3"/>
        <v>1</v>
      </c>
      <c r="T16" s="173" t="str">
        <f t="shared" si="4"/>
        <v>Southbound</v>
      </c>
      <c r="U16" s="19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5" t="str">
        <f t="shared" si="5"/>
        <v>https://d0f6bd738d7f1b3e5a7ca70fe4ff75f0.us-east-1.aws.found.io/app/kibana#/discover/Steve-Slow-Train-Analysis-(2080s-and-2083s)?_g=(refreshInterval:(display:Off,pause:!f,section:0,value:0),time:(from:'2017-11-20T03:23:16-0700',mode:absolute,to:'2017-11-20T06:21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" s="203" t="str">
        <f>IF(AA16&lt;VLOOKUP(AG16,Variables!$AC$3:$AD$8,2,FALSE),"Y","N")</f>
        <v>N</v>
      </c>
      <c r="X16" s="203">
        <f t="shared" si="6"/>
        <v>1</v>
      </c>
      <c r="Y16" s="203">
        <f t="shared" si="7"/>
        <v>23.296299999999999</v>
      </c>
      <c r="Z16" s="203">
        <f t="shared" si="8"/>
        <v>1.52E-2</v>
      </c>
      <c r="AA16" s="203">
        <f t="shared" si="9"/>
        <v>23.281099999999999</v>
      </c>
      <c r="AB16" s="54" t="e">
        <f>VLOOKUP(A16,Enforcements!$C$7:$K$9,8,0)</f>
        <v>#N/A</v>
      </c>
      <c r="AC16" s="51" t="e">
        <f>VLOOKUP(A16,Enforcements!$C$7:$E$9,3,0)</f>
        <v>#N/A</v>
      </c>
      <c r="AD16" s="178">
        <f t="shared" si="10"/>
        <v>104</v>
      </c>
      <c r="AE16" s="77" t="str">
        <f t="shared" si="11"/>
        <v>aws s3 cp s3://rtdc.mdm.uploadarchive.raw/RTDC4017/ "%USERPROFILE%\AppData\Local\Temp\OnboardLogs"\RTDC4017\2017-11-20 --exclude "*" --recursive --include "*20171120*" &amp; "%USERPROFILE%\Documents\GitHub\mrs-test-scripts\Headless Mode &amp; Sideloading\WalkAndUnGZ.bat" "%USERPROFILE%\AppData\Local\Temp\OnboardLogs"\RTDC4017\2017-11-20 &amp; aws s3 cp s3://rtdc.mdm.uploadarchive.raw/RTDC4017/ "%USERPROFILE%\AppData\Local\Temp\OnboardLogs"\RTDC4017\2017-11-21 --exclude "*" --recursive --include "*20171121*" &amp; "%USERPROFILE%\Documents\GitHub\mrs-test-scripts\Headless Mode &amp; Sideloading\WalkAndUnGZ.bat" "%USERPROFILE%\AppData\Local\Temp\OnboardLogs"\RTDC4017\2017-11-21</v>
      </c>
      <c r="AF16" s="74" t="str">
        <f t="shared" si="12"/>
        <v>"C:\Program Files (x86)\AstroGrep\AstroGrep.exe" /e /r /s /spath="%USERPROFILE%\AppData\Local\Temp\OnboardLogs" /stypes="app*4017*20171120*" /stext=" 12:.+((SYSTEM_STATE.+slice.+state.+changed )|(ment ac)|(multiple cpu faults)|(system.+state.+changed )|(\[timeout)|(PRM\|1\|D)|(kpr)|(kdp)|(train st.+moving)|(\|lc)|(penalty))"</v>
      </c>
      <c r="AG16" s="181" t="str">
        <f t="shared" si="13"/>
        <v>EC</v>
      </c>
      <c r="AH16" s="78" t="str">
        <f t="shared" si="19"/>
        <v>"%USERPROFILE%\Documents\GitHub\eaglep3\Utilities\RefineRTDCRunTimes.py" --tripid 104-20 --locoid 4017 --swversion DE.1.0.9.0 --startMP 204:232963 --initTime 2017-11-20T04:23:16 --startdatetime 2017-11-20T04:42:16 --delay 72 --endMP 204:152 --enddatetime 2017-11-20T05:21:57 --enforcementcount 0 &gt;&gt;%USERPROFILE%\Documents\GitHub\eaglep3-reporting\EC\2017-11-20-refined-times.txt</v>
      </c>
      <c r="AI16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{"issue":{"subject":"","project_id":79,"tracker_id":40,"status_id":1,"priority_id":2,"assigned_to_id":338,"start_date":"2017-11-20","description":"","custom_fields":[{"id":1,"name":"Subdivision","value":"EC"},{"id":4,"name":"Milepost","value":"0.0152"},{"id":17,"name":"Train ID","value":"104-20"},{"id":16,"name":"Locomotive ID","value":"4017"},{"id":130,"name":"Impact","value":""},{"id":150,"name":"Time of Event (Mountain Time)","value":"05:21:57"},{"id":151,"name":"Denver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1" t="str">
        <f t="shared" si="21"/>
        <v>start /low /b %USERPROFILE%\Documents\GitHub\eaglep3\Utilities\DownloadLogsFromS3.py --loco 4017 --day 2017-11-20</v>
      </c>
      <c r="AN16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12:21:57"},{"id":29,"name":"Sharepoint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7" t="str">
        <f t="shared" si="23"/>
        <v>https://d0f6bd738d7f1b3e5a7ca70fe4ff75f0.us-east-1.aws.found.io/app/kibana#/discover/Steve-Slow-Train-Analysis-(2080s-and-2083s)?_g=(refreshInterval:(display:Off,pause:!f,section:0,value:0),time:(from:'2017-11-20T03:23:16-0700',mode:absolute,to:'2017-11-20T06:21:57-0700'))&amp;_a=(columns:!('Message%20ID',Summary),filters:!(),index:'emp_*',interval:auto,query:(query_string:(analyze_wildcard:!t,query:'%22rtdc.l.rtdc.4017%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685</v>
      </c>
      <c r="B17" s="7">
        <v>4024</v>
      </c>
      <c r="C17" s="21" t="s">
        <v>192</v>
      </c>
      <c r="D17" s="21" t="s">
        <v>892</v>
      </c>
      <c r="E17" s="13">
        <v>43059.169421296298</v>
      </c>
      <c r="F17" s="13">
        <v>43059.177303240744</v>
      </c>
      <c r="G17" s="7">
        <v>58</v>
      </c>
      <c r="H17" s="21" t="s">
        <v>893</v>
      </c>
      <c r="I17" s="13">
        <v>43059.201493055552</v>
      </c>
      <c r="J17" s="7">
        <v>0</v>
      </c>
      <c r="K17" s="89" t="str">
        <f t="shared" si="0"/>
        <v>4023/4024</v>
      </c>
      <c r="L17" s="184" t="str">
        <f>VLOOKUP(A17,'Trips&amp;Operators'!$C$1:$G$99911,5,FALSE)</f>
        <v>YORK EDGAR</v>
      </c>
      <c r="M17" s="6">
        <f t="shared" si="1"/>
        <v>2.4189814808778465E-2</v>
      </c>
      <c r="N17" s="7">
        <f t="shared" si="2"/>
        <v>34.833333324640989</v>
      </c>
      <c r="O17" s="7"/>
      <c r="P17" s="7"/>
      <c r="Q17" s="22"/>
      <c r="R17" s="173"/>
      <c r="S17" s="220">
        <f t="shared" si="3"/>
        <v>1</v>
      </c>
      <c r="T17" s="173" t="str">
        <f t="shared" si="4"/>
        <v>NorthBound</v>
      </c>
      <c r="U17" s="19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5" t="str">
        <f t="shared" si="5"/>
        <v>https://d0f6bd738d7f1b3e5a7ca70fe4ff75f0.us-east-1.aws.found.io/app/kibana#/discover/Steve-Slow-Train-Analysis-(2080s-and-2083s)?_g=(refreshInterval:(display:Off,pause:!f,section:0,value:0),time:(from:'2017-11-20T03:03:58-0700',mode:absolute,to:'2017-11-20T05:50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" s="203" t="str">
        <f>IF(AA17&lt;VLOOKUP(AG17,Variables!$AC$3:$AD$8,2,FALSE),"Y","N")</f>
        <v>N</v>
      </c>
      <c r="X17" s="203">
        <f t="shared" si="6"/>
        <v>1</v>
      </c>
      <c r="Y17" s="203">
        <f t="shared" si="7"/>
        <v>4.6899999999999997E-2</v>
      </c>
      <c r="Z17" s="203">
        <f t="shared" si="8"/>
        <v>23.3278</v>
      </c>
      <c r="AA17" s="203">
        <f t="shared" si="9"/>
        <v>23.280899999999999</v>
      </c>
      <c r="AB17" s="54" t="e">
        <f>VLOOKUP(A17,Enforcements!$C$7:$K$9,8,0)</f>
        <v>#N/A</v>
      </c>
      <c r="AC17" s="51" t="e">
        <f>VLOOKUP(A17,Enforcements!$C$7:$E$9,3,0)</f>
        <v>#N/A</v>
      </c>
      <c r="AD17" s="178">
        <f t="shared" si="10"/>
        <v>105</v>
      </c>
      <c r="AE17" s="77" t="str">
        <f t="shared" si="11"/>
        <v>aws s3 cp s3://rtdc.mdm.uploadarchive.raw/RTDC4024/ "%USERPROFILE%\AppData\Local\Temp\OnboardLogs"\RTDC4024\2017-11-20 --exclude "*" --recursive --include "*20171120*" &amp; "%USERPROFILE%\Documents\GitHub\mrs-test-scripts\Headless Mode &amp; Sideloading\WalkAndUnGZ.bat" "%USERPROFILE%\AppData\Local\Temp\OnboardLogs"\RTDC4024\2017-11-20 &amp; aws s3 cp s3://rtdc.mdm.uploadarchive.raw/RTDC4024/ "%USERPROFILE%\AppData\Local\Temp\OnboardLogs"\RTDC4024\2017-11-21 --exclude "*" --recursive --include "*20171121*" &amp; "%USERPROFILE%\Documents\GitHub\mrs-test-scripts\Headless Mode &amp; Sideloading\WalkAndUnGZ.bat" "%USERPROFILE%\AppData\Local\Temp\OnboardLogs"\RTDC4024\2017-11-21</v>
      </c>
      <c r="AF17" s="74" t="str">
        <f t="shared" si="12"/>
        <v>"C:\Program Files (x86)\AstroGrep\AstroGrep.exe" /e /r /s /spath="%USERPROFILE%\AppData\Local\Temp\OnboardLogs" /stypes="app*4024*20171120*" /stext=" 11:.+((SYSTEM_STATE.+slice.+state.+changed )|(ment ac)|(multiple cpu faults)|(system.+state.+changed )|(\[timeout)|(PRM\|1\|D)|(kpr)|(kdp)|(train st.+moving)|(\|lc)|(penalty))"</v>
      </c>
      <c r="AG17" s="181" t="str">
        <f t="shared" si="13"/>
        <v>EC</v>
      </c>
      <c r="AH17" s="78" t="str">
        <f t="shared" si="19"/>
        <v>"%USERPROFILE%\Documents\GitHub\eaglep3\Utilities\RefineRTDCRunTimes.py" --tripid 105-20 --locoid 4024 --swversion DE.1.0.9.0 --startMP 204:469 --initTime 2017-11-20T04:03:58 --startdatetime 2017-11-20T04:15:19 --delay 58 --endMP 204:233278 --enddatetime 2017-11-20T04:50:09 --enforcementcount 0 &gt;&gt;%USERPROFILE%\Documents\GitHub\eaglep3-reporting\EC\2017-11-20-refined-times.txt</v>
      </c>
      <c r="AI17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{"issue":{"subject":"","project_id":79,"tracker_id":40,"status_id":1,"priority_id":2,"assigned_to_id":338,"start_date":"2017-11-20","description":"","custom_fields":[{"id":1,"name":"Subdivision","value":"EC"},{"id":4,"name":"Milepost","value":"23.3278"},{"id":17,"name":"Train ID","value":"105-20"},{"id":16,"name":"Locomotive ID","value":"4024"},{"id":130,"name":"Impact","value":""},{"id":150,"name":"Time of Event (Mountain Time)","value":"04:50:09"},{"id":151,"name":"Denver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1" t="str">
        <f t="shared" si="21"/>
        <v>start /low /b %USERPROFILE%\Documents\GitHub\eaglep3\Utilities\DownloadLogsFromS3.py --loco 4024 --day 2017-11-20</v>
      </c>
      <c r="AN17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11:50:09"},{"id":29,"name":"Sharepoint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7" t="str">
        <f t="shared" si="23"/>
        <v>https://d0f6bd738d7f1b3e5a7ca70fe4ff75f0.us-east-1.aws.found.io/app/kibana#/discover/Steve-Slow-Train-Analysis-(2080s-and-2083s)?_g=(refreshInterval:(display:Off,pause:!f,section:0,value:0),time:(from:'2017-11-20T03:03:58-0700',mode:absolute,to:'2017-11-20T05:50:09-0700'))&amp;_a=(columns:!('Message%20ID',Summary),filters:!(),index:'emp_*',interval:auto,query:(query_string:(analyze_wildcard:!t,query:'%22rtdc.l.rtdc.4024%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695</v>
      </c>
      <c r="B18" s="7">
        <v>4023</v>
      </c>
      <c r="C18" s="21" t="s">
        <v>192</v>
      </c>
      <c r="D18" s="21" t="s">
        <v>894</v>
      </c>
      <c r="E18" s="13">
        <v>43059.202407407407</v>
      </c>
      <c r="F18" s="13">
        <v>43059.216851851852</v>
      </c>
      <c r="G18" s="7">
        <v>56</v>
      </c>
      <c r="H18" s="21" t="s">
        <v>895</v>
      </c>
      <c r="I18" s="13">
        <v>43059.243090277778</v>
      </c>
      <c r="J18" s="7">
        <v>0</v>
      </c>
      <c r="K18" s="89" t="str">
        <f t="shared" si="0"/>
        <v>4023/4024</v>
      </c>
      <c r="L18" s="184" t="str">
        <f>VLOOKUP(A18,'Trips&amp;Operators'!$C$1:$G$99911,5,FALSE)</f>
        <v>YORK EDGAR</v>
      </c>
      <c r="M18" s="6">
        <f t="shared" si="1"/>
        <v>2.6238425925839692E-2</v>
      </c>
      <c r="N18" s="7">
        <f t="shared" si="2"/>
        <v>37.783333333209157</v>
      </c>
      <c r="O18" s="7"/>
      <c r="P18" s="7"/>
      <c r="Q18" s="22"/>
      <c r="R18" s="173"/>
      <c r="S18" s="220">
        <f t="shared" si="3"/>
        <v>1</v>
      </c>
      <c r="T18" s="173" t="str">
        <f t="shared" si="4"/>
        <v>Southbound</v>
      </c>
      <c r="U18" s="19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5" t="str">
        <f t="shared" si="5"/>
        <v>https://d0f6bd738d7f1b3e5a7ca70fe4ff75f0.us-east-1.aws.found.io/app/kibana#/discover/Steve-Slow-Train-Analysis-(2080s-and-2083s)?_g=(refreshInterval:(display:Off,pause:!f,section:0,value:0),time:(from:'2017-11-20T03:51:28-0700',mode:absolute,to:'2017-11-20T06:50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" s="203" t="str">
        <f>IF(AA18&lt;VLOOKUP(AG18,Variables!$AC$3:$AD$8,2,FALSE),"Y","N")</f>
        <v>N</v>
      </c>
      <c r="X18" s="203">
        <f t="shared" si="6"/>
        <v>1</v>
      </c>
      <c r="Y18" s="203">
        <f t="shared" si="7"/>
        <v>23.296700000000001</v>
      </c>
      <c r="Z18" s="203">
        <f t="shared" si="8"/>
        <v>0.11600000000000001</v>
      </c>
      <c r="AA18" s="203">
        <f t="shared" si="9"/>
        <v>23.180700000000002</v>
      </c>
      <c r="AB18" s="54" t="e">
        <f>VLOOKUP(A18,Enforcements!$C$7:$K$9,8,0)</f>
        <v>#N/A</v>
      </c>
      <c r="AC18" s="51" t="e">
        <f>VLOOKUP(A18,Enforcements!$C$7:$E$9,3,0)</f>
        <v>#N/A</v>
      </c>
      <c r="AD18" s="178">
        <f t="shared" si="10"/>
        <v>106</v>
      </c>
      <c r="AE18" s="77" t="str">
        <f t="shared" si="11"/>
        <v>aws s3 cp s3://rtdc.mdm.uploadarchive.raw/RTDC4023/ "%USERPROFILE%\AppData\Local\Temp\OnboardLogs"\RTDC4023\2017-11-20 --exclude "*" --recursive --include "*20171120*" &amp; "%USERPROFILE%\Documents\GitHub\mrs-test-scripts\Headless Mode &amp; Sideloading\WalkAndUnGZ.bat" "%USERPROFILE%\AppData\Local\Temp\OnboardLogs"\RTDC4023\2017-11-20 &amp; aws s3 cp s3://rtdc.mdm.uploadarchive.raw/RTDC4023/ "%USERPROFILE%\AppData\Local\Temp\OnboardLogs"\RTDC4023\2017-11-21 --exclude "*" --recursive --include "*20171121*" &amp; "%USERPROFILE%\Documents\GitHub\mrs-test-scripts\Headless Mode &amp; Sideloading\WalkAndUnGZ.bat" "%USERPROFILE%\AppData\Local\Temp\OnboardLogs"\RTDC4023\2017-11-21</v>
      </c>
      <c r="AF18" s="74" t="str">
        <f t="shared" si="12"/>
        <v>"C:\Program Files (x86)\AstroGrep\AstroGrep.exe" /e /r /s /spath="%USERPROFILE%\AppData\Local\Temp\OnboardLogs" /stypes="app*4023*20171120*" /stext=" 12:.+((SYSTEM_STATE.+slice.+state.+changed )|(ment ac)|(multiple cpu faults)|(system.+state.+changed )|(\[timeout)|(PRM\|1\|D)|(kpr)|(kdp)|(train st.+moving)|(\|lc)|(penalty))"</v>
      </c>
      <c r="AG18" s="181" t="str">
        <f t="shared" si="13"/>
        <v>EC</v>
      </c>
      <c r="AH18" s="78" t="str">
        <f t="shared" si="19"/>
        <v>"%USERPROFILE%\Documents\GitHub\eaglep3\Utilities\RefineRTDCRunTimes.py" --tripid 106-20 --locoid 4023 --swversion DE.1.0.9.0 --startMP 204:232967 --initTime 2017-11-20T04:51:28 --startdatetime 2017-11-20T05:12:16 --delay 56 --endMP 204:1160 --enddatetime 2017-11-20T05:50:03 --enforcementcount 0 &gt;&gt;%USERPROFILE%\Documents\GitHub\eaglep3-reporting\EC\2017-11-20-refined-times.txt</v>
      </c>
      <c r="AI18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{"issue":{"subject":"","project_id":79,"tracker_id":40,"status_id":1,"priority_id":2,"assigned_to_id":338,"start_date":"2017-11-20","description":"","custom_fields":[{"id":1,"name":"Subdivision","value":"EC"},{"id":4,"name":"Milepost","value":"0.116"},{"id":17,"name":"Train ID","value":"106-20"},{"id":16,"name":"Locomotive ID","value":"4023"},{"id":130,"name":"Impact","value":""},{"id":150,"name":"Time of Event (Mountain Time)","value":"05:50:03"},{"id":151,"name":"Denver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1" t="str">
        <f t="shared" si="21"/>
        <v>start /low /b %USERPROFILE%\Documents\GitHub\eaglep3\Utilities\DownloadLogsFromS3.py --loco 4023 --day 2017-11-20</v>
      </c>
      <c r="AN18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12:50:03"},{"id":29,"name":"Sharepoint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7" t="str">
        <f t="shared" si="23"/>
        <v>https://d0f6bd738d7f1b3e5a7ca70fe4ff75f0.us-east-1.aws.found.io/app/kibana#/discover/Steve-Slow-Train-Analysis-(2080s-and-2083s)?_g=(refreshInterval:(display:Off,pause:!f,section:0,value:0),time:(from:'2017-11-20T03:51:28-0700',mode:absolute,to:'2017-11-20T06:50:03-0700'))&amp;_a=(columns:!('Message%20ID',Summary),filters:!(),index:'emp_*',interval:auto,query:(query_string:(analyze_wildcard:!t,query:'%22rtdc.l.rtdc.4023%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687</v>
      </c>
      <c r="B19" s="7">
        <v>4028</v>
      </c>
      <c r="C19" s="21" t="s">
        <v>192</v>
      </c>
      <c r="D19" s="21" t="s">
        <v>450</v>
      </c>
      <c r="E19" s="13">
        <v>43059.187951388885</v>
      </c>
      <c r="F19" s="13">
        <v>43059.18959490741</v>
      </c>
      <c r="G19" s="7">
        <v>80</v>
      </c>
      <c r="H19" s="21" t="s">
        <v>567</v>
      </c>
      <c r="I19" s="13">
        <v>43059.215127314812</v>
      </c>
      <c r="J19" s="7">
        <v>0</v>
      </c>
      <c r="K19" s="89" t="str">
        <f t="shared" si="0"/>
        <v>4027/4028</v>
      </c>
      <c r="L19" s="184" t="str">
        <f>VLOOKUP(A19,'Trips&amp;Operators'!$C$1:$G$99911,5,FALSE)</f>
        <v>LANGERAK WILLIAM</v>
      </c>
      <c r="M19" s="6">
        <f t="shared" si="1"/>
        <v>2.5532407402351964E-2</v>
      </c>
      <c r="N19" s="7">
        <f t="shared" si="2"/>
        <v>36.766666659386829</v>
      </c>
      <c r="O19" s="7"/>
      <c r="P19" s="7"/>
      <c r="Q19" s="22"/>
      <c r="R19" s="173"/>
      <c r="S19" s="220">
        <f t="shared" si="3"/>
        <v>1</v>
      </c>
      <c r="T19" s="173" t="str">
        <f t="shared" si="4"/>
        <v>NorthBound</v>
      </c>
      <c r="U19" s="19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5" t="str">
        <f t="shared" si="5"/>
        <v>https://d0f6bd738d7f1b3e5a7ca70fe4ff75f0.us-east-1.aws.found.io/app/kibana#/discover/Steve-Slow-Train-Analysis-(2080s-and-2083s)?_g=(refreshInterval:(display:Off,pause:!f,section:0,value:0),time:(from:'2017-11-20T03:30:39-0700',mode:absolute,to:'2017-11-20T06:09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" s="203" t="str">
        <f>IF(AA19&lt;VLOOKUP(AG19,Variables!$AC$3:$AD$8,2,FALSE),"Y","N")</f>
        <v>N</v>
      </c>
      <c r="X19" s="203">
        <f t="shared" si="6"/>
        <v>1</v>
      </c>
      <c r="Y19" s="203">
        <f t="shared" si="7"/>
        <v>5.0900000000000001E-2</v>
      </c>
      <c r="Z19" s="203">
        <f t="shared" si="8"/>
        <v>23.325700000000001</v>
      </c>
      <c r="AA19" s="203">
        <f t="shared" si="9"/>
        <v>23.274800000000003</v>
      </c>
      <c r="AB19" s="54" t="e">
        <f>VLOOKUP(A19,Enforcements!$C$7:$K$9,8,0)</f>
        <v>#N/A</v>
      </c>
      <c r="AC19" s="51" t="e">
        <f>VLOOKUP(A19,Enforcements!$C$7:$E$9,3,0)</f>
        <v>#N/A</v>
      </c>
      <c r="AD19" s="178">
        <f t="shared" si="10"/>
        <v>107</v>
      </c>
      <c r="AE19" s="77" t="str">
        <f t="shared" si="11"/>
        <v>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 &amp; aws s3 cp s3://rtdc.mdm.uploadarchive.raw/RTDC4028/ "%USERPROFILE%\AppData\Local\Temp\OnboardLogs"\RTDC4028\2017-11-21 --exclude "*" --recursive --include "*20171121*" &amp; "%USERPROFILE%\Documents\GitHub\mrs-test-scripts\Headless Mode &amp; Sideloading\WalkAndUnGZ.bat" "%USERPROFILE%\AppData\Local\Temp\OnboardLogs"\RTDC4028\2017-11-21</v>
      </c>
      <c r="AF19" s="74" t="str">
        <f t="shared" si="12"/>
        <v>"C:\Program Files (x86)\AstroGrep\AstroGrep.exe" /e /r /s /spath="%USERPROFILE%\AppData\Local\Temp\OnboardLogs" /stypes="app*4028*20171120*" /stext=" 12:.+((SYSTEM_STATE.+slice.+state.+changed )|(ment ac)|(multiple cpu faults)|(system.+state.+changed )|(\[timeout)|(PRM\|1\|D)|(kpr)|(kdp)|(train st.+moving)|(\|lc)|(penalty))"</v>
      </c>
      <c r="AG19" s="181" t="str">
        <f t="shared" si="13"/>
        <v>EC</v>
      </c>
      <c r="AH19" s="78" t="str">
        <f t="shared" si="19"/>
        <v>"%USERPROFILE%\Documents\GitHub\eaglep3\Utilities\RefineRTDCRunTimes.py" --tripid 107-20 --locoid 4028 --swversion DE.1.0.9.0 --startMP 204:509 --initTime 2017-11-20T04:30:39 --startdatetime 2017-11-20T04:33:01 --delay 80 --endMP 204:233257 --enddatetime 2017-11-20T05:09:47 --enforcementcount 0 &gt;&gt;%USERPROFILE%\Documents\GitHub\eaglep3-reporting\EC\2017-11-20-refined-times.txt</v>
      </c>
      <c r="AI19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{"issue":{"subject":"","project_id":79,"tracker_id":40,"status_id":1,"priority_id":2,"assigned_to_id":338,"start_date":"2017-11-20","description":"","custom_fields":[{"id":1,"name":"Subdivision","value":"EC"},{"id":4,"name":"Milepost","value":"23.3257"},{"id":17,"name":"Train ID","value":"107-20"},{"id":16,"name":"Locomotive ID","value":"4028"},{"id":130,"name":"Impact","value":""},{"id":150,"name":"Time of Event (Mountain Time)","value":"05:09:47"},{"id":151,"name":"Denver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1" t="str">
        <f t="shared" si="21"/>
        <v>start /low /b %USERPROFILE%\Documents\GitHub\eaglep3\Utilities\DownloadLogsFromS3.py --loco 4028 --day 2017-11-20</v>
      </c>
      <c r="AN19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12:09:47"},{"id":29,"name":"Sharepoint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7" t="str">
        <f t="shared" si="23"/>
        <v>https://d0f6bd738d7f1b3e5a7ca70fe4ff75f0.us-east-1.aws.found.io/app/kibana#/discover/Steve-Slow-Train-Analysis-(2080s-and-2083s)?_g=(refreshInterval:(display:Off,pause:!f,section:0,value:0),time:(from:'2017-11-20T03:30:39-0700',mode:absolute,to:'2017-11-20T06:09:47-0700'))&amp;_a=(columns:!('Message%20ID',Summary),filters:!(),index:'emp_*',interval:auto,query:(query_string:(analyze_wildcard:!t,query:'%22rtdc.l.rtdc.4028%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700</v>
      </c>
      <c r="B20" s="7">
        <v>4027</v>
      </c>
      <c r="C20" s="21" t="s">
        <v>192</v>
      </c>
      <c r="D20" s="21" t="s">
        <v>896</v>
      </c>
      <c r="E20" s="13">
        <v>43059.216562499998</v>
      </c>
      <c r="F20" s="13">
        <v>43059.227268518516</v>
      </c>
      <c r="G20" s="7">
        <v>64</v>
      </c>
      <c r="H20" s="21" t="s">
        <v>897</v>
      </c>
      <c r="I20" s="13">
        <v>43059.254074074073</v>
      </c>
      <c r="J20" s="7">
        <v>0</v>
      </c>
      <c r="K20" s="89" t="str">
        <f t="shared" si="0"/>
        <v>4027/4028</v>
      </c>
      <c r="L20" s="184" t="str">
        <f>VLOOKUP(A20,'Trips&amp;Operators'!$C$1:$G$99911,5,FALSE)</f>
        <v>LANGERAK WILLIAM</v>
      </c>
      <c r="M20" s="6">
        <f t="shared" si="1"/>
        <v>2.6805555557075422E-2</v>
      </c>
      <c r="N20" s="7">
        <f t="shared" si="2"/>
        <v>38.600000002188608</v>
      </c>
      <c r="O20" s="7"/>
      <c r="P20" s="7"/>
      <c r="Q20" s="22"/>
      <c r="R20" s="173"/>
      <c r="S20" s="220">
        <f t="shared" si="3"/>
        <v>1</v>
      </c>
      <c r="T20" s="173" t="str">
        <f t="shared" si="4"/>
        <v>Southbound</v>
      </c>
      <c r="U20" s="19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5" t="str">
        <f t="shared" si="5"/>
        <v>https://d0f6bd738d7f1b3e5a7ca70fe4ff75f0.us-east-1.aws.found.io/app/kibana#/discover/Steve-Slow-Train-Analysis-(2080s-and-2083s)?_g=(refreshInterval:(display:Off,pause:!f,section:0,value:0),time:(from:'2017-11-20T04:11:51-0700',mode:absolute,to:'2017-11-20T07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" s="203" t="str">
        <f>IF(AA20&lt;VLOOKUP(AG20,Variables!$AC$3:$AD$8,2,FALSE),"Y","N")</f>
        <v>N</v>
      </c>
      <c r="X20" s="203">
        <f t="shared" si="6"/>
        <v>1</v>
      </c>
      <c r="Y20" s="203">
        <f t="shared" si="7"/>
        <v>23.294699999999999</v>
      </c>
      <c r="Z20" s="203">
        <f t="shared" si="8"/>
        <v>1.72E-2</v>
      </c>
      <c r="AA20" s="203">
        <f t="shared" si="9"/>
        <v>23.2775</v>
      </c>
      <c r="AB20" s="54" t="e">
        <f>VLOOKUP(A20,Enforcements!$C$7:$K$9,8,0)</f>
        <v>#N/A</v>
      </c>
      <c r="AC20" s="51" t="e">
        <f>VLOOKUP(A20,Enforcements!$C$7:$E$9,3,0)</f>
        <v>#N/A</v>
      </c>
      <c r="AD20" s="178">
        <f t="shared" si="10"/>
        <v>108</v>
      </c>
      <c r="AE20" s="77" t="str">
        <f t="shared" si="11"/>
        <v>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 &amp; aws s3 cp s3://rtdc.mdm.uploadarchive.raw/RTDC4027/ "%USERPROFILE%\AppData\Local\Temp\OnboardLogs"\RTDC4027\2017-11-21 --exclude "*" --recursive --include "*20171121*" &amp; "%USERPROFILE%\Documents\GitHub\mrs-test-scripts\Headless Mode &amp; Sideloading\WalkAndUnGZ.bat" "%USERPROFILE%\AppData\Local\Temp\OnboardLogs"\RTDC4027\2017-11-21</v>
      </c>
      <c r="AF20" s="74" t="str">
        <f t="shared" si="12"/>
        <v>"C:\Program Files (x86)\AstroGrep\AstroGrep.exe" /e /r /s /spath="%USERPROFILE%\AppData\Local\Temp\OnboardLogs" /stypes="app*4027*20171120*" /stext=" 13:.+((SYSTEM_STATE.+slice.+state.+changed )|(ment ac)|(multiple cpu faults)|(system.+state.+changed )|(\[timeout)|(PRM\|1\|D)|(kpr)|(kdp)|(train st.+moving)|(\|lc)|(penalty))"</v>
      </c>
      <c r="AG20" s="181" t="str">
        <f t="shared" si="13"/>
        <v>EC</v>
      </c>
      <c r="AH20" s="78" t="str">
        <f t="shared" si="19"/>
        <v>"%USERPROFILE%\Documents\GitHub\eaglep3\Utilities\RefineRTDCRunTimes.py" --tripid 108-20 --locoid 4027 --swversion DE.1.0.9.0 --startMP 204:232947 --initTime 2017-11-20T05:11:51 --startdatetime 2017-11-20T05:27:16 --delay 64 --endMP 204:172 --enddatetime 2017-11-20T06:05:52 --enforcementcount 0 &gt;&gt;%USERPROFILE%\Documents\GitHub\eaglep3-reporting\EC\2017-11-20-refined-times.txt</v>
      </c>
      <c r="AI20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{"issue":{"subject":"","project_id":79,"tracker_id":40,"status_id":1,"priority_id":2,"assigned_to_id":338,"start_date":"2017-11-20","description":"","custom_fields":[{"id":1,"name":"Subdivision","value":"EC"},{"id":4,"name":"Milepost","value":"0.0172"},{"id":17,"name":"Train ID","value":"108-20"},{"id":16,"name":"Locomotive ID","value":"4027"},{"id":130,"name":"Impact","value":""},{"id":150,"name":"Time of Event (Mountain Time)","value":"06:05:52"},{"id":151,"name":"Denver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1" t="str">
        <f t="shared" si="21"/>
        <v>start /low /b %USERPROFILE%\Documents\GitHub\eaglep3\Utilities\DownloadLogsFromS3.py --loco 4027 --day 2017-11-20</v>
      </c>
      <c r="AN20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13:05:52"},{"id":29,"name":"Sharepoint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7" t="str">
        <f t="shared" si="23"/>
        <v>https://d0f6bd738d7f1b3e5a7ca70fe4ff75f0.us-east-1.aws.found.io/app/kibana#/discover/Steve-Slow-Train-Analysis-(2080s-and-2083s)?_g=(refreshInterval:(display:Off,pause:!f,section:0,value:0),time:(from:'2017-11-20T04:11:51-0700',mode:absolute,to:'2017-11-20T07:05:52-0700'))&amp;_a=(columns:!('Message%20ID',Summary),filters:!(),index:'emp_*',interval:auto,query:(query_string:(analyze_wildcard:!t,query:'%22rtdc.l.rtdc.4027%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691</v>
      </c>
      <c r="B21" s="7">
        <v>4060</v>
      </c>
      <c r="C21" s="21" t="s">
        <v>192</v>
      </c>
      <c r="D21" s="21" t="s">
        <v>540</v>
      </c>
      <c r="E21" s="13">
        <v>43059.195092592592</v>
      </c>
      <c r="F21" s="13">
        <v>43059.198229166665</v>
      </c>
      <c r="G21" s="7">
        <v>61</v>
      </c>
      <c r="H21" s="21" t="s">
        <v>898</v>
      </c>
      <c r="I21" s="13">
        <v>43059.222743055558</v>
      </c>
      <c r="J21" s="7">
        <v>0</v>
      </c>
      <c r="K21" s="89" t="str">
        <f t="shared" si="0"/>
        <v>4059/4060</v>
      </c>
      <c r="L21" s="184" t="str">
        <f>VLOOKUP(A21,'Trips&amp;Operators'!$C$1:$G$99911,5,FALSE)</f>
        <v>MAELZER KURT</v>
      </c>
      <c r="M21" s="6">
        <f t="shared" si="1"/>
        <v>2.4513888893125113E-2</v>
      </c>
      <c r="N21" s="7">
        <f t="shared" si="2"/>
        <v>35.300000006100163</v>
      </c>
      <c r="O21" s="7"/>
      <c r="P21" s="7"/>
      <c r="Q21" s="22"/>
      <c r="R21" s="173"/>
      <c r="S21" s="220">
        <f t="shared" si="3"/>
        <v>1</v>
      </c>
      <c r="T21" s="173" t="str">
        <f t="shared" si="4"/>
        <v>NorthBound</v>
      </c>
      <c r="U21" s="19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5" t="str">
        <f t="shared" si="5"/>
        <v>https://d0f6bd738d7f1b3e5a7ca70fe4ff75f0.us-east-1.aws.found.io/app/kibana#/discover/Steve-Slow-Train-Analysis-(2080s-and-2083s)?_g=(refreshInterval:(display:Off,pause:!f,section:0,value:0),time:(from:'2017-11-20T03:40:56-0700',mode:absolute,to:'2017-11-20T06:20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" s="203" t="str">
        <f>IF(AA21&lt;VLOOKUP(AG21,Variables!$AC$3:$AD$8,2,FALSE),"Y","N")</f>
        <v>N</v>
      </c>
      <c r="X21" s="203">
        <f t="shared" si="6"/>
        <v>1</v>
      </c>
      <c r="Y21" s="203">
        <f t="shared" si="7"/>
        <v>4.9700000000000001E-2</v>
      </c>
      <c r="Z21" s="203">
        <f t="shared" si="8"/>
        <v>23.330100000000002</v>
      </c>
      <c r="AA21" s="203">
        <f t="shared" si="9"/>
        <v>23.2804</v>
      </c>
      <c r="AB21" s="54" t="e">
        <f>VLOOKUP(A21,Enforcements!$C$7:$K$9,8,0)</f>
        <v>#N/A</v>
      </c>
      <c r="AC21" s="51" t="e">
        <f>VLOOKUP(A21,Enforcements!$C$7:$E$9,3,0)</f>
        <v>#N/A</v>
      </c>
      <c r="AD21" s="178">
        <f t="shared" si="10"/>
        <v>109</v>
      </c>
      <c r="AE21" s="77" t="str">
        <f t="shared" si="11"/>
        <v>aws s3 cp s3://rtdc.mdm.uploadarchive.raw/RTDC4060/ "%USERPROFILE%\AppData\Local\Temp\OnboardLogs"\RTDC4060\2017-11-20 --exclude "*" --recursive --include "*20171120*" &amp; "%USERPROFILE%\Documents\GitHub\mrs-test-scripts\Headless Mode &amp; Sideloading\WalkAndUnGZ.bat" "%USERPROFILE%\AppData\Local\Temp\OnboardLogs"\RTDC4060\2017-11-20 &amp; aws s3 cp s3://rtdc.mdm.uploadarchive.raw/RTDC4060/ "%USERPROFILE%\AppData\Local\Temp\OnboardLogs"\RTDC4060\2017-11-21 --exclude "*" --recursive --include "*20171121*" &amp; "%USERPROFILE%\Documents\GitHub\mrs-test-scripts\Headless Mode &amp; Sideloading\WalkAndUnGZ.bat" "%USERPROFILE%\AppData\Local\Temp\OnboardLogs"\RTDC4060\2017-11-21</v>
      </c>
      <c r="AF21" s="74" t="str">
        <f t="shared" si="12"/>
        <v>"C:\Program Files (x86)\AstroGrep\AstroGrep.exe" /e /r /s /spath="%USERPROFILE%\AppData\Local\Temp\OnboardLogs" /stypes="app*4060*20171120*" /stext=" 12:.+((SYSTEM_STATE.+slice.+state.+changed )|(ment ac)|(multiple cpu faults)|(system.+state.+changed )|(\[timeout)|(PRM\|1\|D)|(kpr)|(kdp)|(train st.+moving)|(\|lc)|(penalty))"</v>
      </c>
      <c r="AG21" s="181" t="str">
        <f t="shared" si="13"/>
        <v>EC</v>
      </c>
      <c r="AH21" s="78" t="str">
        <f t="shared" si="19"/>
        <v>"%USERPROFILE%\Documents\GitHub\eaglep3\Utilities\RefineRTDCRunTimes.py" --tripid 109-20 --locoid 4060 --swversion DE.1.0.9.0 --startMP 204:497 --initTime 2017-11-20T04:40:56 --startdatetime 2017-11-20T04:45:27 --delay 61 --endMP 204:233301 --enddatetime 2017-11-20T05:20:45 --enforcementcount 0 &gt;&gt;%USERPROFILE%\Documents\GitHub\eaglep3-reporting\EC\2017-11-20-refined-times.txt</v>
      </c>
      <c r="AI21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{"issue":{"subject":"","project_id":79,"tracker_id":40,"status_id":1,"priority_id":2,"assigned_to_id":338,"start_date":"2017-11-20","description":"","custom_fields":[{"id":1,"name":"Subdivision","value":"EC"},{"id":4,"name":"Milepost","value":"23.3301"},{"id":17,"name":"Train ID","value":"109-20"},{"id":16,"name":"Locomotive ID","value":"4060"},{"id":130,"name":"Impact","value":""},{"id":150,"name":"Time of Event (Mountain Time)","value":"05:20:45"},{"id":151,"name":"Denver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1" t="str">
        <f t="shared" si="21"/>
        <v>start /low /b %USERPROFILE%\Documents\GitHub\eaglep3\Utilities\DownloadLogsFromS3.py --loco 4060 --day 2017-11-20</v>
      </c>
      <c r="AN21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12:20:45"},{"id":29,"name":"Sharepoint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7" t="str">
        <f t="shared" si="23"/>
        <v>https://d0f6bd738d7f1b3e5a7ca70fe4ff75f0.us-east-1.aws.found.io/app/kibana#/discover/Steve-Slow-Train-Analysis-(2080s-and-2083s)?_g=(refreshInterval:(display:Off,pause:!f,section:0,value:0),time:(from:'2017-11-20T03:40:56-0700',mode:absolute,to:'2017-11-20T06:20:45-0700'))&amp;_a=(columns:!('Message%20ID',Summary),filters:!(),index:'emp_*',interval:auto,query:(query_string:(analyze_wildcard:!t,query:'%22rtdc.l.rtdc.4060%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704</v>
      </c>
      <c r="B22" s="7">
        <v>4059</v>
      </c>
      <c r="C22" s="21" t="s">
        <v>192</v>
      </c>
      <c r="D22" s="21" t="s">
        <v>632</v>
      </c>
      <c r="E22" s="13">
        <v>43059.230451388888</v>
      </c>
      <c r="F22" s="13">
        <v>43059.237708333334</v>
      </c>
      <c r="G22" s="7">
        <v>53</v>
      </c>
      <c r="H22" s="21" t="s">
        <v>603</v>
      </c>
      <c r="I22" s="13">
        <v>43059.264768518522</v>
      </c>
      <c r="J22" s="7">
        <v>0</v>
      </c>
      <c r="K22" s="89" t="str">
        <f t="shared" si="0"/>
        <v>4059/4060</v>
      </c>
      <c r="L22" s="184" t="str">
        <f>VLOOKUP(A22,'Trips&amp;Operators'!$C$1:$G$99911,5,FALSE)</f>
        <v>MAELZER KURT</v>
      </c>
      <c r="M22" s="6">
        <f t="shared" si="1"/>
        <v>2.7060185188020114E-2</v>
      </c>
      <c r="N22" s="7">
        <f t="shared" si="2"/>
        <v>38.966666670748964</v>
      </c>
      <c r="O22" s="7"/>
      <c r="P22" s="7"/>
      <c r="Q22" s="22"/>
      <c r="R22" s="173"/>
      <c r="S22" s="220">
        <f t="shared" si="3"/>
        <v>1</v>
      </c>
      <c r="T22" s="173" t="str">
        <f t="shared" si="4"/>
        <v>Southbound</v>
      </c>
      <c r="U22" s="19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5" t="str">
        <f t="shared" si="5"/>
        <v>https://d0f6bd738d7f1b3e5a7ca70fe4ff75f0.us-east-1.aws.found.io/app/kibana#/discover/Steve-Slow-Train-Analysis-(2080s-and-2083s)?_g=(refreshInterval:(display:Off,pause:!f,section:0,value:0),time:(from:'2017-11-20T04:31:51-0700',mode:absolute,to:'2017-11-20T07:21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" s="203" t="str">
        <f>IF(AA22&lt;VLOOKUP(AG22,Variables!$AC$3:$AD$8,2,FALSE),"Y","N")</f>
        <v>N</v>
      </c>
      <c r="X22" s="203">
        <f t="shared" si="6"/>
        <v>1</v>
      </c>
      <c r="Y22" s="203">
        <f t="shared" si="7"/>
        <v>23.297499999999999</v>
      </c>
      <c r="Z22" s="203">
        <f t="shared" si="8"/>
        <v>1.78E-2</v>
      </c>
      <c r="AA22" s="203">
        <f t="shared" si="9"/>
        <v>23.279699999999998</v>
      </c>
      <c r="AB22" s="54" t="e">
        <f>VLOOKUP(A22,Enforcements!$C$7:$K$9,8,0)</f>
        <v>#N/A</v>
      </c>
      <c r="AC22" s="51" t="e">
        <f>VLOOKUP(A22,Enforcements!$C$7:$E$9,3,0)</f>
        <v>#N/A</v>
      </c>
      <c r="AD22" s="178">
        <f t="shared" si="10"/>
        <v>110</v>
      </c>
      <c r="AE22" s="77" t="str">
        <f t="shared" si="11"/>
        <v>aws s3 cp s3://rtdc.mdm.uploadarchive.raw/RTDC4059/ "%USERPROFILE%\AppData\Local\Temp\OnboardLogs"\RTDC4059\2017-11-20 --exclude "*" --recursive --include "*20171120*" &amp; "%USERPROFILE%\Documents\GitHub\mrs-test-scripts\Headless Mode &amp; Sideloading\WalkAndUnGZ.bat" "%USERPROFILE%\AppData\Local\Temp\OnboardLogs"\RTDC4059\2017-11-20 &amp; aws s3 cp s3://rtdc.mdm.uploadarchive.raw/RTDC4059/ "%USERPROFILE%\AppData\Local\Temp\OnboardLogs"\RTDC4059\2017-11-21 --exclude "*" --recursive --include "*20171121*" &amp; "%USERPROFILE%\Documents\GitHub\mrs-test-scripts\Headless Mode &amp; Sideloading\WalkAndUnGZ.bat" "%USERPROFILE%\AppData\Local\Temp\OnboardLogs"\RTDC4059\2017-11-21</v>
      </c>
      <c r="AF22" s="74" t="str">
        <f t="shared" si="12"/>
        <v>"C:\Program Files (x86)\AstroGrep\AstroGrep.exe" /e /r /s /spath="%USERPROFILE%\AppData\Local\Temp\OnboardLogs" /stypes="app*4059*20171120*" /stext=" 13:.+((SYSTEM_STATE.+slice.+state.+changed )|(ment ac)|(multiple cpu faults)|(system.+state.+changed )|(\[timeout)|(PRM\|1\|D)|(kpr)|(kdp)|(train st.+moving)|(\|lc)|(penalty))"</v>
      </c>
      <c r="AG22" s="181" t="str">
        <f t="shared" si="13"/>
        <v>EC</v>
      </c>
      <c r="AH22" s="78" t="str">
        <f t="shared" si="19"/>
        <v>"%USERPROFILE%\Documents\GitHub\eaglep3\Utilities\RefineRTDCRunTimes.py" --tripid 110-20 --locoid 4059 --swversion DE.1.0.9.0 --startMP 204:232975 --initTime 2017-11-20T05:31:51 --startdatetime 2017-11-20T05:42:18 --delay 53 --endMP 204:178 --enddatetime 2017-11-20T06:21:16 --enforcementcount 0 &gt;&gt;%USERPROFILE%\Documents\GitHub\eaglep3-reporting\EC\2017-11-20-refined-times.txt</v>
      </c>
      <c r="AI22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{"issue":{"subject":"","project_id":79,"tracker_id":40,"status_id":1,"priority_id":2,"assigned_to_id":338,"start_date":"2017-11-20","description":"","custom_fields":[{"id":1,"name":"Subdivision","value":"EC"},{"id":4,"name":"Milepost","value":"0.0178"},{"id":17,"name":"Train ID","value":"110-20"},{"id":16,"name":"Locomotive ID","value":"4059"},{"id":130,"name":"Impact","value":""},{"id":150,"name":"Time of Event (Mountain Time)","value":"06:21:16"},{"id":151,"name":"Denver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1" t="str">
        <f t="shared" si="21"/>
        <v>start /low /b %USERPROFILE%\Documents\GitHub\eaglep3\Utilities\DownloadLogsFromS3.py --loco 4059 --day 2017-11-20</v>
      </c>
      <c r="AN22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13:21:16"},{"id":29,"name":"Sharepoint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7" t="str">
        <f t="shared" si="23"/>
        <v>https://d0f6bd738d7f1b3e5a7ca70fe4ff75f0.us-east-1.aws.found.io/app/kibana#/discover/Steve-Slow-Train-Analysis-(2080s-and-2083s)?_g=(refreshInterval:(display:Off,pause:!f,section:0,value:0),time:(from:'2017-11-20T04:31:51-0700',mode:absolute,to:'2017-11-20T07:21:16-0700'))&amp;_a=(columns:!('Message%20ID',Summary),filters:!(),index:'emp_*',interval:auto,query:(query_string:(analyze_wildcard:!t,query:'%22rtdc.l.rtdc.4059%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697</v>
      </c>
      <c r="B23" s="7">
        <v>4026</v>
      </c>
      <c r="C23" s="21" t="s">
        <v>192</v>
      </c>
      <c r="D23" s="21" t="s">
        <v>899</v>
      </c>
      <c r="E23" s="13">
        <v>43059.206238425926</v>
      </c>
      <c r="F23" s="13">
        <v>43059.208912037036</v>
      </c>
      <c r="G23" s="7">
        <v>54</v>
      </c>
      <c r="H23" s="21" t="s">
        <v>900</v>
      </c>
      <c r="I23" s="13">
        <v>43059.234664351854</v>
      </c>
      <c r="J23" s="7">
        <v>0</v>
      </c>
      <c r="K23" s="89" t="str">
        <f t="shared" si="0"/>
        <v>4025/4026</v>
      </c>
      <c r="L23" s="184" t="str">
        <f>VLOOKUP(A23,'Trips&amp;Operators'!$C$1:$G$99911,5,FALSE)</f>
        <v>THOMPSON LESTER</v>
      </c>
      <c r="M23" s="6">
        <f t="shared" si="1"/>
        <v>2.5752314817509614E-2</v>
      </c>
      <c r="N23" s="7">
        <f t="shared" si="2"/>
        <v>37.083333337213844</v>
      </c>
      <c r="O23" s="7"/>
      <c r="P23" s="7"/>
      <c r="Q23" s="22"/>
      <c r="R23" s="173"/>
      <c r="S23" s="220">
        <f t="shared" si="3"/>
        <v>1</v>
      </c>
      <c r="T23" s="173" t="str">
        <f t="shared" si="4"/>
        <v>NorthBound</v>
      </c>
      <c r="U23" s="19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5" t="str">
        <f t="shared" si="5"/>
        <v>https://d0f6bd738d7f1b3e5a7ca70fe4ff75f0.us-east-1.aws.found.io/app/kibana#/discover/Steve-Slow-Train-Analysis-(2080s-and-2083s)?_g=(refreshInterval:(display:Off,pause:!f,section:0,value:0),time:(from:'2017-11-20T03:56:59-0700',mode:absolute,to:'2017-11-20T06:37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" s="203" t="str">
        <f>IF(AA23&lt;VLOOKUP(AG23,Variables!$AC$3:$AD$8,2,FALSE),"Y","N")</f>
        <v>N</v>
      </c>
      <c r="X23" s="203">
        <f t="shared" si="6"/>
        <v>1</v>
      </c>
      <c r="Y23" s="203">
        <f t="shared" si="7"/>
        <v>4.7699999999999999E-2</v>
      </c>
      <c r="Z23" s="203">
        <f t="shared" si="8"/>
        <v>23.328299999999999</v>
      </c>
      <c r="AA23" s="203">
        <f t="shared" si="9"/>
        <v>23.2806</v>
      </c>
      <c r="AB23" s="54" t="e">
        <f>VLOOKUP(A23,Enforcements!$C$7:$K$9,8,0)</f>
        <v>#N/A</v>
      </c>
      <c r="AC23" s="51" t="e">
        <f>VLOOKUP(A23,Enforcements!$C$7:$E$9,3,0)</f>
        <v>#N/A</v>
      </c>
      <c r="AD23" s="178">
        <f t="shared" si="10"/>
        <v>111</v>
      </c>
      <c r="AE23" s="77" t="str">
        <f t="shared" si="11"/>
        <v>aws s3 cp s3://rtdc.mdm.uploadarchive.raw/RTDC4026/ "%USERPROFILE%\AppData\Local\Temp\OnboardLogs"\RTDC4026\2017-11-20 --exclude "*" --recursive --include "*20171120*" &amp; "%USERPROFILE%\Documents\GitHub\mrs-test-scripts\Headless Mode &amp; Sideloading\WalkAndUnGZ.bat" "%USERPROFILE%\AppData\Local\Temp\OnboardLogs"\RTDC4026\2017-11-20 &amp; aws s3 cp s3://rtdc.mdm.uploadarchive.raw/RTDC4026/ "%USERPROFILE%\AppData\Local\Temp\OnboardLogs"\RTDC4026\2017-11-21 --exclude "*" --recursive --include "*20171121*" &amp; "%USERPROFILE%\Documents\GitHub\mrs-test-scripts\Headless Mode &amp; Sideloading\WalkAndUnGZ.bat" "%USERPROFILE%\AppData\Local\Temp\OnboardLogs"\RTDC4026\2017-11-21</v>
      </c>
      <c r="AF23" s="74" t="str">
        <f t="shared" si="12"/>
        <v>"C:\Program Files (x86)\AstroGrep\AstroGrep.exe" /e /r /s /spath="%USERPROFILE%\AppData\Local\Temp\OnboardLogs" /stypes="app*4026*20171120*" /stext=" 12:.+((SYSTEM_STATE.+slice.+state.+changed )|(ment ac)|(multiple cpu faults)|(system.+state.+changed )|(\[timeout)|(PRM\|1\|D)|(kpr)|(kdp)|(train st.+moving)|(\|lc)|(penalty))"</v>
      </c>
      <c r="AG23" s="181" t="str">
        <f t="shared" si="13"/>
        <v>EC</v>
      </c>
      <c r="AH23" s="78" t="str">
        <f t="shared" si="19"/>
        <v>"%USERPROFILE%\Documents\GitHub\eaglep3\Utilities\RefineRTDCRunTimes.py" --tripid 111-20 --locoid 4026 --swversion DE.1.0.9.0 --startMP 204:477 --initTime 2017-11-20T04:56:59 --startdatetime 2017-11-20T05:00:50 --delay 54 --endMP 204:233283 --enddatetime 2017-11-20T05:37:55 --enforcementcount 0 &gt;&gt;%USERPROFILE%\Documents\GitHub\eaglep3-reporting\EC\2017-11-20-refined-times.txt</v>
      </c>
      <c r="AI23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{"issue":{"subject":"","project_id":79,"tracker_id":40,"status_id":1,"priority_id":2,"assigned_to_id":338,"start_date":"2017-11-20","description":"","custom_fields":[{"id":1,"name":"Subdivision","value":"EC"},{"id":4,"name":"Milepost","value":"23.3283"},{"id":17,"name":"Train ID","value":"111-20"},{"id":16,"name":"Locomotive ID","value":"4026"},{"id":130,"name":"Impact","value":""},{"id":150,"name":"Time of Event (Mountain Time)","value":"05:37:55"},{"id":151,"name":"Denver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1" t="str">
        <f t="shared" si="21"/>
        <v>start /low /b %USERPROFILE%\Documents\GitHub\eaglep3\Utilities\DownloadLogsFromS3.py --loco 4026 --day 2017-11-20</v>
      </c>
      <c r="AN23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12:37:55"},{"id":29,"name":"Sharepoint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7" t="str">
        <f t="shared" si="23"/>
        <v>https://d0f6bd738d7f1b3e5a7ca70fe4ff75f0.us-east-1.aws.found.io/app/kibana#/discover/Steve-Slow-Train-Analysis-(2080s-and-2083s)?_g=(refreshInterval:(display:Off,pause:!f,section:0,value:0),time:(from:'2017-11-20T03:56:59-0700',mode:absolute,to:'2017-11-20T06:37:55-0700'))&amp;_a=(columns:!('Message%20ID',Summary),filters:!(),index:'emp_*',interval:auto,query:(query_string:(analyze_wildcard:!t,query:'%22rtdc.l.rtdc.4026%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648</v>
      </c>
      <c r="B24" s="7">
        <v>4025</v>
      </c>
      <c r="C24" s="21" t="s">
        <v>192</v>
      </c>
      <c r="D24" s="21" t="s">
        <v>630</v>
      </c>
      <c r="E24" s="13">
        <v>43059.245486111111</v>
      </c>
      <c r="F24" s="13">
        <v>43059.248194444444</v>
      </c>
      <c r="G24" s="7">
        <v>60</v>
      </c>
      <c r="H24" s="21" t="s">
        <v>637</v>
      </c>
      <c r="I24" s="13">
        <v>43059.275439814817</v>
      </c>
      <c r="J24" s="7">
        <v>0</v>
      </c>
      <c r="K24" s="89" t="str">
        <f t="shared" si="0"/>
        <v>4025/4026</v>
      </c>
      <c r="L24" s="184" t="str">
        <f>VLOOKUP(A24,'Trips&amp;Operators'!$C$1:$G$99911,5,FALSE)</f>
        <v>THOMPSON LESTER</v>
      </c>
      <c r="M24" s="6">
        <f t="shared" si="1"/>
        <v>2.7245370372838806E-2</v>
      </c>
      <c r="N24" s="7">
        <f t="shared" si="2"/>
        <v>39.233333336887881</v>
      </c>
      <c r="O24" s="7"/>
      <c r="P24" s="7"/>
      <c r="Q24" s="22"/>
      <c r="R24" s="173"/>
      <c r="S24" s="220">
        <f t="shared" si="3"/>
        <v>1</v>
      </c>
      <c r="T24" s="173" t="str">
        <f t="shared" si="4"/>
        <v>Southbound</v>
      </c>
      <c r="U24" s="19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5" t="str">
        <f t="shared" si="5"/>
        <v>https://d0f6bd738d7f1b3e5a7ca70fe4ff75f0.us-east-1.aws.found.io/app/kibana#/discover/Steve-Slow-Train-Analysis-(2080s-and-2083s)?_g=(refreshInterval:(display:Off,pause:!f,section:0,value:0),time:(from:'2017-11-20T04:53:30-0700',mode:absolute,to:'2017-11-20T07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" s="203" t="str">
        <f>IF(AA24&lt;VLOOKUP(AG24,Variables!$AC$3:$AD$8,2,FALSE),"Y","N")</f>
        <v>N</v>
      </c>
      <c r="X24" s="203">
        <f t="shared" si="6"/>
        <v>1</v>
      </c>
      <c r="Y24" s="203">
        <f t="shared" si="7"/>
        <v>23.297000000000001</v>
      </c>
      <c r="Z24" s="203">
        <f t="shared" si="8"/>
        <v>2.5600000000000001E-2</v>
      </c>
      <c r="AA24" s="203">
        <f t="shared" si="9"/>
        <v>23.2714</v>
      </c>
      <c r="AB24" s="54" t="e">
        <f>VLOOKUP(A24,Enforcements!$C$7:$K$9,8,0)</f>
        <v>#N/A</v>
      </c>
      <c r="AC24" s="51" t="e">
        <f>VLOOKUP(A24,Enforcements!$C$7:$E$9,3,0)</f>
        <v>#N/A</v>
      </c>
      <c r="AD24" s="178">
        <f t="shared" si="10"/>
        <v>112</v>
      </c>
      <c r="AE24" s="77" t="str">
        <f t="shared" si="11"/>
        <v>aws s3 cp s3://rtdc.mdm.uploadarchive.raw/RTDC4025/ "%USERPROFILE%\AppData\Local\Temp\OnboardLogs"\RTDC4025\2017-11-20 --exclude "*" --recursive --include "*20171120*" &amp; "%USERPROFILE%\Documents\GitHub\mrs-test-scripts\Headless Mode &amp; Sideloading\WalkAndUnGZ.bat" "%USERPROFILE%\AppData\Local\Temp\OnboardLogs"\RTDC4025\2017-11-20 &amp; aws s3 cp s3://rtdc.mdm.uploadarchive.raw/RTDC4025/ "%USERPROFILE%\AppData\Local\Temp\OnboardLogs"\RTDC4025\2017-11-21 --exclude "*" --recursive --include "*20171121*" &amp; "%USERPROFILE%\Documents\GitHub\mrs-test-scripts\Headless Mode &amp; Sideloading\WalkAndUnGZ.bat" "%USERPROFILE%\AppData\Local\Temp\OnboardLogs"\RTDC4025\2017-11-21</v>
      </c>
      <c r="AF24" s="74" t="str">
        <f t="shared" si="12"/>
        <v>"C:\Program Files (x86)\AstroGrep\AstroGrep.exe" /e /r /s /spath="%USERPROFILE%\AppData\Local\Temp\OnboardLogs" /stypes="app*4025*20171120*" /stext=" 13:.+((SYSTEM_STATE.+slice.+state.+changed )|(ment ac)|(multiple cpu faults)|(system.+state.+changed )|(\[timeout)|(PRM\|1\|D)|(kpr)|(kdp)|(train st.+moving)|(\|lc)|(penalty))"</v>
      </c>
      <c r="AG24" s="181" t="str">
        <f t="shared" si="13"/>
        <v>EC</v>
      </c>
      <c r="AH24" s="78" t="str">
        <f t="shared" si="19"/>
        <v>"%USERPROFILE%\Documents\GitHub\eaglep3\Utilities\RefineRTDCRunTimes.py" --tripid 112-20 --locoid 4025 --swversion DE.1.0.9.0 --startMP 204:232970 --initTime 2017-11-20T05:53:30 --startdatetime 2017-11-20T05:57:24 --delay 60 --endMP 204:256 --enddatetime 2017-11-20T06:36:38 --enforcementcount 0 &gt;&gt;%USERPROFILE%\Documents\GitHub\eaglep3-reporting\EC\2017-11-20-refined-times.txt</v>
      </c>
      <c r="AI24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{"issue":{"subject":"","project_id":79,"tracker_id":40,"status_id":1,"priority_id":2,"assigned_to_id":338,"start_date":"2017-11-20","description":"","custom_fields":[{"id":1,"name":"Subdivision","value":"EC"},{"id":4,"name":"Milepost","value":"0.0256"},{"id":17,"name":"Train ID","value":"112-20"},{"id":16,"name":"Locomotive ID","value":"4025"},{"id":130,"name":"Impact","value":""},{"id":150,"name":"Time of Event (Mountain Time)","value":"06:36:38"},{"id":151,"name":"Denver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1" t="str">
        <f t="shared" si="21"/>
        <v>start /low /b %USERPROFILE%\Documents\GitHub\eaglep3\Utilities\DownloadLogsFromS3.py --loco 4025 --day 2017-11-20</v>
      </c>
      <c r="AN24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13:36:38"},{"id":29,"name":"Sharepoint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7" t="str">
        <f t="shared" si="23"/>
        <v>https://d0f6bd738d7f1b3e5a7ca70fe4ff75f0.us-east-1.aws.found.io/app/kibana#/discover/Steve-Slow-Train-Analysis-(2080s-and-2083s)?_g=(refreshInterval:(display:Off,pause:!f,section:0,value:0),time:(from:'2017-11-20T04:53:30-0700',mode:absolute,to:'2017-11-20T07:36:38-0700'))&amp;_a=(columns:!('Message%20ID',Summary),filters:!(),index:'emp_*',interval:auto,query:(query_string:(analyze_wildcard:!t,query:'%22rtdc.l.rtdc.4025%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699</v>
      </c>
      <c r="B25" s="7">
        <v>4006</v>
      </c>
      <c r="C25" s="21" t="s">
        <v>192</v>
      </c>
      <c r="D25" s="21" t="s">
        <v>514</v>
      </c>
      <c r="E25" s="13">
        <v>43059.213530092595</v>
      </c>
      <c r="F25" s="13">
        <v>43059.219027777777</v>
      </c>
      <c r="G25" s="7">
        <v>72</v>
      </c>
      <c r="H25" s="21" t="s">
        <v>901</v>
      </c>
      <c r="I25" s="13">
        <v>43059.244247685187</v>
      </c>
      <c r="J25" s="7">
        <v>0</v>
      </c>
      <c r="K25" s="89" t="str">
        <f t="shared" si="0"/>
        <v>4005/4006</v>
      </c>
      <c r="L25" s="184" t="str">
        <f>VLOOKUP(A25,'Trips&amp;Operators'!$C$1:$G$99911,5,FALSE)</f>
        <v>DAVIDSON DAVID</v>
      </c>
      <c r="M25" s="6">
        <f t="shared" si="1"/>
        <v>2.5219907409336884E-2</v>
      </c>
      <c r="N25" s="7">
        <f t="shared" si="2"/>
        <v>36.316666669445112</v>
      </c>
      <c r="O25" s="7"/>
      <c r="P25" s="7"/>
      <c r="Q25" s="22"/>
      <c r="R25" s="173"/>
      <c r="S25" s="220">
        <f t="shared" si="3"/>
        <v>1</v>
      </c>
      <c r="T25" s="173" t="str">
        <f t="shared" si="4"/>
        <v>NorthBound</v>
      </c>
      <c r="U25" s="19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5" t="str">
        <f t="shared" si="5"/>
        <v>https://d0f6bd738d7f1b3e5a7ca70fe4ff75f0.us-east-1.aws.found.io/app/kibana#/discover/Steve-Slow-Train-Analysis-(2080s-and-2083s)?_g=(refreshInterval:(display:Off,pause:!f,section:0,value:0),time:(from:'2017-11-20T04:07:29-0700',mode:absolute,to:'2017-11-20T06:51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5" s="203" t="str">
        <f>IF(AA25&lt;VLOOKUP(AG25,Variables!$AC$3:$AD$8,2,FALSE),"Y","N")</f>
        <v>N</v>
      </c>
      <c r="X25" s="203">
        <f t="shared" si="6"/>
        <v>1</v>
      </c>
      <c r="Y25" s="203">
        <f t="shared" si="7"/>
        <v>5.3499999999999999E-2</v>
      </c>
      <c r="Z25" s="203">
        <f t="shared" si="8"/>
        <v>23.3264</v>
      </c>
      <c r="AA25" s="203">
        <f t="shared" si="9"/>
        <v>23.2729</v>
      </c>
      <c r="AB25" s="54" t="e">
        <f>VLOOKUP(A25,Enforcements!$C$7:$K$9,8,0)</f>
        <v>#N/A</v>
      </c>
      <c r="AC25" s="51" t="e">
        <f>VLOOKUP(A25,Enforcements!$C$7:$E$9,3,0)</f>
        <v>#N/A</v>
      </c>
      <c r="AD25" s="178">
        <f t="shared" si="10"/>
        <v>113</v>
      </c>
      <c r="AE25" s="77" t="str">
        <f t="shared" si="11"/>
        <v>aws s3 cp s3://rtdc.mdm.uploadarchive.raw/RTDC4006/ "%USERPROFILE%\AppData\Local\Temp\OnboardLogs"\RTDC4006\2017-11-20 --exclude "*" --recursive --include "*20171120*" &amp; "%USERPROFILE%\Documents\GitHub\mrs-test-scripts\Headless Mode &amp; Sideloading\WalkAndUnGZ.bat" "%USERPROFILE%\AppData\Local\Temp\OnboardLogs"\RTDC4006\2017-11-20 &amp; aws s3 cp s3://rtdc.mdm.uploadarchive.raw/RTDC4006/ "%USERPROFILE%\AppData\Local\Temp\OnboardLogs"\RTDC4006\2017-11-21 --exclude "*" --recursive --include "*20171121*" &amp; "%USERPROFILE%\Documents\GitHub\mrs-test-scripts\Headless Mode &amp; Sideloading\WalkAndUnGZ.bat" "%USERPROFILE%\AppData\Local\Temp\OnboardLogs"\RTDC4006\2017-11-21</v>
      </c>
      <c r="AF25" s="74" t="str">
        <f t="shared" si="12"/>
        <v>"C:\Program Files (x86)\AstroGrep\AstroGrep.exe" /e /r /s /spath="%USERPROFILE%\AppData\Local\Temp\OnboardLogs" /stypes="app*4006*20171120*" /stext=" 12:.+((SYSTEM_STATE.+slice.+state.+changed )|(ment ac)|(multiple cpu faults)|(system.+state.+changed )|(\[timeout)|(PRM\|1\|D)|(kpr)|(kdp)|(train st.+moving)|(\|lc)|(penalty))"</v>
      </c>
      <c r="AG25" s="181" t="str">
        <f t="shared" si="13"/>
        <v>EC</v>
      </c>
      <c r="AH25" s="78" t="str">
        <f t="shared" si="19"/>
        <v>"%USERPROFILE%\Documents\GitHub\eaglep3\Utilities\RefineRTDCRunTimes.py" --tripid 113-20 --locoid 4006 --swversion DE.1.0.9.0 --startMP 204:535 --initTime 2017-11-20T05:07:29 --startdatetime 2017-11-20T05:15:24 --delay 72 --endMP 204:233264 --enddatetime 2017-11-20T05:51:43 --enforcementcount 0 &gt;&gt;%USERPROFILE%\Documents\GitHub\eaglep3-reporting\EC\2017-11-20-refined-times.txt</v>
      </c>
      <c r="AI25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{"issue":{"subject":"","project_id":79,"tracker_id":40,"status_id":1,"priority_id":2,"assigned_to_id":338,"start_date":"2017-11-20","description":"","custom_fields":[{"id":1,"name":"Subdivision","value":"EC"},{"id":4,"name":"Milepost","value":"23.3264"},{"id":17,"name":"Train ID","value":"113-20"},{"id":16,"name":"Locomotive ID","value":"4006"},{"id":130,"name":"Impact","value":""},{"id":150,"name":"Time of Event (Mountain Time)","value":"05:51:43"},{"id":151,"name":"Denver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1" t="str">
        <f t="shared" si="21"/>
        <v>start /low /b %USERPROFILE%\Documents\GitHub\eaglep3\Utilities\DownloadLogsFromS3.py --loco 4006 --day 2017-11-20</v>
      </c>
      <c r="AN25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12:51:43"},{"id":29,"name":"Sharepoint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7" t="str">
        <f t="shared" si="23"/>
        <v>https://d0f6bd738d7f1b3e5a7ca70fe4ff75f0.us-east-1.aws.found.io/app/kibana#/discover/Steve-Slow-Train-Analysis-(2080s-and-2083s)?_g=(refreshInterval:(display:Off,pause:!f,section:0,value:0),time:(from:'2017-11-20T04:07:29-0700',mode:absolute,to:'2017-11-20T06:51:43-0700'))&amp;_a=(columns:!('Message%20ID',Summary),filters:!(),index:'emp_*',interval:auto,query:(query_string:(analyze_wildcard:!t,query:'%22rtdc.l.rtdc.4006%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712</v>
      </c>
      <c r="B26" s="7">
        <v>4005</v>
      </c>
      <c r="C26" s="21" t="s">
        <v>192</v>
      </c>
      <c r="D26" s="21" t="s">
        <v>902</v>
      </c>
      <c r="E26" s="13">
        <v>43059.245729166665</v>
      </c>
      <c r="F26" s="13">
        <v>43059.25854166667</v>
      </c>
      <c r="G26" s="7">
        <v>52</v>
      </c>
      <c r="H26" s="21" t="s">
        <v>903</v>
      </c>
      <c r="I26" s="13">
        <v>43059.284849537034</v>
      </c>
      <c r="J26" s="7">
        <v>0</v>
      </c>
      <c r="K26" s="89" t="str">
        <f t="shared" si="0"/>
        <v>4005/4006</v>
      </c>
      <c r="L26" s="184" t="str">
        <f>VLOOKUP(A26,'Trips&amp;Operators'!$C$1:$G$99911,5,FALSE)</f>
        <v>DAVIDSON DAVID</v>
      </c>
      <c r="M26" s="6">
        <f t="shared" si="1"/>
        <v>2.6307870364689734E-2</v>
      </c>
      <c r="N26" s="7">
        <f t="shared" si="2"/>
        <v>37.883333325153217</v>
      </c>
      <c r="O26" s="7"/>
      <c r="P26" s="7"/>
      <c r="Q26" s="22"/>
      <c r="R26" s="173"/>
      <c r="S26" s="220">
        <f t="shared" si="3"/>
        <v>1</v>
      </c>
      <c r="T26" s="173" t="str">
        <f t="shared" si="4"/>
        <v>Southbound</v>
      </c>
      <c r="U26" s="19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5" t="str">
        <f t="shared" si="5"/>
        <v>https://d0f6bd738d7f1b3e5a7ca70fe4ff75f0.us-east-1.aws.found.io/app/kibana#/discover/Steve-Slow-Train-Analysis-(2080s-and-2083s)?_g=(refreshInterval:(display:Off,pause:!f,section:0,value:0),time:(from:'2017-11-20T04:53:51-0700',mode:absolute,to:'2017-11-20T07:50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6" s="203" t="str">
        <f>IF(AA26&lt;VLOOKUP(AG26,Variables!$AC$3:$AD$8,2,FALSE),"Y","N")</f>
        <v>N</v>
      </c>
      <c r="X26" s="203">
        <f t="shared" si="6"/>
        <v>1</v>
      </c>
      <c r="Y26" s="203">
        <f t="shared" si="7"/>
        <v>23.2957</v>
      </c>
      <c r="Z26" s="203">
        <f t="shared" si="8"/>
        <v>2.3199999999999998E-2</v>
      </c>
      <c r="AA26" s="203">
        <f t="shared" si="9"/>
        <v>23.272500000000001</v>
      </c>
      <c r="AB26" s="54" t="e">
        <f>VLOOKUP(A26,Enforcements!$C$7:$K$9,8,0)</f>
        <v>#N/A</v>
      </c>
      <c r="AC26" s="51" t="e">
        <f>VLOOKUP(A26,Enforcements!$C$7:$E$9,3,0)</f>
        <v>#N/A</v>
      </c>
      <c r="AD26" s="178">
        <f t="shared" si="10"/>
        <v>114</v>
      </c>
      <c r="AE26" s="77" t="str">
        <f t="shared" si="11"/>
        <v>aws s3 cp s3://rtdc.mdm.uploadarchive.raw/RTDC4005/ "%USERPROFILE%\AppData\Local\Temp\OnboardLogs"\RTDC4005\2017-11-20 --exclude "*" --recursive --include "*20171120*" &amp; "%USERPROFILE%\Documents\GitHub\mrs-test-scripts\Headless Mode &amp; Sideloading\WalkAndUnGZ.bat" "%USERPROFILE%\AppData\Local\Temp\OnboardLogs"\RTDC4005\2017-11-20 &amp; aws s3 cp s3://rtdc.mdm.uploadarchive.raw/RTDC4005/ "%USERPROFILE%\AppData\Local\Temp\OnboardLogs"\RTDC4005\2017-11-21 --exclude "*" --recursive --include "*20171121*" &amp; "%USERPROFILE%\Documents\GitHub\mrs-test-scripts\Headless Mode &amp; Sideloading\WalkAndUnGZ.bat" "%USERPROFILE%\AppData\Local\Temp\OnboardLogs"\RTDC4005\2017-11-21</v>
      </c>
      <c r="AF26" s="74" t="str">
        <f t="shared" si="12"/>
        <v>"C:\Program Files (x86)\AstroGrep\AstroGrep.exe" /e /r /s /spath="%USERPROFILE%\AppData\Local\Temp\OnboardLogs" /stypes="app*4005*20171120*" /stext=" 13:.+((SYSTEM_STATE.+slice.+state.+changed )|(ment ac)|(multiple cpu faults)|(system.+state.+changed )|(\[timeout)|(PRM\|1\|D)|(kpr)|(kdp)|(train st.+moving)|(\|lc)|(penalty))"</v>
      </c>
      <c r="AG26" s="181" t="str">
        <f t="shared" si="13"/>
        <v>EC</v>
      </c>
      <c r="AH26" s="78" t="str">
        <f t="shared" si="19"/>
        <v>"%USERPROFILE%\Documents\GitHub\eaglep3\Utilities\RefineRTDCRunTimes.py" --tripid 114-20 --locoid 4005 --swversion DE.1.0.9.0 --startMP 204:232957 --initTime 2017-11-20T05:53:51 --startdatetime 2017-11-20T06:12:18 --delay 52 --endMP 204:232 --enddatetime 2017-11-20T06:50:11 --enforcementcount 0 &gt;&gt;%USERPROFILE%\Documents\GitHub\eaglep3-reporting\EC\2017-11-20-refined-times.txt</v>
      </c>
      <c r="AI26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{"issue":{"subject":"","project_id":79,"tracker_id":40,"status_id":1,"priority_id":2,"assigned_to_id":338,"start_date":"2017-11-20","description":"","custom_fields":[{"id":1,"name":"Subdivision","value":"EC"},{"id":4,"name":"Milepost","value":"0.0232"},{"id":17,"name":"Train ID","value":"114-20"},{"id":16,"name":"Locomotive ID","value":"4005"},{"id":130,"name":"Impact","value":""},{"id":150,"name":"Time of Event (Mountain Time)","value":"06:50:11"},{"id":151,"name":"Denver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1" t="str">
        <f t="shared" si="21"/>
        <v>start /low /b %USERPROFILE%\Documents\GitHub\eaglep3\Utilities\DownloadLogsFromS3.py --loco 4005 --day 2017-11-20</v>
      </c>
      <c r="AN26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13:50:11"},{"id":29,"name":"Sharepoint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7" t="str">
        <f t="shared" si="23"/>
        <v>https://d0f6bd738d7f1b3e5a7ca70fe4ff75f0.us-east-1.aws.found.io/app/kibana#/discover/Steve-Slow-Train-Analysis-(2080s-and-2083s)?_g=(refreshInterval:(display:Off,pause:!f,section:0,value:0),time:(from:'2017-11-20T04:53:51-0700',mode:absolute,to:'2017-11-20T07:50:11-0700'))&amp;_a=(columns:!('Message%20ID',Summary),filters:!(),index:'emp_*',interval:auto,query:(query_string:(analyze_wildcard:!t,query:'%22rtdc.l.rtdc.4005%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701</v>
      </c>
      <c r="B27" s="7">
        <v>4018</v>
      </c>
      <c r="C27" s="21" t="s">
        <v>192</v>
      </c>
      <c r="D27" s="21" t="s">
        <v>904</v>
      </c>
      <c r="E27" s="13">
        <v>43059.226712962962</v>
      </c>
      <c r="F27" s="13">
        <v>43059.229722222219</v>
      </c>
      <c r="G27" s="7">
        <v>66</v>
      </c>
      <c r="H27" s="21" t="s">
        <v>905</v>
      </c>
      <c r="I27" s="13">
        <v>43059.254826388889</v>
      </c>
      <c r="J27" s="7">
        <v>0</v>
      </c>
      <c r="K27" s="89" t="str">
        <f t="shared" si="0"/>
        <v>4017/4018</v>
      </c>
      <c r="L27" s="184" t="str">
        <f>VLOOKUP(A27,'Trips&amp;Operators'!$C$1:$G$99911,5,FALSE)</f>
        <v>STARKS ANGELINA</v>
      </c>
      <c r="M27" s="6">
        <f t="shared" si="1"/>
        <v>2.510416667064419E-2</v>
      </c>
      <c r="N27" s="7">
        <f t="shared" si="2"/>
        <v>36.150000005727634</v>
      </c>
      <c r="O27" s="7"/>
      <c r="P27" s="7"/>
      <c r="Q27" s="22"/>
      <c r="R27" s="173"/>
      <c r="S27" s="220">
        <f t="shared" si="3"/>
        <v>1</v>
      </c>
      <c r="T27" s="173" t="str">
        <f t="shared" si="4"/>
        <v>NorthBound</v>
      </c>
      <c r="U27" s="19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5" t="str">
        <f t="shared" si="5"/>
        <v>https://d0f6bd738d7f1b3e5a7ca70fe4ff75f0.us-east-1.aws.found.io/app/kibana#/discover/Steve-Slow-Train-Analysis-(2080s-and-2083s)?_g=(refreshInterval:(display:Off,pause:!f,section:0,value:0),time:(from:'2017-11-20T04:26:28-0700',mode:absolute,to:'2017-11-20T07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7" s="203" t="str">
        <f>IF(AA27&lt;VLOOKUP(AG27,Variables!$AC$3:$AD$8,2,FALSE),"Y","N")</f>
        <v>N</v>
      </c>
      <c r="X27" s="203">
        <f t="shared" si="6"/>
        <v>1</v>
      </c>
      <c r="Y27" s="203">
        <f t="shared" si="7"/>
        <v>4.3999999999999997E-2</v>
      </c>
      <c r="Z27" s="203">
        <f t="shared" si="8"/>
        <v>23.327999999999999</v>
      </c>
      <c r="AA27" s="203">
        <f t="shared" si="9"/>
        <v>23.283999999999999</v>
      </c>
      <c r="AB27" s="54" t="e">
        <f>VLOOKUP(A27,Enforcements!$C$7:$K$9,8,0)</f>
        <v>#N/A</v>
      </c>
      <c r="AC27" s="51" t="e">
        <f>VLOOKUP(A27,Enforcements!$C$7:$E$9,3,0)</f>
        <v>#N/A</v>
      </c>
      <c r="AD27" s="178">
        <f t="shared" si="10"/>
        <v>115</v>
      </c>
      <c r="AE27" s="77" t="str">
        <f t="shared" si="11"/>
        <v>aws s3 cp s3://rtdc.mdm.uploadarchive.raw/RTDC4018/ "%USERPROFILE%\AppData\Local\Temp\OnboardLogs"\RTDC4018\2017-11-20 --exclude "*" --recursive --include "*20171120*" &amp; "%USERPROFILE%\Documents\GitHub\mrs-test-scripts\Headless Mode &amp; Sideloading\WalkAndUnGZ.bat" "%USERPROFILE%\AppData\Local\Temp\OnboardLogs"\RTDC4018\2017-11-20 &amp; aws s3 cp s3://rtdc.mdm.uploadarchive.raw/RTDC4018/ "%USERPROFILE%\AppData\Local\Temp\OnboardLogs"\RTDC4018\2017-11-21 --exclude "*" --recursive --include "*20171121*" &amp; "%USERPROFILE%\Documents\GitHub\mrs-test-scripts\Headless Mode &amp; Sideloading\WalkAndUnGZ.bat" "%USERPROFILE%\AppData\Local\Temp\OnboardLogs"\RTDC4018\2017-11-21</v>
      </c>
      <c r="AF27" s="74" t="str">
        <f t="shared" si="12"/>
        <v>"C:\Program Files (x86)\AstroGrep\AstroGrep.exe" /e /r /s /spath="%USERPROFILE%\AppData\Local\Temp\OnboardLogs" /stypes="app*4018*20171120*" /stext=" 13:.+((SYSTEM_STATE.+slice.+state.+changed )|(ment ac)|(multiple cpu faults)|(system.+state.+changed )|(\[timeout)|(PRM\|1\|D)|(kpr)|(kdp)|(train st.+moving)|(\|lc)|(penalty))"</v>
      </c>
      <c r="AG27" s="181" t="str">
        <f t="shared" si="13"/>
        <v>EC</v>
      </c>
      <c r="AH27" s="78" t="str">
        <f t="shared" si="19"/>
        <v>"%USERPROFILE%\Documents\GitHub\eaglep3\Utilities\RefineRTDCRunTimes.py" --tripid 115-20 --locoid 4018 --swversion DE.1.0.9.0 --startMP 204:440 --initTime 2017-11-20T05:26:28 --startdatetime 2017-11-20T05:30:48 --delay 66 --endMP 204:233280 --enddatetime 2017-11-20T06:06:57 --enforcementcount 0 &gt;&gt;%USERPROFILE%\Documents\GitHub\eaglep3-reporting\EC\2017-11-20-refined-times.txt</v>
      </c>
      <c r="AI27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{"issue":{"subject":"","project_id":79,"tracker_id":40,"status_id":1,"priority_id":2,"assigned_to_id":338,"start_date":"2017-11-20","description":"","custom_fields":[{"id":1,"name":"Subdivision","value":"EC"},{"id":4,"name":"Milepost","value":"23.328"},{"id":17,"name":"Train ID","value":"115-20"},{"id":16,"name":"Locomotive ID","value":"4018"},{"id":130,"name":"Impact","value":""},{"id":150,"name":"Time of Event (Mountain Time)","value":"06:06:57"},{"id":151,"name":"Denver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1" t="str">
        <f t="shared" si="21"/>
        <v>start /low /b %USERPROFILE%\Documents\GitHub\eaglep3\Utilities\DownloadLogsFromS3.py --loco 4018 --day 2017-11-20</v>
      </c>
      <c r="AN27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13:06:57"},{"id":29,"name":"Sharepoint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7" t="str">
        <f t="shared" si="23"/>
        <v>https://d0f6bd738d7f1b3e5a7ca70fe4ff75f0.us-east-1.aws.found.io/app/kibana#/discover/Steve-Slow-Train-Analysis-(2080s-and-2083s)?_g=(refreshInterval:(display:Off,pause:!f,section:0,value:0),time:(from:'2017-11-20T04:26:28-0700',mode:absolute,to:'2017-11-20T07:06:57-0700'))&amp;_a=(columns:!('Message%20ID',Summary),filters:!(),index:'emp_*',interval:auto,query:(query_string:(analyze_wildcard:!t,query:'%22rtdc.l.rtdc.4018%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649</v>
      </c>
      <c r="B28" s="7">
        <v>4017</v>
      </c>
      <c r="C28" s="21" t="s">
        <v>192</v>
      </c>
      <c r="D28" s="21" t="s">
        <v>530</v>
      </c>
      <c r="E28" s="13">
        <v>43059.25677083333</v>
      </c>
      <c r="F28" s="13">
        <v>43059.269201388888</v>
      </c>
      <c r="G28" s="7">
        <v>66</v>
      </c>
      <c r="H28" s="21" t="s">
        <v>906</v>
      </c>
      <c r="I28" s="13">
        <v>43059.296840277777</v>
      </c>
      <c r="J28" s="7">
        <v>0</v>
      </c>
      <c r="K28" s="89" t="str">
        <f t="shared" si="0"/>
        <v>4017/4018</v>
      </c>
      <c r="L28" s="184" t="str">
        <f>VLOOKUP(A28,'Trips&amp;Operators'!$C$1:$G$99911,5,FALSE)</f>
        <v>STARKS ANGELINA</v>
      </c>
      <c r="M28" s="6">
        <f t="shared" si="1"/>
        <v>2.7638888888759539E-2</v>
      </c>
      <c r="N28" s="7">
        <f t="shared" si="2"/>
        <v>39.799999999813735</v>
      </c>
      <c r="O28" s="7"/>
      <c r="P28" s="7"/>
      <c r="Q28" s="22"/>
      <c r="R28" s="173"/>
      <c r="S28" s="220">
        <f t="shared" si="3"/>
        <v>1</v>
      </c>
      <c r="T28" s="173" t="str">
        <f t="shared" si="4"/>
        <v>Southbound</v>
      </c>
      <c r="U28" s="19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5" t="str">
        <f t="shared" si="5"/>
        <v>https://d0f6bd738d7f1b3e5a7ca70fe4ff75f0.us-east-1.aws.found.io/app/kibana#/discover/Steve-Slow-Train-Analysis-(2080s-and-2083s)?_g=(refreshInterval:(display:Off,pause:!f,section:0,value:0),time:(from:'2017-11-20T05:09:45-0700',mode:absolute,to:'2017-11-20T08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8" s="203" t="str">
        <f>IF(AA28&lt;VLOOKUP(AG28,Variables!$AC$3:$AD$8,2,FALSE),"Y","N")</f>
        <v>N</v>
      </c>
      <c r="X28" s="203">
        <f t="shared" si="6"/>
        <v>1</v>
      </c>
      <c r="Y28" s="203">
        <f t="shared" si="7"/>
        <v>23.2989</v>
      </c>
      <c r="Z28" s="203">
        <f t="shared" si="8"/>
        <v>1.4500000000000001E-2</v>
      </c>
      <c r="AA28" s="203">
        <f t="shared" si="9"/>
        <v>23.284399999999998</v>
      </c>
      <c r="AB28" s="54" t="e">
        <f>VLOOKUP(A28,Enforcements!$C$7:$K$9,8,0)</f>
        <v>#N/A</v>
      </c>
      <c r="AC28" s="51" t="e">
        <f>VLOOKUP(A28,Enforcements!$C$7:$E$9,3,0)</f>
        <v>#N/A</v>
      </c>
      <c r="AD28" s="178">
        <f t="shared" si="10"/>
        <v>116</v>
      </c>
      <c r="AE28" s="77" t="str">
        <f t="shared" si="11"/>
        <v>aws s3 cp s3://rtdc.mdm.uploadarchive.raw/RTDC4017/ "%USERPROFILE%\AppData\Local\Temp\OnboardLogs"\RTDC4017\2017-11-20 --exclude "*" --recursive --include "*20171120*" &amp; "%USERPROFILE%\Documents\GitHub\mrs-test-scripts\Headless Mode &amp; Sideloading\WalkAndUnGZ.bat" "%USERPROFILE%\AppData\Local\Temp\OnboardLogs"\RTDC4017\2017-11-20 &amp; aws s3 cp s3://rtdc.mdm.uploadarchive.raw/RTDC4017/ "%USERPROFILE%\AppData\Local\Temp\OnboardLogs"\RTDC4017\2017-11-21 --exclude "*" --recursive --include "*20171121*" &amp; "%USERPROFILE%\Documents\GitHub\mrs-test-scripts\Headless Mode &amp; Sideloading\WalkAndUnGZ.bat" "%USERPROFILE%\AppData\Local\Temp\OnboardLogs"\RTDC4017\2017-11-21</v>
      </c>
      <c r="AF28" s="74" t="str">
        <f t="shared" si="12"/>
        <v>"C:\Program Files (x86)\AstroGrep\AstroGrep.exe" /e /r /s /spath="%USERPROFILE%\AppData\Local\Temp\OnboardLogs" /stypes="app*4017*20171120*" /stext=" 14:.+((SYSTEM_STATE.+slice.+state.+changed )|(ment ac)|(multiple cpu faults)|(system.+state.+changed )|(\[timeout)|(PRM\|1\|D)|(kpr)|(kdp)|(train st.+moving)|(\|lc)|(penalty))"</v>
      </c>
      <c r="AG28" s="181" t="str">
        <f t="shared" si="13"/>
        <v>EC</v>
      </c>
      <c r="AH28" s="78" t="str">
        <f t="shared" si="19"/>
        <v>"%USERPROFILE%\Documents\GitHub\eaglep3\Utilities\RefineRTDCRunTimes.py" --tripid 116-20 --locoid 4017 --swversion DE.1.0.9.0 --startMP 204:232989 --initTime 2017-11-20T06:09:45 --startdatetime 2017-11-20T06:27:39 --delay 66 --endMP 204:145 --enddatetime 2017-11-20T07:07:27 --enforcementcount 0 &gt;&gt;%USERPROFILE%\Documents\GitHub\eaglep3-reporting\EC\2017-11-20-refined-times.txt</v>
      </c>
      <c r="AI28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{"issue":{"subject":"","project_id":79,"tracker_id":40,"status_id":1,"priority_id":2,"assigned_to_id":338,"start_date":"2017-11-20","description":"","custom_fields":[{"id":1,"name":"Subdivision","value":"EC"},{"id":4,"name":"Milepost","value":"0.0145"},{"id":17,"name":"Train ID","value":"116-20"},{"id":16,"name":"Locomotive ID","value":"4017"},{"id":130,"name":"Impact","value":""},{"id":150,"name":"Time of Event (Mountain Time)","value":"07:07:27"},{"id":151,"name":"Denver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1" t="str">
        <f t="shared" si="21"/>
        <v>start /low /b %USERPROFILE%\Documents\GitHub\eaglep3\Utilities\DownloadLogsFromS3.py --loco 4017 --day 2017-11-20</v>
      </c>
      <c r="AN28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14:07:27"},{"id":29,"name":"Sharepoint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7" t="str">
        <f t="shared" si="23"/>
        <v>https://d0f6bd738d7f1b3e5a7ca70fe4ff75f0.us-east-1.aws.found.io/app/kibana#/discover/Steve-Slow-Train-Analysis-(2080s-and-2083s)?_g=(refreshInterval:(display:Off,pause:!f,section:0,value:0),time:(from:'2017-11-20T05:09:45-0700',mode:absolute,to:'2017-11-20T08:07:27-0700'))&amp;_a=(columns:!('Message%20ID',Summary),filters:!(),index:'emp_*',interval:auto,query:(query_string:(analyze_wildcard:!t,query:'%22rtdc.l.rtdc.4017%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710</v>
      </c>
      <c r="B29" s="7">
        <v>4002</v>
      </c>
      <c r="C29" s="21" t="s">
        <v>192</v>
      </c>
      <c r="D29" s="21" t="s">
        <v>907</v>
      </c>
      <c r="E29" s="13">
        <v>43059.237754629627</v>
      </c>
      <c r="F29" s="13">
        <v>43059.23982638889</v>
      </c>
      <c r="G29" s="7">
        <v>64</v>
      </c>
      <c r="H29" s="21" t="s">
        <v>493</v>
      </c>
      <c r="I29" s="13">
        <v>43059.264872685184</v>
      </c>
      <c r="J29" s="7">
        <v>0</v>
      </c>
      <c r="K29" s="89" t="str">
        <f t="shared" si="0"/>
        <v>4001/4002</v>
      </c>
      <c r="L29" s="184" t="str">
        <f>VLOOKUP(A29,'Trips&amp;Operators'!$C$1:$G$99911,5,FALSE)</f>
        <v>LAMAR NEKESHA</v>
      </c>
      <c r="M29" s="6">
        <f t="shared" si="1"/>
        <v>2.5046296294021886E-2</v>
      </c>
      <c r="N29" s="7">
        <f t="shared" si="2"/>
        <v>36.066666663391516</v>
      </c>
      <c r="O29" s="7"/>
      <c r="P29" s="7"/>
      <c r="Q29" s="22"/>
      <c r="R29" s="173"/>
      <c r="S29" s="220">
        <f t="shared" si="3"/>
        <v>1</v>
      </c>
      <c r="T29" s="173" t="str">
        <f t="shared" si="4"/>
        <v>NorthBound</v>
      </c>
      <c r="U29" s="19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5" t="str">
        <f t="shared" si="5"/>
        <v>https://d0f6bd738d7f1b3e5a7ca70fe4ff75f0.us-east-1.aws.found.io/app/kibana#/discover/Steve-Slow-Train-Analysis-(2080s-and-2083s)?_g=(refreshInterval:(display:Off,pause:!f,section:0,value:0),time:(from:'2017-11-20T04:42:22-0700',mode:absolute,to:'2017-11-20T07:21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9" s="203" t="str">
        <f>IF(AA29&lt;VLOOKUP(AG29,Variables!$AC$3:$AD$8,2,FALSE),"Y","N")</f>
        <v>N</v>
      </c>
      <c r="X29" s="203">
        <f t="shared" si="6"/>
        <v>1</v>
      </c>
      <c r="Y29" s="203">
        <f t="shared" si="7"/>
        <v>4.82E-2</v>
      </c>
      <c r="Z29" s="203">
        <f t="shared" si="8"/>
        <v>23.3293</v>
      </c>
      <c r="AA29" s="203">
        <f t="shared" si="9"/>
        <v>23.281099999999999</v>
      </c>
      <c r="AB29" s="54" t="e">
        <f>VLOOKUP(A29,Enforcements!$C$7:$K$9,8,0)</f>
        <v>#N/A</v>
      </c>
      <c r="AC29" s="51" t="e">
        <f>VLOOKUP(A29,Enforcements!$C$7:$E$9,3,0)</f>
        <v>#N/A</v>
      </c>
      <c r="AD29" s="178">
        <f t="shared" si="10"/>
        <v>117</v>
      </c>
      <c r="AE29" s="77" t="str">
        <f t="shared" si="11"/>
        <v>aws s3 cp s3://rtdc.mdm.uploadarchive.raw/RTDC4002/ "%USERPROFILE%\AppData\Local\Temp\OnboardLogs"\RTDC4002\2017-11-20 --exclude "*" --recursive --include "*20171120*" &amp; "%USERPROFILE%\Documents\GitHub\mrs-test-scripts\Headless Mode &amp; Sideloading\WalkAndUnGZ.bat" "%USERPROFILE%\AppData\Local\Temp\OnboardLogs"\RTDC4002\2017-11-20 &amp; aws s3 cp s3://rtdc.mdm.uploadarchive.raw/RTDC4002/ "%USERPROFILE%\AppData\Local\Temp\OnboardLogs"\RTDC4002\2017-11-21 --exclude "*" --recursive --include "*20171121*" &amp; "%USERPROFILE%\Documents\GitHub\mrs-test-scripts\Headless Mode &amp; Sideloading\WalkAndUnGZ.bat" "%USERPROFILE%\AppData\Local\Temp\OnboardLogs"\RTDC4002\2017-11-21</v>
      </c>
      <c r="AF29" s="74" t="str">
        <f t="shared" si="12"/>
        <v>"C:\Program Files (x86)\AstroGrep\AstroGrep.exe" /e /r /s /spath="%USERPROFILE%\AppData\Local\Temp\OnboardLogs" /stypes="app*4002*20171120*" /stext=" 13:.+((SYSTEM_STATE.+slice.+state.+changed )|(ment ac)|(multiple cpu faults)|(system.+state.+changed )|(\[timeout)|(PRM\|1\|D)|(kpr)|(kdp)|(train st.+moving)|(\|lc)|(penalty))"</v>
      </c>
      <c r="AG29" s="181" t="str">
        <f t="shared" si="13"/>
        <v>EC</v>
      </c>
      <c r="AH29" s="78" t="str">
        <f t="shared" si="19"/>
        <v>"%USERPROFILE%\Documents\GitHub\eaglep3\Utilities\RefineRTDCRunTimes.py" --tripid 117-20 --locoid 4002 --swversion DE.1.0.9.0 --startMP 204:482 --initTime 2017-11-20T05:42:22 --startdatetime 2017-11-20T05:45:21 --delay 64 --endMP 204:233293 --enddatetime 2017-11-20T06:21:25 --enforcementcount 0 &gt;&gt;%USERPROFILE%\Documents\GitHub\eaglep3-reporting\EC\2017-11-20-refined-times.txt</v>
      </c>
      <c r="AI29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{"issue":{"subject":"","project_id":79,"tracker_id":40,"status_id":1,"priority_id":2,"assigned_to_id":338,"start_date":"2017-11-20","description":"","custom_fields":[{"id":1,"name":"Subdivision","value":"EC"},{"id":4,"name":"Milepost","value":"23.3293"},{"id":17,"name":"Train ID","value":"117-20"},{"id":16,"name":"Locomotive ID","value":"4002"},{"id":130,"name":"Impact","value":""},{"id":150,"name":"Time of Event (Mountain Time)","value":"06:21:25"},{"id":151,"name":"Denver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1" t="str">
        <f t="shared" si="21"/>
        <v>start /low /b %USERPROFILE%\Documents\GitHub\eaglep3\Utilities\DownloadLogsFromS3.py --loco 4002 --day 2017-11-20</v>
      </c>
      <c r="AN29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13:21:25"},{"id":29,"name":"Sharepoint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7" t="str">
        <f t="shared" si="23"/>
        <v>https://d0f6bd738d7f1b3e5a7ca70fe4ff75f0.us-east-1.aws.found.io/app/kibana#/discover/Steve-Slow-Train-Analysis-(2080s-and-2083s)?_g=(refreshInterval:(display:Off,pause:!f,section:0,value:0),time:(from:'2017-11-20T04:42:22-0700',mode:absolute,to:'2017-11-20T07:21:25-0700'))&amp;_a=(columns:!('Message%20ID',Summary),filters:!(),index:'emp_*',interval:auto,query:(query_string:(analyze_wildcard:!t,query:'%22rtdc.l.rtdc.4002%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717</v>
      </c>
      <c r="B30" s="7">
        <v>4001</v>
      </c>
      <c r="C30" s="21" t="s">
        <v>192</v>
      </c>
      <c r="D30" s="21" t="s">
        <v>506</v>
      </c>
      <c r="E30" s="13">
        <v>43059.275011574071</v>
      </c>
      <c r="F30" s="13">
        <v>43059.279386574075</v>
      </c>
      <c r="G30" s="7">
        <v>96</v>
      </c>
      <c r="H30" s="21" t="s">
        <v>533</v>
      </c>
      <c r="I30" s="13">
        <v>43059.304768518516</v>
      </c>
      <c r="J30" s="7">
        <v>0</v>
      </c>
      <c r="K30" s="89" t="str">
        <f t="shared" si="0"/>
        <v>4001/4002</v>
      </c>
      <c r="L30" s="184" t="str">
        <f>VLOOKUP(A30,'Trips&amp;Operators'!$C$1:$G$99911,5,FALSE)</f>
        <v>LAMAR NEKESHA</v>
      </c>
      <c r="M30" s="6">
        <f t="shared" si="1"/>
        <v>2.5381944440596271E-2</v>
      </c>
      <c r="N30" s="7">
        <f t="shared" si="2"/>
        <v>36.549999994458631</v>
      </c>
      <c r="O30" s="7"/>
      <c r="P30" s="7"/>
      <c r="Q30" s="22"/>
      <c r="R30" s="173"/>
      <c r="S30" s="220">
        <f t="shared" si="3"/>
        <v>1</v>
      </c>
      <c r="T30" s="173" t="str">
        <f t="shared" si="4"/>
        <v>Southbound</v>
      </c>
      <c r="U30" s="19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5" t="str">
        <f t="shared" si="5"/>
        <v>https://d0f6bd738d7f1b3e5a7ca70fe4ff75f0.us-east-1.aws.found.io/app/kibana#/discover/Steve-Slow-Train-Analysis-(2080s-and-2083s)?_g=(refreshInterval:(display:Off,pause:!f,section:0,value:0),time:(from:'2017-11-20T05:36:01-0700',mode:absolute,to:'2017-11-20T08:18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0" s="203" t="str">
        <f>IF(AA30&lt;VLOOKUP(AG30,Variables!$AC$3:$AD$8,2,FALSE),"Y","N")</f>
        <v>N</v>
      </c>
      <c r="X30" s="203">
        <f t="shared" si="6"/>
        <v>1</v>
      </c>
      <c r="Y30" s="203">
        <f t="shared" si="7"/>
        <v>23.2971</v>
      </c>
      <c r="Z30" s="203">
        <f t="shared" si="8"/>
        <v>1.8700000000000001E-2</v>
      </c>
      <c r="AA30" s="203">
        <f t="shared" si="9"/>
        <v>23.278400000000001</v>
      </c>
      <c r="AB30" s="54" t="e">
        <f>VLOOKUP(A30,Enforcements!$C$7:$K$9,8,0)</f>
        <v>#N/A</v>
      </c>
      <c r="AC30" s="51" t="e">
        <f>VLOOKUP(A30,Enforcements!$C$7:$E$9,3,0)</f>
        <v>#N/A</v>
      </c>
      <c r="AD30" s="178">
        <f t="shared" si="10"/>
        <v>118</v>
      </c>
      <c r="AE30" s="77" t="str">
        <f t="shared" si="11"/>
        <v>aws s3 cp s3://rtdc.mdm.uploadarchive.raw/RTDC4001/ "%USERPROFILE%\AppData\Local\Temp\OnboardLogs"\RTDC4001\2017-11-20 --exclude "*" --recursive --include "*20171120*" &amp; "%USERPROFILE%\Documents\GitHub\mrs-test-scripts\Headless Mode &amp; Sideloading\WalkAndUnGZ.bat" "%USERPROFILE%\AppData\Local\Temp\OnboardLogs"\RTDC4001\2017-11-20 &amp; aws s3 cp s3://rtdc.mdm.uploadarchive.raw/RTDC4001/ "%USERPROFILE%\AppData\Local\Temp\OnboardLogs"\RTDC4001\2017-11-21 --exclude "*" --recursive --include "*20171121*" &amp; "%USERPROFILE%\Documents\GitHub\mrs-test-scripts\Headless Mode &amp; Sideloading\WalkAndUnGZ.bat" "%USERPROFILE%\AppData\Local\Temp\OnboardLogs"\RTDC4001\2017-11-21</v>
      </c>
      <c r="AF30" s="74" t="str">
        <f t="shared" si="12"/>
        <v>"C:\Program Files (x86)\AstroGrep\AstroGrep.exe" /e /r /s /spath="%USERPROFILE%\AppData\Local\Temp\OnboardLogs" /stypes="app*4001*20171120*" /stext=" 14:.+((SYSTEM_STATE.+slice.+state.+changed )|(ment ac)|(multiple cpu faults)|(system.+state.+changed )|(\[timeout)|(PRM\|1\|D)|(kpr)|(kdp)|(train st.+moving)|(\|lc)|(penalty))"</v>
      </c>
      <c r="AG30" s="181" t="str">
        <f t="shared" si="13"/>
        <v>EC</v>
      </c>
      <c r="AH30" s="78" t="str">
        <f t="shared" si="19"/>
        <v>"%USERPROFILE%\Documents\GitHub\eaglep3\Utilities\RefineRTDCRunTimes.py" --tripid 118-20 --locoid 4001 --swversion DE.1.0.9.0 --startMP 204:232971 --initTime 2017-11-20T06:36:01 --startdatetime 2017-11-20T06:42:19 --delay 96 --endMP 204:187 --enddatetime 2017-11-20T07:18:52 --enforcementcount 0 &gt;&gt;%USERPROFILE%\Documents\GitHub\eaglep3-reporting\EC\2017-11-20-refined-times.txt</v>
      </c>
      <c r="AI30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{"issue":{"subject":"","project_id":79,"tracker_id":40,"status_id":1,"priority_id":2,"assigned_to_id":338,"start_date":"2017-11-20","description":"","custom_fields":[{"id":1,"name":"Subdivision","value":"EC"},{"id":4,"name":"Milepost","value":"0.0187"},{"id":17,"name":"Train ID","value":"118-20"},{"id":16,"name":"Locomotive ID","value":"4001"},{"id":130,"name":"Impact","value":""},{"id":150,"name":"Time of Event (Mountain Time)","value":"07:18:52"},{"id":151,"name":"Denver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1" t="str">
        <f t="shared" si="21"/>
        <v>start /low /b %USERPROFILE%\Documents\GitHub\eaglep3\Utilities\DownloadLogsFromS3.py --loco 4001 --day 2017-11-20</v>
      </c>
      <c r="AN30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14:18:52"},{"id":29,"name":"Sharepoint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7" t="str">
        <f t="shared" si="23"/>
        <v>https://d0f6bd738d7f1b3e5a7ca70fe4ff75f0.us-east-1.aws.found.io/app/kibana#/discover/Steve-Slow-Train-Analysis-(2080s-and-2083s)?_g=(refreshInterval:(display:Off,pause:!f,section:0,value:0),time:(from:'2017-11-20T05:36:01-0700',mode:absolute,to:'2017-11-20T08:18:52-0700'))&amp;_a=(columns:!('Message%20ID',Summary),filters:!(),index:'emp_*',interval:auto,query:(query_string:(analyze_wildcard:!t,query:'%22rtdc.l.rtdc.4001%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713</v>
      </c>
      <c r="B31" s="7">
        <v>4064</v>
      </c>
      <c r="C31" s="21" t="s">
        <v>192</v>
      </c>
      <c r="D31" s="21" t="s">
        <v>892</v>
      </c>
      <c r="E31" s="13">
        <v>43059.248796296299</v>
      </c>
      <c r="F31" s="13">
        <v>43059.250428240739</v>
      </c>
      <c r="G31" s="7">
        <v>53</v>
      </c>
      <c r="H31" s="21" t="s">
        <v>908</v>
      </c>
      <c r="I31" s="13">
        <v>43059.274594907409</v>
      </c>
      <c r="J31" s="7">
        <v>0</v>
      </c>
      <c r="K31" s="89" t="str">
        <f t="shared" si="0"/>
        <v>4063/4064</v>
      </c>
      <c r="L31" s="184" t="str">
        <f>VLOOKUP(A31,'Trips&amp;Operators'!$C$1:$G$99911,5,FALSE)</f>
        <v>YORK EDGAR</v>
      </c>
      <c r="M31" s="6">
        <f t="shared" si="1"/>
        <v>2.4166666669771075E-2</v>
      </c>
      <c r="N31" s="7">
        <f t="shared" si="2"/>
        <v>34.800000004470348</v>
      </c>
      <c r="O31" s="7"/>
      <c r="P31" s="7"/>
      <c r="Q31" s="22"/>
      <c r="R31" s="173"/>
      <c r="S31" s="220">
        <f t="shared" si="3"/>
        <v>1</v>
      </c>
      <c r="T31" s="173" t="str">
        <f t="shared" si="4"/>
        <v>NorthBound</v>
      </c>
      <c r="U31" s="19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5" t="str">
        <f t="shared" si="5"/>
        <v>https://d0f6bd738d7f1b3e5a7ca70fe4ff75f0.us-east-1.aws.found.io/app/kibana#/discover/Steve-Slow-Train-Analysis-(2080s-and-2083s)?_g=(refreshInterval:(display:Off,pause:!f,section:0,value:0),time:(from:'2017-11-20T04:58:16-0700',mode:absolute,to:'2017-11-20T07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1" s="203" t="str">
        <f>IF(AA31&lt;VLOOKUP(AG31,Variables!$AC$3:$AD$8,2,FALSE),"Y","N")</f>
        <v>N</v>
      </c>
      <c r="X31" s="203">
        <f t="shared" si="6"/>
        <v>1</v>
      </c>
      <c r="Y31" s="203">
        <f t="shared" si="7"/>
        <v>4.6899999999999997E-2</v>
      </c>
      <c r="Z31" s="203">
        <f t="shared" si="8"/>
        <v>23.329799999999999</v>
      </c>
      <c r="AA31" s="203">
        <f t="shared" si="9"/>
        <v>23.282899999999998</v>
      </c>
      <c r="AB31" s="54" t="e">
        <f>VLOOKUP(A31,Enforcements!$C$7:$K$9,8,0)</f>
        <v>#N/A</v>
      </c>
      <c r="AC31" s="51" t="e">
        <f>VLOOKUP(A31,Enforcements!$C$7:$E$9,3,0)</f>
        <v>#N/A</v>
      </c>
      <c r="AD31" s="178">
        <f t="shared" si="10"/>
        <v>119</v>
      </c>
      <c r="AE31" s="77" t="str">
        <f t="shared" si="11"/>
        <v>aws s3 cp s3://rtdc.mdm.uploadarchive.raw/RTDC4064/ "%USERPROFILE%\AppData\Local\Temp\OnboardLogs"\RTDC4064\2017-11-20 --exclude "*" --recursive --include "*20171120*" &amp; "%USERPROFILE%\Documents\GitHub\mrs-test-scripts\Headless Mode &amp; Sideloading\WalkAndUnGZ.bat" "%USERPROFILE%\AppData\Local\Temp\OnboardLogs"\RTDC4064\2017-11-20 &amp; aws s3 cp s3://rtdc.mdm.uploadarchive.raw/RTDC4064/ "%USERPROFILE%\AppData\Local\Temp\OnboardLogs"\RTDC4064\2017-11-21 --exclude "*" --recursive --include "*20171121*" &amp; "%USERPROFILE%\Documents\GitHub\mrs-test-scripts\Headless Mode &amp; Sideloading\WalkAndUnGZ.bat" "%USERPROFILE%\AppData\Local\Temp\OnboardLogs"\RTDC4064\2017-11-21</v>
      </c>
      <c r="AF31" s="74" t="str">
        <f t="shared" si="12"/>
        <v>"C:\Program Files (x86)\AstroGrep\AstroGrep.exe" /e /r /s /spath="%USERPROFILE%\AppData\Local\Temp\OnboardLogs" /stypes="app*4064*20171120*" /stext=" 13:.+((SYSTEM_STATE.+slice.+state.+changed )|(ment ac)|(multiple cpu faults)|(system.+state.+changed )|(\[timeout)|(PRM\|1\|D)|(kpr)|(kdp)|(train st.+moving)|(\|lc)|(penalty))"</v>
      </c>
      <c r="AG31" s="181" t="str">
        <f t="shared" si="13"/>
        <v>EC</v>
      </c>
      <c r="AH31" s="78" t="str">
        <f t="shared" si="19"/>
        <v>"%USERPROFILE%\Documents\GitHub\eaglep3\Utilities\RefineRTDCRunTimes.py" --tripid 119-20 --locoid 4064 --swversion DE.1.0.9.0 --startMP 204:469 --initTime 2017-11-20T05:58:16 --startdatetime 2017-11-20T06:00:37 --delay 53 --endMP 204:233298 --enddatetime 2017-11-20T06:35:25 --enforcementcount 0 &gt;&gt;%USERPROFILE%\Documents\GitHub\eaglep3-reporting\EC\2017-11-20-refined-times.txt</v>
      </c>
      <c r="AI31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{"issue":{"subject":"","project_id":79,"tracker_id":40,"status_id":1,"priority_id":2,"assigned_to_id":338,"start_date":"2017-11-20","description":"","custom_fields":[{"id":1,"name":"Subdivision","value":"EC"},{"id":4,"name":"Milepost","value":"23.3298"},{"id":17,"name":"Train ID","value":"119-20"},{"id":16,"name":"Locomotive ID","value":"4064"},{"id":130,"name":"Impact","value":""},{"id":150,"name":"Time of Event (Mountain Time)","value":"06:35:25"},{"id":151,"name":"Denver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1" t="str">
        <f t="shared" si="21"/>
        <v>start /low /b %USERPROFILE%\Documents\GitHub\eaglep3\Utilities\DownloadLogsFromS3.py --loco 4064 --day 2017-11-20</v>
      </c>
      <c r="AN31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13:35:25"},{"id":29,"name":"Sharepoint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7" t="str">
        <f t="shared" si="23"/>
        <v>https://d0f6bd738d7f1b3e5a7ca70fe4ff75f0.us-east-1.aws.found.io/app/kibana#/discover/Steve-Slow-Train-Analysis-(2080s-and-2083s)?_g=(refreshInterval:(display:Off,pause:!f,section:0,value:0),time:(from:'2017-11-20T04:58:16-0700',mode:absolute,to:'2017-11-20T07:35:25-0700'))&amp;_a=(columns:!('Message%20ID',Summary),filters:!(),index:'emp_*',interval:auto,query:(query_string:(analyze_wildcard:!t,query:'%22rtdc.l.rtdc.4064%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718</v>
      </c>
      <c r="B32" s="7">
        <v>4063</v>
      </c>
      <c r="C32" s="21" t="s">
        <v>192</v>
      </c>
      <c r="D32" s="21" t="s">
        <v>630</v>
      </c>
      <c r="E32" s="13">
        <v>43059.27547453704</v>
      </c>
      <c r="F32" s="13">
        <v>43059.289768518516</v>
      </c>
      <c r="G32" s="7">
        <v>62</v>
      </c>
      <c r="H32" s="21" t="s">
        <v>906</v>
      </c>
      <c r="I32" s="13">
        <v>43059.316064814811</v>
      </c>
      <c r="J32" s="7">
        <v>0</v>
      </c>
      <c r="K32" s="89" t="str">
        <f t="shared" si="0"/>
        <v>4063/4064</v>
      </c>
      <c r="L32" s="184" t="str">
        <f>VLOOKUP(A32,'Trips&amp;Operators'!$C$1:$G$99911,5,FALSE)</f>
        <v>YORK EDGAR</v>
      </c>
      <c r="M32" s="6">
        <f t="shared" si="1"/>
        <v>2.6296296295186039E-2</v>
      </c>
      <c r="N32" s="7">
        <f t="shared" si="2"/>
        <v>37.866666665067896</v>
      </c>
      <c r="O32" s="7"/>
      <c r="P32" s="7"/>
      <c r="Q32" s="22"/>
      <c r="R32" s="173"/>
      <c r="S32" s="220">
        <f t="shared" si="3"/>
        <v>1</v>
      </c>
      <c r="T32" s="173" t="str">
        <f t="shared" si="4"/>
        <v>Southbound</v>
      </c>
      <c r="U32" s="19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5" t="str">
        <f t="shared" si="5"/>
        <v>https://d0f6bd738d7f1b3e5a7ca70fe4ff75f0.us-east-1.aws.found.io/app/kibana#/discover/Steve-Slow-Train-Analysis-(2080s-and-2083s)?_g=(refreshInterval:(display:Off,pause:!f,section:0,value:0),time:(from:'2017-11-20T05:36:41-0700',mode:absolute,to:'2017-11-20T08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2" s="203" t="str">
        <f>IF(AA32&lt;VLOOKUP(AG32,Variables!$AC$3:$AD$8,2,FALSE),"Y","N")</f>
        <v>N</v>
      </c>
      <c r="X32" s="203">
        <f t="shared" si="6"/>
        <v>1</v>
      </c>
      <c r="Y32" s="203">
        <f t="shared" si="7"/>
        <v>23.297000000000001</v>
      </c>
      <c r="Z32" s="203">
        <f t="shared" si="8"/>
        <v>1.4500000000000001E-2</v>
      </c>
      <c r="AA32" s="203">
        <f t="shared" si="9"/>
        <v>23.282499999999999</v>
      </c>
      <c r="AB32" s="54" t="e">
        <f>VLOOKUP(A32,Enforcements!$C$7:$K$9,8,0)</f>
        <v>#N/A</v>
      </c>
      <c r="AC32" s="51" t="e">
        <f>VLOOKUP(A32,Enforcements!$C$7:$E$9,3,0)</f>
        <v>#N/A</v>
      </c>
      <c r="AD32" s="178">
        <f t="shared" si="10"/>
        <v>120</v>
      </c>
      <c r="AE32" s="77" t="str">
        <f t="shared" si="11"/>
        <v>aws s3 cp s3://rtdc.mdm.uploadarchive.raw/RTDC4063/ "%USERPROFILE%\AppData\Local\Temp\OnboardLogs"\RTDC4063\2017-11-20 --exclude "*" --recursive --include "*20171120*" &amp; "%USERPROFILE%\Documents\GitHub\mrs-test-scripts\Headless Mode &amp; Sideloading\WalkAndUnGZ.bat" "%USERPROFILE%\AppData\Local\Temp\OnboardLogs"\RTDC4063\2017-11-20 &amp; aws s3 cp s3://rtdc.mdm.uploadarchive.raw/RTDC4063/ "%USERPROFILE%\AppData\Local\Temp\OnboardLogs"\RTDC4063\2017-11-21 --exclude "*" --recursive --include "*20171121*" &amp; "%USERPROFILE%\Documents\GitHub\mrs-test-scripts\Headless Mode &amp; Sideloading\WalkAndUnGZ.bat" "%USERPROFILE%\AppData\Local\Temp\OnboardLogs"\RTDC4063\2017-11-21</v>
      </c>
      <c r="AF32" s="74" t="str">
        <f t="shared" si="12"/>
        <v>"C:\Program Files (x86)\AstroGrep\AstroGrep.exe" /e /r /s /spath="%USERPROFILE%\AppData\Local\Temp\OnboardLogs" /stypes="app*4063*20171120*" /stext=" 14:.+((SYSTEM_STATE.+slice.+state.+changed )|(ment ac)|(multiple cpu faults)|(system.+state.+changed )|(\[timeout)|(PRM\|1\|D)|(kpr)|(kdp)|(train st.+moving)|(\|lc)|(penalty))"</v>
      </c>
      <c r="AG32" s="181" t="str">
        <f t="shared" si="13"/>
        <v>EC</v>
      </c>
      <c r="AH32" s="78" t="str">
        <f t="shared" si="19"/>
        <v>"%USERPROFILE%\Documents\GitHub\eaglep3\Utilities\RefineRTDCRunTimes.py" --tripid 120-20 --locoid 4063 --swversion DE.1.0.9.0 --startMP 204:232970 --initTime 2017-11-20T06:36:41 --startdatetime 2017-11-20T06:57:16 --delay 62 --endMP 204:145 --enddatetime 2017-11-20T07:35:08 --enforcementcount 0 &gt;&gt;%USERPROFILE%\Documents\GitHub\eaglep3-reporting\EC\2017-11-20-refined-times.txt</v>
      </c>
      <c r="AI32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{"issue":{"subject":"","project_id":79,"tracker_id":40,"status_id":1,"priority_id":2,"assigned_to_id":338,"start_date":"2017-11-20","description":"","custom_fields":[{"id":1,"name":"Subdivision","value":"EC"},{"id":4,"name":"Milepost","value":"0.0145"},{"id":17,"name":"Train ID","value":"120-20"},{"id":16,"name":"Locomotive ID","value":"4063"},{"id":130,"name":"Impact","value":""},{"id":150,"name":"Time of Event (Mountain Time)","value":"07:35:08"},{"id":151,"name":"Denver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1" t="str">
        <f t="shared" si="21"/>
        <v>start /low /b %USERPROFILE%\Documents\GitHub\eaglep3\Utilities\DownloadLogsFromS3.py --loco 4063 --day 2017-11-20</v>
      </c>
      <c r="AN32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14:35:08"},{"id":29,"name":"Sharepoint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7" t="str">
        <f t="shared" si="23"/>
        <v>https://d0f6bd738d7f1b3e5a7ca70fe4ff75f0.us-east-1.aws.found.io/app/kibana#/discover/Steve-Slow-Train-Analysis-(2080s-and-2083s)?_g=(refreshInterval:(display:Off,pause:!f,section:0,value:0),time:(from:'2017-11-20T05:36:41-0700',mode:absolute,to:'2017-11-20T08:35:08-0700'))&amp;_a=(columns:!('Message%20ID',Summary),filters:!(),index:'emp_*',interval:auto,query:(query_string:(analyze_wildcard:!t,query:'%22rtdc.l.rtdc.4063%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714</v>
      </c>
      <c r="B33" s="7">
        <v>4028</v>
      </c>
      <c r="C33" s="21" t="s">
        <v>192</v>
      </c>
      <c r="D33" s="21" t="s">
        <v>497</v>
      </c>
      <c r="E33" s="13">
        <v>43059.255879629629</v>
      </c>
      <c r="F33" s="13">
        <v>43059.260752314818</v>
      </c>
      <c r="G33" s="7">
        <v>55</v>
      </c>
      <c r="H33" s="21" t="s">
        <v>510</v>
      </c>
      <c r="I33" s="13">
        <v>43059.286423611113</v>
      </c>
      <c r="J33" s="7">
        <v>0</v>
      </c>
      <c r="K33" s="89" t="str">
        <f t="shared" si="0"/>
        <v>4027/4028</v>
      </c>
      <c r="L33" s="184" t="str">
        <f>VLOOKUP(A33,'Trips&amp;Operators'!$C$1:$G$99911,5,FALSE)</f>
        <v>LANGERAK WILLIAM</v>
      </c>
      <c r="M33" s="6">
        <f t="shared" si="1"/>
        <v>2.5671296294603962E-2</v>
      </c>
      <c r="N33" s="7"/>
      <c r="O33" s="7"/>
      <c r="P33" s="7"/>
      <c r="Q33" s="22"/>
      <c r="R33" s="173"/>
      <c r="S33" s="220"/>
      <c r="T33" s="173" t="str">
        <f t="shared" si="4"/>
        <v>NorthBound</v>
      </c>
      <c r="U33" s="19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0</v>
      </c>
      <c r="V33" s="215" t="str">
        <f t="shared" si="5"/>
        <v>https://d0f6bd738d7f1b3e5a7ca70fe4ff75f0.us-east-1.aws.found.io/app/kibana#/discover/Steve-Slow-Train-Analysis-(2080s-and-2083s)?_g=(refreshInterval:(display:Off,pause:!f,section:0,value:0),time:(from:'2017-11-20T05:08:28-0700',mode:absolute,to:'2017-11-20T07:52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3" s="203" t="str">
        <f>IF(AA33&lt;VLOOKUP(AG33,Variables!$AC$3:$AD$8,2,FALSE),"Y","N")</f>
        <v>Y</v>
      </c>
      <c r="X33" s="203">
        <f t="shared" si="6"/>
        <v>1</v>
      </c>
      <c r="Y33" s="203">
        <f t="shared" si="7"/>
        <v>4.9299999999999997E-2</v>
      </c>
      <c r="Z33" s="203">
        <f t="shared" si="8"/>
        <v>4.8599999999999997E-2</v>
      </c>
      <c r="AA33" s="203">
        <f t="shared" si="9"/>
        <v>6.9999999999999923E-4</v>
      </c>
      <c r="AB33" s="54" t="e">
        <f>VLOOKUP(A33,Enforcements!$C$7:$K$9,8,0)</f>
        <v>#N/A</v>
      </c>
      <c r="AC33" s="51" t="e">
        <f>VLOOKUP(A33,Enforcements!$C$7:$E$9,3,0)</f>
        <v>#N/A</v>
      </c>
      <c r="AD33" s="178">
        <f t="shared" si="10"/>
        <v>121</v>
      </c>
      <c r="AE33" s="77" t="str">
        <f t="shared" si="11"/>
        <v>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 &amp; aws s3 cp s3://rtdc.mdm.uploadarchive.raw/RTDC4028/ "%USERPROFILE%\AppData\Local\Temp\OnboardLogs"\RTDC4028\2017-11-21 --exclude "*" --recursive --include "*20171121*" &amp; "%USERPROFILE%\Documents\GitHub\mrs-test-scripts\Headless Mode &amp; Sideloading\WalkAndUnGZ.bat" "%USERPROFILE%\AppData\Local\Temp\OnboardLogs"\RTDC4028\2017-11-21</v>
      </c>
      <c r="AF33" s="74" t="str">
        <f t="shared" si="12"/>
        <v>"C:\Program Files (x86)\AstroGrep\AstroGrep.exe" /e /r /s /spath="%USERPROFILE%\AppData\Local\Temp\OnboardLogs" /stypes="app*4028*20171120*" /stext=" 13:.+((SYSTEM_STATE.+slice.+state.+changed )|(ment ac)|(multiple cpu faults)|(system.+state.+changed )|(\[timeout)|(PRM\|1\|D)|(kpr)|(kdp)|(train st.+moving)|(\|lc)|(penalty))"</v>
      </c>
      <c r="AG33" s="181" t="str">
        <f t="shared" si="13"/>
        <v>EC</v>
      </c>
      <c r="AH33" s="78" t="str">
        <f t="shared" si="19"/>
        <v>"%USERPROFILE%\Documents\GitHub\eaglep3\Utilities\RefineRTDCRunTimes.py" --tripid 121-20 --locoid 4028 --swversion DE.1.0.9.0 --startMP 204:493 --initTime 2017-11-20T06:08:28 --startdatetime 2017-11-20T06:15:29 --delay 55 --endMP 204:486 --enddatetime 2017-11-20T06:52:27 --enforcementcount 0 &gt;&gt;%USERPROFILE%\Documents\GitHub\eaglep3-reporting\EC\2017-11-20-refined-times.txt</v>
      </c>
      <c r="AI33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{"issue":{"subject":"","project_id":79,"tracker_id":40,"status_id":1,"priority_id":2,"assigned_to_id":338,"start_date":"2017-11-20","description":"","custom_fields":[{"id":1,"name":"Subdivision","value":"EC"},{"id":4,"name":"Milepost","value":"0.0486"},{"id":17,"name":"Train ID","value":"121-20"},{"id":16,"name":"Locomotive ID","value":"4028"},{"id":130,"name":"Impact","value":""},{"id":150,"name":"Time of Event (Mountain Time)","value":"06:52:27"},{"id":151,"name":"Denver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1" t="str">
        <f t="shared" si="21"/>
        <v>start /low /b %USERPROFILE%\Documents\GitHub\eaglep3\Utilities\DownloadLogsFromS3.py --loco 4028 --day 2017-11-20</v>
      </c>
      <c r="AN33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13:52:27"},{"id":29,"name":"Sharepoint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7" t="str">
        <f t="shared" si="23"/>
        <v>https://d0f6bd738d7f1b3e5a7ca70fe4ff75f0.us-east-1.aws.found.io/app/kibana#/discover/Steve-Slow-Train-Analysis-(2080s-and-2083s)?_g=(refreshInterval:(display:Off,pause:!f,section:0,value:0),time:(from:'2017-11-20T05:08:28-0700',mode:absolute,to:'2017-11-20T07:52:27-0700'))&amp;_a=(columns:!('Message%20ID',Summary),filters:!(),index:'emp_*',interval:auto,query:(query_string:(analyze_wildcard:!t,query:'%22rtdc.l.rtdc.4028%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714</v>
      </c>
      <c r="B34" s="7">
        <v>4028</v>
      </c>
      <c r="C34" s="21" t="s">
        <v>192</v>
      </c>
      <c r="D34" s="21" t="s">
        <v>540</v>
      </c>
      <c r="E34" s="13">
        <v>43059.259722222225</v>
      </c>
      <c r="F34" s="13">
        <v>43059.260752314818</v>
      </c>
      <c r="G34" s="7">
        <v>46</v>
      </c>
      <c r="H34" s="21" t="s">
        <v>481</v>
      </c>
      <c r="I34" s="13">
        <v>43059.286423611113</v>
      </c>
      <c r="J34" s="7">
        <v>0</v>
      </c>
      <c r="K34" s="89" t="str">
        <f t="shared" si="0"/>
        <v>4027/4028</v>
      </c>
      <c r="L34" s="184" t="str">
        <f>VLOOKUP(A34,'Trips&amp;Operators'!$C$1:$G$99911,5,FALSE)</f>
        <v>LANGERAK WILLIAM</v>
      </c>
      <c r="M34" s="6">
        <f t="shared" si="1"/>
        <v>2.5671296294603962E-2</v>
      </c>
      <c r="N34" s="7">
        <f>24*60*SUM($M34:$M34)</f>
        <v>36.966666664229706</v>
      </c>
      <c r="O34" s="7"/>
      <c r="P34" s="7"/>
      <c r="Q34" s="22"/>
      <c r="R34" s="173"/>
      <c r="S34" s="220">
        <f>1/IF(AG34="EC",12,1)*SUM(U34:U34)</f>
        <v>1</v>
      </c>
      <c r="T34" s="173" t="str">
        <f t="shared" si="4"/>
        <v>NorthBound</v>
      </c>
      <c r="U34" s="19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5" t="str">
        <f t="shared" si="5"/>
        <v>https://d0f6bd738d7f1b3e5a7ca70fe4ff75f0.us-east-1.aws.found.io/app/kibana#/discover/Steve-Slow-Train-Analysis-(2080s-and-2083s)?_g=(refreshInterval:(display:Off,pause:!f,section:0,value:0),time:(from:'2017-11-20T05:14:00-0700',mode:absolute,to:'2017-11-20T07:52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4" s="203" t="str">
        <f>IF(AA34&lt;VLOOKUP(AG34,Variables!$AC$3:$AD$8,2,FALSE),"Y","N")</f>
        <v>N</v>
      </c>
      <c r="X34" s="203">
        <f t="shared" si="6"/>
        <v>0</v>
      </c>
      <c r="Y34" s="203">
        <f t="shared" si="7"/>
        <v>4.9700000000000001E-2</v>
      </c>
      <c r="Z34" s="203">
        <f t="shared" si="8"/>
        <v>23.327000000000002</v>
      </c>
      <c r="AA34" s="203">
        <f t="shared" si="9"/>
        <v>23.2773</v>
      </c>
      <c r="AB34" s="54" t="e">
        <f>VLOOKUP(A34,Enforcements!$C$7:$K$9,8,0)</f>
        <v>#N/A</v>
      </c>
      <c r="AC34" s="51" t="e">
        <f>VLOOKUP(A34,Enforcements!$C$7:$E$9,3,0)</f>
        <v>#N/A</v>
      </c>
      <c r="AD34" s="178">
        <f t="shared" si="10"/>
        <v>121</v>
      </c>
      <c r="AE34" s="77" t="str">
        <f t="shared" si="11"/>
        <v>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 &amp; aws s3 cp s3://rtdc.mdm.uploadarchive.raw/RTDC4028/ "%USERPROFILE%\AppData\Local\Temp\OnboardLogs"\RTDC4028\2017-11-21 --exclude "*" --recursive --include "*20171121*" &amp; "%USERPROFILE%\Documents\GitHub\mrs-test-scripts\Headless Mode &amp; Sideloading\WalkAndUnGZ.bat" "%USERPROFILE%\AppData\Local\Temp\OnboardLogs"\RTDC4028\2017-11-21</v>
      </c>
      <c r="AF34" s="74" t="str">
        <f t="shared" si="12"/>
        <v>"C:\Program Files (x86)\AstroGrep\AstroGrep.exe" /e /r /s /spath="%USERPROFILE%\AppData\Local\Temp\OnboardLogs" /stypes="app*4028*20171120*" /stext=" 13:.+((SYSTEM_STATE.+slice.+state.+changed )|(ment ac)|(multiple cpu faults)|(system.+state.+changed )|(\[timeout)|(PRM\|1\|D)|(kpr)|(kdp)|(train st.+moving)|(\|lc)|(penalty))"</v>
      </c>
      <c r="AG34" s="181" t="str">
        <f t="shared" si="13"/>
        <v>EC</v>
      </c>
      <c r="AH34" s="78" t="str">
        <f t="shared" si="19"/>
        <v>"%USERPROFILE%\Documents\GitHub\eaglep3\Utilities\RefineRTDCRunTimes.py" --tripid 121-20 --locoid 4028 --swversion DE.1.0.9.0 --startMP 204:497 --initTime 2017-11-20T06:14:00 --startdatetime 2017-11-20T06:15:29 --delay 46 --endMP 204:233270 --enddatetime 2017-11-20T06:52:27 --enforcementcount 0 &gt;&gt;%USERPROFILE%\Documents\GitHub\eaglep3-reporting\EC\2017-11-20-refined-times.txt</v>
      </c>
      <c r="AI34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{"issue":{"subject":"","project_id":79,"tracker_id":40,"status_id":1,"priority_id":2,"assigned_to_id":338,"start_date":"2017-11-20","description":"","custom_fields":[{"id":1,"name":"Subdivision","value":"EC"},{"id":4,"name":"Milepost","value":"23.327"},{"id":17,"name":"Train ID","value":"121-20"},{"id":16,"name":"Locomotive ID","value":"4028"},{"id":130,"name":"Impact","value":""},{"id":150,"name":"Time of Event (Mountain Time)","value":"06:52:27"},{"id":151,"name":"Denver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1" t="str">
        <f t="shared" si="21"/>
        <v>start /low /b %USERPROFILE%\Documents\GitHub\eaglep3\Utilities\DownloadLogsFromS3.py --loco 4028 --day 2017-11-20</v>
      </c>
      <c r="AN34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13:52:27"},{"id":29,"name":"Sharepoint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7" t="str">
        <f t="shared" si="23"/>
        <v>https://d0f6bd738d7f1b3e5a7ca70fe4ff75f0.us-east-1.aws.found.io/app/kibana#/discover/Steve-Slow-Train-Analysis-(2080s-and-2083s)?_g=(refreshInterval:(display:Off,pause:!f,section:0,value:0),time:(from:'2017-11-20T05:14:00-0700',mode:absolute,to:'2017-11-20T07:52:27-0700'))&amp;_a=(columns:!('Message%20ID',Summary),filters:!(),index:'emp_*',interval:auto,query:(query_string:(analyze_wildcard:!t,query:'%22rtdc.l.rtdc.4028%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714</v>
      </c>
      <c r="B35" s="7">
        <v>4028</v>
      </c>
      <c r="C35" s="21" t="s">
        <v>192</v>
      </c>
      <c r="D35" s="21" t="s">
        <v>909</v>
      </c>
      <c r="E35" s="13">
        <v>43059.258113425924</v>
      </c>
      <c r="F35" s="13">
        <v>43059.260752314818</v>
      </c>
      <c r="G35" s="7">
        <v>52</v>
      </c>
      <c r="H35" s="21" t="s">
        <v>532</v>
      </c>
      <c r="I35" s="13">
        <v>43059.286423611113</v>
      </c>
      <c r="J35" s="7">
        <v>0</v>
      </c>
      <c r="K35" s="89" t="str">
        <f t="shared" si="0"/>
        <v>4027/4028</v>
      </c>
      <c r="L35" s="184" t="str">
        <f>VLOOKUP(A35,'Trips&amp;Operators'!$C$1:$G$99911,5,FALSE)</f>
        <v>LANGERAK WILLIAM</v>
      </c>
      <c r="M35" s="6">
        <f t="shared" si="1"/>
        <v>2.5671296294603962E-2</v>
      </c>
      <c r="N35" s="7"/>
      <c r="O35" s="7"/>
      <c r="P35" s="7"/>
      <c r="Q35" s="22"/>
      <c r="R35" s="173"/>
      <c r="S35" s="220"/>
      <c r="T35" s="173" t="str">
        <f t="shared" si="4"/>
        <v>NorthBound</v>
      </c>
      <c r="U35" s="19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0</v>
      </c>
      <c r="V35" s="215" t="str">
        <f t="shared" si="5"/>
        <v>https://d0f6bd738d7f1b3e5a7ca70fe4ff75f0.us-east-1.aws.found.io/app/kibana#/discover/Steve-Slow-Train-Analysis-(2080s-and-2083s)?_g=(refreshInterval:(display:Off,pause:!f,section:0,value:0),time:(from:'2017-11-20T05:11:41-0700',mode:absolute,to:'2017-11-20T07:52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5" s="203" t="str">
        <f>IF(AA35&lt;VLOOKUP(AG35,Variables!$AC$3:$AD$8,2,FALSE),"Y","N")</f>
        <v>Y</v>
      </c>
      <c r="X35" s="203">
        <f t="shared" si="6"/>
        <v>0</v>
      </c>
      <c r="Y35" s="203">
        <f t="shared" si="7"/>
        <v>4.6399999999999997E-2</v>
      </c>
      <c r="Z35" s="203">
        <f t="shared" si="8"/>
        <v>4.9799999999999997E-2</v>
      </c>
      <c r="AA35" s="203">
        <f t="shared" si="9"/>
        <v>3.4000000000000002E-3</v>
      </c>
      <c r="AB35" s="54" t="e">
        <f>VLOOKUP(A35,Enforcements!$C$7:$K$9,8,0)</f>
        <v>#N/A</v>
      </c>
      <c r="AC35" s="51" t="e">
        <f>VLOOKUP(A35,Enforcements!$C$7:$E$9,3,0)</f>
        <v>#N/A</v>
      </c>
      <c r="AD35" s="178">
        <f t="shared" si="10"/>
        <v>121</v>
      </c>
      <c r="AE35" s="77" t="str">
        <f t="shared" si="11"/>
        <v>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 &amp; aws s3 cp s3://rtdc.mdm.uploadarchive.raw/RTDC4028/ "%USERPROFILE%\AppData\Local\Temp\OnboardLogs"\RTDC4028\2017-11-21 --exclude "*" --recursive --include "*20171121*" &amp; "%USERPROFILE%\Documents\GitHub\mrs-test-scripts\Headless Mode &amp; Sideloading\WalkAndUnGZ.bat" "%USERPROFILE%\AppData\Local\Temp\OnboardLogs"\RTDC4028\2017-11-21</v>
      </c>
      <c r="AF35" s="74" t="str">
        <f t="shared" si="12"/>
        <v>"C:\Program Files (x86)\AstroGrep\AstroGrep.exe" /e /r /s /spath="%USERPROFILE%\AppData\Local\Temp\OnboardLogs" /stypes="app*4028*20171120*" /stext=" 13:.+((SYSTEM_STATE.+slice.+state.+changed )|(ment ac)|(multiple cpu faults)|(system.+state.+changed )|(\[timeout)|(PRM\|1\|D)|(kpr)|(kdp)|(train st.+moving)|(\|lc)|(penalty))"</v>
      </c>
      <c r="AG35" s="181" t="str">
        <f t="shared" si="13"/>
        <v>EC</v>
      </c>
      <c r="AH35" s="78" t="str">
        <f t="shared" si="19"/>
        <v>"%USERPROFILE%\Documents\GitHub\eaglep3\Utilities\RefineRTDCRunTimes.py" --tripid 121-20 --locoid 4028 --swversion DE.1.0.9.0 --startMP 204:464 --initTime 2017-11-20T06:11:41 --startdatetime 2017-11-20T06:15:29 --delay 52 --endMP 204:498 --enddatetime 2017-11-20T06:52:27 --enforcementcount 0 &gt;&gt;%USERPROFILE%\Documents\GitHub\eaglep3-reporting\EC\2017-11-20-refined-times.txt</v>
      </c>
      <c r="AI35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{"issue":{"subject":"","project_id":79,"tracker_id":40,"status_id":1,"priority_id":2,"assigned_to_id":338,"start_date":"2017-11-20","description":"","custom_fields":[{"id":1,"name":"Subdivision","value":"EC"},{"id":4,"name":"Milepost","value":"0.0498"},{"id":17,"name":"Train ID","value":"121-20"},{"id":16,"name":"Locomotive ID","value":"4028"},{"id":130,"name":"Impact","value":""},{"id":150,"name":"Time of Event (Mountain Time)","value":"06:52:27"},{"id":151,"name":"Denver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1" t="str">
        <f t="shared" si="21"/>
        <v>start /low /b %USERPROFILE%\Documents\GitHub\eaglep3\Utilities\DownloadLogsFromS3.py --loco 4028 --day 2017-11-20</v>
      </c>
      <c r="AN35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13:52:27"},{"id":29,"name":"Sharepoint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7" t="str">
        <f t="shared" si="23"/>
        <v>https://d0f6bd738d7f1b3e5a7ca70fe4ff75f0.us-east-1.aws.found.io/app/kibana#/discover/Steve-Slow-Train-Analysis-(2080s-and-2083s)?_g=(refreshInterval:(display:Off,pause:!f,section:0,value:0),time:(from:'2017-11-20T05:11:41-0700',mode:absolute,to:'2017-11-20T07:52:27-0700'))&amp;_a=(columns:!('Message%20ID',Summary),filters:!(),index:'emp_*',interval:auto,query:(query_string:(analyze_wildcard:!t,query:'%22rtdc.l.rtdc.4028%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721</v>
      </c>
      <c r="B36" s="7">
        <v>4027</v>
      </c>
      <c r="C36" s="21" t="s">
        <v>192</v>
      </c>
      <c r="D36" s="21" t="s">
        <v>525</v>
      </c>
      <c r="E36" s="13">
        <v>43059.288182870368</v>
      </c>
      <c r="F36" s="13">
        <v>43059.300335648149</v>
      </c>
      <c r="G36" s="7">
        <v>53</v>
      </c>
      <c r="H36" s="21" t="s">
        <v>559</v>
      </c>
      <c r="I36" s="13">
        <v>43059.326331018521</v>
      </c>
      <c r="J36" s="7">
        <v>0</v>
      </c>
      <c r="K36" s="89" t="str">
        <f t="shared" si="0"/>
        <v>4027/4028</v>
      </c>
      <c r="L36" s="184" t="str">
        <f>VLOOKUP(A36,'Trips&amp;Operators'!$C$1:$G$99911,5,FALSE)</f>
        <v>LANGERAK WILLIAM</v>
      </c>
      <c r="M36" s="6">
        <f t="shared" si="1"/>
        <v>2.5995370371674653E-2</v>
      </c>
      <c r="N36" s="7">
        <f t="shared" ref="N36:N74" si="24">24*60*SUM($M36:$M36)</f>
        <v>37.433333335211501</v>
      </c>
      <c r="O36" s="7"/>
      <c r="P36" s="7"/>
      <c r="Q36" s="22"/>
      <c r="R36" s="173"/>
      <c r="S36" s="220">
        <f t="shared" ref="S36:S74" si="25">1/IF(AG36="EC",12,1)*SUM(U36:U36)</f>
        <v>1</v>
      </c>
      <c r="T36" s="173" t="str">
        <f t="shared" si="4"/>
        <v>Southbound</v>
      </c>
      <c r="U36" s="19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5" t="str">
        <f t="shared" si="5"/>
        <v>https://d0f6bd738d7f1b3e5a7ca70fe4ff75f0.us-east-1.aws.found.io/app/kibana#/discover/Steve-Slow-Train-Analysis-(2080s-and-2083s)?_g=(refreshInterval:(display:Off,pause:!f,section:0,value:0),time:(from:'2017-11-20T05:54:59-0700',mode:absolute,to:'2017-11-20T08:49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6" s="203" t="str">
        <f>IF(AA36&lt;VLOOKUP(AG36,Variables!$AC$3:$AD$8,2,FALSE),"Y","N")</f>
        <v>N</v>
      </c>
      <c r="X36" s="203">
        <f t="shared" si="6"/>
        <v>1</v>
      </c>
      <c r="Y36" s="203">
        <f t="shared" si="7"/>
        <v>23.296299999999999</v>
      </c>
      <c r="Z36" s="203">
        <f t="shared" si="8"/>
        <v>2.0500000000000001E-2</v>
      </c>
      <c r="AA36" s="203">
        <f t="shared" si="9"/>
        <v>23.2758</v>
      </c>
      <c r="AB36" s="54" t="e">
        <f>VLOOKUP(A36,Enforcements!$C$7:$K$9,8,0)</f>
        <v>#N/A</v>
      </c>
      <c r="AC36" s="51" t="e">
        <f>VLOOKUP(A36,Enforcements!$C$7:$E$9,3,0)</f>
        <v>#N/A</v>
      </c>
      <c r="AD36" s="178">
        <f t="shared" si="10"/>
        <v>122</v>
      </c>
      <c r="AE36" s="77" t="str">
        <f t="shared" si="11"/>
        <v>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 &amp; aws s3 cp s3://rtdc.mdm.uploadarchive.raw/RTDC4027/ "%USERPROFILE%\AppData\Local\Temp\OnboardLogs"\RTDC4027\2017-11-21 --exclude "*" --recursive --include "*20171121*" &amp; "%USERPROFILE%\Documents\GitHub\mrs-test-scripts\Headless Mode &amp; Sideloading\WalkAndUnGZ.bat" "%USERPROFILE%\AppData\Local\Temp\OnboardLogs"\RTDC4027\2017-11-21</v>
      </c>
      <c r="AF36" s="74" t="str">
        <f t="shared" si="12"/>
        <v>"C:\Program Files (x86)\AstroGrep\AstroGrep.exe" /e /r /s /spath="%USERPROFILE%\AppData\Local\Temp\OnboardLogs" /stypes="app*4027*20171120*" /stext=" 14:.+((SYSTEM_STATE.+slice.+state.+changed )|(ment ac)|(multiple cpu faults)|(system.+state.+changed )|(\[timeout)|(PRM\|1\|D)|(kpr)|(kdp)|(train st.+moving)|(\|lc)|(penalty))"</v>
      </c>
      <c r="AG36" s="181" t="str">
        <f t="shared" si="13"/>
        <v>EC</v>
      </c>
      <c r="AH36" s="78" t="str">
        <f t="shared" si="19"/>
        <v>"%USERPROFILE%\Documents\GitHub\eaglep3\Utilities\RefineRTDCRunTimes.py" --tripid 122-20 --locoid 4027 --swversion DE.1.0.9.0 --startMP 204:232963 --initTime 2017-11-20T06:54:59 --startdatetime 2017-11-20T07:12:29 --delay 53 --endMP 204:205 --enddatetime 2017-11-20T07:49:55 --enforcementcount 0 &gt;&gt;%USERPROFILE%\Documents\GitHub\eaglep3-reporting\EC\2017-11-20-refined-times.txt</v>
      </c>
      <c r="AI36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{"issue":{"subject":"","project_id":79,"tracker_id":40,"status_id":1,"priority_id":2,"assigned_to_id":338,"start_date":"2017-11-20","description":"","custom_fields":[{"id":1,"name":"Subdivision","value":"EC"},{"id":4,"name":"Milepost","value":"0.0205"},{"id":17,"name":"Train ID","value":"122-20"},{"id":16,"name":"Locomotive ID","value":"4027"},{"id":130,"name":"Impact","value":""},{"id":150,"name":"Time of Event (Mountain Time)","value":"07:49:55"},{"id":151,"name":"Denver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1" t="str">
        <f t="shared" si="21"/>
        <v>start /low /b %USERPROFILE%\Documents\GitHub\eaglep3\Utilities\DownloadLogsFromS3.py --loco 4027 --day 2017-11-20</v>
      </c>
      <c r="AN36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14:49:55"},{"id":29,"name":"Sharepoint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7" t="str">
        <f t="shared" si="23"/>
        <v>https://d0f6bd738d7f1b3e5a7ca70fe4ff75f0.us-east-1.aws.found.io/app/kibana#/discover/Steve-Slow-Train-Analysis-(2080s-and-2083s)?_g=(refreshInterval:(display:Off,pause:!f,section:0,value:0),time:(from:'2017-11-20T05:54:59-0700',mode:absolute,to:'2017-11-20T08:49:55-0700'))&amp;_a=(columns:!('Message%20ID',Summary),filters:!(),index:'emp_*',interval:auto,query:(query_string:(analyze_wildcard:!t,query:'%22rtdc.l.rtdc.4027%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716</v>
      </c>
      <c r="B37" s="7">
        <v>4060</v>
      </c>
      <c r="C37" s="21" t="s">
        <v>192</v>
      </c>
      <c r="D37" s="21" t="s">
        <v>909</v>
      </c>
      <c r="E37" s="13">
        <v>43059.268148148149</v>
      </c>
      <c r="F37" s="13">
        <v>43059.271180555559</v>
      </c>
      <c r="G37" s="7">
        <v>54</v>
      </c>
      <c r="H37" s="21" t="s">
        <v>612</v>
      </c>
      <c r="I37" s="13">
        <v>43059.295891203707</v>
      </c>
      <c r="J37" s="7">
        <v>0</v>
      </c>
      <c r="K37" s="89" t="str">
        <f t="shared" si="0"/>
        <v>4059/4060</v>
      </c>
      <c r="L37" s="184" t="str">
        <f>VLOOKUP(A37,'Trips&amp;Operators'!$C$1:$G$99911,5,FALSE)</f>
        <v>MAELZER KURT</v>
      </c>
      <c r="M37" s="6">
        <f t="shared" si="1"/>
        <v>2.47106481474475E-2</v>
      </c>
      <c r="N37" s="7">
        <f t="shared" si="24"/>
        <v>35.583333332324401</v>
      </c>
      <c r="O37" s="7"/>
      <c r="P37" s="7"/>
      <c r="Q37" s="22"/>
      <c r="R37" s="173"/>
      <c r="S37" s="220">
        <f t="shared" si="25"/>
        <v>1</v>
      </c>
      <c r="T37" s="173" t="str">
        <f t="shared" si="4"/>
        <v>NorthBound</v>
      </c>
      <c r="U37" s="19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5" t="str">
        <f t="shared" si="5"/>
        <v>https://d0f6bd738d7f1b3e5a7ca70fe4ff75f0.us-east-1.aws.found.io/app/kibana#/discover/Steve-Slow-Train-Analysis-(2080s-and-2083s)?_g=(refreshInterval:(display:Off,pause:!f,section:0,value:0),time:(from:'2017-11-20T05:26:08-0700',mode:absolute,to:'2017-11-20T08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7" s="203" t="str">
        <f>IF(AA37&lt;VLOOKUP(AG37,Variables!$AC$3:$AD$8,2,FALSE),"Y","N")</f>
        <v>N</v>
      </c>
      <c r="X37" s="203">
        <f t="shared" si="6"/>
        <v>1</v>
      </c>
      <c r="Y37" s="203">
        <f t="shared" si="7"/>
        <v>4.6399999999999997E-2</v>
      </c>
      <c r="Z37" s="203">
        <f t="shared" si="8"/>
        <v>23.331499999999998</v>
      </c>
      <c r="AA37" s="203">
        <f t="shared" si="9"/>
        <v>23.2851</v>
      </c>
      <c r="AB37" s="54" t="e">
        <f>VLOOKUP(A37,Enforcements!$C$7:$K$9,8,0)</f>
        <v>#N/A</v>
      </c>
      <c r="AC37" s="51" t="e">
        <f>VLOOKUP(A37,Enforcements!$C$7:$E$9,3,0)</f>
        <v>#N/A</v>
      </c>
      <c r="AD37" s="178">
        <f t="shared" si="10"/>
        <v>123</v>
      </c>
      <c r="AE37" s="77" t="str">
        <f t="shared" si="11"/>
        <v>aws s3 cp s3://rtdc.mdm.uploadarchive.raw/RTDC4060/ "%USERPROFILE%\AppData\Local\Temp\OnboardLogs"\RTDC4060\2017-11-20 --exclude "*" --recursive --include "*20171120*" &amp; "%USERPROFILE%\Documents\GitHub\mrs-test-scripts\Headless Mode &amp; Sideloading\WalkAndUnGZ.bat" "%USERPROFILE%\AppData\Local\Temp\OnboardLogs"\RTDC4060\2017-11-20 &amp; aws s3 cp s3://rtdc.mdm.uploadarchive.raw/RTDC4060/ "%USERPROFILE%\AppData\Local\Temp\OnboardLogs"\RTDC4060\2017-11-21 --exclude "*" --recursive --include "*20171121*" &amp; "%USERPROFILE%\Documents\GitHub\mrs-test-scripts\Headless Mode &amp; Sideloading\WalkAndUnGZ.bat" "%USERPROFILE%\AppData\Local\Temp\OnboardLogs"\RTDC4060\2017-11-21</v>
      </c>
      <c r="AF37" s="74" t="str">
        <f t="shared" si="12"/>
        <v>"C:\Program Files (x86)\AstroGrep\AstroGrep.exe" /e /r /s /spath="%USERPROFILE%\AppData\Local\Temp\OnboardLogs" /stypes="app*4060*20171120*" /stext=" 14:.+((SYSTEM_STATE.+slice.+state.+changed )|(ment ac)|(multiple cpu faults)|(system.+state.+changed )|(\[timeout)|(PRM\|1\|D)|(kpr)|(kdp)|(train st.+moving)|(\|lc)|(penalty))"</v>
      </c>
      <c r="AG37" s="181" t="str">
        <f t="shared" si="13"/>
        <v>EC</v>
      </c>
      <c r="AH37" s="78" t="str">
        <f t="shared" si="19"/>
        <v>"%USERPROFILE%\Documents\GitHub\eaglep3\Utilities\RefineRTDCRunTimes.py" --tripid 123-20 --locoid 4060 --swversion DE.1.0.9.0 --startMP 204:464 --initTime 2017-11-20T06:26:08 --startdatetime 2017-11-20T06:30:30 --delay 54 --endMP 204:233315 --enddatetime 2017-11-20T07:06:05 --enforcementcount 0 &gt;&gt;%USERPROFILE%\Documents\GitHub\eaglep3-reporting\EC\2017-11-20-refined-times.txt</v>
      </c>
      <c r="AI37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{"issue":{"subject":"","project_id":79,"tracker_id":40,"status_id":1,"priority_id":2,"assigned_to_id":338,"start_date":"2017-11-20","description":"","custom_fields":[{"id":1,"name":"Subdivision","value":"EC"},{"id":4,"name":"Milepost","value":"23.3315"},{"id":17,"name":"Train ID","value":"123-20"},{"id":16,"name":"Locomotive ID","value":"4060"},{"id":130,"name":"Impact","value":""},{"id":150,"name":"Time of Event (Mountain Time)","value":"07:06:05"},{"id":151,"name":"Denver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1" t="str">
        <f t="shared" si="21"/>
        <v>start /low /b %USERPROFILE%\Documents\GitHub\eaglep3\Utilities\DownloadLogsFromS3.py --loco 4060 --day 2017-11-20</v>
      </c>
      <c r="AN37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14:06:05"},{"id":29,"name":"Sharepoint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7" t="str">
        <f t="shared" si="23"/>
        <v>https://d0f6bd738d7f1b3e5a7ca70fe4ff75f0.us-east-1.aws.found.io/app/kibana#/discover/Steve-Slow-Train-Analysis-(2080s-and-2083s)?_g=(refreshInterval:(display:Off,pause:!f,section:0,value:0),time:(from:'2017-11-20T05:26:08-0700',mode:absolute,to:'2017-11-20T08:06:05-0700'))&amp;_a=(columns:!('Message%20ID',Summary),filters:!(),index:'emp_*',interval:auto,query:(query_string:(analyze_wildcard:!t,query:'%22rtdc.l.rtdc.4060%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654</v>
      </c>
      <c r="B38" s="7">
        <v>4059</v>
      </c>
      <c r="C38" s="21" t="s">
        <v>192</v>
      </c>
      <c r="D38" s="21" t="s">
        <v>910</v>
      </c>
      <c r="E38" s="13">
        <v>43059.304699074077</v>
      </c>
      <c r="F38" s="13">
        <v>43059.310648148145</v>
      </c>
      <c r="G38" s="7">
        <v>50</v>
      </c>
      <c r="H38" s="21" t="s">
        <v>911</v>
      </c>
      <c r="I38" s="13">
        <v>43059.337395833332</v>
      </c>
      <c r="J38" s="7">
        <v>0</v>
      </c>
      <c r="K38" s="89" t="str">
        <f t="shared" si="0"/>
        <v>4059/4060</v>
      </c>
      <c r="L38" s="184" t="str">
        <f>VLOOKUP(A38,'Trips&amp;Operators'!$C$1:$G$99911,5,FALSE)</f>
        <v>MAELZER KURT</v>
      </c>
      <c r="M38" s="6">
        <f t="shared" si="1"/>
        <v>2.6747685187729076E-2</v>
      </c>
      <c r="N38" s="7">
        <f t="shared" si="24"/>
        <v>38.516666670329869</v>
      </c>
      <c r="O38" s="7"/>
      <c r="P38" s="7"/>
      <c r="Q38" s="22"/>
      <c r="R38" s="173"/>
      <c r="S38" s="220">
        <f t="shared" si="25"/>
        <v>1</v>
      </c>
      <c r="T38" s="173" t="str">
        <f t="shared" si="4"/>
        <v>Southbound</v>
      </c>
      <c r="U38" s="19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5" t="str">
        <f t="shared" si="5"/>
        <v>https://d0f6bd738d7f1b3e5a7ca70fe4ff75f0.us-east-1.aws.found.io/app/kibana#/discover/Steve-Slow-Train-Analysis-(2080s-and-2083s)?_g=(refreshInterval:(display:Off,pause:!f,section:0,value:0),time:(from:'2017-11-20T06:18:46-0700',mode:absolute,to:'2017-11-20T09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8" s="203" t="str">
        <f>IF(AA38&lt;VLOOKUP(AG38,Variables!$AC$3:$AD$8,2,FALSE),"Y","N")</f>
        <v>N</v>
      </c>
      <c r="X38" s="203">
        <f t="shared" si="6"/>
        <v>1</v>
      </c>
      <c r="Y38" s="203">
        <f t="shared" si="7"/>
        <v>23.3002</v>
      </c>
      <c r="Z38" s="203">
        <f t="shared" si="8"/>
        <v>1.89E-2</v>
      </c>
      <c r="AA38" s="203">
        <f t="shared" si="9"/>
        <v>23.281300000000002</v>
      </c>
      <c r="AB38" s="54" t="e">
        <f>VLOOKUP(A38,Enforcements!$C$7:$K$9,8,0)</f>
        <v>#N/A</v>
      </c>
      <c r="AC38" s="51" t="e">
        <f>VLOOKUP(A38,Enforcements!$C$7:$E$9,3,0)</f>
        <v>#N/A</v>
      </c>
      <c r="AD38" s="178">
        <f t="shared" si="10"/>
        <v>124</v>
      </c>
      <c r="AE38" s="77" t="str">
        <f t="shared" si="11"/>
        <v>aws s3 cp s3://rtdc.mdm.uploadarchive.raw/RTDC4059/ "%USERPROFILE%\AppData\Local\Temp\OnboardLogs"\RTDC4059\2017-11-20 --exclude "*" --recursive --include "*20171120*" &amp; "%USERPROFILE%\Documents\GitHub\mrs-test-scripts\Headless Mode &amp; Sideloading\WalkAndUnGZ.bat" "%USERPROFILE%\AppData\Local\Temp\OnboardLogs"\RTDC4059\2017-11-20 &amp; aws s3 cp s3://rtdc.mdm.uploadarchive.raw/RTDC4059/ "%USERPROFILE%\AppData\Local\Temp\OnboardLogs"\RTDC4059\2017-11-21 --exclude "*" --recursive --include "*20171121*" &amp; "%USERPROFILE%\Documents\GitHub\mrs-test-scripts\Headless Mode &amp; Sideloading\WalkAndUnGZ.bat" "%USERPROFILE%\AppData\Local\Temp\OnboardLogs"\RTDC4059\2017-11-21</v>
      </c>
      <c r="AF38" s="74" t="str">
        <f t="shared" si="12"/>
        <v>"C:\Program Files (x86)\AstroGrep\AstroGrep.exe" /e /r /s /spath="%USERPROFILE%\AppData\Local\Temp\OnboardLogs" /stypes="app*4059*20171120*" /stext=" 15:.+((SYSTEM_STATE.+slice.+state.+changed )|(ment ac)|(multiple cpu faults)|(system.+state.+changed )|(\[timeout)|(PRM\|1\|D)|(kpr)|(kdp)|(train st.+moving)|(\|lc)|(penalty))"</v>
      </c>
      <c r="AG38" s="181" t="str">
        <f t="shared" si="13"/>
        <v>EC</v>
      </c>
      <c r="AH38" s="78" t="str">
        <f t="shared" si="19"/>
        <v>"%USERPROFILE%\Documents\GitHub\eaglep3\Utilities\RefineRTDCRunTimes.py" --tripid 124-20 --locoid 4059 --swversion DE.1.0.9.0 --startMP 204:233002 --initTime 2017-11-20T07:18:46 --startdatetime 2017-11-20T07:27:20 --delay 50 --endMP 204:189 --enddatetime 2017-11-20T08:05:51 --enforcementcount 0 &gt;&gt;%USERPROFILE%\Documents\GitHub\eaglep3-reporting\EC\2017-11-20-refined-times.txt</v>
      </c>
      <c r="AI38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{"issue":{"subject":"","project_id":79,"tracker_id":40,"status_id":1,"priority_id":2,"assigned_to_id":338,"start_date":"2017-11-20","description":"","custom_fields":[{"id":1,"name":"Subdivision","value":"EC"},{"id":4,"name":"Milepost","value":"0.0189"},{"id":17,"name":"Train ID","value":"124-20"},{"id":16,"name":"Locomotive ID","value":"4059"},{"id":130,"name":"Impact","value":""},{"id":150,"name":"Time of Event (Mountain Time)","value":"08:05:51"},{"id":151,"name":"Denver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1" t="str">
        <f t="shared" si="21"/>
        <v>start /low /b %USERPROFILE%\Documents\GitHub\eaglep3\Utilities\DownloadLogsFromS3.py --loco 4059 --day 2017-11-20</v>
      </c>
      <c r="AN38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15:05:51"},{"id":29,"name":"Sharepoint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7" t="str">
        <f t="shared" si="23"/>
        <v>https://d0f6bd738d7f1b3e5a7ca70fe4ff75f0.us-east-1.aws.found.io/app/kibana#/discover/Steve-Slow-Train-Analysis-(2080s-and-2083s)?_g=(refreshInterval:(display:Off,pause:!f,section:0,value:0),time:(from:'2017-11-20T06:18:46-0700',mode:absolute,to:'2017-11-20T09:05:51-0700'))&amp;_a=(columns:!('Message%20ID',Summary),filters:!(),index:'emp_*',interval:auto,query:(query_string:(analyze_wildcard:!t,query:'%22rtdc.l.rtdc.4059%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720</v>
      </c>
      <c r="B39" s="7">
        <v>4026</v>
      </c>
      <c r="C39" s="21" t="s">
        <v>192</v>
      </c>
      <c r="D39" s="21" t="s">
        <v>641</v>
      </c>
      <c r="E39" s="13">
        <v>43059.278668981482</v>
      </c>
      <c r="F39" s="13">
        <v>43059.281759259262</v>
      </c>
      <c r="G39" s="7">
        <v>62</v>
      </c>
      <c r="H39" s="21" t="s">
        <v>912</v>
      </c>
      <c r="I39" s="13">
        <v>43059.306840277779</v>
      </c>
      <c r="J39" s="7">
        <v>0</v>
      </c>
      <c r="K39" s="89" t="str">
        <f t="shared" si="0"/>
        <v>4025/4026</v>
      </c>
      <c r="L39" s="184" t="str">
        <f>VLOOKUP(A39,'Trips&amp;Operators'!$C$1:$G$99911,5,FALSE)</f>
        <v>THOMPSON LESTER</v>
      </c>
      <c r="M39" s="6">
        <f t="shared" si="1"/>
        <v>2.5081018517084885E-2</v>
      </c>
      <c r="N39" s="7">
        <f t="shared" si="24"/>
        <v>36.116666664602235</v>
      </c>
      <c r="O39" s="7"/>
      <c r="P39" s="7"/>
      <c r="Q39" s="22"/>
      <c r="R39" s="173"/>
      <c r="S39" s="220">
        <f t="shared" si="25"/>
        <v>1</v>
      </c>
      <c r="T39" s="173" t="str">
        <f t="shared" si="4"/>
        <v>NorthBound</v>
      </c>
      <c r="U39" s="19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5" t="str">
        <f t="shared" si="5"/>
        <v>https://d0f6bd738d7f1b3e5a7ca70fe4ff75f0.us-east-1.aws.found.io/app/kibana#/discover/Steve-Slow-Train-Analysis-(2080s-and-2083s)?_g=(refreshInterval:(display:Off,pause:!f,section:0,value:0),time:(from:'2017-11-20T05:41:17-0700',mode:absolute,to:'2017-11-20T08:21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9" s="203" t="str">
        <f>IF(AA39&lt;VLOOKUP(AG39,Variables!$AC$3:$AD$8,2,FALSE),"Y","N")</f>
        <v>N</v>
      </c>
      <c r="X39" s="203">
        <f t="shared" si="6"/>
        <v>1</v>
      </c>
      <c r="Y39" s="203">
        <f t="shared" si="7"/>
        <v>5.6599999999999998E-2</v>
      </c>
      <c r="Z39" s="203">
        <f t="shared" si="8"/>
        <v>23.334499999999998</v>
      </c>
      <c r="AA39" s="203">
        <f t="shared" si="9"/>
        <v>23.277899999999999</v>
      </c>
      <c r="AB39" s="54" t="e">
        <f>VLOOKUP(A39,Enforcements!$C$7:$K$9,8,0)</f>
        <v>#N/A</v>
      </c>
      <c r="AC39" s="51" t="e">
        <f>VLOOKUP(A39,Enforcements!$C$7:$E$9,3,0)</f>
        <v>#N/A</v>
      </c>
      <c r="AD39" s="178">
        <f t="shared" si="10"/>
        <v>125</v>
      </c>
      <c r="AE39" s="77" t="str">
        <f t="shared" si="11"/>
        <v>aws s3 cp s3://rtdc.mdm.uploadarchive.raw/RTDC4026/ "%USERPROFILE%\AppData\Local\Temp\OnboardLogs"\RTDC4026\2017-11-20 --exclude "*" --recursive --include "*20171120*" &amp; "%USERPROFILE%\Documents\GitHub\mrs-test-scripts\Headless Mode &amp; Sideloading\WalkAndUnGZ.bat" "%USERPROFILE%\AppData\Local\Temp\OnboardLogs"\RTDC4026\2017-11-20 &amp; aws s3 cp s3://rtdc.mdm.uploadarchive.raw/RTDC4026/ "%USERPROFILE%\AppData\Local\Temp\OnboardLogs"\RTDC4026\2017-11-21 --exclude "*" --recursive --include "*20171121*" &amp; "%USERPROFILE%\Documents\GitHub\mrs-test-scripts\Headless Mode &amp; Sideloading\WalkAndUnGZ.bat" "%USERPROFILE%\AppData\Local\Temp\OnboardLogs"\RTDC4026\2017-11-21</v>
      </c>
      <c r="AF39" s="74" t="str">
        <f t="shared" si="12"/>
        <v>"C:\Program Files (x86)\AstroGrep\AstroGrep.exe" /e /r /s /spath="%USERPROFILE%\AppData\Local\Temp\OnboardLogs" /stypes="app*4026*20171120*" /stext=" 14:.+((SYSTEM_STATE.+slice.+state.+changed )|(ment ac)|(multiple cpu faults)|(system.+state.+changed )|(\[timeout)|(PRM\|1\|D)|(kpr)|(kdp)|(train st.+moving)|(\|lc)|(penalty))"</v>
      </c>
      <c r="AG39" s="181" t="str">
        <f t="shared" si="13"/>
        <v>EC</v>
      </c>
      <c r="AH39" s="78" t="str">
        <f t="shared" si="19"/>
        <v>"%USERPROFILE%\Documents\GitHub\eaglep3\Utilities\RefineRTDCRunTimes.py" --tripid 125-20 --locoid 4026 --swversion DE.1.0.9.0 --startMP 204:566 --initTime 2017-11-20T06:41:17 --startdatetime 2017-11-20T06:45:44 --delay 62 --endMP 204:233345 --enddatetime 2017-11-20T07:21:51 --enforcementcount 0 &gt;&gt;%USERPROFILE%\Documents\GitHub\eaglep3-reporting\EC\2017-11-20-refined-times.txt</v>
      </c>
      <c r="AI39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{"issue":{"subject":"","project_id":79,"tracker_id":40,"status_id":1,"priority_id":2,"assigned_to_id":338,"start_date":"2017-11-20","description":"","custom_fields":[{"id":1,"name":"Subdivision","value":"EC"},{"id":4,"name":"Milepost","value":"23.3345"},{"id":17,"name":"Train ID","value":"125-20"},{"id":16,"name":"Locomotive ID","value":"4026"},{"id":130,"name":"Impact","value":""},{"id":150,"name":"Time of Event (Mountain Time)","value":"07:21:51"},{"id":151,"name":"Denver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1" t="str">
        <f t="shared" si="21"/>
        <v>start /low /b %USERPROFILE%\Documents\GitHub\eaglep3\Utilities\DownloadLogsFromS3.py --loco 4026 --day 2017-11-20</v>
      </c>
      <c r="AN39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14:21:51"},{"id":29,"name":"Sharepoint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7" t="str">
        <f t="shared" si="23"/>
        <v>https://d0f6bd738d7f1b3e5a7ca70fe4ff75f0.us-east-1.aws.found.io/app/kibana#/discover/Steve-Slow-Train-Analysis-(2080s-and-2083s)?_g=(refreshInterval:(display:Off,pause:!f,section:0,value:0),time:(from:'2017-11-20T05:41:17-0700',mode:absolute,to:'2017-11-20T08:21:51-0700'))&amp;_a=(columns:!('Message%20ID',Summary),filters:!(),index:'emp_*',interval:auto,query:(query_string:(analyze_wildcard:!t,query:'%22rtdc.l.rtdc.4026%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727</v>
      </c>
      <c r="B40" s="7">
        <v>4025</v>
      </c>
      <c r="C40" s="21" t="s">
        <v>192</v>
      </c>
      <c r="D40" s="21" t="s">
        <v>913</v>
      </c>
      <c r="E40" s="13">
        <v>43059.319178240738</v>
      </c>
      <c r="F40" s="13">
        <v>43059.321076388886</v>
      </c>
      <c r="G40" s="7">
        <v>52</v>
      </c>
      <c r="H40" s="21" t="s">
        <v>906</v>
      </c>
      <c r="I40" s="13">
        <v>43059.349479166667</v>
      </c>
      <c r="J40" s="7">
        <v>0</v>
      </c>
      <c r="K40" s="89" t="str">
        <f t="shared" si="0"/>
        <v>4025/4026</v>
      </c>
      <c r="L40" s="184" t="str">
        <f>VLOOKUP(A40,'Trips&amp;Operators'!$C$1:$G$99911,5,FALSE)</f>
        <v>THOMPSON LESTER</v>
      </c>
      <c r="M40" s="6">
        <f t="shared" si="1"/>
        <v>2.8402777781593613E-2</v>
      </c>
      <c r="N40" s="7">
        <f t="shared" si="24"/>
        <v>40.900000005494803</v>
      </c>
      <c r="O40" s="7"/>
      <c r="P40" s="7"/>
      <c r="Q40" s="22"/>
      <c r="R40" s="173"/>
      <c r="S40" s="220">
        <f t="shared" si="25"/>
        <v>1</v>
      </c>
      <c r="T40" s="173" t="str">
        <f t="shared" si="4"/>
        <v>Southbound</v>
      </c>
      <c r="U40" s="19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5" t="str">
        <f t="shared" si="5"/>
        <v>https://d0f6bd738d7f1b3e5a7ca70fe4ff75f0.us-east-1.aws.found.io/app/kibana#/discover/Steve-Slow-Train-Analysis-(2080s-and-2083s)?_g=(refreshInterval:(display:Off,pause:!f,section:0,value:0),time:(from:'2017-11-20T06:39:37-0700',mode:absolute,to:'2017-11-20T09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0" s="203" t="str">
        <f>IF(AA40&lt;VLOOKUP(AG40,Variables!$AC$3:$AD$8,2,FALSE),"Y","N")</f>
        <v>N</v>
      </c>
      <c r="X40" s="203">
        <f t="shared" si="6"/>
        <v>1</v>
      </c>
      <c r="Y40" s="203">
        <f t="shared" si="7"/>
        <v>23.302499999999998</v>
      </c>
      <c r="Z40" s="203">
        <f t="shared" si="8"/>
        <v>1.4500000000000001E-2</v>
      </c>
      <c r="AA40" s="203">
        <f t="shared" si="9"/>
        <v>23.287999999999997</v>
      </c>
      <c r="AB40" s="54" t="e">
        <f>VLOOKUP(A40,Enforcements!$C$7:$K$9,8,0)</f>
        <v>#N/A</v>
      </c>
      <c r="AC40" s="51" t="e">
        <f>VLOOKUP(A40,Enforcements!$C$7:$E$9,3,0)</f>
        <v>#N/A</v>
      </c>
      <c r="AD40" s="178">
        <f t="shared" si="10"/>
        <v>126</v>
      </c>
      <c r="AE40" s="77" t="str">
        <f t="shared" si="11"/>
        <v>aws s3 cp s3://rtdc.mdm.uploadarchive.raw/RTDC4025/ "%USERPROFILE%\AppData\Local\Temp\OnboardLogs"\RTDC4025\2017-11-20 --exclude "*" --recursive --include "*20171120*" &amp; "%USERPROFILE%\Documents\GitHub\mrs-test-scripts\Headless Mode &amp; Sideloading\WalkAndUnGZ.bat" "%USERPROFILE%\AppData\Local\Temp\OnboardLogs"\RTDC4025\2017-11-20 &amp; aws s3 cp s3://rtdc.mdm.uploadarchive.raw/RTDC4025/ "%USERPROFILE%\AppData\Local\Temp\OnboardLogs"\RTDC4025\2017-11-21 --exclude "*" --recursive --include "*20171121*" &amp; "%USERPROFILE%\Documents\GitHub\mrs-test-scripts\Headless Mode &amp; Sideloading\WalkAndUnGZ.bat" "%USERPROFILE%\AppData\Local\Temp\OnboardLogs"\RTDC4025\2017-11-21</v>
      </c>
      <c r="AF40" s="74" t="str">
        <f t="shared" si="12"/>
        <v>"C:\Program Files (x86)\AstroGrep\AstroGrep.exe" /e /r /s /spath="%USERPROFILE%\AppData\Local\Temp\OnboardLogs" /stypes="app*4025*20171120*" /stext=" 15:.+((SYSTEM_STATE.+slice.+state.+changed )|(ment ac)|(multiple cpu faults)|(system.+state.+changed )|(\[timeout)|(PRM\|1\|D)|(kpr)|(kdp)|(train st.+moving)|(\|lc)|(penalty))"</v>
      </c>
      <c r="AG40" s="181" t="str">
        <f t="shared" si="13"/>
        <v>EC</v>
      </c>
      <c r="AH40" s="78" t="str">
        <f t="shared" si="19"/>
        <v>"%USERPROFILE%\Documents\GitHub\eaglep3\Utilities\RefineRTDCRunTimes.py" --tripid 126-20 --locoid 4025 --swversion DE.1.0.9.0 --startMP 204:233025 --initTime 2017-11-20T07:39:37 --startdatetime 2017-11-20T07:42:21 --delay 52 --endMP 204:145 --enddatetime 2017-11-20T08:23:15 --enforcementcount 0 &gt;&gt;%USERPROFILE%\Documents\GitHub\eaglep3-reporting\EC\2017-11-20-refined-times.txt</v>
      </c>
      <c r="AI40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{"issue":{"subject":"","project_id":79,"tracker_id":40,"status_id":1,"priority_id":2,"assigned_to_id":338,"start_date":"2017-11-20","description":"","custom_fields":[{"id":1,"name":"Subdivision","value":"EC"},{"id":4,"name":"Milepost","value":"0.0145"},{"id":17,"name":"Train ID","value":"126-20"},{"id":16,"name":"Locomotive ID","value":"4025"},{"id":130,"name":"Impact","value":""},{"id":150,"name":"Time of Event (Mountain Time)","value":"08:23:15"},{"id":151,"name":"Denver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1" t="str">
        <f t="shared" si="21"/>
        <v>start /low /b %USERPROFILE%\Documents\GitHub\eaglep3\Utilities\DownloadLogsFromS3.py --loco 4025 --day 2017-11-20</v>
      </c>
      <c r="AN40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15:23:15"},{"id":29,"name":"Sharepoint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7" t="str">
        <f t="shared" si="23"/>
        <v>https://d0f6bd738d7f1b3e5a7ca70fe4ff75f0.us-east-1.aws.found.io/app/kibana#/discover/Steve-Slow-Train-Analysis-(2080s-and-2083s)?_g=(refreshInterval:(display:Off,pause:!f,section:0,value:0),time:(from:'2017-11-20T06:39:37-0700',mode:absolute,to:'2017-11-20T09:23:15-0700'))&amp;_a=(columns:!('Message%20ID',Summary),filters:!(),index:'emp_*',interval:auto,query:(query_string:(analyze_wildcard:!t,query:'%22rtdc.l.rtdc.4025%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653</v>
      </c>
      <c r="B41" s="7">
        <v>4006</v>
      </c>
      <c r="C41" s="21" t="s">
        <v>192</v>
      </c>
      <c r="D41" s="21" t="s">
        <v>500</v>
      </c>
      <c r="E41" s="13">
        <v>43059.28633101852</v>
      </c>
      <c r="F41" s="13">
        <v>43059.291875000003</v>
      </c>
      <c r="G41" s="7">
        <v>62</v>
      </c>
      <c r="H41" s="21" t="s">
        <v>914</v>
      </c>
      <c r="I41" s="13">
        <v>43059.316481481481</v>
      </c>
      <c r="J41" s="7">
        <v>0</v>
      </c>
      <c r="K41" s="89" t="str">
        <f t="shared" si="0"/>
        <v>4005/4006</v>
      </c>
      <c r="L41" s="184" t="str">
        <f>VLOOKUP(A41,'Trips&amp;Operators'!$C$1:$G$99911,5,FALSE)</f>
        <v>DAVIDSON DAVID</v>
      </c>
      <c r="M41" s="6">
        <f t="shared" si="1"/>
        <v>2.4606481478258502E-2</v>
      </c>
      <c r="N41" s="7">
        <f t="shared" si="24"/>
        <v>35.433333328692243</v>
      </c>
      <c r="O41" s="7"/>
      <c r="P41" s="7"/>
      <c r="Q41" s="22"/>
      <c r="R41" s="173"/>
      <c r="S41" s="220">
        <f t="shared" si="25"/>
        <v>1</v>
      </c>
      <c r="T41" s="173" t="str">
        <f t="shared" si="4"/>
        <v>NorthBound</v>
      </c>
      <c r="U41" s="19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5" t="str">
        <f t="shared" si="5"/>
        <v>https://d0f6bd738d7f1b3e5a7ca70fe4ff75f0.us-east-1.aws.found.io/app/kibana#/discover/Steve-Slow-Train-Analysis-(2080s-and-2083s)?_g=(refreshInterval:(display:Off,pause:!f,section:0,value:0),time:(from:'2017-11-20T05:52:19-0700',mode:absolute,to:'2017-11-20T08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1" s="203" t="str">
        <f>IF(AA41&lt;VLOOKUP(AG41,Variables!$AC$3:$AD$8,2,FALSE),"Y","N")</f>
        <v>N</v>
      </c>
      <c r="X41" s="203">
        <f t="shared" si="6"/>
        <v>1</v>
      </c>
      <c r="Y41" s="203">
        <f t="shared" si="7"/>
        <v>5.1299999999999998E-2</v>
      </c>
      <c r="Z41" s="203">
        <f t="shared" si="8"/>
        <v>23.3172</v>
      </c>
      <c r="AA41" s="203">
        <f t="shared" si="9"/>
        <v>23.265899999999998</v>
      </c>
      <c r="AB41" s="54" t="e">
        <f>VLOOKUP(A41,Enforcements!$C$7:$K$9,8,0)</f>
        <v>#N/A</v>
      </c>
      <c r="AC41" s="51" t="e">
        <f>VLOOKUP(A41,Enforcements!$C$7:$E$9,3,0)</f>
        <v>#N/A</v>
      </c>
      <c r="AD41" s="178">
        <f t="shared" si="10"/>
        <v>127</v>
      </c>
      <c r="AE41" s="77" t="str">
        <f t="shared" si="11"/>
        <v>aws s3 cp s3://rtdc.mdm.uploadarchive.raw/RTDC4006/ "%USERPROFILE%\AppData\Local\Temp\OnboardLogs"\RTDC4006\2017-11-20 --exclude "*" --recursive --include "*20171120*" &amp; "%USERPROFILE%\Documents\GitHub\mrs-test-scripts\Headless Mode &amp; Sideloading\WalkAndUnGZ.bat" "%USERPROFILE%\AppData\Local\Temp\OnboardLogs"\RTDC4006\2017-11-20 &amp; aws s3 cp s3://rtdc.mdm.uploadarchive.raw/RTDC4006/ "%USERPROFILE%\AppData\Local\Temp\OnboardLogs"\RTDC4006\2017-11-21 --exclude "*" --recursive --include "*20171121*" &amp; "%USERPROFILE%\Documents\GitHub\mrs-test-scripts\Headless Mode &amp; Sideloading\WalkAndUnGZ.bat" "%USERPROFILE%\AppData\Local\Temp\OnboardLogs"\RTDC4006\2017-11-21</v>
      </c>
      <c r="AF41" s="74" t="str">
        <f t="shared" si="12"/>
        <v>"C:\Program Files (x86)\AstroGrep\AstroGrep.exe" /e /r /s /spath="%USERPROFILE%\AppData\Local\Temp\OnboardLogs" /stypes="app*4006*20171120*" /stext=" 14:.+((SYSTEM_STATE.+slice.+state.+changed )|(ment ac)|(multiple cpu faults)|(system.+state.+changed )|(\[timeout)|(PRM\|1\|D)|(kpr)|(kdp)|(train st.+moving)|(\|lc)|(penalty))"</v>
      </c>
      <c r="AG41" s="181" t="str">
        <f t="shared" si="13"/>
        <v>EC</v>
      </c>
      <c r="AH41" s="78" t="str">
        <f t="shared" si="19"/>
        <v>"%USERPROFILE%\Documents\GitHub\eaglep3\Utilities\RefineRTDCRunTimes.py" --tripid 127-20 --locoid 4006 --swversion DE.1.0.9.0 --startMP 204:513 --initTime 2017-11-20T06:52:19 --startdatetime 2017-11-20T07:00:18 --delay 62 --endMP 204:233172 --enddatetime 2017-11-20T07:35:44 --enforcementcount 0 &gt;&gt;%USERPROFILE%\Documents\GitHub\eaglep3-reporting\EC\2017-11-20-refined-times.txt</v>
      </c>
      <c r="AI41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{"issue":{"subject":"","project_id":79,"tracker_id":40,"status_id":1,"priority_id":2,"assigned_to_id":338,"start_date":"2017-11-20","description":"","custom_fields":[{"id":1,"name":"Subdivision","value":"EC"},{"id":4,"name":"Milepost","value":"23.3172"},{"id":17,"name":"Train ID","value":"127-20"},{"id":16,"name":"Locomotive ID","value":"4006"},{"id":130,"name":"Impact","value":""},{"id":150,"name":"Time of Event (Mountain Time)","value":"07:35:44"},{"id":151,"name":"Denver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1" t="str">
        <f t="shared" si="21"/>
        <v>start /low /b %USERPROFILE%\Documents\GitHub\eaglep3\Utilities\DownloadLogsFromS3.py --loco 4006 --day 2017-11-20</v>
      </c>
      <c r="AN41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14:35:44"},{"id":29,"name":"Sharepoint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7" t="str">
        <f t="shared" si="23"/>
        <v>https://d0f6bd738d7f1b3e5a7ca70fe4ff75f0.us-east-1.aws.found.io/app/kibana#/discover/Steve-Slow-Train-Analysis-(2080s-and-2083s)?_g=(refreshInterval:(display:Off,pause:!f,section:0,value:0),time:(from:'2017-11-20T05:52:19-0700',mode:absolute,to:'2017-11-20T08:35:44-0700'))&amp;_a=(columns:!('Message%20ID',Summary),filters:!(),index:'emp_*',interval:auto,query:(query_string:(analyze_wildcard:!t,query:'%22rtdc.l.rtdc.4006%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728</v>
      </c>
      <c r="B42" s="7">
        <v>4005</v>
      </c>
      <c r="C42" s="21" t="s">
        <v>192</v>
      </c>
      <c r="D42" s="21" t="s">
        <v>915</v>
      </c>
      <c r="E42" s="13">
        <v>43059.324652777781</v>
      </c>
      <c r="F42" s="13">
        <v>43059.331469907411</v>
      </c>
      <c r="G42" s="7">
        <v>67</v>
      </c>
      <c r="H42" s="21" t="s">
        <v>507</v>
      </c>
      <c r="I42" s="13">
        <v>43059.358090277776</v>
      </c>
      <c r="J42" s="7">
        <v>0</v>
      </c>
      <c r="K42" s="89" t="str">
        <f t="shared" si="0"/>
        <v>4005/4006</v>
      </c>
      <c r="L42" s="184" t="str">
        <f>VLOOKUP(A42,'Trips&amp;Operators'!$C$1:$G$99911,5,FALSE)</f>
        <v>DAVIDSON DAVID</v>
      </c>
      <c r="M42" s="6">
        <f t="shared" si="1"/>
        <v>2.6620370364980772E-2</v>
      </c>
      <c r="N42" s="7">
        <f t="shared" si="24"/>
        <v>38.333333325572312</v>
      </c>
      <c r="O42" s="7"/>
      <c r="P42" s="7"/>
      <c r="Q42" s="22"/>
      <c r="R42" s="173"/>
      <c r="S42" s="220">
        <f t="shared" si="25"/>
        <v>1</v>
      </c>
      <c r="T42" s="173" t="str">
        <f t="shared" si="4"/>
        <v>Southbound</v>
      </c>
      <c r="U42" s="19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5" t="str">
        <f t="shared" si="5"/>
        <v>https://d0f6bd738d7f1b3e5a7ca70fe4ff75f0.us-east-1.aws.found.io/app/kibana#/discover/Steve-Slow-Train-Analysis-(2080s-and-2083s)?_g=(refreshInterval:(display:Off,pause:!f,section:0,value:0),time:(from:'2017-11-20T06:47:30-0700',mode:absolute,to:'2017-11-20T09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2" s="203" t="str">
        <f>IF(AA42&lt;VLOOKUP(AG42,Variables!$AC$3:$AD$8,2,FALSE),"Y","N")</f>
        <v>N</v>
      </c>
      <c r="X42" s="203">
        <f t="shared" si="6"/>
        <v>1</v>
      </c>
      <c r="Y42" s="203">
        <f t="shared" si="7"/>
        <v>23.2851</v>
      </c>
      <c r="Z42" s="203">
        <f t="shared" si="8"/>
        <v>2.1600000000000001E-2</v>
      </c>
      <c r="AA42" s="203">
        <f t="shared" si="9"/>
        <v>23.263500000000001</v>
      </c>
      <c r="AB42" s="54" t="e">
        <f>VLOOKUP(A42,Enforcements!$C$7:$K$9,8,0)</f>
        <v>#N/A</v>
      </c>
      <c r="AC42" s="51" t="e">
        <f>VLOOKUP(A42,Enforcements!$C$7:$E$9,3,0)</f>
        <v>#N/A</v>
      </c>
      <c r="AD42" s="178">
        <f t="shared" si="10"/>
        <v>128</v>
      </c>
      <c r="AE42" s="77" t="str">
        <f t="shared" si="11"/>
        <v>aws s3 cp s3://rtdc.mdm.uploadarchive.raw/RTDC4005/ "%USERPROFILE%\AppData\Local\Temp\OnboardLogs"\RTDC4005\2017-11-20 --exclude "*" --recursive --include "*20171120*" &amp; "%USERPROFILE%\Documents\GitHub\mrs-test-scripts\Headless Mode &amp; Sideloading\WalkAndUnGZ.bat" "%USERPROFILE%\AppData\Local\Temp\OnboardLogs"\RTDC4005\2017-11-20 &amp; aws s3 cp s3://rtdc.mdm.uploadarchive.raw/RTDC4005/ "%USERPROFILE%\AppData\Local\Temp\OnboardLogs"\RTDC4005\2017-11-21 --exclude "*" --recursive --include "*20171121*" &amp; "%USERPROFILE%\Documents\GitHub\mrs-test-scripts\Headless Mode &amp; Sideloading\WalkAndUnGZ.bat" "%USERPROFILE%\AppData\Local\Temp\OnboardLogs"\RTDC4005\2017-11-21</v>
      </c>
      <c r="AF42" s="74" t="str">
        <f t="shared" si="12"/>
        <v>"C:\Program Files (x86)\AstroGrep\AstroGrep.exe" /e /r /s /spath="%USERPROFILE%\AppData\Local\Temp\OnboardLogs" /stypes="app*4005*20171120*" /stext=" 15:.+((SYSTEM_STATE.+slice.+state.+changed )|(ment ac)|(multiple cpu faults)|(system.+state.+changed )|(\[timeout)|(PRM\|1\|D)|(kpr)|(kdp)|(train st.+moving)|(\|lc)|(penalty))"</v>
      </c>
      <c r="AG42" s="181" t="str">
        <f t="shared" si="13"/>
        <v>EC</v>
      </c>
      <c r="AH42" s="78" t="str">
        <f t="shared" si="19"/>
        <v>"%USERPROFILE%\Documents\GitHub\eaglep3\Utilities\RefineRTDCRunTimes.py" --tripid 128-20 --locoid 4005 --swversion DE.1.0.9.0 --startMP 204:232851 --initTime 2017-11-20T07:47:30 --startdatetime 2017-11-20T07:57:19 --delay 67 --endMP 204:216 --enddatetime 2017-11-20T08:35:39 --enforcementcount 0 &gt;&gt;%USERPROFILE%\Documents\GitHub\eaglep3-reporting\EC\2017-11-20-refined-times.txt</v>
      </c>
      <c r="AI42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{"issue":{"subject":"","project_id":79,"tracker_id":40,"status_id":1,"priority_id":2,"assigned_to_id":338,"start_date":"2017-11-20","description":"","custom_fields":[{"id":1,"name":"Subdivision","value":"EC"},{"id":4,"name":"Milepost","value":"0.0216"},{"id":17,"name":"Train ID","value":"128-20"},{"id":16,"name":"Locomotive ID","value":"4005"},{"id":130,"name":"Impact","value":""},{"id":150,"name":"Time of Event (Mountain Time)","value":"08:35:39"},{"id":151,"name":"Denver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1" t="str">
        <f t="shared" si="21"/>
        <v>start /low /b %USERPROFILE%\Documents\GitHub\eaglep3\Utilities\DownloadLogsFromS3.py --loco 4005 --day 2017-11-20</v>
      </c>
      <c r="AN42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15:35:39"},{"id":29,"name":"Sharepoint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7" t="str">
        <f t="shared" si="23"/>
        <v>https://d0f6bd738d7f1b3e5a7ca70fe4ff75f0.us-east-1.aws.found.io/app/kibana#/discover/Steve-Slow-Train-Analysis-(2080s-and-2083s)?_g=(refreshInterval:(display:Off,pause:!f,section:0,value:0),time:(from:'2017-11-20T06:47:30-0700',mode:absolute,to:'2017-11-20T09:35:39-0700'))&amp;_a=(columns:!('Message%20ID',Summary),filters:!(),index:'emp_*',interval:auto,query:(query_string:(analyze_wildcard:!t,query:'%22rtdc.l.rtdc.4005%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722</v>
      </c>
      <c r="B43" s="7">
        <v>4018</v>
      </c>
      <c r="C43" s="21" t="s">
        <v>192</v>
      </c>
      <c r="D43" s="21" t="s">
        <v>916</v>
      </c>
      <c r="E43" s="13">
        <v>43059.299722222226</v>
      </c>
      <c r="F43" s="13">
        <v>43059.302499999998</v>
      </c>
      <c r="G43" s="7">
        <v>59</v>
      </c>
      <c r="H43" s="21" t="s">
        <v>496</v>
      </c>
      <c r="I43" s="13">
        <v>43059.328888888886</v>
      </c>
      <c r="J43" s="7">
        <v>0</v>
      </c>
      <c r="K43" s="89" t="str">
        <f t="shared" si="0"/>
        <v>4017/4018</v>
      </c>
      <c r="L43" s="184" t="str">
        <f>VLOOKUP(A43,'Trips&amp;Operators'!$C$1:$G$99911,5,FALSE)</f>
        <v>STARKS ANGELINA</v>
      </c>
      <c r="M43" s="6">
        <f t="shared" si="1"/>
        <v>2.6388888887595385E-2</v>
      </c>
      <c r="N43" s="7">
        <f t="shared" si="24"/>
        <v>37.999999998137355</v>
      </c>
      <c r="O43" s="7"/>
      <c r="P43" s="7"/>
      <c r="Q43" s="22"/>
      <c r="R43" s="173"/>
      <c r="S43" s="220">
        <f t="shared" si="25"/>
        <v>1</v>
      </c>
      <c r="T43" s="173" t="str">
        <f t="shared" si="4"/>
        <v>NorthBound</v>
      </c>
      <c r="U43" s="19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5" t="str">
        <f t="shared" si="5"/>
        <v>https://d0f6bd738d7f1b3e5a7ca70fe4ff75f0.us-east-1.aws.found.io/app/kibana#/discover/Steve-Slow-Train-Analysis-(2080s-and-2083s)?_g=(refreshInterval:(display:Off,pause:!f,section:0,value:0),time:(from:'2017-11-20T06:11:36-0700',mode:absolute,to:'2017-11-20T08:53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3" s="203" t="str">
        <f>IF(AA43&lt;VLOOKUP(AG43,Variables!$AC$3:$AD$8,2,FALSE),"Y","N")</f>
        <v>N</v>
      </c>
      <c r="X43" s="203">
        <f t="shared" si="6"/>
        <v>1</v>
      </c>
      <c r="Y43" s="203">
        <f t="shared" si="7"/>
        <v>4.58E-2</v>
      </c>
      <c r="Z43" s="203">
        <f t="shared" si="8"/>
        <v>23.329499999999999</v>
      </c>
      <c r="AA43" s="203">
        <f t="shared" si="9"/>
        <v>23.2837</v>
      </c>
      <c r="AB43" s="54" t="e">
        <f>VLOOKUP(A43,Enforcements!$C$7:$K$9,8,0)</f>
        <v>#N/A</v>
      </c>
      <c r="AC43" s="51" t="e">
        <f>VLOOKUP(A43,Enforcements!$C$7:$E$9,3,0)</f>
        <v>#N/A</v>
      </c>
      <c r="AD43" s="178">
        <f t="shared" si="10"/>
        <v>129</v>
      </c>
      <c r="AE43" s="77" t="str">
        <f t="shared" si="11"/>
        <v>aws s3 cp s3://rtdc.mdm.uploadarchive.raw/RTDC4018/ "%USERPROFILE%\AppData\Local\Temp\OnboardLogs"\RTDC4018\2017-11-20 --exclude "*" --recursive --include "*20171120*" &amp; "%USERPROFILE%\Documents\GitHub\mrs-test-scripts\Headless Mode &amp; Sideloading\WalkAndUnGZ.bat" "%USERPROFILE%\AppData\Local\Temp\OnboardLogs"\RTDC4018\2017-11-20 &amp; aws s3 cp s3://rtdc.mdm.uploadarchive.raw/RTDC4018/ "%USERPROFILE%\AppData\Local\Temp\OnboardLogs"\RTDC4018\2017-11-21 --exclude "*" --recursive --include "*20171121*" &amp; "%USERPROFILE%\Documents\GitHub\mrs-test-scripts\Headless Mode &amp; Sideloading\WalkAndUnGZ.bat" "%USERPROFILE%\AppData\Local\Temp\OnboardLogs"\RTDC4018\2017-11-21</v>
      </c>
      <c r="AF43" s="74" t="str">
        <f t="shared" si="12"/>
        <v>"C:\Program Files (x86)\AstroGrep\AstroGrep.exe" /e /r /s /spath="%USERPROFILE%\AppData\Local\Temp\OnboardLogs" /stypes="app*4018*20171120*" /stext=" 14:.+((SYSTEM_STATE.+slice.+state.+changed )|(ment ac)|(multiple cpu faults)|(system.+state.+changed )|(\[timeout)|(PRM\|1\|D)|(kpr)|(kdp)|(train st.+moving)|(\|lc)|(penalty))"</v>
      </c>
      <c r="AG43" s="181" t="str">
        <f t="shared" si="13"/>
        <v>EC</v>
      </c>
      <c r="AH43" s="78" t="str">
        <f t="shared" si="19"/>
        <v>"%USERPROFILE%\Documents\GitHub\eaglep3\Utilities\RefineRTDCRunTimes.py" --tripid 129-20 --locoid 4018 --swversion DE.1.0.9.0 --startMP 204:458 --initTime 2017-11-20T07:11:36 --startdatetime 2017-11-20T07:15:36 --delay 59 --endMP 204:233295 --enddatetime 2017-11-20T07:53:36 --enforcementcount 0 &gt;&gt;%USERPROFILE%\Documents\GitHub\eaglep3-reporting\EC\2017-11-20-refined-times.txt</v>
      </c>
      <c r="AI43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{"issue":{"subject":"","project_id":79,"tracker_id":40,"status_id":1,"priority_id":2,"assigned_to_id":338,"start_date":"2017-11-20","description":"","custom_fields":[{"id":1,"name":"Subdivision","value":"EC"},{"id":4,"name":"Milepost","value":"23.3295"},{"id":17,"name":"Train ID","value":"129-20"},{"id":16,"name":"Locomotive ID","value":"4018"},{"id":130,"name":"Impact","value":""},{"id":150,"name":"Time of Event (Mountain Time)","value":"07:53:36"},{"id":151,"name":"Denver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1" t="str">
        <f t="shared" si="21"/>
        <v>start /low /b %USERPROFILE%\Documents\GitHub\eaglep3\Utilities\DownloadLogsFromS3.py --loco 4018 --day 2017-11-20</v>
      </c>
      <c r="AN43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14:53:36"},{"id":29,"name":"Sharepoint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7" t="str">
        <f t="shared" si="23"/>
        <v>https://d0f6bd738d7f1b3e5a7ca70fe4ff75f0.us-east-1.aws.found.io/app/kibana#/discover/Steve-Slow-Train-Analysis-(2080s-and-2083s)?_g=(refreshInterval:(display:Off,pause:!f,section:0,value:0),time:(from:'2017-11-20T06:11:36-0700',mode:absolute,to:'2017-11-20T08:53:36-0700'))&amp;_a=(columns:!('Message%20ID',Summary),filters:!(),index:'emp_*',interval:auto,query:(query_string:(analyze_wildcard:!t,query:'%22rtdc.l.rtdc.4018%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731</v>
      </c>
      <c r="B44" s="7">
        <v>4017</v>
      </c>
      <c r="C44" s="21" t="s">
        <v>192</v>
      </c>
      <c r="D44" s="21" t="s">
        <v>524</v>
      </c>
      <c r="E44" s="13">
        <v>43059.334143518521</v>
      </c>
      <c r="F44" s="13">
        <v>43059.341932870368</v>
      </c>
      <c r="G44" s="7">
        <v>69</v>
      </c>
      <c r="H44" s="21" t="s">
        <v>917</v>
      </c>
      <c r="I44" s="13">
        <v>43059.369328703702</v>
      </c>
      <c r="J44" s="7">
        <v>0</v>
      </c>
      <c r="K44" s="89" t="str">
        <f t="shared" si="0"/>
        <v>4017/4018</v>
      </c>
      <c r="L44" s="184" t="str">
        <f>VLOOKUP(A44,'Trips&amp;Operators'!$C$1:$G$99911,5,FALSE)</f>
        <v>STARKS ANGELINA</v>
      </c>
      <c r="M44" s="6">
        <f t="shared" si="1"/>
        <v>2.7395833334594499E-2</v>
      </c>
      <c r="N44" s="7">
        <f t="shared" si="24"/>
        <v>39.450000001816079</v>
      </c>
      <c r="O44" s="7"/>
      <c r="P44" s="7"/>
      <c r="Q44" s="22"/>
      <c r="R44" s="173"/>
      <c r="S44" s="220">
        <f t="shared" si="25"/>
        <v>1</v>
      </c>
      <c r="T44" s="173" t="str">
        <f t="shared" si="4"/>
        <v>Southbound</v>
      </c>
      <c r="U44" s="19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5" t="str">
        <f t="shared" si="5"/>
        <v>https://d0f6bd738d7f1b3e5a7ca70fe4ff75f0.us-east-1.aws.found.io/app/kibana#/discover/Steve-Slow-Train-Analysis-(2080s-and-2083s)?_g=(refreshInterval:(display:Off,pause:!f,section:0,value:0),time:(from:'2017-11-20T07:01:10-0700',mode:absolute,to:'2017-11-20T09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4" s="203" t="str">
        <f>IF(AA44&lt;VLOOKUP(AG44,Variables!$AC$3:$AD$8,2,FALSE),"Y","N")</f>
        <v>N</v>
      </c>
      <c r="X44" s="203">
        <f t="shared" si="6"/>
        <v>1</v>
      </c>
      <c r="Y44" s="203">
        <f t="shared" si="7"/>
        <v>23.297699999999999</v>
      </c>
      <c r="Z44" s="203">
        <f t="shared" si="8"/>
        <v>1.4999999999999999E-2</v>
      </c>
      <c r="AA44" s="203">
        <f t="shared" si="9"/>
        <v>23.282699999999998</v>
      </c>
      <c r="AB44" s="54" t="e">
        <f>VLOOKUP(A44,Enforcements!$C$7:$K$9,8,0)</f>
        <v>#N/A</v>
      </c>
      <c r="AC44" s="51" t="e">
        <f>VLOOKUP(A44,Enforcements!$C$7:$E$9,3,0)</f>
        <v>#N/A</v>
      </c>
      <c r="AD44" s="178">
        <f t="shared" si="10"/>
        <v>130</v>
      </c>
      <c r="AE44" s="77" t="str">
        <f t="shared" si="11"/>
        <v>aws s3 cp s3://rtdc.mdm.uploadarchive.raw/RTDC4017/ "%USERPROFILE%\AppData\Local\Temp\OnboardLogs"\RTDC4017\2017-11-20 --exclude "*" --recursive --include "*20171120*" &amp; "%USERPROFILE%\Documents\GitHub\mrs-test-scripts\Headless Mode &amp; Sideloading\WalkAndUnGZ.bat" "%USERPROFILE%\AppData\Local\Temp\OnboardLogs"\RTDC4017\2017-11-20 &amp; aws s3 cp s3://rtdc.mdm.uploadarchive.raw/RTDC4017/ "%USERPROFILE%\AppData\Local\Temp\OnboardLogs"\RTDC4017\2017-11-21 --exclude "*" --recursive --include "*20171121*" &amp; "%USERPROFILE%\Documents\GitHub\mrs-test-scripts\Headless Mode &amp; Sideloading\WalkAndUnGZ.bat" "%USERPROFILE%\AppData\Local\Temp\OnboardLogs"\RTDC4017\2017-11-21</v>
      </c>
      <c r="AF44" s="74" t="str">
        <f t="shared" si="12"/>
        <v>"C:\Program Files (x86)\AstroGrep\AstroGrep.exe" /e /r /s /spath="%USERPROFILE%\AppData\Local\Temp\OnboardLogs" /stypes="app*4017*20171120*" /stext=" 15:.+((SYSTEM_STATE.+slice.+state.+changed )|(ment ac)|(multiple cpu faults)|(system.+state.+changed )|(\[timeout)|(PRM\|1\|D)|(kpr)|(kdp)|(train st.+moving)|(\|lc)|(penalty))"</v>
      </c>
      <c r="AG44" s="181" t="str">
        <f t="shared" si="13"/>
        <v>EC</v>
      </c>
      <c r="AH44" s="78" t="str">
        <f t="shared" si="19"/>
        <v>"%USERPROFILE%\Documents\GitHub\eaglep3\Utilities\RefineRTDCRunTimes.py" --tripid 130-20 --locoid 4017 --swversion DE.1.0.9.0 --startMP 204:232977 --initTime 2017-11-20T08:01:10 --startdatetime 2017-11-20T08:12:23 --delay 69 --endMP 204:150 --enddatetime 2017-11-20T08:51:50 --enforcementcount 0 &gt;&gt;%USERPROFILE%\Documents\GitHub\eaglep3-reporting\EC\2017-11-20-refined-times.txt</v>
      </c>
      <c r="AI44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{"issue":{"subject":"","project_id":79,"tracker_id":40,"status_id":1,"priority_id":2,"assigned_to_id":338,"start_date":"2017-11-20","description":"","custom_fields":[{"id":1,"name":"Subdivision","value":"EC"},{"id":4,"name":"Milepost","value":"0.015"},{"id":17,"name":"Train ID","value":"130-20"},{"id":16,"name":"Locomotive ID","value":"4017"},{"id":130,"name":"Impact","value":""},{"id":150,"name":"Time of Event (Mountain Time)","value":"08:51:50"},{"id":151,"name":"Denver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1" t="str">
        <f t="shared" si="21"/>
        <v>start /low /b %USERPROFILE%\Documents\GitHub\eaglep3\Utilities\DownloadLogsFromS3.py --loco 4017 --day 2017-11-20</v>
      </c>
      <c r="AN44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15:51:50"},{"id":29,"name":"Sharepoint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7" t="str">
        <f t="shared" si="23"/>
        <v>https://d0f6bd738d7f1b3e5a7ca70fe4ff75f0.us-east-1.aws.found.io/app/kibana#/discover/Steve-Slow-Train-Analysis-(2080s-and-2083s)?_g=(refreshInterval:(display:Off,pause:!f,section:0,value:0),time:(from:'2017-11-20T07:01:10-0700',mode:absolute,to:'2017-11-20T09:51:50-0700'))&amp;_a=(columns:!('Message%20ID',Summary),filters:!(),index:'emp_*',interval:auto,query:(query_string:(analyze_wildcard:!t,query:'%22rtdc.l.rtdc.4017%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723</v>
      </c>
      <c r="B45" s="7">
        <v>4002</v>
      </c>
      <c r="C45" s="21" t="s">
        <v>192</v>
      </c>
      <c r="D45" s="21" t="s">
        <v>558</v>
      </c>
      <c r="E45" s="13">
        <v>43059.309560185182</v>
      </c>
      <c r="F45" s="13">
        <v>43059.312662037039</v>
      </c>
      <c r="G45" s="7">
        <v>68</v>
      </c>
      <c r="H45" s="21" t="s">
        <v>600</v>
      </c>
      <c r="I45" s="13">
        <v>43059.336805555555</v>
      </c>
      <c r="J45" s="7">
        <v>0</v>
      </c>
      <c r="K45" s="89" t="str">
        <f t="shared" si="0"/>
        <v>4001/4002</v>
      </c>
      <c r="L45" s="184" t="str">
        <f>VLOOKUP(A45,'Trips&amp;Operators'!$C$1:$G$99911,5,FALSE)</f>
        <v>LAMAR NEKESHA</v>
      </c>
      <c r="M45" s="6">
        <f t="shared" si="1"/>
        <v>2.414351851621177E-2</v>
      </c>
      <c r="N45" s="7">
        <f t="shared" si="24"/>
        <v>34.766666663344949</v>
      </c>
      <c r="O45" s="7"/>
      <c r="P45" s="7"/>
      <c r="Q45" s="22"/>
      <c r="R45" s="173"/>
      <c r="S45" s="220">
        <f t="shared" si="25"/>
        <v>1</v>
      </c>
      <c r="T45" s="173" t="str">
        <f t="shared" si="4"/>
        <v>NorthBound</v>
      </c>
      <c r="U45" s="19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5" t="str">
        <f t="shared" si="5"/>
        <v>https://d0f6bd738d7f1b3e5a7ca70fe4ff75f0.us-east-1.aws.found.io/app/kibana#/discover/Steve-Slow-Train-Analysis-(2080s-and-2083s)?_g=(refreshInterval:(display:Off,pause:!f,section:0,value:0),time:(from:'2017-11-20T06:25:46-0700',mode:absolute,to:'2017-11-20T09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5" s="203" t="str">
        <f>IF(AA45&lt;VLOOKUP(AG45,Variables!$AC$3:$AD$8,2,FALSE),"Y","N")</f>
        <v>N</v>
      </c>
      <c r="X45" s="203">
        <f t="shared" ref="X45:X76" si="26">VALUE(LEFT(AD45,4))-VALUE(LEFT(AD44,4))</f>
        <v>1</v>
      </c>
      <c r="Y45" s="203">
        <f t="shared" ref="Y45:Y76" si="27">RIGHT(D45,LEN(D45)-4)/10000</f>
        <v>0.05</v>
      </c>
      <c r="Z45" s="203">
        <f t="shared" ref="Z45:Z76" si="28">RIGHT(H45,LEN(H45)-4)/10000</f>
        <v>23.331399999999999</v>
      </c>
      <c r="AA45" s="203">
        <f t="shared" si="9"/>
        <v>23.281399999999998</v>
      </c>
      <c r="AB45" s="54" t="e">
        <f>VLOOKUP(A45,Enforcements!$C$7:$K$9,8,0)</f>
        <v>#N/A</v>
      </c>
      <c r="AC45" s="51" t="e">
        <f>VLOOKUP(A45,Enforcements!$C$7:$E$9,3,0)</f>
        <v>#N/A</v>
      </c>
      <c r="AD45" s="178">
        <f t="shared" si="10"/>
        <v>131</v>
      </c>
      <c r="AE45" s="77" t="str">
        <f t="shared" si="11"/>
        <v>aws s3 cp s3://rtdc.mdm.uploadarchive.raw/RTDC4002/ "%USERPROFILE%\AppData\Local\Temp\OnboardLogs"\RTDC4002\2017-11-20 --exclude "*" --recursive --include "*20171120*" &amp; "%USERPROFILE%\Documents\GitHub\mrs-test-scripts\Headless Mode &amp; Sideloading\WalkAndUnGZ.bat" "%USERPROFILE%\AppData\Local\Temp\OnboardLogs"\RTDC4002\2017-11-20 &amp; aws s3 cp s3://rtdc.mdm.uploadarchive.raw/RTDC4002/ "%USERPROFILE%\AppData\Local\Temp\OnboardLogs"\RTDC4002\2017-11-21 --exclude "*" --recursive --include "*20171121*" &amp; "%USERPROFILE%\Documents\GitHub\mrs-test-scripts\Headless Mode &amp; Sideloading\WalkAndUnGZ.bat" "%USERPROFILE%\AppData\Local\Temp\OnboardLogs"\RTDC4002\2017-11-21</v>
      </c>
      <c r="AF45" s="74" t="str">
        <f t="shared" si="12"/>
        <v>"C:\Program Files (x86)\AstroGrep\AstroGrep.exe" /e /r /s /spath="%USERPROFILE%\AppData\Local\Temp\OnboardLogs" /stypes="app*4002*20171120*" /stext=" 15:.+((SYSTEM_STATE.+slice.+state.+changed )|(ment ac)|(multiple cpu faults)|(system.+state.+changed )|(\[timeout)|(PRM\|1\|D)|(kpr)|(kdp)|(train st.+moving)|(\|lc)|(penalty))"</v>
      </c>
      <c r="AG45" s="181" t="str">
        <f t="shared" si="13"/>
        <v>EC</v>
      </c>
      <c r="AH45" s="78" t="str">
        <f t="shared" si="19"/>
        <v>"%USERPROFILE%\Documents\GitHub\eaglep3\Utilities\RefineRTDCRunTimes.py" --tripid 131-20 --locoid 4002 --swversion DE.1.0.9.0 --startMP 204:500 --initTime 2017-11-20T07:25:46 --startdatetime 2017-11-20T07:30:14 --delay 68 --endMP 204:233314 --enddatetime 2017-11-20T08:05:00 --enforcementcount 0 &gt;&gt;%USERPROFILE%\Documents\GitHub\eaglep3-reporting\EC\2017-11-20-refined-times.txt</v>
      </c>
      <c r="AI45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{"issue":{"subject":"","project_id":79,"tracker_id":40,"status_id":1,"priority_id":2,"assigned_to_id":338,"start_date":"2017-11-20","description":"","custom_fields":[{"id":1,"name":"Subdivision","value":"EC"},{"id":4,"name":"Milepost","value":"23.3314"},{"id":17,"name":"Train ID","value":"131-20"},{"id":16,"name":"Locomotive ID","value":"4002"},{"id":130,"name":"Impact","value":""},{"id":150,"name":"Time of Event (Mountain Time)","value":"08:05:00"},{"id":151,"name":"Denver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1" t="str">
        <f t="shared" si="21"/>
        <v>start /low /b %USERPROFILE%\Documents\GitHub\eaglep3\Utilities\DownloadLogsFromS3.py --loco 4002 --day 2017-11-20</v>
      </c>
      <c r="AN45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15:05:00"},{"id":29,"name":"Sharepoint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7" t="str">
        <f t="shared" si="23"/>
        <v>https://d0f6bd738d7f1b3e5a7ca70fe4ff75f0.us-east-1.aws.found.io/app/kibana#/discover/Steve-Slow-Train-Analysis-(2080s-and-2083s)?_g=(refreshInterval:(display:Off,pause:!f,section:0,value:0),time:(from:'2017-11-20T06:25:46-0700',mode:absolute,to:'2017-11-20T09:05:00-0700'))&amp;_a=(columns:!('Message%20ID',Summary),filters:!(),index:'emp_*',interval:auto,query:(query_string:(analyze_wildcard:!t,query:'%22rtdc.l.rtdc.4002%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735</v>
      </c>
      <c r="B46" s="7">
        <v>4001</v>
      </c>
      <c r="C46" s="21" t="s">
        <v>192</v>
      </c>
      <c r="D46" s="21" t="s">
        <v>608</v>
      </c>
      <c r="E46" s="13">
        <v>43059.350324074076</v>
      </c>
      <c r="F46" s="13">
        <v>43059.352372685185</v>
      </c>
      <c r="G46" s="7">
        <v>56</v>
      </c>
      <c r="H46" s="21" t="s">
        <v>918</v>
      </c>
      <c r="I46" s="13">
        <v>43059.378136574072</v>
      </c>
      <c r="J46" s="7">
        <v>0</v>
      </c>
      <c r="K46" s="89" t="str">
        <f t="shared" si="0"/>
        <v>4001/4002</v>
      </c>
      <c r="L46" s="184" t="str">
        <f>VLOOKUP(A46,'Trips&amp;Operators'!$C$1:$G$99911,5,FALSE)</f>
        <v>LAMAR NEKESHA</v>
      </c>
      <c r="M46" s="6">
        <f t="shared" si="1"/>
        <v>2.5763888887013309E-2</v>
      </c>
      <c r="N46" s="7">
        <f t="shared" si="24"/>
        <v>37.099999997299165</v>
      </c>
      <c r="O46" s="7"/>
      <c r="P46" s="7"/>
      <c r="Q46" s="22"/>
      <c r="R46" s="173"/>
      <c r="S46" s="220">
        <f t="shared" si="25"/>
        <v>1</v>
      </c>
      <c r="T46" s="173" t="str">
        <f t="shared" si="4"/>
        <v>Southbound</v>
      </c>
      <c r="U46" s="19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5" t="str">
        <f t="shared" si="5"/>
        <v>https://d0f6bd738d7f1b3e5a7ca70fe4ff75f0.us-east-1.aws.found.io/app/kibana#/discover/Steve-Slow-Train-Analysis-(2080s-and-2083s)?_g=(refreshInterval:(display:Off,pause:!f,section:0,value:0),time:(from:'2017-11-20T07:24:28-0700',mode:absolute,to:'2017-11-20T10:04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6" s="203" t="str">
        <f>IF(AA46&lt;VLOOKUP(AG46,Variables!$AC$3:$AD$8,2,FALSE),"Y","N")</f>
        <v>N</v>
      </c>
      <c r="X46" s="203">
        <f t="shared" si="26"/>
        <v>1</v>
      </c>
      <c r="Y46" s="203">
        <f t="shared" si="27"/>
        <v>23.299299999999999</v>
      </c>
      <c r="Z46" s="203">
        <f t="shared" si="28"/>
        <v>1.7399999999999999E-2</v>
      </c>
      <c r="AA46" s="203">
        <f t="shared" si="9"/>
        <v>23.2819</v>
      </c>
      <c r="AB46" s="54" t="e">
        <f>VLOOKUP(A46,Enforcements!$C$7:$K$9,8,0)</f>
        <v>#N/A</v>
      </c>
      <c r="AC46" s="51" t="e">
        <f>VLOOKUP(A46,Enforcements!$C$7:$E$9,3,0)</f>
        <v>#N/A</v>
      </c>
      <c r="AD46" s="178">
        <f t="shared" si="10"/>
        <v>132</v>
      </c>
      <c r="AE46" s="77" t="str">
        <f t="shared" si="11"/>
        <v>aws s3 cp s3://rtdc.mdm.uploadarchive.raw/RTDC4001/ "%USERPROFILE%\AppData\Local\Temp\OnboardLogs"\RTDC4001\2017-11-20 --exclude "*" --recursive --include "*20171120*" &amp; "%USERPROFILE%\Documents\GitHub\mrs-test-scripts\Headless Mode &amp; Sideloading\WalkAndUnGZ.bat" "%USERPROFILE%\AppData\Local\Temp\OnboardLogs"\RTDC4001\2017-11-20 &amp; aws s3 cp s3://rtdc.mdm.uploadarchive.raw/RTDC4001/ "%USERPROFILE%\AppData\Local\Temp\OnboardLogs"\RTDC4001\2017-11-21 --exclude "*" --recursive --include "*20171121*" &amp; "%USERPROFILE%\Documents\GitHub\mrs-test-scripts\Headless Mode &amp; Sideloading\WalkAndUnGZ.bat" "%USERPROFILE%\AppData\Local\Temp\OnboardLogs"\RTDC4001\2017-11-21</v>
      </c>
      <c r="AF46" s="74" t="str">
        <f t="shared" si="12"/>
        <v>"C:\Program Files (x86)\AstroGrep\AstroGrep.exe" /e /r /s /spath="%USERPROFILE%\AppData\Local\Temp\OnboardLogs" /stypes="app*4001*20171120*" /stext=" 16:.+((SYSTEM_STATE.+slice.+state.+changed )|(ment ac)|(multiple cpu faults)|(system.+state.+changed )|(\[timeout)|(PRM\|1\|D)|(kpr)|(kdp)|(train st.+moving)|(\|lc)|(penalty))"</v>
      </c>
      <c r="AG46" s="181" t="str">
        <f t="shared" si="13"/>
        <v>EC</v>
      </c>
      <c r="AH46" s="78" t="str">
        <f t="shared" si="19"/>
        <v>"%USERPROFILE%\Documents\GitHub\eaglep3\Utilities\RefineRTDCRunTimes.py" --tripid 132-20 --locoid 4001 --swversion DE.1.0.9.0 --startMP 204:232993 --initTime 2017-11-20T08:24:28 --startdatetime 2017-11-20T08:27:25 --delay 56 --endMP 204:174 --enddatetime 2017-11-20T09:04:31 --enforcementcount 0 &gt;&gt;%USERPROFILE%\Documents\GitHub\eaglep3-reporting\EC\2017-11-20-refined-times.txt</v>
      </c>
      <c r="AI46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{"issue":{"subject":"","project_id":79,"tracker_id":40,"status_id":1,"priority_id":2,"assigned_to_id":338,"start_date":"2017-11-20","description":"","custom_fields":[{"id":1,"name":"Subdivision","value":"EC"},{"id":4,"name":"Milepost","value":"0.0174"},{"id":17,"name":"Train ID","value":"132-20"},{"id":16,"name":"Locomotive ID","value":"4001"},{"id":130,"name":"Impact","value":""},{"id":150,"name":"Time of Event (Mountain Time)","value":"09:04:31"},{"id":151,"name":"Denver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1" t="str">
        <f t="shared" si="21"/>
        <v>start /low /b %USERPROFILE%\Documents\GitHub\eaglep3\Utilities\DownloadLogsFromS3.py --loco 4001 --day 2017-11-20</v>
      </c>
      <c r="AN46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16:04:31"},{"id":29,"name":"Sharepoint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7" t="str">
        <f t="shared" si="23"/>
        <v>https://d0f6bd738d7f1b3e5a7ca70fe4ff75f0.us-east-1.aws.found.io/app/kibana#/discover/Steve-Slow-Train-Analysis-(2080s-and-2083s)?_g=(refreshInterval:(display:Off,pause:!f,section:0,value:0),time:(from:'2017-11-20T07:24:28-0700',mode:absolute,to:'2017-11-20T10:04:31-0700'))&amp;_a=(columns:!('Message%20ID',Summary),filters:!(),index:'emp_*',interval:auto,query:(query_string:(analyze_wildcard:!t,query:'%22rtdc.l.rtdc.4001%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726</v>
      </c>
      <c r="B47" s="7">
        <v>4064</v>
      </c>
      <c r="C47" s="21" t="s">
        <v>192</v>
      </c>
      <c r="D47" s="21" t="s">
        <v>508</v>
      </c>
      <c r="E47" s="13">
        <v>43059.317685185182</v>
      </c>
      <c r="F47" s="13">
        <v>43059.324525462966</v>
      </c>
      <c r="G47" s="7">
        <v>55</v>
      </c>
      <c r="H47" s="21" t="s">
        <v>919</v>
      </c>
      <c r="I47" s="13">
        <v>43059.34883101852</v>
      </c>
      <c r="J47" s="7">
        <v>0</v>
      </c>
      <c r="K47" s="89" t="str">
        <f t="shared" si="0"/>
        <v>4063/4064</v>
      </c>
      <c r="L47" s="184" t="str">
        <f>VLOOKUP(A47,'Trips&amp;Operators'!$C$1:$G$99911,5,FALSE)</f>
        <v>YORK EDGAR</v>
      </c>
      <c r="M47" s="6">
        <f t="shared" si="1"/>
        <v>2.4305555554747116E-2</v>
      </c>
      <c r="N47" s="7">
        <f t="shared" si="24"/>
        <v>34.999999998835847</v>
      </c>
      <c r="O47" s="7"/>
      <c r="P47" s="7"/>
      <c r="Q47" s="22"/>
      <c r="R47" s="173"/>
      <c r="S47" s="220">
        <f t="shared" si="25"/>
        <v>1</v>
      </c>
      <c r="T47" s="173" t="str">
        <f t="shared" si="4"/>
        <v>NorthBound</v>
      </c>
      <c r="U47" s="19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5" t="str">
        <f t="shared" si="5"/>
        <v>https://d0f6bd738d7f1b3e5a7ca70fe4ff75f0.us-east-1.aws.found.io/app/kibana#/discover/Steve-Slow-Train-Analysis-(2080s-and-2083s)?_g=(refreshInterval:(display:Off,pause:!f,section:0,value:0),time:(from:'2017-11-20T06:37:28-0700',mode:absolute,to:'2017-11-20T09:22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7" s="203" t="str">
        <f>IF(AA47&lt;VLOOKUP(AG47,Variables!$AC$3:$AD$8,2,FALSE),"Y","N")</f>
        <v>N</v>
      </c>
      <c r="X47" s="203">
        <f t="shared" si="26"/>
        <v>1</v>
      </c>
      <c r="Y47" s="203">
        <f t="shared" si="27"/>
        <v>4.5699999999999998E-2</v>
      </c>
      <c r="Z47" s="203">
        <f t="shared" si="28"/>
        <v>23.328900000000001</v>
      </c>
      <c r="AA47" s="203">
        <f t="shared" si="9"/>
        <v>23.283200000000001</v>
      </c>
      <c r="AB47" s="54" t="e">
        <f>VLOOKUP(A47,Enforcements!$C$7:$K$9,8,0)</f>
        <v>#N/A</v>
      </c>
      <c r="AC47" s="51" t="e">
        <f>VLOOKUP(A47,Enforcements!$C$7:$E$9,3,0)</f>
        <v>#N/A</v>
      </c>
      <c r="AD47" s="178">
        <f t="shared" si="10"/>
        <v>133</v>
      </c>
      <c r="AE47" s="77" t="str">
        <f t="shared" si="11"/>
        <v>aws s3 cp s3://rtdc.mdm.uploadarchive.raw/RTDC4064/ "%USERPROFILE%\AppData\Local\Temp\OnboardLogs"\RTDC4064\2017-11-20 --exclude "*" --recursive --include "*20171120*" &amp; "%USERPROFILE%\Documents\GitHub\mrs-test-scripts\Headless Mode &amp; Sideloading\WalkAndUnGZ.bat" "%USERPROFILE%\AppData\Local\Temp\OnboardLogs"\RTDC4064\2017-11-20 &amp; aws s3 cp s3://rtdc.mdm.uploadarchive.raw/RTDC4064/ "%USERPROFILE%\AppData\Local\Temp\OnboardLogs"\RTDC4064\2017-11-21 --exclude "*" --recursive --include "*20171121*" &amp; "%USERPROFILE%\Documents\GitHub\mrs-test-scripts\Headless Mode &amp; Sideloading\WalkAndUnGZ.bat" "%USERPROFILE%\AppData\Local\Temp\OnboardLogs"\RTDC4064\2017-11-21</v>
      </c>
      <c r="AF47" s="74" t="str">
        <f t="shared" si="12"/>
        <v>"C:\Program Files (x86)\AstroGrep\AstroGrep.exe" /e /r /s /spath="%USERPROFILE%\AppData\Local\Temp\OnboardLogs" /stypes="app*4064*20171120*" /stext=" 15:.+((SYSTEM_STATE.+slice.+state.+changed )|(ment ac)|(multiple cpu faults)|(system.+state.+changed )|(\[timeout)|(PRM\|1\|D)|(kpr)|(kdp)|(train st.+moving)|(\|lc)|(penalty))"</v>
      </c>
      <c r="AG47" s="181" t="str">
        <f t="shared" si="13"/>
        <v>EC</v>
      </c>
      <c r="AH47" s="78" t="str">
        <f t="shared" si="19"/>
        <v>"%USERPROFILE%\Documents\GitHub\eaglep3\Utilities\RefineRTDCRunTimes.py" --tripid 133-20 --locoid 4064 --swversion DE.1.0.9.0 --startMP 204:457 --initTime 2017-11-20T07:37:28 --startdatetime 2017-11-20T07:47:19 --delay 55 --endMP 204:233289 --enddatetime 2017-11-20T08:22:19 --enforcementcount 0 &gt;&gt;%USERPROFILE%\Documents\GitHub\eaglep3-reporting\EC\2017-11-20-refined-times.txt</v>
      </c>
      <c r="AI47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{"issue":{"subject":"","project_id":79,"tracker_id":40,"status_id":1,"priority_id":2,"assigned_to_id":338,"start_date":"2017-11-20","description":"","custom_fields":[{"id":1,"name":"Subdivision","value":"EC"},{"id":4,"name":"Milepost","value":"23.3289"},{"id":17,"name":"Train ID","value":"133-20"},{"id":16,"name":"Locomotive ID","value":"4064"},{"id":130,"name":"Impact","value":""},{"id":150,"name":"Time of Event (Mountain Time)","value":"08:22:19"},{"id":151,"name":"Denver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1" t="str">
        <f t="shared" si="21"/>
        <v>start /low /b %USERPROFILE%\Documents\GitHub\eaglep3\Utilities\DownloadLogsFromS3.py --loco 4064 --day 2017-11-20</v>
      </c>
      <c r="AN47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15:22:19"},{"id":29,"name":"Sharepoint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7" t="str">
        <f t="shared" si="23"/>
        <v>https://d0f6bd738d7f1b3e5a7ca70fe4ff75f0.us-east-1.aws.found.io/app/kibana#/discover/Steve-Slow-Train-Analysis-(2080s-and-2083s)?_g=(refreshInterval:(display:Off,pause:!f,section:0,value:0),time:(from:'2017-11-20T06:37:28-0700',mode:absolute,to:'2017-11-20T09:22:19-0700'))&amp;_a=(columns:!('Message%20ID',Summary),filters:!(),index:'emp_*',interval:auto,query:(query_string:(analyze_wildcard:!t,query:'%22rtdc.l.rtdc.4064%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734</v>
      </c>
      <c r="B48" s="7">
        <v>4063</v>
      </c>
      <c r="C48" s="21" t="s">
        <v>192</v>
      </c>
      <c r="D48" s="21" t="s">
        <v>920</v>
      </c>
      <c r="E48" s="13">
        <v>43059.350358796299</v>
      </c>
      <c r="F48" s="13">
        <v>43059.362824074073</v>
      </c>
      <c r="G48" s="7">
        <v>48</v>
      </c>
      <c r="H48" s="21" t="s">
        <v>615</v>
      </c>
      <c r="I48" s="13">
        <v>43059.387662037036</v>
      </c>
      <c r="J48" s="7">
        <v>0</v>
      </c>
      <c r="K48" s="89" t="str">
        <f t="shared" si="0"/>
        <v>4063/4064</v>
      </c>
      <c r="L48" s="184" t="str">
        <f>VLOOKUP(A48,'Trips&amp;Operators'!$C$1:$G$99911,5,FALSE)</f>
        <v>YORK EDGAR</v>
      </c>
      <c r="M48" s="6">
        <f t="shared" si="1"/>
        <v>2.4837962962919846E-2</v>
      </c>
      <c r="N48" s="7">
        <f t="shared" si="24"/>
        <v>35.766666666604578</v>
      </c>
      <c r="O48" s="7"/>
      <c r="P48" s="7"/>
      <c r="Q48" s="22"/>
      <c r="R48" s="173"/>
      <c r="S48" s="220">
        <f t="shared" si="25"/>
        <v>1</v>
      </c>
      <c r="T48" s="173" t="str">
        <f t="shared" si="4"/>
        <v>Southbound</v>
      </c>
      <c r="U48" s="19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5" t="str">
        <f t="shared" si="5"/>
        <v>https://d0f6bd738d7f1b3e5a7ca70fe4ff75f0.us-east-1.aws.found.io/app/kibana#/discover/Steve-Slow-Train-Analysis-(2080s-and-2083s)?_g=(refreshInterval:(display:Off,pause:!f,section:0,value:0),time:(from:'2017-11-20T07:24:31-0700',mode:absolute,to:'2017-11-20T10:18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8" s="203" t="str">
        <f>IF(AA48&lt;VLOOKUP(AG48,Variables!$AC$3:$AD$8,2,FALSE),"Y","N")</f>
        <v>N</v>
      </c>
      <c r="X48" s="203">
        <f t="shared" si="26"/>
        <v>1</v>
      </c>
      <c r="Y48" s="203">
        <f t="shared" si="27"/>
        <v>23.296900000000001</v>
      </c>
      <c r="Z48" s="203">
        <f t="shared" si="28"/>
        <v>1.54E-2</v>
      </c>
      <c r="AA48" s="203">
        <f t="shared" si="9"/>
        <v>23.281500000000001</v>
      </c>
      <c r="AB48" s="54" t="e">
        <f>VLOOKUP(A48,Enforcements!$C$7:$K$9,8,0)</f>
        <v>#N/A</v>
      </c>
      <c r="AC48" s="51" t="e">
        <f>VLOOKUP(A48,Enforcements!$C$7:$E$9,3,0)</f>
        <v>#N/A</v>
      </c>
      <c r="AD48" s="178">
        <f t="shared" si="10"/>
        <v>134</v>
      </c>
      <c r="AE48" s="77" t="str">
        <f t="shared" si="11"/>
        <v>aws s3 cp s3://rtdc.mdm.uploadarchive.raw/RTDC4063/ "%USERPROFILE%\AppData\Local\Temp\OnboardLogs"\RTDC4063\2017-11-20 --exclude "*" --recursive --include "*20171120*" &amp; "%USERPROFILE%\Documents\GitHub\mrs-test-scripts\Headless Mode &amp; Sideloading\WalkAndUnGZ.bat" "%USERPROFILE%\AppData\Local\Temp\OnboardLogs"\RTDC4063\2017-11-20 &amp; aws s3 cp s3://rtdc.mdm.uploadarchive.raw/RTDC4063/ "%USERPROFILE%\AppData\Local\Temp\OnboardLogs"\RTDC4063\2017-11-21 --exclude "*" --recursive --include "*20171121*" &amp; "%USERPROFILE%\Documents\GitHub\mrs-test-scripts\Headless Mode &amp; Sideloading\WalkAndUnGZ.bat" "%USERPROFILE%\AppData\Local\Temp\OnboardLogs"\RTDC4063\2017-11-21</v>
      </c>
      <c r="AF48" s="74" t="str">
        <f t="shared" si="12"/>
        <v>"C:\Program Files (x86)\AstroGrep\AstroGrep.exe" /e /r /s /spath="%USERPROFILE%\AppData\Local\Temp\OnboardLogs" /stypes="app*4063*20171120*" /stext=" 16:.+((SYSTEM_STATE.+slice.+state.+changed )|(ment ac)|(multiple cpu faults)|(system.+state.+changed )|(\[timeout)|(PRM\|1\|D)|(kpr)|(kdp)|(train st.+moving)|(\|lc)|(penalty))"</v>
      </c>
      <c r="AG48" s="181" t="str">
        <f t="shared" si="13"/>
        <v>EC</v>
      </c>
      <c r="AH48" s="78" t="str">
        <f t="shared" si="19"/>
        <v>"%USERPROFILE%\Documents\GitHub\eaglep3\Utilities\RefineRTDCRunTimes.py" --tripid 134-20 --locoid 4063 --swversion DE.1.0.9.0 --startMP 204:232969 --initTime 2017-11-20T08:24:31 --startdatetime 2017-11-20T08:42:28 --delay 48 --endMP 204:154 --enddatetime 2017-11-20T09:18:14 --enforcementcount 0 &gt;&gt;%USERPROFILE%\Documents\GitHub\eaglep3-reporting\EC\2017-11-20-refined-times.txt</v>
      </c>
      <c r="AI48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{"issue":{"subject":"","project_id":79,"tracker_id":40,"status_id":1,"priority_id":2,"assigned_to_id":338,"start_date":"2017-11-20","description":"","custom_fields":[{"id":1,"name":"Subdivision","value":"EC"},{"id":4,"name":"Milepost","value":"0.0154"},{"id":17,"name":"Train ID","value":"134-20"},{"id":16,"name":"Locomotive ID","value":"4063"},{"id":130,"name":"Impact","value":""},{"id":150,"name":"Time of Event (Mountain Time)","value":"09:18:14"},{"id":151,"name":"Denver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1" t="str">
        <f t="shared" si="21"/>
        <v>start /low /b %USERPROFILE%\Documents\GitHub\eaglep3\Utilities\DownloadLogsFromS3.py --loco 4063 --day 2017-11-20</v>
      </c>
      <c r="AN48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16:18:14"},{"id":29,"name":"Sharepoint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7" t="str">
        <f t="shared" si="23"/>
        <v>https://d0f6bd738d7f1b3e5a7ca70fe4ff75f0.us-east-1.aws.found.io/app/kibana#/discover/Steve-Slow-Train-Analysis-(2080s-and-2083s)?_g=(refreshInterval:(display:Off,pause:!f,section:0,value:0),time:(from:'2017-11-20T07:24:31-0700',mode:absolute,to:'2017-11-20T10:18:14-0700'))&amp;_a=(columns:!('Message%20ID',Summary),filters:!(),index:'emp_*',interval:auto,query:(query_string:(analyze_wildcard:!t,query:'%22rtdc.l.rtdc.4063%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729</v>
      </c>
      <c r="B49" s="7">
        <v>4028</v>
      </c>
      <c r="C49" s="21" t="s">
        <v>192</v>
      </c>
      <c r="D49" s="21" t="s">
        <v>444</v>
      </c>
      <c r="E49" s="13">
        <v>43059.327893518515</v>
      </c>
      <c r="F49" s="13">
        <v>43059.333506944444</v>
      </c>
      <c r="G49" s="7">
        <v>66</v>
      </c>
      <c r="H49" s="21" t="s">
        <v>597</v>
      </c>
      <c r="I49" s="13">
        <v>43059.359016203707</v>
      </c>
      <c r="J49" s="7">
        <v>0</v>
      </c>
      <c r="K49" s="89" t="str">
        <f t="shared" si="0"/>
        <v>4027/4028</v>
      </c>
      <c r="L49" s="184" t="str">
        <f>VLOOKUP(A49,'Trips&amp;Operators'!$C$1:$G$99911,5,FALSE)</f>
        <v>LANGERAK WILLIAM</v>
      </c>
      <c r="M49" s="6">
        <f t="shared" si="1"/>
        <v>2.5509259263344575E-2</v>
      </c>
      <c r="N49" s="7">
        <f t="shared" si="24"/>
        <v>36.733333339216188</v>
      </c>
      <c r="O49" s="7"/>
      <c r="P49" s="7"/>
      <c r="Q49" s="22"/>
      <c r="R49" s="173"/>
      <c r="S49" s="220">
        <f t="shared" si="25"/>
        <v>1</v>
      </c>
      <c r="T49" s="173" t="str">
        <f t="shared" si="4"/>
        <v>NorthBound</v>
      </c>
      <c r="U49" s="19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5" t="str">
        <f t="shared" si="5"/>
        <v>https://d0f6bd738d7f1b3e5a7ca70fe4ff75f0.us-east-1.aws.found.io/app/kibana#/discover/Steve-Slow-Train-Analysis-(2080s-and-2083s)?_g=(refreshInterval:(display:Off,pause:!f,section:0,value:0),time:(from:'2017-11-20T06:52:10-0700',mode:absolute,to:'2017-11-20T09:36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9" s="203" t="str">
        <f>IF(AA49&lt;VLOOKUP(AG49,Variables!$AC$3:$AD$8,2,FALSE),"Y","N")</f>
        <v>N</v>
      </c>
      <c r="X49" s="203">
        <f t="shared" si="26"/>
        <v>1</v>
      </c>
      <c r="Y49" s="203">
        <f t="shared" si="27"/>
        <v>5.0599999999999999E-2</v>
      </c>
      <c r="Z49" s="203">
        <f t="shared" si="28"/>
        <v>23.330400000000001</v>
      </c>
      <c r="AA49" s="203">
        <f t="shared" si="9"/>
        <v>23.279800000000002</v>
      </c>
      <c r="AB49" s="54" t="e">
        <f>VLOOKUP(A49,Enforcements!$C$7:$K$9,8,0)</f>
        <v>#N/A</v>
      </c>
      <c r="AC49" s="51" t="e">
        <f>VLOOKUP(A49,Enforcements!$C$7:$E$9,3,0)</f>
        <v>#N/A</v>
      </c>
      <c r="AD49" s="178">
        <f t="shared" si="10"/>
        <v>135</v>
      </c>
      <c r="AE49" s="77" t="str">
        <f t="shared" si="11"/>
        <v>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 &amp; aws s3 cp s3://rtdc.mdm.uploadarchive.raw/RTDC4028/ "%USERPROFILE%\AppData\Local\Temp\OnboardLogs"\RTDC4028\2017-11-21 --exclude "*" --recursive --include "*20171121*" &amp; "%USERPROFILE%\Documents\GitHub\mrs-test-scripts\Headless Mode &amp; Sideloading\WalkAndUnGZ.bat" "%USERPROFILE%\AppData\Local\Temp\OnboardLogs"\RTDC4028\2017-11-21</v>
      </c>
      <c r="AF49" s="74" t="str">
        <f t="shared" si="12"/>
        <v>"C:\Program Files (x86)\AstroGrep\AstroGrep.exe" /e /r /s /spath="%USERPROFILE%\AppData\Local\Temp\OnboardLogs" /stypes="app*4028*20171120*" /stext=" 15:.+((SYSTEM_STATE.+slice.+state.+changed )|(ment ac)|(multiple cpu faults)|(system.+state.+changed )|(\[timeout)|(PRM\|1\|D)|(kpr)|(kdp)|(train st.+moving)|(\|lc)|(penalty))"</v>
      </c>
      <c r="AG49" s="181" t="str">
        <f t="shared" si="13"/>
        <v>EC</v>
      </c>
      <c r="AH49" s="78" t="str">
        <f t="shared" si="19"/>
        <v>"%USERPROFILE%\Documents\GitHub\eaglep3\Utilities\RefineRTDCRunTimes.py" --tripid 135-20 --locoid 4028 --swversion DE.1.0.9.0 --startMP 204:506 --initTime 2017-11-20T07:52:10 --startdatetime 2017-11-20T08:00:15 --delay 66 --endMP 204:233304 --enddatetime 2017-11-20T08:36:59 --enforcementcount 0 &gt;&gt;%USERPROFILE%\Documents\GitHub\eaglep3-reporting\EC\2017-11-20-refined-times.txt</v>
      </c>
      <c r="AI49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{"issue":{"subject":"","project_id":79,"tracker_id":40,"status_id":1,"priority_id":2,"assigned_to_id":338,"start_date":"2017-11-20","description":"","custom_fields":[{"id":1,"name":"Subdivision","value":"EC"},{"id":4,"name":"Milepost","value":"23.3304"},{"id":17,"name":"Train ID","value":"135-20"},{"id":16,"name":"Locomotive ID","value":"4028"},{"id":130,"name":"Impact","value":""},{"id":150,"name":"Time of Event (Mountain Time)","value":"08:36:59"},{"id":151,"name":"Denver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1" t="str">
        <f t="shared" si="21"/>
        <v>start /low /b %USERPROFILE%\Documents\GitHub\eaglep3\Utilities\DownloadLogsFromS3.py --loco 4028 --day 2017-11-20</v>
      </c>
      <c r="AN49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15:36:59"},{"id":29,"name":"Sharepoint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7" t="str">
        <f t="shared" si="23"/>
        <v>https://d0f6bd738d7f1b3e5a7ca70fe4ff75f0.us-east-1.aws.found.io/app/kibana#/discover/Steve-Slow-Train-Analysis-(2080s-and-2083s)?_g=(refreshInterval:(display:Off,pause:!f,section:0,value:0),time:(from:'2017-11-20T06:52:10-0700',mode:absolute,to:'2017-11-20T09:36:59-0700'))&amp;_a=(columns:!('Message%20ID',Summary),filters:!(),index:'emp_*',interval:auto,query:(query_string:(analyze_wildcard:!t,query:'%22rtdc.l.rtdc.4028%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739</v>
      </c>
      <c r="B50" s="7">
        <v>4027</v>
      </c>
      <c r="C50" s="21" t="s">
        <v>192</v>
      </c>
      <c r="D50" s="21" t="s">
        <v>482</v>
      </c>
      <c r="E50" s="13">
        <v>43059.360439814816</v>
      </c>
      <c r="F50" s="13">
        <v>43059.373101851852</v>
      </c>
      <c r="G50" s="7">
        <v>51</v>
      </c>
      <c r="H50" s="21" t="s">
        <v>486</v>
      </c>
      <c r="I50" s="13">
        <v>43059.400462962964</v>
      </c>
      <c r="J50" s="7">
        <v>0</v>
      </c>
      <c r="K50" s="89" t="str">
        <f t="shared" si="0"/>
        <v>4027/4028</v>
      </c>
      <c r="L50" s="184" t="str">
        <f>VLOOKUP(A50,'Trips&amp;Operators'!$C$1:$G$99911,5,FALSE)</f>
        <v>LANGERAK WILLIAM</v>
      </c>
      <c r="M50" s="6">
        <f t="shared" si="1"/>
        <v>2.73611111115315E-2</v>
      </c>
      <c r="N50" s="7">
        <f t="shared" si="24"/>
        <v>39.40000000060536</v>
      </c>
      <c r="O50" s="7"/>
      <c r="P50" s="7"/>
      <c r="Q50" s="22"/>
      <c r="R50" s="173"/>
      <c r="S50" s="220">
        <f t="shared" si="25"/>
        <v>1</v>
      </c>
      <c r="T50" s="173" t="str">
        <f t="shared" si="4"/>
        <v>Southbound</v>
      </c>
      <c r="U50" s="19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5" t="str">
        <f t="shared" si="5"/>
        <v>https://d0f6bd738d7f1b3e5a7ca70fe4ff75f0.us-east-1.aws.found.io/app/kibana#/discover/Steve-Slow-Train-Analysis-(2080s-and-2083s)?_g=(refreshInterval:(display:Off,pause:!f,section:0,value:0),time:(from:'2017-11-20T07:39:02-0700',mode:absolute,to:'2017-11-20T10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0" s="203" t="str">
        <f>IF(AA50&lt;VLOOKUP(AG50,Variables!$AC$3:$AD$8,2,FALSE),"Y","N")</f>
        <v>N</v>
      </c>
      <c r="X50" s="203">
        <f t="shared" si="26"/>
        <v>1</v>
      </c>
      <c r="Y50" s="203">
        <f t="shared" si="27"/>
        <v>23.298100000000002</v>
      </c>
      <c r="Z50" s="203">
        <f t="shared" si="28"/>
        <v>0.02</v>
      </c>
      <c r="AA50" s="203">
        <f t="shared" si="9"/>
        <v>23.278100000000002</v>
      </c>
      <c r="AB50" s="54" t="e">
        <f>VLOOKUP(A50,Enforcements!$C$7:$K$9,8,0)</f>
        <v>#N/A</v>
      </c>
      <c r="AC50" s="51" t="e">
        <f>VLOOKUP(A50,Enforcements!$C$7:$E$9,3,0)</f>
        <v>#N/A</v>
      </c>
      <c r="AD50" s="178">
        <f t="shared" si="10"/>
        <v>136</v>
      </c>
      <c r="AE50" s="77" t="str">
        <f t="shared" si="11"/>
        <v>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 &amp; aws s3 cp s3://rtdc.mdm.uploadarchive.raw/RTDC4027/ "%USERPROFILE%\AppData\Local\Temp\OnboardLogs"\RTDC4027\2017-11-21 --exclude "*" --recursive --include "*20171121*" &amp; "%USERPROFILE%\Documents\GitHub\mrs-test-scripts\Headless Mode &amp; Sideloading\WalkAndUnGZ.bat" "%USERPROFILE%\AppData\Local\Temp\OnboardLogs"\RTDC4027\2017-11-21</v>
      </c>
      <c r="AF50" s="74" t="str">
        <f t="shared" si="12"/>
        <v>"C:\Program Files (x86)\AstroGrep\AstroGrep.exe" /e /r /s /spath="%USERPROFILE%\AppData\Local\Temp\OnboardLogs" /stypes="app*4027*20171120*" /stext=" 16:.+((SYSTEM_STATE.+slice.+state.+changed )|(ment ac)|(multiple cpu faults)|(system.+state.+changed )|(\[timeout)|(PRM\|1\|D)|(kpr)|(kdp)|(train st.+moving)|(\|lc)|(penalty))"</v>
      </c>
      <c r="AG50" s="181" t="str">
        <f t="shared" si="13"/>
        <v>EC</v>
      </c>
      <c r="AH50" s="78" t="str">
        <f t="shared" si="19"/>
        <v>"%USERPROFILE%\Documents\GitHub\eaglep3\Utilities\RefineRTDCRunTimes.py" --tripid 136-20 --locoid 4027 --swversion DE.1.0.9.0 --startMP 204:232981 --initTime 2017-11-20T08:39:02 --startdatetime 2017-11-20T08:57:16 --delay 51 --endMP 204:200 --enddatetime 2017-11-20T09:36:40 --enforcementcount 0 &gt;&gt;%USERPROFILE%\Documents\GitHub\eaglep3-reporting\EC\2017-11-20-refined-times.txt</v>
      </c>
      <c r="AI50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{"issue":{"subject":"","project_id":79,"tracker_id":40,"status_id":1,"priority_id":2,"assigned_to_id":338,"start_date":"2017-11-20","description":"","custom_fields":[{"id":1,"name":"Subdivision","value":"EC"},{"id":4,"name":"Milepost","value":"0.02"},{"id":17,"name":"Train ID","value":"136-20"},{"id":16,"name":"Locomotive ID","value":"4027"},{"id":130,"name":"Impact","value":""},{"id":150,"name":"Time of Event (Mountain Time)","value":"09:36:40"},{"id":151,"name":"Denver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1" t="str">
        <f t="shared" si="21"/>
        <v>start /low /b %USERPROFILE%\Documents\GitHub\eaglep3\Utilities\DownloadLogsFromS3.py --loco 4027 --day 2017-11-20</v>
      </c>
      <c r="AN50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16:36:40"},{"id":29,"name":"Sharepoint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7" t="str">
        <f t="shared" si="23"/>
        <v>https://d0f6bd738d7f1b3e5a7ca70fe4ff75f0.us-east-1.aws.found.io/app/kibana#/discover/Steve-Slow-Train-Analysis-(2080s-and-2083s)?_g=(refreshInterval:(display:Off,pause:!f,section:0,value:0),time:(from:'2017-11-20T07:39:02-0700',mode:absolute,to:'2017-11-20T10:36:40-0700'))&amp;_a=(columns:!('Message%20ID',Summary),filters:!(),index:'emp_*',interval:auto,query:(query_string:(analyze_wildcard:!t,query:'%22rtdc.l.rtdc.4027%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732</v>
      </c>
      <c r="B51" s="7">
        <v>4060</v>
      </c>
      <c r="C51" s="21" t="s">
        <v>192</v>
      </c>
      <c r="D51" s="21" t="s">
        <v>921</v>
      </c>
      <c r="E51" s="13">
        <v>43059.339467592596</v>
      </c>
      <c r="F51" s="13">
        <v>43059.343958333331</v>
      </c>
      <c r="G51" s="7">
        <v>50</v>
      </c>
      <c r="H51" s="21" t="s">
        <v>493</v>
      </c>
      <c r="I51" s="13">
        <v>43059.369212962964</v>
      </c>
      <c r="J51" s="7">
        <v>0</v>
      </c>
      <c r="K51" s="89" t="str">
        <f t="shared" si="0"/>
        <v>4059/4060</v>
      </c>
      <c r="L51" s="184" t="str">
        <f>VLOOKUP(A51,'Trips&amp;Operators'!$C$1:$G$99911,5,FALSE)</f>
        <v>MAELZER KURT</v>
      </c>
      <c r="M51" s="6">
        <f t="shared" si="1"/>
        <v>2.5254629632399883E-2</v>
      </c>
      <c r="N51" s="7">
        <f t="shared" si="24"/>
        <v>36.366666670655832</v>
      </c>
      <c r="O51" s="7"/>
      <c r="P51" s="7"/>
      <c r="Q51" s="22"/>
      <c r="R51" s="173"/>
      <c r="S51" s="220">
        <f t="shared" si="25"/>
        <v>1</v>
      </c>
      <c r="T51" s="173" t="str">
        <f t="shared" si="4"/>
        <v>NorthBound</v>
      </c>
      <c r="U51" s="19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5" t="str">
        <f t="shared" si="5"/>
        <v>https://d0f6bd738d7f1b3e5a7ca70fe4ff75f0.us-east-1.aws.found.io/app/kibana#/discover/Steve-Slow-Train-Analysis-(2080s-and-2083s)?_g=(refreshInterval:(display:Off,pause:!f,section:0,value:0),time:(from:'2017-11-20T07:08:50-0700',mode:absolute,to:'2017-11-20T09:51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1" s="203" t="str">
        <f>IF(AA51&lt;VLOOKUP(AG51,Variables!$AC$3:$AD$8,2,FALSE),"Y","N")</f>
        <v>N</v>
      </c>
      <c r="X51" s="203">
        <f t="shared" si="26"/>
        <v>1</v>
      </c>
      <c r="Y51" s="203">
        <f t="shared" si="27"/>
        <v>4.8899999999999999E-2</v>
      </c>
      <c r="Z51" s="203">
        <f t="shared" si="28"/>
        <v>23.3293</v>
      </c>
      <c r="AA51" s="203">
        <f t="shared" si="9"/>
        <v>23.2804</v>
      </c>
      <c r="AB51" s="54" t="e">
        <f>VLOOKUP(A51,Enforcements!$C$7:$K$9,8,0)</f>
        <v>#N/A</v>
      </c>
      <c r="AC51" s="51" t="e">
        <f>VLOOKUP(A51,Enforcements!$C$7:$E$9,3,0)</f>
        <v>#N/A</v>
      </c>
      <c r="AD51" s="178">
        <f t="shared" si="10"/>
        <v>137</v>
      </c>
      <c r="AE51" s="77" t="str">
        <f t="shared" si="11"/>
        <v>aws s3 cp s3://rtdc.mdm.uploadarchive.raw/RTDC4060/ "%USERPROFILE%\AppData\Local\Temp\OnboardLogs"\RTDC4060\2017-11-20 --exclude "*" --recursive --include "*20171120*" &amp; "%USERPROFILE%\Documents\GitHub\mrs-test-scripts\Headless Mode &amp; Sideloading\WalkAndUnGZ.bat" "%USERPROFILE%\AppData\Local\Temp\OnboardLogs"\RTDC4060\2017-11-20 &amp; aws s3 cp s3://rtdc.mdm.uploadarchive.raw/RTDC4060/ "%USERPROFILE%\AppData\Local\Temp\OnboardLogs"\RTDC4060\2017-11-21 --exclude "*" --recursive --include "*20171121*" &amp; "%USERPROFILE%\Documents\GitHub\mrs-test-scripts\Headless Mode &amp; Sideloading\WalkAndUnGZ.bat" "%USERPROFILE%\AppData\Local\Temp\OnboardLogs"\RTDC4060\2017-11-21</v>
      </c>
      <c r="AF51" s="74" t="str">
        <f t="shared" si="12"/>
        <v>"C:\Program Files (x86)\AstroGrep\AstroGrep.exe" /e /r /s /spath="%USERPROFILE%\AppData\Local\Temp\OnboardLogs" /stypes="app*4060*20171120*" /stext=" 15:.+((SYSTEM_STATE.+slice.+state.+changed )|(ment ac)|(multiple cpu faults)|(system.+state.+changed )|(\[timeout)|(PRM\|1\|D)|(kpr)|(kdp)|(train st.+moving)|(\|lc)|(penalty))"</v>
      </c>
      <c r="AG51" s="181" t="str">
        <f t="shared" si="13"/>
        <v>EC</v>
      </c>
      <c r="AH51" s="78" t="str">
        <f t="shared" si="19"/>
        <v>"%USERPROFILE%\Documents\GitHub\eaglep3\Utilities\RefineRTDCRunTimes.py" --tripid 137-20 --locoid 4060 --swversion DE.1.0.9.0 --startMP 204:489 --initTime 2017-11-20T08:08:50 --startdatetime 2017-11-20T08:15:18 --delay 50 --endMP 204:233293 --enddatetime 2017-11-20T08:51:40 --enforcementcount 0 &gt;&gt;%USERPROFILE%\Documents\GitHub\eaglep3-reporting\EC\2017-11-20-refined-times.txt</v>
      </c>
      <c r="AI51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{"issue":{"subject":"","project_id":79,"tracker_id":40,"status_id":1,"priority_id":2,"assigned_to_id":338,"start_date":"2017-11-20","description":"","custom_fields":[{"id":1,"name":"Subdivision","value":"EC"},{"id":4,"name":"Milepost","value":"23.3293"},{"id":17,"name":"Train ID","value":"137-20"},{"id":16,"name":"Locomotive ID","value":"4060"},{"id":130,"name":"Impact","value":""},{"id":150,"name":"Time of Event (Mountain Time)","value":"08:51:40"},{"id":151,"name":"Denver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1" t="str">
        <f t="shared" si="21"/>
        <v>start /low /b %USERPROFILE%\Documents\GitHub\eaglep3\Utilities\DownloadLogsFromS3.py --loco 4060 --day 2017-11-20</v>
      </c>
      <c r="AN51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15:51:40"},{"id":29,"name":"Sharepoint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7" t="str">
        <f t="shared" si="23"/>
        <v>https://d0f6bd738d7f1b3e5a7ca70fe4ff75f0.us-east-1.aws.found.io/app/kibana#/discover/Steve-Slow-Train-Analysis-(2080s-and-2083s)?_g=(refreshInterval:(display:Off,pause:!f,section:0,value:0),time:(from:'2017-11-20T07:08:50-0700',mode:absolute,to:'2017-11-20T09:51:40-0700'))&amp;_a=(columns:!('Message%20ID',Summary),filters:!(),index:'emp_*',interval:auto,query:(query_string:(analyze_wildcard:!t,query:'%22rtdc.l.rtdc.4060%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741</v>
      </c>
      <c r="B52" s="7">
        <v>4059</v>
      </c>
      <c r="C52" s="21" t="s">
        <v>192</v>
      </c>
      <c r="D52" s="21" t="s">
        <v>922</v>
      </c>
      <c r="E52" s="13">
        <v>43059.374085648145</v>
      </c>
      <c r="F52" s="13">
        <v>43059.383657407408</v>
      </c>
      <c r="G52" s="7">
        <v>177</v>
      </c>
      <c r="H52" s="21" t="s">
        <v>923</v>
      </c>
      <c r="I52" s="13">
        <v>43059.409444444442</v>
      </c>
      <c r="J52" s="7">
        <v>0</v>
      </c>
      <c r="K52" s="89" t="str">
        <f t="shared" si="0"/>
        <v>4059/4060</v>
      </c>
      <c r="L52" s="184" t="str">
        <f>VLOOKUP(A52,'Trips&amp;Operators'!$C$1:$G$99911,5,FALSE)</f>
        <v>MAELZER KURT</v>
      </c>
      <c r="M52" s="6">
        <f t="shared" si="1"/>
        <v>2.5787037033296656E-2</v>
      </c>
      <c r="N52" s="7">
        <f t="shared" si="24"/>
        <v>37.133333327947184</v>
      </c>
      <c r="O52" s="7"/>
      <c r="P52" s="7"/>
      <c r="Q52" s="22"/>
      <c r="R52" s="173"/>
      <c r="S52" s="220">
        <f t="shared" si="25"/>
        <v>1</v>
      </c>
      <c r="T52" s="173" t="str">
        <f t="shared" si="4"/>
        <v>Southbound</v>
      </c>
      <c r="U52" s="19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5" t="str">
        <f t="shared" si="5"/>
        <v>https://d0f6bd738d7f1b3e5a7ca70fe4ff75f0.us-east-1.aws.found.io/app/kibana#/discover/Steve-Slow-Train-Analysis-(2080s-and-2083s)?_g=(refreshInterval:(display:Off,pause:!f,section:0,value:0),time:(from:'2017-11-20T07:58:41-0700',mode:absolute,to:'2017-11-20T10:49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2" s="203" t="str">
        <f>IF(AA52&lt;VLOOKUP(AG52,Variables!$AC$3:$AD$8,2,FALSE),"Y","N")</f>
        <v>N</v>
      </c>
      <c r="X52" s="203">
        <f t="shared" si="26"/>
        <v>1</v>
      </c>
      <c r="Y52" s="203">
        <f t="shared" si="27"/>
        <v>23.2986</v>
      </c>
      <c r="Z52" s="203">
        <f t="shared" si="28"/>
        <v>1.67E-2</v>
      </c>
      <c r="AA52" s="203">
        <f t="shared" si="9"/>
        <v>23.2819</v>
      </c>
      <c r="AB52" s="54" t="e">
        <f>VLOOKUP(A52,Enforcements!$C$7:$K$9,8,0)</f>
        <v>#N/A</v>
      </c>
      <c r="AC52" s="51" t="e">
        <f>VLOOKUP(A52,Enforcements!$C$7:$E$9,3,0)</f>
        <v>#N/A</v>
      </c>
      <c r="AD52" s="178">
        <f t="shared" si="10"/>
        <v>138</v>
      </c>
      <c r="AE52" s="77" t="str">
        <f t="shared" si="11"/>
        <v>aws s3 cp s3://rtdc.mdm.uploadarchive.raw/RTDC4059/ "%USERPROFILE%\AppData\Local\Temp\OnboardLogs"\RTDC4059\2017-11-20 --exclude "*" --recursive --include "*20171120*" &amp; "%USERPROFILE%\Documents\GitHub\mrs-test-scripts\Headless Mode &amp; Sideloading\WalkAndUnGZ.bat" "%USERPROFILE%\AppData\Local\Temp\OnboardLogs"\RTDC4059\2017-11-20 &amp; aws s3 cp s3://rtdc.mdm.uploadarchive.raw/RTDC4059/ "%USERPROFILE%\AppData\Local\Temp\OnboardLogs"\RTDC4059\2017-11-21 --exclude "*" --recursive --include "*20171121*" &amp; "%USERPROFILE%\Documents\GitHub\mrs-test-scripts\Headless Mode &amp; Sideloading\WalkAndUnGZ.bat" "%USERPROFILE%\AppData\Local\Temp\OnboardLogs"\RTDC4059\2017-11-21</v>
      </c>
      <c r="AF52" s="74" t="str">
        <f t="shared" si="12"/>
        <v>"C:\Program Files (x86)\AstroGrep\AstroGrep.exe" /e /r /s /spath="%USERPROFILE%\AppData\Local\Temp\OnboardLogs" /stypes="app*4059*20171120*" /stext=" 16:.+((SYSTEM_STATE.+slice.+state.+changed )|(ment ac)|(multiple cpu faults)|(system.+state.+changed )|(\[timeout)|(PRM\|1\|D)|(kpr)|(kdp)|(train st.+moving)|(\|lc)|(penalty))"</v>
      </c>
      <c r="AG52" s="181" t="str">
        <f t="shared" si="13"/>
        <v>EC</v>
      </c>
      <c r="AH52" s="78" t="str">
        <f t="shared" si="19"/>
        <v>"%USERPROFILE%\Documents\GitHub\eaglep3\Utilities\RefineRTDCRunTimes.py" --tripid 138-20 --locoid 4059 --swversion DE.1.0.9.0 --startMP 204:232986 --initTime 2017-11-20T08:58:41 --startdatetime 2017-11-20T09:12:28 --delay 177 --endMP 204:167 --enddatetime 2017-11-20T09:49:36 --enforcementcount 0 &gt;&gt;%USERPROFILE%\Documents\GitHub\eaglep3-reporting\EC\2017-11-20-refined-times.txt</v>
      </c>
      <c r="AI52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{"issue":{"subject":"","project_id":79,"tracker_id":40,"status_id":1,"priority_id":2,"assigned_to_id":338,"start_date":"2017-11-20","description":"","custom_fields":[{"id":1,"name":"Subdivision","value":"EC"},{"id":4,"name":"Milepost","value":"0.0167"},{"id":17,"name":"Train ID","value":"138-20"},{"id":16,"name":"Locomotive ID","value":"4059"},{"id":130,"name":"Impact","value":""},{"id":150,"name":"Time of Event (Mountain Time)","value":"09:49:36"},{"id":151,"name":"Denver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1" t="str">
        <f t="shared" si="21"/>
        <v>start /low /b %USERPROFILE%\Documents\GitHub\eaglep3\Utilities\DownloadLogsFromS3.py --loco 4059 --day 2017-11-20</v>
      </c>
      <c r="AN52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16:49:36"},{"id":29,"name":"Sharepoint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7" t="str">
        <f t="shared" si="23"/>
        <v>https://d0f6bd738d7f1b3e5a7ca70fe4ff75f0.us-east-1.aws.found.io/app/kibana#/discover/Steve-Slow-Train-Analysis-(2080s-and-2083s)?_g=(refreshInterval:(display:Off,pause:!f,section:0,value:0),time:(from:'2017-11-20T07:58:41-0700',mode:absolute,to:'2017-11-20T10:49:36-0700'))&amp;_a=(columns:!('Message%20ID',Summary),filters:!(),index:'emp_*',interval:auto,query:(query_string:(analyze_wildcard:!t,query:'%22rtdc.l.rtdc.4059%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736</v>
      </c>
      <c r="B53" s="7">
        <v>4026</v>
      </c>
      <c r="C53" s="21" t="s">
        <v>192</v>
      </c>
      <c r="D53" s="21" t="s">
        <v>909</v>
      </c>
      <c r="E53" s="13">
        <v>43059.352395833332</v>
      </c>
      <c r="F53" s="13">
        <v>43059.354398148149</v>
      </c>
      <c r="G53" s="7">
        <v>55</v>
      </c>
      <c r="H53" s="21" t="s">
        <v>924</v>
      </c>
      <c r="I53" s="13">
        <v>43059.379386574074</v>
      </c>
      <c r="J53" s="7">
        <v>0</v>
      </c>
      <c r="K53" s="89" t="str">
        <f t="shared" si="0"/>
        <v>4025/4026</v>
      </c>
      <c r="L53" s="184" t="str">
        <f>VLOOKUP(A53,'Trips&amp;Operators'!$C$1:$G$99911,5,FALSE)</f>
        <v>THOMPSON LESTER</v>
      </c>
      <c r="M53" s="6">
        <f t="shared" si="1"/>
        <v>2.4988425924675539E-2</v>
      </c>
      <c r="N53" s="7">
        <f t="shared" si="24"/>
        <v>35.983333331532776</v>
      </c>
      <c r="O53" s="7"/>
      <c r="P53" s="7"/>
      <c r="Q53" s="22"/>
      <c r="R53" s="173"/>
      <c r="S53" s="220">
        <f t="shared" si="25"/>
        <v>1</v>
      </c>
      <c r="T53" s="173" t="str">
        <f t="shared" si="4"/>
        <v>NorthBound</v>
      </c>
      <c r="U53" s="19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5" t="str">
        <f t="shared" si="5"/>
        <v>https://d0f6bd738d7f1b3e5a7ca70fe4ff75f0.us-east-1.aws.found.io/app/kibana#/discover/Steve-Slow-Train-Analysis-(2080s-and-2083s)?_g=(refreshInterval:(display:Off,pause:!f,section:0,value:0),time:(from:'2017-11-20T07:27:27-0700',mode:absolute,to:'2017-11-20T10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3" s="203" t="str">
        <f>IF(AA53&lt;VLOOKUP(AG53,Variables!$AC$3:$AD$8,2,FALSE),"Y","N")</f>
        <v>N</v>
      </c>
      <c r="X53" s="203">
        <f t="shared" si="26"/>
        <v>1</v>
      </c>
      <c r="Y53" s="203">
        <f t="shared" si="27"/>
        <v>4.6399999999999997E-2</v>
      </c>
      <c r="Z53" s="203">
        <f t="shared" si="28"/>
        <v>23.331900000000001</v>
      </c>
      <c r="AA53" s="203">
        <f t="shared" si="9"/>
        <v>23.285500000000003</v>
      </c>
      <c r="AB53" s="54" t="e">
        <f>VLOOKUP(A53,Enforcements!$C$7:$K$9,8,0)</f>
        <v>#N/A</v>
      </c>
      <c r="AC53" s="51" t="e">
        <f>VLOOKUP(A53,Enforcements!$C$7:$E$9,3,0)</f>
        <v>#N/A</v>
      </c>
      <c r="AD53" s="178">
        <f t="shared" si="10"/>
        <v>139</v>
      </c>
      <c r="AE53" s="77" t="str">
        <f t="shared" si="11"/>
        <v>aws s3 cp s3://rtdc.mdm.uploadarchive.raw/RTDC4026/ "%USERPROFILE%\AppData\Local\Temp\OnboardLogs"\RTDC4026\2017-11-20 --exclude "*" --recursive --include "*20171120*" &amp; "%USERPROFILE%\Documents\GitHub\mrs-test-scripts\Headless Mode &amp; Sideloading\WalkAndUnGZ.bat" "%USERPROFILE%\AppData\Local\Temp\OnboardLogs"\RTDC4026\2017-11-20 &amp; aws s3 cp s3://rtdc.mdm.uploadarchive.raw/RTDC4026/ "%USERPROFILE%\AppData\Local\Temp\OnboardLogs"\RTDC4026\2017-11-21 --exclude "*" --recursive --include "*20171121*" &amp; "%USERPROFILE%\Documents\GitHub\mrs-test-scripts\Headless Mode &amp; Sideloading\WalkAndUnGZ.bat" "%USERPROFILE%\AppData\Local\Temp\OnboardLogs"\RTDC4026\2017-11-21</v>
      </c>
      <c r="AF53" s="74" t="str">
        <f t="shared" si="12"/>
        <v>"C:\Program Files (x86)\AstroGrep\AstroGrep.exe" /e /r /s /spath="%USERPROFILE%\AppData\Local\Temp\OnboardLogs" /stypes="app*4026*20171120*" /stext=" 16:.+((SYSTEM_STATE.+slice.+state.+changed )|(ment ac)|(multiple cpu faults)|(system.+state.+changed )|(\[timeout)|(PRM\|1\|D)|(kpr)|(kdp)|(train st.+moving)|(\|lc)|(penalty))"</v>
      </c>
      <c r="AG53" s="181" t="str">
        <f t="shared" si="13"/>
        <v>EC</v>
      </c>
      <c r="AH53" s="78" t="str">
        <f t="shared" si="19"/>
        <v>"%USERPROFILE%\Documents\GitHub\eaglep3\Utilities\RefineRTDCRunTimes.py" --tripid 139-20 --locoid 4026 --swversion DE.1.0.9.0 --startMP 204:464 --initTime 2017-11-20T08:27:27 --startdatetime 2017-11-20T08:30:20 --delay 55 --endMP 204:233319 --enddatetime 2017-11-20T09:06:19 --enforcementcount 0 &gt;&gt;%USERPROFILE%\Documents\GitHub\eaglep3-reporting\EC\2017-11-20-refined-times.txt</v>
      </c>
      <c r="AI53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{"issue":{"subject":"","project_id":79,"tracker_id":40,"status_id":1,"priority_id":2,"assigned_to_id":338,"start_date":"2017-11-20","description":"","custom_fields":[{"id":1,"name":"Subdivision","value":"EC"},{"id":4,"name":"Milepost","value":"23.3319"},{"id":17,"name":"Train ID","value":"139-20"},{"id":16,"name":"Locomotive ID","value":"4026"},{"id":130,"name":"Impact","value":""},{"id":150,"name":"Time of Event (Mountain Time)","value":"09:06:19"},{"id":151,"name":"Denver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1" t="str">
        <f t="shared" si="21"/>
        <v>start /low /b %USERPROFILE%\Documents\GitHub\eaglep3\Utilities\DownloadLogsFromS3.py --loco 4026 --day 2017-11-20</v>
      </c>
      <c r="AN53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16:06:19"},{"id":29,"name":"Sharepoint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7" t="str">
        <f t="shared" si="23"/>
        <v>https://d0f6bd738d7f1b3e5a7ca70fe4ff75f0.us-east-1.aws.found.io/app/kibana#/discover/Steve-Slow-Train-Analysis-(2080s-and-2083s)?_g=(refreshInterval:(display:Off,pause:!f,section:0,value:0),time:(from:'2017-11-20T07:27:27-0700',mode:absolute,to:'2017-11-20T10:06:19-0700'))&amp;_a=(columns:!('Message%20ID',Summary),filters:!(),index:'emp_*',interval:auto,query:(query_string:(analyze_wildcard:!t,query:'%22rtdc.l.rtdc.4026%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657</v>
      </c>
      <c r="B54" s="7">
        <v>4025</v>
      </c>
      <c r="C54" s="21" t="s">
        <v>192</v>
      </c>
      <c r="D54" s="21" t="s">
        <v>530</v>
      </c>
      <c r="E54" s="13">
        <v>43059.392280092594</v>
      </c>
      <c r="F54" s="13">
        <v>43059.394074074073</v>
      </c>
      <c r="G54" s="7">
        <v>54</v>
      </c>
      <c r="H54" s="21" t="s">
        <v>511</v>
      </c>
      <c r="I54" s="13">
        <v>43059.421064814815</v>
      </c>
      <c r="J54" s="7">
        <v>0</v>
      </c>
      <c r="K54" s="89" t="str">
        <f t="shared" si="0"/>
        <v>4025/4026</v>
      </c>
      <c r="L54" s="184" t="str">
        <f>VLOOKUP(A54,'Trips&amp;Operators'!$C$1:$G$99911,5,FALSE)</f>
        <v>THOMPSON LESTER</v>
      </c>
      <c r="M54" s="6">
        <f t="shared" si="1"/>
        <v>2.6990740741894115E-2</v>
      </c>
      <c r="N54" s="7">
        <f t="shared" si="24"/>
        <v>38.866666668327525</v>
      </c>
      <c r="O54" s="7"/>
      <c r="P54" s="7"/>
      <c r="Q54" s="22"/>
      <c r="R54" s="173"/>
      <c r="S54" s="220">
        <f t="shared" si="25"/>
        <v>1</v>
      </c>
      <c r="T54" s="173" t="str">
        <f t="shared" si="4"/>
        <v>Southbound</v>
      </c>
      <c r="U54" s="19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5" t="str">
        <f t="shared" si="5"/>
        <v>https://d0f6bd738d7f1b3e5a7ca70fe4ff75f0.us-east-1.aws.found.io/app/kibana#/discover/Steve-Slow-Train-Analysis-(2080s-and-2083s)?_g=(refreshInterval:(display:Off,pause:!f,section:0,value:0),time:(from:'2017-11-20T08:24:53-0700',mode:absolute,to:'2017-11-20T11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4" s="203" t="str">
        <f>IF(AA54&lt;VLOOKUP(AG54,Variables!$AC$3:$AD$8,2,FALSE),"Y","N")</f>
        <v>N</v>
      </c>
      <c r="X54" s="203">
        <f t="shared" si="26"/>
        <v>1</v>
      </c>
      <c r="Y54" s="203">
        <f t="shared" si="27"/>
        <v>23.2989</v>
      </c>
      <c r="Z54" s="203">
        <f t="shared" si="28"/>
        <v>2.0299999999999999E-2</v>
      </c>
      <c r="AA54" s="203">
        <f t="shared" si="9"/>
        <v>23.278600000000001</v>
      </c>
      <c r="AB54" s="54" t="str">
        <f>VLOOKUP(A54,Enforcements!$C$7:$K$9,8,0)</f>
        <v>Bulletin (2)</v>
      </c>
      <c r="AC54" s="51" t="str">
        <f>VLOOKUP(A54,Enforcements!$C$7:$E$9,3,0)</f>
        <v>GRADE CROSSING</v>
      </c>
      <c r="AD54" s="178">
        <f t="shared" si="10"/>
        <v>140</v>
      </c>
      <c r="AE54" s="77" t="str">
        <f t="shared" si="11"/>
        <v>aws s3 cp s3://rtdc.mdm.uploadarchive.raw/RTDC4025/ "%USERPROFILE%\AppData\Local\Temp\OnboardLogs"\RTDC4025\2017-11-20 --exclude "*" --recursive --include "*20171120*" &amp; "%USERPROFILE%\Documents\GitHub\mrs-test-scripts\Headless Mode &amp; Sideloading\WalkAndUnGZ.bat" "%USERPROFILE%\AppData\Local\Temp\OnboardLogs"\RTDC4025\2017-11-20 &amp; aws s3 cp s3://rtdc.mdm.uploadarchive.raw/RTDC4025/ "%USERPROFILE%\AppData\Local\Temp\OnboardLogs"\RTDC4025\2017-11-21 --exclude "*" --recursive --include "*20171121*" &amp; "%USERPROFILE%\Documents\GitHub\mrs-test-scripts\Headless Mode &amp; Sideloading\WalkAndUnGZ.bat" "%USERPROFILE%\AppData\Local\Temp\OnboardLogs"\RTDC4025\2017-11-21</v>
      </c>
      <c r="AF54" s="74" t="str">
        <f t="shared" si="12"/>
        <v>"C:\Program Files (x86)\AstroGrep\AstroGrep.exe" /e /r /s /spath="%USERPROFILE%\AppData\Local\Temp\OnboardLogs" /stypes="app*4025*20171120*" /stext=" 17:.+((SYSTEM_STATE.+slice.+state.+changed )|(ment ac)|(multiple cpu faults)|(system.+state.+changed )|(\[timeout)|(PRM\|1\|D)|(kpr)|(kdp)|(train st.+moving)|(\|lc)|(penalty))"</v>
      </c>
      <c r="AG54" s="181" t="str">
        <f t="shared" si="13"/>
        <v>EC</v>
      </c>
      <c r="AH54" s="78" t="str">
        <f t="shared" si="19"/>
        <v>"%USERPROFILE%\Documents\GitHub\eaglep3\Utilities\RefineRTDCRunTimes.py" --tripid 140-20 --locoid 4025 --swversion DE.1.0.9.0 --startMP 204:232989 --initTime 2017-11-20T09:24:53 --startdatetime 2017-11-20T09:27:28 --delay 54 --endMP 204:203 --enddatetime 2017-11-20T10:06:20 --enforcementcount 0 &gt;&gt;%USERPROFILE%\Documents\GitHub\eaglep3-reporting\EC\2017-11-20-refined-times.txt</v>
      </c>
      <c r="AI54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{"issue":{"subject":"","project_id":79,"tracker_id":40,"status_id":1,"priority_id":2,"assigned_to_id":338,"start_date":"2017-11-20","description":"","custom_fields":[{"id":1,"name":"Subdivision","value":"EC"},{"id":4,"name":"Milepost","value":"0.0203"},{"id":17,"name":"Train ID","value":"140-20"},{"id":16,"name":"Locomotive ID","value":"4025"},{"id":130,"name":"Impact","value":""},{"id":150,"name":"Time of Event (Mountain Time)","value":"10:06:20"},{"id":151,"name":"Denver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1" t="str">
        <f t="shared" si="21"/>
        <v>start /low /b %USERPROFILE%\Documents\GitHub\eaglep3\Utilities\DownloadLogsFromS3.py --loco 4025 --day 2017-11-20</v>
      </c>
      <c r="AN54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17:06:20"},{"id":29,"name":"Sharepoint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7" t="str">
        <f t="shared" si="23"/>
        <v>https://d0f6bd738d7f1b3e5a7ca70fe4ff75f0.us-east-1.aws.found.io/app/kibana#/discover/Steve-Slow-Train-Analysis-(2080s-and-2083s)?_g=(refreshInterval:(display:Off,pause:!f,section:0,value:0),time:(from:'2017-11-20T08:24:53-0700',mode:absolute,to:'2017-11-20T11:06:20-0700'))&amp;_a=(columns:!('Message%20ID',Summary),filters:!(),index:'emp_*',interval:auto,query:(query_string:(analyze_wildcard:!t,query:'%22rtdc.l.rtdc.4025%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738</v>
      </c>
      <c r="B55" s="7">
        <v>4006</v>
      </c>
      <c r="C55" s="21" t="s">
        <v>192</v>
      </c>
      <c r="D55" s="21" t="s">
        <v>633</v>
      </c>
      <c r="E55" s="13">
        <v>43059.359826388885</v>
      </c>
      <c r="F55" s="13">
        <v>43059.364861111113</v>
      </c>
      <c r="G55" s="7">
        <v>52</v>
      </c>
      <c r="H55" s="21" t="s">
        <v>905</v>
      </c>
      <c r="I55" s="13">
        <v>43059.390486111108</v>
      </c>
      <c r="J55" s="7">
        <v>0</v>
      </c>
      <c r="K55" s="89" t="str">
        <f t="shared" si="0"/>
        <v>4005/4006</v>
      </c>
      <c r="L55" s="184" t="str">
        <f>VLOOKUP(A55,'Trips&amp;Operators'!$C$1:$G$99911,5,FALSE)</f>
        <v>DAVIDSON DAVID</v>
      </c>
      <c r="M55" s="6">
        <f t="shared" si="1"/>
        <v>2.5624999994761311E-2</v>
      </c>
      <c r="N55" s="7">
        <f t="shared" si="24"/>
        <v>36.899999992456287</v>
      </c>
      <c r="O55" s="7"/>
      <c r="P55" s="7"/>
      <c r="Q55" s="22"/>
      <c r="R55" s="173"/>
      <c r="S55" s="220">
        <f t="shared" si="25"/>
        <v>1</v>
      </c>
      <c r="T55" s="173" t="str">
        <f t="shared" si="4"/>
        <v>NorthBound</v>
      </c>
      <c r="U55" s="19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5" t="str">
        <f t="shared" si="5"/>
        <v>https://d0f6bd738d7f1b3e5a7ca70fe4ff75f0.us-east-1.aws.found.io/app/kibana#/discover/Steve-Slow-Train-Analysis-(2080s-and-2083s)?_g=(refreshInterval:(display:Off,pause:!f,section:0,value:0),time:(from:'2017-11-20T07:38:09-0700',mode:absolute,to:'2017-11-20T10:22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5" s="203" t="str">
        <f>IF(AA55&lt;VLOOKUP(AG55,Variables!$AC$3:$AD$8,2,FALSE),"Y","N")</f>
        <v>N</v>
      </c>
      <c r="X55" s="203">
        <f t="shared" si="26"/>
        <v>1</v>
      </c>
      <c r="Y55" s="203">
        <f t="shared" si="27"/>
        <v>5.4399999999999997E-2</v>
      </c>
      <c r="Z55" s="203">
        <f t="shared" si="28"/>
        <v>23.327999999999999</v>
      </c>
      <c r="AA55" s="203">
        <f t="shared" si="9"/>
        <v>23.273599999999998</v>
      </c>
      <c r="AB55" s="54" t="e">
        <f>VLOOKUP(A55,Enforcements!$C$7:$K$9,8,0)</f>
        <v>#N/A</v>
      </c>
      <c r="AC55" s="51" t="e">
        <f>VLOOKUP(A55,Enforcements!$C$7:$E$9,3,0)</f>
        <v>#N/A</v>
      </c>
      <c r="AD55" s="178">
        <f t="shared" si="10"/>
        <v>141</v>
      </c>
      <c r="AE55" s="77" t="str">
        <f t="shared" si="11"/>
        <v>aws s3 cp s3://rtdc.mdm.uploadarchive.raw/RTDC4006/ "%USERPROFILE%\AppData\Local\Temp\OnboardLogs"\RTDC4006\2017-11-20 --exclude "*" --recursive --include "*20171120*" &amp; "%USERPROFILE%\Documents\GitHub\mrs-test-scripts\Headless Mode &amp; Sideloading\WalkAndUnGZ.bat" "%USERPROFILE%\AppData\Local\Temp\OnboardLogs"\RTDC4006\2017-11-20 &amp; aws s3 cp s3://rtdc.mdm.uploadarchive.raw/RTDC4006/ "%USERPROFILE%\AppData\Local\Temp\OnboardLogs"\RTDC4006\2017-11-21 --exclude "*" --recursive --include "*20171121*" &amp; "%USERPROFILE%\Documents\GitHub\mrs-test-scripts\Headless Mode &amp; Sideloading\WalkAndUnGZ.bat" "%USERPROFILE%\AppData\Local\Temp\OnboardLogs"\RTDC4006\2017-11-21</v>
      </c>
      <c r="AF55" s="74" t="str">
        <f t="shared" si="12"/>
        <v>"C:\Program Files (x86)\AstroGrep\AstroGrep.exe" /e /r /s /spath="%USERPROFILE%\AppData\Local\Temp\OnboardLogs" /stypes="app*4006*20171120*" /stext=" 16:.+((SYSTEM_STATE.+slice.+state.+changed )|(ment ac)|(multiple cpu faults)|(system.+state.+changed )|(\[timeout)|(PRM\|1\|D)|(kpr)|(kdp)|(train st.+moving)|(\|lc)|(penalty))"</v>
      </c>
      <c r="AG55" s="181" t="str">
        <f t="shared" si="13"/>
        <v>EC</v>
      </c>
      <c r="AH55" s="78" t="str">
        <f t="shared" si="19"/>
        <v>"%USERPROFILE%\Documents\GitHub\eaglep3\Utilities\RefineRTDCRunTimes.py" --tripid 141-20 --locoid 4006 --swversion DE.1.0.9.0 --startMP 204:544 --initTime 2017-11-20T08:38:09 --startdatetime 2017-11-20T08:45:24 --delay 52 --endMP 204:233280 --enddatetime 2017-11-20T09:22:18 --enforcementcount 0 &gt;&gt;%USERPROFILE%\Documents\GitHub\eaglep3-reporting\EC\2017-11-20-refined-times.txt</v>
      </c>
      <c r="AI55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{"issue":{"subject":"","project_id":79,"tracker_id":40,"status_id":1,"priority_id":2,"assigned_to_id":338,"start_date":"2017-11-20","description":"","custom_fields":[{"id":1,"name":"Subdivision","value":"EC"},{"id":4,"name":"Milepost","value":"23.328"},{"id":17,"name":"Train ID","value":"141-20"},{"id":16,"name":"Locomotive ID","value":"4006"},{"id":130,"name":"Impact","value":""},{"id":150,"name":"Time of Event (Mountain Time)","value":"09:22:18"},{"id":151,"name":"Denver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1" t="str">
        <f t="shared" si="21"/>
        <v>start /low /b %USERPROFILE%\Documents\GitHub\eaglep3\Utilities\DownloadLogsFromS3.py --loco 4006 --day 2017-11-20</v>
      </c>
      <c r="AN55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16:22:18"},{"id":29,"name":"Sharepoint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7" t="str">
        <f t="shared" si="23"/>
        <v>https://d0f6bd738d7f1b3e5a7ca70fe4ff75f0.us-east-1.aws.found.io/app/kibana#/discover/Steve-Slow-Train-Analysis-(2080s-and-2083s)?_g=(refreshInterval:(display:Off,pause:!f,section:0,value:0),time:(from:'2017-11-20T07:38:09-0700',mode:absolute,to:'2017-11-20T10:22:18-0700'))&amp;_a=(columns:!('Message%20ID',Summary),filters:!(),index:'emp_*',interval:auto,query:(query_string:(analyze_wildcard:!t,query:'%22rtdc.l.rtdc.4006%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746</v>
      </c>
      <c r="B56" s="7">
        <v>4005</v>
      </c>
      <c r="C56" s="21" t="s">
        <v>192</v>
      </c>
      <c r="D56" s="21" t="s">
        <v>524</v>
      </c>
      <c r="E56" s="13">
        <v>43059.391655092593</v>
      </c>
      <c r="F56" s="13">
        <v>43059.404363425929</v>
      </c>
      <c r="G56" s="7">
        <v>50</v>
      </c>
      <c r="H56" s="21" t="s">
        <v>527</v>
      </c>
      <c r="I56" s="13">
        <v>43059.430173611108</v>
      </c>
      <c r="J56" s="7">
        <v>0</v>
      </c>
      <c r="K56" s="89" t="str">
        <f t="shared" si="0"/>
        <v>4005/4006</v>
      </c>
      <c r="L56" s="184" t="str">
        <f>VLOOKUP(A56,'Trips&amp;Operators'!$C$1:$G$99911,5,FALSE)</f>
        <v>DAVIDSON DAVID</v>
      </c>
      <c r="M56" s="6">
        <f t="shared" si="1"/>
        <v>2.5810185179580003E-2</v>
      </c>
      <c r="N56" s="7">
        <f t="shared" si="24"/>
        <v>37.166666658595204</v>
      </c>
      <c r="O56" s="7"/>
      <c r="P56" s="7"/>
      <c r="Q56" s="22"/>
      <c r="R56" s="173"/>
      <c r="S56" s="220">
        <f t="shared" si="25"/>
        <v>1</v>
      </c>
      <c r="T56" s="173" t="str">
        <f t="shared" si="4"/>
        <v>Southbound</v>
      </c>
      <c r="U56" s="19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5" t="str">
        <f t="shared" si="5"/>
        <v>https://d0f6bd738d7f1b3e5a7ca70fe4ff75f0.us-east-1.aws.found.io/app/kibana#/discover/Steve-Slow-Train-Analysis-(2080s-and-2083s)?_g=(refreshInterval:(display:Off,pause:!f,section:0,value:0),time:(from:'2017-11-20T08:23:59-0700',mode:absolute,to:'2017-11-20T11:19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6" s="203" t="str">
        <f>IF(AA56&lt;VLOOKUP(AG56,Variables!$AC$3:$AD$8,2,FALSE),"Y","N")</f>
        <v>N</v>
      </c>
      <c r="X56" s="203">
        <f t="shared" si="26"/>
        <v>1</v>
      </c>
      <c r="Y56" s="203">
        <f t="shared" si="27"/>
        <v>23.297699999999999</v>
      </c>
      <c r="Z56" s="203">
        <f t="shared" si="28"/>
        <v>2.1399999999999999E-2</v>
      </c>
      <c r="AA56" s="203">
        <f t="shared" si="9"/>
        <v>23.276299999999999</v>
      </c>
      <c r="AB56" s="54" t="e">
        <f>VLOOKUP(A56,Enforcements!$C$7:$K$9,8,0)</f>
        <v>#N/A</v>
      </c>
      <c r="AC56" s="51" t="e">
        <f>VLOOKUP(A56,Enforcements!$C$7:$E$9,3,0)</f>
        <v>#N/A</v>
      </c>
      <c r="AD56" s="178">
        <f t="shared" si="10"/>
        <v>142</v>
      </c>
      <c r="AE56" s="77" t="str">
        <f t="shared" si="11"/>
        <v>aws s3 cp s3://rtdc.mdm.uploadarchive.raw/RTDC4005/ "%USERPROFILE%\AppData\Local\Temp\OnboardLogs"\RTDC4005\2017-11-20 --exclude "*" --recursive --include "*20171120*" &amp; "%USERPROFILE%\Documents\GitHub\mrs-test-scripts\Headless Mode &amp; Sideloading\WalkAndUnGZ.bat" "%USERPROFILE%\AppData\Local\Temp\OnboardLogs"\RTDC4005\2017-11-20 &amp; aws s3 cp s3://rtdc.mdm.uploadarchive.raw/RTDC4005/ "%USERPROFILE%\AppData\Local\Temp\OnboardLogs"\RTDC4005\2017-11-21 --exclude "*" --recursive --include "*20171121*" &amp; "%USERPROFILE%\Documents\GitHub\mrs-test-scripts\Headless Mode &amp; Sideloading\WalkAndUnGZ.bat" "%USERPROFILE%\AppData\Local\Temp\OnboardLogs"\RTDC4005\2017-11-21</v>
      </c>
      <c r="AF56" s="74" t="str">
        <f t="shared" si="12"/>
        <v>"C:\Program Files (x86)\AstroGrep\AstroGrep.exe" /e /r /s /spath="%USERPROFILE%\AppData\Local\Temp\OnboardLogs" /stypes="app*4005*20171120*" /stext=" 17:.+((SYSTEM_STATE.+slice.+state.+changed )|(ment ac)|(multiple cpu faults)|(system.+state.+changed )|(\[timeout)|(PRM\|1\|D)|(kpr)|(kdp)|(train st.+moving)|(\|lc)|(penalty))"</v>
      </c>
      <c r="AG56" s="181" t="str">
        <f t="shared" si="13"/>
        <v>EC</v>
      </c>
      <c r="AH56" s="78" t="str">
        <f t="shared" si="19"/>
        <v>"%USERPROFILE%\Documents\GitHub\eaglep3\Utilities\RefineRTDCRunTimes.py" --tripid 142-20 --locoid 4005 --swversion DE.1.0.9.0 --startMP 204:232977 --initTime 2017-11-20T09:23:59 --startdatetime 2017-11-20T09:42:17 --delay 50 --endMP 204:214 --enddatetime 2017-11-20T10:19:27 --enforcementcount 0 &gt;&gt;%USERPROFILE%\Documents\GitHub\eaglep3-reporting\EC\2017-11-20-refined-times.txt</v>
      </c>
      <c r="AI56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{"issue":{"subject":"","project_id":79,"tracker_id":40,"status_id":1,"priority_id":2,"assigned_to_id":338,"start_date":"2017-11-20","description":"","custom_fields":[{"id":1,"name":"Subdivision","value":"EC"},{"id":4,"name":"Milepost","value":"0.0214"},{"id":17,"name":"Train ID","value":"142-20"},{"id":16,"name":"Locomotive ID","value":"4005"},{"id":130,"name":"Impact","value":""},{"id":150,"name":"Time of Event (Mountain Time)","value":"10:19:27"},{"id":151,"name":"Denver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1" t="str">
        <f t="shared" si="21"/>
        <v>start /low /b %USERPROFILE%\Documents\GitHub\eaglep3\Utilities\DownloadLogsFromS3.py --loco 4005 --day 2017-11-20</v>
      </c>
      <c r="AN56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17:19:27"},{"id":29,"name":"Sharepoint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7" t="str">
        <f t="shared" si="23"/>
        <v>https://d0f6bd738d7f1b3e5a7ca70fe4ff75f0.us-east-1.aws.found.io/app/kibana#/discover/Steve-Slow-Train-Analysis-(2080s-and-2083s)?_g=(refreshInterval:(display:Off,pause:!f,section:0,value:0),time:(from:'2017-11-20T08:23:59-0700',mode:absolute,to:'2017-11-20T11:19:27-0700'))&amp;_a=(columns:!('Message%20ID',Summary),filters:!(),index:'emp_*',interval:auto,query:(query_string:(analyze_wildcard:!t,query:'%22rtdc.l.rtdc.4005%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740</v>
      </c>
      <c r="B57" s="7">
        <v>4018</v>
      </c>
      <c r="C57" s="21" t="s">
        <v>192</v>
      </c>
      <c r="D57" s="21" t="s">
        <v>909</v>
      </c>
      <c r="E57" s="13">
        <v>43059.372094907405</v>
      </c>
      <c r="F57" s="13">
        <v>43059.375162037039</v>
      </c>
      <c r="G57" s="7">
        <v>80</v>
      </c>
      <c r="H57" s="21" t="s">
        <v>925</v>
      </c>
      <c r="I57" s="13">
        <v>43059.400543981479</v>
      </c>
      <c r="J57" s="7">
        <v>0</v>
      </c>
      <c r="K57" s="89" t="str">
        <f t="shared" si="0"/>
        <v>4017/4018</v>
      </c>
      <c r="L57" s="184" t="str">
        <f>VLOOKUP(A57,'Trips&amp;Operators'!$C$1:$G$99911,5,FALSE)</f>
        <v>STARKS ANGELINA</v>
      </c>
      <c r="M57" s="6">
        <f t="shared" si="1"/>
        <v>2.5381944440596271E-2</v>
      </c>
      <c r="N57" s="7">
        <f t="shared" si="24"/>
        <v>36.549999994458631</v>
      </c>
      <c r="O57" s="7"/>
      <c r="P57" s="7"/>
      <c r="Q57" s="22"/>
      <c r="R57" s="173" t="s">
        <v>1110</v>
      </c>
      <c r="S57" s="220">
        <f t="shared" si="25"/>
        <v>1</v>
      </c>
      <c r="T57" s="173" t="str">
        <f t="shared" si="4"/>
        <v>NorthBound</v>
      </c>
      <c r="U57" s="19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5" t="str">
        <f t="shared" si="5"/>
        <v>https://d0f6bd738d7f1b3e5a7ca70fe4ff75f0.us-east-1.aws.found.io/app/kibana#/discover/Steve-Slow-Train-Analysis-(2080s-and-2083s)?_g=(refreshInterval:(display:Off,pause:!f,section:0,value:0),time:(from:'2017-11-20T07:55:49-0700',mode:absolute,to:'2017-11-20T10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7" s="203" t="str">
        <f>IF(AA57&lt;VLOOKUP(AG57,Variables!$AC$3:$AD$8,2,FALSE),"Y","N")</f>
        <v>N</v>
      </c>
      <c r="X57" s="203">
        <f t="shared" si="26"/>
        <v>1</v>
      </c>
      <c r="Y57" s="203">
        <f t="shared" si="27"/>
        <v>4.6399999999999997E-2</v>
      </c>
      <c r="Z57" s="203">
        <f t="shared" si="28"/>
        <v>23.331199999999999</v>
      </c>
      <c r="AA57" s="203">
        <f t="shared" si="9"/>
        <v>23.284800000000001</v>
      </c>
      <c r="AB57" s="54" t="e">
        <f>VLOOKUP(A57,Enforcements!$C$7:$K$9,8,0)</f>
        <v>#N/A</v>
      </c>
      <c r="AC57" s="51" t="e">
        <f>VLOOKUP(A57,Enforcements!$C$7:$E$9,3,0)</f>
        <v>#N/A</v>
      </c>
      <c r="AD57" s="178">
        <f t="shared" si="10"/>
        <v>143</v>
      </c>
      <c r="AE57" s="77" t="str">
        <f t="shared" si="11"/>
        <v>aws s3 cp s3://rtdc.mdm.uploadarchive.raw/RTDC4018/ "%USERPROFILE%\AppData\Local\Temp\OnboardLogs"\RTDC4018\2017-11-20 --exclude "*" --recursive --include "*20171120*" &amp; "%USERPROFILE%\Documents\GitHub\mrs-test-scripts\Headless Mode &amp; Sideloading\WalkAndUnGZ.bat" "%USERPROFILE%\AppData\Local\Temp\OnboardLogs"\RTDC4018\2017-11-20 &amp; aws s3 cp s3://rtdc.mdm.uploadarchive.raw/RTDC4018/ "%USERPROFILE%\AppData\Local\Temp\OnboardLogs"\RTDC4018\2017-11-21 --exclude "*" --recursive --include "*20171121*" &amp; "%USERPROFILE%\Documents\GitHub\mrs-test-scripts\Headless Mode &amp; Sideloading\WalkAndUnGZ.bat" "%USERPROFILE%\AppData\Local\Temp\OnboardLogs"\RTDC4018\2017-11-21</v>
      </c>
      <c r="AF57" s="74" t="str">
        <f t="shared" si="12"/>
        <v>"C:\Program Files (x86)\AstroGrep\AstroGrep.exe" /e /r /s /spath="%USERPROFILE%\AppData\Local\Temp\OnboardLogs" /stypes="app*4018*20171120*" /stext=" 16:.+((SYSTEM_STATE.+slice.+state.+changed )|(ment ac)|(multiple cpu faults)|(system.+state.+changed )|(\[timeout)|(PRM\|1\|D)|(kpr)|(kdp)|(train st.+moving)|(\|lc)|(penalty))"</v>
      </c>
      <c r="AG57" s="181" t="str">
        <f t="shared" si="13"/>
        <v>EC</v>
      </c>
      <c r="AH57" s="78" t="str">
        <f t="shared" si="19"/>
        <v>"%USERPROFILE%\Documents\GitHub\eaglep3\Utilities\RefineRTDCRunTimes.py" --tripid 143-20 --locoid 4018 --swversion DE.1.0.9.0 --startMP 204:464 --initTime 2017-11-20T08:55:49 --startdatetime 2017-11-20T09:00:14 --delay 80 --endMP 204:233312 --enddatetime 2017-11-20T09:36:47 --enforcementcount 0 &gt;&gt;%USERPROFILE%\Documents\GitHub\eaglep3-reporting\EC\2017-11-20-refined-times.txt</v>
      </c>
      <c r="AI57" s="96" t="str">
        <f t="shared" si="20"/>
        <v>echo {"issue":{"subject":"Selected wrong track, quickly rectified","project_id":79,"tracker_id":40,"status_id":1,"priority_id":2,"assigned_to_id":338,"start_date":"2017-11-20","description":"","custom_fields":[{"id":1,"name":"Subdivision","value":"EC"},{"id":4,"name":"Milepost","value":"23.3312"},{"id":17,"name":"Train ID","value":"143-20"},{"id":16,"name":"Locomotive ID","value":"4018"},{"id":130,"name":"Impact","value":""},{"id":150,"name":"Time of Event (Mountain Time)","value":"09:36:47"},{"id":151,"name":"Denver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1" t="str">
        <f t="shared" si="21"/>
        <v>start /low /b %USERPROFILE%\Documents\GitHub\eaglep3\Utilities\DownloadLogsFromS3.py --loco 4018 --day 2017-11-20</v>
      </c>
      <c r="AN57" s="150" t="str">
        <f t="shared" si="22"/>
        <v>echo {"issue":{"subject":"Selected wrong track, quickly rectified","project_id":30,"tracker_id":4,"status_id":1,"priority_id":1,"assigned_to_id":10,"start_date":"2017-11-20","description":"","custom_fields":[{"id":30,"name":"Category","value":"Issue"},{"id":3,"name":"Functional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16:36:47"},{"id":29,"name":"Sharepoint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7" t="str">
        <f t="shared" si="23"/>
        <v>https://d0f6bd738d7f1b3e5a7ca70fe4ff75f0.us-east-1.aws.found.io/app/kibana#/discover/Steve-Slow-Train-Analysis-(2080s-and-2083s)?_g=(refreshInterval:(display:Off,pause:!f,section:0,value:0),time:(from:'2017-11-20T07:55:49-0700',mode:absolute,to:'2017-11-20T10:36:47-0700'))&amp;_a=(columns:!('Message%20ID',Summary),filters:!(),index:'emp_*',interval:auto,query:(query_string:(analyze_wildcard:!t,query:'%22rtdc.l.rtdc.4018%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748</v>
      </c>
      <c r="B58" s="7">
        <v>4017</v>
      </c>
      <c r="C58" s="21" t="s">
        <v>192</v>
      </c>
      <c r="D58" s="21" t="s">
        <v>926</v>
      </c>
      <c r="E58" s="13">
        <v>43059.402094907404</v>
      </c>
      <c r="F58" s="13">
        <v>43059.414918981478</v>
      </c>
      <c r="G58" s="7">
        <v>53</v>
      </c>
      <c r="H58" s="21" t="s">
        <v>927</v>
      </c>
      <c r="I58" s="13">
        <v>43059.441736111112</v>
      </c>
      <c r="J58" s="7">
        <v>0</v>
      </c>
      <c r="K58" s="89" t="str">
        <f t="shared" si="0"/>
        <v>4017/4018</v>
      </c>
      <c r="L58" s="184" t="str">
        <f>VLOOKUP(A58,'Trips&amp;Operators'!$C$1:$G$99911,5,FALSE)</f>
        <v>STARKS ANGELINA</v>
      </c>
      <c r="M58" s="6">
        <f t="shared" si="1"/>
        <v>2.6817129633855075E-2</v>
      </c>
      <c r="N58" s="7">
        <f t="shared" si="24"/>
        <v>38.616666672751307</v>
      </c>
      <c r="O58" s="7"/>
      <c r="P58" s="7"/>
      <c r="Q58" s="22"/>
      <c r="R58" s="173"/>
      <c r="S58" s="220">
        <f t="shared" si="25"/>
        <v>1</v>
      </c>
      <c r="T58" s="173" t="str">
        <f t="shared" si="4"/>
        <v>Southbound</v>
      </c>
      <c r="U58" s="19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5" t="str">
        <f t="shared" si="5"/>
        <v>https://d0f6bd738d7f1b3e5a7ca70fe4ff75f0.us-east-1.aws.found.io/app/kibana#/discover/Steve-Slow-Train-Analysis-(2080s-and-2083s)?_g=(refreshInterval:(display:Off,pause:!f,section:0,value:0),time:(from:'2017-11-20T08:39:01-0700',mode:absolute,to:'2017-11-20T11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8" s="203" t="str">
        <f>IF(AA58&lt;VLOOKUP(AG58,Variables!$AC$3:$AD$8,2,FALSE),"Y","N")</f>
        <v>N</v>
      </c>
      <c r="X58" s="203">
        <f t="shared" si="26"/>
        <v>1</v>
      </c>
      <c r="Y58" s="203">
        <f t="shared" si="27"/>
        <v>23.299099999999999</v>
      </c>
      <c r="Z58" s="203">
        <f t="shared" si="28"/>
        <v>1.47E-2</v>
      </c>
      <c r="AA58" s="203">
        <f t="shared" si="9"/>
        <v>23.284399999999998</v>
      </c>
      <c r="AB58" s="54" t="e">
        <f>VLOOKUP(A58,Enforcements!$C$7:$K$9,8,0)</f>
        <v>#N/A</v>
      </c>
      <c r="AC58" s="51" t="e">
        <f>VLOOKUP(A58,Enforcements!$C$7:$E$9,3,0)</f>
        <v>#N/A</v>
      </c>
      <c r="AD58" s="178">
        <f t="shared" si="10"/>
        <v>144</v>
      </c>
      <c r="AE58" s="77" t="str">
        <f t="shared" si="11"/>
        <v>aws s3 cp s3://rtdc.mdm.uploadarchive.raw/RTDC4017/ "%USERPROFILE%\AppData\Local\Temp\OnboardLogs"\RTDC4017\2017-11-20 --exclude "*" --recursive --include "*20171120*" &amp; "%USERPROFILE%\Documents\GitHub\mrs-test-scripts\Headless Mode &amp; Sideloading\WalkAndUnGZ.bat" "%USERPROFILE%\AppData\Local\Temp\OnboardLogs"\RTDC4017\2017-11-20 &amp; aws s3 cp s3://rtdc.mdm.uploadarchive.raw/RTDC4017/ "%USERPROFILE%\AppData\Local\Temp\OnboardLogs"\RTDC4017\2017-11-21 --exclude "*" --recursive --include "*20171121*" &amp; "%USERPROFILE%\Documents\GitHub\mrs-test-scripts\Headless Mode &amp; Sideloading\WalkAndUnGZ.bat" "%USERPROFILE%\AppData\Local\Temp\OnboardLogs"\RTDC4017\2017-11-21</v>
      </c>
      <c r="AF58" s="74" t="str">
        <f t="shared" si="12"/>
        <v>"C:\Program Files (x86)\AstroGrep\AstroGrep.exe" /e /r /s /spath="%USERPROFILE%\AppData\Local\Temp\OnboardLogs" /stypes="app*4017*20171120*" /stext=" 17:.+((SYSTEM_STATE.+slice.+state.+changed )|(ment ac)|(multiple cpu faults)|(system.+state.+changed )|(\[timeout)|(PRM\|1\|D)|(kpr)|(kdp)|(train st.+moving)|(\|lc)|(penalty))"</v>
      </c>
      <c r="AG58" s="181" t="str">
        <f t="shared" si="13"/>
        <v>EC</v>
      </c>
      <c r="AH58" s="78" t="str">
        <f t="shared" si="19"/>
        <v>"%USERPROFILE%\Documents\GitHub\eaglep3\Utilities\RefineRTDCRunTimes.py" --tripid 144-20 --locoid 4017 --swversion DE.1.0.9.0 --startMP 204:232991 --initTime 2017-11-20T09:39:01 --startdatetime 2017-11-20T09:57:29 --delay 53 --endMP 204:147 --enddatetime 2017-11-20T10:36:06 --enforcementcount 0 &gt;&gt;%USERPROFILE%\Documents\GitHub\eaglep3-reporting\EC\2017-11-20-refined-times.txt</v>
      </c>
      <c r="AI58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{"issue":{"subject":"","project_id":79,"tracker_id":40,"status_id":1,"priority_id":2,"assigned_to_id":338,"start_date":"2017-11-20","description":"","custom_fields":[{"id":1,"name":"Subdivision","value":"EC"},{"id":4,"name":"Milepost","value":"0.0147"},{"id":17,"name":"Train ID","value":"144-20"},{"id":16,"name":"Locomotive ID","value":"4017"},{"id":130,"name":"Impact","value":""},{"id":150,"name":"Time of Event (Mountain Time)","value":"10:36:06"},{"id":151,"name":"Denver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1" t="str">
        <f t="shared" si="21"/>
        <v>start /low /b %USERPROFILE%\Documents\GitHub\eaglep3\Utilities\DownloadLogsFromS3.py --loco 4017 --day 2017-11-20</v>
      </c>
      <c r="AN58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17:36:06"},{"id":29,"name":"Sharepoint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7" t="str">
        <f t="shared" si="23"/>
        <v>https://d0f6bd738d7f1b3e5a7ca70fe4ff75f0.us-east-1.aws.found.io/app/kibana#/discover/Steve-Slow-Train-Analysis-(2080s-and-2083s)?_g=(refreshInterval:(display:Off,pause:!f,section:0,value:0),time:(from:'2017-11-20T08:39:01-0700',mode:absolute,to:'2017-11-20T11:36:06-0700'))&amp;_a=(columns:!('Message%20ID',Summary),filters:!(),index:'emp_*',interval:auto,query:(query_string:(analyze_wildcard:!t,query:'%22rtdc.l.rtdc.4017%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743</v>
      </c>
      <c r="B59" s="7">
        <v>4002</v>
      </c>
      <c r="C59" s="21" t="s">
        <v>192</v>
      </c>
      <c r="D59" s="21" t="s">
        <v>928</v>
      </c>
      <c r="E59" s="13">
        <v>43059.380694444444</v>
      </c>
      <c r="F59" s="13">
        <v>43059.385659722226</v>
      </c>
      <c r="G59" s="7">
        <v>51</v>
      </c>
      <c r="H59" s="21" t="s">
        <v>929</v>
      </c>
      <c r="I59" s="13">
        <v>43059.410393518519</v>
      </c>
      <c r="J59" s="7">
        <v>0</v>
      </c>
      <c r="K59" s="89" t="str">
        <f t="shared" si="0"/>
        <v>4001/4002</v>
      </c>
      <c r="L59" s="184" t="str">
        <f>VLOOKUP(A59,'Trips&amp;Operators'!$C$1:$G$99911,5,FALSE)</f>
        <v>LAMAR NEKESHA</v>
      </c>
      <c r="M59" s="6">
        <f t="shared" si="1"/>
        <v>2.4733796293730848E-2</v>
      </c>
      <c r="N59" s="7">
        <f t="shared" si="24"/>
        <v>35.61666666297242</v>
      </c>
      <c r="O59" s="7"/>
      <c r="P59" s="7"/>
      <c r="Q59" s="22"/>
      <c r="R59" s="173"/>
      <c r="S59" s="220">
        <f t="shared" si="25"/>
        <v>1</v>
      </c>
      <c r="T59" s="173" t="str">
        <f t="shared" si="4"/>
        <v>NorthBound</v>
      </c>
      <c r="U59" s="19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5" t="str">
        <f t="shared" si="5"/>
        <v>https://d0f6bd738d7f1b3e5a7ca70fe4ff75f0.us-east-1.aws.found.io/app/kibana#/discover/Steve-Slow-Train-Analysis-(2080s-and-2083s)?_g=(refreshInterval:(display:Off,pause:!f,section:0,value:0),time:(from:'2017-11-20T08:08:12-0700',mode:absolute,to:'2017-11-20T10:50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9" s="203" t="str">
        <f>IF(AA59&lt;VLOOKUP(AG59,Variables!$AC$3:$AD$8,2,FALSE),"Y","N")</f>
        <v>N</v>
      </c>
      <c r="X59" s="203">
        <f t="shared" si="26"/>
        <v>1</v>
      </c>
      <c r="Y59" s="203">
        <f t="shared" si="27"/>
        <v>4.8800000000000003E-2</v>
      </c>
      <c r="Z59" s="203">
        <f t="shared" si="28"/>
        <v>23.328800000000001</v>
      </c>
      <c r="AA59" s="203">
        <f t="shared" si="9"/>
        <v>23.28</v>
      </c>
      <c r="AB59" s="54" t="e">
        <f>VLOOKUP(A59,Enforcements!$C$7:$K$9,8,0)</f>
        <v>#N/A</v>
      </c>
      <c r="AC59" s="51" t="e">
        <f>VLOOKUP(A59,Enforcements!$C$7:$E$9,3,0)</f>
        <v>#N/A</v>
      </c>
      <c r="AD59" s="178">
        <f t="shared" si="10"/>
        <v>145</v>
      </c>
      <c r="AE59" s="77" t="str">
        <f t="shared" si="11"/>
        <v>aws s3 cp s3://rtdc.mdm.uploadarchive.raw/RTDC4002/ "%USERPROFILE%\AppData\Local\Temp\OnboardLogs"\RTDC4002\2017-11-20 --exclude "*" --recursive --include "*20171120*" &amp; "%USERPROFILE%\Documents\GitHub\mrs-test-scripts\Headless Mode &amp; Sideloading\WalkAndUnGZ.bat" "%USERPROFILE%\AppData\Local\Temp\OnboardLogs"\RTDC4002\2017-11-20 &amp; aws s3 cp s3://rtdc.mdm.uploadarchive.raw/RTDC4002/ "%USERPROFILE%\AppData\Local\Temp\OnboardLogs"\RTDC4002\2017-11-21 --exclude "*" --recursive --include "*20171121*" &amp; "%USERPROFILE%\Documents\GitHub\mrs-test-scripts\Headless Mode &amp; Sideloading\WalkAndUnGZ.bat" "%USERPROFILE%\AppData\Local\Temp\OnboardLogs"\RTDC4002\2017-11-21</v>
      </c>
      <c r="AF59" s="74" t="str">
        <f t="shared" si="12"/>
        <v>"C:\Program Files (x86)\AstroGrep\AstroGrep.exe" /e /r /s /spath="%USERPROFILE%\AppData\Local\Temp\OnboardLogs" /stypes="app*4002*20171120*" /stext=" 16:.+((SYSTEM_STATE.+slice.+state.+changed )|(ment ac)|(multiple cpu faults)|(system.+state.+changed )|(\[timeout)|(PRM\|1\|D)|(kpr)|(kdp)|(train st.+moving)|(\|lc)|(penalty))"</v>
      </c>
      <c r="AG59" s="181" t="str">
        <f t="shared" si="13"/>
        <v>EC</v>
      </c>
      <c r="AH59" s="78" t="str">
        <f t="shared" si="19"/>
        <v>"%USERPROFILE%\Documents\GitHub\eaglep3\Utilities\RefineRTDCRunTimes.py" --tripid 145-20 --locoid 4002 --swversion DE.1.0.9.0 --startMP 204:488 --initTime 2017-11-20T09:08:12 --startdatetime 2017-11-20T09:15:21 --delay 51 --endMP 204:233288 --enddatetime 2017-11-20T09:50:58 --enforcementcount 0 &gt;&gt;%USERPROFILE%\Documents\GitHub\eaglep3-reporting\EC\2017-11-20-refined-times.txt</v>
      </c>
      <c r="AI59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{"issue":{"subject":"","project_id":79,"tracker_id":40,"status_id":1,"priority_id":2,"assigned_to_id":338,"start_date":"2017-11-20","description":"","custom_fields":[{"id":1,"name":"Subdivision","value":"EC"},{"id":4,"name":"Milepost","value":"23.3288"},{"id":17,"name":"Train ID","value":"145-20"},{"id":16,"name":"Locomotive ID","value":"4002"},{"id":130,"name":"Impact","value":""},{"id":150,"name":"Time of Event (Mountain Time)","value":"09:50:58"},{"id":151,"name":"Denver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1" t="str">
        <f t="shared" si="21"/>
        <v>start /low /b %USERPROFILE%\Documents\GitHub\eaglep3\Utilities\DownloadLogsFromS3.py --loco 4002 --day 2017-11-20</v>
      </c>
      <c r="AN59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16:50:58"},{"id":29,"name":"Sharepoint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7" t="str">
        <f t="shared" si="23"/>
        <v>https://d0f6bd738d7f1b3e5a7ca70fe4ff75f0.us-east-1.aws.found.io/app/kibana#/discover/Steve-Slow-Train-Analysis-(2080s-and-2083s)?_g=(refreshInterval:(display:Off,pause:!f,section:0,value:0),time:(from:'2017-11-20T08:08:12-0700',mode:absolute,to:'2017-11-20T10:50:58-0700'))&amp;_a=(columns:!('Message%20ID',Summary),filters:!(),index:'emp_*',interval:auto,query:(query_string:(analyze_wildcard:!t,query:'%22rtdc.l.rtdc.4002%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751</v>
      </c>
      <c r="B60" s="7">
        <v>4001</v>
      </c>
      <c r="C60" s="21" t="s">
        <v>192</v>
      </c>
      <c r="D60" s="21" t="s">
        <v>930</v>
      </c>
      <c r="E60" s="13">
        <v>43059.418923611112</v>
      </c>
      <c r="F60" s="13">
        <v>43059.425173611111</v>
      </c>
      <c r="G60" s="7">
        <v>69</v>
      </c>
      <c r="H60" s="21" t="s">
        <v>568</v>
      </c>
      <c r="I60" s="13">
        <v>43059.450694444444</v>
      </c>
      <c r="J60" s="7">
        <v>0</v>
      </c>
      <c r="K60" s="89" t="str">
        <f t="shared" si="0"/>
        <v>4001/4002</v>
      </c>
      <c r="L60" s="184" t="str">
        <f>VLOOKUP(A60,'Trips&amp;Operators'!$C$1:$G$99911,5,FALSE)</f>
        <v>LAMAR NEKESHA</v>
      </c>
      <c r="M60" s="6">
        <f t="shared" si="1"/>
        <v>2.5520833332848269E-2</v>
      </c>
      <c r="N60" s="7">
        <f t="shared" si="24"/>
        <v>36.749999999301508</v>
      </c>
      <c r="O60" s="7"/>
      <c r="P60" s="7"/>
      <c r="Q60" s="22"/>
      <c r="R60" s="173"/>
      <c r="S60" s="220">
        <f t="shared" si="25"/>
        <v>1</v>
      </c>
      <c r="T60" s="173" t="str">
        <f t="shared" si="4"/>
        <v>Southbound</v>
      </c>
      <c r="U60" s="19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5" t="str">
        <f t="shared" si="5"/>
        <v>https://d0f6bd738d7f1b3e5a7ca70fe4ff75f0.us-east-1.aws.found.io/app/kibana#/discover/Steve-Slow-Train-Analysis-(2080s-and-2083s)?_g=(refreshInterval:(display:Off,pause:!f,section:0,value:0),time:(from:'2017-11-20T09:03:15-0700',mode:absolute,to:'2017-11-20T11:49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0" s="203" t="str">
        <f>IF(AA60&lt;VLOOKUP(AG60,Variables!$AC$3:$AD$8,2,FALSE),"Y","N")</f>
        <v>N</v>
      </c>
      <c r="X60" s="203">
        <f t="shared" si="26"/>
        <v>1</v>
      </c>
      <c r="Y60" s="203">
        <f t="shared" si="27"/>
        <v>23.296500000000002</v>
      </c>
      <c r="Z60" s="203">
        <f t="shared" si="28"/>
        <v>1.7999999999999999E-2</v>
      </c>
      <c r="AA60" s="203">
        <f t="shared" si="9"/>
        <v>23.278500000000001</v>
      </c>
      <c r="AB60" s="54" t="e">
        <f>VLOOKUP(A60,Enforcements!$C$7:$K$9,8,0)</f>
        <v>#N/A</v>
      </c>
      <c r="AC60" s="51" t="e">
        <f>VLOOKUP(A60,Enforcements!$C$7:$E$9,3,0)</f>
        <v>#N/A</v>
      </c>
      <c r="AD60" s="178">
        <f t="shared" si="10"/>
        <v>146</v>
      </c>
      <c r="AE60" s="77" t="str">
        <f t="shared" si="11"/>
        <v>aws s3 cp s3://rtdc.mdm.uploadarchive.raw/RTDC4001/ "%USERPROFILE%\AppData\Local\Temp\OnboardLogs"\RTDC4001\2017-11-20 --exclude "*" --recursive --include "*20171120*" &amp; "%USERPROFILE%\Documents\GitHub\mrs-test-scripts\Headless Mode &amp; Sideloading\WalkAndUnGZ.bat" "%USERPROFILE%\AppData\Local\Temp\OnboardLogs"\RTDC4001\2017-11-20 &amp; aws s3 cp s3://rtdc.mdm.uploadarchive.raw/RTDC4001/ "%USERPROFILE%\AppData\Local\Temp\OnboardLogs"\RTDC4001\2017-11-21 --exclude "*" --recursive --include "*20171121*" &amp; "%USERPROFILE%\Documents\GitHub\mrs-test-scripts\Headless Mode &amp; Sideloading\WalkAndUnGZ.bat" "%USERPROFILE%\AppData\Local\Temp\OnboardLogs"\RTDC4001\2017-11-21</v>
      </c>
      <c r="AF60" s="74" t="str">
        <f t="shared" si="12"/>
        <v>"C:\Program Files (x86)\AstroGrep\AstroGrep.exe" /e /r /s /spath="%USERPROFILE%\AppData\Local\Temp\OnboardLogs" /stypes="app*4001*20171120*" /stext=" 17:.+((SYSTEM_STATE.+slice.+state.+changed )|(ment ac)|(multiple cpu faults)|(system.+state.+changed )|(\[timeout)|(PRM\|1\|D)|(kpr)|(kdp)|(train st.+moving)|(\|lc)|(penalty))"</v>
      </c>
      <c r="AG60" s="181" t="str">
        <f t="shared" si="13"/>
        <v>EC</v>
      </c>
      <c r="AH60" s="78" t="str">
        <f t="shared" si="19"/>
        <v>"%USERPROFILE%\Documents\GitHub\eaglep3\Utilities\RefineRTDCRunTimes.py" --tripid 146-20 --locoid 4001 --swversion DE.1.0.9.0 --startMP 204:232965 --initTime 2017-11-20T10:03:15 --startdatetime 2017-11-20T10:12:15 --delay 69 --endMP 204:180 --enddatetime 2017-11-20T10:49:00 --enforcementcount 0 &gt;&gt;%USERPROFILE%\Documents\GitHub\eaglep3-reporting\EC\2017-11-20-refined-times.txt</v>
      </c>
      <c r="AI60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{"issue":{"subject":"","project_id":79,"tracker_id":40,"status_id":1,"priority_id":2,"assigned_to_id":338,"start_date":"2017-11-20","description":"","custom_fields":[{"id":1,"name":"Subdivision","value":"EC"},{"id":4,"name":"Milepost","value":"0.018"},{"id":17,"name":"Train ID","value":"146-20"},{"id":16,"name":"Locomotive ID","value":"4001"},{"id":130,"name":"Impact","value":""},{"id":150,"name":"Time of Event (Mountain Time)","value":"10:49:00"},{"id":151,"name":"Denver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1" t="str">
        <f t="shared" si="21"/>
        <v>start /low /b %USERPROFILE%\Documents\GitHub\eaglep3\Utilities\DownloadLogsFromS3.py --loco 4001 --day 2017-11-20</v>
      </c>
      <c r="AN60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17:49:00"},{"id":29,"name":"Sharepoint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7" t="str">
        <f t="shared" si="23"/>
        <v>https://d0f6bd738d7f1b3e5a7ca70fe4ff75f0.us-east-1.aws.found.io/app/kibana#/discover/Steve-Slow-Train-Analysis-(2080s-and-2083s)?_g=(refreshInterval:(display:Off,pause:!f,section:0,value:0),time:(from:'2017-11-20T09:03:15-0700',mode:absolute,to:'2017-11-20T11:49:00-0700'))&amp;_a=(columns:!('Message%20ID',Summary),filters:!(),index:'emp_*',interval:auto,query:(query_string:(analyze_wildcard:!t,query:'%22rtdc.l.rtdc.4001%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744</v>
      </c>
      <c r="B61" s="7">
        <v>4064</v>
      </c>
      <c r="C61" s="21" t="s">
        <v>192</v>
      </c>
      <c r="D61" s="21" t="s">
        <v>640</v>
      </c>
      <c r="E61" s="13">
        <v>43059.388865740744</v>
      </c>
      <c r="F61" s="13">
        <v>43059.396134259259</v>
      </c>
      <c r="G61" s="7">
        <v>43</v>
      </c>
      <c r="H61" s="21" t="s">
        <v>600</v>
      </c>
      <c r="I61" s="13">
        <v>43059.420057870368</v>
      </c>
      <c r="J61" s="7">
        <v>0</v>
      </c>
      <c r="K61" s="89" t="str">
        <f t="shared" si="0"/>
        <v>4063/4064</v>
      </c>
      <c r="L61" s="184" t="str">
        <f>VLOOKUP(A61,'Trips&amp;Operators'!$C$1:$G$99911,5,FALSE)</f>
        <v>YORK EDGAR</v>
      </c>
      <c r="M61" s="6">
        <f t="shared" si="1"/>
        <v>2.3923611108330078E-2</v>
      </c>
      <c r="N61" s="7">
        <f t="shared" si="24"/>
        <v>34.449999995995313</v>
      </c>
      <c r="O61" s="7"/>
      <c r="P61" s="7"/>
      <c r="Q61" s="22"/>
      <c r="R61" s="173"/>
      <c r="S61" s="220">
        <f t="shared" si="25"/>
        <v>1</v>
      </c>
      <c r="T61" s="173" t="str">
        <f t="shared" si="4"/>
        <v>NorthBound</v>
      </c>
      <c r="U61" s="19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5" t="str">
        <f t="shared" si="5"/>
        <v>https://d0f6bd738d7f1b3e5a7ca70fe4ff75f0.us-east-1.aws.found.io/app/kibana#/discover/Steve-Slow-Train-Analysis-(2080s-and-2083s)?_g=(refreshInterval:(display:Off,pause:!f,section:0,value:0),time:(from:'2017-11-20T08:19:58-0700',mode:absolute,to:'2017-11-20T11:04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1" s="203" t="str">
        <f>IF(AA61&lt;VLOOKUP(AG61,Variables!$AC$3:$AD$8,2,FALSE),"Y","N")</f>
        <v>N</v>
      </c>
      <c r="X61" s="203">
        <f t="shared" si="26"/>
        <v>1</v>
      </c>
      <c r="Y61" s="203">
        <f t="shared" si="27"/>
        <v>4.5100000000000001E-2</v>
      </c>
      <c r="Z61" s="203">
        <f t="shared" si="28"/>
        <v>23.331399999999999</v>
      </c>
      <c r="AA61" s="203">
        <f t="shared" si="9"/>
        <v>23.286299999999997</v>
      </c>
      <c r="AB61" s="54" t="e">
        <f>VLOOKUP(A61,Enforcements!$C$7:$K$9,8,0)</f>
        <v>#N/A</v>
      </c>
      <c r="AC61" s="51" t="e">
        <f>VLOOKUP(A61,Enforcements!$C$7:$E$9,3,0)</f>
        <v>#N/A</v>
      </c>
      <c r="AD61" s="178">
        <f t="shared" si="10"/>
        <v>147</v>
      </c>
      <c r="AE61" s="77" t="str">
        <f t="shared" si="11"/>
        <v>aws s3 cp s3://rtdc.mdm.uploadarchive.raw/RTDC4064/ "%USERPROFILE%\AppData\Local\Temp\OnboardLogs"\RTDC4064\2017-11-20 --exclude "*" --recursive --include "*20171120*" &amp; "%USERPROFILE%\Documents\GitHub\mrs-test-scripts\Headless Mode &amp; Sideloading\WalkAndUnGZ.bat" "%USERPROFILE%\AppData\Local\Temp\OnboardLogs"\RTDC4064\2017-11-20 &amp; aws s3 cp s3://rtdc.mdm.uploadarchive.raw/RTDC4064/ "%USERPROFILE%\AppData\Local\Temp\OnboardLogs"\RTDC4064\2017-11-21 --exclude "*" --recursive --include "*20171121*" &amp; "%USERPROFILE%\Documents\GitHub\mrs-test-scripts\Headless Mode &amp; Sideloading\WalkAndUnGZ.bat" "%USERPROFILE%\AppData\Local\Temp\OnboardLogs"\RTDC4064\2017-11-21</v>
      </c>
      <c r="AF61" s="74" t="str">
        <f t="shared" si="12"/>
        <v>"C:\Program Files (x86)\AstroGrep\AstroGrep.exe" /e /r /s /spath="%USERPROFILE%\AppData\Local\Temp\OnboardLogs" /stypes="app*4064*20171120*" /stext=" 17:.+((SYSTEM_STATE.+slice.+state.+changed )|(ment ac)|(multiple cpu faults)|(system.+state.+changed )|(\[timeout)|(PRM\|1\|D)|(kpr)|(kdp)|(train st.+moving)|(\|lc)|(penalty))"</v>
      </c>
      <c r="AG61" s="181" t="str">
        <f t="shared" si="13"/>
        <v>EC</v>
      </c>
      <c r="AH61" s="78" t="str">
        <f t="shared" si="19"/>
        <v>"%USERPROFILE%\Documents\GitHub\eaglep3\Utilities\RefineRTDCRunTimes.py" --tripid 147-20 --locoid 4064 --swversion DE.1.0.9.0 --startMP 204:451 --initTime 2017-11-20T09:19:58 --startdatetime 2017-11-20T09:30:26 --delay 43 --endMP 204:233314 --enddatetime 2017-11-20T10:04:53 --enforcementcount 0 &gt;&gt;%USERPROFILE%\Documents\GitHub\eaglep3-reporting\EC\2017-11-20-refined-times.txt</v>
      </c>
      <c r="AI61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{"issue":{"subject":"","project_id":79,"tracker_id":40,"status_id":1,"priority_id":2,"assigned_to_id":338,"start_date":"2017-11-20","description":"","custom_fields":[{"id":1,"name":"Subdivision","value":"EC"},{"id":4,"name":"Milepost","value":"23.3314"},{"id":17,"name":"Train ID","value":"147-20"},{"id":16,"name":"Locomotive ID","value":"4064"},{"id":130,"name":"Impact","value":""},{"id":150,"name":"Time of Event (Mountain Time)","value":"10:04:53"},{"id":151,"name":"Denver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1" t="str">
        <f t="shared" si="21"/>
        <v>start /low /b %USERPROFILE%\Documents\GitHub\eaglep3\Utilities\DownloadLogsFromS3.py --loco 4064 --day 2017-11-20</v>
      </c>
      <c r="AN61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17:04:53"},{"id":29,"name":"Sharepoint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7" t="str">
        <f t="shared" si="23"/>
        <v>https://d0f6bd738d7f1b3e5a7ca70fe4ff75f0.us-east-1.aws.found.io/app/kibana#/discover/Steve-Slow-Train-Analysis-(2080s-and-2083s)?_g=(refreshInterval:(display:Off,pause:!f,section:0,value:0),time:(from:'2017-11-20T08:19:58-0700',mode:absolute,to:'2017-11-20T11:04:53-0700'))&amp;_a=(columns:!('Message%20ID',Summary),filters:!(),index:'emp_*',interval:auto,query:(query_string:(analyze_wildcard:!t,query:'%22rtdc.l.rtdc.4064%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756</v>
      </c>
      <c r="B62" s="7">
        <v>4063</v>
      </c>
      <c r="C62" s="21" t="s">
        <v>192</v>
      </c>
      <c r="D62" s="21" t="s">
        <v>931</v>
      </c>
      <c r="E62" s="13">
        <v>43059.434120370373</v>
      </c>
      <c r="F62" s="13">
        <v>43059.435601851852</v>
      </c>
      <c r="G62" s="7">
        <v>58</v>
      </c>
      <c r="H62" s="21" t="s">
        <v>595</v>
      </c>
      <c r="I62" s="13">
        <v>43059.460601851853</v>
      </c>
      <c r="J62" s="7">
        <v>0</v>
      </c>
      <c r="K62" s="89" t="str">
        <f t="shared" si="0"/>
        <v>4063/4064</v>
      </c>
      <c r="L62" s="184" t="str">
        <f>VLOOKUP(A62,'Trips&amp;Operators'!$C$1:$G$99911,5,FALSE)</f>
        <v>YORK EDGAR</v>
      </c>
      <c r="M62" s="6">
        <f t="shared" si="1"/>
        <v>2.5000000001455192E-2</v>
      </c>
      <c r="N62" s="7">
        <f t="shared" si="24"/>
        <v>36.000000002095476</v>
      </c>
      <c r="O62" s="7"/>
      <c r="P62" s="7"/>
      <c r="Q62" s="22"/>
      <c r="R62" s="173"/>
      <c r="S62" s="220">
        <f t="shared" si="25"/>
        <v>1</v>
      </c>
      <c r="T62" s="173" t="str">
        <f t="shared" si="4"/>
        <v>Southbound</v>
      </c>
      <c r="U62" s="19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5" t="str">
        <f t="shared" si="5"/>
        <v>https://d0f6bd738d7f1b3e5a7ca70fe4ff75f0.us-east-1.aws.found.io/app/kibana#/discover/Steve-Slow-Train-Analysis-(2080s-and-2083s)?_g=(refreshInterval:(display:Off,pause:!f,section:0,value:0),time:(from:'2017-11-20T09:25:08-0700',mode:absolute,to:'2017-11-20T12:03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2" s="203" t="str">
        <f>IF(AA62&lt;VLOOKUP(AG62,Variables!$AC$3:$AD$8,2,FALSE),"Y","N")</f>
        <v>N</v>
      </c>
      <c r="X62" s="203">
        <f t="shared" si="26"/>
        <v>1</v>
      </c>
      <c r="Y62" s="203">
        <f t="shared" si="27"/>
        <v>23.2987</v>
      </c>
      <c r="Z62" s="203">
        <f t="shared" si="28"/>
        <v>1.61E-2</v>
      </c>
      <c r="AA62" s="203">
        <f t="shared" si="9"/>
        <v>23.282599999999999</v>
      </c>
      <c r="AB62" s="54" t="e">
        <f>VLOOKUP(A62,Enforcements!$C$7:$K$9,8,0)</f>
        <v>#N/A</v>
      </c>
      <c r="AC62" s="51" t="e">
        <f>VLOOKUP(A62,Enforcements!$C$7:$E$9,3,0)</f>
        <v>#N/A</v>
      </c>
      <c r="AD62" s="178">
        <f t="shared" si="10"/>
        <v>148</v>
      </c>
      <c r="AE62" s="77" t="str">
        <f t="shared" si="11"/>
        <v>aws s3 cp s3://rtdc.mdm.uploadarchive.raw/RTDC4063/ "%USERPROFILE%\AppData\Local\Temp\OnboardLogs"\RTDC4063\2017-11-20 --exclude "*" --recursive --include "*20171120*" &amp; "%USERPROFILE%\Documents\GitHub\mrs-test-scripts\Headless Mode &amp; Sideloading\WalkAndUnGZ.bat" "%USERPROFILE%\AppData\Local\Temp\OnboardLogs"\RTDC4063\2017-11-20 &amp; aws s3 cp s3://rtdc.mdm.uploadarchive.raw/RTDC4063/ "%USERPROFILE%\AppData\Local\Temp\OnboardLogs"\RTDC4063\2017-11-21 --exclude "*" --recursive --include "*20171121*" &amp; "%USERPROFILE%\Documents\GitHub\mrs-test-scripts\Headless Mode &amp; Sideloading\WalkAndUnGZ.bat" "%USERPROFILE%\AppData\Local\Temp\OnboardLogs"\RTDC4063\2017-11-21</v>
      </c>
      <c r="AF62" s="74" t="str">
        <f t="shared" si="12"/>
        <v>"C:\Program Files (x86)\AstroGrep\AstroGrep.exe" /e /r /s /spath="%USERPROFILE%\AppData\Local\Temp\OnboardLogs" /stypes="app*4063*20171120*" /stext=" 18:.+((SYSTEM_STATE.+slice.+state.+changed )|(ment ac)|(multiple cpu faults)|(system.+state.+changed )|(\[timeout)|(PRM\|1\|D)|(kpr)|(kdp)|(train st.+moving)|(\|lc)|(penalty))"</v>
      </c>
      <c r="AG62" s="181" t="str">
        <f t="shared" si="13"/>
        <v>EC</v>
      </c>
      <c r="AH62" s="78" t="str">
        <f t="shared" si="19"/>
        <v>"%USERPROFILE%\Documents\GitHub\eaglep3\Utilities\RefineRTDCRunTimes.py" --tripid 148-20 --locoid 4063 --swversion DE.1.0.9.0 --startMP 204:232987 --initTime 2017-11-20T10:25:08 --startdatetime 2017-11-20T10:27:16 --delay 58 --endMP 204:161 --enddatetime 2017-11-20T11:03:16 --enforcementcount 0 &gt;&gt;%USERPROFILE%\Documents\GitHub\eaglep3-reporting\EC\2017-11-20-refined-times.txt</v>
      </c>
      <c r="AI62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{"issue":{"subject":"","project_id":79,"tracker_id":40,"status_id":1,"priority_id":2,"assigned_to_id":338,"start_date":"2017-11-20","description":"","custom_fields":[{"id":1,"name":"Subdivision","value":"EC"},{"id":4,"name":"Milepost","value":"0.0161"},{"id":17,"name":"Train ID","value":"148-20"},{"id":16,"name":"Locomotive ID","value":"4063"},{"id":130,"name":"Impact","value":""},{"id":150,"name":"Time of Event (Mountain Time)","value":"11:03:16"},{"id":151,"name":"Denver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1" t="str">
        <f t="shared" si="21"/>
        <v>start /low /b %USERPROFILE%\Documents\GitHub\eaglep3\Utilities\DownloadLogsFromS3.py --loco 4063 --day 2017-11-20</v>
      </c>
      <c r="AN62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18:03:16"},{"id":29,"name":"Sharepoint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7" t="str">
        <f t="shared" si="23"/>
        <v>https://d0f6bd738d7f1b3e5a7ca70fe4ff75f0.us-east-1.aws.found.io/app/kibana#/discover/Steve-Slow-Train-Analysis-(2080s-and-2083s)?_g=(refreshInterval:(display:Off,pause:!f,section:0,value:0),time:(from:'2017-11-20T09:25:08-0700',mode:absolute,to:'2017-11-20T12:03:16-0700'))&amp;_a=(columns:!('Message%20ID',Summary),filters:!(),index:'emp_*',interval:auto,query:(query_string:(analyze_wildcard:!t,query:'%22rtdc.l.rtdc.4063%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747</v>
      </c>
      <c r="B63" s="7">
        <v>4028</v>
      </c>
      <c r="C63" s="21" t="s">
        <v>192</v>
      </c>
      <c r="D63" s="21" t="s">
        <v>497</v>
      </c>
      <c r="E63" s="13">
        <v>43059.401574074072</v>
      </c>
      <c r="F63" s="13">
        <v>43059.406423611108</v>
      </c>
      <c r="G63" s="7">
        <v>48</v>
      </c>
      <c r="H63" s="21" t="s">
        <v>565</v>
      </c>
      <c r="I63" s="13">
        <v>43059.431921296295</v>
      </c>
      <c r="J63" s="7">
        <v>0</v>
      </c>
      <c r="K63" s="89" t="str">
        <f t="shared" si="0"/>
        <v>4027/4028</v>
      </c>
      <c r="L63" s="184" t="str">
        <f>VLOOKUP(A63,'Trips&amp;Operators'!$C$1:$G$99911,5,FALSE)</f>
        <v>LANGERAK WILLIAM</v>
      </c>
      <c r="M63" s="6">
        <f t="shared" si="1"/>
        <v>2.5497685186564922E-2</v>
      </c>
      <c r="N63" s="7">
        <f t="shared" si="24"/>
        <v>36.716666668653488</v>
      </c>
      <c r="O63" s="7"/>
      <c r="P63" s="7"/>
      <c r="Q63" s="22"/>
      <c r="R63" s="173"/>
      <c r="S63" s="220">
        <f t="shared" si="25"/>
        <v>1</v>
      </c>
      <c r="T63" s="173" t="str">
        <f t="shared" si="4"/>
        <v>NorthBound</v>
      </c>
      <c r="U63" s="19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5" t="str">
        <f t="shared" si="5"/>
        <v>https://d0f6bd738d7f1b3e5a7ca70fe4ff75f0.us-east-1.aws.found.io/app/kibana#/discover/Steve-Slow-Train-Analysis-(2080s-and-2083s)?_g=(refreshInterval:(display:Off,pause:!f,section:0,value:0),time:(from:'2017-11-20T08:38:16-0700',mode:absolute,to:'2017-11-20T11:21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3" s="203" t="str">
        <f>IF(AA63&lt;VLOOKUP(AG63,Variables!$AC$3:$AD$8,2,FALSE),"Y","N")</f>
        <v>N</v>
      </c>
      <c r="X63" s="203">
        <f t="shared" si="26"/>
        <v>1</v>
      </c>
      <c r="Y63" s="203">
        <f t="shared" si="27"/>
        <v>4.9299999999999997E-2</v>
      </c>
      <c r="Z63" s="203">
        <f t="shared" si="28"/>
        <v>23.325900000000001</v>
      </c>
      <c r="AA63" s="203">
        <f t="shared" si="9"/>
        <v>23.276600000000002</v>
      </c>
      <c r="AB63" s="54" t="e">
        <f>VLOOKUP(A63,Enforcements!$C$7:$K$9,8,0)</f>
        <v>#N/A</v>
      </c>
      <c r="AC63" s="51" t="e">
        <f>VLOOKUP(A63,Enforcements!$C$7:$E$9,3,0)</f>
        <v>#N/A</v>
      </c>
      <c r="AD63" s="178">
        <f t="shared" si="10"/>
        <v>149</v>
      </c>
      <c r="AE63" s="77" t="str">
        <f t="shared" si="11"/>
        <v>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 &amp; aws s3 cp s3://rtdc.mdm.uploadarchive.raw/RTDC4028/ "%USERPROFILE%\AppData\Local\Temp\OnboardLogs"\RTDC4028\2017-11-21 --exclude "*" --recursive --include "*20171121*" &amp; "%USERPROFILE%\Documents\GitHub\mrs-test-scripts\Headless Mode &amp; Sideloading\WalkAndUnGZ.bat" "%USERPROFILE%\AppData\Local\Temp\OnboardLogs"\RTDC4028\2017-11-21</v>
      </c>
      <c r="AF63" s="74" t="str">
        <f t="shared" si="12"/>
        <v>"C:\Program Files (x86)\AstroGrep\AstroGrep.exe" /e /r /s /spath="%USERPROFILE%\AppData\Local\Temp\OnboardLogs" /stypes="app*4028*20171120*" /stext=" 17:.+((SYSTEM_STATE.+slice.+state.+changed )|(ment ac)|(multiple cpu faults)|(system.+state.+changed )|(\[timeout)|(PRM\|1\|D)|(kpr)|(kdp)|(train st.+moving)|(\|lc)|(penalty))"</v>
      </c>
      <c r="AG63" s="181" t="str">
        <f t="shared" si="13"/>
        <v>EC</v>
      </c>
      <c r="AH63" s="78" t="str">
        <f t="shared" si="19"/>
        <v>"%USERPROFILE%\Documents\GitHub\eaglep3\Utilities\RefineRTDCRunTimes.py" --tripid 149-20 --locoid 4028 --swversion DE.1.0.9.0 --startMP 204:493 --initTime 2017-11-20T09:38:16 --startdatetime 2017-11-20T09:45:15 --delay 48 --endMP 204:233259 --enddatetime 2017-11-20T10:21:58 --enforcementcount 0 &gt;&gt;%USERPROFILE%\Documents\GitHub\eaglep3-reporting\EC\2017-11-20-refined-times.txt</v>
      </c>
      <c r="AI63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{"issue":{"subject":"","project_id":79,"tracker_id":40,"status_id":1,"priority_id":2,"assigned_to_id":338,"start_date":"2017-11-20","description":"","custom_fields":[{"id":1,"name":"Subdivision","value":"EC"},{"id":4,"name":"Milepost","value":"23.3259"},{"id":17,"name":"Train ID","value":"149-20"},{"id":16,"name":"Locomotive ID","value":"4028"},{"id":130,"name":"Impact","value":""},{"id":150,"name":"Time of Event (Mountain Time)","value":"10:21:58"},{"id":151,"name":"Denver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1" t="str">
        <f t="shared" si="21"/>
        <v>start /low /b %USERPROFILE%\Documents\GitHub\eaglep3\Utilities\DownloadLogsFromS3.py --loco 4028 --day 2017-11-20</v>
      </c>
      <c r="AN63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17:21:58"},{"id":29,"name":"Sharepoint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7" t="str">
        <f t="shared" si="23"/>
        <v>https://d0f6bd738d7f1b3e5a7ca70fe4ff75f0.us-east-1.aws.found.io/app/kibana#/discover/Steve-Slow-Train-Analysis-(2080s-and-2083s)?_g=(refreshInterval:(display:Off,pause:!f,section:0,value:0),time:(from:'2017-11-20T08:38:16-0700',mode:absolute,to:'2017-11-20T11:21:58-0700'))&amp;_a=(columns:!('Message%20ID',Summary),filters:!(),index:'emp_*',interval:auto,query:(query_string:(analyze_wildcard:!t,query:'%22rtdc.l.rtdc.4028%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755</v>
      </c>
      <c r="B64" s="7">
        <v>4027</v>
      </c>
      <c r="C64" s="21" t="s">
        <v>192</v>
      </c>
      <c r="D64" s="21" t="s">
        <v>488</v>
      </c>
      <c r="E64" s="13">
        <v>43059.43341435185</v>
      </c>
      <c r="F64" s="13">
        <v>43059.44599537037</v>
      </c>
      <c r="G64" s="7">
        <v>50</v>
      </c>
      <c r="H64" s="21" t="s">
        <v>533</v>
      </c>
      <c r="I64" s="13">
        <v>43059.471828703703</v>
      </c>
      <c r="J64" s="7">
        <v>0</v>
      </c>
      <c r="K64" s="89" t="str">
        <f t="shared" si="0"/>
        <v>4027/4028</v>
      </c>
      <c r="L64" s="184" t="str">
        <f>VLOOKUP(A64,'Trips&amp;Operators'!$C$1:$G$99911,5,FALSE)</f>
        <v>LANGERAK WILLIAM</v>
      </c>
      <c r="M64" s="6">
        <f t="shared" si="1"/>
        <v>2.5833333333139308E-2</v>
      </c>
      <c r="N64" s="7">
        <f t="shared" si="24"/>
        <v>37.199999999720603</v>
      </c>
      <c r="O64" s="7"/>
      <c r="P64" s="7"/>
      <c r="Q64" s="22"/>
      <c r="R64" s="173"/>
      <c r="S64" s="220">
        <f t="shared" si="25"/>
        <v>1</v>
      </c>
      <c r="T64" s="173" t="str">
        <f t="shared" si="4"/>
        <v>Southbound</v>
      </c>
      <c r="U64" s="19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5" t="str">
        <f t="shared" si="5"/>
        <v>https://d0f6bd738d7f1b3e5a7ca70fe4ff75f0.us-east-1.aws.found.io/app/kibana#/discover/Steve-Slow-Train-Analysis-(2080s-and-2083s)?_g=(refreshInterval:(display:Off,pause:!f,section:0,value:0),time:(from:'2017-11-20T09:24:07-0700',mode:absolute,to:'2017-11-20T12:19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4" s="203" t="str">
        <f>IF(AA64&lt;VLOOKUP(AG64,Variables!$AC$3:$AD$8,2,FALSE),"Y","N")</f>
        <v>N</v>
      </c>
      <c r="X64" s="203">
        <f t="shared" si="26"/>
        <v>1</v>
      </c>
      <c r="Y64" s="203">
        <f t="shared" si="27"/>
        <v>23.2959</v>
      </c>
      <c r="Z64" s="203">
        <f t="shared" si="28"/>
        <v>1.8700000000000001E-2</v>
      </c>
      <c r="AA64" s="203">
        <f t="shared" si="9"/>
        <v>23.277200000000001</v>
      </c>
      <c r="AB64" s="54" t="e">
        <f>VLOOKUP(A64,Enforcements!$C$7:$K$9,8,0)</f>
        <v>#N/A</v>
      </c>
      <c r="AC64" s="51" t="e">
        <f>VLOOKUP(A64,Enforcements!$C$7:$E$9,3,0)</f>
        <v>#N/A</v>
      </c>
      <c r="AD64" s="178">
        <f t="shared" si="10"/>
        <v>150</v>
      </c>
      <c r="AE64" s="77" t="str">
        <f t="shared" si="11"/>
        <v>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 &amp; aws s3 cp s3://rtdc.mdm.uploadarchive.raw/RTDC4027/ "%USERPROFILE%\AppData\Local\Temp\OnboardLogs"\RTDC4027\2017-11-21 --exclude "*" --recursive --include "*20171121*" &amp; "%USERPROFILE%\Documents\GitHub\mrs-test-scripts\Headless Mode &amp; Sideloading\WalkAndUnGZ.bat" "%USERPROFILE%\AppData\Local\Temp\OnboardLogs"\RTDC4027\2017-11-21</v>
      </c>
      <c r="AF64" s="74" t="str">
        <f t="shared" si="12"/>
        <v>"C:\Program Files (x86)\AstroGrep\AstroGrep.exe" /e /r /s /spath="%USERPROFILE%\AppData\Local\Temp\OnboardLogs" /stypes="app*4027*20171120*" /stext=" 18:.+((SYSTEM_STATE.+slice.+state.+changed )|(ment ac)|(multiple cpu faults)|(system.+state.+changed )|(\[timeout)|(PRM\|1\|D)|(kpr)|(kdp)|(train st.+moving)|(\|lc)|(penalty))"</v>
      </c>
      <c r="AG64" s="181" t="str">
        <f t="shared" si="13"/>
        <v>EC</v>
      </c>
      <c r="AH64" s="78" t="str">
        <f t="shared" si="19"/>
        <v>"%USERPROFILE%\Documents\GitHub\eaglep3\Utilities\RefineRTDCRunTimes.py" --tripid 150-20 --locoid 4027 --swversion DE.1.0.9.0 --startMP 204:232959 --initTime 2017-11-20T10:24:07 --startdatetime 2017-11-20T10:42:14 --delay 50 --endMP 204:187 --enddatetime 2017-11-20T11:19:26 --enforcementcount 0 &gt;&gt;%USERPROFILE%\Documents\GitHub\eaglep3-reporting\EC\2017-11-20-refined-times.txt</v>
      </c>
      <c r="AI64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{"issue":{"subject":"","project_id":79,"tracker_id":40,"status_id":1,"priority_id":2,"assigned_to_id":338,"start_date":"2017-11-20","description":"","custom_fields":[{"id":1,"name":"Subdivision","value":"EC"},{"id":4,"name":"Milepost","value":"0.0187"},{"id":17,"name":"Train ID","value":"150-20"},{"id":16,"name":"Locomotive ID","value":"4027"},{"id":130,"name":"Impact","value":""},{"id":150,"name":"Time of Event (Mountain Time)","value":"11:19:26"},{"id":151,"name":"Denver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1" t="str">
        <f t="shared" si="21"/>
        <v>start /low /b %USERPROFILE%\Documents\GitHub\eaglep3\Utilities\DownloadLogsFromS3.py --loco 4027 --day 2017-11-20</v>
      </c>
      <c r="AN64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18:19:26"},{"id":29,"name":"Sharepoint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7" t="str">
        <f t="shared" si="23"/>
        <v>https://d0f6bd738d7f1b3e5a7ca70fe4ff75f0.us-east-1.aws.found.io/app/kibana#/discover/Steve-Slow-Train-Analysis-(2080s-and-2083s)?_g=(refreshInterval:(display:Off,pause:!f,section:0,value:0),time:(from:'2017-11-20T09:24:07-0700',mode:absolute,to:'2017-11-20T12:19:26-0700'))&amp;_a=(columns:!('Message%20ID',Summary),filters:!(),index:'emp_*',interval:auto,query:(query_string:(analyze_wildcard:!t,query:'%22rtdc.l.rtdc.4027%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749</v>
      </c>
      <c r="B65" s="7">
        <v>4060</v>
      </c>
      <c r="C65" s="21" t="s">
        <v>192</v>
      </c>
      <c r="D65" s="21" t="s">
        <v>907</v>
      </c>
      <c r="E65" s="13">
        <v>43059.4140625</v>
      </c>
      <c r="F65" s="13">
        <v>43059.416886574072</v>
      </c>
      <c r="G65" s="7">
        <v>44</v>
      </c>
      <c r="H65" s="21" t="s">
        <v>612</v>
      </c>
      <c r="I65" s="13">
        <v>43059.441319444442</v>
      </c>
      <c r="J65" s="7">
        <v>0</v>
      </c>
      <c r="K65" s="89" t="str">
        <f t="shared" si="0"/>
        <v>4059/4060</v>
      </c>
      <c r="L65" s="184" t="str">
        <f>VLOOKUP(A65,'Trips&amp;Operators'!$C$1:$G$99911,5,FALSE)</f>
        <v>MAELZER KURT</v>
      </c>
      <c r="M65" s="6">
        <f t="shared" si="1"/>
        <v>2.4432870370219462E-2</v>
      </c>
      <c r="N65" s="7">
        <f t="shared" si="24"/>
        <v>35.183333333116025</v>
      </c>
      <c r="O65" s="7"/>
      <c r="P65" s="7"/>
      <c r="Q65" s="22"/>
      <c r="R65" s="173"/>
      <c r="S65" s="220">
        <f t="shared" si="25"/>
        <v>1</v>
      </c>
      <c r="T65" s="173" t="str">
        <f t="shared" si="4"/>
        <v>NorthBound</v>
      </c>
      <c r="U65" s="19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5" t="str">
        <f t="shared" si="5"/>
        <v>https://d0f6bd738d7f1b3e5a7ca70fe4ff75f0.us-east-1.aws.found.io/app/kibana#/discover/Steve-Slow-Train-Analysis-(2080s-and-2083s)?_g=(refreshInterval:(display:Off,pause:!f,section:0,value:0),time:(from:'2017-11-20T08:56:15-0700',mode:absolute,to:'2017-11-20T11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5" s="203" t="str">
        <f>IF(AA65&lt;VLOOKUP(AG65,Variables!$AC$3:$AD$8,2,FALSE),"Y","N")</f>
        <v>N</v>
      </c>
      <c r="X65" s="203">
        <f t="shared" si="26"/>
        <v>1</v>
      </c>
      <c r="Y65" s="203">
        <f t="shared" si="27"/>
        <v>4.82E-2</v>
      </c>
      <c r="Z65" s="203">
        <f t="shared" si="28"/>
        <v>23.331499999999998</v>
      </c>
      <c r="AA65" s="203">
        <f t="shared" si="9"/>
        <v>23.283299999999997</v>
      </c>
      <c r="AB65" s="54" t="e">
        <f>VLOOKUP(A65,Enforcements!$C$7:$K$9,8,0)</f>
        <v>#N/A</v>
      </c>
      <c r="AC65" s="51" t="e">
        <f>VLOOKUP(A65,Enforcements!$C$7:$E$9,3,0)</f>
        <v>#N/A</v>
      </c>
      <c r="AD65" s="178">
        <f t="shared" si="10"/>
        <v>151</v>
      </c>
      <c r="AE65" s="77" t="str">
        <f t="shared" si="11"/>
        <v>aws s3 cp s3://rtdc.mdm.uploadarchive.raw/RTDC4060/ "%USERPROFILE%\AppData\Local\Temp\OnboardLogs"\RTDC4060\2017-11-20 --exclude "*" --recursive --include "*20171120*" &amp; "%USERPROFILE%\Documents\GitHub\mrs-test-scripts\Headless Mode &amp; Sideloading\WalkAndUnGZ.bat" "%USERPROFILE%\AppData\Local\Temp\OnboardLogs"\RTDC4060\2017-11-20 &amp; aws s3 cp s3://rtdc.mdm.uploadarchive.raw/RTDC4060/ "%USERPROFILE%\AppData\Local\Temp\OnboardLogs"\RTDC4060\2017-11-21 --exclude "*" --recursive --include "*20171121*" &amp; "%USERPROFILE%\Documents\GitHub\mrs-test-scripts\Headless Mode &amp; Sideloading\WalkAndUnGZ.bat" "%USERPROFILE%\AppData\Local\Temp\OnboardLogs"\RTDC4060\2017-11-21</v>
      </c>
      <c r="AF65" s="74" t="str">
        <f t="shared" si="12"/>
        <v>"C:\Program Files (x86)\AstroGrep\AstroGrep.exe" /e /r /s /spath="%USERPROFILE%\AppData\Local\Temp\OnboardLogs" /stypes="app*4060*20171120*" /stext=" 17:.+((SYSTEM_STATE.+slice.+state.+changed )|(ment ac)|(multiple cpu faults)|(system.+state.+changed )|(\[timeout)|(PRM\|1\|D)|(kpr)|(kdp)|(train st.+moving)|(\|lc)|(penalty))"</v>
      </c>
      <c r="AG65" s="181" t="str">
        <f t="shared" si="13"/>
        <v>EC</v>
      </c>
      <c r="AH65" s="78" t="str">
        <f t="shared" si="19"/>
        <v>"%USERPROFILE%\Documents\GitHub\eaglep3\Utilities\RefineRTDCRunTimes.py" --tripid 151-20 --locoid 4060 --swversion DE.1.0.9.0 --startMP 204:482 --initTime 2017-11-20T09:56:15 --startdatetime 2017-11-20T10:00:19 --delay 44 --endMP 204:233315 --enddatetime 2017-11-20T10:35:30 --enforcementcount 0 &gt;&gt;%USERPROFILE%\Documents\GitHub\eaglep3-reporting\EC\2017-11-20-refined-times.txt</v>
      </c>
      <c r="AI65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{"issue":{"subject":"","project_id":79,"tracker_id":40,"status_id":1,"priority_id":2,"assigned_to_id":338,"start_date":"2017-11-20","description":"","custom_fields":[{"id":1,"name":"Subdivision","value":"EC"},{"id":4,"name":"Milepost","value":"23.3315"},{"id":17,"name":"Train ID","value":"151-20"},{"id":16,"name":"Locomotive ID","value":"4060"},{"id":130,"name":"Impact","value":""},{"id":150,"name":"Time of Event (Mountain Time)","value":"10:35:30"},{"id":151,"name":"Denver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1" t="str">
        <f t="shared" si="21"/>
        <v>start /low /b %USERPROFILE%\Documents\GitHub\eaglep3\Utilities\DownloadLogsFromS3.py --loco 4060 --day 2017-11-20</v>
      </c>
      <c r="AN65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17:35:30"},{"id":29,"name":"Sharepoint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7" t="str">
        <f t="shared" si="23"/>
        <v>https://d0f6bd738d7f1b3e5a7ca70fe4ff75f0.us-east-1.aws.found.io/app/kibana#/discover/Steve-Slow-Train-Analysis-(2080s-and-2083s)?_g=(refreshInterval:(display:Off,pause:!f,section:0,value:0),time:(from:'2017-11-20T08:56:15-0700',mode:absolute,to:'2017-11-20T11:35:30-0700'))&amp;_a=(columns:!('Message%20ID',Summary),filters:!(),index:'emp_*',interval:auto,query:(query_string:(analyze_wildcard:!t,query:'%22rtdc.l.rtdc.4060%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758</v>
      </c>
      <c r="B66" s="7">
        <v>4059</v>
      </c>
      <c r="C66" s="21" t="s">
        <v>192</v>
      </c>
      <c r="D66" s="21" t="s">
        <v>598</v>
      </c>
      <c r="E66" s="13">
        <v>43059.451064814813</v>
      </c>
      <c r="F66" s="13">
        <v>43059.45648148148</v>
      </c>
      <c r="G66" s="7">
        <v>49</v>
      </c>
      <c r="H66" s="21" t="s">
        <v>897</v>
      </c>
      <c r="I66" s="13">
        <v>43059.482523148145</v>
      </c>
      <c r="J66" s="7">
        <v>0</v>
      </c>
      <c r="K66" s="89" t="str">
        <f t="shared" si="0"/>
        <v>4059/4060</v>
      </c>
      <c r="L66" s="184" t="str">
        <f>VLOOKUP(A66,'Trips&amp;Operators'!$C$1:$G$99911,5,FALSE)</f>
        <v>MAELZER KURT</v>
      </c>
      <c r="M66" s="6">
        <f t="shared" si="1"/>
        <v>2.6041666664241347E-2</v>
      </c>
      <c r="N66" s="7">
        <f t="shared" si="24"/>
        <v>37.49999999650754</v>
      </c>
      <c r="O66" s="7"/>
      <c r="P66" s="7"/>
      <c r="Q66" s="22"/>
      <c r="R66" s="173"/>
      <c r="S66" s="220">
        <f t="shared" si="25"/>
        <v>1</v>
      </c>
      <c r="T66" s="173" t="str">
        <f t="shared" si="4"/>
        <v>Southbound</v>
      </c>
      <c r="U66" s="19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5" t="str">
        <f t="shared" si="5"/>
        <v>https://d0f6bd738d7f1b3e5a7ca70fe4ff75f0.us-east-1.aws.found.io/app/kibana#/discover/Steve-Slow-Train-Analysis-(2080s-and-2083s)?_g=(refreshInterval:(display:Off,pause:!f,section:0,value:0),time:(from:'2017-11-20T09:49:32-0700',mode:absolute,to:'2017-11-20T12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6" s="203" t="str">
        <f>IF(AA66&lt;VLOOKUP(AG66,Variables!$AC$3:$AD$8,2,FALSE),"Y","N")</f>
        <v>N</v>
      </c>
      <c r="X66" s="203">
        <f t="shared" si="26"/>
        <v>1</v>
      </c>
      <c r="Y66" s="203">
        <f t="shared" si="27"/>
        <v>23.299800000000001</v>
      </c>
      <c r="Z66" s="203">
        <f t="shared" si="28"/>
        <v>1.72E-2</v>
      </c>
      <c r="AA66" s="203">
        <f t="shared" si="9"/>
        <v>23.282600000000002</v>
      </c>
      <c r="AB66" s="54" t="e">
        <f>VLOOKUP(A66,Enforcements!$C$7:$K$9,8,0)</f>
        <v>#N/A</v>
      </c>
      <c r="AC66" s="51" t="e">
        <f>VLOOKUP(A66,Enforcements!$C$7:$E$9,3,0)</f>
        <v>#N/A</v>
      </c>
      <c r="AD66" s="178">
        <f t="shared" si="10"/>
        <v>152</v>
      </c>
      <c r="AE66" s="77" t="str">
        <f t="shared" si="11"/>
        <v>aws s3 cp s3://rtdc.mdm.uploadarchive.raw/RTDC4059/ "%USERPROFILE%\AppData\Local\Temp\OnboardLogs"\RTDC4059\2017-11-20 --exclude "*" --recursive --include "*20171120*" &amp; "%USERPROFILE%\Documents\GitHub\mrs-test-scripts\Headless Mode &amp; Sideloading\WalkAndUnGZ.bat" "%USERPROFILE%\AppData\Local\Temp\OnboardLogs"\RTDC4059\2017-11-20 &amp; aws s3 cp s3://rtdc.mdm.uploadarchive.raw/RTDC4059/ "%USERPROFILE%\AppData\Local\Temp\OnboardLogs"\RTDC4059\2017-11-21 --exclude "*" --recursive --include "*20171121*" &amp; "%USERPROFILE%\Documents\GitHub\mrs-test-scripts\Headless Mode &amp; Sideloading\WalkAndUnGZ.bat" "%USERPROFILE%\AppData\Local\Temp\OnboardLogs"\RTDC4059\2017-11-21</v>
      </c>
      <c r="AF66" s="74" t="str">
        <f t="shared" si="12"/>
        <v>"C:\Program Files (x86)\AstroGrep\AstroGrep.exe" /e /r /s /spath="%USERPROFILE%\AppData\Local\Temp\OnboardLogs" /stypes="app*4059*20171120*" /stext=" 18:.+((SYSTEM_STATE.+slice.+state.+changed )|(ment ac)|(multiple cpu faults)|(system.+state.+changed )|(\[timeout)|(PRM\|1\|D)|(kpr)|(kdp)|(train st.+moving)|(\|lc)|(penalty))"</v>
      </c>
      <c r="AG66" s="181" t="str">
        <f t="shared" si="13"/>
        <v>EC</v>
      </c>
      <c r="AH66" s="78" t="str">
        <f t="shared" si="19"/>
        <v>"%USERPROFILE%\Documents\GitHub\eaglep3\Utilities\RefineRTDCRunTimes.py" --tripid 152-20 --locoid 4059 --swversion DE.1.0.9.0 --startMP 204:232998 --initTime 2017-11-20T10:49:32 --startdatetime 2017-11-20T10:57:20 --delay 49 --endMP 204:172 --enddatetime 2017-11-20T11:34:50 --enforcementcount 0 &gt;&gt;%USERPROFILE%\Documents\GitHub\eaglep3-reporting\EC\2017-11-20-refined-times.txt</v>
      </c>
      <c r="AI66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{"issue":{"subject":"","project_id":79,"tracker_id":40,"status_id":1,"priority_id":2,"assigned_to_id":338,"start_date":"2017-11-20","description":"","custom_fields":[{"id":1,"name":"Subdivision","value":"EC"},{"id":4,"name":"Milepost","value":"0.0172"},{"id":17,"name":"Train ID","value":"152-20"},{"id":16,"name":"Locomotive ID","value":"4059"},{"id":130,"name":"Impact","value":""},{"id":150,"name":"Time of Event (Mountain Time)","value":"11:34:50"},{"id":151,"name":"Denver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1" t="str">
        <f t="shared" si="21"/>
        <v>start /low /b %USERPROFILE%\Documents\GitHub\eaglep3\Utilities\DownloadLogsFromS3.py --loco 4059 --day 2017-11-20</v>
      </c>
      <c r="AN66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18:34:50"},{"id":29,"name":"Sharepoint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7" t="str">
        <f t="shared" si="23"/>
        <v>https://d0f6bd738d7f1b3e5a7ca70fe4ff75f0.us-east-1.aws.found.io/app/kibana#/discover/Steve-Slow-Train-Analysis-(2080s-and-2083s)?_g=(refreshInterval:(display:Off,pause:!f,section:0,value:0),time:(from:'2017-11-20T09:49:32-0700',mode:absolute,to:'2017-11-20T12:34:50-0700'))&amp;_a=(columns:!('Message%20ID',Summary),filters:!(),index:'emp_*',interval:auto,query:(query_string:(analyze_wildcard:!t,query:'%22rtdc.l.rtdc.4059%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752</v>
      </c>
      <c r="B67" s="7">
        <v>4026</v>
      </c>
      <c r="C67" s="21" t="s">
        <v>192</v>
      </c>
      <c r="D67" s="21" t="s">
        <v>500</v>
      </c>
      <c r="E67" s="13">
        <v>43059.422777777778</v>
      </c>
      <c r="F67" s="13">
        <v>43059.427800925929</v>
      </c>
      <c r="G67" s="7">
        <v>61</v>
      </c>
      <c r="H67" s="21" t="s">
        <v>618</v>
      </c>
      <c r="I67" s="13">
        <v>43059.452233796299</v>
      </c>
      <c r="J67" s="7">
        <v>0</v>
      </c>
      <c r="K67" s="89" t="str">
        <f t="shared" si="0"/>
        <v>4025/4026</v>
      </c>
      <c r="L67" s="184" t="str">
        <f>VLOOKUP(A67,'Trips&amp;Operators'!$C$1:$G$99911,5,FALSE)</f>
        <v>MACDONALD THOMAS</v>
      </c>
      <c r="M67" s="6">
        <f t="shared" si="1"/>
        <v>2.4432870370219462E-2</v>
      </c>
      <c r="N67" s="7">
        <f t="shared" si="24"/>
        <v>35.183333333116025</v>
      </c>
      <c r="O67" s="7"/>
      <c r="P67" s="7"/>
      <c r="Q67" s="22"/>
      <c r="R67" s="173"/>
      <c r="S67" s="220">
        <f t="shared" si="25"/>
        <v>1</v>
      </c>
      <c r="T67" s="173" t="str">
        <f t="shared" si="4"/>
        <v>NorthBound</v>
      </c>
      <c r="U67" s="19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5" t="str">
        <f t="shared" si="5"/>
        <v>https://d0f6bd738d7f1b3e5a7ca70fe4ff75f0.us-east-1.aws.found.io/app/kibana#/discover/Steve-Slow-Train-Analysis-(2080s-and-2083s)?_g=(refreshInterval:(display:Off,pause:!f,section:0,value:0),time:(from:'2017-11-20T09:08:48-0700',mode:absolute,to:'2017-11-20T11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7" s="203" t="str">
        <f>IF(AA67&lt;VLOOKUP(AG67,Variables!$AC$3:$AD$8,2,FALSE),"Y","N")</f>
        <v>N</v>
      </c>
      <c r="X67" s="203">
        <f t="shared" si="26"/>
        <v>1</v>
      </c>
      <c r="Y67" s="203">
        <f t="shared" si="27"/>
        <v>5.1299999999999998E-2</v>
      </c>
      <c r="Z67" s="203">
        <f t="shared" si="28"/>
        <v>23.321300000000001</v>
      </c>
      <c r="AA67" s="203">
        <f t="shared" si="9"/>
        <v>23.27</v>
      </c>
      <c r="AB67" s="54" t="e">
        <f>VLOOKUP(A67,Enforcements!$C$7:$K$9,8,0)</f>
        <v>#N/A</v>
      </c>
      <c r="AC67" s="51" t="e">
        <f>VLOOKUP(A67,Enforcements!$C$7:$E$9,3,0)</f>
        <v>#N/A</v>
      </c>
      <c r="AD67" s="178">
        <f t="shared" si="10"/>
        <v>153</v>
      </c>
      <c r="AE67" s="77" t="str">
        <f t="shared" si="11"/>
        <v>aws s3 cp s3://rtdc.mdm.uploadarchive.raw/RTDC4026/ "%USERPROFILE%\AppData\Local\Temp\OnboardLogs"\RTDC4026\2017-11-20 --exclude "*" --recursive --include "*20171120*" &amp; "%USERPROFILE%\Documents\GitHub\mrs-test-scripts\Headless Mode &amp; Sideloading\WalkAndUnGZ.bat" "%USERPROFILE%\AppData\Local\Temp\OnboardLogs"\RTDC4026\2017-11-20 &amp; aws s3 cp s3://rtdc.mdm.uploadarchive.raw/RTDC4026/ "%USERPROFILE%\AppData\Local\Temp\OnboardLogs"\RTDC4026\2017-11-21 --exclude "*" --recursive --include "*20171121*" &amp; "%USERPROFILE%\Documents\GitHub\mrs-test-scripts\Headless Mode &amp; Sideloading\WalkAndUnGZ.bat" "%USERPROFILE%\AppData\Local\Temp\OnboardLogs"\RTDC4026\2017-11-21</v>
      </c>
      <c r="AF67" s="74" t="str">
        <f t="shared" si="12"/>
        <v>"C:\Program Files (x86)\AstroGrep\AstroGrep.exe" /e /r /s /spath="%USERPROFILE%\AppData\Local\Temp\OnboardLogs" /stypes="app*4026*20171120*" /stext=" 17:.+((SYSTEM_STATE.+slice.+state.+changed )|(ment ac)|(multiple cpu faults)|(system.+state.+changed )|(\[timeout)|(PRM\|1\|D)|(kpr)|(kdp)|(train st.+moving)|(\|lc)|(penalty))"</v>
      </c>
      <c r="AG67" s="181" t="str">
        <f t="shared" si="13"/>
        <v>EC</v>
      </c>
      <c r="AH67" s="78" t="str">
        <f t="shared" si="19"/>
        <v>"%USERPROFILE%\Documents\GitHub\eaglep3\Utilities\RefineRTDCRunTimes.py" --tripid 153-20 --locoid 4026 --swversion DE.1.0.9.0 --startMP 204:513 --initTime 2017-11-20T10:08:48 --startdatetime 2017-11-20T10:16:02 --delay 61 --endMP 204:233213 --enddatetime 2017-11-20T10:51:13 --enforcementcount 0 &gt;&gt;%USERPROFILE%\Documents\GitHub\eaglep3-reporting\EC\2017-11-20-refined-times.txt</v>
      </c>
      <c r="AI67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{"issue":{"subject":"","project_id":79,"tracker_id":40,"status_id":1,"priority_id":2,"assigned_to_id":338,"start_date":"2017-11-20","description":"","custom_fields":[{"id":1,"name":"Subdivision","value":"EC"},{"id":4,"name":"Milepost","value":"23.3213"},{"id":17,"name":"Train ID","value":"153-20"},{"id":16,"name":"Locomotive ID","value":"4026"},{"id":130,"name":"Impact","value":""},{"id":150,"name":"Time of Event (Mountain Time)","value":"10:51:13"},{"id":151,"name":"Denver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1" t="str">
        <f t="shared" si="21"/>
        <v>start /low /b %USERPROFILE%\Documents\GitHub\eaglep3\Utilities\DownloadLogsFromS3.py --loco 4026 --day 2017-11-20</v>
      </c>
      <c r="AN67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17:51:13"},{"id":29,"name":"Sharepoint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7" t="str">
        <f t="shared" si="23"/>
        <v>https://d0f6bd738d7f1b3e5a7ca70fe4ff75f0.us-east-1.aws.found.io/app/kibana#/discover/Steve-Slow-Train-Analysis-(2080s-and-2083s)?_g=(refreshInterval:(display:Off,pause:!f,section:0,value:0),time:(from:'2017-11-20T09:08:48-0700',mode:absolute,to:'2017-11-20T11:51:13-0700'))&amp;_a=(columns:!('Message%20ID',Summary),filters:!(),index:'emp_*',interval:auto,query:(query_string:(analyze_wildcard:!t,query:'%22rtdc.l.rtdc.4026%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762</v>
      </c>
      <c r="B68" s="7">
        <v>4025</v>
      </c>
      <c r="C68" s="21" t="s">
        <v>192</v>
      </c>
      <c r="D68" s="21" t="s">
        <v>932</v>
      </c>
      <c r="E68" s="13">
        <v>43059.464398148149</v>
      </c>
      <c r="F68" s="13">
        <v>43059.468194444446</v>
      </c>
      <c r="G68" s="7">
        <v>268</v>
      </c>
      <c r="H68" s="21" t="s">
        <v>635</v>
      </c>
      <c r="I68" s="13">
        <v>43059.493576388886</v>
      </c>
      <c r="J68" s="7">
        <v>0</v>
      </c>
      <c r="K68" s="89" t="str">
        <f t="shared" si="0"/>
        <v>4025/4026</v>
      </c>
      <c r="L68" s="184" t="str">
        <f>VLOOKUP(A68,'Trips&amp;Operators'!$C$1:$G$99911,5,FALSE)</f>
        <v>MACDONALD THOMAS</v>
      </c>
      <c r="M68" s="6">
        <f t="shared" si="1"/>
        <v>2.5381944440596271E-2</v>
      </c>
      <c r="N68" s="7">
        <f t="shared" si="24"/>
        <v>36.549999994458631</v>
      </c>
      <c r="O68" s="7"/>
      <c r="P68" s="7"/>
      <c r="Q68" s="22"/>
      <c r="R68" s="173"/>
      <c r="S68" s="220">
        <f t="shared" si="25"/>
        <v>1</v>
      </c>
      <c r="T68" s="173" t="str">
        <f t="shared" si="4"/>
        <v>Southbound</v>
      </c>
      <c r="U68" s="19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5" t="str">
        <f t="shared" si="5"/>
        <v>https://d0f6bd738d7f1b3e5a7ca70fe4ff75f0.us-east-1.aws.found.io/app/kibana#/discover/Steve-Slow-Train-Analysis-(2080s-and-2083s)?_g=(refreshInterval:(display:Off,pause:!f,section:0,value:0),time:(from:'2017-11-20T10:08:44-0700',mode:absolute,to:'2017-11-20T12:50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8" s="203" t="str">
        <f>IF(AA68&lt;VLOOKUP(AG68,Variables!$AC$3:$AD$8,2,FALSE),"Y","N")</f>
        <v>N</v>
      </c>
      <c r="X68" s="203">
        <f t="shared" si="26"/>
        <v>1</v>
      </c>
      <c r="Y68" s="203">
        <f t="shared" si="27"/>
        <v>23.289400000000001</v>
      </c>
      <c r="Z68" s="203">
        <f t="shared" si="28"/>
        <v>2.4299999999999999E-2</v>
      </c>
      <c r="AA68" s="203">
        <f t="shared" si="9"/>
        <v>23.2651</v>
      </c>
      <c r="AB68" s="54" t="e">
        <f>VLOOKUP(A68,Enforcements!$C$7:$K$9,8,0)</f>
        <v>#N/A</v>
      </c>
      <c r="AC68" s="51" t="e">
        <f>VLOOKUP(A68,Enforcements!$C$7:$E$9,3,0)</f>
        <v>#N/A</v>
      </c>
      <c r="AD68" s="178">
        <f t="shared" si="10"/>
        <v>154</v>
      </c>
      <c r="AE68" s="77" t="str">
        <f t="shared" si="11"/>
        <v>aws s3 cp s3://rtdc.mdm.uploadarchive.raw/RTDC4025/ "%USERPROFILE%\AppData\Local\Temp\OnboardLogs"\RTDC4025\2017-11-20 --exclude "*" --recursive --include "*20171120*" &amp; "%USERPROFILE%\Documents\GitHub\mrs-test-scripts\Headless Mode &amp; Sideloading\WalkAndUnGZ.bat" "%USERPROFILE%\AppData\Local\Temp\OnboardLogs"\RTDC4025\2017-11-20 &amp; aws s3 cp s3://rtdc.mdm.uploadarchive.raw/RTDC4025/ "%USERPROFILE%\AppData\Local\Temp\OnboardLogs"\RTDC4025\2017-11-21 --exclude "*" --recursive --include "*20171121*" &amp; "%USERPROFILE%\Documents\GitHub\mrs-test-scripts\Headless Mode &amp; Sideloading\WalkAndUnGZ.bat" "%USERPROFILE%\AppData\Local\Temp\OnboardLogs"\RTDC4025\2017-11-21</v>
      </c>
      <c r="AF68" s="74" t="str">
        <f t="shared" si="12"/>
        <v>"C:\Program Files (x86)\AstroGrep\AstroGrep.exe" /e /r /s /spath="%USERPROFILE%\AppData\Local\Temp\OnboardLogs" /stypes="app*4025*20171120*" /stext=" 18:.+((SYSTEM_STATE.+slice.+state.+changed )|(ment ac)|(multiple cpu faults)|(system.+state.+changed )|(\[timeout)|(PRM\|1\|D)|(kpr)|(kdp)|(train st.+moving)|(\|lc)|(penalty))"</v>
      </c>
      <c r="AG68" s="181" t="str">
        <f t="shared" si="13"/>
        <v>EC</v>
      </c>
      <c r="AH68" s="78" t="str">
        <f t="shared" si="19"/>
        <v>"%USERPROFILE%\Documents\GitHub\eaglep3\Utilities\RefineRTDCRunTimes.py" --tripid 154-20 --locoid 4025 --swversion DE.1.0.9.0 --startMP 204:232894 --initTime 2017-11-20T11:08:44 --startdatetime 2017-11-20T11:14:12 --delay 268 --endMP 204:243 --enddatetime 2017-11-20T11:50:45 --enforcementcount 0 &gt;&gt;%USERPROFILE%\Documents\GitHub\eaglep3-reporting\EC\2017-11-20-refined-times.txt</v>
      </c>
      <c r="AI68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{"issue":{"subject":"","project_id":79,"tracker_id":40,"status_id":1,"priority_id":2,"assigned_to_id":338,"start_date":"2017-11-20","description":"","custom_fields":[{"id":1,"name":"Subdivision","value":"EC"},{"id":4,"name":"Milepost","value":"0.0243"},{"id":17,"name":"Train ID","value":"154-20"},{"id":16,"name":"Locomotive ID","value":"4025"},{"id":130,"name":"Impact","value":""},{"id":150,"name":"Time of Event (Mountain Time)","value":"11:50:45"},{"id":151,"name":"Denver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1" t="str">
        <f t="shared" si="21"/>
        <v>start /low /b %USERPROFILE%\Documents\GitHub\eaglep3\Utilities\DownloadLogsFromS3.py --loco 4025 --day 2017-11-20</v>
      </c>
      <c r="AN68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18:50:45"},{"id":29,"name":"Sharepoint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7" t="str">
        <f t="shared" si="23"/>
        <v>https://d0f6bd738d7f1b3e5a7ca70fe4ff75f0.us-east-1.aws.found.io/app/kibana#/discover/Steve-Slow-Train-Analysis-(2080s-and-2083s)?_g=(refreshInterval:(display:Off,pause:!f,section:0,value:0),time:(from:'2017-11-20T10:08:44-0700',mode:absolute,to:'2017-11-20T12:50:45-0700'))&amp;_a=(columns:!('Message%20ID',Summary),filters:!(),index:'emp_*',interval:auto,query:(query_string:(analyze_wildcard:!t,query:'%22rtdc.l.rtdc.4025%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753</v>
      </c>
      <c r="B69" s="7">
        <v>4006</v>
      </c>
      <c r="C69" s="21" t="s">
        <v>192</v>
      </c>
      <c r="D69" s="21" t="s">
        <v>921</v>
      </c>
      <c r="E69" s="13">
        <v>43059.432245370372</v>
      </c>
      <c r="F69" s="13">
        <v>43059.437696759262</v>
      </c>
      <c r="G69" s="7">
        <v>56</v>
      </c>
      <c r="H69" s="21" t="s">
        <v>933</v>
      </c>
      <c r="I69" s="13">
        <v>43059.462627314817</v>
      </c>
      <c r="J69" s="7">
        <v>0</v>
      </c>
      <c r="K69" s="89" t="str">
        <f t="shared" si="0"/>
        <v>4005/4006</v>
      </c>
      <c r="L69" s="184" t="str">
        <f>VLOOKUP(A69,'Trips&amp;Operators'!$C$1:$G$99911,5,FALSE)</f>
        <v>DAVIDSON DAVID</v>
      </c>
      <c r="M69" s="6">
        <f t="shared" si="1"/>
        <v>2.4930555555329192E-2</v>
      </c>
      <c r="N69" s="7">
        <f t="shared" si="24"/>
        <v>35.899999999674037</v>
      </c>
      <c r="O69" s="7"/>
      <c r="P69" s="7"/>
      <c r="Q69" s="22"/>
      <c r="R69" s="173"/>
      <c r="S69" s="220">
        <f t="shared" si="25"/>
        <v>1</v>
      </c>
      <c r="T69" s="173" t="str">
        <f t="shared" si="4"/>
        <v>NorthBound</v>
      </c>
      <c r="U69" s="19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5" t="str">
        <f t="shared" si="5"/>
        <v>https://d0f6bd738d7f1b3e5a7ca70fe4ff75f0.us-east-1.aws.found.io/app/kibana#/discover/Steve-Slow-Train-Analysis-(2080s-and-2083s)?_g=(refreshInterval:(display:Off,pause:!f,section:0,value:0),time:(from:'2017-11-20T09:22:26-0700',mode:absolute,to:'2017-11-20T12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9" s="203" t="str">
        <f>IF(AA69&lt;VLOOKUP(AG69,Variables!$AC$3:$AD$8,2,FALSE),"Y","N")</f>
        <v>N</v>
      </c>
      <c r="X69" s="203">
        <f t="shared" si="26"/>
        <v>1</v>
      </c>
      <c r="Y69" s="203">
        <f t="shared" si="27"/>
        <v>4.8899999999999999E-2</v>
      </c>
      <c r="Z69" s="203">
        <f t="shared" si="28"/>
        <v>23.322500000000002</v>
      </c>
      <c r="AA69" s="203">
        <f t="shared" si="9"/>
        <v>23.273600000000002</v>
      </c>
      <c r="AB69" s="54" t="e">
        <f>VLOOKUP(A69,Enforcements!$C$7:$K$9,8,0)</f>
        <v>#N/A</v>
      </c>
      <c r="AC69" s="51" t="e">
        <f>VLOOKUP(A69,Enforcements!$C$7:$E$9,3,0)</f>
        <v>#N/A</v>
      </c>
      <c r="AD69" s="178">
        <f t="shared" si="10"/>
        <v>155</v>
      </c>
      <c r="AE69" s="77" t="str">
        <f t="shared" si="11"/>
        <v>aws s3 cp s3://rtdc.mdm.uploadarchive.raw/RTDC4006/ "%USERPROFILE%\AppData\Local\Temp\OnboardLogs"\RTDC4006\2017-11-20 --exclude "*" --recursive --include "*20171120*" &amp; "%USERPROFILE%\Documents\GitHub\mrs-test-scripts\Headless Mode &amp; Sideloading\WalkAndUnGZ.bat" "%USERPROFILE%\AppData\Local\Temp\OnboardLogs"\RTDC4006\2017-11-20 &amp; aws s3 cp s3://rtdc.mdm.uploadarchive.raw/RTDC4006/ "%USERPROFILE%\AppData\Local\Temp\OnboardLogs"\RTDC4006\2017-11-21 --exclude "*" --recursive --include "*20171121*" &amp; "%USERPROFILE%\Documents\GitHub\mrs-test-scripts\Headless Mode &amp; Sideloading\WalkAndUnGZ.bat" "%USERPROFILE%\AppData\Local\Temp\OnboardLogs"\RTDC4006\2017-11-21</v>
      </c>
      <c r="AF69" s="74" t="str">
        <f t="shared" si="12"/>
        <v>"C:\Program Files (x86)\AstroGrep\AstroGrep.exe" /e /r /s /spath="%USERPROFILE%\AppData\Local\Temp\OnboardLogs" /stypes="app*4006*20171120*" /stext=" 18:.+((SYSTEM_STATE.+slice.+state.+changed )|(ment ac)|(multiple cpu faults)|(system.+state.+changed )|(\[timeout)|(PRM\|1\|D)|(kpr)|(kdp)|(train st.+moving)|(\|lc)|(penalty))"</v>
      </c>
      <c r="AG69" s="181" t="str">
        <f t="shared" si="13"/>
        <v>EC</v>
      </c>
      <c r="AH69" s="78" t="str">
        <f t="shared" si="19"/>
        <v>"%USERPROFILE%\Documents\GitHub\eaglep3\Utilities\RefineRTDCRunTimes.py" --tripid 155-20 --locoid 4006 --swversion DE.1.0.9.0 --startMP 204:489 --initTime 2017-11-20T10:22:26 --startdatetime 2017-11-20T10:30:17 --delay 56 --endMP 204:233225 --enddatetime 2017-11-20T11:06:11 --enforcementcount 0 &gt;&gt;%USERPROFILE%\Documents\GitHub\eaglep3-reporting\EC\2017-11-20-refined-times.txt</v>
      </c>
      <c r="AI69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{"issue":{"subject":"","project_id":79,"tracker_id":40,"status_id":1,"priority_id":2,"assigned_to_id":338,"start_date":"2017-11-20","description":"","custom_fields":[{"id":1,"name":"Subdivision","value":"EC"},{"id":4,"name":"Milepost","value":"23.3225"},{"id":17,"name":"Train ID","value":"155-20"},{"id":16,"name":"Locomotive ID","value":"4006"},{"id":130,"name":"Impact","value":""},{"id":150,"name":"Time of Event (Mountain Time)","value":"11:06:11"},{"id":151,"name":"Denver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1" t="str">
        <f t="shared" si="21"/>
        <v>start /low /b %USERPROFILE%\Documents\GitHub\eaglep3\Utilities\DownloadLogsFromS3.py --loco 4006 --day 2017-11-20</v>
      </c>
      <c r="AN69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18:06:11"},{"id":29,"name":"Sharepoint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7" t="str">
        <f t="shared" si="23"/>
        <v>https://d0f6bd738d7f1b3e5a7ca70fe4ff75f0.us-east-1.aws.found.io/app/kibana#/discover/Steve-Slow-Train-Analysis-(2080s-and-2083s)?_g=(refreshInterval:(display:Off,pause:!f,section:0,value:0),time:(from:'2017-11-20T09:22:26-0700',mode:absolute,to:'2017-11-20T12:06:11-0700'))&amp;_a=(columns:!('Message%20ID',Summary),filters:!(),index:'emp_*',interval:auto,query:(query_string:(analyze_wildcard:!t,query:'%22rtdc.l.rtdc.4006%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761</v>
      </c>
      <c r="B70" s="7">
        <v>4005</v>
      </c>
      <c r="C70" s="21" t="s">
        <v>192</v>
      </c>
      <c r="D70" s="21" t="s">
        <v>536</v>
      </c>
      <c r="E70" s="13">
        <v>43059.464120370372</v>
      </c>
      <c r="F70" s="13">
        <v>43059.47729166667</v>
      </c>
      <c r="G70" s="7">
        <v>58</v>
      </c>
      <c r="H70" s="21" t="s">
        <v>934</v>
      </c>
      <c r="I70" s="13">
        <v>43059.503842592596</v>
      </c>
      <c r="J70" s="7">
        <v>0</v>
      </c>
      <c r="K70" s="89" t="str">
        <f t="shared" si="0"/>
        <v>4005/4006</v>
      </c>
      <c r="L70" s="184" t="str">
        <f>VLOOKUP(A70,'Trips&amp;Operators'!$C$1:$G$99911,5,FALSE)</f>
        <v>DAVIDSON DAVID</v>
      </c>
      <c r="M70" s="6">
        <f t="shared" si="1"/>
        <v>2.6550925926130731E-2</v>
      </c>
      <c r="N70" s="7">
        <f t="shared" si="24"/>
        <v>38.233333333628252</v>
      </c>
      <c r="O70" s="7"/>
      <c r="P70" s="7"/>
      <c r="Q70" s="22"/>
      <c r="R70" s="173"/>
      <c r="S70" s="220">
        <f t="shared" si="25"/>
        <v>1</v>
      </c>
      <c r="T70" s="173" t="str">
        <f t="shared" si="4"/>
        <v>Southbound</v>
      </c>
      <c r="U70" s="19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5" t="str">
        <f t="shared" si="5"/>
        <v>https://d0f6bd738d7f1b3e5a7ca70fe4ff75f0.us-east-1.aws.found.io/app/kibana#/discover/Steve-Slow-Train-Analysis-(2080s-and-2083s)?_g=(refreshInterval:(display:Off,pause:!f,section:0,value:0),time:(from:'2017-11-20T10:08:20-0700',mode:absolute,to:'2017-11-20T13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0" s="203" t="str">
        <f>IF(AA70&lt;VLOOKUP(AG70,Variables!$AC$3:$AD$8,2,FALSE),"Y","N")</f>
        <v>N</v>
      </c>
      <c r="X70" s="203">
        <f t="shared" si="26"/>
        <v>1</v>
      </c>
      <c r="Y70" s="203">
        <f t="shared" si="27"/>
        <v>23.290199999999999</v>
      </c>
      <c r="Z70" s="203">
        <f t="shared" si="28"/>
        <v>2.18E-2</v>
      </c>
      <c r="AA70" s="203">
        <f t="shared" si="9"/>
        <v>23.2684</v>
      </c>
      <c r="AB70" s="54" t="e">
        <f>VLOOKUP(A70,Enforcements!$C$7:$K$9,8,0)</f>
        <v>#N/A</v>
      </c>
      <c r="AC70" s="51" t="e">
        <f>VLOOKUP(A70,Enforcements!$C$7:$E$9,3,0)</f>
        <v>#N/A</v>
      </c>
      <c r="AD70" s="178">
        <f t="shared" si="10"/>
        <v>156</v>
      </c>
      <c r="AE70" s="77" t="str">
        <f t="shared" si="11"/>
        <v>aws s3 cp s3://rtdc.mdm.uploadarchive.raw/RTDC4005/ "%USERPROFILE%\AppData\Local\Temp\OnboardLogs"\RTDC4005\2017-11-20 --exclude "*" --recursive --include "*20171120*" &amp; "%USERPROFILE%\Documents\GitHub\mrs-test-scripts\Headless Mode &amp; Sideloading\WalkAndUnGZ.bat" "%USERPROFILE%\AppData\Local\Temp\OnboardLogs"\RTDC4005\2017-11-20 &amp; aws s3 cp s3://rtdc.mdm.uploadarchive.raw/RTDC4005/ "%USERPROFILE%\AppData\Local\Temp\OnboardLogs"\RTDC4005\2017-11-21 --exclude "*" --recursive --include "*20171121*" &amp; "%USERPROFILE%\Documents\GitHub\mrs-test-scripts\Headless Mode &amp; Sideloading\WalkAndUnGZ.bat" "%USERPROFILE%\AppData\Local\Temp\OnboardLogs"\RTDC4005\2017-11-21</v>
      </c>
      <c r="AF70" s="74" t="str">
        <f t="shared" si="12"/>
        <v>"C:\Program Files (x86)\AstroGrep\AstroGrep.exe" /e /r /s /spath="%USERPROFILE%\AppData\Local\Temp\OnboardLogs" /stypes="app*4005*20171120*" /stext=" 19:.+((SYSTEM_STATE.+slice.+state.+changed )|(ment ac)|(multiple cpu faults)|(system.+state.+changed )|(\[timeout)|(PRM\|1\|D)|(kpr)|(kdp)|(train st.+moving)|(\|lc)|(penalty))"</v>
      </c>
      <c r="AG70" s="181" t="str">
        <f t="shared" si="13"/>
        <v>EC</v>
      </c>
      <c r="AH70" s="78" t="str">
        <f t="shared" si="19"/>
        <v>"%USERPROFILE%\Documents\GitHub\eaglep3\Utilities\RefineRTDCRunTimes.py" --tripid 156-20 --locoid 4005 --swversion DE.1.0.9.0 --startMP 204:232902 --initTime 2017-11-20T11:08:20 --startdatetime 2017-11-20T11:27:18 --delay 58 --endMP 204:218 --enddatetime 2017-11-20T12:05:32 --enforcementcount 0 &gt;&gt;%USERPROFILE%\Documents\GitHub\eaglep3-reporting\EC\2017-11-20-refined-times.txt</v>
      </c>
      <c r="AI70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{"issue":{"subject":"","project_id":79,"tracker_id":40,"status_id":1,"priority_id":2,"assigned_to_id":338,"start_date":"2017-11-20","description":"","custom_fields":[{"id":1,"name":"Subdivision","value":"EC"},{"id":4,"name":"Milepost","value":"0.0218"},{"id":17,"name":"Train ID","value":"156-20"},{"id":16,"name":"Locomotive ID","value":"4005"},{"id":130,"name":"Impact","value":""},{"id":150,"name":"Time of Event (Mountain Time)","value":"12:05:32"},{"id":151,"name":"Denver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1" t="str">
        <f t="shared" si="21"/>
        <v>start /low /b %USERPROFILE%\Documents\GitHub\eaglep3\Utilities\DownloadLogsFromS3.py --loco 4005 --day 2017-11-20</v>
      </c>
      <c r="AN70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19:05:32"},{"id":29,"name":"Sharepoint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7" t="str">
        <f t="shared" si="23"/>
        <v>https://d0f6bd738d7f1b3e5a7ca70fe4ff75f0.us-east-1.aws.found.io/app/kibana#/discover/Steve-Slow-Train-Analysis-(2080s-and-2083s)?_g=(refreshInterval:(display:Off,pause:!f,section:0,value:0),time:(from:'2017-11-20T10:08:20-0700',mode:absolute,to:'2017-11-20T13:05:32-0700'))&amp;_a=(columns:!('Message%20ID',Summary),filters:!(),index:'emp_*',interval:auto,query:(query_string:(analyze_wildcard:!t,query:'%22rtdc.l.rtdc.4005%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757</v>
      </c>
      <c r="B71" s="7">
        <v>4018</v>
      </c>
      <c r="C71" s="21" t="s">
        <v>192</v>
      </c>
      <c r="D71" s="21" t="s">
        <v>907</v>
      </c>
      <c r="E71" s="13">
        <v>43059.443923611114</v>
      </c>
      <c r="F71" s="13">
        <v>43059.448125000003</v>
      </c>
      <c r="G71" s="7">
        <v>71</v>
      </c>
      <c r="H71" s="21" t="s">
        <v>889</v>
      </c>
      <c r="I71" s="13">
        <v>43059.474050925928</v>
      </c>
      <c r="J71" s="7">
        <v>0</v>
      </c>
      <c r="K71" s="89" t="str">
        <f t="shared" si="0"/>
        <v>4017/4018</v>
      </c>
      <c r="L71" s="184" t="str">
        <f>VLOOKUP(A71,'Trips&amp;Operators'!$C$1:$G$99911,5,FALSE)</f>
        <v>BADERTSCHER DIANE</v>
      </c>
      <c r="M71" s="6">
        <f t="shared" si="1"/>
        <v>2.5925925925548654E-2</v>
      </c>
      <c r="N71" s="7">
        <f t="shared" si="24"/>
        <v>37.333333332790062</v>
      </c>
      <c r="O71" s="7"/>
      <c r="P71" s="7"/>
      <c r="Q71" s="22"/>
      <c r="R71" s="173"/>
      <c r="S71" s="220">
        <f t="shared" si="25"/>
        <v>1</v>
      </c>
      <c r="T71" s="173" t="str">
        <f t="shared" si="4"/>
        <v>NorthBound</v>
      </c>
      <c r="U71" s="19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5" t="str">
        <f t="shared" si="5"/>
        <v>https://d0f6bd738d7f1b3e5a7ca70fe4ff75f0.us-east-1.aws.found.io/app/kibana#/discover/Steve-Slow-Train-Analysis-(2080s-and-2083s)?_g=(refreshInterval:(display:Off,pause:!f,section:0,value:0),time:(from:'2017-11-20T09:39:15-0700',mode:absolute,to:'2017-11-20T12:22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1" s="203" t="str">
        <f>IF(AA71&lt;VLOOKUP(AG71,Variables!$AC$3:$AD$8,2,FALSE),"Y","N")</f>
        <v>N</v>
      </c>
      <c r="X71" s="203">
        <f t="shared" si="26"/>
        <v>1</v>
      </c>
      <c r="Y71" s="203">
        <f t="shared" si="27"/>
        <v>4.82E-2</v>
      </c>
      <c r="Z71" s="203">
        <f t="shared" si="28"/>
        <v>23.327200000000001</v>
      </c>
      <c r="AA71" s="203">
        <f t="shared" si="9"/>
        <v>23.279</v>
      </c>
      <c r="AB71" s="54" t="e">
        <f>VLOOKUP(A71,Enforcements!$C$7:$K$9,8,0)</f>
        <v>#N/A</v>
      </c>
      <c r="AC71" s="51" t="e">
        <f>VLOOKUP(A71,Enforcements!$C$7:$E$9,3,0)</f>
        <v>#N/A</v>
      </c>
      <c r="AD71" s="178">
        <f t="shared" si="10"/>
        <v>157</v>
      </c>
      <c r="AE71" s="77" t="str">
        <f t="shared" si="11"/>
        <v>aws s3 cp s3://rtdc.mdm.uploadarchive.raw/RTDC4018/ "%USERPROFILE%\AppData\Local\Temp\OnboardLogs"\RTDC4018\2017-11-20 --exclude "*" --recursive --include "*20171120*" &amp; "%USERPROFILE%\Documents\GitHub\mrs-test-scripts\Headless Mode &amp; Sideloading\WalkAndUnGZ.bat" "%USERPROFILE%\AppData\Local\Temp\OnboardLogs"\RTDC4018\2017-11-20 &amp; aws s3 cp s3://rtdc.mdm.uploadarchive.raw/RTDC4018/ "%USERPROFILE%\AppData\Local\Temp\OnboardLogs"\RTDC4018\2017-11-21 --exclude "*" --recursive --include "*20171121*" &amp; "%USERPROFILE%\Documents\GitHub\mrs-test-scripts\Headless Mode &amp; Sideloading\WalkAndUnGZ.bat" "%USERPROFILE%\AppData\Local\Temp\OnboardLogs"\RTDC4018\2017-11-21</v>
      </c>
      <c r="AF71" s="74" t="str">
        <f t="shared" si="12"/>
        <v>"C:\Program Files (x86)\AstroGrep\AstroGrep.exe" /e /r /s /spath="%USERPROFILE%\AppData\Local\Temp\OnboardLogs" /stypes="app*4018*20171120*" /stext=" 18:.+((SYSTEM_STATE.+slice.+state.+changed )|(ment ac)|(multiple cpu faults)|(system.+state.+changed )|(\[timeout)|(PRM\|1\|D)|(kpr)|(kdp)|(train st.+moving)|(\|lc)|(penalty))"</v>
      </c>
      <c r="AG71" s="181" t="str">
        <f t="shared" si="13"/>
        <v>EC</v>
      </c>
      <c r="AH71" s="78" t="str">
        <f t="shared" si="19"/>
        <v>"%USERPROFILE%\Documents\GitHub\eaglep3\Utilities\RefineRTDCRunTimes.py" --tripid 157-20 --locoid 4018 --swversion DE.1.0.9.0 --startMP 204:482 --initTime 2017-11-20T10:39:15 --startdatetime 2017-11-20T10:45:18 --delay 71 --endMP 204:233272 --enddatetime 2017-11-20T11:22:38 --enforcementcount 0 &gt;&gt;%USERPROFILE%\Documents\GitHub\eaglep3-reporting\EC\2017-11-20-refined-times.txt</v>
      </c>
      <c r="AI71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{"issue":{"subject":"","project_id":79,"tracker_id":40,"status_id":1,"priority_id":2,"assigned_to_id":338,"start_date":"2017-11-20","description":"","custom_fields":[{"id":1,"name":"Subdivision","value":"EC"},{"id":4,"name":"Milepost","value":"23.3272"},{"id":17,"name":"Train ID","value":"157-20"},{"id":16,"name":"Locomotive ID","value":"4018"},{"id":130,"name":"Impact","value":""},{"id":150,"name":"Time of Event (Mountain Time)","value":"11:22:38"},{"id":151,"name":"Denver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1" t="str">
        <f t="shared" si="21"/>
        <v>start /low /b %USERPROFILE%\Documents\GitHub\eaglep3\Utilities\DownloadLogsFromS3.py --loco 4018 --day 2017-11-20</v>
      </c>
      <c r="AN71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18:22:38"},{"id":29,"name":"Sharepoint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7" t="str">
        <f t="shared" si="23"/>
        <v>https://d0f6bd738d7f1b3e5a7ca70fe4ff75f0.us-east-1.aws.found.io/app/kibana#/discover/Steve-Slow-Train-Analysis-(2080s-and-2083s)?_g=(refreshInterval:(display:Off,pause:!f,section:0,value:0),time:(from:'2017-11-20T09:39:15-0700',mode:absolute,to:'2017-11-20T12:22:38-0700'))&amp;_a=(columns:!('Message%20ID',Summary),filters:!(),index:'emp_*',interval:auto,query:(query_string:(analyze_wildcard:!t,query:'%22rtdc.l.rtdc.4018%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663</v>
      </c>
      <c r="B72" s="7">
        <v>4017</v>
      </c>
      <c r="C72" s="21" t="s">
        <v>192</v>
      </c>
      <c r="D72" s="21" t="s">
        <v>935</v>
      </c>
      <c r="E72" s="13">
        <v>43059.477766203701</v>
      </c>
      <c r="F72" s="13">
        <v>43059.487719907411</v>
      </c>
      <c r="G72" s="7">
        <v>88</v>
      </c>
      <c r="H72" s="21" t="s">
        <v>511</v>
      </c>
      <c r="I72" s="13">
        <v>43059.517534722225</v>
      </c>
      <c r="J72" s="7">
        <v>0</v>
      </c>
      <c r="K72" s="89" t="str">
        <f t="shared" si="0"/>
        <v>4017/4018</v>
      </c>
      <c r="L72" s="184" t="str">
        <f>VLOOKUP(A72,'Trips&amp;Operators'!$C$1:$G$99911,5,FALSE)</f>
        <v>BADERTSCHER DIANE</v>
      </c>
      <c r="M72" s="6">
        <f t="shared" si="1"/>
        <v>2.9814814814017154E-2</v>
      </c>
      <c r="N72" s="7">
        <f t="shared" si="24"/>
        <v>42.933333332184702</v>
      </c>
      <c r="O72" s="7"/>
      <c r="P72" s="7"/>
      <c r="Q72" s="22"/>
      <c r="R72" s="173"/>
      <c r="S72" s="220">
        <f t="shared" si="25"/>
        <v>1</v>
      </c>
      <c r="T72" s="173" t="str">
        <f t="shared" si="4"/>
        <v>Southbound</v>
      </c>
      <c r="U72" s="19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5" t="str">
        <f t="shared" si="5"/>
        <v>https://d0f6bd738d7f1b3e5a7ca70fe4ff75f0.us-east-1.aws.found.io/app/kibana#/discover/Steve-Slow-Train-Analysis-(2080s-and-2083s)?_g=(refreshInterval:(display:Off,pause:!f,section:0,value:0),time:(from:'2017-11-20T10:27:59-0700',mode:absolute,to:'2017-11-20T13:25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2" s="203" t="str">
        <f>IF(AA72&lt;VLOOKUP(AG72,Variables!$AC$3:$AD$8,2,FALSE),"Y","N")</f>
        <v>N</v>
      </c>
      <c r="X72" s="203">
        <f t="shared" si="26"/>
        <v>1</v>
      </c>
      <c r="Y72" s="203">
        <f t="shared" si="27"/>
        <v>23.2927</v>
      </c>
      <c r="Z72" s="203">
        <f t="shared" si="28"/>
        <v>2.0299999999999999E-2</v>
      </c>
      <c r="AA72" s="203">
        <f t="shared" si="9"/>
        <v>23.272400000000001</v>
      </c>
      <c r="AB72" s="54" t="e">
        <f>VLOOKUP(A72,Enforcements!$C$7:$K$9,8,0)</f>
        <v>#N/A</v>
      </c>
      <c r="AC72" s="51" t="e">
        <f>VLOOKUP(A72,Enforcements!$C$7:$E$9,3,0)</f>
        <v>#N/A</v>
      </c>
      <c r="AD72" s="178">
        <f t="shared" si="10"/>
        <v>158</v>
      </c>
      <c r="AE72" s="77" t="str">
        <f t="shared" si="11"/>
        <v>aws s3 cp s3://rtdc.mdm.uploadarchive.raw/RTDC4017/ "%USERPROFILE%\AppData\Local\Temp\OnboardLogs"\RTDC4017\2017-11-20 --exclude "*" --recursive --include "*20171120*" &amp; "%USERPROFILE%\Documents\GitHub\mrs-test-scripts\Headless Mode &amp; Sideloading\WalkAndUnGZ.bat" "%USERPROFILE%\AppData\Local\Temp\OnboardLogs"\RTDC4017\2017-11-20 &amp; aws s3 cp s3://rtdc.mdm.uploadarchive.raw/RTDC4017/ "%USERPROFILE%\AppData\Local\Temp\OnboardLogs"\RTDC4017\2017-11-21 --exclude "*" --recursive --include "*20171121*" &amp; "%USERPROFILE%\Documents\GitHub\mrs-test-scripts\Headless Mode &amp; Sideloading\WalkAndUnGZ.bat" "%USERPROFILE%\AppData\Local\Temp\OnboardLogs"\RTDC4017\2017-11-21</v>
      </c>
      <c r="AF72" s="74" t="str">
        <f t="shared" si="12"/>
        <v>"C:\Program Files (x86)\AstroGrep\AstroGrep.exe" /e /r /s /spath="%USERPROFILE%\AppData\Local\Temp\OnboardLogs" /stypes="app*4017*20171120*" /stext=" 19:.+((SYSTEM_STATE.+slice.+state.+changed )|(ment ac)|(multiple cpu faults)|(system.+state.+changed )|(\[timeout)|(PRM\|1\|D)|(kpr)|(kdp)|(train st.+moving)|(\|lc)|(penalty))"</v>
      </c>
      <c r="AG72" s="181" t="str">
        <f t="shared" si="13"/>
        <v>EC</v>
      </c>
      <c r="AH72" s="78" t="str">
        <f t="shared" si="19"/>
        <v>"%USERPROFILE%\Documents\GitHub\eaglep3\Utilities\RefineRTDCRunTimes.py" --tripid 158-20 --locoid 4017 --swversion DE.1.0.9.0 --startMP 204:232927 --initTime 2017-11-20T11:27:59 --startdatetime 2017-11-20T11:42:19 --delay 88 --endMP 204:203 --enddatetime 2017-11-20T12:25:15 --enforcementcount 0 &gt;&gt;%USERPROFILE%\Documents\GitHub\eaglep3-reporting\EC\2017-11-20-refined-times.txt</v>
      </c>
      <c r="AI72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{"issue":{"subject":"","project_id":79,"tracker_id":40,"status_id":1,"priority_id":2,"assigned_to_id":338,"start_date":"2017-11-20","description":"","custom_fields":[{"id":1,"name":"Subdivision","value":"EC"},{"id":4,"name":"Milepost","value":"0.0203"},{"id":17,"name":"Train ID","value":"158-20"},{"id":16,"name":"Locomotive ID","value":"4017"},{"id":130,"name":"Impact","value":""},{"id":150,"name":"Time of Event (Mountain Time)","value":"12:25:15"},{"id":151,"name":"Denver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1" t="str">
        <f t="shared" si="21"/>
        <v>start /low /b %USERPROFILE%\Documents\GitHub\eaglep3\Utilities\DownloadLogsFromS3.py --loco 4017 --day 2017-11-20</v>
      </c>
      <c r="AN72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19:25:15"},{"id":29,"name":"Sharepoint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7" t="str">
        <f t="shared" si="23"/>
        <v>https://d0f6bd738d7f1b3e5a7ca70fe4ff75f0.us-east-1.aws.found.io/app/kibana#/discover/Steve-Slow-Train-Analysis-(2080s-and-2083s)?_g=(refreshInterval:(display:Off,pause:!f,section:0,value:0),time:(from:'2017-11-20T10:27:59-0700',mode:absolute,to:'2017-11-20T13:25:15-0700'))&amp;_a=(columns:!('Message%20ID',Summary),filters:!(),index:'emp_*',interval:auto,query:(query_string:(analyze_wildcard:!t,query:'%22rtdc.l.rtdc.4017%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760</v>
      </c>
      <c r="B73" s="7">
        <v>4002</v>
      </c>
      <c r="C73" s="21" t="s">
        <v>192</v>
      </c>
      <c r="D73" s="21" t="s">
        <v>596</v>
      </c>
      <c r="E73" s="13">
        <v>43059.455740740741</v>
      </c>
      <c r="F73" s="13">
        <v>43059.45853009259</v>
      </c>
      <c r="G73" s="7">
        <v>55</v>
      </c>
      <c r="H73" s="21" t="s">
        <v>936</v>
      </c>
      <c r="I73" s="13">
        <v>43059.482708333337</v>
      </c>
      <c r="J73" s="7">
        <v>0</v>
      </c>
      <c r="K73" s="89" t="str">
        <f t="shared" si="0"/>
        <v>4001/4002</v>
      </c>
      <c r="L73" s="184" t="str">
        <f>VLOOKUP(A73,'Trips&amp;Operators'!$C$1:$G$99911,5,FALSE)</f>
        <v>LAMAR NEKESHA</v>
      </c>
      <c r="M73" s="6">
        <f t="shared" si="1"/>
        <v>2.4178240746550728E-2</v>
      </c>
      <c r="N73" s="7">
        <f t="shared" si="24"/>
        <v>34.816666675033048</v>
      </c>
      <c r="O73" s="7"/>
      <c r="P73" s="7"/>
      <c r="Q73" s="22"/>
      <c r="R73" s="173"/>
      <c r="S73" s="220">
        <f t="shared" si="25"/>
        <v>1</v>
      </c>
      <c r="T73" s="173" t="str">
        <f t="shared" si="4"/>
        <v>NorthBound</v>
      </c>
      <c r="U73" s="19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5" t="str">
        <f t="shared" si="5"/>
        <v>https://d0f6bd738d7f1b3e5a7ca70fe4ff75f0.us-east-1.aws.found.io/app/kibana#/discover/Steve-Slow-Train-Analysis-(2080s-and-2083s)?_g=(refreshInterval:(display:Off,pause:!f,section:0,value:0),time:(from:'2017-11-20T09:56:16-0700',mode:absolute,to:'2017-11-20T12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3" s="203" t="str">
        <f>IF(AA73&lt;VLOOKUP(AG73,Variables!$AC$3:$AD$8,2,FALSE),"Y","N")</f>
        <v>N</v>
      </c>
      <c r="X73" s="203">
        <f t="shared" si="26"/>
        <v>1</v>
      </c>
      <c r="Y73" s="203">
        <f t="shared" si="27"/>
        <v>4.8399999999999999E-2</v>
      </c>
      <c r="Z73" s="203">
        <f t="shared" si="28"/>
        <v>23.3232</v>
      </c>
      <c r="AA73" s="203">
        <f t="shared" si="9"/>
        <v>23.274799999999999</v>
      </c>
      <c r="AB73" s="54" t="e">
        <f>VLOOKUP(A73,Enforcements!$C$7:$K$9,8,0)</f>
        <v>#N/A</v>
      </c>
      <c r="AC73" s="51" t="e">
        <f>VLOOKUP(A73,Enforcements!$C$7:$E$9,3,0)</f>
        <v>#N/A</v>
      </c>
      <c r="AD73" s="178">
        <f t="shared" si="10"/>
        <v>159</v>
      </c>
      <c r="AE73" s="77" t="str">
        <f t="shared" si="11"/>
        <v>aws s3 cp s3://rtdc.mdm.uploadarchive.raw/RTDC4002/ "%USERPROFILE%\AppData\Local\Temp\OnboardLogs"\RTDC4002\2017-11-20 --exclude "*" --recursive --include "*20171120*" &amp; "%USERPROFILE%\Documents\GitHub\mrs-test-scripts\Headless Mode &amp; Sideloading\WalkAndUnGZ.bat" "%USERPROFILE%\AppData\Local\Temp\OnboardLogs"\RTDC4002\2017-11-20 &amp; aws s3 cp s3://rtdc.mdm.uploadarchive.raw/RTDC4002/ "%USERPROFILE%\AppData\Local\Temp\OnboardLogs"\RTDC4002\2017-11-21 --exclude "*" --recursive --include "*20171121*" &amp; "%USERPROFILE%\Documents\GitHub\mrs-test-scripts\Headless Mode &amp; Sideloading\WalkAndUnGZ.bat" "%USERPROFILE%\AppData\Local\Temp\OnboardLogs"\RTDC4002\2017-11-21</v>
      </c>
      <c r="AF73" s="74" t="str">
        <f t="shared" si="12"/>
        <v>"C:\Program Files (x86)\AstroGrep\AstroGrep.exe" /e /r /s /spath="%USERPROFILE%\AppData\Local\Temp\OnboardLogs" /stypes="app*4002*20171120*" /stext=" 18:.+((SYSTEM_STATE.+slice.+state.+changed )|(ment ac)|(multiple cpu faults)|(system.+state.+changed )|(\[timeout)|(PRM\|1\|D)|(kpr)|(kdp)|(train st.+moving)|(\|lc)|(penalty))"</v>
      </c>
      <c r="AG73" s="181" t="str">
        <f t="shared" si="13"/>
        <v>EC</v>
      </c>
      <c r="AH73" s="78" t="str">
        <f t="shared" si="19"/>
        <v>"%USERPROFILE%\Documents\GitHub\eaglep3\Utilities\RefineRTDCRunTimes.py" --tripid 159-20 --locoid 4002 --swversion DE.1.0.9.0 --startMP 204:484 --initTime 2017-11-20T10:56:16 --startdatetime 2017-11-20T11:00:17 --delay 55 --endMP 204:233232 --enddatetime 2017-11-20T11:35:06 --enforcementcount 0 &gt;&gt;%USERPROFILE%\Documents\GitHub\eaglep3-reporting\EC\2017-11-20-refined-times.txt</v>
      </c>
      <c r="AI73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{"issue":{"subject":"","project_id":79,"tracker_id":40,"status_id":1,"priority_id":2,"assigned_to_id":338,"start_date":"2017-11-20","description":"","custom_fields":[{"id":1,"name":"Subdivision","value":"EC"},{"id":4,"name":"Milepost","value":"23.3232"},{"id":17,"name":"Train ID","value":"159-20"},{"id":16,"name":"Locomotive ID","value":"4002"},{"id":130,"name":"Impact","value":""},{"id":150,"name":"Time of Event (Mountain Time)","value":"11:35:06"},{"id":151,"name":"Denver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1" t="str">
        <f t="shared" si="21"/>
        <v>start /low /b %USERPROFILE%\Documents\GitHub\eaglep3\Utilities\DownloadLogsFromS3.py --loco 4002 --day 2017-11-20</v>
      </c>
      <c r="AN73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18:35:06"},{"id":29,"name":"Sharepoint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7" t="str">
        <f t="shared" si="23"/>
        <v>https://d0f6bd738d7f1b3e5a7ca70fe4ff75f0.us-east-1.aws.found.io/app/kibana#/discover/Steve-Slow-Train-Analysis-(2080s-and-2083s)?_g=(refreshInterval:(display:Off,pause:!f,section:0,value:0),time:(from:'2017-11-20T09:56:16-0700',mode:absolute,to:'2017-11-20T12:35:06-0700'))&amp;_a=(columns:!('Message%20ID',Summary),filters:!(),index:'emp_*',interval:auto,query:(query_string:(analyze_wildcard:!t,query:'%22rtdc.l.rtdc.4002%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766</v>
      </c>
      <c r="B74" s="7">
        <v>4001</v>
      </c>
      <c r="C74" s="21" t="s">
        <v>192</v>
      </c>
      <c r="D74" s="21" t="s">
        <v>604</v>
      </c>
      <c r="E74" s="13">
        <v>43059.494490740741</v>
      </c>
      <c r="F74" s="13">
        <v>43059.498101851852</v>
      </c>
      <c r="G74" s="7">
        <v>48</v>
      </c>
      <c r="H74" s="21" t="s">
        <v>614</v>
      </c>
      <c r="I74" s="13">
        <v>43059.523900462962</v>
      </c>
      <c r="J74" s="7">
        <v>0</v>
      </c>
      <c r="K74" s="89" t="str">
        <f t="shared" si="0"/>
        <v>4001/4002</v>
      </c>
      <c r="L74" s="184" t="str">
        <f>VLOOKUP(A74,'Trips&amp;Operators'!$C$1:$G$99911,5,FALSE)</f>
        <v>LAMAR NEKESHA</v>
      </c>
      <c r="M74" s="6">
        <f t="shared" si="1"/>
        <v>2.5798611110076308E-2</v>
      </c>
      <c r="N74" s="7">
        <f t="shared" si="24"/>
        <v>37.149999998509884</v>
      </c>
      <c r="O74" s="7"/>
      <c r="P74" s="7"/>
      <c r="Q74" s="22"/>
      <c r="R74" s="173"/>
      <c r="S74" s="220">
        <f t="shared" si="25"/>
        <v>1</v>
      </c>
      <c r="T74" s="173" t="str">
        <f t="shared" si="4"/>
        <v>Southbound</v>
      </c>
      <c r="U74" s="19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5" t="str">
        <f t="shared" si="5"/>
        <v>https://d0f6bd738d7f1b3e5a7ca70fe4ff75f0.us-east-1.aws.found.io/app/kibana#/discover/Steve-Slow-Train-Analysis-(2080s-and-2083s)?_g=(refreshInterval:(display:Off,pause:!f,section:0,value:0),time:(from:'2017-11-20T10:52:04-0700',mode:absolute,to:'2017-11-20T13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4" s="203" t="str">
        <f>IF(AA74&lt;VLOOKUP(AG74,Variables!$AC$3:$AD$8,2,FALSE),"Y","N")</f>
        <v>N</v>
      </c>
      <c r="X74" s="203">
        <f t="shared" si="26"/>
        <v>1</v>
      </c>
      <c r="Y74" s="203">
        <f t="shared" si="27"/>
        <v>23.2926</v>
      </c>
      <c r="Z74" s="203">
        <f t="shared" si="28"/>
        <v>1.6899999999999998E-2</v>
      </c>
      <c r="AA74" s="203">
        <f t="shared" si="9"/>
        <v>23.275700000000001</v>
      </c>
      <c r="AB74" s="54" t="e">
        <f>VLOOKUP(A74,Enforcements!$C$7:$K$9,8,0)</f>
        <v>#N/A</v>
      </c>
      <c r="AC74" s="51" t="e">
        <f>VLOOKUP(A74,Enforcements!$C$7:$E$9,3,0)</f>
        <v>#N/A</v>
      </c>
      <c r="AD74" s="178">
        <f t="shared" si="10"/>
        <v>160</v>
      </c>
      <c r="AE74" s="77" t="str">
        <f t="shared" si="11"/>
        <v>aws s3 cp s3://rtdc.mdm.uploadarchive.raw/RTDC4001/ "%USERPROFILE%\AppData\Local\Temp\OnboardLogs"\RTDC4001\2017-11-20 --exclude "*" --recursive --include "*20171120*" &amp; "%USERPROFILE%\Documents\GitHub\mrs-test-scripts\Headless Mode &amp; Sideloading\WalkAndUnGZ.bat" "%USERPROFILE%\AppData\Local\Temp\OnboardLogs"\RTDC4001\2017-11-20 &amp; aws s3 cp s3://rtdc.mdm.uploadarchive.raw/RTDC4001/ "%USERPROFILE%\AppData\Local\Temp\OnboardLogs"\RTDC4001\2017-11-21 --exclude "*" --recursive --include "*20171121*" &amp; "%USERPROFILE%\Documents\GitHub\mrs-test-scripts\Headless Mode &amp; Sideloading\WalkAndUnGZ.bat" "%USERPROFILE%\AppData\Local\Temp\OnboardLogs"\RTDC4001\2017-11-21</v>
      </c>
      <c r="AF74" s="74" t="str">
        <f t="shared" si="12"/>
        <v>"C:\Program Files (x86)\AstroGrep\AstroGrep.exe" /e /r /s /spath="%USERPROFILE%\AppData\Local\Temp\OnboardLogs" /stypes="app*4001*20171120*" /stext=" 19:.+((SYSTEM_STATE.+slice.+state.+changed )|(ment ac)|(multiple cpu faults)|(system.+state.+changed )|(\[timeout)|(PRM\|1\|D)|(kpr)|(kdp)|(train st.+moving)|(\|lc)|(penalty))"</v>
      </c>
      <c r="AG74" s="181" t="str">
        <f t="shared" si="13"/>
        <v>EC</v>
      </c>
      <c r="AH74" s="78" t="str">
        <f t="shared" si="19"/>
        <v>"%USERPROFILE%\Documents\GitHub\eaglep3\Utilities\RefineRTDCRunTimes.py" --tripid 160-20 --locoid 4001 --swversion DE.1.0.9.0 --startMP 204:232926 --initTime 2017-11-20T11:52:04 --startdatetime 2017-11-20T11:57:16 --delay 48 --endMP 204:169 --enddatetime 2017-11-20T12:34:25 --enforcementcount 0 &gt;&gt;%USERPROFILE%\Documents\GitHub\eaglep3-reporting\EC\2017-11-20-refined-times.txt</v>
      </c>
      <c r="AI74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{"issue":{"subject":"","project_id":79,"tracker_id":40,"status_id":1,"priority_id":2,"assigned_to_id":338,"start_date":"2017-11-20","description":"","custom_fields":[{"id":1,"name":"Subdivision","value":"EC"},{"id":4,"name":"Milepost","value":"0.0169"},{"id":17,"name":"Train ID","value":"160-20"},{"id":16,"name":"Locomotive ID","value":"4001"},{"id":130,"name":"Impact","value":""},{"id":150,"name":"Time of Event (Mountain Time)","value":"12:34:25"},{"id":151,"name":"Denver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1" t="str">
        <f t="shared" si="21"/>
        <v>start /low /b %USERPROFILE%\Documents\GitHub\eaglep3\Utilities\DownloadLogsFromS3.py --loco 4001 --day 2017-11-20</v>
      </c>
      <c r="AN74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19:34:25"},{"id":29,"name":"Sharepoint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7" t="str">
        <f t="shared" si="23"/>
        <v>https://d0f6bd738d7f1b3e5a7ca70fe4ff75f0.us-east-1.aws.found.io/app/kibana#/discover/Steve-Slow-Train-Analysis-(2080s-and-2083s)?_g=(refreshInterval:(display:Off,pause:!f,section:0,value:0),time:(from:'2017-11-20T10:52:04-0700',mode:absolute,to:'2017-11-20T13:34:25-0700'))&amp;_a=(columns:!('Message%20ID',Summary),filters:!(),index:'emp_*',interval:auto,query:(query_string:(analyze_wildcard:!t,query:'%22rtdc.l.rtdc.4001%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660</v>
      </c>
      <c r="B75" s="7">
        <v>4064</v>
      </c>
      <c r="C75" s="21" t="s">
        <v>192</v>
      </c>
      <c r="D75" s="21" t="s">
        <v>937</v>
      </c>
      <c r="E75" s="13">
        <v>43059.486030092594</v>
      </c>
      <c r="F75" s="13">
        <v>43059.487164351849</v>
      </c>
      <c r="G75" s="7">
        <v>40</v>
      </c>
      <c r="H75" s="21" t="s">
        <v>938</v>
      </c>
      <c r="I75" s="13">
        <v>43059.497881944444</v>
      </c>
      <c r="J75" s="7">
        <v>0</v>
      </c>
      <c r="K75" s="89" t="str">
        <f t="shared" si="0"/>
        <v>4063/4064</v>
      </c>
      <c r="L75" s="184" t="str">
        <f>VLOOKUP(A75,'Trips&amp;Operators'!$C$1:$G$99911,5,FALSE)</f>
        <v>DAVIS MICHAEL</v>
      </c>
      <c r="M75" s="6">
        <f t="shared" si="1"/>
        <v>1.0717592595028691E-2</v>
      </c>
      <c r="N75" s="7"/>
      <c r="O75" s="7"/>
      <c r="P75" s="7">
        <f>24*60*SUM($M75:$M75)</f>
        <v>15.433333336841315</v>
      </c>
      <c r="Q75" s="22"/>
      <c r="R75" s="173" t="s">
        <v>1111</v>
      </c>
      <c r="S75" s="220">
        <f>1/IF(AG75="EC",12,1)*SUM(U75:U76)</f>
        <v>1</v>
      </c>
      <c r="T75" s="173" t="str">
        <f t="shared" si="4"/>
        <v>NorthBound</v>
      </c>
      <c r="U75" s="19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0</v>
      </c>
      <c r="V75" s="215" t="str">
        <f t="shared" si="5"/>
        <v>https://d0f6bd738d7f1b3e5a7ca70fe4ff75f0.us-east-1.aws.found.io/app/kibana#/discover/Steve-Slow-Train-Analysis-(2080s-and-2083s)?_g=(refreshInterval:(display:Off,pause:!f,section:0,value:0),time:(from:'2017-11-20T10:39:53-0700',mode:absolute,to:'2017-11-20T12:56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5" s="203" t="str">
        <f>IF(AA75&lt;VLOOKUP(AG75,Variables!$AC$3:$AD$8,2,FALSE),"Y","N")</f>
        <v>Y</v>
      </c>
      <c r="X75" s="203">
        <f t="shared" si="26"/>
        <v>1</v>
      </c>
      <c r="Y75" s="203">
        <f t="shared" si="27"/>
        <v>12.825100000000001</v>
      </c>
      <c r="Z75" s="203">
        <f t="shared" si="28"/>
        <v>23.328600000000002</v>
      </c>
      <c r="AA75" s="203">
        <f t="shared" si="9"/>
        <v>10.503500000000001</v>
      </c>
      <c r="AB75" s="54" t="e">
        <f>VLOOKUP(A75,Enforcements!$C$7:$K$9,8,0)</f>
        <v>#N/A</v>
      </c>
      <c r="AC75" s="51" t="e">
        <f>VLOOKUP(A75,Enforcements!$C$7:$E$9,3,0)</f>
        <v>#N/A</v>
      </c>
      <c r="AD75" s="178">
        <f t="shared" si="10"/>
        <v>161</v>
      </c>
      <c r="AE75" s="77" t="str">
        <f t="shared" si="11"/>
        <v>aws s3 cp s3://rtdc.mdm.uploadarchive.raw/RTDC4064/ "%USERPROFILE%\AppData\Local\Temp\OnboardLogs"\RTDC4064\2017-11-20 --exclude "*" --recursive --include "*20171120*" &amp; "%USERPROFILE%\Documents\GitHub\mrs-test-scripts\Headless Mode &amp; Sideloading\WalkAndUnGZ.bat" "%USERPROFILE%\AppData\Local\Temp\OnboardLogs"\RTDC4064\2017-11-20 &amp; aws s3 cp s3://rtdc.mdm.uploadarchive.raw/RTDC4064/ "%USERPROFILE%\AppData\Local\Temp\OnboardLogs"\RTDC4064\2017-11-21 --exclude "*" --recursive --include "*20171121*" &amp; "%USERPROFILE%\Documents\GitHub\mrs-test-scripts\Headless Mode &amp; Sideloading\WalkAndUnGZ.bat" "%USERPROFILE%\AppData\Local\Temp\OnboardLogs"\RTDC4064\2017-11-21</v>
      </c>
      <c r="AF75" s="74" t="str">
        <f t="shared" si="12"/>
        <v>"C:\Program Files (x86)\AstroGrep\AstroGrep.exe" /e /r /s /spath="%USERPROFILE%\AppData\Local\Temp\OnboardLogs" /stypes="app*4064*20171120*" /stext=" 18:.+((SYSTEM_STATE.+slice.+state.+changed )|(ment ac)|(multiple cpu faults)|(system.+state.+changed )|(\[timeout)|(PRM\|1\|D)|(kpr)|(kdp)|(train st.+moving)|(\|lc)|(penalty))"</v>
      </c>
      <c r="AG75" s="181" t="str">
        <f t="shared" si="13"/>
        <v>EC</v>
      </c>
      <c r="AH75" s="78" t="str">
        <f t="shared" si="19"/>
        <v>"%USERPROFILE%\Documents\GitHub\eaglep3\Utilities\RefineRTDCRunTimes.py" --tripid 161-20 --locoid 4064 --swversion DE.1.0.9.0 --startMP 204:128251 --initTime 2017-11-20T11:39:53 --startdatetime 2017-11-20T11:41:31 --delay 40 --endMP 204:233286 --enddatetime 2017-11-20T11:56:57 --enforcementcount 0 &gt;&gt;%USERPROFILE%\Documents\GitHub\eaglep3-reporting\EC\2017-11-20-refined-times.txt</v>
      </c>
      <c r="AI75" s="96" t="str">
        <f t="shared" si="20"/>
        <v>echo {"issue":{"subject":"Wi-MAX data drop","project_id":79,"tracker_id":40,"status_id":1,"priority_id":2,"assigned_to_id":338,"start_date":"2017-11-20","description":"","custom_fields":[{"id":1,"name":"Subdivision","value":"EC"},{"id":4,"name":"Milepost","value":"23.3286"},{"id":17,"name":"Train ID","value":"161-20"},{"id":16,"name":"Locomotive ID","value":"4064"},{"id":130,"name":"Impact","value":""},{"id":150,"name":"Time of Event (Mountain Time)","value":"11:56:57"},{"id":151,"name":"Denver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1" t="str">
        <f t="shared" si="21"/>
        <v>start /low /b %USERPROFILE%\Documents\GitHub\eaglep3\Utilities\DownloadLogsFromS3.py --loco 4064 --day 2017-11-20</v>
      </c>
      <c r="AN75" s="150" t="str">
        <f t="shared" si="22"/>
        <v>echo {"issue":{"subject":"Wi-MAX data drop","project_id":30,"tracker_id":4,"status_id":1,"priority_id":1,"assigned_to_id":10,"start_date":"2017-11-20","description":"","custom_fields":[{"id":30,"name":"Category","value":"Issue"},{"id":3,"name":"Functional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18:56:57"},{"id":29,"name":"Sharepoint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7" t="str">
        <f t="shared" si="23"/>
        <v>https://d0f6bd738d7f1b3e5a7ca70fe4ff75f0.us-east-1.aws.found.io/app/kibana#/discover/Steve-Slow-Train-Analysis-(2080s-and-2083s)?_g=(refreshInterval:(display:Off,pause:!f,section:0,value:0),time:(from:'2017-11-20T10:39:53-0700',mode:absolute,to:'2017-11-20T12:56:57-0700'))&amp;_a=(columns:!('Message%20ID',Summary),filters:!(),index:'emp_*',interval:auto,query:(query_string:(analyze_wildcard:!t,query:'%22rtdc.l.rtdc.4064%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660</v>
      </c>
      <c r="B76" s="7">
        <v>4064</v>
      </c>
      <c r="C76" s="21" t="s">
        <v>192</v>
      </c>
      <c r="D76" s="21" t="s">
        <v>640</v>
      </c>
      <c r="E76" s="13">
        <v>43059.464571759258</v>
      </c>
      <c r="F76" s="13">
        <v>43059.487164351849</v>
      </c>
      <c r="G76" s="7">
        <v>102</v>
      </c>
      <c r="H76" s="21" t="s">
        <v>939</v>
      </c>
      <c r="I76" s="13">
        <v>43059.497881944444</v>
      </c>
      <c r="J76" s="7">
        <v>0</v>
      </c>
      <c r="K76" s="89" t="str">
        <f t="shared" si="0"/>
        <v>4063/4064</v>
      </c>
      <c r="L76" s="184" t="str">
        <f>VLOOKUP(A76,'Trips&amp;Operators'!$C$1:$G$99911,5,FALSE)</f>
        <v>DAVIS MICHAEL</v>
      </c>
      <c r="M76" s="6">
        <f t="shared" si="1"/>
        <v>1.0717592595028691E-2</v>
      </c>
      <c r="N76" s="7"/>
      <c r="O76" s="7"/>
      <c r="P76" s="7"/>
      <c r="Q76" s="22"/>
      <c r="R76" s="173"/>
      <c r="S76" s="220"/>
      <c r="T76" s="173" t="str">
        <f t="shared" si="4"/>
        <v>NorthBound</v>
      </c>
      <c r="U76" s="19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5" t="str">
        <f t="shared" si="5"/>
        <v>https://d0f6bd738d7f1b3e5a7ca70fe4ff75f0.us-east-1.aws.found.io/app/kibana#/discover/Steve-Slow-Train-Analysis-(2080s-and-2083s)?_g=(refreshInterval:(display:Off,pause:!f,section:0,value:0),time:(from:'2017-11-20T10:08:59-0700',mode:absolute,to:'2017-11-20T12:56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6" s="203" t="str">
        <f>IF(AA76&lt;VLOOKUP(AG76,Variables!$AC$3:$AD$8,2,FALSE),"Y","N")</f>
        <v>Y</v>
      </c>
      <c r="X76" s="203">
        <f t="shared" si="26"/>
        <v>0</v>
      </c>
      <c r="Y76" s="203">
        <f t="shared" si="27"/>
        <v>4.5100000000000001E-2</v>
      </c>
      <c r="Z76" s="203">
        <f t="shared" si="28"/>
        <v>12.7486</v>
      </c>
      <c r="AA76" s="203">
        <f t="shared" si="9"/>
        <v>12.7035</v>
      </c>
      <c r="AB76" s="54" t="e">
        <f>VLOOKUP(A76,Enforcements!$C$7:$K$9,8,0)</f>
        <v>#N/A</v>
      </c>
      <c r="AC76" s="51" t="e">
        <f>VLOOKUP(A76,Enforcements!$C$7:$E$9,3,0)</f>
        <v>#N/A</v>
      </c>
      <c r="AD76" s="178">
        <f t="shared" si="10"/>
        <v>161</v>
      </c>
      <c r="AE76" s="77" t="str">
        <f t="shared" si="11"/>
        <v>aws s3 cp s3://rtdc.mdm.uploadarchive.raw/RTDC4064/ "%USERPROFILE%\AppData\Local\Temp\OnboardLogs"\RTDC4064\2017-11-20 --exclude "*" --recursive --include "*20171120*" &amp; "%USERPROFILE%\Documents\GitHub\mrs-test-scripts\Headless Mode &amp; Sideloading\WalkAndUnGZ.bat" "%USERPROFILE%\AppData\Local\Temp\OnboardLogs"\RTDC4064\2017-11-20 &amp; aws s3 cp s3://rtdc.mdm.uploadarchive.raw/RTDC4064/ "%USERPROFILE%\AppData\Local\Temp\OnboardLogs"\RTDC4064\2017-11-21 --exclude "*" --recursive --include "*20171121*" &amp; "%USERPROFILE%\Documents\GitHub\mrs-test-scripts\Headless Mode &amp; Sideloading\WalkAndUnGZ.bat" "%USERPROFILE%\AppData\Local\Temp\OnboardLogs"\RTDC4064\2017-11-21</v>
      </c>
      <c r="AF76" s="74" t="str">
        <f t="shared" si="12"/>
        <v>"C:\Program Files (x86)\AstroGrep\AstroGrep.exe" /e /r /s /spath="%USERPROFILE%\AppData\Local\Temp\OnboardLogs" /stypes="app*4064*20171120*" /stext=" 18:.+((SYSTEM_STATE.+slice.+state.+changed )|(ment ac)|(multiple cpu faults)|(system.+state.+changed )|(\[timeout)|(PRM\|1\|D)|(kpr)|(kdp)|(train st.+moving)|(\|lc)|(penalty))"</v>
      </c>
      <c r="AG76" s="181" t="str">
        <f t="shared" si="13"/>
        <v>EC</v>
      </c>
      <c r="AH76" s="78" t="str">
        <f t="shared" si="19"/>
        <v>"%USERPROFILE%\Documents\GitHub\eaglep3\Utilities\RefineRTDCRunTimes.py" --tripid 161-20 --locoid 4064 --swversion DE.1.0.9.0 --startMP 204:451 --initTime 2017-11-20T11:08:59 --startdatetime 2017-11-20T11:41:31 --delay 102 --endMP 204:127486 --enddatetime 2017-11-20T11:56:57 --enforcementcount 0 &gt;&gt;%USERPROFILE%\Documents\GitHub\eaglep3-reporting\EC\2017-11-20-refined-times.txt</v>
      </c>
      <c r="AI76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{"issue":{"subject":"","project_id":79,"tracker_id":40,"status_id":1,"priority_id":2,"assigned_to_id":338,"start_date":"2017-11-20","description":"","custom_fields":[{"id":1,"name":"Subdivision","value":"EC"},{"id":4,"name":"Milepost","value":"12.7486"},{"id":17,"name":"Train ID","value":"161-20"},{"id":16,"name":"Locomotive ID","value":"4064"},{"id":130,"name":"Impact","value":""},{"id":150,"name":"Time of Event (Mountain Time)","value":"11:56:57"},{"id":151,"name":"Denver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1" t="str">
        <f t="shared" si="21"/>
        <v>start /low /b %USERPROFILE%\Documents\GitHub\eaglep3\Utilities\DownloadLogsFromS3.py --loco 4064 --day 2017-11-20</v>
      </c>
      <c r="AN76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18:56:57"},{"id":29,"name":"Sharepoint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7" t="str">
        <f t="shared" si="23"/>
        <v>https://d0f6bd738d7f1b3e5a7ca70fe4ff75f0.us-east-1.aws.found.io/app/kibana#/discover/Steve-Slow-Train-Analysis-(2080s-and-2083s)?_g=(refreshInterval:(display:Off,pause:!f,section:0,value:0),time:(from:'2017-11-20T10:08:59-0700',mode:absolute,to:'2017-11-20T12:56:57-0700'))&amp;_a=(columns:!('Message%20ID',Summary),filters:!(),index:'emp_*',interval:auto,query:(query_string:(analyze_wildcard:!t,query:'%22rtdc.l.rtdc.4064%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769</v>
      </c>
      <c r="B77" s="7">
        <v>4063</v>
      </c>
      <c r="C77" s="21" t="s">
        <v>192</v>
      </c>
      <c r="D77" s="21" t="s">
        <v>940</v>
      </c>
      <c r="E77" s="13">
        <v>43059.506562499999</v>
      </c>
      <c r="F77" s="13">
        <v>43059.508726851855</v>
      </c>
      <c r="G77" s="7">
        <v>78</v>
      </c>
      <c r="H77" s="21" t="s">
        <v>452</v>
      </c>
      <c r="I77" s="13">
        <v>43059.535717592589</v>
      </c>
      <c r="J77" s="7">
        <v>0</v>
      </c>
      <c r="K77" s="89" t="str">
        <f t="shared" ref="K77:K140" si="29">IF(ISEVEN(B77),(B77-1)&amp;"/"&amp;B77,B77&amp;"/"&amp;(B77+1))</f>
        <v>4063/4064</v>
      </c>
      <c r="L77" s="184" t="str">
        <f>VLOOKUP(A77,'Trips&amp;Operators'!$C$1:$G$99911,5,FALSE)</f>
        <v>DAVIS MICHAEL</v>
      </c>
      <c r="M77" s="6">
        <f t="shared" ref="M77:M140" si="30">I77-F77</f>
        <v>2.6990740734618157E-2</v>
      </c>
      <c r="N77" s="7">
        <f t="shared" ref="N77:N108" si="31">24*60*SUM($M77:$M77)</f>
        <v>38.866666657850146</v>
      </c>
      <c r="O77" s="7"/>
      <c r="P77" s="7"/>
      <c r="Q77" s="22"/>
      <c r="R77" s="173"/>
      <c r="S77" s="220">
        <f t="shared" ref="S77:S108" si="32">1/IF(AG77="EC",12,1)*SUM(U77:U77)</f>
        <v>1</v>
      </c>
      <c r="T77" s="173" t="str">
        <f t="shared" ref="T77:T140" si="33">IF(ISEVEN(LEFT(AD77,4)),"Southbound","NorthBound")</f>
        <v>Southbound</v>
      </c>
      <c r="U77" s="19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5" t="str">
        <f t="shared" ref="V77:V140" si="3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-20T11:09:27-0700',mode:absolute,to:'2017-11-20T13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7" s="203" t="str">
        <f>IF(AA77&lt;VLOOKUP(AG77,Variables!$AC$3:$AD$8,2,FALSE),"Y","N")</f>
        <v>N</v>
      </c>
      <c r="X77" s="203">
        <f t="shared" ref="X77:X108" si="35">VALUE(LEFT(AD77,4))-VALUE(LEFT(AD76,4))</f>
        <v>1</v>
      </c>
      <c r="Y77" s="203">
        <f t="shared" ref="Y77:Y108" si="36">RIGHT(D77,LEN(D77)-4)/10000</f>
        <v>23.295200000000001</v>
      </c>
      <c r="Z77" s="203">
        <f t="shared" ref="Z77:Z108" si="37">RIGHT(H77,LEN(H77)-4)/10000</f>
        <v>2.0899999999999998E-2</v>
      </c>
      <c r="AA77" s="203">
        <f t="shared" ref="AA77:AA140" si="38">ABS(Z77-Y77)</f>
        <v>23.2743</v>
      </c>
      <c r="AB77" s="54" t="e">
        <f>VLOOKUP(A77,Enforcements!$C$7:$K$9,8,0)</f>
        <v>#N/A</v>
      </c>
      <c r="AC77" s="51" t="e">
        <f>VLOOKUP(A77,Enforcements!$C$7:$E$9,3,0)</f>
        <v>#N/A</v>
      </c>
      <c r="AD77" s="178">
        <f t="shared" ref="AD77:AD140" si="39">VALUE(LEFT(A77,LEN(A77)-3))</f>
        <v>162</v>
      </c>
      <c r="AE77" s="77" t="str">
        <f t="shared" ref="AE77:AE140" si="4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s3://rtdc.mdm.uploadarchive.raw/RTDC4063/ "%USERPROFILE%\AppData\Local\Temp\OnboardLogs"\RTDC4063\2017-11-20 --exclude "*" --recursive --include "*20171120*" &amp; "%USERPROFILE%\Documents\GitHub\mrs-test-scripts\Headless Mode &amp; Sideloading\WalkAndUnGZ.bat" "%USERPROFILE%\AppData\Local\Temp\OnboardLogs"\RTDC4063\2017-11-20 &amp; aws s3 cp s3://rtdc.mdm.uploadarchive.raw/RTDC4063/ "%USERPROFILE%\AppData\Local\Temp\OnboardLogs"\RTDC4063\2017-11-21 --exclude "*" --recursive --include "*20171121*" &amp; "%USERPROFILE%\Documents\GitHub\mrs-test-scripts\Headless Mode &amp; Sideloading\WalkAndUnGZ.bat" "%USERPROFILE%\AppData\Local\Temp\OnboardLogs"\RTDC4063\2017-11-21</v>
      </c>
      <c r="AF77" s="74" t="str">
        <f t="shared" ref="AF77:AF140" si="41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/stypes="app*4063*20171120*" /stext=" 19:.+((SYSTEM_STATE.+slice.+state.+changed )|(ment ac)|(multiple cpu faults)|(system.+state.+changed )|(\[timeout)|(PRM\|1\|D)|(kpr)|(kdp)|(train st.+moving)|(\|lc)|(penalty))"</v>
      </c>
      <c r="AG77" s="181" t="str">
        <f t="shared" ref="AG77:AG140" si="42">DetSubdiv(A77)</f>
        <v>EC</v>
      </c>
      <c r="AH77" s="78" t="str">
        <f t="shared" si="19"/>
        <v>"%USERPROFILE%\Documents\GitHub\eaglep3\Utilities\RefineRTDCRunTimes.py" --tripid 162-20 --locoid 4063 --swversion DE.1.0.9.0 --startMP 204:232952 --initTime 2017-11-20T12:09:27 --startdatetime 2017-11-20T12:12:34 --delay 78 --endMP 204:209 --enddatetime 2017-11-20T12:51:26 --enforcementcount 0 &gt;&gt;%USERPROFILE%\Documents\GitHub\eaglep3-reporting\EC\2017-11-20-refined-times.txt</v>
      </c>
      <c r="AI77" s="96" t="str">
        <f t="shared" si="20"/>
        <v>echo {"issue":{"subject":"","project_id":79,"tracker_id":40,"status_id":1,"priority_id":2,"assigned_to_id":338,"start_date":"2017-11-20","description":"","custom_fields":[{"id":1,"name":"Subdivision","value":"EC"},{"id":4,"name":"Milepost","value":"0.0209"},{"id":17,"name":"Train ID","value":"162-20"},{"id":16,"name":"Locomotive ID","value":"4063"},{"id":130,"name":"Impact","value":""},{"id":150,"name":"Time of Event (Mountain Time)","value":"12:51:26"},{"id":151,"name":"Denver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1" t="str">
        <f t="shared" si="21"/>
        <v>start /low /b %USERPROFILE%\Documents\GitHub\eaglep3\Utilities\DownloadLogsFromS3.py --loco 4063 --day 2017-11-20</v>
      </c>
      <c r="AN77" s="150" t="str">
        <f t="shared" si="2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19:51:26"},{"id":29,"name":"Sharepoint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7" t="str">
        <f t="shared" si="23"/>
        <v>https://d0f6bd738d7f1b3e5a7ca70fe4ff75f0.us-east-1.aws.found.io/app/kibana#/discover/Steve-Slow-Train-Analysis-(2080s-and-2083s)?_g=(refreshInterval:(display:Off,pause:!f,section:0,value:0),time:(from:'2017-11-20T11:09:27-0700',mode:absolute,to:'2017-11-20T13:51:26-0700'))&amp;_a=(columns:!('Message%20ID',Summary),filters:!(),index:'emp_*',interval:auto,query:(query_string:(analyze_wildcard:!t,query:'%22rtdc.l.rtdc.4063%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763</v>
      </c>
      <c r="B78" s="7">
        <v>4028</v>
      </c>
      <c r="C78" s="21" t="s">
        <v>192</v>
      </c>
      <c r="D78" s="21" t="s">
        <v>921</v>
      </c>
      <c r="E78" s="13">
        <v>43059.474189814813</v>
      </c>
      <c r="F78" s="13">
        <v>43059.479594907411</v>
      </c>
      <c r="G78" s="7">
        <v>96</v>
      </c>
      <c r="H78" s="21" t="s">
        <v>627</v>
      </c>
      <c r="I78" s="13">
        <v>43059.504861111112</v>
      </c>
      <c r="J78" s="7">
        <v>0</v>
      </c>
      <c r="K78" s="89" t="str">
        <f t="shared" si="29"/>
        <v>4027/4028</v>
      </c>
      <c r="L78" s="184" t="str">
        <f>VLOOKUP(A78,'Trips&amp;Operators'!$C$1:$G$99911,5,FALSE)</f>
        <v>STEWART MICHAEL</v>
      </c>
      <c r="M78" s="6">
        <f t="shared" si="30"/>
        <v>2.5266203701903578E-2</v>
      </c>
      <c r="N78" s="7">
        <f t="shared" si="31"/>
        <v>36.383333330741152</v>
      </c>
      <c r="O78" s="7"/>
      <c r="P78" s="7"/>
      <c r="Q78" s="22"/>
      <c r="R78" s="173"/>
      <c r="S78" s="220">
        <f t="shared" si="32"/>
        <v>1</v>
      </c>
      <c r="T78" s="173" t="str">
        <f t="shared" si="33"/>
        <v>NorthBound</v>
      </c>
      <c r="U78" s="19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5" t="str">
        <f t="shared" si="34"/>
        <v>https://d0f6bd738d7f1b3e5a7ca70fe4ff75f0.us-east-1.aws.found.io/app/kibana#/discover/Steve-Slow-Train-Analysis-(2080s-and-2083s)?_g=(refreshInterval:(display:Off,pause:!f,section:0,value:0),time:(from:'2017-11-20T10:22:50-0700',mode:absolute,to:'2017-11-20T13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8" s="203" t="str">
        <f>IF(AA78&lt;VLOOKUP(AG78,Variables!$AC$3:$AD$8,2,FALSE),"Y","N")</f>
        <v>N</v>
      </c>
      <c r="X78" s="203">
        <f t="shared" si="35"/>
        <v>1</v>
      </c>
      <c r="Y78" s="203">
        <f t="shared" si="36"/>
        <v>4.8899999999999999E-2</v>
      </c>
      <c r="Z78" s="203">
        <f t="shared" si="37"/>
        <v>23.326599999999999</v>
      </c>
      <c r="AA78" s="203">
        <f t="shared" si="38"/>
        <v>23.277699999999999</v>
      </c>
      <c r="AB78" s="54" t="e">
        <f>VLOOKUP(A78,Enforcements!$C$7:$K$9,8,0)</f>
        <v>#N/A</v>
      </c>
      <c r="AC78" s="51" t="e">
        <f>VLOOKUP(A78,Enforcements!$C$7:$E$9,3,0)</f>
        <v>#N/A</v>
      </c>
      <c r="AD78" s="178">
        <f t="shared" si="39"/>
        <v>163</v>
      </c>
      <c r="AE78" s="77" t="str">
        <f t="shared" si="40"/>
        <v>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 &amp; aws s3 cp s3://rtdc.mdm.uploadarchive.raw/RTDC4028/ "%USERPROFILE%\AppData\Local\Temp\OnboardLogs"\RTDC4028\2017-11-21 --exclude "*" --recursive --include "*20171121*" &amp; "%USERPROFILE%\Documents\GitHub\mrs-test-scripts\Headless Mode &amp; Sideloading\WalkAndUnGZ.bat" "%USERPROFILE%\AppData\Local\Temp\OnboardLogs"\RTDC4028\2017-11-21</v>
      </c>
      <c r="AF78" s="74" t="str">
        <f t="shared" si="41"/>
        <v>"C:\Program Files (x86)\AstroGrep\AstroGrep.exe" /e /r /s /spath="%USERPROFILE%\AppData\Local\Temp\OnboardLogs" /stypes="app*4028*20171120*" /stext=" 19:.+((SYSTEM_STATE.+slice.+state.+changed )|(ment ac)|(multiple cpu faults)|(system.+state.+changed )|(\[timeout)|(PRM\|1\|D)|(kpr)|(kdp)|(train st.+moving)|(\|lc)|(penalty))"</v>
      </c>
      <c r="AG78" s="181" t="str">
        <f t="shared" si="42"/>
        <v>EC</v>
      </c>
      <c r="AH78" s="78" t="str">
        <f t="shared" ref="AH78:AH141" si="43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163-20 --locoid 4028 --swversion DE.1.0.9.0 --startMP 204:489 --initTime 2017-11-20T11:22:50 --startdatetime 2017-11-20T11:30:37 --delay 96 --endMP 204:233266 --enddatetime 2017-11-20T12:07:00 --enforcementcount 0 &gt;&gt;%USERPROFILE%\Documents\GitHub\eaglep3-reporting\EC\2017-11-20-refined-times.txt</v>
      </c>
      <c r="AI78" s="96" t="str">
        <f t="shared" ref="AI78:AI141" si="44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{"issue":{"subject":"","project_id":79,"tracker_id":40,"status_id":1,"priority_id":2,"assigned_to_id":338,"start_date":"2017-11-20","description":"","custom_fields":[{"id":1,"name":"Subdivision","value":"EC"},{"id":4,"name":"Milepost","value":"23.3266"},{"id":17,"name":"Train ID","value":"163-20"},{"id":16,"name":"Locomotive ID","value":"4028"},{"id":130,"name":"Impact","value":""},{"id":150,"name":"Time of Event (Mountain Time)","value":"12:07:00"},{"id":151,"name":"Denver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1" t="str">
        <f t="shared" ref="AM78:AM141" si="45">"start /low /b "&amp;dls3logs&amp;" --loco "&amp;B78&amp;" --day "&amp;TEXT(F78,"YYYY-MM-DD")</f>
        <v>start /low /b %USERPROFILE%\Documents\GitHub\eaglep3\Utilities\DownloadLogsFromS3.py --loco 4028 --day 2017-11-20</v>
      </c>
      <c r="AN78" s="150" t="str">
        <f t="shared" ref="AN78:AN141" si="46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19:07:00"},{"id":29,"name":"Sharepoint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7" t="str">
        <f t="shared" ref="AO78:AO141" si="47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-20T10:22:50-0700',mode:absolute,to:'2017-11-20T13:07:00-0700'))&amp;_a=(columns:!('Message%20ID',Summary),filters:!(),index:'emp_*',interval:auto,query:(query_string:(analyze_wildcard:!t,query:'%22rtdc.l.rtdc.4028%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772</v>
      </c>
      <c r="B79" s="7">
        <v>4027</v>
      </c>
      <c r="C79" s="21" t="s">
        <v>192</v>
      </c>
      <c r="D79" s="21" t="s">
        <v>941</v>
      </c>
      <c r="E79" s="13">
        <v>43059.517175925925</v>
      </c>
      <c r="F79" s="13">
        <v>43059.519050925926</v>
      </c>
      <c r="G79" s="7">
        <v>73</v>
      </c>
      <c r="H79" s="21" t="s">
        <v>529</v>
      </c>
      <c r="I79" s="13">
        <v>43059.545856481483</v>
      </c>
      <c r="J79" s="7">
        <v>0</v>
      </c>
      <c r="K79" s="89" t="str">
        <f t="shared" si="29"/>
        <v>4027/4028</v>
      </c>
      <c r="L79" s="184" t="str">
        <f>VLOOKUP(A79,'Trips&amp;Operators'!$C$1:$G$99911,5,FALSE)</f>
        <v>STEWART MICHAEL</v>
      </c>
      <c r="M79" s="6">
        <f t="shared" si="30"/>
        <v>2.6805555557075422E-2</v>
      </c>
      <c r="N79" s="7">
        <f t="shared" si="31"/>
        <v>38.600000002188608</v>
      </c>
      <c r="O79" s="7"/>
      <c r="P79" s="7"/>
      <c r="Q79" s="22"/>
      <c r="R79" s="173"/>
      <c r="S79" s="220">
        <f t="shared" si="32"/>
        <v>1</v>
      </c>
      <c r="T79" s="173" t="str">
        <f t="shared" si="33"/>
        <v>Southbound</v>
      </c>
      <c r="U79" s="19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5" t="str">
        <f t="shared" si="34"/>
        <v>https://d0f6bd738d7f1b3e5a7ca70fe4ff75f0.us-east-1.aws.found.io/app/kibana#/discover/Steve-Slow-Train-Analysis-(2080s-and-2083s)?_g=(refreshInterval:(display:Off,pause:!f,section:0,value:0),time:(from:'2017-11-20T11:24:44-0700',mode:absolute,to:'2017-11-20T14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9" s="203" t="str">
        <f>IF(AA79&lt;VLOOKUP(AG79,Variables!$AC$3:$AD$8,2,FALSE),"Y","N")</f>
        <v>N</v>
      </c>
      <c r="X79" s="203">
        <f t="shared" si="35"/>
        <v>1</v>
      </c>
      <c r="Y79" s="203">
        <f t="shared" si="36"/>
        <v>23.295999999999999</v>
      </c>
      <c r="Z79" s="203">
        <f t="shared" si="37"/>
        <v>1.9800000000000002E-2</v>
      </c>
      <c r="AA79" s="203">
        <f t="shared" si="38"/>
        <v>23.276199999999999</v>
      </c>
      <c r="AB79" s="54" t="e">
        <f>VLOOKUP(A79,Enforcements!$C$7:$K$9,8,0)</f>
        <v>#N/A</v>
      </c>
      <c r="AC79" s="51" t="e">
        <f>VLOOKUP(A79,Enforcements!$C$7:$E$9,3,0)</f>
        <v>#N/A</v>
      </c>
      <c r="AD79" s="178">
        <f t="shared" si="39"/>
        <v>164</v>
      </c>
      <c r="AE79" s="77" t="str">
        <f t="shared" si="40"/>
        <v>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 &amp; aws s3 cp s3://rtdc.mdm.uploadarchive.raw/RTDC4027/ "%USERPROFILE%\AppData\Local\Temp\OnboardLogs"\RTDC4027\2017-11-21 --exclude "*" --recursive --include "*20171121*" &amp; "%USERPROFILE%\Documents\GitHub\mrs-test-scripts\Headless Mode &amp; Sideloading\WalkAndUnGZ.bat" "%USERPROFILE%\AppData\Local\Temp\OnboardLogs"\RTDC4027\2017-11-21</v>
      </c>
      <c r="AF79" s="74" t="str">
        <f t="shared" si="41"/>
        <v>"C:\Program Files (x86)\AstroGrep\AstroGrep.exe" /e /r /s /spath="%USERPROFILE%\AppData\Local\Temp\OnboardLogs" /stypes="app*4027*20171120*" /stext=" 20:.+((SYSTEM_STATE.+slice.+state.+changed )|(ment ac)|(multiple cpu faults)|(system.+state.+changed )|(\[timeout)|(PRM\|1\|D)|(kpr)|(kdp)|(train st.+moving)|(\|lc)|(penalty))"</v>
      </c>
      <c r="AG79" s="181" t="str">
        <f t="shared" si="42"/>
        <v>EC</v>
      </c>
      <c r="AH79" s="78" t="str">
        <f t="shared" si="43"/>
        <v>"%USERPROFILE%\Documents\GitHub\eaglep3\Utilities\RefineRTDCRunTimes.py" --tripid 164-20 --locoid 4027 --swversion DE.1.0.9.0 --startMP 204:232960 --initTime 2017-11-20T12:24:44 --startdatetime 2017-11-20T12:27:26 --delay 73 --endMP 204:198 --enddatetime 2017-11-20T13:06:02 --enforcementcount 0 &gt;&gt;%USERPROFILE%\Documents\GitHub\eaglep3-reporting\EC\2017-11-20-refined-times.txt</v>
      </c>
      <c r="AI79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{"issue":{"subject":"","project_id":79,"tracker_id":40,"status_id":1,"priority_id":2,"assigned_to_id":338,"start_date":"2017-11-20","description":"","custom_fields":[{"id":1,"name":"Subdivision","value":"EC"},{"id":4,"name":"Milepost","value":"0.0198"},{"id":17,"name":"Train ID","value":"164-20"},{"id":16,"name":"Locomotive ID","value":"4027"},{"id":130,"name":"Impact","value":""},{"id":150,"name":"Time of Event (Mountain Time)","value":"13:06:02"},{"id":151,"name":"Denver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1" t="str">
        <f t="shared" si="45"/>
        <v>start /low /b %USERPROFILE%\Documents\GitHub\eaglep3\Utilities\DownloadLogsFromS3.py --loco 4027 --day 2017-11-20</v>
      </c>
      <c r="AN79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20:06:02"},{"id":29,"name":"Sharepoint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7" t="str">
        <f t="shared" si="47"/>
        <v>https://d0f6bd738d7f1b3e5a7ca70fe4ff75f0.us-east-1.aws.found.io/app/kibana#/discover/Steve-Slow-Train-Analysis-(2080s-and-2083s)?_g=(refreshInterval:(display:Off,pause:!f,section:0,value:0),time:(from:'2017-11-20T11:24:44-0700',mode:absolute,to:'2017-11-20T14:06:02-0700'))&amp;_a=(columns:!('Message%20ID',Summary),filters:!(),index:'emp_*',interval:auto,query:(query_string:(analyze_wildcard:!t,query:'%22rtdc.l.rtdc.4027%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765</v>
      </c>
      <c r="B80" s="7">
        <v>4060</v>
      </c>
      <c r="C80" s="21" t="s">
        <v>192</v>
      </c>
      <c r="D80" s="21" t="s">
        <v>510</v>
      </c>
      <c r="E80" s="13">
        <v>43059.485381944447</v>
      </c>
      <c r="F80" s="13">
        <v>43059.489907407406</v>
      </c>
      <c r="G80" s="7">
        <v>329</v>
      </c>
      <c r="H80" s="21" t="s">
        <v>893</v>
      </c>
      <c r="I80" s="13">
        <v>43059.515347222223</v>
      </c>
      <c r="J80" s="7">
        <v>0</v>
      </c>
      <c r="K80" s="89" t="str">
        <f t="shared" si="29"/>
        <v>4059/4060</v>
      </c>
      <c r="L80" s="184" t="str">
        <f>VLOOKUP(A80,'Trips&amp;Operators'!$C$1:$G$99911,5,FALSE)</f>
        <v>AUSTIN THOMPSON</v>
      </c>
      <c r="M80" s="6">
        <f t="shared" si="30"/>
        <v>2.5439814817218576E-2</v>
      </c>
      <c r="N80" s="7">
        <f t="shared" si="31"/>
        <v>36.633333336794749</v>
      </c>
      <c r="O80" s="7"/>
      <c r="P80" s="7"/>
      <c r="Q80" s="22"/>
      <c r="R80" s="173"/>
      <c r="S80" s="220">
        <f t="shared" si="32"/>
        <v>1</v>
      </c>
      <c r="T80" s="173" t="str">
        <f t="shared" si="33"/>
        <v>NorthBound</v>
      </c>
      <c r="U80" s="19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5" t="str">
        <f t="shared" si="34"/>
        <v>https://d0f6bd738d7f1b3e5a7ca70fe4ff75f0.us-east-1.aws.found.io/app/kibana#/discover/Steve-Slow-Train-Analysis-(2080s-and-2083s)?_g=(refreshInterval:(display:Off,pause:!f,section:0,value:0),time:(from:'2017-11-20T10:38:57-0700',mode:absolute,to:'2017-11-20T13:22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0" s="203" t="str">
        <f>IF(AA80&lt;VLOOKUP(AG80,Variables!$AC$3:$AD$8,2,FALSE),"Y","N")</f>
        <v>N</v>
      </c>
      <c r="X80" s="203">
        <f t="shared" si="35"/>
        <v>1</v>
      </c>
      <c r="Y80" s="203">
        <f t="shared" si="36"/>
        <v>4.8599999999999997E-2</v>
      </c>
      <c r="Z80" s="203">
        <f t="shared" si="37"/>
        <v>23.3278</v>
      </c>
      <c r="AA80" s="203">
        <f t="shared" si="38"/>
        <v>23.279199999999999</v>
      </c>
      <c r="AB80" s="54" t="e">
        <f>VLOOKUP(A80,Enforcements!$C$7:$K$9,8,0)</f>
        <v>#N/A</v>
      </c>
      <c r="AC80" s="51" t="e">
        <f>VLOOKUP(A80,Enforcements!$C$7:$E$9,3,0)</f>
        <v>#N/A</v>
      </c>
      <c r="AD80" s="178">
        <f t="shared" si="39"/>
        <v>165</v>
      </c>
      <c r="AE80" s="77" t="str">
        <f t="shared" si="40"/>
        <v>aws s3 cp s3://rtdc.mdm.uploadarchive.raw/RTDC4060/ "%USERPROFILE%\AppData\Local\Temp\OnboardLogs"\RTDC4060\2017-11-20 --exclude "*" --recursive --include "*20171120*" &amp; "%USERPROFILE%\Documents\GitHub\mrs-test-scripts\Headless Mode &amp; Sideloading\WalkAndUnGZ.bat" "%USERPROFILE%\AppData\Local\Temp\OnboardLogs"\RTDC4060\2017-11-20 &amp; aws s3 cp s3://rtdc.mdm.uploadarchive.raw/RTDC4060/ "%USERPROFILE%\AppData\Local\Temp\OnboardLogs"\RTDC4060\2017-11-21 --exclude "*" --recursive --include "*20171121*" &amp; "%USERPROFILE%\Documents\GitHub\mrs-test-scripts\Headless Mode &amp; Sideloading\WalkAndUnGZ.bat" "%USERPROFILE%\AppData\Local\Temp\OnboardLogs"\RTDC4060\2017-11-21</v>
      </c>
      <c r="AF80" s="74" t="str">
        <f t="shared" si="41"/>
        <v>"C:\Program Files (x86)\AstroGrep\AstroGrep.exe" /e /r /s /spath="%USERPROFILE%\AppData\Local\Temp\OnboardLogs" /stypes="app*4060*20171120*" /stext=" 19:.+((SYSTEM_STATE.+slice.+state.+changed )|(ment ac)|(multiple cpu faults)|(system.+state.+changed )|(\[timeout)|(PRM\|1\|D)|(kpr)|(kdp)|(train st.+moving)|(\|lc)|(penalty))"</v>
      </c>
      <c r="AG80" s="181" t="str">
        <f t="shared" si="42"/>
        <v>EC</v>
      </c>
      <c r="AH80" s="78" t="str">
        <f t="shared" si="43"/>
        <v>"%USERPROFILE%\Documents\GitHub\eaglep3\Utilities\RefineRTDCRunTimes.py" --tripid 165-20 --locoid 4060 --swversion DE.1.0.9.0 --startMP 204:486 --initTime 2017-11-20T11:38:57 --startdatetime 2017-11-20T11:45:28 --delay 329 --endMP 204:233278 --enddatetime 2017-11-20T12:22:06 --enforcementcount 0 &gt;&gt;%USERPROFILE%\Documents\GitHub\eaglep3-reporting\EC\2017-11-20-refined-times.txt</v>
      </c>
      <c r="AI80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{"issue":{"subject":"","project_id":79,"tracker_id":40,"status_id":1,"priority_id":2,"assigned_to_id":338,"start_date":"2017-11-20","description":"","custom_fields":[{"id":1,"name":"Subdivision","value":"EC"},{"id":4,"name":"Milepost","value":"23.3278"},{"id":17,"name":"Train ID","value":"165-20"},{"id":16,"name":"Locomotive ID","value":"4060"},{"id":130,"name":"Impact","value":""},{"id":150,"name":"Time of Event (Mountain Time)","value":"12:22:06"},{"id":151,"name":"Denver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1" t="str">
        <f t="shared" si="45"/>
        <v>start /low /b %USERPROFILE%\Documents\GitHub\eaglep3\Utilities\DownloadLogsFromS3.py --loco 4060 --day 2017-11-20</v>
      </c>
      <c r="AN80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19:22:06"},{"id":29,"name":"Sharepoint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7" t="str">
        <f t="shared" si="47"/>
        <v>https://d0f6bd738d7f1b3e5a7ca70fe4ff75f0.us-east-1.aws.found.io/app/kibana#/discover/Steve-Slow-Train-Analysis-(2080s-and-2083s)?_g=(refreshInterval:(display:Off,pause:!f,section:0,value:0),time:(from:'2017-11-20T10:38:57-0700',mode:absolute,to:'2017-11-20T13:22:06-0700'))&amp;_a=(columns:!('Message%20ID',Summary),filters:!(),index:'emp_*',interval:auto,query:(query_string:(analyze_wildcard:!t,query:'%22rtdc.l.rtdc.4060%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774</v>
      </c>
      <c r="B81" s="7">
        <v>4059</v>
      </c>
      <c r="C81" s="21" t="s">
        <v>192</v>
      </c>
      <c r="D81" s="21" t="s">
        <v>942</v>
      </c>
      <c r="E81" s="13">
        <v>43059.521203703705</v>
      </c>
      <c r="F81" s="13">
        <v>43059.529328703706</v>
      </c>
      <c r="G81" s="7">
        <v>66</v>
      </c>
      <c r="H81" s="21" t="s">
        <v>943</v>
      </c>
      <c r="I81" s="13">
        <v>43059.555960648147</v>
      </c>
      <c r="J81" s="7">
        <v>0</v>
      </c>
      <c r="K81" s="89" t="str">
        <f t="shared" si="29"/>
        <v>4059/4060</v>
      </c>
      <c r="L81" s="184" t="str">
        <f>VLOOKUP(A81,'Trips&amp;Operators'!$C$1:$G$99911,5,FALSE)</f>
        <v>AUSTIN THOMPSON</v>
      </c>
      <c r="M81" s="6">
        <f t="shared" si="30"/>
        <v>2.6631944441760425E-2</v>
      </c>
      <c r="N81" s="7">
        <f t="shared" si="31"/>
        <v>38.349999996135011</v>
      </c>
      <c r="O81" s="7"/>
      <c r="P81" s="7"/>
      <c r="Q81" s="22"/>
      <c r="R81" s="173"/>
      <c r="S81" s="220">
        <f t="shared" si="32"/>
        <v>1</v>
      </c>
      <c r="T81" s="173" t="str">
        <f t="shared" si="33"/>
        <v>Southbound</v>
      </c>
      <c r="U81" s="19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5" t="str">
        <f t="shared" si="34"/>
        <v>https://d0f6bd738d7f1b3e5a7ca70fe4ff75f0.us-east-1.aws.found.io/app/kibana#/discover/Steve-Slow-Train-Analysis-(2080s-and-2083s)?_g=(refreshInterval:(display:Off,pause:!f,section:0,value:0),time:(from:'2017-11-20T11:30:32-0700',mode:absolute,to:'2017-11-20T14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1" s="203" t="str">
        <f>IF(AA81&lt;VLOOKUP(AG81,Variables!$AC$3:$AD$8,2,FALSE),"Y","N")</f>
        <v>N</v>
      </c>
      <c r="X81" s="203">
        <f t="shared" si="35"/>
        <v>1</v>
      </c>
      <c r="Y81" s="203">
        <f t="shared" si="36"/>
        <v>23.295300000000001</v>
      </c>
      <c r="Z81" s="203">
        <f t="shared" si="37"/>
        <v>2.2499999999999999E-2</v>
      </c>
      <c r="AA81" s="203">
        <f t="shared" si="38"/>
        <v>23.2728</v>
      </c>
      <c r="AB81" s="54" t="e">
        <f>VLOOKUP(A81,Enforcements!$C$7:$K$9,8,0)</f>
        <v>#N/A</v>
      </c>
      <c r="AC81" s="51" t="e">
        <f>VLOOKUP(A81,Enforcements!$C$7:$E$9,3,0)</f>
        <v>#N/A</v>
      </c>
      <c r="AD81" s="178">
        <f t="shared" si="39"/>
        <v>166</v>
      </c>
      <c r="AE81" s="77" t="str">
        <f t="shared" si="40"/>
        <v>aws s3 cp s3://rtdc.mdm.uploadarchive.raw/RTDC4059/ "%USERPROFILE%\AppData\Local\Temp\OnboardLogs"\RTDC4059\2017-11-20 --exclude "*" --recursive --include "*20171120*" &amp; "%USERPROFILE%\Documents\GitHub\mrs-test-scripts\Headless Mode &amp; Sideloading\WalkAndUnGZ.bat" "%USERPROFILE%\AppData\Local\Temp\OnboardLogs"\RTDC4059\2017-11-20 &amp; aws s3 cp s3://rtdc.mdm.uploadarchive.raw/RTDC4059/ "%USERPROFILE%\AppData\Local\Temp\OnboardLogs"\RTDC4059\2017-11-21 --exclude "*" --recursive --include "*20171121*" &amp; "%USERPROFILE%\Documents\GitHub\mrs-test-scripts\Headless Mode &amp; Sideloading\WalkAndUnGZ.bat" "%USERPROFILE%\AppData\Local\Temp\OnboardLogs"\RTDC4059\2017-11-21</v>
      </c>
      <c r="AF81" s="74" t="str">
        <f t="shared" si="41"/>
        <v>"C:\Program Files (x86)\AstroGrep\AstroGrep.exe" /e /r /s /spath="%USERPROFILE%\AppData\Local\Temp\OnboardLogs" /stypes="app*4059*20171120*" /stext=" 20:.+((SYSTEM_STATE.+slice.+state.+changed )|(ment ac)|(multiple cpu faults)|(system.+state.+changed )|(\[timeout)|(PRM\|1\|D)|(kpr)|(kdp)|(train st.+moving)|(\|lc)|(penalty))"</v>
      </c>
      <c r="AG81" s="181" t="str">
        <f t="shared" si="42"/>
        <v>EC</v>
      </c>
      <c r="AH81" s="78" t="str">
        <f t="shared" si="43"/>
        <v>"%USERPROFILE%\Documents\GitHub\eaglep3\Utilities\RefineRTDCRunTimes.py" --tripid 166-20 --locoid 4059 --swversion DE.1.0.9.0 --startMP 204:232953 --initTime 2017-11-20T12:30:32 --startdatetime 2017-11-20T12:42:14 --delay 66 --endMP 204:225 --enddatetime 2017-11-20T13:20:35 --enforcementcount 0 &gt;&gt;%USERPROFILE%\Documents\GitHub\eaglep3-reporting\EC\2017-11-20-refined-times.txt</v>
      </c>
      <c r="AI81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{"issue":{"subject":"","project_id":79,"tracker_id":40,"status_id":1,"priority_id":2,"assigned_to_id":338,"start_date":"2017-11-20","description":"","custom_fields":[{"id":1,"name":"Subdivision","value":"EC"},{"id":4,"name":"Milepost","value":"0.0225"},{"id":17,"name":"Train ID","value":"166-20"},{"id":16,"name":"Locomotive ID","value":"4059"},{"id":130,"name":"Impact","value":""},{"id":150,"name":"Time of Event (Mountain Time)","value":"13:20:35"},{"id":151,"name":"Denver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1" t="str">
        <f t="shared" si="45"/>
        <v>start /low /b %USERPROFILE%\Documents\GitHub\eaglep3\Utilities\DownloadLogsFromS3.py --loco 4059 --day 2017-11-20</v>
      </c>
      <c r="AN81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20:20:35"},{"id":29,"name":"Sharepoint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7" t="str">
        <f t="shared" si="47"/>
        <v>https://d0f6bd738d7f1b3e5a7ca70fe4ff75f0.us-east-1.aws.found.io/app/kibana#/discover/Steve-Slow-Train-Analysis-(2080s-and-2083s)?_g=(refreshInterval:(display:Off,pause:!f,section:0,value:0),time:(from:'2017-11-20T11:30:32-0700',mode:absolute,to:'2017-11-20T14:20:35-0700'))&amp;_a=(columns:!('Message%20ID',Summary),filters:!(),index:'emp_*',interval:auto,query:(query_string:(analyze_wildcard:!t,query:'%22rtdc.l.rtdc.4059%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767</v>
      </c>
      <c r="B82" s="7">
        <v>4026</v>
      </c>
      <c r="C82" s="21" t="s">
        <v>192</v>
      </c>
      <c r="D82" s="21" t="s">
        <v>566</v>
      </c>
      <c r="E82" s="13">
        <v>43059.495393518519</v>
      </c>
      <c r="F82" s="13">
        <v>43059.500231481485</v>
      </c>
      <c r="G82" s="7">
        <v>59</v>
      </c>
      <c r="H82" s="21" t="s">
        <v>944</v>
      </c>
      <c r="I82" s="13">
        <v>43059.524606481478</v>
      </c>
      <c r="J82" s="7">
        <v>0</v>
      </c>
      <c r="K82" s="89" t="str">
        <f t="shared" si="29"/>
        <v>4025/4026</v>
      </c>
      <c r="L82" s="184" t="str">
        <f>VLOOKUP(A82,'Trips&amp;Operators'!$C$1:$G$99911,5,FALSE)</f>
        <v>GUZMAN DANNY</v>
      </c>
      <c r="M82" s="6">
        <f t="shared" si="30"/>
        <v>2.4374999993597157E-2</v>
      </c>
      <c r="N82" s="7">
        <f t="shared" si="31"/>
        <v>35.099999990779907</v>
      </c>
      <c r="O82" s="7"/>
      <c r="P82" s="7"/>
      <c r="Q82" s="22"/>
      <c r="R82" s="173"/>
      <c r="S82" s="220">
        <f t="shared" si="32"/>
        <v>1</v>
      </c>
      <c r="T82" s="173" t="str">
        <f t="shared" si="33"/>
        <v>NorthBound</v>
      </c>
      <c r="U82" s="19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5" t="str">
        <f t="shared" si="34"/>
        <v>https://d0f6bd738d7f1b3e5a7ca70fe4ff75f0.us-east-1.aws.found.io/app/kibana#/discover/Steve-Slow-Train-Analysis-(2080s-and-2083s)?_g=(refreshInterval:(display:Off,pause:!f,section:0,value:0),time:(from:'2017-11-20T10:53:22-0700',mode:absolute,to:'2017-11-20T13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2" s="203" t="str">
        <f>IF(AA82&lt;VLOOKUP(AG82,Variables!$AC$3:$AD$8,2,FALSE),"Y","N")</f>
        <v>N</v>
      </c>
      <c r="X82" s="203">
        <f t="shared" si="35"/>
        <v>1</v>
      </c>
      <c r="Y82" s="203">
        <f t="shared" si="36"/>
        <v>5.4800000000000001E-2</v>
      </c>
      <c r="Z82" s="203">
        <f t="shared" si="37"/>
        <v>23.320799999999998</v>
      </c>
      <c r="AA82" s="203">
        <f t="shared" si="38"/>
        <v>23.265999999999998</v>
      </c>
      <c r="AB82" s="54" t="e">
        <f>VLOOKUP(A82,Enforcements!$C$7:$K$9,8,0)</f>
        <v>#N/A</v>
      </c>
      <c r="AC82" s="51" t="e">
        <f>VLOOKUP(A82,Enforcements!$C$7:$E$9,3,0)</f>
        <v>#N/A</v>
      </c>
      <c r="AD82" s="178">
        <f t="shared" si="39"/>
        <v>167</v>
      </c>
      <c r="AE82" s="77" t="str">
        <f t="shared" si="40"/>
        <v>aws s3 cp s3://rtdc.mdm.uploadarchive.raw/RTDC4026/ "%USERPROFILE%\AppData\Local\Temp\OnboardLogs"\RTDC4026\2017-11-20 --exclude "*" --recursive --include "*20171120*" &amp; "%USERPROFILE%\Documents\GitHub\mrs-test-scripts\Headless Mode &amp; Sideloading\WalkAndUnGZ.bat" "%USERPROFILE%\AppData\Local\Temp\OnboardLogs"\RTDC4026\2017-11-20 &amp; aws s3 cp s3://rtdc.mdm.uploadarchive.raw/RTDC4026/ "%USERPROFILE%\AppData\Local\Temp\OnboardLogs"\RTDC4026\2017-11-21 --exclude "*" --recursive --include "*20171121*" &amp; "%USERPROFILE%\Documents\GitHub\mrs-test-scripts\Headless Mode &amp; Sideloading\WalkAndUnGZ.bat" "%USERPROFILE%\AppData\Local\Temp\OnboardLogs"\RTDC4026\2017-11-21</v>
      </c>
      <c r="AF82" s="74" t="str">
        <f t="shared" si="41"/>
        <v>"C:\Program Files (x86)\AstroGrep\AstroGrep.exe" /e /r /s /spath="%USERPROFILE%\AppData\Local\Temp\OnboardLogs" /stypes="app*4026*20171120*" /stext=" 19:.+((SYSTEM_STATE.+slice.+state.+changed )|(ment ac)|(multiple cpu faults)|(system.+state.+changed )|(\[timeout)|(PRM\|1\|D)|(kpr)|(kdp)|(train st.+moving)|(\|lc)|(penalty))"</v>
      </c>
      <c r="AG82" s="181" t="str">
        <f t="shared" si="42"/>
        <v>EC</v>
      </c>
      <c r="AH82" s="78" t="str">
        <f t="shared" si="43"/>
        <v>"%USERPROFILE%\Documents\GitHub\eaglep3\Utilities\RefineRTDCRunTimes.py" --tripid 167-20 --locoid 4026 --swversion DE.1.0.9.0 --startMP 204:548 --initTime 2017-11-20T11:53:22 --startdatetime 2017-11-20T12:00:20 --delay 59 --endMP 204:233208 --enddatetime 2017-11-20T12:35:26 --enforcementcount 0 &gt;&gt;%USERPROFILE%\Documents\GitHub\eaglep3-reporting\EC\2017-11-20-refined-times.txt</v>
      </c>
      <c r="AI82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{"issue":{"subject":"","project_id":79,"tracker_id":40,"status_id":1,"priority_id":2,"assigned_to_id":338,"start_date":"2017-11-20","description":"","custom_fields":[{"id":1,"name":"Subdivision","value":"EC"},{"id":4,"name":"Milepost","value":"23.3208"},{"id":17,"name":"Train ID","value":"167-20"},{"id":16,"name":"Locomotive ID","value":"4026"},{"id":130,"name":"Impact","value":""},{"id":150,"name":"Time of Event (Mountain Time)","value":"12:35:26"},{"id":151,"name":"Denver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1" t="str">
        <f t="shared" si="45"/>
        <v>start /low /b %USERPROFILE%\Documents\GitHub\eaglep3\Utilities\DownloadLogsFromS3.py --loco 4026 --day 2017-11-20</v>
      </c>
      <c r="AN82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19:35:26"},{"id":29,"name":"Sharepoint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7" t="str">
        <f t="shared" si="47"/>
        <v>https://d0f6bd738d7f1b3e5a7ca70fe4ff75f0.us-east-1.aws.found.io/app/kibana#/discover/Steve-Slow-Train-Analysis-(2080s-and-2083s)?_g=(refreshInterval:(display:Off,pause:!f,section:0,value:0),time:(from:'2017-11-20T10:53:22-0700',mode:absolute,to:'2017-11-20T13:35:26-0700'))&amp;_a=(columns:!('Message%20ID',Summary),filters:!(),index:'emp_*',interval:auto,query:(query_string:(analyze_wildcard:!t,query:'%22rtdc.l.rtdc.4026%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775</v>
      </c>
      <c r="B83" s="7">
        <v>4025</v>
      </c>
      <c r="C83" s="21" t="s">
        <v>192</v>
      </c>
      <c r="D83" s="21" t="s">
        <v>932</v>
      </c>
      <c r="E83" s="13">
        <v>43059.526608796295</v>
      </c>
      <c r="F83" s="13">
        <v>43059.53974537037</v>
      </c>
      <c r="G83" s="7">
        <v>69</v>
      </c>
      <c r="H83" s="21" t="s">
        <v>528</v>
      </c>
      <c r="I83" s="13">
        <v>43059.566134259258</v>
      </c>
      <c r="J83" s="7">
        <v>0</v>
      </c>
      <c r="K83" s="89" t="str">
        <f t="shared" si="29"/>
        <v>4025/4026</v>
      </c>
      <c r="L83" s="184" t="str">
        <f>VLOOKUP(A83,'Trips&amp;Operators'!$C$1:$G$99911,5,FALSE)</f>
        <v>GUZMAN DANNY</v>
      </c>
      <c r="M83" s="6">
        <f t="shared" si="30"/>
        <v>2.6388888887595385E-2</v>
      </c>
      <c r="N83" s="7">
        <f t="shared" si="31"/>
        <v>37.999999998137355</v>
      </c>
      <c r="O83" s="7"/>
      <c r="P83" s="7"/>
      <c r="Q83" s="22"/>
      <c r="R83" s="173"/>
      <c r="S83" s="220">
        <f t="shared" si="32"/>
        <v>1</v>
      </c>
      <c r="T83" s="173" t="str">
        <f t="shared" si="33"/>
        <v>Southbound</v>
      </c>
      <c r="U83" s="19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5" t="str">
        <f t="shared" si="34"/>
        <v>https://d0f6bd738d7f1b3e5a7ca70fe4ff75f0.us-east-1.aws.found.io/app/kibana#/discover/Steve-Slow-Train-Analysis-(2080s-and-2083s)?_g=(refreshInterval:(display:Off,pause:!f,section:0,value:0),time:(from:'2017-11-20T11:38:19-0700',mode:absolute,to:'2017-11-20T14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3" s="203" t="str">
        <f>IF(AA83&lt;VLOOKUP(AG83,Variables!$AC$3:$AD$8,2,FALSE),"Y","N")</f>
        <v>N</v>
      </c>
      <c r="X83" s="203">
        <f t="shared" si="35"/>
        <v>1</v>
      </c>
      <c r="Y83" s="203">
        <f t="shared" si="36"/>
        <v>23.289400000000001</v>
      </c>
      <c r="Z83" s="203">
        <f t="shared" si="37"/>
        <v>2.6499999999999999E-2</v>
      </c>
      <c r="AA83" s="203">
        <f t="shared" si="38"/>
        <v>23.262900000000002</v>
      </c>
      <c r="AB83" s="54" t="e">
        <f>VLOOKUP(A83,Enforcements!$C$7:$K$9,8,0)</f>
        <v>#N/A</v>
      </c>
      <c r="AC83" s="51" t="e">
        <f>VLOOKUP(A83,Enforcements!$C$7:$E$9,3,0)</f>
        <v>#N/A</v>
      </c>
      <c r="AD83" s="178">
        <f t="shared" si="39"/>
        <v>168</v>
      </c>
      <c r="AE83" s="77" t="str">
        <f t="shared" si="40"/>
        <v>aws s3 cp s3://rtdc.mdm.uploadarchive.raw/RTDC4025/ "%USERPROFILE%\AppData\Local\Temp\OnboardLogs"\RTDC4025\2017-11-20 --exclude "*" --recursive --include "*20171120*" &amp; "%USERPROFILE%\Documents\GitHub\mrs-test-scripts\Headless Mode &amp; Sideloading\WalkAndUnGZ.bat" "%USERPROFILE%\AppData\Local\Temp\OnboardLogs"\RTDC4025\2017-11-20 &amp; aws s3 cp s3://rtdc.mdm.uploadarchive.raw/RTDC4025/ "%USERPROFILE%\AppData\Local\Temp\OnboardLogs"\RTDC4025\2017-11-21 --exclude "*" --recursive --include "*20171121*" &amp; "%USERPROFILE%\Documents\GitHub\mrs-test-scripts\Headless Mode &amp; Sideloading\WalkAndUnGZ.bat" "%USERPROFILE%\AppData\Local\Temp\OnboardLogs"\RTDC4025\2017-11-21</v>
      </c>
      <c r="AF83" s="74" t="str">
        <f t="shared" si="41"/>
        <v>"C:\Program Files (x86)\AstroGrep\AstroGrep.exe" /e /r /s /spath="%USERPROFILE%\AppData\Local\Temp\OnboardLogs" /stypes="app*4025*20171120*" /stext=" 20:.+((SYSTEM_STATE.+slice.+state.+changed )|(ment ac)|(multiple cpu faults)|(system.+state.+changed )|(\[timeout)|(PRM\|1\|D)|(kpr)|(kdp)|(train st.+moving)|(\|lc)|(penalty))"</v>
      </c>
      <c r="AG83" s="181" t="str">
        <f t="shared" si="42"/>
        <v>EC</v>
      </c>
      <c r="AH83" s="78" t="str">
        <f t="shared" si="43"/>
        <v>"%USERPROFILE%\Documents\GitHub\eaglep3\Utilities\RefineRTDCRunTimes.py" --tripid 168-20 --locoid 4025 --swversion DE.1.0.9.0 --startMP 204:232894 --initTime 2017-11-20T12:38:19 --startdatetime 2017-11-20T12:57:14 --delay 69 --endMP 204:265 --enddatetime 2017-11-20T13:35:14 --enforcementcount 0 &gt;&gt;%USERPROFILE%\Documents\GitHub\eaglep3-reporting\EC\2017-11-20-refined-times.txt</v>
      </c>
      <c r="AI83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{"issue":{"subject":"","project_id":79,"tracker_id":40,"status_id":1,"priority_id":2,"assigned_to_id":338,"start_date":"2017-11-20","description":"","custom_fields":[{"id":1,"name":"Subdivision","value":"EC"},{"id":4,"name":"Milepost","value":"0.0265"},{"id":17,"name":"Train ID","value":"168-20"},{"id":16,"name":"Locomotive ID","value":"4025"},{"id":130,"name":"Impact","value":""},{"id":150,"name":"Time of Event (Mountain Time)","value":"13:35:14"},{"id":151,"name":"Denver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1" t="str">
        <f t="shared" si="45"/>
        <v>start /low /b %USERPROFILE%\Documents\GitHub\eaglep3\Utilities\DownloadLogsFromS3.py --loco 4025 --day 2017-11-20</v>
      </c>
      <c r="AN83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20:35:14"},{"id":29,"name":"Sharepoint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7" t="str">
        <f t="shared" si="47"/>
        <v>https://d0f6bd738d7f1b3e5a7ca70fe4ff75f0.us-east-1.aws.found.io/app/kibana#/discover/Steve-Slow-Train-Analysis-(2080s-and-2083s)?_g=(refreshInterval:(display:Off,pause:!f,section:0,value:0),time:(from:'2017-11-20T11:38:19-0700',mode:absolute,to:'2017-11-20T14:35:14-0700'))&amp;_a=(columns:!('Message%20ID',Summary),filters:!(),index:'emp_*',interval:auto,query:(query_string:(analyze_wildcard:!t,query:'%22rtdc.l.rtdc.4025%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770</v>
      </c>
      <c r="B84" s="7">
        <v>4006</v>
      </c>
      <c r="C84" s="21" t="s">
        <v>192</v>
      </c>
      <c r="D84" s="21" t="s">
        <v>537</v>
      </c>
      <c r="E84" s="13">
        <v>43059.506018518521</v>
      </c>
      <c r="F84" s="13">
        <v>43059.511053240742</v>
      </c>
      <c r="G84" s="7">
        <v>171</v>
      </c>
      <c r="H84" s="21" t="s">
        <v>945</v>
      </c>
      <c r="I84" s="13">
        <v>43059.536006944443</v>
      </c>
      <c r="J84" s="7">
        <v>0</v>
      </c>
      <c r="K84" s="89" t="str">
        <f t="shared" si="29"/>
        <v>4005/4006</v>
      </c>
      <c r="L84" s="184" t="str">
        <f>VLOOKUP(A84,'Trips&amp;Operators'!$C$1:$G$99911,5,FALSE)</f>
        <v>SAFIEF AEIMEN</v>
      </c>
      <c r="M84" s="6">
        <f t="shared" si="30"/>
        <v>2.495370370161254E-2</v>
      </c>
      <c r="N84" s="7">
        <f t="shared" si="31"/>
        <v>35.933333330322057</v>
      </c>
      <c r="O84" s="7"/>
      <c r="P84" s="7"/>
      <c r="Q84" s="22"/>
      <c r="R84" s="173"/>
      <c r="S84" s="220">
        <f t="shared" si="32"/>
        <v>1</v>
      </c>
      <c r="T84" s="173" t="str">
        <f t="shared" si="33"/>
        <v>NorthBound</v>
      </c>
      <c r="U84" s="19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5" t="str">
        <f t="shared" si="34"/>
        <v>https://d0f6bd738d7f1b3e5a7ca70fe4ff75f0.us-east-1.aws.found.io/app/kibana#/discover/Steve-Slow-Train-Analysis-(2080s-and-2083s)?_g=(refreshInterval:(display:Off,pause:!f,section:0,value:0),time:(from:'2017-11-20T11:08:40-0700',mode:absolute,to:'2017-11-20T13:51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4" s="203" t="str">
        <f>IF(AA84&lt;VLOOKUP(AG84,Variables!$AC$3:$AD$8,2,FALSE),"Y","N")</f>
        <v>N</v>
      </c>
      <c r="X84" s="203">
        <f t="shared" si="35"/>
        <v>1</v>
      </c>
      <c r="Y84" s="203">
        <f t="shared" si="36"/>
        <v>5.0799999999999998E-2</v>
      </c>
      <c r="Z84" s="203">
        <f t="shared" si="37"/>
        <v>23.322800000000001</v>
      </c>
      <c r="AA84" s="203">
        <f t="shared" si="38"/>
        <v>23.272000000000002</v>
      </c>
      <c r="AB84" s="54" t="e">
        <f>VLOOKUP(A84,Enforcements!$C$7:$K$9,8,0)</f>
        <v>#N/A</v>
      </c>
      <c r="AC84" s="51" t="e">
        <f>VLOOKUP(A84,Enforcements!$C$7:$E$9,3,0)</f>
        <v>#N/A</v>
      </c>
      <c r="AD84" s="178">
        <f t="shared" si="39"/>
        <v>169</v>
      </c>
      <c r="AE84" s="77" t="str">
        <f t="shared" si="40"/>
        <v>aws s3 cp s3://rtdc.mdm.uploadarchive.raw/RTDC4006/ "%USERPROFILE%\AppData\Local\Temp\OnboardLogs"\RTDC4006\2017-11-20 --exclude "*" --recursive --include "*20171120*" &amp; "%USERPROFILE%\Documents\GitHub\mrs-test-scripts\Headless Mode &amp; Sideloading\WalkAndUnGZ.bat" "%USERPROFILE%\AppData\Local\Temp\OnboardLogs"\RTDC4006\2017-11-20 &amp; aws s3 cp s3://rtdc.mdm.uploadarchive.raw/RTDC4006/ "%USERPROFILE%\AppData\Local\Temp\OnboardLogs"\RTDC4006\2017-11-21 --exclude "*" --recursive --include "*20171121*" &amp; "%USERPROFILE%\Documents\GitHub\mrs-test-scripts\Headless Mode &amp; Sideloading\WalkAndUnGZ.bat" "%USERPROFILE%\AppData\Local\Temp\OnboardLogs"\RTDC4006\2017-11-21</v>
      </c>
      <c r="AF84" s="74" t="str">
        <f t="shared" si="41"/>
        <v>"C:\Program Files (x86)\AstroGrep\AstroGrep.exe" /e /r /s /spath="%USERPROFILE%\AppData\Local\Temp\OnboardLogs" /stypes="app*4006*20171120*" /stext=" 19:.+((SYSTEM_STATE.+slice.+state.+changed )|(ment ac)|(multiple cpu faults)|(system.+state.+changed )|(\[timeout)|(PRM\|1\|D)|(kpr)|(kdp)|(train st.+moving)|(\|lc)|(penalty))"</v>
      </c>
      <c r="AG84" s="181" t="str">
        <f t="shared" si="42"/>
        <v>EC</v>
      </c>
      <c r="AH84" s="78" t="str">
        <f t="shared" si="43"/>
        <v>"%USERPROFILE%\Documents\GitHub\eaglep3\Utilities\RefineRTDCRunTimes.py" --tripid 169-20 --locoid 4006 --swversion DE.1.0.9.0 --startMP 204:508 --initTime 2017-11-20T12:08:40 --startdatetime 2017-11-20T12:15:55 --delay 171 --endMP 204:233228 --enddatetime 2017-11-20T12:51:51 --enforcementcount 0 &gt;&gt;%USERPROFILE%\Documents\GitHub\eaglep3-reporting\EC\2017-11-20-refined-times.txt</v>
      </c>
      <c r="AI84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{"issue":{"subject":"","project_id":79,"tracker_id":40,"status_id":1,"priority_id":2,"assigned_to_id":338,"start_date":"2017-11-20","description":"","custom_fields":[{"id":1,"name":"Subdivision","value":"EC"},{"id":4,"name":"Milepost","value":"23.3228"},{"id":17,"name":"Train ID","value":"169-20"},{"id":16,"name":"Locomotive ID","value":"4006"},{"id":130,"name":"Impact","value":""},{"id":150,"name":"Time of Event (Mountain Time)","value":"12:51:51"},{"id":151,"name":"Denver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1" t="str">
        <f t="shared" si="45"/>
        <v>start /low /b %USERPROFILE%\Documents\GitHub\eaglep3\Utilities\DownloadLogsFromS3.py --loco 4006 --day 2017-11-20</v>
      </c>
      <c r="AN84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19:51:51"},{"id":29,"name":"Sharepoint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7" t="str">
        <f t="shared" si="47"/>
        <v>https://d0f6bd738d7f1b3e5a7ca70fe4ff75f0.us-east-1.aws.found.io/app/kibana#/discover/Steve-Slow-Train-Analysis-(2080s-and-2083s)?_g=(refreshInterval:(display:Off,pause:!f,section:0,value:0),time:(from:'2017-11-20T11:08:40-0700',mode:absolute,to:'2017-11-20T13:51:51-0700'))&amp;_a=(columns:!('Message%20ID',Summary),filters:!(),index:'emp_*',interval:auto,query:(query_string:(analyze_wildcard:!t,query:'%22rtdc.l.rtdc.4006%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779</v>
      </c>
      <c r="B85" s="7">
        <v>4005</v>
      </c>
      <c r="C85" s="21" t="s">
        <v>192</v>
      </c>
      <c r="D85" s="21" t="s">
        <v>935</v>
      </c>
      <c r="E85" s="13">
        <v>43059.538645833331</v>
      </c>
      <c r="F85" s="13">
        <v>43059.550266203703</v>
      </c>
      <c r="G85" s="7">
        <v>71</v>
      </c>
      <c r="H85" s="21" t="s">
        <v>946</v>
      </c>
      <c r="I85" s="13">
        <v>43059.575752314813</v>
      </c>
      <c r="J85" s="7">
        <v>0</v>
      </c>
      <c r="K85" s="89" t="str">
        <f t="shared" si="29"/>
        <v>4005/4006</v>
      </c>
      <c r="L85" s="184" t="str">
        <f>VLOOKUP(A85,'Trips&amp;Operators'!$C$1:$G$99911,5,FALSE)</f>
        <v>SAFIEF AEIMEN</v>
      </c>
      <c r="M85" s="6">
        <f t="shared" si="30"/>
        <v>2.548611110978527E-2</v>
      </c>
      <c r="N85" s="7">
        <f t="shared" si="31"/>
        <v>36.699999998090789</v>
      </c>
      <c r="O85" s="7"/>
      <c r="P85" s="7"/>
      <c r="Q85" s="22"/>
      <c r="R85" s="173"/>
      <c r="S85" s="220">
        <f t="shared" si="32"/>
        <v>1</v>
      </c>
      <c r="T85" s="173" t="str">
        <f t="shared" si="33"/>
        <v>Southbound</v>
      </c>
      <c r="U85" s="19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5" t="str">
        <f t="shared" si="34"/>
        <v>https://d0f6bd738d7f1b3e5a7ca70fe4ff75f0.us-east-1.aws.found.io/app/kibana#/discover/Steve-Slow-Train-Analysis-(2080s-and-2083s)?_g=(refreshInterval:(display:Off,pause:!f,section:0,value:0),time:(from:'2017-11-20T11:55:39-0700',mode:absolute,to:'2017-11-20T14:49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5" s="203" t="str">
        <f>IF(AA85&lt;VLOOKUP(AG85,Variables!$AC$3:$AD$8,2,FALSE),"Y","N")</f>
        <v>N</v>
      </c>
      <c r="X85" s="203">
        <f t="shared" si="35"/>
        <v>1</v>
      </c>
      <c r="Y85" s="203">
        <f t="shared" si="36"/>
        <v>23.2927</v>
      </c>
      <c r="Z85" s="203">
        <f t="shared" si="37"/>
        <v>2.29E-2</v>
      </c>
      <c r="AA85" s="203">
        <f t="shared" si="38"/>
        <v>23.2698</v>
      </c>
      <c r="AB85" s="54" t="e">
        <f>VLOOKUP(A85,Enforcements!$C$7:$K$9,8,0)</f>
        <v>#N/A</v>
      </c>
      <c r="AC85" s="51" t="e">
        <f>VLOOKUP(A85,Enforcements!$C$7:$E$9,3,0)</f>
        <v>#N/A</v>
      </c>
      <c r="AD85" s="178">
        <f t="shared" si="39"/>
        <v>170</v>
      </c>
      <c r="AE85" s="77" t="str">
        <f t="shared" si="40"/>
        <v>aws s3 cp s3://rtdc.mdm.uploadarchive.raw/RTDC4005/ "%USERPROFILE%\AppData\Local\Temp\OnboardLogs"\RTDC4005\2017-11-20 --exclude "*" --recursive --include "*20171120*" &amp; "%USERPROFILE%\Documents\GitHub\mrs-test-scripts\Headless Mode &amp; Sideloading\WalkAndUnGZ.bat" "%USERPROFILE%\AppData\Local\Temp\OnboardLogs"\RTDC4005\2017-11-20 &amp; aws s3 cp s3://rtdc.mdm.uploadarchive.raw/RTDC4005/ "%USERPROFILE%\AppData\Local\Temp\OnboardLogs"\RTDC4005\2017-11-21 --exclude "*" --recursive --include "*20171121*" &amp; "%USERPROFILE%\Documents\GitHub\mrs-test-scripts\Headless Mode &amp; Sideloading\WalkAndUnGZ.bat" "%USERPROFILE%\AppData\Local\Temp\OnboardLogs"\RTDC4005\2017-11-21</v>
      </c>
      <c r="AF85" s="74" t="str">
        <f t="shared" si="41"/>
        <v>"C:\Program Files (x86)\AstroGrep\AstroGrep.exe" /e /r /s /spath="%USERPROFILE%\AppData\Local\Temp\OnboardLogs" /stypes="app*4005*20171120*" /stext=" 20:.+((SYSTEM_STATE.+slice.+state.+changed )|(ment ac)|(multiple cpu faults)|(system.+state.+changed )|(\[timeout)|(PRM\|1\|D)|(kpr)|(kdp)|(train st.+moving)|(\|lc)|(penalty))"</v>
      </c>
      <c r="AG85" s="181" t="str">
        <f t="shared" si="42"/>
        <v>EC</v>
      </c>
      <c r="AH85" s="78" t="str">
        <f t="shared" si="43"/>
        <v>"%USERPROFILE%\Documents\GitHub\eaglep3\Utilities\RefineRTDCRunTimes.py" --tripid 170-20 --locoid 4005 --swversion DE.1.0.9.0 --startMP 204:232927 --initTime 2017-11-20T12:55:39 --startdatetime 2017-11-20T13:12:23 --delay 71 --endMP 204:229 --enddatetime 2017-11-20T13:49:05 --enforcementcount 0 &gt;&gt;%USERPROFILE%\Documents\GitHub\eaglep3-reporting\EC\2017-11-20-refined-times.txt</v>
      </c>
      <c r="AI85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{"issue":{"subject":"","project_id":79,"tracker_id":40,"status_id":1,"priority_id":2,"assigned_to_id":338,"start_date":"2017-11-20","description":"","custom_fields":[{"id":1,"name":"Subdivision","value":"EC"},{"id":4,"name":"Milepost","value":"0.0229"},{"id":17,"name":"Train ID","value":"170-20"},{"id":16,"name":"Locomotive ID","value":"4005"},{"id":130,"name":"Impact","value":""},{"id":150,"name":"Time of Event (Mountain Time)","value":"13:49:05"},{"id":151,"name":"Denver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1" t="str">
        <f t="shared" si="45"/>
        <v>start /low /b %USERPROFILE%\Documents\GitHub\eaglep3\Utilities\DownloadLogsFromS3.py --loco 4005 --day 2017-11-20</v>
      </c>
      <c r="AN85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20:49:05"},{"id":29,"name":"Sharepoint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7" t="str">
        <f t="shared" si="47"/>
        <v>https://d0f6bd738d7f1b3e5a7ca70fe4ff75f0.us-east-1.aws.found.io/app/kibana#/discover/Steve-Slow-Train-Analysis-(2080s-and-2083s)?_g=(refreshInterval:(display:Off,pause:!f,section:0,value:0),time:(from:'2017-11-20T11:55:39-0700',mode:absolute,to:'2017-11-20T14:49:05-0700'))&amp;_a=(columns:!('Message%20ID',Summary),filters:!(),index:'emp_*',interval:auto,query:(query_string:(analyze_wildcard:!t,query:'%22rtdc.l.rtdc.4005%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773</v>
      </c>
      <c r="B86" s="7">
        <v>4018</v>
      </c>
      <c r="C86" s="21" t="s">
        <v>192</v>
      </c>
      <c r="D86" s="21" t="s">
        <v>556</v>
      </c>
      <c r="E86" s="13">
        <v>43059.51935185185</v>
      </c>
      <c r="F86" s="13">
        <v>43059.521365740744</v>
      </c>
      <c r="G86" s="7">
        <v>52</v>
      </c>
      <c r="H86" s="21" t="s">
        <v>483</v>
      </c>
      <c r="I86" s="13">
        <v>43059.54724537037</v>
      </c>
      <c r="J86" s="7">
        <v>0</v>
      </c>
      <c r="K86" s="89" t="str">
        <f t="shared" si="29"/>
        <v>4017/4018</v>
      </c>
      <c r="L86" s="184" t="str">
        <f>VLOOKUP(A86,'Trips&amp;Operators'!$C$1:$G$99911,5,FALSE)</f>
        <v>BADERTSCHER DIANE</v>
      </c>
      <c r="M86" s="6">
        <f t="shared" si="30"/>
        <v>2.5879629625706002E-2</v>
      </c>
      <c r="N86" s="7">
        <f t="shared" si="31"/>
        <v>37.266666661016643</v>
      </c>
      <c r="O86" s="7"/>
      <c r="P86" s="7"/>
      <c r="Q86" s="22"/>
      <c r="R86" s="173"/>
      <c r="S86" s="220">
        <f t="shared" si="32"/>
        <v>1</v>
      </c>
      <c r="T86" s="173" t="str">
        <f t="shared" si="33"/>
        <v>NorthBound</v>
      </c>
      <c r="U86" s="19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5" t="str">
        <f t="shared" si="34"/>
        <v>https://d0f6bd738d7f1b3e5a7ca70fe4ff75f0.us-east-1.aws.found.io/app/kibana#/discover/Steve-Slow-Train-Analysis-(2080s-and-2083s)?_g=(refreshInterval:(display:Off,pause:!f,section:0,value:0),time:(from:'2017-11-20T11:27:52-0700',mode:absolute,to:'2017-11-20T14:08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6" s="203" t="str">
        <f>IF(AA86&lt;VLOOKUP(AG86,Variables!$AC$3:$AD$8,2,FALSE),"Y","N")</f>
        <v>N</v>
      </c>
      <c r="X86" s="203">
        <f t="shared" si="35"/>
        <v>1</v>
      </c>
      <c r="Y86" s="203">
        <f t="shared" si="36"/>
        <v>5.0200000000000002E-2</v>
      </c>
      <c r="Z86" s="203">
        <f t="shared" si="37"/>
        <v>23.325099999999999</v>
      </c>
      <c r="AA86" s="203">
        <f t="shared" si="38"/>
        <v>23.274899999999999</v>
      </c>
      <c r="AB86" s="54" t="e">
        <f>VLOOKUP(A86,Enforcements!$C$7:$K$9,8,0)</f>
        <v>#N/A</v>
      </c>
      <c r="AC86" s="51" t="e">
        <f>VLOOKUP(A86,Enforcements!$C$7:$E$9,3,0)</f>
        <v>#N/A</v>
      </c>
      <c r="AD86" s="178">
        <f t="shared" si="39"/>
        <v>171</v>
      </c>
      <c r="AE86" s="77" t="str">
        <f t="shared" si="40"/>
        <v>aws s3 cp s3://rtdc.mdm.uploadarchive.raw/RTDC4018/ "%USERPROFILE%\AppData\Local\Temp\OnboardLogs"\RTDC4018\2017-11-20 --exclude "*" --recursive --include "*20171120*" &amp; "%USERPROFILE%\Documents\GitHub\mrs-test-scripts\Headless Mode &amp; Sideloading\WalkAndUnGZ.bat" "%USERPROFILE%\AppData\Local\Temp\OnboardLogs"\RTDC4018\2017-11-20 &amp; aws s3 cp s3://rtdc.mdm.uploadarchive.raw/RTDC4018/ "%USERPROFILE%\AppData\Local\Temp\OnboardLogs"\RTDC4018\2017-11-21 --exclude "*" --recursive --include "*20171121*" &amp; "%USERPROFILE%\Documents\GitHub\mrs-test-scripts\Headless Mode &amp; Sideloading\WalkAndUnGZ.bat" "%USERPROFILE%\AppData\Local\Temp\OnboardLogs"\RTDC4018\2017-11-21</v>
      </c>
      <c r="AF86" s="74" t="str">
        <f t="shared" si="41"/>
        <v>"C:\Program Files (x86)\AstroGrep\AstroGrep.exe" /e /r /s /spath="%USERPROFILE%\AppData\Local\Temp\OnboardLogs" /stypes="app*4018*20171120*" /stext=" 20:.+((SYSTEM_STATE.+slice.+state.+changed )|(ment ac)|(multiple cpu faults)|(system.+state.+changed )|(\[timeout)|(PRM\|1\|D)|(kpr)|(kdp)|(train st.+moving)|(\|lc)|(penalty))"</v>
      </c>
      <c r="AG86" s="181" t="str">
        <f t="shared" si="42"/>
        <v>EC</v>
      </c>
      <c r="AH86" s="78" t="str">
        <f t="shared" si="43"/>
        <v>"%USERPROFILE%\Documents\GitHub\eaglep3\Utilities\RefineRTDCRunTimes.py" --tripid 171-20 --locoid 4018 --swversion DE.1.0.9.0 --startMP 204:502 --initTime 2017-11-20T12:27:52 --startdatetime 2017-11-20T12:30:46 --delay 52 --endMP 204:233251 --enddatetime 2017-11-20T13:08:02 --enforcementcount 0 &gt;&gt;%USERPROFILE%\Documents\GitHub\eaglep3-reporting\EC\2017-11-20-refined-times.txt</v>
      </c>
      <c r="AI86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{"issue":{"subject":"","project_id":79,"tracker_id":40,"status_id":1,"priority_id":2,"assigned_to_id":338,"start_date":"2017-11-20","description":"","custom_fields":[{"id":1,"name":"Subdivision","value":"EC"},{"id":4,"name":"Milepost","value":"23.3251"},{"id":17,"name":"Train ID","value":"171-20"},{"id":16,"name":"Locomotive ID","value":"4018"},{"id":130,"name":"Impact","value":""},{"id":150,"name":"Time of Event (Mountain Time)","value":"13:08:02"},{"id":151,"name":"Denver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1" t="str">
        <f t="shared" si="45"/>
        <v>start /low /b %USERPROFILE%\Documents\GitHub\eaglep3\Utilities\DownloadLogsFromS3.py --loco 4018 --day 2017-11-20</v>
      </c>
      <c r="AN86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20:08:02"},{"id":29,"name":"Sharepoint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7" t="str">
        <f t="shared" si="47"/>
        <v>https://d0f6bd738d7f1b3e5a7ca70fe4ff75f0.us-east-1.aws.found.io/app/kibana#/discover/Steve-Slow-Train-Analysis-(2080s-and-2083s)?_g=(refreshInterval:(display:Off,pause:!f,section:0,value:0),time:(from:'2017-11-20T11:27:52-0700',mode:absolute,to:'2017-11-20T14:08:02-0700'))&amp;_a=(columns:!('Message%20ID',Summary),filters:!(),index:'emp_*',interval:auto,query:(query_string:(analyze_wildcard:!t,query:'%22rtdc.l.rtdc.4018%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665</v>
      </c>
      <c r="B87" s="7">
        <v>4017</v>
      </c>
      <c r="C87" s="21" t="s">
        <v>192</v>
      </c>
      <c r="D87" s="21" t="s">
        <v>896</v>
      </c>
      <c r="E87" s="13">
        <v>43059.554583333331</v>
      </c>
      <c r="F87" s="13">
        <v>43059.560590277775</v>
      </c>
      <c r="G87" s="7">
        <v>76</v>
      </c>
      <c r="H87" s="21" t="s">
        <v>947</v>
      </c>
      <c r="I87" s="13">
        <v>43059.587847222225</v>
      </c>
      <c r="J87" s="7">
        <v>0</v>
      </c>
      <c r="K87" s="89" t="str">
        <f t="shared" si="29"/>
        <v>4017/4018</v>
      </c>
      <c r="L87" s="184" t="str">
        <f>VLOOKUP(A87,'Trips&amp;Operators'!$C$1:$G$99911,5,FALSE)</f>
        <v>BADERTSCHER DIANE</v>
      </c>
      <c r="M87" s="6">
        <f t="shared" si="30"/>
        <v>2.7256944449618459E-2</v>
      </c>
      <c r="N87" s="7">
        <f t="shared" si="31"/>
        <v>39.250000007450581</v>
      </c>
      <c r="O87" s="7"/>
      <c r="P87" s="7"/>
      <c r="Q87" s="22"/>
      <c r="R87" s="173"/>
      <c r="S87" s="220">
        <f t="shared" si="32"/>
        <v>1</v>
      </c>
      <c r="T87" s="173" t="str">
        <f t="shared" si="33"/>
        <v>Southbound</v>
      </c>
      <c r="U87" s="19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5" t="str">
        <f t="shared" si="34"/>
        <v>https://d0f6bd738d7f1b3e5a7ca70fe4ff75f0.us-east-1.aws.found.io/app/kibana#/discover/Steve-Slow-Train-Analysis-(2080s-and-2083s)?_g=(refreshInterval:(display:Off,pause:!f,section:0,value:0),time:(from:'2017-11-20T12:18:36-0700',mode:absolute,to:'2017-11-20T15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7" s="203" t="str">
        <f>IF(AA87&lt;VLOOKUP(AG87,Variables!$AC$3:$AD$8,2,FALSE),"Y","N")</f>
        <v>N</v>
      </c>
      <c r="X87" s="203">
        <f t="shared" si="35"/>
        <v>1</v>
      </c>
      <c r="Y87" s="203">
        <f t="shared" si="36"/>
        <v>23.294699999999999</v>
      </c>
      <c r="Z87" s="203">
        <f t="shared" si="37"/>
        <v>2.8500000000000001E-2</v>
      </c>
      <c r="AA87" s="203">
        <f t="shared" si="38"/>
        <v>23.266199999999998</v>
      </c>
      <c r="AB87" s="54" t="e">
        <f>VLOOKUP(A87,Enforcements!$C$7:$K$9,8,0)</f>
        <v>#N/A</v>
      </c>
      <c r="AC87" s="51" t="e">
        <f>VLOOKUP(A87,Enforcements!$C$7:$E$9,3,0)</f>
        <v>#N/A</v>
      </c>
      <c r="AD87" s="178">
        <f t="shared" si="39"/>
        <v>172</v>
      </c>
      <c r="AE87" s="77" t="str">
        <f t="shared" si="40"/>
        <v>aws s3 cp s3://rtdc.mdm.uploadarchive.raw/RTDC4017/ "%USERPROFILE%\AppData\Local\Temp\OnboardLogs"\RTDC4017\2017-11-20 --exclude "*" --recursive --include "*20171120*" &amp; "%USERPROFILE%\Documents\GitHub\mrs-test-scripts\Headless Mode &amp; Sideloading\WalkAndUnGZ.bat" "%USERPROFILE%\AppData\Local\Temp\OnboardLogs"\RTDC4017\2017-11-20 &amp; aws s3 cp s3://rtdc.mdm.uploadarchive.raw/RTDC4017/ "%USERPROFILE%\AppData\Local\Temp\OnboardLogs"\RTDC4017\2017-11-21 --exclude "*" --recursive --include "*20171121*" &amp; "%USERPROFILE%\Documents\GitHub\mrs-test-scripts\Headless Mode &amp; Sideloading\WalkAndUnGZ.bat" "%USERPROFILE%\AppData\Local\Temp\OnboardLogs"\RTDC4017\2017-11-21</v>
      </c>
      <c r="AF87" s="74" t="str">
        <f t="shared" si="41"/>
        <v>"C:\Program Files (x86)\AstroGrep\AstroGrep.exe" /e /r /s /spath="%USERPROFILE%\AppData\Local\Temp\OnboardLogs" /stypes="app*4017*20171120*" /stext=" 21:.+((SYSTEM_STATE.+slice.+state.+changed )|(ment ac)|(multiple cpu faults)|(system.+state.+changed )|(\[timeout)|(PRM\|1\|D)|(kpr)|(kdp)|(train st.+moving)|(\|lc)|(penalty))"</v>
      </c>
      <c r="AG87" s="181" t="str">
        <f t="shared" si="42"/>
        <v>EC</v>
      </c>
      <c r="AH87" s="78" t="str">
        <f t="shared" si="43"/>
        <v>"%USERPROFILE%\Documents\GitHub\eaglep3\Utilities\RefineRTDCRunTimes.py" --tripid 172-20 --locoid 4017 --swversion DE.1.0.9.0 --startMP 204:232947 --initTime 2017-11-20T13:18:36 --startdatetime 2017-11-20T13:27:15 --delay 76 --endMP 204:285 --enddatetime 2017-11-20T14:06:30 --enforcementcount 0 &gt;&gt;%USERPROFILE%\Documents\GitHub\eaglep3-reporting\EC\2017-11-20-refined-times.txt</v>
      </c>
      <c r="AI87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{"issue":{"subject":"","project_id":79,"tracker_id":40,"status_id":1,"priority_id":2,"assigned_to_id":338,"start_date":"2017-11-20","description":"","custom_fields":[{"id":1,"name":"Subdivision","value":"EC"},{"id":4,"name":"Milepost","value":"0.0285"},{"id":17,"name":"Train ID","value":"172-20"},{"id":16,"name":"Locomotive ID","value":"4017"},{"id":130,"name":"Impact","value":""},{"id":150,"name":"Time of Event (Mountain Time)","value":"14:06:30"},{"id":151,"name":"Denver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1" t="str">
        <f t="shared" si="45"/>
        <v>start /low /b %USERPROFILE%\Documents\GitHub\eaglep3\Utilities\DownloadLogsFromS3.py --loco 4017 --day 2017-11-20</v>
      </c>
      <c r="AN87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21:06:30"},{"id":29,"name":"Sharepoint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7" t="str">
        <f t="shared" si="47"/>
        <v>https://d0f6bd738d7f1b3e5a7ca70fe4ff75f0.us-east-1.aws.found.io/app/kibana#/discover/Steve-Slow-Train-Analysis-(2080s-and-2083s)?_g=(refreshInterval:(display:Off,pause:!f,section:0,value:0),time:(from:'2017-11-20T12:18:36-0700',mode:absolute,to:'2017-11-20T15:06:30-0700'))&amp;_a=(columns:!('Message%20ID',Summary),filters:!(),index:'emp_*',interval:auto,query:(query_string:(analyze_wildcard:!t,query:'%22rtdc.l.rtdc.4017%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776</v>
      </c>
      <c r="B88" s="7">
        <v>4002</v>
      </c>
      <c r="C88" s="21" t="s">
        <v>192</v>
      </c>
      <c r="D88" s="21" t="s">
        <v>948</v>
      </c>
      <c r="E88" s="13">
        <v>43059.527395833335</v>
      </c>
      <c r="F88" s="13">
        <v>43059.531539351854</v>
      </c>
      <c r="G88" s="7">
        <v>182</v>
      </c>
      <c r="H88" s="21" t="s">
        <v>634</v>
      </c>
      <c r="I88" s="13">
        <v>43059.556354166663</v>
      </c>
      <c r="J88" s="7">
        <v>0</v>
      </c>
      <c r="K88" s="89" t="str">
        <f t="shared" si="29"/>
        <v>4001/4002</v>
      </c>
      <c r="L88" s="184" t="str">
        <f>VLOOKUP(A88,'Trips&amp;Operators'!$C$1:$G$99911,5,FALSE)</f>
        <v>GONZALEZ ARMANDO</v>
      </c>
      <c r="M88" s="6">
        <f t="shared" si="30"/>
        <v>2.4814814809360541E-2</v>
      </c>
      <c r="N88" s="7">
        <f t="shared" si="31"/>
        <v>35.73333332547918</v>
      </c>
      <c r="O88" s="7"/>
      <c r="P88" s="7"/>
      <c r="Q88" s="22"/>
      <c r="R88" s="173"/>
      <c r="S88" s="220">
        <f t="shared" si="32"/>
        <v>1</v>
      </c>
      <c r="T88" s="173" t="str">
        <f t="shared" si="33"/>
        <v>NorthBound</v>
      </c>
      <c r="U88" s="19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5" t="str">
        <f t="shared" si="34"/>
        <v>https://d0f6bd738d7f1b3e5a7ca70fe4ff75f0.us-east-1.aws.found.io/app/kibana#/discover/Steve-Slow-Train-Analysis-(2080s-and-2083s)?_g=(refreshInterval:(display:Off,pause:!f,section:0,value:0),time:(from:'2017-11-20T11:39:27-0700',mode:absolute,to:'2017-11-20T14:21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8" s="203" t="str">
        <f>IF(AA88&lt;VLOOKUP(AG88,Variables!$AC$3:$AD$8,2,FALSE),"Y","N")</f>
        <v>N</v>
      </c>
      <c r="X88" s="203">
        <f t="shared" si="35"/>
        <v>1</v>
      </c>
      <c r="Y88" s="203">
        <f t="shared" si="36"/>
        <v>4.7500000000000001E-2</v>
      </c>
      <c r="Z88" s="203">
        <f t="shared" si="37"/>
        <v>23.328399999999998</v>
      </c>
      <c r="AA88" s="203">
        <f t="shared" si="38"/>
        <v>23.280899999999999</v>
      </c>
      <c r="AB88" s="54" t="e">
        <f>VLOOKUP(A88,Enforcements!$C$7:$K$9,8,0)</f>
        <v>#N/A</v>
      </c>
      <c r="AC88" s="51" t="e">
        <f>VLOOKUP(A88,Enforcements!$C$7:$E$9,3,0)</f>
        <v>#N/A</v>
      </c>
      <c r="AD88" s="178">
        <f t="shared" si="39"/>
        <v>173</v>
      </c>
      <c r="AE88" s="77" t="str">
        <f t="shared" si="40"/>
        <v>aws s3 cp s3://rtdc.mdm.uploadarchive.raw/RTDC4002/ "%USERPROFILE%\AppData\Local\Temp\OnboardLogs"\RTDC4002\2017-11-20 --exclude "*" --recursive --include "*20171120*" &amp; "%USERPROFILE%\Documents\GitHub\mrs-test-scripts\Headless Mode &amp; Sideloading\WalkAndUnGZ.bat" "%USERPROFILE%\AppData\Local\Temp\OnboardLogs"\RTDC4002\2017-11-20 &amp; aws s3 cp s3://rtdc.mdm.uploadarchive.raw/RTDC4002/ "%USERPROFILE%\AppData\Local\Temp\OnboardLogs"\RTDC4002\2017-11-21 --exclude "*" --recursive --include "*20171121*" &amp; "%USERPROFILE%\Documents\GitHub\mrs-test-scripts\Headless Mode &amp; Sideloading\WalkAndUnGZ.bat" "%USERPROFILE%\AppData\Local\Temp\OnboardLogs"\RTDC4002\2017-11-21</v>
      </c>
      <c r="AF88" s="74" t="str">
        <f t="shared" si="41"/>
        <v>"C:\Program Files (x86)\AstroGrep\AstroGrep.exe" /e /r /s /spath="%USERPROFILE%\AppData\Local\Temp\OnboardLogs" /stypes="app*4002*20171120*" /stext=" 20:.+((SYSTEM_STATE.+slice.+state.+changed )|(ment ac)|(multiple cpu faults)|(system.+state.+changed )|(\[timeout)|(PRM\|1\|D)|(kpr)|(kdp)|(train st.+moving)|(\|lc)|(penalty))"</v>
      </c>
      <c r="AG88" s="181" t="str">
        <f t="shared" si="42"/>
        <v>EC</v>
      </c>
      <c r="AH88" s="78" t="str">
        <f t="shared" si="43"/>
        <v>"%USERPROFILE%\Documents\GitHub\eaglep3\Utilities\RefineRTDCRunTimes.py" --tripid 173-20 --locoid 4002 --swversion DE.1.0.9.0 --startMP 204:475 --initTime 2017-11-20T12:39:27 --startdatetime 2017-11-20T12:45:25 --delay 182 --endMP 204:233284 --enddatetime 2017-11-20T13:21:09 --enforcementcount 0 &gt;&gt;%USERPROFILE%\Documents\GitHub\eaglep3-reporting\EC\2017-11-20-refined-times.txt</v>
      </c>
      <c r="AI88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{"issue":{"subject":"","project_id":79,"tracker_id":40,"status_id":1,"priority_id":2,"assigned_to_id":338,"start_date":"2017-11-20","description":"","custom_fields":[{"id":1,"name":"Subdivision","value":"EC"},{"id":4,"name":"Milepost","value":"23.3284"},{"id":17,"name":"Train ID","value":"173-20"},{"id":16,"name":"Locomotive ID","value":"4002"},{"id":130,"name":"Impact","value":""},{"id":150,"name":"Time of Event (Mountain Time)","value":"13:21:09"},{"id":151,"name":"Denver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1" t="str">
        <f t="shared" si="45"/>
        <v>start /low /b %USERPROFILE%\Documents\GitHub\eaglep3\Utilities\DownloadLogsFromS3.py --loco 4002 --day 2017-11-20</v>
      </c>
      <c r="AN88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20:21:09"},{"id":29,"name":"Sharepoint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7" t="str">
        <f t="shared" si="47"/>
        <v>https://d0f6bd738d7f1b3e5a7ca70fe4ff75f0.us-east-1.aws.found.io/app/kibana#/discover/Steve-Slow-Train-Analysis-(2080s-and-2083s)?_g=(refreshInterval:(display:Off,pause:!f,section:0,value:0),time:(from:'2017-11-20T11:39:27-0700',mode:absolute,to:'2017-11-20T14:21:09-0700'))&amp;_a=(columns:!('Message%20ID',Summary),filters:!(),index:'emp_*',interval:auto,query:(query_string:(analyze_wildcard:!t,query:'%22rtdc.l.rtdc.4002%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784</v>
      </c>
      <c r="B89" s="7">
        <v>4001</v>
      </c>
      <c r="C89" s="21" t="s">
        <v>192</v>
      </c>
      <c r="D89" s="21" t="s">
        <v>949</v>
      </c>
      <c r="E89" s="13">
        <v>43059.56585648148</v>
      </c>
      <c r="F89" s="13">
        <v>43059.571018518516</v>
      </c>
      <c r="G89" s="7">
        <v>79</v>
      </c>
      <c r="H89" s="21" t="s">
        <v>560</v>
      </c>
      <c r="I89" s="13">
        <v>43059.596122685187</v>
      </c>
      <c r="J89" s="7">
        <v>0</v>
      </c>
      <c r="K89" s="89" t="str">
        <f t="shared" si="29"/>
        <v>4001/4002</v>
      </c>
      <c r="L89" s="184" t="str">
        <f>VLOOKUP(A89,'Trips&amp;Operators'!$C$1:$G$99911,5,FALSE)</f>
        <v>GONZALEZ ARMANDO</v>
      </c>
      <c r="M89" s="6">
        <f t="shared" si="30"/>
        <v>2.510416667064419E-2</v>
      </c>
      <c r="N89" s="7">
        <f t="shared" si="31"/>
        <v>36.150000005727634</v>
      </c>
      <c r="O89" s="7"/>
      <c r="P89" s="7"/>
      <c r="Q89" s="22"/>
      <c r="R89" s="173"/>
      <c r="S89" s="220">
        <f t="shared" si="32"/>
        <v>1</v>
      </c>
      <c r="T89" s="173" t="str">
        <f t="shared" si="33"/>
        <v>Southbound</v>
      </c>
      <c r="U89" s="19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5" t="str">
        <f t="shared" si="34"/>
        <v>https://d0f6bd738d7f1b3e5a7ca70fe4ff75f0.us-east-1.aws.found.io/app/kibana#/discover/Steve-Slow-Train-Analysis-(2080s-and-2083s)?_g=(refreshInterval:(display:Off,pause:!f,section:0,value:0),time:(from:'2017-11-20T12:34:50-0700',mode:absolute,to:'2017-11-20T15:18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9" s="203" t="str">
        <f>IF(AA89&lt;VLOOKUP(AG89,Variables!$AC$3:$AD$8,2,FALSE),"Y","N")</f>
        <v>N</v>
      </c>
      <c r="X89" s="203">
        <f t="shared" si="35"/>
        <v>1</v>
      </c>
      <c r="Y89" s="203">
        <f t="shared" si="36"/>
        <v>23.295500000000001</v>
      </c>
      <c r="Z89" s="203">
        <f t="shared" si="37"/>
        <v>1.9199999999999998E-2</v>
      </c>
      <c r="AA89" s="203">
        <f t="shared" si="38"/>
        <v>23.276299999999999</v>
      </c>
      <c r="AB89" s="54" t="e">
        <f>VLOOKUP(A89,Enforcements!$C$7:$K$9,8,0)</f>
        <v>#N/A</v>
      </c>
      <c r="AC89" s="51" t="e">
        <f>VLOOKUP(A89,Enforcements!$C$7:$E$9,3,0)</f>
        <v>#N/A</v>
      </c>
      <c r="AD89" s="178">
        <f t="shared" si="39"/>
        <v>174</v>
      </c>
      <c r="AE89" s="77" t="str">
        <f t="shared" si="40"/>
        <v>aws s3 cp s3://rtdc.mdm.uploadarchive.raw/RTDC4001/ "%USERPROFILE%\AppData\Local\Temp\OnboardLogs"\RTDC4001\2017-11-20 --exclude "*" --recursive --include "*20171120*" &amp; "%USERPROFILE%\Documents\GitHub\mrs-test-scripts\Headless Mode &amp; Sideloading\WalkAndUnGZ.bat" "%USERPROFILE%\AppData\Local\Temp\OnboardLogs"\RTDC4001\2017-11-20 &amp; aws s3 cp s3://rtdc.mdm.uploadarchive.raw/RTDC4001/ "%USERPROFILE%\AppData\Local\Temp\OnboardLogs"\RTDC4001\2017-11-21 --exclude "*" --recursive --include "*20171121*" &amp; "%USERPROFILE%\Documents\GitHub\mrs-test-scripts\Headless Mode &amp; Sideloading\WalkAndUnGZ.bat" "%USERPROFILE%\AppData\Local\Temp\OnboardLogs"\RTDC4001\2017-11-21</v>
      </c>
      <c r="AF89" s="74" t="str">
        <f t="shared" si="41"/>
        <v>"C:\Program Files (x86)\AstroGrep\AstroGrep.exe" /e /r /s /spath="%USERPROFILE%\AppData\Local\Temp\OnboardLogs" /stypes="app*4001*20171120*" /stext=" 21:.+((SYSTEM_STATE.+slice.+state.+changed )|(ment ac)|(multiple cpu faults)|(system.+state.+changed )|(\[timeout)|(PRM\|1\|D)|(kpr)|(kdp)|(train st.+moving)|(\|lc)|(penalty))"</v>
      </c>
      <c r="AG89" s="181" t="str">
        <f t="shared" si="42"/>
        <v>EC</v>
      </c>
      <c r="AH89" s="78" t="str">
        <f t="shared" si="43"/>
        <v>"%USERPROFILE%\Documents\GitHub\eaglep3\Utilities\RefineRTDCRunTimes.py" --tripid 174-20 --locoid 4001 --swversion DE.1.0.9.0 --startMP 204:232955 --initTime 2017-11-20T13:34:50 --startdatetime 2017-11-20T13:42:16 --delay 79 --endMP 204:192 --enddatetime 2017-11-20T14:18:25 --enforcementcount 0 &gt;&gt;%USERPROFILE%\Documents\GitHub\eaglep3-reporting\EC\2017-11-20-refined-times.txt</v>
      </c>
      <c r="AI89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{"issue":{"subject":"","project_id":79,"tracker_id":40,"status_id":1,"priority_id":2,"assigned_to_id":338,"start_date":"2017-11-20","description":"","custom_fields":[{"id":1,"name":"Subdivision","value":"EC"},{"id":4,"name":"Milepost","value":"0.0192"},{"id":17,"name":"Train ID","value":"174-20"},{"id":16,"name":"Locomotive ID","value":"4001"},{"id":130,"name":"Impact","value":""},{"id":150,"name":"Time of Event (Mountain Time)","value":"14:18:25"},{"id":151,"name":"Denver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1" t="str">
        <f t="shared" si="45"/>
        <v>start /low /b %USERPROFILE%\Documents\GitHub\eaglep3\Utilities\DownloadLogsFromS3.py --loco 4001 --day 2017-11-20</v>
      </c>
      <c r="AN89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21:18:25"},{"id":29,"name":"Sharepoint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7" t="str">
        <f t="shared" si="47"/>
        <v>https://d0f6bd738d7f1b3e5a7ca70fe4ff75f0.us-east-1.aws.found.io/app/kibana#/discover/Steve-Slow-Train-Analysis-(2080s-and-2083s)?_g=(refreshInterval:(display:Off,pause:!f,section:0,value:0),time:(from:'2017-11-20T12:34:50-0700',mode:absolute,to:'2017-11-20T15:18:25-0700'))&amp;_a=(columns:!('Message%20ID',Summary),filters:!(),index:'emp_*',interval:auto,query:(query_string:(analyze_wildcard:!t,query:'%22rtdc.l.rtdc.4001%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780</v>
      </c>
      <c r="B90" s="7">
        <v>4064</v>
      </c>
      <c r="C90" s="21" t="s">
        <v>192</v>
      </c>
      <c r="D90" s="21" t="s">
        <v>566</v>
      </c>
      <c r="E90" s="13">
        <v>43059.539467592593</v>
      </c>
      <c r="F90" s="13">
        <v>43059.542129629626</v>
      </c>
      <c r="G90" s="7">
        <v>69</v>
      </c>
      <c r="H90" s="21" t="s">
        <v>535</v>
      </c>
      <c r="I90" s="13">
        <v>43059.567453703705</v>
      </c>
      <c r="J90" s="7">
        <v>0</v>
      </c>
      <c r="K90" s="89" t="str">
        <f t="shared" si="29"/>
        <v>4063/4064</v>
      </c>
      <c r="L90" s="184" t="str">
        <f>VLOOKUP(A90,'Trips&amp;Operators'!$C$1:$G$99911,5,FALSE)</f>
        <v>DAVIS MICHAEL</v>
      </c>
      <c r="M90" s="6">
        <f t="shared" si="30"/>
        <v>2.5324074078525882E-2</v>
      </c>
      <c r="N90" s="7">
        <f t="shared" si="31"/>
        <v>36.46666667307727</v>
      </c>
      <c r="O90" s="7"/>
      <c r="P90" s="7"/>
      <c r="Q90" s="22"/>
      <c r="R90" s="173"/>
      <c r="S90" s="220">
        <f t="shared" si="32"/>
        <v>1</v>
      </c>
      <c r="T90" s="173" t="str">
        <f t="shared" si="33"/>
        <v>NorthBound</v>
      </c>
      <c r="U90" s="19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5" t="str">
        <f t="shared" si="34"/>
        <v>https://d0f6bd738d7f1b3e5a7ca70fe4ff75f0.us-east-1.aws.found.io/app/kibana#/discover/Steve-Slow-Train-Analysis-(2080s-and-2083s)?_g=(refreshInterval:(display:Off,pause:!f,section:0,value:0),time:(from:'2017-11-20T11:56:50-0700',mode:absolute,to:'2017-11-20T14:37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0" s="203" t="str">
        <f>IF(AA90&lt;VLOOKUP(AG90,Variables!$AC$3:$AD$8,2,FALSE),"Y","N")</f>
        <v>N</v>
      </c>
      <c r="X90" s="203">
        <f t="shared" si="35"/>
        <v>1</v>
      </c>
      <c r="Y90" s="203">
        <f t="shared" si="36"/>
        <v>5.4800000000000001E-2</v>
      </c>
      <c r="Z90" s="203">
        <f t="shared" si="37"/>
        <v>23.328099999999999</v>
      </c>
      <c r="AA90" s="203">
        <f t="shared" si="38"/>
        <v>23.273299999999999</v>
      </c>
      <c r="AB90" s="54" t="e">
        <f>VLOOKUP(A90,Enforcements!$C$7:$K$9,8,0)</f>
        <v>#N/A</v>
      </c>
      <c r="AC90" s="51" t="e">
        <f>VLOOKUP(A90,Enforcements!$C$7:$E$9,3,0)</f>
        <v>#N/A</v>
      </c>
      <c r="AD90" s="178">
        <f t="shared" si="39"/>
        <v>175</v>
      </c>
      <c r="AE90" s="77" t="str">
        <f t="shared" si="40"/>
        <v>aws s3 cp s3://rtdc.mdm.uploadarchive.raw/RTDC4064/ "%USERPROFILE%\AppData\Local\Temp\OnboardLogs"\RTDC4064\2017-11-20 --exclude "*" --recursive --include "*20171120*" &amp; "%USERPROFILE%\Documents\GitHub\mrs-test-scripts\Headless Mode &amp; Sideloading\WalkAndUnGZ.bat" "%USERPROFILE%\AppData\Local\Temp\OnboardLogs"\RTDC4064\2017-11-20 &amp; aws s3 cp s3://rtdc.mdm.uploadarchive.raw/RTDC4064/ "%USERPROFILE%\AppData\Local\Temp\OnboardLogs"\RTDC4064\2017-11-21 --exclude "*" --recursive --include "*20171121*" &amp; "%USERPROFILE%\Documents\GitHub\mrs-test-scripts\Headless Mode &amp; Sideloading\WalkAndUnGZ.bat" "%USERPROFILE%\AppData\Local\Temp\OnboardLogs"\RTDC4064\2017-11-21</v>
      </c>
      <c r="AF90" s="74" t="str">
        <f t="shared" si="41"/>
        <v>"C:\Program Files (x86)\AstroGrep\AstroGrep.exe" /e /r /s /spath="%USERPROFILE%\AppData\Local\Temp\OnboardLogs" /stypes="app*4064*20171120*" /stext=" 20:.+((SYSTEM_STATE.+slice.+state.+changed )|(ment ac)|(multiple cpu faults)|(system.+state.+changed )|(\[timeout)|(PRM\|1\|D)|(kpr)|(kdp)|(train st.+moving)|(\|lc)|(penalty))"</v>
      </c>
      <c r="AG90" s="181" t="str">
        <f t="shared" si="42"/>
        <v>EC</v>
      </c>
      <c r="AH90" s="78" t="str">
        <f t="shared" si="43"/>
        <v>"%USERPROFILE%\Documents\GitHub\eaglep3\Utilities\RefineRTDCRunTimes.py" --tripid 175-20 --locoid 4064 --swversion DE.1.0.9.0 --startMP 204:548 --initTime 2017-11-20T12:56:50 --startdatetime 2017-11-20T13:00:40 --delay 69 --endMP 204:233281 --enddatetime 2017-11-20T13:37:08 --enforcementcount 0 &gt;&gt;%USERPROFILE%\Documents\GitHub\eaglep3-reporting\EC\2017-11-20-refined-times.txt</v>
      </c>
      <c r="AI90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{"issue":{"subject":"","project_id":79,"tracker_id":40,"status_id":1,"priority_id":2,"assigned_to_id":338,"start_date":"2017-11-20","description":"","custom_fields":[{"id":1,"name":"Subdivision","value":"EC"},{"id":4,"name":"Milepost","value":"23.3281"},{"id":17,"name":"Train ID","value":"175-20"},{"id":16,"name":"Locomotive ID","value":"4064"},{"id":130,"name":"Impact","value":""},{"id":150,"name":"Time of Event (Mountain Time)","value":"13:37:08"},{"id":151,"name":"Denver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1" t="str">
        <f t="shared" si="45"/>
        <v>start /low /b %USERPROFILE%\Documents\GitHub\eaglep3\Utilities\DownloadLogsFromS3.py --loco 4064 --day 2017-11-20</v>
      </c>
      <c r="AN90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20:37:08"},{"id":29,"name":"Sharepoint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7" t="str">
        <f t="shared" si="47"/>
        <v>https://d0f6bd738d7f1b3e5a7ca70fe4ff75f0.us-east-1.aws.found.io/app/kibana#/discover/Steve-Slow-Train-Analysis-(2080s-and-2083s)?_g=(refreshInterval:(display:Off,pause:!f,section:0,value:0),time:(from:'2017-11-20T11:56:50-0700',mode:absolute,to:'2017-11-20T14:37:08-0700'))&amp;_a=(columns:!('Message%20ID',Summary),filters:!(),index:'emp_*',interval:auto,query:(query_string:(analyze_wildcard:!t,query:'%22rtdc.l.rtdc.4064%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786</v>
      </c>
      <c r="B91" s="7">
        <v>4063</v>
      </c>
      <c r="C91" s="21" t="s">
        <v>192</v>
      </c>
      <c r="D91" s="21" t="s">
        <v>526</v>
      </c>
      <c r="E91" s="13">
        <v>43059.579050925924</v>
      </c>
      <c r="F91" s="13">
        <v>43059.581643518519</v>
      </c>
      <c r="G91" s="7">
        <v>94</v>
      </c>
      <c r="H91" s="21" t="s">
        <v>560</v>
      </c>
      <c r="I91" s="13">
        <v>43059.60864583333</v>
      </c>
      <c r="J91" s="7">
        <v>0</v>
      </c>
      <c r="K91" s="89" t="str">
        <f t="shared" si="29"/>
        <v>4063/4064</v>
      </c>
      <c r="L91" s="184" t="str">
        <f>VLOOKUP(A91,'Trips&amp;Operators'!$C$1:$G$99911,5,FALSE)</f>
        <v>DAVIS MICHAEL</v>
      </c>
      <c r="M91" s="6">
        <f t="shared" si="30"/>
        <v>2.700231481139781E-2</v>
      </c>
      <c r="N91" s="7">
        <f t="shared" si="31"/>
        <v>38.883333328412846</v>
      </c>
      <c r="O91" s="7"/>
      <c r="P91" s="7"/>
      <c r="Q91" s="22"/>
      <c r="R91" s="173"/>
      <c r="S91" s="220">
        <f t="shared" si="32"/>
        <v>1</v>
      </c>
      <c r="T91" s="173" t="str">
        <f t="shared" si="33"/>
        <v>Southbound</v>
      </c>
      <c r="U91" s="19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5" t="str">
        <f t="shared" si="34"/>
        <v>https://d0f6bd738d7f1b3e5a7ca70fe4ff75f0.us-east-1.aws.found.io/app/kibana#/discover/Steve-Slow-Train-Analysis-(2080s-and-2083s)?_g=(refreshInterval:(display:Off,pause:!f,section:0,value:0),time:(from:'2017-11-20T12:53:50-0700',mode:absolute,to:'2017-11-20T15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1" s="203" t="str">
        <f>IF(AA91&lt;VLOOKUP(AG91,Variables!$AC$3:$AD$8,2,FALSE),"Y","N")</f>
        <v>N</v>
      </c>
      <c r="X91" s="203">
        <f t="shared" si="35"/>
        <v>1</v>
      </c>
      <c r="Y91" s="203">
        <f t="shared" si="36"/>
        <v>23.296800000000001</v>
      </c>
      <c r="Z91" s="203">
        <f t="shared" si="37"/>
        <v>1.9199999999999998E-2</v>
      </c>
      <c r="AA91" s="203">
        <f t="shared" si="38"/>
        <v>23.2776</v>
      </c>
      <c r="AB91" s="54" t="e">
        <f>VLOOKUP(A91,Enforcements!$C$7:$K$9,8,0)</f>
        <v>#N/A</v>
      </c>
      <c r="AC91" s="51" t="e">
        <f>VLOOKUP(A91,Enforcements!$C$7:$E$9,3,0)</f>
        <v>#N/A</v>
      </c>
      <c r="AD91" s="178">
        <f t="shared" si="39"/>
        <v>176</v>
      </c>
      <c r="AE91" s="77" t="str">
        <f t="shared" si="40"/>
        <v>aws s3 cp s3://rtdc.mdm.uploadarchive.raw/RTDC4063/ "%USERPROFILE%\AppData\Local\Temp\OnboardLogs"\RTDC4063\2017-11-20 --exclude "*" --recursive --include "*20171120*" &amp; "%USERPROFILE%\Documents\GitHub\mrs-test-scripts\Headless Mode &amp; Sideloading\WalkAndUnGZ.bat" "%USERPROFILE%\AppData\Local\Temp\OnboardLogs"\RTDC4063\2017-11-20 &amp; aws s3 cp s3://rtdc.mdm.uploadarchive.raw/RTDC4063/ "%USERPROFILE%\AppData\Local\Temp\OnboardLogs"\RTDC4063\2017-11-21 --exclude "*" --recursive --include "*20171121*" &amp; "%USERPROFILE%\Documents\GitHub\mrs-test-scripts\Headless Mode &amp; Sideloading\WalkAndUnGZ.bat" "%USERPROFILE%\AppData\Local\Temp\OnboardLogs"\RTDC4063\2017-11-21</v>
      </c>
      <c r="AF91" s="74" t="str">
        <f t="shared" si="41"/>
        <v>"C:\Program Files (x86)\AstroGrep\AstroGrep.exe" /e /r /s /spath="%USERPROFILE%\AppData\Local\Temp\OnboardLogs" /stypes="app*4063*20171120*" /stext=" 21:.+((SYSTEM_STATE.+slice.+state.+changed )|(ment ac)|(multiple cpu faults)|(system.+state.+changed )|(\[timeout)|(PRM\|1\|D)|(kpr)|(kdp)|(train st.+moving)|(\|lc)|(penalty))"</v>
      </c>
      <c r="AG91" s="181" t="str">
        <f t="shared" si="42"/>
        <v>EC</v>
      </c>
      <c r="AH91" s="78" t="str">
        <f t="shared" si="43"/>
        <v>"%USERPROFILE%\Documents\GitHub\eaglep3\Utilities\RefineRTDCRunTimes.py" --tripid 176-20 --locoid 4063 --swversion DE.1.0.9.0 --startMP 204:232968 --initTime 2017-11-20T13:53:50 --startdatetime 2017-11-20T13:57:34 --delay 94 --endMP 204:192 --enddatetime 2017-11-20T14:36:27 --enforcementcount 0 &gt;&gt;%USERPROFILE%\Documents\GitHub\eaglep3-reporting\EC\2017-11-20-refined-times.txt</v>
      </c>
      <c r="AI91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{"issue":{"subject":"","project_id":79,"tracker_id":40,"status_id":1,"priority_id":2,"assigned_to_id":338,"start_date":"2017-11-20","description":"","custom_fields":[{"id":1,"name":"Subdivision","value":"EC"},{"id":4,"name":"Milepost","value":"0.0192"},{"id":17,"name":"Train ID","value":"176-20"},{"id":16,"name":"Locomotive ID","value":"4063"},{"id":130,"name":"Impact","value":""},{"id":150,"name":"Time of Event (Mountain Time)","value":"14:36:27"},{"id":151,"name":"Denver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1" t="str">
        <f t="shared" si="45"/>
        <v>start /low /b %USERPROFILE%\Documents\GitHub\eaglep3\Utilities\DownloadLogsFromS3.py --loco 4063 --day 2017-11-20</v>
      </c>
      <c r="AN91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21:36:27"},{"id":29,"name":"Sharepoint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7" t="str">
        <f t="shared" si="47"/>
        <v>https://d0f6bd738d7f1b3e5a7ca70fe4ff75f0.us-east-1.aws.found.io/app/kibana#/discover/Steve-Slow-Train-Analysis-(2080s-and-2083s)?_g=(refreshInterval:(display:Off,pause:!f,section:0,value:0),time:(from:'2017-11-20T12:53:50-0700',mode:absolute,to:'2017-11-20T15:36:27-0700'))&amp;_a=(columns:!('Message%20ID',Summary),filters:!(),index:'emp_*',interval:auto,query:(query_string:(analyze_wildcard:!t,query:'%22rtdc.l.rtdc.4063%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782</v>
      </c>
      <c r="B92" s="7">
        <v>4028</v>
      </c>
      <c r="C92" s="21" t="s">
        <v>192</v>
      </c>
      <c r="D92" s="21" t="s">
        <v>537</v>
      </c>
      <c r="E92" s="13">
        <v>43059.548159722224</v>
      </c>
      <c r="F92" s="13">
        <v>43059.552337962959</v>
      </c>
      <c r="G92" s="7">
        <v>58</v>
      </c>
      <c r="H92" s="21" t="s">
        <v>627</v>
      </c>
      <c r="I92" s="13">
        <v>43059.578344907408</v>
      </c>
      <c r="J92" s="7">
        <v>0</v>
      </c>
      <c r="K92" s="89" t="str">
        <f t="shared" si="29"/>
        <v>4027/4028</v>
      </c>
      <c r="L92" s="184" t="str">
        <f>VLOOKUP(A92,'Trips&amp;Operators'!$C$1:$G$99911,5,FALSE)</f>
        <v>STEWART MICHAEL</v>
      </c>
      <c r="M92" s="6">
        <f t="shared" si="30"/>
        <v>2.6006944448454306E-2</v>
      </c>
      <c r="N92" s="7">
        <f t="shared" si="31"/>
        <v>37.4500000057742</v>
      </c>
      <c r="O92" s="7"/>
      <c r="P92" s="7"/>
      <c r="Q92" s="22"/>
      <c r="R92" s="173"/>
      <c r="S92" s="220">
        <f t="shared" si="32"/>
        <v>1</v>
      </c>
      <c r="T92" s="173" t="str">
        <f t="shared" si="33"/>
        <v>NorthBound</v>
      </c>
      <c r="U92" s="19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5" t="str">
        <f t="shared" si="34"/>
        <v>https://d0f6bd738d7f1b3e5a7ca70fe4ff75f0.us-east-1.aws.found.io/app/kibana#/discover/Steve-Slow-Train-Analysis-(2080s-and-2083s)?_g=(refreshInterval:(display:Off,pause:!f,section:0,value:0),time:(from:'2017-11-20T12:09:21-0700',mode:absolute,to:'2017-11-20T14:52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2" s="203" t="str">
        <f>IF(AA92&lt;VLOOKUP(AG92,Variables!$AC$3:$AD$8,2,FALSE),"Y","N")</f>
        <v>N</v>
      </c>
      <c r="X92" s="203">
        <f t="shared" si="35"/>
        <v>1</v>
      </c>
      <c r="Y92" s="203">
        <f t="shared" si="36"/>
        <v>5.0799999999999998E-2</v>
      </c>
      <c r="Z92" s="203">
        <f t="shared" si="37"/>
        <v>23.326599999999999</v>
      </c>
      <c r="AA92" s="203">
        <f t="shared" si="38"/>
        <v>23.2758</v>
      </c>
      <c r="AB92" s="54" t="e">
        <f>VLOOKUP(A92,Enforcements!$C$7:$K$9,8,0)</f>
        <v>#N/A</v>
      </c>
      <c r="AC92" s="51" t="e">
        <f>VLOOKUP(A92,Enforcements!$C$7:$E$9,3,0)</f>
        <v>#N/A</v>
      </c>
      <c r="AD92" s="178">
        <f t="shared" si="39"/>
        <v>177</v>
      </c>
      <c r="AE92" s="77" t="str">
        <f t="shared" si="40"/>
        <v>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 &amp; aws s3 cp s3://rtdc.mdm.uploadarchive.raw/RTDC4028/ "%USERPROFILE%\AppData\Local\Temp\OnboardLogs"\RTDC4028\2017-11-21 --exclude "*" --recursive --include "*20171121*" &amp; "%USERPROFILE%\Documents\GitHub\mrs-test-scripts\Headless Mode &amp; Sideloading\WalkAndUnGZ.bat" "%USERPROFILE%\AppData\Local\Temp\OnboardLogs"\RTDC4028\2017-11-21</v>
      </c>
      <c r="AF92" s="74" t="str">
        <f t="shared" si="41"/>
        <v>"C:\Program Files (x86)\AstroGrep\AstroGrep.exe" /e /r /s /spath="%USERPROFILE%\AppData\Local\Temp\OnboardLogs" /stypes="app*4028*20171120*" /stext=" 20:.+((SYSTEM_STATE.+slice.+state.+changed )|(ment ac)|(multiple cpu faults)|(system.+state.+changed )|(\[timeout)|(PRM\|1\|D)|(kpr)|(kdp)|(train st.+moving)|(\|lc)|(penalty))"</v>
      </c>
      <c r="AG92" s="181" t="str">
        <f t="shared" si="42"/>
        <v>EC</v>
      </c>
      <c r="AH92" s="78" t="str">
        <f t="shared" si="43"/>
        <v>"%USERPROFILE%\Documents\GitHub\eaglep3\Utilities\RefineRTDCRunTimes.py" --tripid 177-20 --locoid 4028 --swversion DE.1.0.9.0 --startMP 204:508 --initTime 2017-11-20T13:09:21 --startdatetime 2017-11-20T13:15:22 --delay 58 --endMP 204:233266 --enddatetime 2017-11-20T13:52:49 --enforcementcount 0 &gt;&gt;%USERPROFILE%\Documents\GitHub\eaglep3-reporting\EC\2017-11-20-refined-times.txt</v>
      </c>
      <c r="AI92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{"issue":{"subject":"","project_id":79,"tracker_id":40,"status_id":1,"priority_id":2,"assigned_to_id":338,"start_date":"2017-11-20","description":"","custom_fields":[{"id":1,"name":"Subdivision","value":"EC"},{"id":4,"name":"Milepost","value":"23.3266"},{"id":17,"name":"Train ID","value":"177-20"},{"id":16,"name":"Locomotive ID","value":"4028"},{"id":130,"name":"Impact","value":""},{"id":150,"name":"Time of Event (Mountain Time)","value":"13:52:49"},{"id":151,"name":"Denver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1" t="str">
        <f t="shared" si="45"/>
        <v>start /low /b %USERPROFILE%\Documents\GitHub\eaglep3\Utilities\DownloadLogsFromS3.py --loco 4028 --day 2017-11-20</v>
      </c>
      <c r="AN92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20:52:49"},{"id":29,"name":"Sharepoint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7" t="str">
        <f t="shared" si="47"/>
        <v>https://d0f6bd738d7f1b3e5a7ca70fe4ff75f0.us-east-1.aws.found.io/app/kibana#/discover/Steve-Slow-Train-Analysis-(2080s-and-2083s)?_g=(refreshInterval:(display:Off,pause:!f,section:0,value:0),time:(from:'2017-11-20T12:09:21-0700',mode:absolute,to:'2017-11-20T14:52:49-0700'))&amp;_a=(columns:!('Message%20ID',Summary),filters:!(),index:'emp_*',interval:auto,query:(query_string:(analyze_wildcard:!t,query:'%22rtdc.l.rtdc.4028%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789</v>
      </c>
      <c r="B93" s="7">
        <v>4027</v>
      </c>
      <c r="C93" s="21" t="s">
        <v>192</v>
      </c>
      <c r="D93" s="21" t="s">
        <v>890</v>
      </c>
      <c r="E93" s="13">
        <v>43059.589155092595</v>
      </c>
      <c r="F93" s="13">
        <v>43059.591886574075</v>
      </c>
      <c r="G93" s="7">
        <v>57</v>
      </c>
      <c r="H93" s="21" t="s">
        <v>534</v>
      </c>
      <c r="I93" s="13">
        <v>43059.617847222224</v>
      </c>
      <c r="J93" s="7">
        <v>0</v>
      </c>
      <c r="K93" s="89" t="str">
        <f t="shared" si="29"/>
        <v>4027/4028</v>
      </c>
      <c r="L93" s="184" t="str">
        <f>VLOOKUP(A93,'Trips&amp;Operators'!$C$1:$G$99911,5,FALSE)</f>
        <v>STEWART MICHAEL</v>
      </c>
      <c r="M93" s="6">
        <f t="shared" si="30"/>
        <v>2.5960648148611654E-2</v>
      </c>
      <c r="N93" s="7">
        <f t="shared" si="31"/>
        <v>37.383333334000781</v>
      </c>
      <c r="O93" s="7"/>
      <c r="P93" s="7"/>
      <c r="Q93" s="22"/>
      <c r="R93" s="173"/>
      <c r="S93" s="220">
        <f t="shared" si="32"/>
        <v>1</v>
      </c>
      <c r="T93" s="173" t="str">
        <f t="shared" si="33"/>
        <v>Southbound</v>
      </c>
      <c r="U93" s="19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5" t="str">
        <f t="shared" si="34"/>
        <v>https://d0f6bd738d7f1b3e5a7ca70fe4ff75f0.us-east-1.aws.found.io/app/kibana#/discover/Steve-Slow-Train-Analysis-(2080s-and-2083s)?_g=(refreshInterval:(display:Off,pause:!f,section:0,value:0),time:(from:'2017-11-20T13:08:23-0700',mode:absolute,to:'2017-11-20T15:49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3" s="203" t="str">
        <f>IF(AA93&lt;VLOOKUP(AG93,Variables!$AC$3:$AD$8,2,FALSE),"Y","N")</f>
        <v>N</v>
      </c>
      <c r="X93" s="203">
        <f t="shared" si="35"/>
        <v>1</v>
      </c>
      <c r="Y93" s="203">
        <f t="shared" si="36"/>
        <v>23.294799999999999</v>
      </c>
      <c r="Z93" s="203">
        <f t="shared" si="37"/>
        <v>2.3400000000000001E-2</v>
      </c>
      <c r="AA93" s="203">
        <f t="shared" si="38"/>
        <v>23.2714</v>
      </c>
      <c r="AB93" s="54" t="e">
        <f>VLOOKUP(A93,Enforcements!$C$7:$K$9,8,0)</f>
        <v>#N/A</v>
      </c>
      <c r="AC93" s="51" t="e">
        <f>VLOOKUP(A93,Enforcements!$C$7:$E$9,3,0)</f>
        <v>#N/A</v>
      </c>
      <c r="AD93" s="178">
        <f t="shared" si="39"/>
        <v>178</v>
      </c>
      <c r="AE93" s="77" t="str">
        <f t="shared" si="40"/>
        <v>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 &amp; aws s3 cp s3://rtdc.mdm.uploadarchive.raw/RTDC4027/ "%USERPROFILE%\AppData\Local\Temp\OnboardLogs"\RTDC4027\2017-11-21 --exclude "*" --recursive --include "*20171121*" &amp; "%USERPROFILE%\Documents\GitHub\mrs-test-scripts\Headless Mode &amp; Sideloading\WalkAndUnGZ.bat" "%USERPROFILE%\AppData\Local\Temp\OnboardLogs"\RTDC4027\2017-11-21</v>
      </c>
      <c r="AF93" s="74" t="str">
        <f t="shared" si="41"/>
        <v>"C:\Program Files (x86)\AstroGrep\AstroGrep.exe" /e /r /s /spath="%USERPROFILE%\AppData\Local\Temp\OnboardLogs" /stypes="app*4027*20171120*" /stext=" 21:.+((SYSTEM_STATE.+slice.+state.+changed )|(ment ac)|(multiple cpu faults)|(system.+state.+changed )|(\[timeout)|(PRM\|1\|D)|(kpr)|(kdp)|(train st.+moving)|(\|lc)|(penalty))"</v>
      </c>
      <c r="AG93" s="181" t="str">
        <f t="shared" si="42"/>
        <v>EC</v>
      </c>
      <c r="AH93" s="78" t="str">
        <f t="shared" si="43"/>
        <v>"%USERPROFILE%\Documents\GitHub\eaglep3\Utilities\RefineRTDCRunTimes.py" --tripid 178-20 --locoid 4027 --swversion DE.1.0.9.0 --startMP 204:232948 --initTime 2017-11-20T14:08:23 --startdatetime 2017-11-20T14:12:19 --delay 57 --endMP 204:234 --enddatetime 2017-11-20T14:49:42 --enforcementcount 0 &gt;&gt;%USERPROFILE%\Documents\GitHub\eaglep3-reporting\EC\2017-11-20-refined-times.txt</v>
      </c>
      <c r="AI93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{"issue":{"subject":"","project_id":79,"tracker_id":40,"status_id":1,"priority_id":2,"assigned_to_id":338,"start_date":"2017-11-20","description":"","custom_fields":[{"id":1,"name":"Subdivision","value":"EC"},{"id":4,"name":"Milepost","value":"0.0234"},{"id":17,"name":"Train ID","value":"178-20"},{"id":16,"name":"Locomotive ID","value":"4027"},{"id":130,"name":"Impact","value":""},{"id":150,"name":"Time of Event (Mountain Time)","value":"14:49:42"},{"id":151,"name":"Denver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1" t="str">
        <f t="shared" si="45"/>
        <v>start /low /b %USERPROFILE%\Documents\GitHub\eaglep3\Utilities\DownloadLogsFromS3.py --loco 4027 --day 2017-11-20</v>
      </c>
      <c r="AN93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21:49:42"},{"id":29,"name":"Sharepoint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7" t="str">
        <f t="shared" si="47"/>
        <v>https://d0f6bd738d7f1b3e5a7ca70fe4ff75f0.us-east-1.aws.found.io/app/kibana#/discover/Steve-Slow-Train-Analysis-(2080s-and-2083s)?_g=(refreshInterval:(display:Off,pause:!f,section:0,value:0),time:(from:'2017-11-20T13:08:23-0700',mode:absolute,to:'2017-11-20T15:49:42-0700'))&amp;_a=(columns:!('Message%20ID',Summary),filters:!(),index:'emp_*',interval:auto,query:(query_string:(analyze_wildcard:!t,query:'%22rtdc.l.rtdc.4027%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783</v>
      </c>
      <c r="B94" s="7">
        <v>4060</v>
      </c>
      <c r="C94" s="21" t="s">
        <v>192</v>
      </c>
      <c r="D94" s="21" t="s">
        <v>451</v>
      </c>
      <c r="E94" s="13">
        <v>43059.557789351849</v>
      </c>
      <c r="F94" s="13">
        <v>43059.56287037037</v>
      </c>
      <c r="G94" s="7">
        <v>64</v>
      </c>
      <c r="H94" s="21" t="s">
        <v>950</v>
      </c>
      <c r="I94" s="13">
        <v>43059.587118055555</v>
      </c>
      <c r="J94" s="7">
        <v>0</v>
      </c>
      <c r="K94" s="89" t="str">
        <f t="shared" si="29"/>
        <v>4059/4060</v>
      </c>
      <c r="L94" s="184" t="str">
        <f>VLOOKUP(A94,'Trips&amp;Operators'!$C$1:$G$99911,5,FALSE)</f>
        <v>AUSTIN THOMPSON</v>
      </c>
      <c r="M94" s="6">
        <f t="shared" si="30"/>
        <v>2.4247685185400769E-2</v>
      </c>
      <c r="N94" s="7">
        <f t="shared" si="31"/>
        <v>34.916666666977108</v>
      </c>
      <c r="O94" s="7"/>
      <c r="P94" s="7"/>
      <c r="Q94" s="22"/>
      <c r="R94" s="173"/>
      <c r="S94" s="220">
        <f t="shared" si="32"/>
        <v>1</v>
      </c>
      <c r="T94" s="173" t="str">
        <f t="shared" si="33"/>
        <v>NorthBound</v>
      </c>
      <c r="U94" s="19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5" t="str">
        <f t="shared" si="34"/>
        <v>https://d0f6bd738d7f1b3e5a7ca70fe4ff75f0.us-east-1.aws.found.io/app/kibana#/discover/Steve-Slow-Train-Analysis-(2080s-and-2083s)?_g=(refreshInterval:(display:Off,pause:!f,section:0,value:0),time:(from:'2017-11-20T12:23:13-0700',mode:absolute,to:'2017-11-20T15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4" s="203" t="str">
        <f>IF(AA94&lt;VLOOKUP(AG94,Variables!$AC$3:$AD$8,2,FALSE),"Y","N")</f>
        <v>N</v>
      </c>
      <c r="X94" s="203">
        <f t="shared" si="35"/>
        <v>1</v>
      </c>
      <c r="Y94" s="203">
        <f t="shared" si="36"/>
        <v>5.28E-2</v>
      </c>
      <c r="Z94" s="203">
        <f t="shared" si="37"/>
        <v>23.327400000000001</v>
      </c>
      <c r="AA94" s="203">
        <f t="shared" si="38"/>
        <v>23.2746</v>
      </c>
      <c r="AB94" s="54" t="e">
        <f>VLOOKUP(A94,Enforcements!$C$7:$K$9,8,0)</f>
        <v>#N/A</v>
      </c>
      <c r="AC94" s="51" t="e">
        <f>VLOOKUP(A94,Enforcements!$C$7:$E$9,3,0)</f>
        <v>#N/A</v>
      </c>
      <c r="AD94" s="178">
        <f t="shared" si="39"/>
        <v>179</v>
      </c>
      <c r="AE94" s="77" t="str">
        <f t="shared" si="40"/>
        <v>aws s3 cp s3://rtdc.mdm.uploadarchive.raw/RTDC4060/ "%USERPROFILE%\AppData\Local\Temp\OnboardLogs"\RTDC4060\2017-11-20 --exclude "*" --recursive --include "*20171120*" &amp; "%USERPROFILE%\Documents\GitHub\mrs-test-scripts\Headless Mode &amp; Sideloading\WalkAndUnGZ.bat" "%USERPROFILE%\AppData\Local\Temp\OnboardLogs"\RTDC4060\2017-11-20 &amp; aws s3 cp s3://rtdc.mdm.uploadarchive.raw/RTDC4060/ "%USERPROFILE%\AppData\Local\Temp\OnboardLogs"\RTDC4060\2017-11-21 --exclude "*" --recursive --include "*20171121*" &amp; "%USERPROFILE%\Documents\GitHub\mrs-test-scripts\Headless Mode &amp; Sideloading\WalkAndUnGZ.bat" "%USERPROFILE%\AppData\Local\Temp\OnboardLogs"\RTDC4060\2017-11-21</v>
      </c>
      <c r="AF94" s="74" t="str">
        <f t="shared" si="41"/>
        <v>"C:\Program Files (x86)\AstroGrep\AstroGrep.exe" /e /r /s /spath="%USERPROFILE%\AppData\Local\Temp\OnboardLogs" /stypes="app*4060*20171120*" /stext=" 21:.+((SYSTEM_STATE.+slice.+state.+changed )|(ment ac)|(multiple cpu faults)|(system.+state.+changed )|(\[timeout)|(PRM\|1\|D)|(kpr)|(kdp)|(train st.+moving)|(\|lc)|(penalty))"</v>
      </c>
      <c r="AG94" s="181" t="str">
        <f t="shared" si="42"/>
        <v>EC</v>
      </c>
      <c r="AH94" s="78" t="str">
        <f t="shared" si="43"/>
        <v>"%USERPROFILE%\Documents\GitHub\eaglep3\Utilities\RefineRTDCRunTimes.py" --tripid 179-20 --locoid 4060 --swversion DE.1.0.9.0 --startMP 204:528 --initTime 2017-11-20T13:23:13 --startdatetime 2017-11-20T13:30:32 --delay 64 --endMP 204:233274 --enddatetime 2017-11-20T14:05:27 --enforcementcount 0 &gt;&gt;%USERPROFILE%\Documents\GitHub\eaglep3-reporting\EC\2017-11-20-refined-times.txt</v>
      </c>
      <c r="AI94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{"issue":{"subject":"","project_id":79,"tracker_id":40,"status_id":1,"priority_id":2,"assigned_to_id":338,"start_date":"2017-11-20","description":"","custom_fields":[{"id":1,"name":"Subdivision","value":"EC"},{"id":4,"name":"Milepost","value":"23.3274"},{"id":17,"name":"Train ID","value":"179-20"},{"id":16,"name":"Locomotive ID","value":"4060"},{"id":130,"name":"Impact","value":""},{"id":150,"name":"Time of Event (Mountain Time)","value":"14:05:27"},{"id":151,"name":"Denver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1" t="str">
        <f t="shared" si="45"/>
        <v>start /low /b %USERPROFILE%\Documents\GitHub\eaglep3\Utilities\DownloadLogsFromS3.py --loco 4060 --day 2017-11-20</v>
      </c>
      <c r="AN94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21:05:27"},{"id":29,"name":"Sharepoint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7" t="str">
        <f t="shared" si="47"/>
        <v>https://d0f6bd738d7f1b3e5a7ca70fe4ff75f0.us-east-1.aws.found.io/app/kibana#/discover/Steve-Slow-Train-Analysis-(2080s-and-2083s)?_g=(refreshInterval:(display:Off,pause:!f,section:0,value:0),time:(from:'2017-11-20T12:23:13-0700',mode:absolute,to:'2017-11-20T15:05:27-0700'))&amp;_a=(columns:!('Message%20ID',Summary),filters:!(),index:'emp_*',interval:auto,query:(query_string:(analyze_wildcard:!t,query:'%22rtdc.l.rtdc.4060%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792</v>
      </c>
      <c r="B95" s="7">
        <v>4059</v>
      </c>
      <c r="C95" s="21" t="s">
        <v>192</v>
      </c>
      <c r="D95" s="21" t="s">
        <v>951</v>
      </c>
      <c r="E95" s="13">
        <v>43059.598946759259</v>
      </c>
      <c r="F95" s="13">
        <v>43059.602268518516</v>
      </c>
      <c r="G95" s="7">
        <v>63</v>
      </c>
      <c r="H95" s="21" t="s">
        <v>527</v>
      </c>
      <c r="I95" s="13">
        <v>43059.628761574073</v>
      </c>
      <c r="J95" s="7">
        <v>0</v>
      </c>
      <c r="K95" s="89" t="str">
        <f t="shared" si="29"/>
        <v>4059/4060</v>
      </c>
      <c r="L95" s="184" t="str">
        <f>VLOOKUP(A95,'Trips&amp;Operators'!$C$1:$G$99911,5,FALSE)</f>
        <v>AUSTIN THOMPSON</v>
      </c>
      <c r="M95" s="6">
        <f t="shared" si="30"/>
        <v>2.6493055556784384E-2</v>
      </c>
      <c r="N95" s="7">
        <f t="shared" si="31"/>
        <v>38.150000001769513</v>
      </c>
      <c r="O95" s="7"/>
      <c r="P95" s="7"/>
      <c r="Q95" s="22"/>
      <c r="R95" s="173"/>
      <c r="S95" s="220">
        <f t="shared" si="32"/>
        <v>1</v>
      </c>
      <c r="T95" s="173" t="str">
        <f t="shared" si="33"/>
        <v>Southbound</v>
      </c>
      <c r="U95" s="19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5" t="str">
        <f t="shared" si="34"/>
        <v>https://d0f6bd738d7f1b3e5a7ca70fe4ff75f0.us-east-1.aws.found.io/app/kibana#/discover/Steve-Slow-Train-Analysis-(2080s-and-2083s)?_g=(refreshInterval:(display:Off,pause:!f,section:0,value:0),time:(from:'2017-11-20T13:22:29-0700',mode:absolute,to:'2017-11-20T16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5" s="203" t="str">
        <f>IF(AA95&lt;VLOOKUP(AG95,Variables!$AC$3:$AD$8,2,FALSE),"Y","N")</f>
        <v>N</v>
      </c>
      <c r="X95" s="203">
        <f t="shared" si="35"/>
        <v>1</v>
      </c>
      <c r="Y95" s="203">
        <f t="shared" si="36"/>
        <v>23.294499999999999</v>
      </c>
      <c r="Z95" s="203">
        <f t="shared" si="37"/>
        <v>2.1399999999999999E-2</v>
      </c>
      <c r="AA95" s="203">
        <f t="shared" si="38"/>
        <v>23.273099999999999</v>
      </c>
      <c r="AB95" s="54" t="e">
        <f>VLOOKUP(A95,Enforcements!$C$7:$K$9,8,0)</f>
        <v>#N/A</v>
      </c>
      <c r="AC95" s="51" t="e">
        <f>VLOOKUP(A95,Enforcements!$C$7:$E$9,3,0)</f>
        <v>#N/A</v>
      </c>
      <c r="AD95" s="178">
        <f t="shared" si="39"/>
        <v>180</v>
      </c>
      <c r="AE95" s="77" t="str">
        <f t="shared" si="40"/>
        <v>aws s3 cp s3://rtdc.mdm.uploadarchive.raw/RTDC4059/ "%USERPROFILE%\AppData\Local\Temp\OnboardLogs"\RTDC4059\2017-11-20 --exclude "*" --recursive --include "*20171120*" &amp; "%USERPROFILE%\Documents\GitHub\mrs-test-scripts\Headless Mode &amp; Sideloading\WalkAndUnGZ.bat" "%USERPROFILE%\AppData\Local\Temp\OnboardLogs"\RTDC4059\2017-11-20 &amp; aws s3 cp s3://rtdc.mdm.uploadarchive.raw/RTDC4059/ "%USERPROFILE%\AppData\Local\Temp\OnboardLogs"\RTDC4059\2017-11-21 --exclude "*" --recursive --include "*20171121*" &amp; "%USERPROFILE%\Documents\GitHub\mrs-test-scripts\Headless Mode &amp; Sideloading\WalkAndUnGZ.bat" "%USERPROFILE%\AppData\Local\Temp\OnboardLogs"\RTDC4059\2017-11-21</v>
      </c>
      <c r="AF95" s="74" t="str">
        <f t="shared" si="41"/>
        <v>"C:\Program Files (x86)\AstroGrep\AstroGrep.exe" /e /r /s /spath="%USERPROFILE%\AppData\Local\Temp\OnboardLogs" /stypes="app*4059*20171120*" /stext=" 22:.+((SYSTEM_STATE.+slice.+state.+changed )|(ment ac)|(multiple cpu faults)|(system.+state.+changed )|(\[timeout)|(PRM\|1\|D)|(kpr)|(kdp)|(train st.+moving)|(\|lc)|(penalty))"</v>
      </c>
      <c r="AG95" s="181" t="str">
        <f t="shared" si="42"/>
        <v>EC</v>
      </c>
      <c r="AH95" s="78" t="str">
        <f t="shared" si="43"/>
        <v>"%USERPROFILE%\Documents\GitHub\eaglep3\Utilities\RefineRTDCRunTimes.py" --tripid 180-20 --locoid 4059 --swversion DE.1.0.9.0 --startMP 204:232945 --initTime 2017-11-20T14:22:29 --startdatetime 2017-11-20T14:27:16 --delay 63 --endMP 204:214 --enddatetime 2017-11-20T15:05:25 --enforcementcount 0 &gt;&gt;%USERPROFILE%\Documents\GitHub\eaglep3-reporting\EC\2017-11-20-refined-times.txt</v>
      </c>
      <c r="AI95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{"issue":{"subject":"","project_id":79,"tracker_id":40,"status_id":1,"priority_id":2,"assigned_to_id":338,"start_date":"2017-11-20","description":"","custom_fields":[{"id":1,"name":"Subdivision","value":"EC"},{"id":4,"name":"Milepost","value":"0.0214"},{"id":17,"name":"Train ID","value":"180-20"},{"id":16,"name":"Locomotive ID","value":"4059"},{"id":130,"name":"Impact","value":""},{"id":150,"name":"Time of Event (Mountain Time)","value":"15:05:25"},{"id":151,"name":"Denver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1" t="str">
        <f t="shared" si="45"/>
        <v>start /low /b %USERPROFILE%\Documents\GitHub\eaglep3\Utilities\DownloadLogsFromS3.py --loco 4059 --day 2017-11-20</v>
      </c>
      <c r="AN95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22:05:25"},{"id":29,"name":"Sharepoint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7" t="str">
        <f t="shared" si="47"/>
        <v>https://d0f6bd738d7f1b3e5a7ca70fe4ff75f0.us-east-1.aws.found.io/app/kibana#/discover/Steve-Slow-Train-Analysis-(2080s-and-2083s)?_g=(refreshInterval:(display:Off,pause:!f,section:0,value:0),time:(from:'2017-11-20T13:22:29-0700',mode:absolute,to:'2017-11-20T16:05:25-0700'))&amp;_a=(columns:!('Message%20ID',Summary),filters:!(),index:'emp_*',interval:auto,query:(query_string:(analyze_wildcard:!t,query:'%22rtdc.l.rtdc.4059%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785</v>
      </c>
      <c r="B96" s="7">
        <v>4026</v>
      </c>
      <c r="C96" s="21" t="s">
        <v>192</v>
      </c>
      <c r="D96" s="21" t="s">
        <v>952</v>
      </c>
      <c r="E96" s="13">
        <v>43059.567777777775</v>
      </c>
      <c r="F96" s="13">
        <v>43059.573078703703</v>
      </c>
      <c r="G96" s="7">
        <v>88</v>
      </c>
      <c r="H96" s="21" t="s">
        <v>627</v>
      </c>
      <c r="I96" s="13">
        <v>43059.59814814815</v>
      </c>
      <c r="J96" s="7">
        <v>0</v>
      </c>
      <c r="K96" s="89" t="str">
        <f t="shared" si="29"/>
        <v>4025/4026</v>
      </c>
      <c r="L96" s="184" t="str">
        <f>VLOOKUP(A96,'Trips&amp;Operators'!$C$1:$G$99911,5,FALSE)</f>
        <v>ANDREA WILLIAMS</v>
      </c>
      <c r="M96" s="6">
        <f t="shared" si="30"/>
        <v>2.5069444447581191E-2</v>
      </c>
      <c r="N96" s="7">
        <f t="shared" si="31"/>
        <v>36.100000004516914</v>
      </c>
      <c r="O96" s="7"/>
      <c r="P96" s="7"/>
      <c r="Q96" s="22"/>
      <c r="R96" s="173"/>
      <c r="S96" s="220">
        <f t="shared" si="32"/>
        <v>1</v>
      </c>
      <c r="T96" s="173" t="str">
        <f t="shared" si="33"/>
        <v>NorthBound</v>
      </c>
      <c r="U96" s="19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5" t="str">
        <f t="shared" si="34"/>
        <v>https://d0f6bd738d7f1b3e5a7ca70fe4ff75f0.us-east-1.aws.found.io/app/kibana#/discover/Steve-Slow-Train-Analysis-(2080s-and-2083s)?_g=(refreshInterval:(display:Off,pause:!f,section:0,value:0),time:(from:'2017-11-20T12:37:36-0700',mode:absolute,to:'2017-11-20T15:21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6" s="203" t="str">
        <f>IF(AA96&lt;VLOOKUP(AG96,Variables!$AC$3:$AD$8,2,FALSE),"Y","N")</f>
        <v>N</v>
      </c>
      <c r="X96" s="203">
        <f t="shared" si="35"/>
        <v>1</v>
      </c>
      <c r="Y96" s="203">
        <f t="shared" si="36"/>
        <v>5.8200000000000002E-2</v>
      </c>
      <c r="Z96" s="203">
        <f t="shared" si="37"/>
        <v>23.326599999999999</v>
      </c>
      <c r="AA96" s="203">
        <f t="shared" si="38"/>
        <v>23.2684</v>
      </c>
      <c r="AB96" s="54" t="e">
        <f>VLOOKUP(A96,Enforcements!$C$7:$K$9,8,0)</f>
        <v>#N/A</v>
      </c>
      <c r="AC96" s="51" t="e">
        <f>VLOOKUP(A96,Enforcements!$C$7:$E$9,3,0)</f>
        <v>#N/A</v>
      </c>
      <c r="AD96" s="178">
        <f t="shared" si="39"/>
        <v>181</v>
      </c>
      <c r="AE96" s="77" t="str">
        <f t="shared" si="40"/>
        <v>aws s3 cp s3://rtdc.mdm.uploadarchive.raw/RTDC4026/ "%USERPROFILE%\AppData\Local\Temp\OnboardLogs"\RTDC4026\2017-11-20 --exclude "*" --recursive --include "*20171120*" &amp; "%USERPROFILE%\Documents\GitHub\mrs-test-scripts\Headless Mode &amp; Sideloading\WalkAndUnGZ.bat" "%USERPROFILE%\AppData\Local\Temp\OnboardLogs"\RTDC4026\2017-11-20 &amp; aws s3 cp s3://rtdc.mdm.uploadarchive.raw/RTDC4026/ "%USERPROFILE%\AppData\Local\Temp\OnboardLogs"\RTDC4026\2017-11-21 --exclude "*" --recursive --include "*20171121*" &amp; "%USERPROFILE%\Documents\GitHub\mrs-test-scripts\Headless Mode &amp; Sideloading\WalkAndUnGZ.bat" "%USERPROFILE%\AppData\Local\Temp\OnboardLogs"\RTDC4026\2017-11-21</v>
      </c>
      <c r="AF96" s="74" t="str">
        <f t="shared" si="41"/>
        <v>"C:\Program Files (x86)\AstroGrep\AstroGrep.exe" /e /r /s /spath="%USERPROFILE%\AppData\Local\Temp\OnboardLogs" /stypes="app*4026*20171120*" /stext=" 21:.+((SYSTEM_STATE.+slice.+state.+changed )|(ment ac)|(multiple cpu faults)|(system.+state.+changed )|(\[timeout)|(PRM\|1\|D)|(kpr)|(kdp)|(train st.+moving)|(\|lc)|(penalty))"</v>
      </c>
      <c r="AG96" s="181" t="str">
        <f t="shared" si="42"/>
        <v>EC</v>
      </c>
      <c r="AH96" s="78" t="str">
        <f t="shared" si="43"/>
        <v>"%USERPROFILE%\Documents\GitHub\eaglep3\Utilities\RefineRTDCRunTimes.py" --tripid 181-20 --locoid 4026 --swversion DE.1.0.9.0 --startMP 204:582 --initTime 2017-11-20T13:37:36 --startdatetime 2017-11-20T13:45:14 --delay 88 --endMP 204:233266 --enddatetime 2017-11-20T14:21:20 --enforcementcount 0 &gt;&gt;%USERPROFILE%\Documents\GitHub\eaglep3-reporting\EC\2017-11-20-refined-times.txt</v>
      </c>
      <c r="AI96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{"issue":{"subject":"","project_id":79,"tracker_id":40,"status_id":1,"priority_id":2,"assigned_to_id":338,"start_date":"2017-11-20","description":"","custom_fields":[{"id":1,"name":"Subdivision","value":"EC"},{"id":4,"name":"Milepost","value":"23.3266"},{"id":17,"name":"Train ID","value":"181-20"},{"id":16,"name":"Locomotive ID","value":"4026"},{"id":130,"name":"Impact","value":""},{"id":150,"name":"Time of Event (Mountain Time)","value":"14:21:20"},{"id":151,"name":"Denver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1" t="str">
        <f t="shared" si="45"/>
        <v>start /low /b %USERPROFILE%\Documents\GitHub\eaglep3\Utilities\DownloadLogsFromS3.py --loco 4026 --day 2017-11-20</v>
      </c>
      <c r="AN96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21:21:20"},{"id":29,"name":"Sharepoint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7" t="str">
        <f t="shared" si="47"/>
        <v>https://d0f6bd738d7f1b3e5a7ca70fe4ff75f0.us-east-1.aws.found.io/app/kibana#/discover/Steve-Slow-Train-Analysis-(2080s-and-2083s)?_g=(refreshInterval:(display:Off,pause:!f,section:0,value:0),time:(from:'2017-11-20T12:37:36-0700',mode:absolute,to:'2017-11-20T15:21:20-0700'))&amp;_a=(columns:!('Message%20ID',Summary),filters:!(),index:'emp_*',interval:auto,query:(query_string:(analyze_wildcard:!t,query:'%22rtdc.l.rtdc.4026%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793</v>
      </c>
      <c r="B97" s="7">
        <v>4025</v>
      </c>
      <c r="C97" s="21" t="s">
        <v>192</v>
      </c>
      <c r="D97" s="21" t="s">
        <v>492</v>
      </c>
      <c r="E97" s="13">
        <v>43059.599490740744</v>
      </c>
      <c r="F97" s="13">
        <v>43059.612685185188</v>
      </c>
      <c r="G97" s="7">
        <v>69</v>
      </c>
      <c r="H97" s="21" t="s">
        <v>501</v>
      </c>
      <c r="I97" s="13">
        <v>43059.638541666667</v>
      </c>
      <c r="J97" s="7">
        <v>0</v>
      </c>
      <c r="K97" s="89" t="str">
        <f t="shared" si="29"/>
        <v>4025/4026</v>
      </c>
      <c r="L97" s="184" t="str">
        <f>VLOOKUP(A97,'Trips&amp;Operators'!$C$1:$G$99911,5,FALSE)</f>
        <v>ANDREA WILLIAMS</v>
      </c>
      <c r="M97" s="6">
        <f t="shared" si="30"/>
        <v>2.5856481479422655E-2</v>
      </c>
      <c r="N97" s="7">
        <f t="shared" si="31"/>
        <v>37.233333330368623</v>
      </c>
      <c r="O97" s="7"/>
      <c r="P97" s="7"/>
      <c r="Q97" s="22"/>
      <c r="R97" s="173"/>
      <c r="S97" s="220">
        <f t="shared" si="32"/>
        <v>1</v>
      </c>
      <c r="T97" s="173" t="str">
        <f t="shared" si="33"/>
        <v>Southbound</v>
      </c>
      <c r="U97" s="19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5" t="str">
        <f t="shared" si="34"/>
        <v>https://d0f6bd738d7f1b3e5a7ca70fe4ff75f0.us-east-1.aws.found.io/app/kibana#/discover/Steve-Slow-Train-Analysis-(2080s-and-2083s)?_g=(refreshInterval:(display:Off,pause:!f,section:0,value:0),time:(from:'2017-11-20T13:23:16-0700',mode:absolute,to:'2017-11-20T16:19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7" s="203" t="str">
        <f>IF(AA97&lt;VLOOKUP(AG97,Variables!$AC$3:$AD$8,2,FALSE),"Y","N")</f>
        <v>N</v>
      </c>
      <c r="X97" s="203">
        <f t="shared" si="35"/>
        <v>1</v>
      </c>
      <c r="Y97" s="203">
        <f t="shared" si="36"/>
        <v>23.2944</v>
      </c>
      <c r="Z97" s="203">
        <f t="shared" si="37"/>
        <v>2.12E-2</v>
      </c>
      <c r="AA97" s="203">
        <f t="shared" si="38"/>
        <v>23.273199999999999</v>
      </c>
      <c r="AB97" s="54" t="e">
        <f>VLOOKUP(A97,Enforcements!$C$7:$K$9,8,0)</f>
        <v>#N/A</v>
      </c>
      <c r="AC97" s="51" t="e">
        <f>VLOOKUP(A97,Enforcements!$C$7:$E$9,3,0)</f>
        <v>#N/A</v>
      </c>
      <c r="AD97" s="178">
        <f t="shared" si="39"/>
        <v>182</v>
      </c>
      <c r="AE97" s="77" t="str">
        <f t="shared" si="40"/>
        <v>aws s3 cp s3://rtdc.mdm.uploadarchive.raw/RTDC4025/ "%USERPROFILE%\AppData\Local\Temp\OnboardLogs"\RTDC4025\2017-11-20 --exclude "*" --recursive --include "*20171120*" &amp; "%USERPROFILE%\Documents\GitHub\mrs-test-scripts\Headless Mode &amp; Sideloading\WalkAndUnGZ.bat" "%USERPROFILE%\AppData\Local\Temp\OnboardLogs"\RTDC4025\2017-11-20 &amp; aws s3 cp s3://rtdc.mdm.uploadarchive.raw/RTDC4025/ "%USERPROFILE%\AppData\Local\Temp\OnboardLogs"\RTDC4025\2017-11-21 --exclude "*" --recursive --include "*20171121*" &amp; "%USERPROFILE%\Documents\GitHub\mrs-test-scripts\Headless Mode &amp; Sideloading\WalkAndUnGZ.bat" "%USERPROFILE%\AppData\Local\Temp\OnboardLogs"\RTDC4025\2017-11-21</v>
      </c>
      <c r="AF97" s="74" t="str">
        <f t="shared" si="41"/>
        <v>"C:\Program Files (x86)\AstroGrep\AstroGrep.exe" /e /r /s /spath="%USERPROFILE%\AppData\Local\Temp\OnboardLogs" /stypes="app*4025*20171120*" /stext=" 22:.+((SYSTEM_STATE.+slice.+state.+changed )|(ment ac)|(multiple cpu faults)|(system.+state.+changed )|(\[timeout)|(PRM\|1\|D)|(kpr)|(kdp)|(train st.+moving)|(\|lc)|(penalty))"</v>
      </c>
      <c r="AG97" s="181" t="str">
        <f t="shared" si="42"/>
        <v>EC</v>
      </c>
      <c r="AH97" s="78" t="str">
        <f t="shared" si="43"/>
        <v>"%USERPROFILE%\Documents\GitHub\eaglep3\Utilities\RefineRTDCRunTimes.py" --tripid 182-20 --locoid 4025 --swversion DE.1.0.9.0 --startMP 204:232944 --initTime 2017-11-20T14:23:16 --startdatetime 2017-11-20T14:42:16 --delay 69 --endMP 204:212 --enddatetime 2017-11-20T15:19:30 --enforcementcount 0 &gt;&gt;%USERPROFILE%\Documents\GitHub\eaglep3-reporting\EC\2017-11-20-refined-times.txt</v>
      </c>
      <c r="AI97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{"issue":{"subject":"","project_id":79,"tracker_id":40,"status_id":1,"priority_id":2,"assigned_to_id":338,"start_date":"2017-11-20","description":"","custom_fields":[{"id":1,"name":"Subdivision","value":"EC"},{"id":4,"name":"Milepost","value":"0.0212"},{"id":17,"name":"Train ID","value":"182-20"},{"id":16,"name":"Locomotive ID","value":"4025"},{"id":130,"name":"Impact","value":""},{"id":150,"name":"Time of Event (Mountain Time)","value":"15:19:30"},{"id":151,"name":"Denver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1" t="str">
        <f t="shared" si="45"/>
        <v>start /low /b %USERPROFILE%\Documents\GitHub\eaglep3\Utilities\DownloadLogsFromS3.py --loco 4025 --day 2017-11-20</v>
      </c>
      <c r="AN97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22:19:30"},{"id":29,"name":"Sharepoint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7" t="str">
        <f t="shared" si="47"/>
        <v>https://d0f6bd738d7f1b3e5a7ca70fe4ff75f0.us-east-1.aws.found.io/app/kibana#/discover/Steve-Slow-Train-Analysis-(2080s-and-2083s)?_g=(refreshInterval:(display:Off,pause:!f,section:0,value:0),time:(from:'2017-11-20T13:23:16-0700',mode:absolute,to:'2017-11-20T16:19:30-0700'))&amp;_a=(columns:!('Message%20ID',Summary),filters:!(),index:'emp_*',interval:auto,query:(query_string:(analyze_wildcard:!t,query:'%22rtdc.l.rtdc.4025%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787</v>
      </c>
      <c r="B98" s="7">
        <v>4006</v>
      </c>
      <c r="C98" s="21" t="s">
        <v>192</v>
      </c>
      <c r="D98" s="21" t="s">
        <v>443</v>
      </c>
      <c r="E98" s="13">
        <v>43059.58011574074</v>
      </c>
      <c r="F98" s="13">
        <v>43059.583703703705</v>
      </c>
      <c r="G98" s="7">
        <v>75</v>
      </c>
      <c r="H98" s="21" t="s">
        <v>953</v>
      </c>
      <c r="I98" s="13">
        <v>43059.608078703706</v>
      </c>
      <c r="J98" s="7">
        <v>0</v>
      </c>
      <c r="K98" s="89" t="str">
        <f t="shared" si="29"/>
        <v>4005/4006</v>
      </c>
      <c r="L98" s="184" t="str">
        <f>VLOOKUP(A98,'Trips&amp;Operators'!$C$1:$G$99911,5,FALSE)</f>
        <v>SAFIEF AEIMEN</v>
      </c>
      <c r="M98" s="6">
        <f t="shared" si="30"/>
        <v>2.4375000000873115E-2</v>
      </c>
      <c r="N98" s="7">
        <f t="shared" si="31"/>
        <v>35.100000001257285</v>
      </c>
      <c r="O98" s="7"/>
      <c r="P98" s="7"/>
      <c r="Q98" s="22"/>
      <c r="R98" s="173"/>
      <c r="S98" s="220">
        <f t="shared" si="32"/>
        <v>1</v>
      </c>
      <c r="T98" s="173" t="str">
        <f t="shared" si="33"/>
        <v>NorthBound</v>
      </c>
      <c r="U98" s="19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5" t="str">
        <f t="shared" si="34"/>
        <v>https://d0f6bd738d7f1b3e5a7ca70fe4ff75f0.us-east-1.aws.found.io/app/kibana#/discover/Steve-Slow-Train-Analysis-(2080s-and-2083s)?_g=(refreshInterval:(display:Off,pause:!f,section:0,value:0),time:(from:'2017-11-20T12:55:22-0700',mode:absolute,to:'2017-11-20T15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8" s="203" t="str">
        <f>IF(AA98&lt;VLOOKUP(AG98,Variables!$AC$3:$AD$8,2,FALSE),"Y","N")</f>
        <v>N</v>
      </c>
      <c r="X98" s="203">
        <f t="shared" si="35"/>
        <v>1</v>
      </c>
      <c r="Y98" s="203">
        <f t="shared" si="36"/>
        <v>5.1700000000000003E-2</v>
      </c>
      <c r="Z98" s="203">
        <f t="shared" si="37"/>
        <v>23.3246</v>
      </c>
      <c r="AA98" s="203">
        <f t="shared" si="38"/>
        <v>23.2729</v>
      </c>
      <c r="AB98" s="54" t="e">
        <f>VLOOKUP(A98,Enforcements!$C$7:$K$9,8,0)</f>
        <v>#N/A</v>
      </c>
      <c r="AC98" s="51" t="e">
        <f>VLOOKUP(A98,Enforcements!$C$7:$E$9,3,0)</f>
        <v>#N/A</v>
      </c>
      <c r="AD98" s="178">
        <f t="shared" si="39"/>
        <v>183</v>
      </c>
      <c r="AE98" s="77" t="str">
        <f t="shared" si="40"/>
        <v>aws s3 cp s3://rtdc.mdm.uploadarchive.raw/RTDC4006/ "%USERPROFILE%\AppData\Local\Temp\OnboardLogs"\RTDC4006\2017-11-20 --exclude "*" --recursive --include "*20171120*" &amp; "%USERPROFILE%\Documents\GitHub\mrs-test-scripts\Headless Mode &amp; Sideloading\WalkAndUnGZ.bat" "%USERPROFILE%\AppData\Local\Temp\OnboardLogs"\RTDC4006\2017-11-20 &amp; aws s3 cp s3://rtdc.mdm.uploadarchive.raw/RTDC4006/ "%USERPROFILE%\AppData\Local\Temp\OnboardLogs"\RTDC4006\2017-11-21 --exclude "*" --recursive --include "*20171121*" &amp; "%USERPROFILE%\Documents\GitHub\mrs-test-scripts\Headless Mode &amp; Sideloading\WalkAndUnGZ.bat" "%USERPROFILE%\AppData\Local\Temp\OnboardLogs"\RTDC4006\2017-11-21</v>
      </c>
      <c r="AF98" s="74" t="str">
        <f t="shared" si="41"/>
        <v>"C:\Program Files (x86)\AstroGrep\AstroGrep.exe" /e /r /s /spath="%USERPROFILE%\AppData\Local\Temp\OnboardLogs" /stypes="app*4006*20171120*" /stext=" 21:.+((SYSTEM_STATE.+slice.+state.+changed )|(ment ac)|(multiple cpu faults)|(system.+state.+changed )|(\[timeout)|(PRM\|1\|D)|(kpr)|(kdp)|(train st.+moving)|(\|lc)|(penalty))"</v>
      </c>
      <c r="AG98" s="181" t="str">
        <f t="shared" si="42"/>
        <v>EC</v>
      </c>
      <c r="AH98" s="78" t="str">
        <f t="shared" si="43"/>
        <v>"%USERPROFILE%\Documents\GitHub\eaglep3\Utilities\RefineRTDCRunTimes.py" --tripid 183-20 --locoid 4006 --swversion DE.1.0.9.0 --startMP 204:517 --initTime 2017-11-20T13:55:22 --startdatetime 2017-11-20T14:00:32 --delay 75 --endMP 204:233246 --enddatetime 2017-11-20T14:35:38 --enforcementcount 0 &gt;&gt;%USERPROFILE%\Documents\GitHub\eaglep3-reporting\EC\2017-11-20-refined-times.txt</v>
      </c>
      <c r="AI98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{"issue":{"subject":"","project_id":79,"tracker_id":40,"status_id":1,"priority_id":2,"assigned_to_id":338,"start_date":"2017-11-20","description":"","custom_fields":[{"id":1,"name":"Subdivision","value":"EC"},{"id":4,"name":"Milepost","value":"23.3246"},{"id":17,"name":"Train ID","value":"183-20"},{"id":16,"name":"Locomotive ID","value":"4006"},{"id":130,"name":"Impact","value":""},{"id":150,"name":"Time of Event (Mountain Time)","value":"14:35:38"},{"id":151,"name":"Denver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1" t="str">
        <f t="shared" si="45"/>
        <v>start /low /b %USERPROFILE%\Documents\GitHub\eaglep3\Utilities\DownloadLogsFromS3.py --loco 4006 --day 2017-11-20</v>
      </c>
      <c r="AN98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21:35:38"},{"id":29,"name":"Sharepoint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7" t="str">
        <f t="shared" si="47"/>
        <v>https://d0f6bd738d7f1b3e5a7ca70fe4ff75f0.us-east-1.aws.found.io/app/kibana#/discover/Steve-Slow-Train-Analysis-(2080s-and-2083s)?_g=(refreshInterval:(display:Off,pause:!f,section:0,value:0),time:(from:'2017-11-20T12:55:22-0700',mode:absolute,to:'2017-11-20T15:35:38-0700'))&amp;_a=(columns:!('Message%20ID',Summary),filters:!(),index:'emp_*',interval:auto,query:(query_string:(analyze_wildcard:!t,query:'%22rtdc.l.rtdc.4006%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796</v>
      </c>
      <c r="B99" s="7">
        <v>4005</v>
      </c>
      <c r="C99" s="21" t="s">
        <v>192</v>
      </c>
      <c r="D99" s="21" t="s">
        <v>954</v>
      </c>
      <c r="E99" s="13">
        <v>43059.620115740741</v>
      </c>
      <c r="F99" s="13">
        <v>43059.623113425929</v>
      </c>
      <c r="G99" s="7">
        <v>67</v>
      </c>
      <c r="H99" s="21" t="s">
        <v>934</v>
      </c>
      <c r="I99" s="13">
        <v>43059.648877314816</v>
      </c>
      <c r="J99" s="7">
        <v>0</v>
      </c>
      <c r="K99" s="89" t="str">
        <f t="shared" si="29"/>
        <v>4005/4006</v>
      </c>
      <c r="L99" s="184" t="str">
        <f>VLOOKUP(A99,'Trips&amp;Operators'!$C$1:$G$99911,5,FALSE)</f>
        <v>SAFIEF AEIMEN</v>
      </c>
      <c r="M99" s="6">
        <f t="shared" si="30"/>
        <v>2.5763888887013309E-2</v>
      </c>
      <c r="N99" s="7">
        <f t="shared" si="31"/>
        <v>37.099999997299165</v>
      </c>
      <c r="O99" s="7"/>
      <c r="P99" s="7"/>
      <c r="Q99" s="22"/>
      <c r="R99" s="173"/>
      <c r="S99" s="220">
        <f t="shared" si="32"/>
        <v>1</v>
      </c>
      <c r="T99" s="173" t="str">
        <f t="shared" si="33"/>
        <v>Southbound</v>
      </c>
      <c r="U99" s="19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5" t="str">
        <f t="shared" si="34"/>
        <v>https://d0f6bd738d7f1b3e5a7ca70fe4ff75f0.us-east-1.aws.found.io/app/kibana#/discover/Steve-Slow-Train-Analysis-(2080s-and-2083s)?_g=(refreshInterval:(display:Off,pause:!f,section:0,value:0),time:(from:'2017-11-20T13:52:58-0700',mode:absolute,to:'2017-11-20T16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9" s="203" t="str">
        <f>IF(AA99&lt;VLOOKUP(AG99,Variables!$AC$3:$AD$8,2,FALSE),"Y","N")</f>
        <v>N</v>
      </c>
      <c r="X99" s="203">
        <f t="shared" si="35"/>
        <v>1</v>
      </c>
      <c r="Y99" s="203">
        <f t="shared" si="36"/>
        <v>23.291499999999999</v>
      </c>
      <c r="Z99" s="203">
        <f t="shared" si="37"/>
        <v>2.18E-2</v>
      </c>
      <c r="AA99" s="203">
        <f t="shared" si="38"/>
        <v>23.2697</v>
      </c>
      <c r="AB99" s="54" t="e">
        <f>VLOOKUP(A99,Enforcements!$C$7:$K$9,8,0)</f>
        <v>#N/A</v>
      </c>
      <c r="AC99" s="51" t="e">
        <f>VLOOKUP(A99,Enforcements!$C$7:$E$9,3,0)</f>
        <v>#N/A</v>
      </c>
      <c r="AD99" s="178">
        <f t="shared" si="39"/>
        <v>184</v>
      </c>
      <c r="AE99" s="77" t="str">
        <f t="shared" si="40"/>
        <v>aws s3 cp s3://rtdc.mdm.uploadarchive.raw/RTDC4005/ "%USERPROFILE%\AppData\Local\Temp\OnboardLogs"\RTDC4005\2017-11-20 --exclude "*" --recursive --include "*20171120*" &amp; "%USERPROFILE%\Documents\GitHub\mrs-test-scripts\Headless Mode &amp; Sideloading\WalkAndUnGZ.bat" "%USERPROFILE%\AppData\Local\Temp\OnboardLogs"\RTDC4005\2017-11-20 &amp; aws s3 cp s3://rtdc.mdm.uploadarchive.raw/RTDC4005/ "%USERPROFILE%\AppData\Local\Temp\OnboardLogs"\RTDC4005\2017-11-21 --exclude "*" --recursive --include "*20171121*" &amp; "%USERPROFILE%\Documents\GitHub\mrs-test-scripts\Headless Mode &amp; Sideloading\WalkAndUnGZ.bat" "%USERPROFILE%\AppData\Local\Temp\OnboardLogs"\RTDC4005\2017-11-21</v>
      </c>
      <c r="AF99" s="74" t="str">
        <f t="shared" si="41"/>
        <v>"C:\Program Files (x86)\AstroGrep\AstroGrep.exe" /e /r /s /spath="%USERPROFILE%\AppData\Local\Temp\OnboardLogs" /stypes="app*4005*20171120*" /stext=" 22:.+((SYSTEM_STATE.+slice.+state.+changed )|(ment ac)|(multiple cpu faults)|(system.+state.+changed )|(\[timeout)|(PRM\|1\|D)|(kpr)|(kdp)|(train st.+moving)|(\|lc)|(penalty))"</v>
      </c>
      <c r="AG99" s="181" t="str">
        <f t="shared" si="42"/>
        <v>EC</v>
      </c>
      <c r="AH99" s="78" t="str">
        <f t="shared" si="43"/>
        <v>"%USERPROFILE%\Documents\GitHub\eaglep3\Utilities\RefineRTDCRunTimes.py" --tripid 184-20 --locoid 4005 --swversion DE.1.0.9.0 --startMP 204:232915 --initTime 2017-11-20T14:52:58 --startdatetime 2017-11-20T14:57:17 --delay 67 --endMP 204:218 --enddatetime 2017-11-20T15:34:23 --enforcementcount 0 &gt;&gt;%USERPROFILE%\Documents\GitHub\eaglep3-reporting\EC\2017-11-20-refined-times.txt</v>
      </c>
      <c r="AI99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{"issue":{"subject":"","project_id":79,"tracker_id":40,"status_id":1,"priority_id":2,"assigned_to_id":338,"start_date":"2017-11-20","description":"","custom_fields":[{"id":1,"name":"Subdivision","value":"EC"},{"id":4,"name":"Milepost","value":"0.0218"},{"id":17,"name":"Train ID","value":"184-20"},{"id":16,"name":"Locomotive ID","value":"4005"},{"id":130,"name":"Impact","value":""},{"id":150,"name":"Time of Event (Mountain Time)","value":"15:34:23"},{"id":151,"name":"Denver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99" s="47"/>
      <c r="AL99" s="47"/>
      <c r="AM99" s="141" t="str">
        <f t="shared" si="45"/>
        <v>start /low /b %USERPROFILE%\Documents\GitHub\eaglep3\Utilities\DownloadLogsFromS3.py --loco 4005 --day 2017-11-20</v>
      </c>
      <c r="AN99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22:34:23"},{"id":29,"name":"Sharepoint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7" t="str">
        <f t="shared" si="47"/>
        <v>https://d0f6bd738d7f1b3e5a7ca70fe4ff75f0.us-east-1.aws.found.io/app/kibana#/discover/Steve-Slow-Train-Analysis-(2080s-and-2083s)?_g=(refreshInterval:(display:Off,pause:!f,section:0,value:0),time:(from:'2017-11-20T13:52:58-0700',mode:absolute,to:'2017-11-20T16:34:23-0700'))&amp;_a=(columns:!('Message%20ID',Summary),filters:!(),index:'emp_*',interval:auto,query:(query_string:(analyze_wildcard:!t,query:'%22rtdc.l.rtdc.4005%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790</v>
      </c>
      <c r="B100" s="7">
        <v>4018</v>
      </c>
      <c r="C100" s="21" t="s">
        <v>192</v>
      </c>
      <c r="D100" s="21" t="s">
        <v>955</v>
      </c>
      <c r="E100" s="13">
        <v>43059.589548611111</v>
      </c>
      <c r="F100" s="13">
        <v>43059.593888888892</v>
      </c>
      <c r="G100" s="7">
        <v>74</v>
      </c>
      <c r="H100" s="21" t="s">
        <v>901</v>
      </c>
      <c r="I100" s="13">
        <v>43059.619537037041</v>
      </c>
      <c r="J100" s="7">
        <v>0</v>
      </c>
      <c r="K100" s="89" t="str">
        <f t="shared" si="29"/>
        <v>4017/4018</v>
      </c>
      <c r="L100" s="184" t="str">
        <f>VLOOKUP(A100,'Trips&amp;Operators'!$C$1:$G$99911,5,FALSE)</f>
        <v>BADERTSCHER DIANE</v>
      </c>
      <c r="M100" s="6">
        <f t="shared" si="30"/>
        <v>2.5648148148320615E-2</v>
      </c>
      <c r="N100" s="7">
        <f t="shared" si="31"/>
        <v>36.933333333581686</v>
      </c>
      <c r="O100" s="7"/>
      <c r="P100" s="7"/>
      <c r="Q100" s="22"/>
      <c r="R100" s="173"/>
      <c r="S100" s="220">
        <f t="shared" si="32"/>
        <v>1</v>
      </c>
      <c r="T100" s="173" t="str">
        <f t="shared" si="33"/>
        <v>NorthBound</v>
      </c>
      <c r="U100" s="19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5" t="str">
        <f t="shared" si="34"/>
        <v>https://d0f6bd738d7f1b3e5a7ca70fe4ff75f0.us-east-1.aws.found.io/app/kibana#/discover/Steve-Slow-Train-Analysis-(2080s-and-2083s)?_g=(refreshInterval:(display:Off,pause:!f,section:0,value:0),time:(from:'2017-11-20T13:08:57-0700',mode:absolute,to:'2017-11-20T15:52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0" s="203" t="str">
        <f>IF(AA100&lt;VLOOKUP(AG100,Variables!$AC$3:$AD$8,2,FALSE),"Y","N")</f>
        <v>N</v>
      </c>
      <c r="X100" s="203">
        <f t="shared" si="35"/>
        <v>1</v>
      </c>
      <c r="Y100" s="203">
        <f t="shared" si="36"/>
        <v>5.9299999999999999E-2</v>
      </c>
      <c r="Z100" s="203">
        <f t="shared" si="37"/>
        <v>23.3264</v>
      </c>
      <c r="AA100" s="203">
        <f t="shared" si="38"/>
        <v>23.267099999999999</v>
      </c>
      <c r="AB100" s="54" t="e">
        <f>VLOOKUP(A100,Enforcements!$C$7:$K$9,8,0)</f>
        <v>#N/A</v>
      </c>
      <c r="AC100" s="51" t="e">
        <f>VLOOKUP(A100,Enforcements!$C$7:$E$9,3,0)</f>
        <v>#N/A</v>
      </c>
      <c r="AD100" s="178">
        <f t="shared" si="39"/>
        <v>185</v>
      </c>
      <c r="AE100" s="77" t="str">
        <f t="shared" si="40"/>
        <v>aws s3 cp s3://rtdc.mdm.uploadarchive.raw/RTDC4018/ "%USERPROFILE%\AppData\Local\Temp\OnboardLogs"\RTDC4018\2017-11-20 --exclude "*" --recursive --include "*20171120*" &amp; "%USERPROFILE%\Documents\GitHub\mrs-test-scripts\Headless Mode &amp; Sideloading\WalkAndUnGZ.bat" "%USERPROFILE%\AppData\Local\Temp\OnboardLogs"\RTDC4018\2017-11-20 &amp; aws s3 cp s3://rtdc.mdm.uploadarchive.raw/RTDC4018/ "%USERPROFILE%\AppData\Local\Temp\OnboardLogs"\RTDC4018\2017-11-21 --exclude "*" --recursive --include "*20171121*" &amp; "%USERPROFILE%\Documents\GitHub\mrs-test-scripts\Headless Mode &amp; Sideloading\WalkAndUnGZ.bat" "%USERPROFILE%\AppData\Local\Temp\OnboardLogs"\RTDC4018\2017-11-21</v>
      </c>
      <c r="AF100" s="74" t="str">
        <f t="shared" si="41"/>
        <v>"C:\Program Files (x86)\AstroGrep\AstroGrep.exe" /e /r /s /spath="%USERPROFILE%\AppData\Local\Temp\OnboardLogs" /stypes="app*4018*20171120*" /stext=" 21:.+((SYSTEM_STATE.+slice.+state.+changed )|(ment ac)|(multiple cpu faults)|(system.+state.+changed )|(\[timeout)|(PRM\|1\|D)|(kpr)|(kdp)|(train st.+moving)|(\|lc)|(penalty))"</v>
      </c>
      <c r="AG100" s="181" t="str">
        <f t="shared" si="42"/>
        <v>EC</v>
      </c>
      <c r="AH100" s="78" t="str">
        <f t="shared" si="43"/>
        <v>"%USERPROFILE%\Documents\GitHub\eaglep3\Utilities\RefineRTDCRunTimes.py" --tripid 185-20 --locoid 4018 --swversion DE.1.0.9.0 --startMP 204:593 --initTime 2017-11-20T14:08:57 --startdatetime 2017-11-20T14:15:12 --delay 74 --endMP 204:233264 --enddatetime 2017-11-20T14:52:08 --enforcementcount 0 &gt;&gt;%USERPROFILE%\Documents\GitHub\eaglep3-reporting\EC\2017-11-20-refined-times.txt</v>
      </c>
      <c r="AI100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{"issue":{"subject":"","project_id":79,"tracker_id":40,"status_id":1,"priority_id":2,"assigned_to_id":338,"start_date":"2017-11-20","description":"","custom_fields":[{"id":1,"name":"Subdivision","value":"EC"},{"id":4,"name":"Milepost","value":"23.3264"},{"id":17,"name":"Train ID","value":"185-20"},{"id":16,"name":"Locomotive ID","value":"4018"},{"id":130,"name":"Impact","value":""},{"id":150,"name":"Time of Event (Mountain Time)","value":"14:52:08"},{"id":151,"name":"Denver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0" s="47"/>
      <c r="AL100" s="47"/>
      <c r="AM100" s="141" t="str">
        <f t="shared" si="45"/>
        <v>start /low /b %USERPROFILE%\Documents\GitHub\eaglep3\Utilities\DownloadLogsFromS3.py --loco 4018 --day 2017-11-20</v>
      </c>
      <c r="AN100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21:52:08"},{"id":29,"name":"Sharepoint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7" t="str">
        <f t="shared" si="47"/>
        <v>https://d0f6bd738d7f1b3e5a7ca70fe4ff75f0.us-east-1.aws.found.io/app/kibana#/discover/Steve-Slow-Train-Analysis-(2080s-and-2083s)?_g=(refreshInterval:(display:Off,pause:!f,section:0,value:0),time:(from:'2017-11-20T13:08:57-0700',mode:absolute,to:'2017-11-20T15:52:08-0700'))&amp;_a=(columns:!('Message%20ID',Summary),filters:!(),index:'emp_*',interval:auto,query:(query_string:(analyze_wildcard:!t,query:'%22rtdc.l.rtdc.4018%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799</v>
      </c>
      <c r="B101" s="7">
        <v>4017</v>
      </c>
      <c r="C101" s="21" t="s">
        <v>192</v>
      </c>
      <c r="D101" s="21" t="s">
        <v>557</v>
      </c>
      <c r="E101" s="13">
        <v>43059.629178240742</v>
      </c>
      <c r="F101" s="13">
        <v>43059.633622685185</v>
      </c>
      <c r="G101" s="7">
        <v>93</v>
      </c>
      <c r="H101" s="21" t="s">
        <v>956</v>
      </c>
      <c r="I101" s="13">
        <v>43059.661076388889</v>
      </c>
      <c r="J101" s="7">
        <v>0</v>
      </c>
      <c r="K101" s="89" t="str">
        <f t="shared" si="29"/>
        <v>4017/4018</v>
      </c>
      <c r="L101" s="184" t="str">
        <f>VLOOKUP(A101,'Trips&amp;Operators'!$C$1:$G$99911,5,FALSE)</f>
        <v>BADERTSCHER DIANE</v>
      </c>
      <c r="M101" s="6">
        <f t="shared" si="30"/>
        <v>2.7453703703940846E-2</v>
      </c>
      <c r="N101" s="7">
        <f t="shared" si="31"/>
        <v>39.533333333674818</v>
      </c>
      <c r="O101" s="7"/>
      <c r="P101" s="7"/>
      <c r="Q101" s="22"/>
      <c r="R101" s="173"/>
      <c r="S101" s="220">
        <f t="shared" si="32"/>
        <v>1</v>
      </c>
      <c r="T101" s="173" t="str">
        <f t="shared" si="33"/>
        <v>Southbound</v>
      </c>
      <c r="U101" s="19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5" t="str">
        <f t="shared" si="34"/>
        <v>https://d0f6bd738d7f1b3e5a7ca70fe4ff75f0.us-east-1.aws.found.io/app/kibana#/discover/Steve-Slow-Train-Analysis-(2080s-and-2083s)?_g=(refreshInterval:(display:Off,pause:!f,section:0,value:0),time:(from:'2017-11-20T14:06:01-0700',mode:absolute,to:'2017-11-20T16:51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1" s="203" t="str">
        <f>IF(AA101&lt;VLOOKUP(AG101,Variables!$AC$3:$AD$8,2,FALSE),"Y","N")</f>
        <v>N</v>
      </c>
      <c r="X101" s="203">
        <f t="shared" si="35"/>
        <v>1</v>
      </c>
      <c r="Y101" s="203">
        <f t="shared" si="36"/>
        <v>23.2942</v>
      </c>
      <c r="Z101" s="203">
        <f t="shared" si="37"/>
        <v>2.4500000000000001E-2</v>
      </c>
      <c r="AA101" s="203">
        <f t="shared" si="38"/>
        <v>23.2697</v>
      </c>
      <c r="AB101" s="54" t="e">
        <f>VLOOKUP(A101,Enforcements!$C$7:$K$9,8,0)</f>
        <v>#N/A</v>
      </c>
      <c r="AC101" s="51" t="e">
        <f>VLOOKUP(A101,Enforcements!$C$7:$E$9,3,0)</f>
        <v>#N/A</v>
      </c>
      <c r="AD101" s="178">
        <f t="shared" si="39"/>
        <v>186</v>
      </c>
      <c r="AE101" s="77" t="str">
        <f t="shared" si="40"/>
        <v>aws s3 cp s3://rtdc.mdm.uploadarchive.raw/RTDC4017/ "%USERPROFILE%\AppData\Local\Temp\OnboardLogs"\RTDC4017\2017-11-20 --exclude "*" --recursive --include "*20171120*" &amp; "%USERPROFILE%\Documents\GitHub\mrs-test-scripts\Headless Mode &amp; Sideloading\WalkAndUnGZ.bat" "%USERPROFILE%\AppData\Local\Temp\OnboardLogs"\RTDC4017\2017-11-20 &amp; aws s3 cp s3://rtdc.mdm.uploadarchive.raw/RTDC4017/ "%USERPROFILE%\AppData\Local\Temp\OnboardLogs"\RTDC4017\2017-11-21 --exclude "*" --recursive --include "*20171121*" &amp; "%USERPROFILE%\Documents\GitHub\mrs-test-scripts\Headless Mode &amp; Sideloading\WalkAndUnGZ.bat" "%USERPROFILE%\AppData\Local\Temp\OnboardLogs"\RTDC4017\2017-11-21</v>
      </c>
      <c r="AF101" s="74" t="str">
        <f t="shared" si="41"/>
        <v>"C:\Program Files (x86)\AstroGrep\AstroGrep.exe" /e /r /s /spath="%USERPROFILE%\AppData\Local\Temp\OnboardLogs" /stypes="app*4017*20171120*" /stext=" 22:.+((SYSTEM_STATE.+slice.+state.+changed )|(ment ac)|(multiple cpu faults)|(system.+state.+changed )|(\[timeout)|(PRM\|1\|D)|(kpr)|(kdp)|(train st.+moving)|(\|lc)|(penalty))"</v>
      </c>
      <c r="AG101" s="181" t="str">
        <f t="shared" si="42"/>
        <v>EC</v>
      </c>
      <c r="AH101" s="78" t="str">
        <f t="shared" si="43"/>
        <v>"%USERPROFILE%\Documents\GitHub\eaglep3\Utilities\RefineRTDCRunTimes.py" --tripid 186-20 --locoid 4017 --swversion DE.1.0.9.0 --startMP 204:232942 --initTime 2017-11-20T15:06:01 --startdatetime 2017-11-20T15:12:25 --delay 93 --endMP 204:245 --enddatetime 2017-11-20T15:51:57 --enforcementcount 0 &gt;&gt;%USERPROFILE%\Documents\GitHub\eaglep3-reporting\EC\2017-11-20-refined-times.txt</v>
      </c>
      <c r="AI101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{"issue":{"subject":"","project_id":79,"tracker_id":40,"status_id":1,"priority_id":2,"assigned_to_id":338,"start_date":"2017-11-20","description":"","custom_fields":[{"id":1,"name":"Subdivision","value":"EC"},{"id":4,"name":"Milepost","value":"0.0245"},{"id":17,"name":"Train ID","value":"186-20"},{"id":16,"name":"Locomotive ID","value":"4017"},{"id":130,"name":"Impact","value":""},{"id":150,"name":"Time of Event (Mountain Time)","value":"15:51:57"},{"id":151,"name":"Denver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1" t="str">
        <f t="shared" si="45"/>
        <v>start /low /b %USERPROFILE%\Documents\GitHub\eaglep3\Utilities\DownloadLogsFromS3.py --loco 4017 --day 2017-11-20</v>
      </c>
      <c r="AN101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22:51:57"},{"id":29,"name":"Sharepoint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7" t="str">
        <f t="shared" si="47"/>
        <v>https://d0f6bd738d7f1b3e5a7ca70fe4ff75f0.us-east-1.aws.found.io/app/kibana#/discover/Steve-Slow-Train-Analysis-(2080s-and-2083s)?_g=(refreshInterval:(display:Off,pause:!f,section:0,value:0),time:(from:'2017-11-20T14:06:01-0700',mode:absolute,to:'2017-11-20T16:51:57-0700'))&amp;_a=(columns:!('Message%20ID',Summary),filters:!(),index:'emp_*',interval:auto,query:(query_string:(analyze_wildcard:!t,query:'%22rtdc.l.rtdc.4017%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791</v>
      </c>
      <c r="B102" s="7">
        <v>4002</v>
      </c>
      <c r="C102" s="21" t="s">
        <v>192</v>
      </c>
      <c r="D102" s="21" t="s">
        <v>487</v>
      </c>
      <c r="E102" s="13">
        <v>43059.59814814815</v>
      </c>
      <c r="F102" s="13">
        <v>43059.604363425926</v>
      </c>
      <c r="G102" s="7">
        <v>60</v>
      </c>
      <c r="H102" s="21" t="s">
        <v>613</v>
      </c>
      <c r="I102" s="13">
        <v>43059.628703703704</v>
      </c>
      <c r="J102" s="7">
        <v>0</v>
      </c>
      <c r="K102" s="89" t="str">
        <f t="shared" si="29"/>
        <v>4001/4002</v>
      </c>
      <c r="L102" s="184" t="str">
        <f>VLOOKUP(A102,'Trips&amp;Operators'!$C$1:$G$99911,5,FALSE)</f>
        <v>GONZALEZ ARMANDO</v>
      </c>
      <c r="M102" s="6">
        <f t="shared" si="30"/>
        <v>2.4340277777810115E-2</v>
      </c>
      <c r="N102" s="7">
        <f t="shared" si="31"/>
        <v>35.050000000046566</v>
      </c>
      <c r="O102" s="7"/>
      <c r="P102" s="7"/>
      <c r="Q102" s="22"/>
      <c r="R102" s="173"/>
      <c r="S102" s="220">
        <f t="shared" si="32"/>
        <v>1</v>
      </c>
      <c r="T102" s="173" t="str">
        <f t="shared" si="33"/>
        <v>NorthBound</v>
      </c>
      <c r="U102" s="19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5" t="str">
        <f t="shared" si="34"/>
        <v>https://d0f6bd738d7f1b3e5a7ca70fe4ff75f0.us-east-1.aws.found.io/app/kibana#/discover/Steve-Slow-Train-Analysis-(2080s-and-2083s)?_g=(refreshInterval:(display:Off,pause:!f,section:0,value:0),time:(from:'2017-11-20T13:21:20-0700',mode:absolute,to:'2017-11-20T16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2" s="203" t="str">
        <f>IF(AA102&lt;VLOOKUP(AG102,Variables!$AC$3:$AD$8,2,FALSE),"Y","N")</f>
        <v>N</v>
      </c>
      <c r="X102" s="203">
        <f t="shared" si="35"/>
        <v>1</v>
      </c>
      <c r="Y102" s="203">
        <f t="shared" si="36"/>
        <v>5.2200000000000003E-2</v>
      </c>
      <c r="Z102" s="203">
        <f t="shared" si="37"/>
        <v>23.3308</v>
      </c>
      <c r="AA102" s="203">
        <f t="shared" si="38"/>
        <v>23.278600000000001</v>
      </c>
      <c r="AB102" s="54" t="e">
        <f>VLOOKUP(A102,Enforcements!$C$7:$K$9,8,0)</f>
        <v>#N/A</v>
      </c>
      <c r="AC102" s="51" t="e">
        <f>VLOOKUP(A102,Enforcements!$C$7:$E$9,3,0)</f>
        <v>#N/A</v>
      </c>
      <c r="AD102" s="178">
        <f t="shared" si="39"/>
        <v>187</v>
      </c>
      <c r="AE102" s="77" t="str">
        <f t="shared" si="40"/>
        <v>aws s3 cp s3://rtdc.mdm.uploadarchive.raw/RTDC4002/ "%USERPROFILE%\AppData\Local\Temp\OnboardLogs"\RTDC4002\2017-11-20 --exclude "*" --recursive --include "*20171120*" &amp; "%USERPROFILE%\Documents\GitHub\mrs-test-scripts\Headless Mode &amp; Sideloading\WalkAndUnGZ.bat" "%USERPROFILE%\AppData\Local\Temp\OnboardLogs"\RTDC4002\2017-11-20 &amp; aws s3 cp s3://rtdc.mdm.uploadarchive.raw/RTDC4002/ "%USERPROFILE%\AppData\Local\Temp\OnboardLogs"\RTDC4002\2017-11-21 --exclude "*" --recursive --include "*20171121*" &amp; "%USERPROFILE%\Documents\GitHub\mrs-test-scripts\Headless Mode &amp; Sideloading\WalkAndUnGZ.bat" "%USERPROFILE%\AppData\Local\Temp\OnboardLogs"\RTDC4002\2017-11-21</v>
      </c>
      <c r="AF102" s="74" t="str">
        <f t="shared" si="41"/>
        <v>"C:\Program Files (x86)\AstroGrep\AstroGrep.exe" /e /r /s /spath="%USERPROFILE%\AppData\Local\Temp\OnboardLogs" /stypes="app*4002*20171120*" /stext=" 22:.+((SYSTEM_STATE.+slice.+state.+changed )|(ment ac)|(multiple cpu faults)|(system.+state.+changed )|(\[timeout)|(PRM\|1\|D)|(kpr)|(kdp)|(train st.+moving)|(\|lc)|(penalty))"</v>
      </c>
      <c r="AG102" s="181" t="str">
        <f t="shared" si="42"/>
        <v>EC</v>
      </c>
      <c r="AH102" s="78" t="str">
        <f t="shared" si="43"/>
        <v>"%USERPROFILE%\Documents\GitHub\eaglep3\Utilities\RefineRTDCRunTimes.py" --tripid 187-20 --locoid 4002 --swversion DE.1.0.9.0 --startMP 204:522 --initTime 2017-11-20T14:21:20 --startdatetime 2017-11-20T14:30:17 --delay 60 --endMP 204:233308 --enddatetime 2017-11-20T15:05:20 --enforcementcount 0 &gt;&gt;%USERPROFILE%\Documents\GitHub\eaglep3-reporting\EC\2017-11-20-refined-times.txt</v>
      </c>
      <c r="AI102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{"issue":{"subject":"","project_id":79,"tracker_id":40,"status_id":1,"priority_id":2,"assigned_to_id":338,"start_date":"2017-11-20","description":"","custom_fields":[{"id":1,"name":"Subdivision","value":"EC"},{"id":4,"name":"Milepost","value":"23.3308"},{"id":17,"name":"Train ID","value":"187-20"},{"id":16,"name":"Locomotive ID","value":"4002"},{"id":130,"name":"Impact","value":""},{"id":150,"name":"Time of Event (Mountain Time)","value":"15:05:20"},{"id":151,"name":"Denver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1" t="str">
        <f t="shared" si="45"/>
        <v>start /low /b %USERPROFILE%\Documents\GitHub\eaglep3\Utilities\DownloadLogsFromS3.py --loco 4002 --day 2017-11-20</v>
      </c>
      <c r="AN102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22:05:20"},{"id":29,"name":"Sharepoint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7" t="str">
        <f t="shared" si="47"/>
        <v>https://d0f6bd738d7f1b3e5a7ca70fe4ff75f0.us-east-1.aws.found.io/app/kibana#/discover/Steve-Slow-Train-Analysis-(2080s-and-2083s)?_g=(refreshInterval:(display:Off,pause:!f,section:0,value:0),time:(from:'2017-11-20T13:21:20-0700',mode:absolute,to:'2017-11-20T16:05:20-0700'))&amp;_a=(columns:!('Message%20ID',Summary),filters:!(),index:'emp_*',interval:auto,query:(query_string:(analyze_wildcard:!t,query:'%22rtdc.l.rtdc.4002%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802</v>
      </c>
      <c r="B103" s="7">
        <v>4001</v>
      </c>
      <c r="C103" s="21" t="s">
        <v>192</v>
      </c>
      <c r="D103" s="21" t="s">
        <v>524</v>
      </c>
      <c r="E103" s="13">
        <v>43059.638668981483</v>
      </c>
      <c r="F103" s="13">
        <v>43059.644016203703</v>
      </c>
      <c r="G103" s="7">
        <v>60</v>
      </c>
      <c r="H103" s="21" t="s">
        <v>957</v>
      </c>
      <c r="I103" s="13">
        <v>43059.669421296298</v>
      </c>
      <c r="J103" s="7">
        <v>0</v>
      </c>
      <c r="K103" s="89" t="str">
        <f t="shared" si="29"/>
        <v>4001/4002</v>
      </c>
      <c r="L103" s="184" t="str">
        <f>VLOOKUP(A103,'Trips&amp;Operators'!$C$1:$G$99911,5,FALSE)</f>
        <v>GONZALEZ ARMANDO</v>
      </c>
      <c r="M103" s="6">
        <f t="shared" si="30"/>
        <v>2.5405092594155576E-2</v>
      </c>
      <c r="N103" s="7">
        <f t="shared" si="31"/>
        <v>36.58333333558403</v>
      </c>
      <c r="O103" s="7"/>
      <c r="P103" s="7"/>
      <c r="Q103" s="22"/>
      <c r="R103" s="173"/>
      <c r="S103" s="220">
        <f t="shared" si="32"/>
        <v>1</v>
      </c>
      <c r="T103" s="173" t="str">
        <f t="shared" si="33"/>
        <v>Southbound</v>
      </c>
      <c r="U103" s="19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5" t="str">
        <f t="shared" si="34"/>
        <v>https://d0f6bd738d7f1b3e5a7ca70fe4ff75f0.us-east-1.aws.found.io/app/kibana#/discover/Steve-Slow-Train-Analysis-(2080s-and-2083s)?_g=(refreshInterval:(display:Off,pause:!f,section:0,value:0),time:(from:'2017-11-20T14:19:41-0700',mode:absolute,to:'2017-11-20T17:03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3" s="203" t="str">
        <f>IF(AA103&lt;VLOOKUP(AG103,Variables!$AC$3:$AD$8,2,FALSE),"Y","N")</f>
        <v>N</v>
      </c>
      <c r="X103" s="203">
        <f t="shared" si="35"/>
        <v>1</v>
      </c>
      <c r="Y103" s="203">
        <f t="shared" si="36"/>
        <v>23.297699999999999</v>
      </c>
      <c r="Z103" s="203">
        <f t="shared" si="37"/>
        <v>1.6299999999999999E-2</v>
      </c>
      <c r="AA103" s="203">
        <f t="shared" si="38"/>
        <v>23.281399999999998</v>
      </c>
      <c r="AB103" s="54" t="e">
        <f>VLOOKUP(A103,Enforcements!$C$7:$K$9,8,0)</f>
        <v>#N/A</v>
      </c>
      <c r="AC103" s="51" t="e">
        <f>VLOOKUP(A103,Enforcements!$C$7:$E$9,3,0)</f>
        <v>#N/A</v>
      </c>
      <c r="AD103" s="178">
        <f t="shared" si="39"/>
        <v>188</v>
      </c>
      <c r="AE103" s="77" t="str">
        <f t="shared" si="40"/>
        <v>aws s3 cp s3://rtdc.mdm.uploadarchive.raw/RTDC4001/ "%USERPROFILE%\AppData\Local\Temp\OnboardLogs"\RTDC4001\2017-11-20 --exclude "*" --recursive --include "*20171120*" &amp; "%USERPROFILE%\Documents\GitHub\mrs-test-scripts\Headless Mode &amp; Sideloading\WalkAndUnGZ.bat" "%USERPROFILE%\AppData\Local\Temp\OnboardLogs"\RTDC4001\2017-11-20 &amp; aws s3 cp s3://rtdc.mdm.uploadarchive.raw/RTDC4001/ "%USERPROFILE%\AppData\Local\Temp\OnboardLogs"\RTDC4001\2017-11-21 --exclude "*" --recursive --include "*20171121*" &amp; "%USERPROFILE%\Documents\GitHub\mrs-test-scripts\Headless Mode &amp; Sideloading\WalkAndUnGZ.bat" "%USERPROFILE%\AppData\Local\Temp\OnboardLogs"\RTDC4001\2017-11-21</v>
      </c>
      <c r="AF103" s="74" t="str">
        <f t="shared" si="41"/>
        <v>"C:\Program Files (x86)\AstroGrep\AstroGrep.exe" /e /r /s /spath="%USERPROFILE%\AppData\Local\Temp\OnboardLogs" /stypes="app*4001*20171120*" /stext=" 23:.+((SYSTEM_STATE.+slice.+state.+changed )|(ment ac)|(multiple cpu faults)|(system.+state.+changed )|(\[timeout)|(PRM\|1\|D)|(kpr)|(kdp)|(train st.+moving)|(\|lc)|(penalty))"</v>
      </c>
      <c r="AG103" s="181" t="str">
        <f t="shared" si="42"/>
        <v>EC</v>
      </c>
      <c r="AH103" s="78" t="str">
        <f t="shared" si="43"/>
        <v>"%USERPROFILE%\Documents\GitHub\eaglep3\Utilities\RefineRTDCRunTimes.py" --tripid 188-20 --locoid 4001 --swversion DE.1.0.9.0 --startMP 204:232977 --initTime 2017-11-20T15:19:41 --startdatetime 2017-11-20T15:27:23 --delay 60 --endMP 204:163 --enddatetime 2017-11-20T16:03:58 --enforcementcount 0 &gt;&gt;%USERPROFILE%\Documents\GitHub\eaglep3-reporting\EC\2017-11-20-refined-times.txt</v>
      </c>
      <c r="AI103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{"issue":{"subject":"","project_id":79,"tracker_id":40,"status_id":1,"priority_id":2,"assigned_to_id":338,"start_date":"2017-11-20","description":"","custom_fields":[{"id":1,"name":"Subdivision","value":"EC"},{"id":4,"name":"Milepost","value":"0.0163"},{"id":17,"name":"Train ID","value":"188-20"},{"id":16,"name":"Locomotive ID","value":"4001"},{"id":130,"name":"Impact","value":""},{"id":150,"name":"Time of Event (Mountain Time)","value":"16:03:58"},{"id":151,"name":"Denver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1" t="str">
        <f t="shared" si="45"/>
        <v>start /low /b %USERPROFILE%\Documents\GitHub\eaglep3\Utilities\DownloadLogsFromS3.py --loco 4001 --day 2017-11-20</v>
      </c>
      <c r="AN103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23:03:58"},{"id":29,"name":"Sharepoint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7" t="str">
        <f t="shared" si="47"/>
        <v>https://d0f6bd738d7f1b3e5a7ca70fe4ff75f0.us-east-1.aws.found.io/app/kibana#/discover/Steve-Slow-Train-Analysis-(2080s-and-2083s)?_g=(refreshInterval:(display:Off,pause:!f,section:0,value:0),time:(from:'2017-11-20T14:19:41-0700',mode:absolute,to:'2017-11-20T17:03:58-0700'))&amp;_a=(columns:!('Message%20ID',Summary),filters:!(),index:'emp_*',interval:auto,query:(query_string:(analyze_wildcard:!t,query:'%22rtdc.l.rtdc.4001%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795</v>
      </c>
      <c r="B104" s="7">
        <v>4064</v>
      </c>
      <c r="C104" s="21" t="s">
        <v>192</v>
      </c>
      <c r="D104" s="21" t="s">
        <v>512</v>
      </c>
      <c r="E104" s="13">
        <v>43059.610659722224</v>
      </c>
      <c r="F104" s="13">
        <v>43059.615266203706</v>
      </c>
      <c r="G104" s="7">
        <v>144</v>
      </c>
      <c r="H104" s="21" t="s">
        <v>958</v>
      </c>
      <c r="I104" s="13">
        <v>43059.640613425923</v>
      </c>
      <c r="J104" s="7">
        <v>0</v>
      </c>
      <c r="K104" s="89" t="str">
        <f t="shared" si="29"/>
        <v>4063/4064</v>
      </c>
      <c r="L104" s="184" t="str">
        <f>VLOOKUP(A104,'Trips&amp;Operators'!$C$1:$G$99911,5,FALSE)</f>
        <v>KILLION DAVID</v>
      </c>
      <c r="M104" s="6">
        <f t="shared" si="30"/>
        <v>2.5347222217533272E-2</v>
      </c>
      <c r="N104" s="7">
        <f t="shared" si="31"/>
        <v>36.499999993247911</v>
      </c>
      <c r="O104" s="7"/>
      <c r="P104" s="7"/>
      <c r="Q104" s="22"/>
      <c r="R104" s="173"/>
      <c r="S104" s="220">
        <f t="shared" si="32"/>
        <v>1</v>
      </c>
      <c r="T104" s="173" t="str">
        <f t="shared" si="33"/>
        <v>NorthBound</v>
      </c>
      <c r="U104" s="19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5" t="str">
        <f t="shared" si="34"/>
        <v>https://d0f6bd738d7f1b3e5a7ca70fe4ff75f0.us-east-1.aws.found.io/app/kibana#/discover/Steve-Slow-Train-Analysis-(2080s-and-2083s)?_g=(refreshInterval:(display:Off,pause:!f,section:0,value:0),time:(from:'2017-11-20T13:39:21-0700',mode:absolute,to:'2017-11-20T16:22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4" s="203" t="str">
        <f>IF(AA104&lt;VLOOKUP(AG104,Variables!$AC$3:$AD$8,2,FALSE),"Y","N")</f>
        <v>N</v>
      </c>
      <c r="X104" s="203">
        <f t="shared" si="35"/>
        <v>1</v>
      </c>
      <c r="Y104" s="203">
        <f t="shared" si="36"/>
        <v>5.04E-2</v>
      </c>
      <c r="Z104" s="203">
        <f t="shared" si="37"/>
        <v>23.3261</v>
      </c>
      <c r="AA104" s="203">
        <f t="shared" si="38"/>
        <v>23.275700000000001</v>
      </c>
      <c r="AB104" s="54" t="e">
        <f>VLOOKUP(A104,Enforcements!$C$7:$K$9,8,0)</f>
        <v>#N/A</v>
      </c>
      <c r="AC104" s="51" t="e">
        <f>VLOOKUP(A104,Enforcements!$C$7:$E$9,3,0)</f>
        <v>#N/A</v>
      </c>
      <c r="AD104" s="178">
        <f t="shared" si="39"/>
        <v>189</v>
      </c>
      <c r="AE104" s="77" t="str">
        <f t="shared" si="40"/>
        <v>aws s3 cp s3://rtdc.mdm.uploadarchive.raw/RTDC4064/ "%USERPROFILE%\AppData\Local\Temp\OnboardLogs"\RTDC4064\2017-11-20 --exclude "*" --recursive --include "*20171120*" &amp; "%USERPROFILE%\Documents\GitHub\mrs-test-scripts\Headless Mode &amp; Sideloading\WalkAndUnGZ.bat" "%USERPROFILE%\AppData\Local\Temp\OnboardLogs"\RTDC4064\2017-11-20 &amp; aws s3 cp s3://rtdc.mdm.uploadarchive.raw/RTDC4064/ "%USERPROFILE%\AppData\Local\Temp\OnboardLogs"\RTDC4064\2017-11-21 --exclude "*" --recursive --include "*20171121*" &amp; "%USERPROFILE%\Documents\GitHub\mrs-test-scripts\Headless Mode &amp; Sideloading\WalkAndUnGZ.bat" "%USERPROFILE%\AppData\Local\Temp\OnboardLogs"\RTDC4064\2017-11-21</v>
      </c>
      <c r="AF104" s="74" t="str">
        <f t="shared" si="41"/>
        <v>"C:\Program Files (x86)\AstroGrep\AstroGrep.exe" /e /r /s /spath="%USERPROFILE%\AppData\Local\Temp\OnboardLogs" /stypes="app*4064*20171120*" /stext=" 22:.+((SYSTEM_STATE.+slice.+state.+changed )|(ment ac)|(multiple cpu faults)|(system.+state.+changed )|(\[timeout)|(PRM\|1\|D)|(kpr)|(kdp)|(train st.+moving)|(\|lc)|(penalty))"</v>
      </c>
      <c r="AG104" s="181" t="str">
        <f t="shared" si="42"/>
        <v>EC</v>
      </c>
      <c r="AH104" s="78" t="str">
        <f t="shared" si="43"/>
        <v>"%USERPROFILE%\Documents\GitHub\eaglep3\Utilities\RefineRTDCRunTimes.py" --tripid 189-20 --locoid 4064 --swversion DE.1.0.9.0 --startMP 204:504 --initTime 2017-11-20T14:39:21 --startdatetime 2017-11-20T14:45:59 --delay 144 --endMP 204:233261 --enddatetime 2017-11-20T15:22:29 --enforcementcount 0 &gt;&gt;%USERPROFILE%\Documents\GitHub\eaglep3-reporting\EC\2017-11-20-refined-times.txt</v>
      </c>
      <c r="AI104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{"issue":{"subject":"","project_id":79,"tracker_id":40,"status_id":1,"priority_id":2,"assigned_to_id":338,"start_date":"2017-11-20","description":"","custom_fields":[{"id":1,"name":"Subdivision","value":"EC"},{"id":4,"name":"Milepost","value":"23.3261"},{"id":17,"name":"Train ID","value":"189-20"},{"id":16,"name":"Locomotive ID","value":"4064"},{"id":130,"name":"Impact","value":""},{"id":150,"name":"Time of Event (Mountain Time)","value":"15:22:29"},{"id":151,"name":"Denver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1" t="str">
        <f t="shared" si="45"/>
        <v>start /low /b %USERPROFILE%\Documents\GitHub\eaglep3\Utilities\DownloadLogsFromS3.py --loco 4064 --day 2017-11-20</v>
      </c>
      <c r="AN104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22:22:29"},{"id":29,"name":"Sharepoint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7" t="str">
        <f t="shared" si="47"/>
        <v>https://d0f6bd738d7f1b3e5a7ca70fe4ff75f0.us-east-1.aws.found.io/app/kibana#/discover/Steve-Slow-Train-Analysis-(2080s-and-2083s)?_g=(refreshInterval:(display:Off,pause:!f,section:0,value:0),time:(from:'2017-11-20T13:39:21-0700',mode:absolute,to:'2017-11-20T16:22:29-0700'))&amp;_a=(columns:!('Message%20ID',Summary),filters:!(),index:'emp_*',interval:auto,query:(query_string:(analyze_wildcard:!t,query:'%22rtdc.l.rtdc.4064%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804</v>
      </c>
      <c r="B105" s="7">
        <v>4063</v>
      </c>
      <c r="C105" s="21" t="s">
        <v>192</v>
      </c>
      <c r="D105" s="21" t="s">
        <v>959</v>
      </c>
      <c r="E105" s="13">
        <v>43059.646145833336</v>
      </c>
      <c r="F105" s="13">
        <v>43059.654618055552</v>
      </c>
      <c r="G105" s="7">
        <v>62</v>
      </c>
      <c r="H105" s="21" t="s">
        <v>960</v>
      </c>
      <c r="I105" s="13">
        <v>43059.680960648147</v>
      </c>
      <c r="J105" s="7">
        <v>0</v>
      </c>
      <c r="K105" s="89" t="str">
        <f t="shared" si="29"/>
        <v>4063/4064</v>
      </c>
      <c r="L105" s="184" t="str">
        <f>VLOOKUP(A105,'Trips&amp;Operators'!$C$1:$G$99911,5,FALSE)</f>
        <v>KILLION DAVID</v>
      </c>
      <c r="M105" s="6">
        <f t="shared" si="30"/>
        <v>2.6342592595028691E-2</v>
      </c>
      <c r="N105" s="7">
        <f t="shared" si="31"/>
        <v>37.933333336841315</v>
      </c>
      <c r="O105" s="7"/>
      <c r="P105" s="7"/>
      <c r="Q105" s="22"/>
      <c r="R105" s="173"/>
      <c r="S105" s="220">
        <f t="shared" si="32"/>
        <v>1</v>
      </c>
      <c r="T105" s="173" t="str">
        <f t="shared" si="33"/>
        <v>Southbound</v>
      </c>
      <c r="U105" s="19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5" t="str">
        <f t="shared" si="34"/>
        <v>https://d0f6bd738d7f1b3e5a7ca70fe4ff75f0.us-east-1.aws.found.io/app/kibana#/discover/Steve-Slow-Train-Analysis-(2080s-and-2083s)?_g=(refreshInterval:(display:Off,pause:!f,section:0,value:0),time:(from:'2017-11-20T14:30:27-0700',mode:absolute,to:'2017-11-20T17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5" s="203" t="str">
        <f>IF(AA105&lt;VLOOKUP(AG105,Variables!$AC$3:$AD$8,2,FALSE),"Y","N")</f>
        <v>N</v>
      </c>
      <c r="X105" s="203">
        <f t="shared" si="35"/>
        <v>1</v>
      </c>
      <c r="Y105" s="203">
        <f t="shared" si="36"/>
        <v>23.294599999999999</v>
      </c>
      <c r="Z105" s="203">
        <f t="shared" si="37"/>
        <v>1.3899999999999999E-2</v>
      </c>
      <c r="AA105" s="203">
        <f t="shared" si="38"/>
        <v>23.2807</v>
      </c>
      <c r="AB105" s="54" t="e">
        <f>VLOOKUP(A105,Enforcements!$C$7:$K$9,8,0)</f>
        <v>#N/A</v>
      </c>
      <c r="AC105" s="51" t="e">
        <f>VLOOKUP(A105,Enforcements!$C$7:$E$9,3,0)</f>
        <v>#N/A</v>
      </c>
      <c r="AD105" s="178">
        <f t="shared" si="39"/>
        <v>190</v>
      </c>
      <c r="AE105" s="77" t="str">
        <f t="shared" si="40"/>
        <v>aws s3 cp s3://rtdc.mdm.uploadarchive.raw/RTDC4063/ "%USERPROFILE%\AppData\Local\Temp\OnboardLogs"\RTDC4063\2017-11-20 --exclude "*" --recursive --include "*20171120*" &amp; "%USERPROFILE%\Documents\GitHub\mrs-test-scripts\Headless Mode &amp; Sideloading\WalkAndUnGZ.bat" "%USERPROFILE%\AppData\Local\Temp\OnboardLogs"\RTDC4063\2017-11-20 &amp; aws s3 cp s3://rtdc.mdm.uploadarchive.raw/RTDC4063/ "%USERPROFILE%\AppData\Local\Temp\OnboardLogs"\RTDC4063\2017-11-21 --exclude "*" --recursive --include "*20171121*" &amp; "%USERPROFILE%\Documents\GitHub\mrs-test-scripts\Headless Mode &amp; Sideloading\WalkAndUnGZ.bat" "%USERPROFILE%\AppData\Local\Temp\OnboardLogs"\RTDC4063\2017-11-21</v>
      </c>
      <c r="AF105" s="74" t="str">
        <f t="shared" si="41"/>
        <v>"C:\Program Files (x86)\AstroGrep\AstroGrep.exe" /e /r /s /spath="%USERPROFILE%\AppData\Local\Temp\OnboardLogs" /stypes="app*4063*20171120*" /stext=" 23:.+((SYSTEM_STATE.+slice.+state.+changed )|(ment ac)|(multiple cpu faults)|(system.+state.+changed )|(\[timeout)|(PRM\|1\|D)|(kpr)|(kdp)|(train st.+moving)|(\|lc)|(penalty))"</v>
      </c>
      <c r="AG105" s="181" t="str">
        <f t="shared" si="42"/>
        <v>EC</v>
      </c>
      <c r="AH105" s="78" t="str">
        <f t="shared" si="43"/>
        <v>"%USERPROFILE%\Documents\GitHub\eaglep3\Utilities\RefineRTDCRunTimes.py" --tripid 190-20 --locoid 4063 --swversion DE.1.0.9.0 --startMP 204:232946 --initTime 2017-11-20T15:30:27 --startdatetime 2017-11-20T15:42:39 --delay 62 --endMP 204:139 --enddatetime 2017-11-20T16:20:35 --enforcementcount 0 &gt;&gt;%USERPROFILE%\Documents\GitHub\eaglep3-reporting\EC\2017-11-20-refined-times.txt</v>
      </c>
      <c r="AI105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{"issue":{"subject":"","project_id":79,"tracker_id":40,"status_id":1,"priority_id":2,"assigned_to_id":338,"start_date":"2017-11-20","description":"","custom_fields":[{"id":1,"name":"Subdivision","value":"EC"},{"id":4,"name":"Milepost","value":"0.0139"},{"id":17,"name":"Train ID","value":"190-20"},{"id":16,"name":"Locomotive ID","value":"4063"},{"id":130,"name":"Impact","value":""},{"id":150,"name":"Time of Event (Mountain Time)","value":"16:20:35"},{"id":151,"name":"Denver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1" t="str">
        <f t="shared" si="45"/>
        <v>start /low /b %USERPROFILE%\Documents\GitHub\eaglep3\Utilities\DownloadLogsFromS3.py --loco 4063 --day 2017-11-20</v>
      </c>
      <c r="AN105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23:20:35"},{"id":29,"name":"Sharepoint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7" t="str">
        <f t="shared" si="47"/>
        <v>https://d0f6bd738d7f1b3e5a7ca70fe4ff75f0.us-east-1.aws.found.io/app/kibana#/discover/Steve-Slow-Train-Analysis-(2080s-and-2083s)?_g=(refreshInterval:(display:Off,pause:!f,section:0,value:0),time:(from:'2017-11-20T14:30:27-0700',mode:absolute,to:'2017-11-20T17:20:35-0700'))&amp;_a=(columns:!('Message%20ID',Summary),filters:!(),index:'emp_*',interval:auto,query:(query_string:(analyze_wildcard:!t,query:'%22rtdc.l.rtdc.4063%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797</v>
      </c>
      <c r="B106" s="7">
        <v>4028</v>
      </c>
      <c r="C106" s="21" t="s">
        <v>192</v>
      </c>
      <c r="D106" s="21" t="s">
        <v>495</v>
      </c>
      <c r="E106" s="13">
        <v>43059.622488425928</v>
      </c>
      <c r="F106" s="13">
        <v>43059.625208333331</v>
      </c>
      <c r="G106" s="7">
        <v>47</v>
      </c>
      <c r="H106" s="21" t="s">
        <v>889</v>
      </c>
      <c r="I106" s="13">
        <v>43059.650034722225</v>
      </c>
      <c r="J106" s="7">
        <v>0</v>
      </c>
      <c r="K106" s="89" t="str">
        <f t="shared" si="29"/>
        <v>4027/4028</v>
      </c>
      <c r="L106" s="184" t="str">
        <f>VLOOKUP(A106,'Trips&amp;Operators'!$C$1:$G$99911,5,FALSE)</f>
        <v>STEWART MICHAEL</v>
      </c>
      <c r="M106" s="6">
        <f t="shared" si="30"/>
        <v>2.4826388893416151E-2</v>
      </c>
      <c r="N106" s="7">
        <f t="shared" si="31"/>
        <v>35.750000006519258</v>
      </c>
      <c r="O106" s="7"/>
      <c r="P106" s="7"/>
      <c r="Q106" s="22"/>
      <c r="R106" s="173"/>
      <c r="S106" s="220">
        <f t="shared" si="32"/>
        <v>1</v>
      </c>
      <c r="T106" s="173" t="str">
        <f t="shared" si="33"/>
        <v>NorthBound</v>
      </c>
      <c r="U106" s="19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5" t="str">
        <f t="shared" si="34"/>
        <v>https://d0f6bd738d7f1b3e5a7ca70fe4ff75f0.us-east-1.aws.found.io/app/kibana#/discover/Steve-Slow-Train-Analysis-(2080s-and-2083s)?_g=(refreshInterval:(display:Off,pause:!f,section:0,value:0),time:(from:'2017-11-20T13:56:23-0700',mode:absolute,to:'2017-11-20T16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6" s="203" t="str">
        <f>IF(AA106&lt;VLOOKUP(AG106,Variables!$AC$3:$AD$8,2,FALSE),"Y","N")</f>
        <v>N</v>
      </c>
      <c r="X106" s="203">
        <f t="shared" si="35"/>
        <v>1</v>
      </c>
      <c r="Y106" s="203">
        <f t="shared" si="36"/>
        <v>5.1999999999999998E-2</v>
      </c>
      <c r="Z106" s="203">
        <f t="shared" si="37"/>
        <v>23.327200000000001</v>
      </c>
      <c r="AA106" s="203">
        <f t="shared" si="38"/>
        <v>23.275200000000002</v>
      </c>
      <c r="AB106" s="54" t="e">
        <f>VLOOKUP(A106,Enforcements!$C$7:$K$9,8,0)</f>
        <v>#N/A</v>
      </c>
      <c r="AC106" s="51" t="e">
        <f>VLOOKUP(A106,Enforcements!$C$7:$E$9,3,0)</f>
        <v>#N/A</v>
      </c>
      <c r="AD106" s="178">
        <f t="shared" si="39"/>
        <v>191</v>
      </c>
      <c r="AE106" s="77" t="str">
        <f t="shared" si="40"/>
        <v>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 &amp; aws s3 cp s3://rtdc.mdm.uploadarchive.raw/RTDC4028/ "%USERPROFILE%\AppData\Local\Temp\OnboardLogs"\RTDC4028\2017-11-21 --exclude "*" --recursive --include "*20171121*" &amp; "%USERPROFILE%\Documents\GitHub\mrs-test-scripts\Headless Mode &amp; Sideloading\WalkAndUnGZ.bat" "%USERPROFILE%\AppData\Local\Temp\OnboardLogs"\RTDC4028\2017-11-21</v>
      </c>
      <c r="AF106" s="74" t="str">
        <f t="shared" si="41"/>
        <v>"C:\Program Files (x86)\AstroGrep\AstroGrep.exe" /e /r /s /spath="%USERPROFILE%\AppData\Local\Temp\OnboardLogs" /stypes="app*4028*20171120*" /stext=" 22:.+((SYSTEM_STATE.+slice.+state.+changed )|(ment ac)|(multiple cpu faults)|(system.+state.+changed )|(\[timeout)|(PRM\|1\|D)|(kpr)|(kdp)|(train st.+moving)|(\|lc)|(penalty))"</v>
      </c>
      <c r="AG106" s="181" t="str">
        <f t="shared" si="42"/>
        <v>EC</v>
      </c>
      <c r="AH106" s="78" t="str">
        <f t="shared" si="43"/>
        <v>"%USERPROFILE%\Documents\GitHub\eaglep3\Utilities\RefineRTDCRunTimes.py" --tripid 191-20 --locoid 4028 --swversion DE.1.0.9.0 --startMP 204:520 --initTime 2017-11-20T14:56:23 --startdatetime 2017-11-20T15:00:18 --delay 47 --endMP 204:233272 --enddatetime 2017-11-20T15:36:03 --enforcementcount 0 &gt;&gt;%USERPROFILE%\Documents\GitHub\eaglep3-reporting\EC\2017-11-20-refined-times.txt</v>
      </c>
      <c r="AI106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{"issue":{"subject":"","project_id":79,"tracker_id":40,"status_id":1,"priority_id":2,"assigned_to_id":338,"start_date":"2017-11-20","description":"","custom_fields":[{"id":1,"name":"Subdivision","value":"EC"},{"id":4,"name":"Milepost","value":"23.3272"},{"id":17,"name":"Train ID","value":"191-20"},{"id":16,"name":"Locomotive ID","value":"4028"},{"id":130,"name":"Impact","value":""},{"id":150,"name":"Time of Event (Mountain Time)","value":"15:36:03"},{"id":151,"name":"Denver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1" t="str">
        <f t="shared" si="45"/>
        <v>start /low /b %USERPROFILE%\Documents\GitHub\eaglep3\Utilities\DownloadLogsFromS3.py --loco 4028 --day 2017-11-20</v>
      </c>
      <c r="AN106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22:36:03"},{"id":29,"name":"Sharepoint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7" t="str">
        <f t="shared" si="47"/>
        <v>https://d0f6bd738d7f1b3e5a7ca70fe4ff75f0.us-east-1.aws.found.io/app/kibana#/discover/Steve-Slow-Train-Analysis-(2080s-and-2083s)?_g=(refreshInterval:(display:Off,pause:!f,section:0,value:0),time:(from:'2017-11-20T13:56:23-0700',mode:absolute,to:'2017-11-20T16:36:03-0700'))&amp;_a=(columns:!('Message%20ID',Summary),filters:!(),index:'emp_*',interval:auto,query:(query_string:(analyze_wildcard:!t,query:'%22rtdc.l.rtdc.4028%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807</v>
      </c>
      <c r="B107" s="7">
        <v>4027</v>
      </c>
      <c r="C107" s="21" t="s">
        <v>192</v>
      </c>
      <c r="D107" s="21" t="s">
        <v>896</v>
      </c>
      <c r="E107" s="13">
        <v>43059.661863425928</v>
      </c>
      <c r="F107" s="13">
        <v>43059.664861111109</v>
      </c>
      <c r="G107" s="7">
        <v>49</v>
      </c>
      <c r="H107" s="21" t="s">
        <v>511</v>
      </c>
      <c r="I107" s="13">
        <v>43059.691620370373</v>
      </c>
      <c r="J107" s="7">
        <v>0</v>
      </c>
      <c r="K107" s="89" t="str">
        <f t="shared" si="29"/>
        <v>4027/4028</v>
      </c>
      <c r="L107" s="184" t="str">
        <f>VLOOKUP(A107,'Trips&amp;Operators'!$C$1:$G$99911,5,FALSE)</f>
        <v>STEWART MICHAEL</v>
      </c>
      <c r="M107" s="6">
        <f t="shared" si="30"/>
        <v>2.6759259264508728E-2</v>
      </c>
      <c r="N107" s="7">
        <f t="shared" si="31"/>
        <v>38.533333340892568</v>
      </c>
      <c r="O107" s="7"/>
      <c r="P107" s="7"/>
      <c r="Q107" s="22"/>
      <c r="R107" s="173"/>
      <c r="S107" s="220">
        <f t="shared" si="32"/>
        <v>1</v>
      </c>
      <c r="T107" s="173" t="str">
        <f t="shared" si="33"/>
        <v>Southbound</v>
      </c>
      <c r="U107" s="19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5" t="str">
        <f t="shared" si="34"/>
        <v>https://d0f6bd738d7f1b3e5a7ca70fe4ff75f0.us-east-1.aws.found.io/app/kibana#/discover/Steve-Slow-Train-Analysis-(2080s-and-2083s)?_g=(refreshInterval:(display:Off,pause:!f,section:0,value:0),time:(from:'2017-11-20T14:53:05-0700',mode:absolute,to:'2017-11-20T17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7" s="203" t="str">
        <f>IF(AA107&lt;VLOOKUP(AG107,Variables!$AC$3:$AD$8,2,FALSE),"Y","N")</f>
        <v>N</v>
      </c>
      <c r="X107" s="203">
        <f t="shared" si="35"/>
        <v>1</v>
      </c>
      <c r="Y107" s="203">
        <f t="shared" si="36"/>
        <v>23.294699999999999</v>
      </c>
      <c r="Z107" s="203">
        <f t="shared" si="37"/>
        <v>2.0299999999999999E-2</v>
      </c>
      <c r="AA107" s="203">
        <f t="shared" si="38"/>
        <v>23.2744</v>
      </c>
      <c r="AB107" s="54" t="e">
        <f>VLOOKUP(A107,Enforcements!$C$7:$K$9,8,0)</f>
        <v>#N/A</v>
      </c>
      <c r="AC107" s="51" t="e">
        <f>VLOOKUP(A107,Enforcements!$C$7:$E$9,3,0)</f>
        <v>#N/A</v>
      </c>
      <c r="AD107" s="178">
        <f t="shared" si="39"/>
        <v>192</v>
      </c>
      <c r="AE107" s="77" t="str">
        <f t="shared" si="40"/>
        <v>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 &amp; aws s3 cp s3://rtdc.mdm.uploadarchive.raw/RTDC4027/ "%USERPROFILE%\AppData\Local\Temp\OnboardLogs"\RTDC4027\2017-11-21 --exclude "*" --recursive --include "*20171121*" &amp; "%USERPROFILE%\Documents\GitHub\mrs-test-scripts\Headless Mode &amp; Sideloading\WalkAndUnGZ.bat" "%USERPROFILE%\AppData\Local\Temp\OnboardLogs"\RTDC4027\2017-11-21</v>
      </c>
      <c r="AF107" s="74" t="str">
        <f t="shared" si="41"/>
        <v>"C:\Program Files (x86)\AstroGrep\AstroGrep.exe" /e /r /s /spath="%USERPROFILE%\AppData\Local\Temp\OnboardLogs" /stypes="app*4027*20171120*" /stext=" 23:.+((SYSTEM_STATE.+slice.+state.+changed )|(ment ac)|(multiple cpu faults)|(system.+state.+changed )|(\[timeout)|(PRM\|1\|D)|(kpr)|(kdp)|(train st.+moving)|(\|lc)|(penalty))"</v>
      </c>
      <c r="AG107" s="181" t="str">
        <f t="shared" si="42"/>
        <v>EC</v>
      </c>
      <c r="AH107" s="78" t="str">
        <f t="shared" si="43"/>
        <v>"%USERPROFILE%\Documents\GitHub\eaglep3\Utilities\RefineRTDCRunTimes.py" --tripid 192-20 --locoid 4027 --swversion DE.1.0.9.0 --startMP 204:232947 --initTime 2017-11-20T15:53:05 --startdatetime 2017-11-20T15:57:24 --delay 49 --endMP 204:203 --enddatetime 2017-11-20T16:35:56 --enforcementcount 0 &gt;&gt;%USERPROFILE%\Documents\GitHub\eaglep3-reporting\EC\2017-11-20-refined-times.txt</v>
      </c>
      <c r="AI107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{"issue":{"subject":"","project_id":79,"tracker_id":40,"status_id":1,"priority_id":2,"assigned_to_id":338,"start_date":"2017-11-20","description":"","custom_fields":[{"id":1,"name":"Subdivision","value":"EC"},{"id":4,"name":"Milepost","value":"0.0203"},{"id":17,"name":"Train ID","value":"192-20"},{"id":16,"name":"Locomotive ID","value":"4027"},{"id":130,"name":"Impact","value":""},{"id":150,"name":"Time of Event (Mountain Time)","value":"16:35:56"},{"id":151,"name":"Denver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1" t="str">
        <f t="shared" si="45"/>
        <v>start /low /b %USERPROFILE%\Documents\GitHub\eaglep3\Utilities\DownloadLogsFromS3.py --loco 4027 --day 2017-11-20</v>
      </c>
      <c r="AN107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23:35:56"},{"id":29,"name":"Sharepoint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7" t="str">
        <f t="shared" si="47"/>
        <v>https://d0f6bd738d7f1b3e5a7ca70fe4ff75f0.us-east-1.aws.found.io/app/kibana#/discover/Steve-Slow-Train-Analysis-(2080s-and-2083s)?_g=(refreshInterval:(display:Off,pause:!f,section:0,value:0),time:(from:'2017-11-20T14:53:05-0700',mode:absolute,to:'2017-11-20T17:35:56-0700'))&amp;_a=(columns:!('Message%20ID',Summary),filters:!(),index:'emp_*',interval:auto,query:(query_string:(analyze_wildcard:!t,query:'%22rtdc.l.rtdc.4027%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800</v>
      </c>
      <c r="B108" s="7">
        <v>4060</v>
      </c>
      <c r="C108" s="21" t="s">
        <v>192</v>
      </c>
      <c r="D108" s="21" t="s">
        <v>531</v>
      </c>
      <c r="E108" s="13">
        <v>43059.630925925929</v>
      </c>
      <c r="F108" s="13">
        <v>43059.63559027778</v>
      </c>
      <c r="G108" s="7">
        <v>63</v>
      </c>
      <c r="H108" s="21" t="s">
        <v>483</v>
      </c>
      <c r="I108" s="13">
        <v>43059.661099537036</v>
      </c>
      <c r="J108" s="7">
        <v>0</v>
      </c>
      <c r="K108" s="89" t="str">
        <f t="shared" si="29"/>
        <v>4059/4060</v>
      </c>
      <c r="L108" s="184" t="str">
        <f>VLOOKUP(A108,'Trips&amp;Operators'!$C$1:$G$99911,5,FALSE)</f>
        <v>AUSTIN THOMPSON</v>
      </c>
      <c r="M108" s="6">
        <f t="shared" si="30"/>
        <v>2.5509259256068617E-2</v>
      </c>
      <c r="N108" s="7">
        <f t="shared" si="31"/>
        <v>36.733333328738809</v>
      </c>
      <c r="O108" s="7"/>
      <c r="P108" s="7"/>
      <c r="Q108" s="22"/>
      <c r="R108" s="173"/>
      <c r="S108" s="220">
        <f t="shared" si="32"/>
        <v>1</v>
      </c>
      <c r="T108" s="173" t="str">
        <f t="shared" si="33"/>
        <v>NorthBound</v>
      </c>
      <c r="U108" s="19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5" t="str">
        <f t="shared" si="34"/>
        <v>https://d0f6bd738d7f1b3e5a7ca70fe4ff75f0.us-east-1.aws.found.io/app/kibana#/discover/Steve-Slow-Train-Analysis-(2080s-and-2083s)?_g=(refreshInterval:(display:Off,pause:!f,section:0,value:0),time:(from:'2017-11-20T14:08:32-0700',mode:absolute,to:'2017-11-20T16:51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8" s="203" t="str">
        <f>IF(AA108&lt;VLOOKUP(AG108,Variables!$AC$3:$AD$8,2,FALSE),"Y","N")</f>
        <v>N</v>
      </c>
      <c r="X108" s="203">
        <f t="shared" si="35"/>
        <v>1</v>
      </c>
      <c r="Y108" s="203">
        <f t="shared" si="36"/>
        <v>5.1900000000000002E-2</v>
      </c>
      <c r="Z108" s="203">
        <f t="shared" si="37"/>
        <v>23.325099999999999</v>
      </c>
      <c r="AA108" s="203">
        <f t="shared" si="38"/>
        <v>23.273199999999999</v>
      </c>
      <c r="AB108" s="54" t="e">
        <f>VLOOKUP(A108,Enforcements!$C$7:$K$9,8,0)</f>
        <v>#N/A</v>
      </c>
      <c r="AC108" s="51" t="e">
        <f>VLOOKUP(A108,Enforcements!$C$7:$E$9,3,0)</f>
        <v>#N/A</v>
      </c>
      <c r="AD108" s="178">
        <f t="shared" si="39"/>
        <v>193</v>
      </c>
      <c r="AE108" s="77" t="str">
        <f t="shared" si="40"/>
        <v>aws s3 cp s3://rtdc.mdm.uploadarchive.raw/RTDC4060/ "%USERPROFILE%\AppData\Local\Temp\OnboardLogs"\RTDC4060\2017-11-20 --exclude "*" --recursive --include "*20171120*" &amp; "%USERPROFILE%\Documents\GitHub\mrs-test-scripts\Headless Mode &amp; Sideloading\WalkAndUnGZ.bat" "%USERPROFILE%\AppData\Local\Temp\OnboardLogs"\RTDC4060\2017-11-20 &amp; aws s3 cp s3://rtdc.mdm.uploadarchive.raw/RTDC4060/ "%USERPROFILE%\AppData\Local\Temp\OnboardLogs"\RTDC4060\2017-11-21 --exclude "*" --recursive --include "*20171121*" &amp; "%USERPROFILE%\Documents\GitHub\mrs-test-scripts\Headless Mode &amp; Sideloading\WalkAndUnGZ.bat" "%USERPROFILE%\AppData\Local\Temp\OnboardLogs"\RTDC4060\2017-11-21</v>
      </c>
      <c r="AF108" s="74" t="str">
        <f t="shared" si="41"/>
        <v>"C:\Program Files (x86)\AstroGrep\AstroGrep.exe" /e /r /s /spath="%USERPROFILE%\AppData\Local\Temp\OnboardLogs" /stypes="app*4060*20171120*" /stext=" 22:.+((SYSTEM_STATE.+slice.+state.+changed )|(ment ac)|(multiple cpu faults)|(system.+state.+changed )|(\[timeout)|(PRM\|1\|D)|(kpr)|(kdp)|(train st.+moving)|(\|lc)|(penalty))"</v>
      </c>
      <c r="AG108" s="181" t="str">
        <f t="shared" si="42"/>
        <v>EC</v>
      </c>
      <c r="AH108" s="78" t="str">
        <f t="shared" si="43"/>
        <v>"%USERPROFILE%\Documents\GitHub\eaglep3\Utilities\RefineRTDCRunTimes.py" --tripid 193-20 --locoid 4060 --swversion DE.1.0.9.0 --startMP 204:519 --initTime 2017-11-20T15:08:32 --startdatetime 2017-11-20T15:15:15 --delay 63 --endMP 204:233251 --enddatetime 2017-11-20T15:51:59 --enforcementcount 0 &gt;&gt;%USERPROFILE%\Documents\GitHub\eaglep3-reporting\EC\2017-11-20-refined-times.txt</v>
      </c>
      <c r="AI108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{"issue":{"subject":"","project_id":79,"tracker_id":40,"status_id":1,"priority_id":2,"assigned_to_id":338,"start_date":"2017-11-20","description":"","custom_fields":[{"id":1,"name":"Subdivision","value":"EC"},{"id":4,"name":"Milepost","value":"23.3251"},{"id":17,"name":"Train ID","value":"193-20"},{"id":16,"name":"Locomotive ID","value":"4060"},{"id":130,"name":"Impact","value":""},{"id":150,"name":"Time of Event (Mountain Time)","value":"15:51:59"},{"id":151,"name":"Denver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1" t="str">
        <f t="shared" si="45"/>
        <v>start /low /b %USERPROFILE%\Documents\GitHub\eaglep3\Utilities\DownloadLogsFromS3.py --loco 4060 --day 2017-11-20</v>
      </c>
      <c r="AN108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22:51:59"},{"id":29,"name":"Sharepoint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7" t="str">
        <f t="shared" si="47"/>
        <v>https://d0f6bd738d7f1b3e5a7ca70fe4ff75f0.us-east-1.aws.found.io/app/kibana#/discover/Steve-Slow-Train-Analysis-(2080s-and-2083s)?_g=(refreshInterval:(display:Off,pause:!f,section:0,value:0),time:(from:'2017-11-20T14:08:32-0700',mode:absolute,to:'2017-11-20T16:51:59-0700'))&amp;_a=(columns:!('Message%20ID',Summary),filters:!(),index:'emp_*',interval:auto,query:(query_string:(analyze_wildcard:!t,query:'%22rtdc.l.rtdc.4060%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813</v>
      </c>
      <c r="B109" s="7">
        <v>4059</v>
      </c>
      <c r="C109" s="21" t="s">
        <v>192</v>
      </c>
      <c r="D109" s="21" t="s">
        <v>557</v>
      </c>
      <c r="E109" s="13">
        <v>43059.672939814816</v>
      </c>
      <c r="F109" s="13">
        <v>43059.675173611111</v>
      </c>
      <c r="G109" s="7">
        <v>53</v>
      </c>
      <c r="H109" s="21" t="s">
        <v>961</v>
      </c>
      <c r="I109" s="13">
        <v>43059.703368055554</v>
      </c>
      <c r="J109" s="7">
        <v>0</v>
      </c>
      <c r="K109" s="89" t="str">
        <f t="shared" si="29"/>
        <v>4059/4060</v>
      </c>
      <c r="L109" s="184" t="str">
        <f>VLOOKUP(A109,'Trips&amp;Operators'!$C$1:$G$99911,5,FALSE)</f>
        <v>AUSTIN THOMPSON</v>
      </c>
      <c r="M109" s="6">
        <f t="shared" si="30"/>
        <v>2.8194444443215616E-2</v>
      </c>
      <c r="N109" s="7">
        <f t="shared" ref="N109:N139" si="48">24*60*SUM($M109:$M109)</f>
        <v>40.599999998230487</v>
      </c>
      <c r="O109" s="7"/>
      <c r="P109" s="7"/>
      <c r="Q109" s="22"/>
      <c r="R109" s="173"/>
      <c r="S109" s="220">
        <f t="shared" ref="S109:S140" si="49">1/IF(AG109="EC",12,1)*SUM(U109:U109)</f>
        <v>1</v>
      </c>
      <c r="T109" s="173" t="str">
        <f t="shared" si="33"/>
        <v>Southbound</v>
      </c>
      <c r="U109" s="19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5" t="str">
        <f t="shared" si="34"/>
        <v>https://d0f6bd738d7f1b3e5a7ca70fe4ff75f0.us-east-1.aws.found.io/app/kibana#/discover/Steve-Slow-Train-Analysis-(2080s-and-2083s)?_g=(refreshInterval:(display:Off,pause:!f,section:0,value:0),time:(from:'2017-11-20T15:09:02-0700',mode:absolute,to:'2017-11-20T17:52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9" s="203" t="str">
        <f>IF(AA109&lt;VLOOKUP(AG109,Variables!$AC$3:$AD$8,2,FALSE),"Y","N")</f>
        <v>N</v>
      </c>
      <c r="X109" s="203">
        <f t="shared" ref="X109:X140" si="50">VALUE(LEFT(AD109,4))-VALUE(LEFT(AD108,4))</f>
        <v>1</v>
      </c>
      <c r="Y109" s="203">
        <f t="shared" ref="Y109:Y140" si="51">RIGHT(D109,LEN(D109)-4)/10000</f>
        <v>23.2942</v>
      </c>
      <c r="Z109" s="203">
        <f t="shared" ref="Z109:Z140" si="52">RIGHT(H109,LEN(H109)-4)/10000</f>
        <v>2.6200000000000001E-2</v>
      </c>
      <c r="AA109" s="203">
        <f t="shared" si="38"/>
        <v>23.268000000000001</v>
      </c>
      <c r="AB109" s="54" t="e">
        <f>VLOOKUP(A109,Enforcements!$C$7:$K$9,8,0)</f>
        <v>#N/A</v>
      </c>
      <c r="AC109" s="51" t="e">
        <f>VLOOKUP(A109,Enforcements!$C$7:$E$9,3,0)</f>
        <v>#N/A</v>
      </c>
      <c r="AD109" s="178">
        <f t="shared" si="39"/>
        <v>194</v>
      </c>
      <c r="AE109" s="77" t="str">
        <f t="shared" si="40"/>
        <v>aws s3 cp s3://rtdc.mdm.uploadarchive.raw/RTDC4059/ "%USERPROFILE%\AppData\Local\Temp\OnboardLogs"\RTDC4059\2017-11-20 --exclude "*" --recursive --include "*20171120*" &amp; "%USERPROFILE%\Documents\GitHub\mrs-test-scripts\Headless Mode &amp; Sideloading\WalkAndUnGZ.bat" "%USERPROFILE%\AppData\Local\Temp\OnboardLogs"\RTDC4059\2017-11-20 &amp; aws s3 cp s3://rtdc.mdm.uploadarchive.raw/RTDC4059/ "%USERPROFILE%\AppData\Local\Temp\OnboardLogs"\RTDC4059\2017-11-21 --exclude "*" --recursive --include "*20171121*" &amp; "%USERPROFILE%\Documents\GitHub\mrs-test-scripts\Headless Mode &amp; Sideloading\WalkAndUnGZ.bat" "%USERPROFILE%\AppData\Local\Temp\OnboardLogs"\RTDC4059\2017-11-21</v>
      </c>
      <c r="AF109" s="74" t="str">
        <f t="shared" si="41"/>
        <v>"C:\Program Files (x86)\AstroGrep\AstroGrep.exe" /e /r /s /spath="%USERPROFILE%\AppData\Local\Temp\OnboardLogs" /stypes="app*4059*20171120*" /stext=" 23:.+((SYSTEM_STATE.+slice.+state.+changed )|(ment ac)|(multiple cpu faults)|(system.+state.+changed )|(\[timeout)|(PRM\|1\|D)|(kpr)|(kdp)|(train st.+moving)|(\|lc)|(penalty))"</v>
      </c>
      <c r="AG109" s="181" t="str">
        <f t="shared" si="42"/>
        <v>EC</v>
      </c>
      <c r="AH109" s="78" t="str">
        <f t="shared" si="43"/>
        <v>"%USERPROFILE%\Documents\GitHub\eaglep3\Utilities\RefineRTDCRunTimes.py" --tripid 194-20 --locoid 4059 --swversion DE.1.0.9.0 --startMP 204:232942 --initTime 2017-11-20T16:09:02 --startdatetime 2017-11-20T16:12:15 --delay 53 --endMP 204:262 --enddatetime 2017-11-20T16:52:51 --enforcementcount 0 &gt;&gt;%USERPROFILE%\Documents\GitHub\eaglep3-reporting\EC\2017-11-20-refined-times.txt</v>
      </c>
      <c r="AI109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{"issue":{"subject":"","project_id":79,"tracker_id":40,"status_id":1,"priority_id":2,"assigned_to_id":338,"start_date":"2017-11-20","description":"","custom_fields":[{"id":1,"name":"Subdivision","value":"EC"},{"id":4,"name":"Milepost","value":"0.0262"},{"id":17,"name":"Train ID","value":"194-20"},{"id":16,"name":"Locomotive ID","value":"4059"},{"id":130,"name":"Impact","value":""},{"id":150,"name":"Time of Event (Mountain Time)","value":"16:52:51"},{"id":151,"name":"Denver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1" t="str">
        <f t="shared" si="45"/>
        <v>start /low /b %USERPROFILE%\Documents\GitHub\eaglep3\Utilities\DownloadLogsFromS3.py --loco 4059 --day 2017-11-20</v>
      </c>
      <c r="AN109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23:52:51"},{"id":29,"name":"Sharepoint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7" t="str">
        <f t="shared" si="47"/>
        <v>https://d0f6bd738d7f1b3e5a7ca70fe4ff75f0.us-east-1.aws.found.io/app/kibana#/discover/Steve-Slow-Train-Analysis-(2080s-and-2083s)?_g=(refreshInterval:(display:Off,pause:!f,section:0,value:0),time:(from:'2017-11-20T15:09:02-0700',mode:absolute,to:'2017-11-20T17:52:51-0700'))&amp;_a=(columns:!('Message%20ID',Summary),filters:!(),index:'emp_*',interval:auto,query:(query_string:(analyze_wildcard:!t,query:'%22rtdc.l.rtdc.4059%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667</v>
      </c>
      <c r="B110" s="7">
        <v>4026</v>
      </c>
      <c r="C110" s="21" t="s">
        <v>192</v>
      </c>
      <c r="D110" s="21" t="s">
        <v>487</v>
      </c>
      <c r="E110" s="13">
        <v>43059.640625</v>
      </c>
      <c r="F110" s="13">
        <v>43059.646134259259</v>
      </c>
      <c r="G110" s="7">
        <v>132</v>
      </c>
      <c r="H110" s="21" t="s">
        <v>962</v>
      </c>
      <c r="I110" s="13">
        <v>43059.671400462961</v>
      </c>
      <c r="J110" s="7">
        <v>0</v>
      </c>
      <c r="K110" s="89" t="str">
        <f t="shared" si="29"/>
        <v>4025/4026</v>
      </c>
      <c r="L110" s="184" t="str">
        <f>VLOOKUP(A110,'Trips&amp;Operators'!$C$1:$G$99911,5,FALSE)</f>
        <v>ANDREA WILLIAMS</v>
      </c>
      <c r="M110" s="6">
        <f t="shared" si="30"/>
        <v>2.5266203701903578E-2</v>
      </c>
      <c r="N110" s="7">
        <f t="shared" si="48"/>
        <v>36.383333330741152</v>
      </c>
      <c r="O110" s="7"/>
      <c r="P110" s="7"/>
      <c r="Q110" s="22"/>
      <c r="R110" s="173"/>
      <c r="S110" s="220">
        <f t="shared" si="49"/>
        <v>1</v>
      </c>
      <c r="T110" s="173" t="str">
        <f t="shared" si="33"/>
        <v>NorthBound</v>
      </c>
      <c r="U110" s="19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5" t="str">
        <f t="shared" si="34"/>
        <v>https://d0f6bd738d7f1b3e5a7ca70fe4ff75f0.us-east-1.aws.found.io/app/kibana#/discover/Steve-Slow-Train-Analysis-(2080s-and-2083s)?_g=(refreshInterval:(display:Off,pause:!f,section:0,value:0),time:(from:'2017-11-20T14:22:30-0700',mode:absolute,to:'2017-11-20T17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0" s="203" t="str">
        <f>IF(AA110&lt;VLOOKUP(AG110,Variables!$AC$3:$AD$8,2,FALSE),"Y","N")</f>
        <v>N</v>
      </c>
      <c r="X110" s="203">
        <f t="shared" si="50"/>
        <v>1</v>
      </c>
      <c r="Y110" s="203">
        <f t="shared" si="51"/>
        <v>5.2200000000000003E-2</v>
      </c>
      <c r="Z110" s="203">
        <f t="shared" si="52"/>
        <v>23.320599999999999</v>
      </c>
      <c r="AA110" s="203">
        <f t="shared" si="38"/>
        <v>23.2684</v>
      </c>
      <c r="AB110" s="54" t="e">
        <f>VLOOKUP(A110,Enforcements!$C$7:$K$9,8,0)</f>
        <v>#N/A</v>
      </c>
      <c r="AC110" s="51" t="e">
        <f>VLOOKUP(A110,Enforcements!$C$7:$E$9,3,0)</f>
        <v>#N/A</v>
      </c>
      <c r="AD110" s="178">
        <f t="shared" si="39"/>
        <v>195</v>
      </c>
      <c r="AE110" s="77" t="str">
        <f t="shared" si="40"/>
        <v>aws s3 cp s3://rtdc.mdm.uploadarchive.raw/RTDC4026/ "%USERPROFILE%\AppData\Local\Temp\OnboardLogs"\RTDC4026\2017-11-20 --exclude "*" --recursive --include "*20171120*" &amp; "%USERPROFILE%\Documents\GitHub\mrs-test-scripts\Headless Mode &amp; Sideloading\WalkAndUnGZ.bat" "%USERPROFILE%\AppData\Local\Temp\OnboardLogs"\RTDC4026\2017-11-20 &amp; aws s3 cp s3://rtdc.mdm.uploadarchive.raw/RTDC4026/ "%USERPROFILE%\AppData\Local\Temp\OnboardLogs"\RTDC4026\2017-11-21 --exclude "*" --recursive --include "*20171121*" &amp; "%USERPROFILE%\Documents\GitHub\mrs-test-scripts\Headless Mode &amp; Sideloading\WalkAndUnGZ.bat" "%USERPROFILE%\AppData\Local\Temp\OnboardLogs"\RTDC4026\2017-11-21</v>
      </c>
      <c r="AF110" s="74" t="str">
        <f t="shared" si="41"/>
        <v>"C:\Program Files (x86)\AstroGrep\AstroGrep.exe" /e /r /s /spath="%USERPROFILE%\AppData\Local\Temp\OnboardLogs" /stypes="app*4026*20171120*" /stext=" 23:.+((SYSTEM_STATE.+slice.+state.+changed )|(ment ac)|(multiple cpu faults)|(system.+state.+changed )|(\[timeout)|(PRM\|1\|D)|(kpr)|(kdp)|(train st.+moving)|(\|lc)|(penalty))"</v>
      </c>
      <c r="AG110" s="181" t="str">
        <f t="shared" si="42"/>
        <v>EC</v>
      </c>
      <c r="AH110" s="78" t="str">
        <f t="shared" si="43"/>
        <v>"%USERPROFILE%\Documents\GitHub\eaglep3\Utilities\RefineRTDCRunTimes.py" --tripid 195-20 --locoid 4026 --swversion DE.1.0.9.0 --startMP 204:522 --initTime 2017-11-20T15:22:30 --startdatetime 2017-11-20T15:30:26 --delay 132 --endMP 204:233206 --enddatetime 2017-11-20T16:06:49 --enforcementcount 0 &gt;&gt;%USERPROFILE%\Documents\GitHub\eaglep3-reporting\EC\2017-11-20-refined-times.txt</v>
      </c>
      <c r="AI110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{"issue":{"subject":"","project_id":79,"tracker_id":40,"status_id":1,"priority_id":2,"assigned_to_id":338,"start_date":"2017-11-20","description":"","custom_fields":[{"id":1,"name":"Subdivision","value":"EC"},{"id":4,"name":"Milepost","value":"23.3206"},{"id":17,"name":"Train ID","value":"195-20"},{"id":16,"name":"Locomotive ID","value":"4026"},{"id":130,"name":"Impact","value":""},{"id":150,"name":"Time of Event (Mountain Time)","value":"16:06:49"},{"id":151,"name":"Denver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1" t="str">
        <f t="shared" si="45"/>
        <v>start /low /b %USERPROFILE%\Documents\GitHub\eaglep3\Utilities\DownloadLogsFromS3.py --loco 4026 --day 2017-11-20</v>
      </c>
      <c r="AN110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23:06:49"},{"id":29,"name":"Sharepoint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7" t="str">
        <f t="shared" si="47"/>
        <v>https://d0f6bd738d7f1b3e5a7ca70fe4ff75f0.us-east-1.aws.found.io/app/kibana#/discover/Steve-Slow-Train-Analysis-(2080s-and-2083s)?_g=(refreshInterval:(display:Off,pause:!f,section:0,value:0),time:(from:'2017-11-20T14:22:30-0700',mode:absolute,to:'2017-11-20T17:06:49-0700'))&amp;_a=(columns:!('Message%20ID',Summary),filters:!(),index:'emp_*',interval:auto,query:(query_string:(analyze_wildcard:!t,query:'%22rtdc.l.rtdc.4026%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814</v>
      </c>
      <c r="B111" s="7">
        <v>4025</v>
      </c>
      <c r="C111" s="21" t="s">
        <v>192</v>
      </c>
      <c r="D111" s="21" t="s">
        <v>963</v>
      </c>
      <c r="E111" s="13">
        <v>43059.673981481479</v>
      </c>
      <c r="F111" s="13">
        <v>43059.685613425929</v>
      </c>
      <c r="G111" s="7">
        <v>77</v>
      </c>
      <c r="H111" s="21" t="s">
        <v>616</v>
      </c>
      <c r="I111" s="13">
        <v>43059.715891203705</v>
      </c>
      <c r="J111" s="7">
        <v>0</v>
      </c>
      <c r="K111" s="89" t="str">
        <f t="shared" si="29"/>
        <v>4025/4026</v>
      </c>
      <c r="L111" s="184" t="str">
        <f>VLOOKUP(A111,'Trips&amp;Operators'!$C$1:$G$99911,5,FALSE)</f>
        <v>ANDREA WILLIAMS</v>
      </c>
      <c r="M111" s="6">
        <f t="shared" si="30"/>
        <v>3.0277777776063886E-2</v>
      </c>
      <c r="N111" s="7">
        <f t="shared" si="48"/>
        <v>43.599999997531995</v>
      </c>
      <c r="O111" s="7"/>
      <c r="P111" s="7"/>
      <c r="Q111" s="22"/>
      <c r="R111" s="173"/>
      <c r="S111" s="220">
        <f t="shared" si="49"/>
        <v>1</v>
      </c>
      <c r="T111" s="173" t="str">
        <f t="shared" si="33"/>
        <v>Southbound</v>
      </c>
      <c r="U111" s="19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5" t="str">
        <f t="shared" si="34"/>
        <v>https://d0f6bd738d7f1b3e5a7ca70fe4ff75f0.us-east-1.aws.found.io/app/kibana#/discover/Steve-Slow-Train-Analysis-(2080s-and-2083s)?_g=(refreshInterval:(display:Off,pause:!f,section:0,value:0),time:(from:'2017-11-20T15:10:32-0700',mode:absolute,to:'2017-11-20T18:10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1" s="203" t="str">
        <f>IF(AA111&lt;VLOOKUP(AG111,Variables!$AC$3:$AD$8,2,FALSE),"Y","N")</f>
        <v>N</v>
      </c>
      <c r="X111" s="203">
        <f t="shared" si="50"/>
        <v>1</v>
      </c>
      <c r="Y111" s="203">
        <f t="shared" si="51"/>
        <v>23.288900000000002</v>
      </c>
      <c r="Z111" s="203">
        <f t="shared" si="52"/>
        <v>2.6700000000000002E-2</v>
      </c>
      <c r="AA111" s="203">
        <f t="shared" si="38"/>
        <v>23.2622</v>
      </c>
      <c r="AB111" s="54" t="e">
        <f>VLOOKUP(A111,Enforcements!$C$7:$K$9,8,0)</f>
        <v>#N/A</v>
      </c>
      <c r="AC111" s="51" t="e">
        <f>VLOOKUP(A111,Enforcements!$C$7:$E$9,3,0)</f>
        <v>#N/A</v>
      </c>
      <c r="AD111" s="178">
        <f t="shared" si="39"/>
        <v>196</v>
      </c>
      <c r="AE111" s="77" t="str">
        <f t="shared" si="40"/>
        <v>aws s3 cp s3://rtdc.mdm.uploadarchive.raw/RTDC4025/ "%USERPROFILE%\AppData\Local\Temp\OnboardLogs"\RTDC4025\2017-11-20 --exclude "*" --recursive --include "*20171120*" &amp; "%USERPROFILE%\Documents\GitHub\mrs-test-scripts\Headless Mode &amp; Sideloading\WalkAndUnGZ.bat" "%USERPROFILE%\AppData\Local\Temp\OnboardLogs"\RTDC4025\2017-11-20 &amp; aws s3 cp s3://rtdc.mdm.uploadarchive.raw/RTDC4025/ "%USERPROFILE%\AppData\Local\Temp\OnboardLogs"\RTDC4025\2017-11-21 --exclude "*" --recursive --include "*20171121*" &amp; "%USERPROFILE%\Documents\GitHub\mrs-test-scripts\Headless Mode &amp; Sideloading\WalkAndUnGZ.bat" "%USERPROFILE%\AppData\Local\Temp\OnboardLogs"\RTDC4025\2017-11-21</v>
      </c>
      <c r="AF111" s="74" t="str">
        <f t="shared" si="41"/>
        <v>"C:\Program Files (x86)\AstroGrep\AstroGrep.exe" /e /r /s /spath="%USERPROFILE%\AppData\Local\Temp\OnboardLogs" /stypes="app*4025*20171121*" /stext=" 00:.+((SYSTEM_STATE.+slice.+state.+changed )|(ment ac)|(multiple cpu faults)|(system.+state.+changed )|(\[timeout)|(PRM\|1\|D)|(kpr)|(kdp)|(train st.+moving)|(\|lc)|(penalty))"</v>
      </c>
      <c r="AG111" s="181" t="str">
        <f t="shared" si="42"/>
        <v>EC</v>
      </c>
      <c r="AH111" s="78" t="str">
        <f t="shared" si="43"/>
        <v>"%USERPROFILE%\Documents\GitHub\eaglep3\Utilities\RefineRTDCRunTimes.py" --tripid 196-20 --locoid 4025 --swversion DE.1.0.9.0 --startMP 204:232889 --initTime 2017-11-20T16:10:32 --startdatetime 2017-11-20T16:27:17 --delay 77 --endMP 204:267 --enddatetime 2017-11-20T17:10:53 --enforcementcount 0 &gt;&gt;%USERPROFILE%\Documents\GitHub\eaglep3-reporting\EC\2017-11-20-refined-times.txt</v>
      </c>
      <c r="AI111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{"issue":{"subject":"","project_id":79,"tracker_id":40,"status_id":1,"priority_id":2,"assigned_to_id":338,"start_date":"2017-11-20","description":"","custom_fields":[{"id":1,"name":"Subdivision","value":"EC"},{"id":4,"name":"Milepost","value":"0.0267"},{"id":17,"name":"Train ID","value":"196-20"},{"id":16,"name":"Locomotive ID","value":"4025"},{"id":130,"name":"Impact","value":""},{"id":150,"name":"Time of Event (Mountain Time)","value":"17:10:53"},{"id":151,"name":"Denver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1" t="str">
        <f t="shared" si="45"/>
        <v>start /low /b %USERPROFILE%\Documents\GitHub\eaglep3\Utilities\DownloadLogsFromS3.py --loco 4025 --day 2017-11-20</v>
      </c>
      <c r="AN111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00:10:53"},{"id":29,"name":"Sharepoint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7" t="str">
        <f t="shared" si="47"/>
        <v>https://d0f6bd738d7f1b3e5a7ca70fe4ff75f0.us-east-1.aws.found.io/app/kibana#/discover/Steve-Slow-Train-Analysis-(2080s-and-2083s)?_g=(refreshInterval:(display:Off,pause:!f,section:0,value:0),time:(from:'2017-11-20T15:10:32-0700',mode:absolute,to:'2017-11-20T18:10:53-0700'))&amp;_a=(columns:!('Message%20ID',Summary),filters:!(),index:'emp_*',interval:auto,query:(query_string:(analyze_wildcard:!t,query:'%22rtdc.l.rtdc.4025%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806</v>
      </c>
      <c r="B112" s="7">
        <v>4006</v>
      </c>
      <c r="C112" s="21" t="s">
        <v>192</v>
      </c>
      <c r="D112" s="21" t="s">
        <v>564</v>
      </c>
      <c r="E112" s="13">
        <v>43059.652881944443</v>
      </c>
      <c r="F112" s="13">
        <v>43059.656585648147</v>
      </c>
      <c r="G112" s="7">
        <v>69</v>
      </c>
      <c r="H112" s="21" t="s">
        <v>523</v>
      </c>
      <c r="I112" s="13">
        <v>43059.681423611109</v>
      </c>
      <c r="J112" s="7">
        <v>0</v>
      </c>
      <c r="K112" s="89" t="str">
        <f t="shared" si="29"/>
        <v>4005/4006</v>
      </c>
      <c r="L112" s="184" t="str">
        <f>VLOOKUP(A112,'Trips&amp;Operators'!$C$1:$G$99911,5,FALSE)</f>
        <v>SAFIEF AEIMEN</v>
      </c>
      <c r="M112" s="6">
        <f t="shared" si="30"/>
        <v>2.4837962962919846E-2</v>
      </c>
      <c r="N112" s="7">
        <f t="shared" si="48"/>
        <v>35.766666666604578</v>
      </c>
      <c r="O112" s="7"/>
      <c r="P112" s="7"/>
      <c r="Q112" s="22"/>
      <c r="R112" s="173"/>
      <c r="S112" s="220">
        <f t="shared" si="49"/>
        <v>1</v>
      </c>
      <c r="T112" s="173" t="str">
        <f t="shared" si="33"/>
        <v>NorthBound</v>
      </c>
      <c r="U112" s="19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5" t="str">
        <f t="shared" si="34"/>
        <v>https://d0f6bd738d7f1b3e5a7ca70fe4ff75f0.us-east-1.aws.found.io/app/kibana#/discover/Steve-Slow-Train-Analysis-(2080s-and-2083s)?_g=(refreshInterval:(display:Off,pause:!f,section:0,value:0),time:(from:'2017-11-20T14:40:09-0700',mode:absolute,to:'2017-11-20T17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2" s="203" t="str">
        <f>IF(AA112&lt;VLOOKUP(AG112,Variables!$AC$3:$AD$8,2,FALSE),"Y","N")</f>
        <v>N</v>
      </c>
      <c r="X112" s="203">
        <f t="shared" si="50"/>
        <v>1</v>
      </c>
      <c r="Y112" s="203">
        <f t="shared" si="51"/>
        <v>5.11E-2</v>
      </c>
      <c r="Z112" s="203">
        <f t="shared" si="52"/>
        <v>23.323799999999999</v>
      </c>
      <c r="AA112" s="203">
        <f t="shared" si="38"/>
        <v>23.272699999999997</v>
      </c>
      <c r="AB112" s="54" t="e">
        <f>VLOOKUP(A112,Enforcements!$C$7:$K$9,8,0)</f>
        <v>#N/A</v>
      </c>
      <c r="AC112" s="51" t="e">
        <f>VLOOKUP(A112,Enforcements!$C$7:$E$9,3,0)</f>
        <v>#N/A</v>
      </c>
      <c r="AD112" s="178">
        <f t="shared" si="39"/>
        <v>197</v>
      </c>
      <c r="AE112" s="77" t="str">
        <f t="shared" si="40"/>
        <v>aws s3 cp s3://rtdc.mdm.uploadarchive.raw/RTDC4006/ "%USERPROFILE%\AppData\Local\Temp\OnboardLogs"\RTDC4006\2017-11-20 --exclude "*" --recursive --include "*20171120*" &amp; "%USERPROFILE%\Documents\GitHub\mrs-test-scripts\Headless Mode &amp; Sideloading\WalkAndUnGZ.bat" "%USERPROFILE%\AppData\Local\Temp\OnboardLogs"\RTDC4006\2017-11-20 &amp; aws s3 cp s3://rtdc.mdm.uploadarchive.raw/RTDC4006/ "%USERPROFILE%\AppData\Local\Temp\OnboardLogs"\RTDC4006\2017-11-21 --exclude "*" --recursive --include "*20171121*" &amp; "%USERPROFILE%\Documents\GitHub\mrs-test-scripts\Headless Mode &amp; Sideloading\WalkAndUnGZ.bat" "%USERPROFILE%\AppData\Local\Temp\OnboardLogs"\RTDC4006\2017-11-21</v>
      </c>
      <c r="AF112" s="74" t="str">
        <f t="shared" si="41"/>
        <v>"C:\Program Files (x86)\AstroGrep\AstroGrep.exe" /e /r /s /spath="%USERPROFILE%\AppData\Local\Temp\OnboardLogs" /stypes="app*4006*20171120*" /stext=" 23:.+((SYSTEM_STATE.+slice.+state.+changed )|(ment ac)|(multiple cpu faults)|(system.+state.+changed )|(\[timeout)|(PRM\|1\|D)|(kpr)|(kdp)|(train st.+moving)|(\|lc)|(penalty))"</v>
      </c>
      <c r="AG112" s="181" t="str">
        <f t="shared" si="42"/>
        <v>EC</v>
      </c>
      <c r="AH112" s="78" t="str">
        <f t="shared" si="43"/>
        <v>"%USERPROFILE%\Documents\GitHub\eaglep3\Utilities\RefineRTDCRunTimes.py" --tripid 197-20 --locoid 4006 --swversion DE.1.0.9.0 --startMP 204:511 --initTime 2017-11-20T15:40:09 --startdatetime 2017-11-20T15:45:29 --delay 69 --endMP 204:233238 --enddatetime 2017-11-20T16:21:15 --enforcementcount 0 &gt;&gt;%USERPROFILE%\Documents\GitHub\eaglep3-reporting\EC\2017-11-20-refined-times.txt</v>
      </c>
      <c r="AI112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{"issue":{"subject":"","project_id":79,"tracker_id":40,"status_id":1,"priority_id":2,"assigned_to_id":338,"start_date":"2017-11-20","description":"","custom_fields":[{"id":1,"name":"Subdivision","value":"EC"},{"id":4,"name":"Milepost","value":"23.3238"},{"id":17,"name":"Train ID","value":"197-20"},{"id":16,"name":"Locomotive ID","value":"4006"},{"id":130,"name":"Impact","value":""},{"id":150,"name":"Time of Event (Mountain Time)","value":"16:21:15"},{"id":151,"name":"Denver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1" t="str">
        <f t="shared" si="45"/>
        <v>start /low /b %USERPROFILE%\Documents\GitHub\eaglep3\Utilities\DownloadLogsFromS3.py --loco 4006 --day 2017-11-20</v>
      </c>
      <c r="AN112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23:21:15"},{"id":29,"name":"Sharepoint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7" t="str">
        <f t="shared" si="47"/>
        <v>https://d0f6bd738d7f1b3e5a7ca70fe4ff75f0.us-east-1.aws.found.io/app/kibana#/discover/Steve-Slow-Train-Analysis-(2080s-and-2083s)?_g=(refreshInterval:(display:Off,pause:!f,section:0,value:0),time:(from:'2017-11-20T14:40:09-0700',mode:absolute,to:'2017-11-20T17:21:15-0700'))&amp;_a=(columns:!('Message%20ID',Summary),filters:!(),index:'emp_*',interval:auto,query:(query_string:(analyze_wildcard:!t,query:'%22rtdc.l.rtdc.4006%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816</v>
      </c>
      <c r="B113" s="7">
        <v>4005</v>
      </c>
      <c r="C113" s="21" t="s">
        <v>192</v>
      </c>
      <c r="D113" s="21" t="s">
        <v>964</v>
      </c>
      <c r="E113" s="13">
        <v>43059.684513888889</v>
      </c>
      <c r="F113" s="13">
        <v>43059.696076388886</v>
      </c>
      <c r="G113" s="7">
        <v>114</v>
      </c>
      <c r="H113" s="21" t="s">
        <v>527</v>
      </c>
      <c r="I113" s="13">
        <v>43059.72451388889</v>
      </c>
      <c r="J113" s="7">
        <v>0</v>
      </c>
      <c r="K113" s="89" t="str">
        <f t="shared" si="29"/>
        <v>4005/4006</v>
      </c>
      <c r="L113" s="184" t="str">
        <f>VLOOKUP(A113,'Trips&amp;Operators'!$C$1:$G$99911,5,FALSE)</f>
        <v>SAFIEF AEIMEN</v>
      </c>
      <c r="M113" s="6">
        <f t="shared" si="30"/>
        <v>2.8437500004656613E-2</v>
      </c>
      <c r="N113" s="7">
        <f t="shared" si="48"/>
        <v>40.950000006705523</v>
      </c>
      <c r="O113" s="7"/>
      <c r="P113" s="7"/>
      <c r="Q113" s="22"/>
      <c r="R113" s="173"/>
      <c r="S113" s="220">
        <f t="shared" si="49"/>
        <v>1</v>
      </c>
      <c r="T113" s="173" t="str">
        <f t="shared" si="33"/>
        <v>Southbound</v>
      </c>
      <c r="U113" s="19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5" t="str">
        <f t="shared" si="34"/>
        <v>https://d0f6bd738d7f1b3e5a7ca70fe4ff75f0.us-east-1.aws.found.io/app/kibana#/discover/Steve-Slow-Train-Analysis-(2080s-and-2083s)?_g=(refreshInterval:(display:Off,pause:!f,section:0,value:0),time:(from:'2017-11-20T15:25:42-0700',mode:absolute,to:'2017-11-20T18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3" s="203" t="str">
        <f>IF(AA113&lt;VLOOKUP(AG113,Variables!$AC$3:$AD$8,2,FALSE),"Y","N")</f>
        <v>N</v>
      </c>
      <c r="X113" s="203">
        <f t="shared" si="50"/>
        <v>1</v>
      </c>
      <c r="Y113" s="203">
        <f t="shared" si="51"/>
        <v>23.290400000000002</v>
      </c>
      <c r="Z113" s="203">
        <f t="shared" si="52"/>
        <v>2.1399999999999999E-2</v>
      </c>
      <c r="AA113" s="203">
        <f t="shared" si="38"/>
        <v>23.269000000000002</v>
      </c>
      <c r="AB113" s="54" t="e">
        <f>VLOOKUP(A113,Enforcements!$C$7:$K$9,8,0)</f>
        <v>#N/A</v>
      </c>
      <c r="AC113" s="51" t="e">
        <f>VLOOKUP(A113,Enforcements!$C$7:$E$9,3,0)</f>
        <v>#N/A</v>
      </c>
      <c r="AD113" s="178">
        <f t="shared" si="39"/>
        <v>198</v>
      </c>
      <c r="AE113" s="77" t="str">
        <f t="shared" si="40"/>
        <v>aws s3 cp s3://rtdc.mdm.uploadarchive.raw/RTDC4005/ "%USERPROFILE%\AppData\Local\Temp\OnboardLogs"\RTDC4005\2017-11-20 --exclude "*" --recursive --include "*20171120*" &amp; "%USERPROFILE%\Documents\GitHub\mrs-test-scripts\Headless Mode &amp; Sideloading\WalkAndUnGZ.bat" "%USERPROFILE%\AppData\Local\Temp\OnboardLogs"\RTDC4005\2017-11-20 &amp; aws s3 cp s3://rtdc.mdm.uploadarchive.raw/RTDC4005/ "%USERPROFILE%\AppData\Local\Temp\OnboardLogs"\RTDC4005\2017-11-21 --exclude "*" --recursive --include "*20171121*" &amp; "%USERPROFILE%\Documents\GitHub\mrs-test-scripts\Headless Mode &amp; Sideloading\WalkAndUnGZ.bat" "%USERPROFILE%\AppData\Local\Temp\OnboardLogs"\RTDC4005\2017-11-21</v>
      </c>
      <c r="AF113" s="74" t="str">
        <f t="shared" si="41"/>
        <v>"C:\Program Files (x86)\AstroGrep\AstroGrep.exe" /e /r /s /spath="%USERPROFILE%\AppData\Local\Temp\OnboardLogs" /stypes="app*4005*20171121*" /stext=" 00:.+((SYSTEM_STATE.+slice.+state.+changed )|(ment ac)|(multiple cpu faults)|(system.+state.+changed )|(\[timeout)|(PRM\|1\|D)|(kpr)|(kdp)|(train st.+moving)|(\|lc)|(penalty))"</v>
      </c>
      <c r="AG113" s="181" t="str">
        <f t="shared" si="42"/>
        <v>EC</v>
      </c>
      <c r="AH113" s="78" t="str">
        <f t="shared" si="43"/>
        <v>"%USERPROFILE%\Documents\GitHub\eaglep3\Utilities\RefineRTDCRunTimes.py" --tripid 198-20 --locoid 4005 --swversion DE.1.0.9.0 --startMP 204:232904 --initTime 2017-11-20T16:25:42 --startdatetime 2017-11-20T16:42:21 --delay 114 --endMP 204:214 --enddatetime 2017-11-20T17:23:18 --enforcementcount 0 &gt;&gt;%USERPROFILE%\Documents\GitHub\eaglep3-reporting\EC\2017-11-20-refined-times.txt</v>
      </c>
      <c r="AI113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{"issue":{"subject":"","project_id":79,"tracker_id":40,"status_id":1,"priority_id":2,"assigned_to_id":338,"start_date":"2017-11-20","description":"","custom_fields":[{"id":1,"name":"Subdivision","value":"EC"},{"id":4,"name":"Milepost","value":"0.0214"},{"id":17,"name":"Train ID","value":"198-20"},{"id":16,"name":"Locomotive ID","value":"4005"},{"id":130,"name":"Impact","value":""},{"id":150,"name":"Time of Event (Mountain Time)","value":"17:23:18"},{"id":151,"name":"Denver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1" t="str">
        <f t="shared" si="45"/>
        <v>start /low /b %USERPROFILE%\Documents\GitHub\eaglep3\Utilities\DownloadLogsFromS3.py --loco 4005 --day 2017-11-20</v>
      </c>
      <c r="AN113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00:23:18"},{"id":29,"name":"Sharepoint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7" t="str">
        <f t="shared" si="47"/>
        <v>https://d0f6bd738d7f1b3e5a7ca70fe4ff75f0.us-east-1.aws.found.io/app/kibana#/discover/Steve-Slow-Train-Analysis-(2080s-and-2083s)?_g=(refreshInterval:(display:Off,pause:!f,section:0,value:0),time:(from:'2017-11-20T15:25:42-0700',mode:absolute,to:'2017-11-20T18:23:18-0700'))&amp;_a=(columns:!('Message%20ID',Summary),filters:!(),index:'emp_*',interval:auto,query:(query_string:(analyze_wildcard:!t,query:'%22rtdc.l.rtdc.4005%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808</v>
      </c>
      <c r="B114" s="7">
        <v>4018</v>
      </c>
      <c r="C114" s="21" t="s">
        <v>192</v>
      </c>
      <c r="D114" s="21" t="s">
        <v>965</v>
      </c>
      <c r="E114" s="13">
        <v>43059.663287037038</v>
      </c>
      <c r="F114" s="13">
        <v>43059.666909722226</v>
      </c>
      <c r="G114" s="7">
        <v>59</v>
      </c>
      <c r="H114" s="21" t="s">
        <v>483</v>
      </c>
      <c r="I114" s="13">
        <v>43059.695879629631</v>
      </c>
      <c r="J114" s="7">
        <v>0</v>
      </c>
      <c r="K114" s="89" t="str">
        <f t="shared" si="29"/>
        <v>4017/4018</v>
      </c>
      <c r="L114" s="184" t="str">
        <f>VLOOKUP(A114,'Trips&amp;Operators'!$C$1:$G$99911,5,FALSE)</f>
        <v>BADERTSCHER DIANE</v>
      </c>
      <c r="M114" s="6">
        <f t="shared" si="30"/>
        <v>2.8969907405553386E-2</v>
      </c>
      <c r="N114" s="7">
        <f t="shared" si="48"/>
        <v>41.716666663996875</v>
      </c>
      <c r="O114" s="7"/>
      <c r="P114" s="7"/>
      <c r="Q114" s="22"/>
      <c r="R114" s="173"/>
      <c r="S114" s="220">
        <f t="shared" si="49"/>
        <v>1</v>
      </c>
      <c r="T114" s="173" t="str">
        <f t="shared" si="33"/>
        <v>NorthBound</v>
      </c>
      <c r="U114" s="19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5" t="str">
        <f t="shared" si="34"/>
        <v>https://d0f6bd738d7f1b3e5a7ca70fe4ff75f0.us-east-1.aws.found.io/app/kibana#/discover/Steve-Slow-Train-Analysis-(2080s-and-2083s)?_g=(refreshInterval:(display:Off,pause:!f,section:0,value:0),time:(from:'2017-11-20T14:55:08-0700',mode:absolute,to:'2017-11-20T17:42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4" s="203" t="str">
        <f>IF(AA114&lt;VLOOKUP(AG114,Variables!$AC$3:$AD$8,2,FALSE),"Y","N")</f>
        <v>N</v>
      </c>
      <c r="X114" s="203">
        <f t="shared" si="50"/>
        <v>1</v>
      </c>
      <c r="Y114" s="203">
        <f t="shared" si="51"/>
        <v>5.6399999999999999E-2</v>
      </c>
      <c r="Z114" s="203">
        <f t="shared" si="52"/>
        <v>23.325099999999999</v>
      </c>
      <c r="AA114" s="203">
        <f t="shared" si="38"/>
        <v>23.268699999999999</v>
      </c>
      <c r="AB114" s="54" t="e">
        <f>VLOOKUP(A114,Enforcements!$C$7:$K$9,8,0)</f>
        <v>#N/A</v>
      </c>
      <c r="AC114" s="51" t="e">
        <f>VLOOKUP(A114,Enforcements!$C$7:$E$9,3,0)</f>
        <v>#N/A</v>
      </c>
      <c r="AD114" s="178">
        <f t="shared" si="39"/>
        <v>199</v>
      </c>
      <c r="AE114" s="77" t="str">
        <f t="shared" si="40"/>
        <v>aws s3 cp s3://rtdc.mdm.uploadarchive.raw/RTDC4018/ "%USERPROFILE%\AppData\Local\Temp\OnboardLogs"\RTDC4018\2017-11-20 --exclude "*" --recursive --include "*20171120*" &amp; "%USERPROFILE%\Documents\GitHub\mrs-test-scripts\Headless Mode &amp; Sideloading\WalkAndUnGZ.bat" "%USERPROFILE%\AppData\Local\Temp\OnboardLogs"\RTDC4018\2017-11-20 &amp; aws s3 cp s3://rtdc.mdm.uploadarchive.raw/RTDC4018/ "%USERPROFILE%\AppData\Local\Temp\OnboardLogs"\RTDC4018\2017-11-21 --exclude "*" --recursive --include "*20171121*" &amp; "%USERPROFILE%\Documents\GitHub\mrs-test-scripts\Headless Mode &amp; Sideloading\WalkAndUnGZ.bat" "%USERPROFILE%\AppData\Local\Temp\OnboardLogs"\RTDC4018\2017-11-21</v>
      </c>
      <c r="AF114" s="74" t="str">
        <f t="shared" si="41"/>
        <v>"C:\Program Files (x86)\AstroGrep\AstroGrep.exe" /e /r /s /spath="%USERPROFILE%\AppData\Local\Temp\OnboardLogs" /stypes="app*4018*20171120*" /stext=" 23:.+((SYSTEM_STATE.+slice.+state.+changed )|(ment ac)|(multiple cpu faults)|(system.+state.+changed )|(\[timeout)|(PRM\|1\|D)|(kpr)|(kdp)|(train st.+moving)|(\|lc)|(penalty))"</v>
      </c>
      <c r="AG114" s="181" t="str">
        <f t="shared" si="42"/>
        <v>EC</v>
      </c>
      <c r="AH114" s="78" t="str">
        <f t="shared" si="43"/>
        <v>"%USERPROFILE%\Documents\GitHub\eaglep3\Utilities\RefineRTDCRunTimes.py" --tripid 199-20 --locoid 4018 --swversion DE.1.0.9.0 --startMP 204:564 --initTime 2017-11-20T15:55:08 --startdatetime 2017-11-20T16:00:21 --delay 59 --endMP 204:233251 --enddatetime 2017-11-20T16:42:04 --enforcementcount 0 &gt;&gt;%USERPROFILE%\Documents\GitHub\eaglep3-reporting\EC\2017-11-20-refined-times.txt</v>
      </c>
      <c r="AI114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{"issue":{"subject":"","project_id":79,"tracker_id":40,"status_id":1,"priority_id":2,"assigned_to_id":338,"start_date":"2017-11-20","description":"","custom_fields":[{"id":1,"name":"Subdivision","value":"EC"},{"id":4,"name":"Milepost","value":"23.3251"},{"id":17,"name":"Train ID","value":"199-20"},{"id":16,"name":"Locomotive ID","value":"4018"},{"id":130,"name":"Impact","value":""},{"id":150,"name":"Time of Event (Mountain Time)","value":"16:42:04"},{"id":151,"name":"Denver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1" t="str">
        <f t="shared" si="45"/>
        <v>start /low /b %USERPROFILE%\Documents\GitHub\eaglep3\Utilities\DownloadLogsFromS3.py --loco 4018 --day 2017-11-20</v>
      </c>
      <c r="AN114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23:42:04"},{"id":29,"name":"Sharepoint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7" t="str">
        <f t="shared" si="47"/>
        <v>https://d0f6bd738d7f1b3e5a7ca70fe4ff75f0.us-east-1.aws.found.io/app/kibana#/discover/Steve-Slow-Train-Analysis-(2080s-and-2083s)?_g=(refreshInterval:(display:Off,pause:!f,section:0,value:0),time:(from:'2017-11-20T14:55:08-0700',mode:absolute,to:'2017-11-20T17:42:04-0700'))&amp;_a=(columns:!('Message%20ID',Summary),filters:!(),index:'emp_*',interval:auto,query:(query_string:(analyze_wildcard:!t,query:'%22rtdc.l.rtdc.4018%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820</v>
      </c>
      <c r="B115" s="7">
        <v>4017</v>
      </c>
      <c r="C115" s="21" t="s">
        <v>192</v>
      </c>
      <c r="D115" s="21" t="s">
        <v>966</v>
      </c>
      <c r="E115" s="13">
        <v>43059.702037037037</v>
      </c>
      <c r="F115" s="13">
        <v>43059.706469907411</v>
      </c>
      <c r="G115" s="7">
        <v>61</v>
      </c>
      <c r="H115" s="21" t="s">
        <v>560</v>
      </c>
      <c r="I115" s="13">
        <v>43059.735162037039</v>
      </c>
      <c r="J115" s="7">
        <v>0</v>
      </c>
      <c r="K115" s="89" t="str">
        <f t="shared" si="29"/>
        <v>4017/4018</v>
      </c>
      <c r="L115" s="184" t="str">
        <f>VLOOKUP(A115,'Trips&amp;Operators'!$C$1:$G$99911,5,FALSE)</f>
        <v>BADERTSCHER DIANE</v>
      </c>
      <c r="M115" s="6">
        <f t="shared" si="30"/>
        <v>2.8692129628325347E-2</v>
      </c>
      <c r="N115" s="7">
        <f t="shared" si="48"/>
        <v>41.316666664788499</v>
      </c>
      <c r="O115" s="7"/>
      <c r="P115" s="7"/>
      <c r="Q115" s="22"/>
      <c r="R115" s="173"/>
      <c r="S115" s="220">
        <f t="shared" si="49"/>
        <v>1</v>
      </c>
      <c r="T115" s="173" t="str">
        <f t="shared" si="33"/>
        <v>Southbound</v>
      </c>
      <c r="U115" s="19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5" t="str">
        <f t="shared" si="34"/>
        <v>https://d0f6bd738d7f1b3e5a7ca70fe4ff75f0.us-east-1.aws.found.io/app/kibana#/discover/Steve-Slow-Train-Analysis-(2080s-and-2083s)?_g=(refreshInterval:(display:Off,pause:!f,section:0,value:0),time:(from:'2017-11-20T15:50:56-0700',mode:absolute,to:'2017-11-20T18:38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5" s="203" t="str">
        <f>IF(AA115&lt;VLOOKUP(AG115,Variables!$AC$3:$AD$8,2,FALSE),"Y","N")</f>
        <v>N</v>
      </c>
      <c r="X115" s="203">
        <f t="shared" si="50"/>
        <v>1</v>
      </c>
      <c r="Y115" s="203">
        <f t="shared" si="51"/>
        <v>23.293800000000001</v>
      </c>
      <c r="Z115" s="203">
        <f t="shared" si="52"/>
        <v>1.9199999999999998E-2</v>
      </c>
      <c r="AA115" s="203">
        <f t="shared" si="38"/>
        <v>23.2746</v>
      </c>
      <c r="AB115" s="54" t="e">
        <f>VLOOKUP(A115,Enforcements!$C$7:$K$9,8,0)</f>
        <v>#N/A</v>
      </c>
      <c r="AC115" s="51" t="e">
        <f>VLOOKUP(A115,Enforcements!$C$7:$E$9,3,0)</f>
        <v>#N/A</v>
      </c>
      <c r="AD115" s="178">
        <f t="shared" si="39"/>
        <v>200</v>
      </c>
      <c r="AE115" s="77" t="str">
        <f t="shared" si="40"/>
        <v>aws s3 cp s3://rtdc.mdm.uploadarchive.raw/RTDC4017/ "%USERPROFILE%\AppData\Local\Temp\OnboardLogs"\RTDC4017\2017-11-20 --exclude "*" --recursive --include "*20171120*" &amp; "%USERPROFILE%\Documents\GitHub\mrs-test-scripts\Headless Mode &amp; Sideloading\WalkAndUnGZ.bat" "%USERPROFILE%\AppData\Local\Temp\OnboardLogs"\RTDC4017\2017-11-20 &amp; aws s3 cp s3://rtdc.mdm.uploadarchive.raw/RTDC4017/ "%USERPROFILE%\AppData\Local\Temp\OnboardLogs"\RTDC4017\2017-11-21 --exclude "*" --recursive --include "*20171121*" &amp; "%USERPROFILE%\Documents\GitHub\mrs-test-scripts\Headless Mode &amp; Sideloading\WalkAndUnGZ.bat" "%USERPROFILE%\AppData\Local\Temp\OnboardLogs"\RTDC4017\2017-11-21</v>
      </c>
      <c r="AF115" s="74" t="str">
        <f t="shared" si="41"/>
        <v>"C:\Program Files (x86)\AstroGrep\AstroGrep.exe" /e /r /s /spath="%USERPROFILE%\AppData\Local\Temp\OnboardLogs" /stypes="app*4017*20171121*" /stext=" 00:.+((SYSTEM_STATE.+slice.+state.+changed )|(ment ac)|(multiple cpu faults)|(system.+state.+changed )|(\[timeout)|(PRM\|1\|D)|(kpr)|(kdp)|(train st.+moving)|(\|lc)|(penalty))"</v>
      </c>
      <c r="AG115" s="181" t="str">
        <f t="shared" si="42"/>
        <v>EC</v>
      </c>
      <c r="AH115" s="78" t="str">
        <f t="shared" si="43"/>
        <v>"%USERPROFILE%\Documents\GitHub\eaglep3\Utilities\RefineRTDCRunTimes.py" --tripid 200-20 --locoid 4017 --swversion DE.1.0.9.0 --startMP 204:232938 --initTime 2017-11-20T16:50:56 --startdatetime 2017-11-20T16:57:19 --delay 61 --endMP 204:192 --enddatetime 2017-11-20T17:38:38 --enforcementcount 0 &gt;&gt;%USERPROFILE%\Documents\GitHub\eaglep3-reporting\EC\2017-11-20-refined-times.txt</v>
      </c>
      <c r="AI115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{"issue":{"subject":"","project_id":79,"tracker_id":40,"status_id":1,"priority_id":2,"assigned_to_id":338,"start_date":"2017-11-20","description":"","custom_fields":[{"id":1,"name":"Subdivision","value":"EC"},{"id":4,"name":"Milepost","value":"0.0192"},{"id":17,"name":"Train ID","value":"200-20"},{"id":16,"name":"Locomotive ID","value":"4017"},{"id":130,"name":"Impact","value":""},{"id":150,"name":"Time of Event (Mountain Time)","value":"17:38:38"},{"id":151,"name":"Denver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1" t="str">
        <f t="shared" si="45"/>
        <v>start /low /b %USERPROFILE%\Documents\GitHub\eaglep3\Utilities\DownloadLogsFromS3.py --loco 4017 --day 2017-11-20</v>
      </c>
      <c r="AN115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00:38:38"},{"id":29,"name":"Sharepoint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7" t="str">
        <f t="shared" si="47"/>
        <v>https://d0f6bd738d7f1b3e5a7ca70fe4ff75f0.us-east-1.aws.found.io/app/kibana#/discover/Steve-Slow-Train-Analysis-(2080s-and-2083s)?_g=(refreshInterval:(display:Off,pause:!f,section:0,value:0),time:(from:'2017-11-20T15:50:56-0700',mode:absolute,to:'2017-11-20T18:38:38-0700'))&amp;_a=(columns:!('Message%20ID',Summary),filters:!(),index:'emp_*',interval:auto,query:(query_string:(analyze_wildcard:!t,query:'%22rtdc.l.rtdc.4017%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811</v>
      </c>
      <c r="B116" s="7">
        <v>4002</v>
      </c>
      <c r="C116" s="21" t="s">
        <v>192</v>
      </c>
      <c r="D116" s="21" t="s">
        <v>601</v>
      </c>
      <c r="E116" s="13">
        <v>43059.671157407407</v>
      </c>
      <c r="F116" s="13">
        <v>43059.677418981482</v>
      </c>
      <c r="G116" s="7">
        <v>81</v>
      </c>
      <c r="H116" s="21" t="s">
        <v>898</v>
      </c>
      <c r="I116" s="13">
        <v>43059.704212962963</v>
      </c>
      <c r="J116" s="7">
        <v>0</v>
      </c>
      <c r="K116" s="89" t="str">
        <f t="shared" si="29"/>
        <v>4001/4002</v>
      </c>
      <c r="L116" s="184" t="str">
        <f>VLOOKUP(A116,'Trips&amp;Operators'!$C$1:$G$99911,5,FALSE)</f>
        <v>GONZALEZ ARMANDO</v>
      </c>
      <c r="M116" s="6">
        <f t="shared" si="30"/>
        <v>2.679398148029577E-2</v>
      </c>
      <c r="N116" s="7">
        <f t="shared" si="48"/>
        <v>38.583333331625909</v>
      </c>
      <c r="O116" s="7"/>
      <c r="P116" s="7"/>
      <c r="Q116" s="22"/>
      <c r="R116" s="173"/>
      <c r="S116" s="220">
        <f t="shared" si="49"/>
        <v>1</v>
      </c>
      <c r="T116" s="173" t="str">
        <f t="shared" si="33"/>
        <v>NorthBound</v>
      </c>
      <c r="U116" s="19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5" t="str">
        <f t="shared" si="34"/>
        <v>https://d0f6bd738d7f1b3e5a7ca70fe4ff75f0.us-east-1.aws.found.io/app/kibana#/discover/Steve-Slow-Train-Analysis-(2080s-and-2083s)?_g=(refreshInterval:(display:Off,pause:!f,section:0,value:0),time:(from:'2017-11-20T15:06:28-0700',mode:absolute,to:'2017-11-20T17:54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6" s="203" t="str">
        <f>IF(AA116&lt;VLOOKUP(AG116,Variables!$AC$3:$AD$8,2,FALSE),"Y","N")</f>
        <v>N</v>
      </c>
      <c r="X116" s="203">
        <f t="shared" si="50"/>
        <v>1</v>
      </c>
      <c r="Y116" s="203">
        <f t="shared" si="51"/>
        <v>4.9099999999999998E-2</v>
      </c>
      <c r="Z116" s="203">
        <f t="shared" si="52"/>
        <v>23.330100000000002</v>
      </c>
      <c r="AA116" s="203">
        <f t="shared" si="38"/>
        <v>23.281000000000002</v>
      </c>
      <c r="AB116" s="54" t="e">
        <f>VLOOKUP(A116,Enforcements!$C$7:$K$9,8,0)</f>
        <v>#N/A</v>
      </c>
      <c r="AC116" s="51" t="e">
        <f>VLOOKUP(A116,Enforcements!$C$7:$E$9,3,0)</f>
        <v>#N/A</v>
      </c>
      <c r="AD116" s="178">
        <f t="shared" si="39"/>
        <v>201</v>
      </c>
      <c r="AE116" s="77" t="str">
        <f t="shared" si="40"/>
        <v>aws s3 cp s3://rtdc.mdm.uploadarchive.raw/RTDC4002/ "%USERPROFILE%\AppData\Local\Temp\OnboardLogs"\RTDC4002\2017-11-20 --exclude "*" --recursive --include "*20171120*" &amp; "%USERPROFILE%\Documents\GitHub\mrs-test-scripts\Headless Mode &amp; Sideloading\WalkAndUnGZ.bat" "%USERPROFILE%\AppData\Local\Temp\OnboardLogs"\RTDC4002\2017-11-20 &amp; aws s3 cp s3://rtdc.mdm.uploadarchive.raw/RTDC4002/ "%USERPROFILE%\AppData\Local\Temp\OnboardLogs"\RTDC4002\2017-11-21 --exclude "*" --recursive --include "*20171121*" &amp; "%USERPROFILE%\Documents\GitHub\mrs-test-scripts\Headless Mode &amp; Sideloading\WalkAndUnGZ.bat" "%USERPROFILE%\AppData\Local\Temp\OnboardLogs"\RTDC4002\2017-11-21</v>
      </c>
      <c r="AF116" s="74" t="str">
        <f t="shared" si="41"/>
        <v>"C:\Program Files (x86)\AstroGrep\AstroGrep.exe" /e /r /s /spath="%USERPROFILE%\AppData\Local\Temp\OnboardLogs" /stypes="app*4002*20171120*" /stext=" 23:.+((SYSTEM_STATE.+slice.+state.+changed )|(ment ac)|(multiple cpu faults)|(system.+state.+changed )|(\[timeout)|(PRM\|1\|D)|(kpr)|(kdp)|(train st.+moving)|(\|lc)|(penalty))"</v>
      </c>
      <c r="AG116" s="181" t="str">
        <f t="shared" si="42"/>
        <v>EC</v>
      </c>
      <c r="AH116" s="78" t="str">
        <f t="shared" si="43"/>
        <v>"%USERPROFILE%\Documents\GitHub\eaglep3\Utilities\RefineRTDCRunTimes.py" --tripid 201-20 --locoid 4002 --swversion DE.1.0.9.0 --startMP 204:491 --initTime 2017-11-20T16:06:28 --startdatetime 2017-11-20T16:15:29 --delay 81 --endMP 204:233301 --enddatetime 2017-11-20T16:54:04 --enforcementcount 0 &gt;&gt;%USERPROFILE%\Documents\GitHub\eaglep3-reporting\EC\2017-11-20-refined-times.txt</v>
      </c>
      <c r="AI116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{"issue":{"subject":"","project_id":79,"tracker_id":40,"status_id":1,"priority_id":2,"assigned_to_id":338,"start_date":"2017-11-20","description":"","custom_fields":[{"id":1,"name":"Subdivision","value":"EC"},{"id":4,"name":"Milepost","value":"23.3301"},{"id":17,"name":"Train ID","value":"201-20"},{"id":16,"name":"Locomotive ID","value":"4002"},{"id":130,"name":"Impact","value":""},{"id":150,"name":"Time of Event (Mountain Time)","value":"16:54:04"},{"id":151,"name":"Denver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1" t="str">
        <f t="shared" si="45"/>
        <v>start /low /b %USERPROFILE%\Documents\GitHub\eaglep3\Utilities\DownloadLogsFromS3.py --loco 4002 --day 2017-11-20</v>
      </c>
      <c r="AN116" s="150" t="str">
        <f t="shared" si="46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23:54:04"},{"id":29,"name":"Sharepoint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7" t="str">
        <f t="shared" si="47"/>
        <v>https://d0f6bd738d7f1b3e5a7ca70fe4ff75f0.us-east-1.aws.found.io/app/kibana#/discover/Steve-Slow-Train-Analysis-(2080s-and-2083s)?_g=(refreshInterval:(display:Off,pause:!f,section:0,value:0),time:(from:'2017-11-20T15:06:28-0700',mode:absolute,to:'2017-11-20T17:54:04-0700'))&amp;_a=(columns:!('Message%20ID',Summary),filters:!(),index:'emp_*',interval:auto,query:(query_string:(analyze_wildcard:!t,query:'%22rtdc.l.rtdc.4002%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826</v>
      </c>
      <c r="B117" s="7">
        <v>4001</v>
      </c>
      <c r="C117" s="21" t="s">
        <v>192</v>
      </c>
      <c r="D117" s="21" t="s">
        <v>894</v>
      </c>
      <c r="E117" s="13">
        <v>43059.712881944448</v>
      </c>
      <c r="F117" s="13">
        <v>43059.716851851852</v>
      </c>
      <c r="G117" s="7">
        <v>72</v>
      </c>
      <c r="H117" s="21" t="s">
        <v>897</v>
      </c>
      <c r="I117" s="13">
        <v>43059.742777777778</v>
      </c>
      <c r="J117" s="7">
        <v>0</v>
      </c>
      <c r="K117" s="89" t="str">
        <f t="shared" si="29"/>
        <v>4001/4002</v>
      </c>
      <c r="L117" s="184" t="str">
        <f>VLOOKUP(A117,'Trips&amp;Operators'!$C$1:$G$99911,5,FALSE)</f>
        <v>GONZALEZ ARMANDO</v>
      </c>
      <c r="M117" s="6">
        <f t="shared" si="30"/>
        <v>2.5925925925548654E-2</v>
      </c>
      <c r="N117" s="7">
        <f t="shared" si="48"/>
        <v>37.333333332790062</v>
      </c>
      <c r="O117" s="7"/>
      <c r="P117" s="7"/>
      <c r="Q117" s="22"/>
      <c r="R117" s="173"/>
      <c r="S117" s="220">
        <f t="shared" si="49"/>
        <v>1</v>
      </c>
      <c r="T117" s="173" t="str">
        <f t="shared" si="33"/>
        <v>Southbound</v>
      </c>
      <c r="U117" s="19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5" t="str">
        <f t="shared" si="34"/>
        <v>https://d0f6bd738d7f1b3e5a7ca70fe4ff75f0.us-east-1.aws.found.io/app/kibana#/discover/Steve-Slow-Train-Analysis-(2080s-and-2083s)?_g=(refreshInterval:(display:Off,pause:!f,section:0,value:0),time:(from:'2017-11-20T16:06:33-0700',mode:absolute,to:'2017-11-20T18:49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7" s="203" t="str">
        <f>IF(AA117&lt;VLOOKUP(AG117,Variables!$AC$3:$AD$8,2,FALSE),"Y","N")</f>
        <v>N</v>
      </c>
      <c r="X117" s="203">
        <f t="shared" si="50"/>
        <v>1</v>
      </c>
      <c r="Y117" s="203">
        <f t="shared" si="51"/>
        <v>23.296700000000001</v>
      </c>
      <c r="Z117" s="203">
        <f t="shared" si="52"/>
        <v>1.72E-2</v>
      </c>
      <c r="AA117" s="203">
        <f t="shared" si="38"/>
        <v>23.279500000000002</v>
      </c>
      <c r="AB117" s="54" t="e">
        <f>VLOOKUP(A117,Enforcements!$C$7:$K$9,8,0)</f>
        <v>#N/A</v>
      </c>
      <c r="AC117" s="51" t="e">
        <f>VLOOKUP(A117,Enforcements!$C$7:$E$9,3,0)</f>
        <v>#N/A</v>
      </c>
      <c r="AD117" s="178">
        <f t="shared" si="39"/>
        <v>202</v>
      </c>
      <c r="AE117" s="77" t="str">
        <f t="shared" si="40"/>
        <v>aws s3 cp s3://rtdc.mdm.uploadarchive.raw/RTDC4001/ "%USERPROFILE%\AppData\Local\Temp\OnboardLogs"\RTDC4001\2017-11-20 --exclude "*" --recursive --include "*20171120*" &amp; "%USERPROFILE%\Documents\GitHub\mrs-test-scripts\Headless Mode &amp; Sideloading\WalkAndUnGZ.bat" "%USERPROFILE%\AppData\Local\Temp\OnboardLogs"\RTDC4001\2017-11-20 &amp; aws s3 cp s3://rtdc.mdm.uploadarchive.raw/RTDC4001/ "%USERPROFILE%\AppData\Local\Temp\OnboardLogs"\RTDC4001\2017-11-21 --exclude "*" --recursive --include "*20171121*" &amp; "%USERPROFILE%\Documents\GitHub\mrs-test-scripts\Headless Mode &amp; Sideloading\WalkAndUnGZ.bat" "%USERPROFILE%\AppData\Local\Temp\OnboardLogs"\RTDC4001\2017-11-21</v>
      </c>
      <c r="AF117" s="74" t="str">
        <f t="shared" si="41"/>
        <v>"C:\Program Files (x86)\AstroGrep\AstroGrep.exe" /e /r /s /spath="%USERPROFILE%\AppData\Local\Temp\OnboardLogs" /stypes="app*4001*20171121*" /stext=" 00:.+((SYSTEM_STATE.+slice.+state.+changed )|(ment ac)|(multiple cpu faults)|(system.+state.+changed )|(\[timeout)|(PRM\|1\|D)|(kpr)|(kdp)|(train st.+moving)|(\|lc)|(penalty))"</v>
      </c>
      <c r="AG117" s="181" t="str">
        <f t="shared" si="42"/>
        <v>EC</v>
      </c>
      <c r="AH117" s="78" t="str">
        <f t="shared" si="43"/>
        <v>"%USERPROFILE%\Documents\GitHub\eaglep3\Utilities\RefineRTDCRunTimes.py" --tripid 202-20 --locoid 4001 --swversion DE.1.0.9.0 --startMP 204:232967 --initTime 2017-11-20T17:06:33 --startdatetime 2017-11-20T17:12:16 --delay 72 --endMP 204:172 --enddatetime 2017-11-20T17:49:36 --enforcementcount 0 &gt;&gt;%USERPROFILE%\Documents\GitHub\eaglep3-reporting\EC\2017-11-20-refined-times.txt</v>
      </c>
      <c r="AI117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{"issue":{"subject":"","project_id":79,"tracker_id":40,"status_id":1,"priority_id":2,"assigned_to_id":338,"start_date":"2017-11-20","description":"","custom_fields":[{"id":1,"name":"Subdivision","value":"EC"},{"id":4,"name":"Milepost","value":"0.0172"},{"id":17,"name":"Train ID","value":"202-20"},{"id":16,"name":"Locomotive ID","value":"4001"},{"id":130,"name":"Impact","value":""},{"id":150,"name":"Time of Event (Mountain Time)","value":"17:49:36"},{"id":151,"name":"Denver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1" t="str">
        <f t="shared" si="45"/>
        <v>start /low /b %USERPROFILE%\Documents\GitHub\eaglep3\Utilities\DownloadLogsFromS3.py --loco 4001 --day 2017-11-20</v>
      </c>
      <c r="AN117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00:49:36"},{"id":29,"name":"Sharepoint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7" t="str">
        <f t="shared" si="47"/>
        <v>https://d0f6bd738d7f1b3e5a7ca70fe4ff75f0.us-east-1.aws.found.io/app/kibana#/discover/Steve-Slow-Train-Analysis-(2080s-and-2083s)?_g=(refreshInterval:(display:Off,pause:!f,section:0,value:0),time:(from:'2017-11-20T16:06:33-0700',mode:absolute,to:'2017-11-20T18:49:36-0700'))&amp;_a=(columns:!('Message%20ID',Summary),filters:!(),index:'emp_*',interval:auto,query:(query_string:(analyze_wildcard:!t,query:'%22rtdc.l.rtdc.4001%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815</v>
      </c>
      <c r="B118" s="7">
        <v>4064</v>
      </c>
      <c r="C118" s="21" t="s">
        <v>192</v>
      </c>
      <c r="D118" s="21" t="s">
        <v>602</v>
      </c>
      <c r="E118" s="13">
        <v>43059.684606481482</v>
      </c>
      <c r="F118" s="13">
        <v>43059.687685185185</v>
      </c>
      <c r="G118" s="7">
        <v>75</v>
      </c>
      <c r="H118" s="21" t="s">
        <v>481</v>
      </c>
      <c r="I118" s="13">
        <v>43059.713379629633</v>
      </c>
      <c r="J118" s="7">
        <v>0</v>
      </c>
      <c r="K118" s="89" t="str">
        <f t="shared" si="29"/>
        <v>4063/4064</v>
      </c>
      <c r="L118" s="184" t="str">
        <f>VLOOKUP(A118,'Trips&amp;Operators'!$C$1:$G$99911,5,FALSE)</f>
        <v>KILLION DAVID</v>
      </c>
      <c r="M118" s="6">
        <f t="shared" si="30"/>
        <v>2.5694444448163267E-2</v>
      </c>
      <c r="N118" s="7">
        <f t="shared" si="48"/>
        <v>37.000000005355105</v>
      </c>
      <c r="O118" s="7"/>
      <c r="P118" s="7"/>
      <c r="Q118" s="22"/>
      <c r="R118" s="173"/>
      <c r="S118" s="220">
        <f t="shared" si="49"/>
        <v>1</v>
      </c>
      <c r="T118" s="173" t="str">
        <f t="shared" si="33"/>
        <v>NorthBound</v>
      </c>
      <c r="U118" s="19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5" t="str">
        <f t="shared" si="34"/>
        <v>https://d0f6bd738d7f1b3e5a7ca70fe4ff75f0.us-east-1.aws.found.io/app/kibana#/discover/Steve-Slow-Train-Analysis-(2080s-and-2083s)?_g=(refreshInterval:(display:Off,pause:!f,section:0,value:0),time:(from:'2017-11-20T15:25:50-0700',mode:absolute,to:'2017-11-20T18:07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8" s="203" t="str">
        <f>IF(AA118&lt;VLOOKUP(AG118,Variables!$AC$3:$AD$8,2,FALSE),"Y","N")</f>
        <v>N</v>
      </c>
      <c r="X118" s="203">
        <f t="shared" si="50"/>
        <v>1</v>
      </c>
      <c r="Y118" s="203">
        <f t="shared" si="51"/>
        <v>4.5999999999999999E-2</v>
      </c>
      <c r="Z118" s="203">
        <f t="shared" si="52"/>
        <v>23.327000000000002</v>
      </c>
      <c r="AA118" s="203">
        <f t="shared" si="38"/>
        <v>23.281000000000002</v>
      </c>
      <c r="AB118" s="54" t="e">
        <f>VLOOKUP(A118,Enforcements!$C$7:$K$9,8,0)</f>
        <v>#N/A</v>
      </c>
      <c r="AC118" s="51" t="e">
        <f>VLOOKUP(A118,Enforcements!$C$7:$E$9,3,0)</f>
        <v>#N/A</v>
      </c>
      <c r="AD118" s="178">
        <f t="shared" si="39"/>
        <v>203</v>
      </c>
      <c r="AE118" s="77" t="str">
        <f t="shared" si="40"/>
        <v>aws s3 cp s3://rtdc.mdm.uploadarchive.raw/RTDC4064/ "%USERPROFILE%\AppData\Local\Temp\OnboardLogs"\RTDC4064\2017-11-20 --exclude "*" --recursive --include "*20171120*" &amp; "%USERPROFILE%\Documents\GitHub\mrs-test-scripts\Headless Mode &amp; Sideloading\WalkAndUnGZ.bat" "%USERPROFILE%\AppData\Local\Temp\OnboardLogs"\RTDC4064\2017-11-20 &amp; aws s3 cp s3://rtdc.mdm.uploadarchive.raw/RTDC4064/ "%USERPROFILE%\AppData\Local\Temp\OnboardLogs"\RTDC4064\2017-11-21 --exclude "*" --recursive --include "*20171121*" &amp; "%USERPROFILE%\Documents\GitHub\mrs-test-scripts\Headless Mode &amp; Sideloading\WalkAndUnGZ.bat" "%USERPROFILE%\AppData\Local\Temp\OnboardLogs"\RTDC4064\2017-11-21</v>
      </c>
      <c r="AF118" s="74" t="str">
        <f t="shared" si="41"/>
        <v>"C:\Program Files (x86)\AstroGrep\AstroGrep.exe" /e /r /s /spath="%USERPROFILE%\AppData\Local\Temp\OnboardLogs" /stypes="app*4064*20171121*" /stext=" 00:.+((SYSTEM_STATE.+slice.+state.+changed )|(ment ac)|(multiple cpu faults)|(system.+state.+changed )|(\[timeout)|(PRM\|1\|D)|(kpr)|(kdp)|(train st.+moving)|(\|lc)|(penalty))"</v>
      </c>
      <c r="AG118" s="181" t="str">
        <f t="shared" si="42"/>
        <v>EC</v>
      </c>
      <c r="AH118" s="78" t="str">
        <f t="shared" si="43"/>
        <v>"%USERPROFILE%\Documents\GitHub\eaglep3\Utilities\RefineRTDCRunTimes.py" --tripid 203-20 --locoid 4064 --swversion DE.1.0.9.0 --startMP 204:460 --initTime 2017-11-20T16:25:50 --startdatetime 2017-11-20T16:30:16 --delay 75 --endMP 204:233270 --enddatetime 2017-11-20T17:07:16 --enforcementcount 0 &gt;&gt;%USERPROFILE%\Documents\GitHub\eaglep3-reporting\EC\2017-11-20-refined-times.txt</v>
      </c>
      <c r="AI118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{"issue":{"subject":"","project_id":79,"tracker_id":40,"status_id":1,"priority_id":2,"assigned_to_id":338,"start_date":"2017-11-20","description":"","custom_fields":[{"id":1,"name":"Subdivision","value":"EC"},{"id":4,"name":"Milepost","value":"23.327"},{"id":17,"name":"Train ID","value":"203-20"},{"id":16,"name":"Locomotive ID","value":"4064"},{"id":130,"name":"Impact","value":""},{"id":150,"name":"Time of Event (Mountain Time)","value":"17:07:16"},{"id":151,"name":"Denver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1" t="str">
        <f t="shared" si="45"/>
        <v>start /low /b %USERPROFILE%\Documents\GitHub\eaglep3\Utilities\DownloadLogsFromS3.py --loco 4064 --day 2017-11-20</v>
      </c>
      <c r="AN118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00:07:16"},{"id":29,"name":"Sharepoint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7" t="str">
        <f t="shared" si="47"/>
        <v>https://d0f6bd738d7f1b3e5a7ca70fe4ff75f0.us-east-1.aws.found.io/app/kibana#/discover/Steve-Slow-Train-Analysis-(2080s-and-2083s)?_g=(refreshInterval:(display:Off,pause:!f,section:0,value:0),time:(from:'2017-11-20T15:25:50-0700',mode:absolute,to:'2017-11-20T18:07:16-0700'))&amp;_a=(columns:!('Message%20ID',Summary),filters:!(),index:'emp_*',interval:auto,query:(query_string:(analyze_wildcard:!t,query:'%22rtdc.l.rtdc.4064%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828</v>
      </c>
      <c r="B119" s="7">
        <v>4063</v>
      </c>
      <c r="C119" s="21" t="s">
        <v>192</v>
      </c>
      <c r="D119" s="21" t="s">
        <v>488</v>
      </c>
      <c r="E119" s="13">
        <v>43059.720023148147</v>
      </c>
      <c r="F119" s="13">
        <v>43059.727268518516</v>
      </c>
      <c r="G119" s="7">
        <v>53</v>
      </c>
      <c r="H119" s="21" t="s">
        <v>559</v>
      </c>
      <c r="I119" s="13">
        <v>43059.753611111111</v>
      </c>
      <c r="J119" s="7">
        <v>0</v>
      </c>
      <c r="K119" s="89" t="str">
        <f t="shared" si="29"/>
        <v>4063/4064</v>
      </c>
      <c r="L119" s="184" t="str">
        <f>VLOOKUP(A119,'Trips&amp;Operators'!$C$1:$G$99911,5,FALSE)</f>
        <v>KILLION DAVID</v>
      </c>
      <c r="M119" s="6">
        <f t="shared" si="30"/>
        <v>2.6342592595028691E-2</v>
      </c>
      <c r="N119" s="7">
        <f t="shared" si="48"/>
        <v>37.933333336841315</v>
      </c>
      <c r="O119" s="7"/>
      <c r="P119" s="7"/>
      <c r="Q119" s="22"/>
      <c r="R119" s="173"/>
      <c r="S119" s="220">
        <f t="shared" si="49"/>
        <v>1</v>
      </c>
      <c r="T119" s="173" t="str">
        <f t="shared" si="33"/>
        <v>Southbound</v>
      </c>
      <c r="U119" s="19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5" t="str">
        <f t="shared" si="34"/>
        <v>https://d0f6bd738d7f1b3e5a7ca70fe4ff75f0.us-east-1.aws.found.io/app/kibana#/discover/Steve-Slow-Train-Analysis-(2080s-and-2083s)?_g=(refreshInterval:(display:Off,pause:!f,section:0,value:0),time:(from:'2017-11-20T16:16:50-0700',mode:absolute,to:'2017-11-20T19:05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9" s="203" t="str">
        <f>IF(AA119&lt;VLOOKUP(AG119,Variables!$AC$3:$AD$8,2,FALSE),"Y","N")</f>
        <v>N</v>
      </c>
      <c r="X119" s="203">
        <f t="shared" si="50"/>
        <v>1</v>
      </c>
      <c r="Y119" s="203">
        <f t="shared" si="51"/>
        <v>23.2959</v>
      </c>
      <c r="Z119" s="203">
        <f t="shared" si="52"/>
        <v>2.0500000000000001E-2</v>
      </c>
      <c r="AA119" s="203">
        <f t="shared" si="38"/>
        <v>23.275400000000001</v>
      </c>
      <c r="AB119" s="54" t="e">
        <f>VLOOKUP(A119,Enforcements!$C$7:$K$9,8,0)</f>
        <v>#N/A</v>
      </c>
      <c r="AC119" s="51" t="e">
        <f>VLOOKUP(A119,Enforcements!$C$7:$E$9,3,0)</f>
        <v>#N/A</v>
      </c>
      <c r="AD119" s="178">
        <f t="shared" si="39"/>
        <v>204</v>
      </c>
      <c r="AE119" s="77" t="str">
        <f t="shared" si="40"/>
        <v>aws s3 cp s3://rtdc.mdm.uploadarchive.raw/RTDC4063/ "%USERPROFILE%\AppData\Local\Temp\OnboardLogs"\RTDC4063\2017-11-20 --exclude "*" --recursive --include "*20171120*" &amp; "%USERPROFILE%\Documents\GitHub\mrs-test-scripts\Headless Mode &amp; Sideloading\WalkAndUnGZ.bat" "%USERPROFILE%\AppData\Local\Temp\OnboardLogs"\RTDC4063\2017-11-20 &amp; aws s3 cp s3://rtdc.mdm.uploadarchive.raw/RTDC4063/ "%USERPROFILE%\AppData\Local\Temp\OnboardLogs"\RTDC4063\2017-11-21 --exclude "*" --recursive --include "*20171121*" &amp; "%USERPROFILE%\Documents\GitHub\mrs-test-scripts\Headless Mode &amp; Sideloading\WalkAndUnGZ.bat" "%USERPROFILE%\AppData\Local\Temp\OnboardLogs"\RTDC4063\2017-11-21</v>
      </c>
      <c r="AF119" s="74" t="str">
        <f t="shared" si="41"/>
        <v>"C:\Program Files (x86)\AstroGrep\AstroGrep.exe" /e /r /s /spath="%USERPROFILE%\AppData\Local\Temp\OnboardLogs" /stypes="app*4063*20171121*" /stext=" 01:.+((SYSTEM_STATE.+slice.+state.+changed )|(ment ac)|(multiple cpu faults)|(system.+state.+changed )|(\[timeout)|(PRM\|1\|D)|(kpr)|(kdp)|(train st.+moving)|(\|lc)|(penalty))"</v>
      </c>
      <c r="AG119" s="181" t="str">
        <f t="shared" si="42"/>
        <v>EC</v>
      </c>
      <c r="AH119" s="78" t="str">
        <f t="shared" si="43"/>
        <v>"%USERPROFILE%\Documents\GitHub\eaglep3\Utilities\RefineRTDCRunTimes.py" --tripid 204-20 --locoid 4063 --swversion DE.1.0.9.0 --startMP 204:232959 --initTime 2017-11-20T17:16:50 --startdatetime 2017-11-20T17:27:16 --delay 53 --endMP 204:205 --enddatetime 2017-11-20T18:05:12 --enforcementcount 0 &gt;&gt;%USERPROFILE%\Documents\GitHub\eaglep3-reporting\EC\2017-11-20-refined-times.txt</v>
      </c>
      <c r="AI119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{"issue":{"subject":"","project_id":79,"tracker_id":40,"status_id":1,"priority_id":2,"assigned_to_id":338,"start_date":"2017-11-20","description":"","custom_fields":[{"id":1,"name":"Subdivision","value":"EC"},{"id":4,"name":"Milepost","value":"0.0205"},{"id":17,"name":"Train ID","value":"204-20"},{"id":16,"name":"Locomotive ID","value":"4063"},{"id":130,"name":"Impact","value":""},{"id":150,"name":"Time of Event (Mountain Time)","value":"18:05:12"},{"id":151,"name":"Denver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1" t="str">
        <f t="shared" si="45"/>
        <v>start /low /b %USERPROFILE%\Documents\GitHub\eaglep3\Utilities\DownloadLogsFromS3.py --loco 4063 --day 2017-11-20</v>
      </c>
      <c r="AN119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01:05:12"},{"id":29,"name":"Sharepoint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7" t="str">
        <f t="shared" si="47"/>
        <v>https://d0f6bd738d7f1b3e5a7ca70fe4ff75f0.us-east-1.aws.found.io/app/kibana#/discover/Steve-Slow-Train-Analysis-(2080s-and-2083s)?_g=(refreshInterval:(display:Off,pause:!f,section:0,value:0),time:(from:'2017-11-20T16:16:50-0700',mode:absolute,to:'2017-11-20T19:05:12-0700'))&amp;_a=(columns:!('Message%20ID',Summary),filters:!(),index:'emp_*',interval:auto,query:(query_string:(analyze_wildcard:!t,query:'%22rtdc.l.rtdc.4063%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819</v>
      </c>
      <c r="B120" s="7">
        <v>4028</v>
      </c>
      <c r="C120" s="21" t="s">
        <v>192</v>
      </c>
      <c r="D120" s="21" t="s">
        <v>512</v>
      </c>
      <c r="E120" s="13">
        <v>43059.693969907406</v>
      </c>
      <c r="F120" s="13">
        <v>43059.698229166665</v>
      </c>
      <c r="G120" s="7">
        <v>66</v>
      </c>
      <c r="H120" s="21" t="s">
        <v>967</v>
      </c>
      <c r="I120" s="13">
        <v>43059.72446759259</v>
      </c>
      <c r="J120" s="7">
        <v>0</v>
      </c>
      <c r="K120" s="89" t="str">
        <f t="shared" si="29"/>
        <v>4027/4028</v>
      </c>
      <c r="L120" s="184" t="str">
        <f>VLOOKUP(A120,'Trips&amp;Operators'!$C$1:$G$99911,5,FALSE)</f>
        <v>STEWART MICHAEL</v>
      </c>
      <c r="M120" s="6">
        <f t="shared" si="30"/>
        <v>2.6238425925839692E-2</v>
      </c>
      <c r="N120" s="7">
        <f t="shared" si="48"/>
        <v>37.783333333209157</v>
      </c>
      <c r="O120" s="7"/>
      <c r="P120" s="7"/>
      <c r="Q120" s="22"/>
      <c r="R120" s="173"/>
      <c r="S120" s="220">
        <f t="shared" si="49"/>
        <v>1</v>
      </c>
      <c r="T120" s="173" t="str">
        <f t="shared" si="33"/>
        <v>NorthBound</v>
      </c>
      <c r="U120" s="19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5" t="str">
        <f t="shared" si="34"/>
        <v>https://d0f6bd738d7f1b3e5a7ca70fe4ff75f0.us-east-1.aws.found.io/app/kibana#/discover/Steve-Slow-Train-Analysis-(2080s-and-2083s)?_g=(refreshInterval:(display:Off,pause:!f,section:0,value:0),time:(from:'2017-11-20T15:39:19-0700',mode:absolute,to:'2017-11-20T18:23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0" s="203" t="str">
        <f>IF(AA120&lt;VLOOKUP(AG120,Variables!$AC$3:$AD$8,2,FALSE),"Y","N")</f>
        <v>N</v>
      </c>
      <c r="X120" s="203">
        <f t="shared" si="50"/>
        <v>1</v>
      </c>
      <c r="Y120" s="203">
        <f t="shared" si="51"/>
        <v>5.04E-2</v>
      </c>
      <c r="Z120" s="203">
        <f t="shared" si="52"/>
        <v>23.323399999999999</v>
      </c>
      <c r="AA120" s="203">
        <f t="shared" si="38"/>
        <v>23.273</v>
      </c>
      <c r="AB120" s="54" t="e">
        <f>VLOOKUP(A120,Enforcements!$C$7:$K$9,8,0)</f>
        <v>#N/A</v>
      </c>
      <c r="AC120" s="51" t="e">
        <f>VLOOKUP(A120,Enforcements!$C$7:$E$9,3,0)</f>
        <v>#N/A</v>
      </c>
      <c r="AD120" s="178">
        <f t="shared" si="39"/>
        <v>205</v>
      </c>
      <c r="AE120" s="77" t="str">
        <f t="shared" si="40"/>
        <v>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 &amp; aws s3 cp s3://rtdc.mdm.uploadarchive.raw/RTDC4028/ "%USERPROFILE%\AppData\Local\Temp\OnboardLogs"\RTDC4028\2017-11-21 --exclude "*" --recursive --include "*20171121*" &amp; "%USERPROFILE%\Documents\GitHub\mrs-test-scripts\Headless Mode &amp; Sideloading\WalkAndUnGZ.bat" "%USERPROFILE%\AppData\Local\Temp\OnboardLogs"\RTDC4028\2017-11-21</v>
      </c>
      <c r="AF120" s="74" t="str">
        <f t="shared" si="41"/>
        <v>"C:\Program Files (x86)\AstroGrep\AstroGrep.exe" /e /r /s /spath="%USERPROFILE%\AppData\Local\Temp\OnboardLogs" /stypes="app*4028*20171121*" /stext=" 00:.+((SYSTEM_STATE.+slice.+state.+changed )|(ment ac)|(multiple cpu faults)|(system.+state.+changed )|(\[timeout)|(PRM\|1\|D)|(kpr)|(kdp)|(train st.+moving)|(\|lc)|(penalty))"</v>
      </c>
      <c r="AG120" s="181" t="str">
        <f t="shared" si="42"/>
        <v>EC</v>
      </c>
      <c r="AH120" s="78" t="str">
        <f t="shared" si="43"/>
        <v>"%USERPROFILE%\Documents\GitHub\eaglep3\Utilities\RefineRTDCRunTimes.py" --tripid 205-20 --locoid 4028 --swversion DE.1.0.9.0 --startMP 204:504 --initTime 2017-11-20T16:39:19 --startdatetime 2017-11-20T16:45:27 --delay 66 --endMP 204:233234 --enddatetime 2017-11-20T17:23:14 --enforcementcount 0 &gt;&gt;%USERPROFILE%\Documents\GitHub\eaglep3-reporting\EC\2017-11-20-refined-times.txt</v>
      </c>
      <c r="AI120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{"issue":{"subject":"","project_id":79,"tracker_id":40,"status_id":1,"priority_id":2,"assigned_to_id":338,"start_date":"2017-11-20","description":"","custom_fields":[{"id":1,"name":"Subdivision","value":"EC"},{"id":4,"name":"Milepost","value":"23.3234"},{"id":17,"name":"Train ID","value":"205-20"},{"id":16,"name":"Locomotive ID","value":"4028"},{"id":130,"name":"Impact","value":""},{"id":150,"name":"Time of Event (Mountain Time)","value":"17:23:14"},{"id":151,"name":"Denver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1" t="str">
        <f t="shared" si="45"/>
        <v>start /low /b %USERPROFILE%\Documents\GitHub\eaglep3\Utilities\DownloadLogsFromS3.py --loco 4028 --day 2017-11-20</v>
      </c>
      <c r="AN120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00:23:14"},{"id":29,"name":"Sharepoint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7" t="str">
        <f t="shared" si="47"/>
        <v>https://d0f6bd738d7f1b3e5a7ca70fe4ff75f0.us-east-1.aws.found.io/app/kibana#/discover/Steve-Slow-Train-Analysis-(2080s-and-2083s)?_g=(refreshInterval:(display:Off,pause:!f,section:0,value:0),time:(from:'2017-11-20T15:39:19-0700',mode:absolute,to:'2017-11-20T18:23:14-0700'))&amp;_a=(columns:!('Message%20ID',Summary),filters:!(),index:'emp_*',interval:auto,query:(query_string:(analyze_wildcard:!t,query:'%22rtdc.l.rtdc.4028%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833</v>
      </c>
      <c r="B121" s="7">
        <v>4027</v>
      </c>
      <c r="C121" s="21" t="s">
        <v>192</v>
      </c>
      <c r="D121" s="21" t="s">
        <v>966</v>
      </c>
      <c r="E121" s="13">
        <v>43059.735497685186</v>
      </c>
      <c r="F121" s="13">
        <v>43059.737696759257</v>
      </c>
      <c r="G121" s="7">
        <v>47</v>
      </c>
      <c r="H121" s="21" t="s">
        <v>943</v>
      </c>
      <c r="I121" s="13">
        <v>43059.765277777777</v>
      </c>
      <c r="J121" s="7">
        <v>0</v>
      </c>
      <c r="K121" s="89" t="str">
        <f t="shared" si="29"/>
        <v>4027/4028</v>
      </c>
      <c r="L121" s="184" t="str">
        <f>VLOOKUP(A121,'Trips&amp;Operators'!$C$1:$G$99911,5,FALSE)</f>
        <v>STEWART MICHAEL</v>
      </c>
      <c r="M121" s="6">
        <f t="shared" si="30"/>
        <v>2.7581018519413192E-2</v>
      </c>
      <c r="N121" s="7">
        <f t="shared" si="48"/>
        <v>39.716666667954996</v>
      </c>
      <c r="O121" s="7"/>
      <c r="P121" s="7"/>
      <c r="Q121" s="22"/>
      <c r="R121" s="173"/>
      <c r="S121" s="220">
        <f t="shared" si="49"/>
        <v>1</v>
      </c>
      <c r="T121" s="173" t="str">
        <f t="shared" si="33"/>
        <v>Southbound</v>
      </c>
      <c r="U121" s="19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5" t="str">
        <f t="shared" si="34"/>
        <v>https://d0f6bd738d7f1b3e5a7ca70fe4ff75f0.us-east-1.aws.found.io/app/kibana#/discover/Steve-Slow-Train-Analysis-(2080s-and-2083s)?_g=(refreshInterval:(display:Off,pause:!f,section:0,value:0),time:(from:'2017-11-20T16:39:07-0700',mode:absolute,to:'2017-11-20T19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1" s="203" t="str">
        <f>IF(AA121&lt;VLOOKUP(AG121,Variables!$AC$3:$AD$8,2,FALSE),"Y","N")</f>
        <v>N</v>
      </c>
      <c r="X121" s="203">
        <f t="shared" si="50"/>
        <v>1</v>
      </c>
      <c r="Y121" s="203">
        <f t="shared" si="51"/>
        <v>23.293800000000001</v>
      </c>
      <c r="Z121" s="203">
        <f t="shared" si="52"/>
        <v>2.2499999999999999E-2</v>
      </c>
      <c r="AA121" s="203">
        <f t="shared" si="38"/>
        <v>23.2713</v>
      </c>
      <c r="AB121" s="54" t="e">
        <f>VLOOKUP(A121,Enforcements!$C$7:$K$9,8,0)</f>
        <v>#N/A</v>
      </c>
      <c r="AC121" s="51" t="e">
        <f>VLOOKUP(A121,Enforcements!$C$7:$E$9,3,0)</f>
        <v>#N/A</v>
      </c>
      <c r="AD121" s="178">
        <f t="shared" si="39"/>
        <v>206</v>
      </c>
      <c r="AE121" s="77" t="str">
        <f t="shared" si="40"/>
        <v>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 &amp; aws s3 cp s3://rtdc.mdm.uploadarchive.raw/RTDC4027/ "%USERPROFILE%\AppData\Local\Temp\OnboardLogs"\RTDC4027\2017-11-21 --exclude "*" --recursive --include "*20171121*" &amp; "%USERPROFILE%\Documents\GitHub\mrs-test-scripts\Headless Mode &amp; Sideloading\WalkAndUnGZ.bat" "%USERPROFILE%\AppData\Local\Temp\OnboardLogs"\RTDC4027\2017-11-21</v>
      </c>
      <c r="AF121" s="74" t="str">
        <f t="shared" si="41"/>
        <v>"C:\Program Files (x86)\AstroGrep\AstroGrep.exe" /e /r /s /spath="%USERPROFILE%\AppData\Local\Temp\OnboardLogs" /stypes="app*4027*20171121*" /stext=" 01:.+((SYSTEM_STATE.+slice.+state.+changed )|(ment ac)|(multiple cpu faults)|(system.+state.+changed )|(\[timeout)|(PRM\|1\|D)|(kpr)|(kdp)|(train st.+moving)|(\|lc)|(penalty))"</v>
      </c>
      <c r="AG121" s="181" t="str">
        <f t="shared" si="42"/>
        <v>EC</v>
      </c>
      <c r="AH121" s="78" t="str">
        <f t="shared" si="43"/>
        <v>"%USERPROFILE%\Documents\GitHub\eaglep3\Utilities\RefineRTDCRunTimes.py" --tripid 206-20 --locoid 4027 --swversion DE.1.0.9.0 --startMP 204:232938 --initTime 2017-11-20T17:39:07 --startdatetime 2017-11-20T17:42:17 --delay 47 --endMP 204:225 --enddatetime 2017-11-20T18:22:00 --enforcementcount 0 &gt;&gt;%USERPROFILE%\Documents\GitHub\eaglep3-reporting\EC\2017-11-20-refined-times.txt</v>
      </c>
      <c r="AI121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{"issue":{"subject":"","project_id":79,"tracker_id":40,"status_id":1,"priority_id":2,"assigned_to_id":338,"start_date":"2017-11-20","description":"","custom_fields":[{"id":1,"name":"Subdivision","value":"EC"},{"id":4,"name":"Milepost","value":"0.0225"},{"id":17,"name":"Train ID","value":"206-20"},{"id":16,"name":"Locomotive ID","value":"4027"},{"id":130,"name":"Impact","value":""},{"id":150,"name":"Time of Event (Mountain Time)","value":"18:22:00"},{"id":151,"name":"Denver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1" t="str">
        <f t="shared" si="45"/>
        <v>start /low /b %USERPROFILE%\Documents\GitHub\eaglep3\Utilities\DownloadLogsFromS3.py --loco 4027 --day 2017-11-20</v>
      </c>
      <c r="AN121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01:22:00"},{"id":29,"name":"Sharepoint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7" t="str">
        <f t="shared" si="47"/>
        <v>https://d0f6bd738d7f1b3e5a7ca70fe4ff75f0.us-east-1.aws.found.io/app/kibana#/discover/Steve-Slow-Train-Analysis-(2080s-and-2083s)?_g=(refreshInterval:(display:Off,pause:!f,section:0,value:0),time:(from:'2017-11-20T16:39:07-0700',mode:absolute,to:'2017-11-20T19:22:00-0700'))&amp;_a=(columns:!('Message%20ID',Summary),filters:!(),index:'emp_*',interval:auto,query:(query_string:(analyze_wildcard:!t,query:'%22rtdc.l.rtdc.4027%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824</v>
      </c>
      <c r="B122" s="7">
        <v>4060</v>
      </c>
      <c r="C122" s="21" t="s">
        <v>192</v>
      </c>
      <c r="D122" s="21" t="s">
        <v>968</v>
      </c>
      <c r="E122" s="13">
        <v>43059.706076388888</v>
      </c>
      <c r="F122" s="13">
        <v>43059.708506944444</v>
      </c>
      <c r="G122" s="7">
        <v>70</v>
      </c>
      <c r="H122" s="21" t="s">
        <v>567</v>
      </c>
      <c r="I122" s="13">
        <v>43059.733437499999</v>
      </c>
      <c r="J122" s="7">
        <v>0</v>
      </c>
      <c r="K122" s="89" t="str">
        <f t="shared" si="29"/>
        <v>4059/4060</v>
      </c>
      <c r="L122" s="184" t="str">
        <f>VLOOKUP(A122,'Trips&amp;Operators'!$C$1:$G$99911,5,FALSE)</f>
        <v>AUSTIN THOMPSON</v>
      </c>
      <c r="M122" s="6">
        <f t="shared" si="30"/>
        <v>2.4930555555329192E-2</v>
      </c>
      <c r="N122" s="7">
        <f t="shared" si="48"/>
        <v>35.899999999674037</v>
      </c>
      <c r="O122" s="7"/>
      <c r="P122" s="7"/>
      <c r="Q122" s="22"/>
      <c r="R122" s="173"/>
      <c r="S122" s="220">
        <f t="shared" si="49"/>
        <v>1</v>
      </c>
      <c r="T122" s="173" t="str">
        <f t="shared" si="33"/>
        <v>NorthBound</v>
      </c>
      <c r="U122" s="19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5" t="str">
        <f t="shared" si="34"/>
        <v>https://d0f6bd738d7f1b3e5a7ca70fe4ff75f0.us-east-1.aws.found.io/app/kibana#/discover/Steve-Slow-Train-Analysis-(2080s-and-2083s)?_g=(refreshInterval:(display:Off,pause:!f,section:0,value:0),time:(from:'2017-11-20T15:56:45-0700',mode:absolute,to:'2017-11-20T18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2" s="203" t="str">
        <f>IF(AA122&lt;VLOOKUP(AG122,Variables!$AC$3:$AD$8,2,FALSE),"Y","N")</f>
        <v>N</v>
      </c>
      <c r="X122" s="203">
        <f t="shared" si="50"/>
        <v>1</v>
      </c>
      <c r="Y122" s="203">
        <f t="shared" si="51"/>
        <v>5.7500000000000002E-2</v>
      </c>
      <c r="Z122" s="203">
        <f t="shared" si="52"/>
        <v>23.325700000000001</v>
      </c>
      <c r="AA122" s="203">
        <f t="shared" si="38"/>
        <v>23.2682</v>
      </c>
      <c r="AB122" s="54" t="e">
        <f>VLOOKUP(A122,Enforcements!$C$7:$K$9,8,0)</f>
        <v>#N/A</v>
      </c>
      <c r="AC122" s="51" t="e">
        <f>VLOOKUP(A122,Enforcements!$C$7:$E$9,3,0)</f>
        <v>#N/A</v>
      </c>
      <c r="AD122" s="178">
        <f t="shared" si="39"/>
        <v>207</v>
      </c>
      <c r="AE122" s="77" t="str">
        <f t="shared" si="40"/>
        <v>aws s3 cp s3://rtdc.mdm.uploadarchive.raw/RTDC4060/ "%USERPROFILE%\AppData\Local\Temp\OnboardLogs"\RTDC4060\2017-11-20 --exclude "*" --recursive --include "*20171120*" &amp; "%USERPROFILE%\Documents\GitHub\mrs-test-scripts\Headless Mode &amp; Sideloading\WalkAndUnGZ.bat" "%USERPROFILE%\AppData\Local\Temp\OnboardLogs"\RTDC4060\2017-11-20 &amp; aws s3 cp s3://rtdc.mdm.uploadarchive.raw/RTDC4060/ "%USERPROFILE%\AppData\Local\Temp\OnboardLogs"\RTDC4060\2017-11-21 --exclude "*" --recursive --include "*20171121*" &amp; "%USERPROFILE%\Documents\GitHub\mrs-test-scripts\Headless Mode &amp; Sideloading\WalkAndUnGZ.bat" "%USERPROFILE%\AppData\Local\Temp\OnboardLogs"\RTDC4060\2017-11-21</v>
      </c>
      <c r="AF122" s="74" t="str">
        <f t="shared" si="41"/>
        <v>"C:\Program Files (x86)\AstroGrep\AstroGrep.exe" /e /r /s /spath="%USERPROFILE%\AppData\Local\Temp\OnboardLogs" /stypes="app*4060*20171121*" /stext=" 00:.+((SYSTEM_STATE.+slice.+state.+changed )|(ment ac)|(multiple cpu faults)|(system.+state.+changed )|(\[timeout)|(PRM\|1\|D)|(kpr)|(kdp)|(train st.+moving)|(\|lc)|(penalty))"</v>
      </c>
      <c r="AG122" s="181" t="str">
        <f t="shared" si="42"/>
        <v>EC</v>
      </c>
      <c r="AH122" s="78" t="str">
        <f t="shared" si="43"/>
        <v>"%USERPROFILE%\Documents\GitHub\eaglep3\Utilities\RefineRTDCRunTimes.py" --tripid 207-20 --locoid 4060 --swversion DE.1.0.9.0 --startMP 204:575 --initTime 2017-11-20T16:56:45 --startdatetime 2017-11-20T17:00:15 --delay 70 --endMP 204:233257 --enddatetime 2017-11-20T17:36:09 --enforcementcount 0 &gt;&gt;%USERPROFILE%\Documents\GitHub\eaglep3-reporting\EC\2017-11-20-refined-times.txt</v>
      </c>
      <c r="AI122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{"issue":{"subject":"","project_id":79,"tracker_id":40,"status_id":1,"priority_id":2,"assigned_to_id":338,"start_date":"2017-11-20","description":"","custom_fields":[{"id":1,"name":"Subdivision","value":"EC"},{"id":4,"name":"Milepost","value":"23.3257"},{"id":17,"name":"Train ID","value":"207-20"},{"id":16,"name":"Locomotive ID","value":"4060"},{"id":130,"name":"Impact","value":""},{"id":150,"name":"Time of Event (Mountain Time)","value":"17:36:09"},{"id":151,"name":"Denver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1" t="str">
        <f t="shared" si="45"/>
        <v>start /low /b %USERPROFILE%\Documents\GitHub\eaglep3\Utilities\DownloadLogsFromS3.py --loco 4060 --day 2017-11-20</v>
      </c>
      <c r="AN122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00:36:09"},{"id":29,"name":"Sharepoint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7" t="str">
        <f t="shared" si="47"/>
        <v>https://d0f6bd738d7f1b3e5a7ca70fe4ff75f0.us-east-1.aws.found.io/app/kibana#/discover/Steve-Slow-Train-Analysis-(2080s-and-2083s)?_g=(refreshInterval:(display:Off,pause:!f,section:0,value:0),time:(from:'2017-11-20T15:56:45-0700',mode:absolute,to:'2017-11-20T18:36:09-0700'))&amp;_a=(columns:!('Message%20ID',Summary),filters:!(),index:'emp_*',interval:auto,query:(query_string:(analyze_wildcard:!t,query:'%22rtdc.l.rtdc.4060%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836</v>
      </c>
      <c r="B123" s="7">
        <v>4059</v>
      </c>
      <c r="C123" s="21" t="s">
        <v>192</v>
      </c>
      <c r="D123" s="21" t="s">
        <v>942</v>
      </c>
      <c r="E123" s="13">
        <v>43059.746400462966</v>
      </c>
      <c r="F123" s="13">
        <v>43059.748159722221</v>
      </c>
      <c r="G123" s="7">
        <v>62</v>
      </c>
      <c r="H123" s="21" t="s">
        <v>969</v>
      </c>
      <c r="I123" s="13">
        <v>43059.774618055555</v>
      </c>
      <c r="J123" s="7">
        <v>0</v>
      </c>
      <c r="K123" s="89" t="str">
        <f t="shared" si="29"/>
        <v>4059/4060</v>
      </c>
      <c r="L123" s="184" t="str">
        <f>VLOOKUP(A123,'Trips&amp;Operators'!$C$1:$G$99911,5,FALSE)</f>
        <v>AUSTIN THOMPSON</v>
      </c>
      <c r="M123" s="6">
        <f t="shared" si="30"/>
        <v>2.6458333333721384E-2</v>
      </c>
      <c r="N123" s="7">
        <f t="shared" si="48"/>
        <v>38.100000000558794</v>
      </c>
      <c r="O123" s="7"/>
      <c r="P123" s="7"/>
      <c r="Q123" s="22"/>
      <c r="R123" s="173"/>
      <c r="S123" s="220">
        <f t="shared" si="49"/>
        <v>1</v>
      </c>
      <c r="T123" s="173" t="str">
        <f t="shared" si="33"/>
        <v>Southbound</v>
      </c>
      <c r="U123" s="19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5" t="str">
        <f t="shared" si="34"/>
        <v>https://d0f6bd738d7f1b3e5a7ca70fe4ff75f0.us-east-1.aws.found.io/app/kibana#/discover/Steve-Slow-Train-Analysis-(2080s-and-2083s)?_g=(refreshInterval:(display:Off,pause:!f,section:0,value:0),time:(from:'2017-11-20T16:54:49-0700',mode:absolute,to:'2017-11-20T19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3" s="203" t="str">
        <f>IF(AA123&lt;VLOOKUP(AG123,Variables!$AC$3:$AD$8,2,FALSE),"Y","N")</f>
        <v>N</v>
      </c>
      <c r="X123" s="203">
        <f t="shared" si="50"/>
        <v>1</v>
      </c>
      <c r="Y123" s="203">
        <f t="shared" si="51"/>
        <v>23.295300000000001</v>
      </c>
      <c r="Z123" s="203">
        <f t="shared" si="52"/>
        <v>2.5100000000000001E-2</v>
      </c>
      <c r="AA123" s="203">
        <f t="shared" si="38"/>
        <v>23.270200000000003</v>
      </c>
      <c r="AB123" s="54" t="e">
        <f>VLOOKUP(A123,Enforcements!$C$7:$K$9,8,0)</f>
        <v>#N/A</v>
      </c>
      <c r="AC123" s="51" t="e">
        <f>VLOOKUP(A123,Enforcements!$C$7:$E$9,3,0)</f>
        <v>#N/A</v>
      </c>
      <c r="AD123" s="178">
        <f t="shared" si="39"/>
        <v>208</v>
      </c>
      <c r="AE123" s="77" t="str">
        <f t="shared" si="40"/>
        <v>aws s3 cp s3://rtdc.mdm.uploadarchive.raw/RTDC4059/ "%USERPROFILE%\AppData\Local\Temp\OnboardLogs"\RTDC4059\2017-11-20 --exclude "*" --recursive --include "*20171120*" &amp; "%USERPROFILE%\Documents\GitHub\mrs-test-scripts\Headless Mode &amp; Sideloading\WalkAndUnGZ.bat" "%USERPROFILE%\AppData\Local\Temp\OnboardLogs"\RTDC4059\2017-11-20 &amp; aws s3 cp s3://rtdc.mdm.uploadarchive.raw/RTDC4059/ "%USERPROFILE%\AppData\Local\Temp\OnboardLogs"\RTDC4059\2017-11-21 --exclude "*" --recursive --include "*20171121*" &amp; "%USERPROFILE%\Documents\GitHub\mrs-test-scripts\Headless Mode &amp; Sideloading\WalkAndUnGZ.bat" "%USERPROFILE%\AppData\Local\Temp\OnboardLogs"\RTDC4059\2017-11-21</v>
      </c>
      <c r="AF123" s="74" t="str">
        <f t="shared" si="41"/>
        <v>"C:\Program Files (x86)\AstroGrep\AstroGrep.exe" /e /r /s /spath="%USERPROFILE%\AppData\Local\Temp\OnboardLogs" /stypes="app*4059*20171121*" /stext=" 01:.+((SYSTEM_STATE.+slice.+state.+changed )|(ment ac)|(multiple cpu faults)|(system.+state.+changed )|(\[timeout)|(PRM\|1\|D)|(kpr)|(kdp)|(train st.+moving)|(\|lc)|(penalty))"</v>
      </c>
      <c r="AG123" s="181" t="str">
        <f t="shared" si="42"/>
        <v>EC</v>
      </c>
      <c r="AH123" s="78" t="str">
        <f t="shared" si="43"/>
        <v>"%USERPROFILE%\Documents\GitHub\eaglep3\Utilities\RefineRTDCRunTimes.py" --tripid 208-20 --locoid 4059 --swversion DE.1.0.9.0 --startMP 204:232953 --initTime 2017-11-20T17:54:49 --startdatetime 2017-11-20T17:57:21 --delay 62 --endMP 204:251 --enddatetime 2017-11-20T18:35:27 --enforcementcount 0 &gt;&gt;%USERPROFILE%\Documents\GitHub\eaglep3-reporting\EC\2017-11-20-refined-times.txt</v>
      </c>
      <c r="AI123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{"issue":{"subject":"","project_id":79,"tracker_id":40,"status_id":1,"priority_id":2,"assigned_to_id":338,"start_date":"2017-11-20","description":"","custom_fields":[{"id":1,"name":"Subdivision","value":"EC"},{"id":4,"name":"Milepost","value":"0.0251"},{"id":17,"name":"Train ID","value":"208-20"},{"id":16,"name":"Locomotive ID","value":"4059"},{"id":130,"name":"Impact","value":""},{"id":150,"name":"Time of Event (Mountain Time)","value":"18:35:27"},{"id":151,"name":"Denver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1" t="str">
        <f t="shared" si="45"/>
        <v>start /low /b %USERPROFILE%\Documents\GitHub\eaglep3\Utilities\DownloadLogsFromS3.py --loco 4059 --day 2017-11-20</v>
      </c>
      <c r="AN123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01:35:27"},{"id":29,"name":"Sharepoint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7" t="str">
        <f t="shared" si="47"/>
        <v>https://d0f6bd738d7f1b3e5a7ca70fe4ff75f0.us-east-1.aws.found.io/app/kibana#/discover/Steve-Slow-Train-Analysis-(2080s-and-2083s)?_g=(refreshInterval:(display:Off,pause:!f,section:0,value:0),time:(from:'2017-11-20T16:54:49-0700',mode:absolute,to:'2017-11-20T19:35:27-0700'))&amp;_a=(columns:!('Message%20ID',Summary),filters:!(),index:'emp_*',interval:auto,query:(query_string:(analyze_wildcard:!t,query:'%22rtdc.l.rtdc.4059%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827</v>
      </c>
      <c r="B124" s="7">
        <v>4026</v>
      </c>
      <c r="C124" s="21" t="s">
        <v>192</v>
      </c>
      <c r="D124" s="21" t="s">
        <v>965</v>
      </c>
      <c r="E124" s="13">
        <v>43059.716979166667</v>
      </c>
      <c r="F124" s="13">
        <v>43059.718912037039</v>
      </c>
      <c r="G124" s="7">
        <v>74</v>
      </c>
      <c r="H124" s="21" t="s">
        <v>509</v>
      </c>
      <c r="I124" s="13">
        <v>43059.74527777778</v>
      </c>
      <c r="J124" s="7">
        <v>0</v>
      </c>
      <c r="K124" s="89" t="str">
        <f t="shared" si="29"/>
        <v>4025/4026</v>
      </c>
      <c r="L124" s="184" t="str">
        <f>VLOOKUP(A124,'Trips&amp;Operators'!$C$1:$G$99911,5,FALSE)</f>
        <v>ANDREA WILLIAMS</v>
      </c>
      <c r="M124" s="6">
        <f t="shared" si="30"/>
        <v>2.6365740741312038E-2</v>
      </c>
      <c r="N124" s="7">
        <f t="shared" si="48"/>
        <v>37.966666667489335</v>
      </c>
      <c r="O124" s="7"/>
      <c r="P124" s="7"/>
      <c r="Q124" s="22"/>
      <c r="R124" s="173"/>
      <c r="S124" s="220">
        <f t="shared" si="49"/>
        <v>1</v>
      </c>
      <c r="T124" s="173" t="str">
        <f t="shared" si="33"/>
        <v>NorthBound</v>
      </c>
      <c r="U124" s="19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5" t="str">
        <f t="shared" si="34"/>
        <v>https://d0f6bd738d7f1b3e5a7ca70fe4ff75f0.us-east-1.aws.found.io/app/kibana#/discover/Steve-Slow-Train-Analysis-(2080s-and-2083s)?_g=(refreshInterval:(display:Off,pause:!f,section:0,value:0),time:(from:'2017-11-20T16:12:27-0700',mode:absolute,to:'2017-11-20T18:53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4" s="203" t="str">
        <f>IF(AA124&lt;VLOOKUP(AG124,Variables!$AC$3:$AD$8,2,FALSE),"Y","N")</f>
        <v>N</v>
      </c>
      <c r="X124" s="203">
        <f t="shared" si="50"/>
        <v>1</v>
      </c>
      <c r="Y124" s="203">
        <f t="shared" si="51"/>
        <v>5.6399999999999999E-2</v>
      </c>
      <c r="Z124" s="203">
        <f t="shared" si="52"/>
        <v>23.324000000000002</v>
      </c>
      <c r="AA124" s="203">
        <f t="shared" si="38"/>
        <v>23.267600000000002</v>
      </c>
      <c r="AB124" s="54" t="e">
        <f>VLOOKUP(A124,Enforcements!$C$7:$K$9,8,0)</f>
        <v>#N/A</v>
      </c>
      <c r="AC124" s="51" t="e">
        <f>VLOOKUP(A124,Enforcements!$C$7:$E$9,3,0)</f>
        <v>#N/A</v>
      </c>
      <c r="AD124" s="178">
        <f t="shared" si="39"/>
        <v>209</v>
      </c>
      <c r="AE124" s="77" t="str">
        <f t="shared" si="40"/>
        <v>aws s3 cp s3://rtdc.mdm.uploadarchive.raw/RTDC4026/ "%USERPROFILE%\AppData\Local\Temp\OnboardLogs"\RTDC4026\2017-11-20 --exclude "*" --recursive --include "*20171120*" &amp; "%USERPROFILE%\Documents\GitHub\mrs-test-scripts\Headless Mode &amp; Sideloading\WalkAndUnGZ.bat" "%USERPROFILE%\AppData\Local\Temp\OnboardLogs"\RTDC4026\2017-11-20 &amp; aws s3 cp s3://rtdc.mdm.uploadarchive.raw/RTDC4026/ "%USERPROFILE%\AppData\Local\Temp\OnboardLogs"\RTDC4026\2017-11-21 --exclude "*" --recursive --include "*20171121*" &amp; "%USERPROFILE%\Documents\GitHub\mrs-test-scripts\Headless Mode &amp; Sideloading\WalkAndUnGZ.bat" "%USERPROFILE%\AppData\Local\Temp\OnboardLogs"\RTDC4026\2017-11-21</v>
      </c>
      <c r="AF124" s="74" t="str">
        <f t="shared" si="41"/>
        <v>"C:\Program Files (x86)\AstroGrep\AstroGrep.exe" /e /r /s /spath="%USERPROFILE%\AppData\Local\Temp\OnboardLogs" /stypes="app*4026*20171121*" /stext=" 00:.+((SYSTEM_STATE.+slice.+state.+changed )|(ment ac)|(multiple cpu faults)|(system.+state.+changed )|(\[timeout)|(PRM\|1\|D)|(kpr)|(kdp)|(train st.+moving)|(\|lc)|(penalty))"</v>
      </c>
      <c r="AG124" s="181" t="str">
        <f t="shared" si="42"/>
        <v>EC</v>
      </c>
      <c r="AH124" s="78" t="str">
        <f t="shared" si="43"/>
        <v>"%USERPROFILE%\Documents\GitHub\eaglep3\Utilities\RefineRTDCRunTimes.py" --tripid 209-20 --locoid 4026 --swversion DE.1.0.9.0 --startMP 204:564 --initTime 2017-11-20T17:12:27 --startdatetime 2017-11-20T17:15:14 --delay 74 --endMP 204:233240 --enddatetime 2017-11-20T17:53:12 --enforcementcount 0 &gt;&gt;%USERPROFILE%\Documents\GitHub\eaglep3-reporting\EC\2017-11-20-refined-times.txt</v>
      </c>
      <c r="AI124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{"issue":{"subject":"","project_id":79,"tracker_id":40,"status_id":1,"priority_id":2,"assigned_to_id":338,"start_date":"2017-11-20","description":"","custom_fields":[{"id":1,"name":"Subdivision","value":"EC"},{"id":4,"name":"Milepost","value":"23.324"},{"id":17,"name":"Train ID","value":"209-20"},{"id":16,"name":"Locomotive ID","value":"4026"},{"id":130,"name":"Impact","value":""},{"id":150,"name":"Time of Event (Mountain Time)","value":"17:53:12"},{"id":151,"name":"Denver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1" t="str">
        <f t="shared" si="45"/>
        <v>start /low /b %USERPROFILE%\Documents\GitHub\eaglep3\Utilities\DownloadLogsFromS3.py --loco 4026 --day 2017-11-20</v>
      </c>
      <c r="AN124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00:53:12"},{"id":29,"name":"Sharepoint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7" t="str">
        <f t="shared" si="47"/>
        <v>https://d0f6bd738d7f1b3e5a7ca70fe4ff75f0.us-east-1.aws.found.io/app/kibana#/discover/Steve-Slow-Train-Analysis-(2080s-and-2083s)?_g=(refreshInterval:(display:Off,pause:!f,section:0,value:0),time:(from:'2017-11-20T16:12:27-0700',mode:absolute,to:'2017-11-20T18:53:12-0700'))&amp;_a=(columns:!('Message%20ID',Summary),filters:!(),index:'emp_*',interval:auto,query:(query_string:(analyze_wildcard:!t,query:'%22rtdc.l.rtdc.4026%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838</v>
      </c>
      <c r="B125" s="7">
        <v>4025</v>
      </c>
      <c r="C125" s="21" t="s">
        <v>192</v>
      </c>
      <c r="D125" s="21" t="s">
        <v>625</v>
      </c>
      <c r="E125" s="13">
        <v>43059.746898148151</v>
      </c>
      <c r="F125" s="13">
        <v>43059.758506944447</v>
      </c>
      <c r="G125" s="7">
        <v>66</v>
      </c>
      <c r="H125" s="21" t="s">
        <v>970</v>
      </c>
      <c r="I125" s="13">
        <v>43059.784872685188</v>
      </c>
      <c r="J125" s="7">
        <v>0</v>
      </c>
      <c r="K125" s="89" t="str">
        <f t="shared" si="29"/>
        <v>4025/4026</v>
      </c>
      <c r="L125" s="184" t="str">
        <f>VLOOKUP(A125,'Trips&amp;Operators'!$C$1:$G$99911,5,FALSE)</f>
        <v>GUZMAN DANNY</v>
      </c>
      <c r="M125" s="6">
        <f t="shared" si="30"/>
        <v>2.6365740741312038E-2</v>
      </c>
      <c r="N125" s="7">
        <f t="shared" si="48"/>
        <v>37.966666667489335</v>
      </c>
      <c r="O125" s="7"/>
      <c r="P125" s="7"/>
      <c r="Q125" s="22"/>
      <c r="R125" s="173"/>
      <c r="S125" s="220">
        <f t="shared" si="49"/>
        <v>1</v>
      </c>
      <c r="T125" s="173" t="str">
        <f t="shared" si="33"/>
        <v>Southbound</v>
      </c>
      <c r="U125" s="19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5" t="str">
        <f t="shared" si="34"/>
        <v>https://d0f6bd738d7f1b3e5a7ca70fe4ff75f0.us-east-1.aws.found.io/app/kibana#/discover/Steve-Slow-Train-Analysis-(2080s-and-2083s)?_g=(refreshInterval:(display:Off,pause:!f,section:0,value:0),time:(from:'2017-11-20T16:55:32-0700',mode:absolute,to:'2017-11-20T19:50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5" s="203" t="str">
        <f>IF(AA125&lt;VLOOKUP(AG125,Variables!$AC$3:$AD$8,2,FALSE),"Y","N")</f>
        <v>N</v>
      </c>
      <c r="X125" s="203">
        <f t="shared" si="50"/>
        <v>1</v>
      </c>
      <c r="Y125" s="203">
        <f t="shared" si="51"/>
        <v>23.293399999999998</v>
      </c>
      <c r="Z125" s="203">
        <f t="shared" si="52"/>
        <v>2.7099999999999999E-2</v>
      </c>
      <c r="AA125" s="203">
        <f t="shared" si="38"/>
        <v>23.266299999999998</v>
      </c>
      <c r="AB125" s="54" t="e">
        <f>VLOOKUP(A125,Enforcements!$C$7:$K$9,8,0)</f>
        <v>#N/A</v>
      </c>
      <c r="AC125" s="51" t="e">
        <f>VLOOKUP(A125,Enforcements!$C$7:$E$9,3,0)</f>
        <v>#N/A</v>
      </c>
      <c r="AD125" s="178">
        <f t="shared" si="39"/>
        <v>210</v>
      </c>
      <c r="AE125" s="77" t="str">
        <f t="shared" si="40"/>
        <v>aws s3 cp s3://rtdc.mdm.uploadarchive.raw/RTDC4025/ "%USERPROFILE%\AppData\Local\Temp\OnboardLogs"\RTDC4025\2017-11-20 --exclude "*" --recursive --include "*20171120*" &amp; "%USERPROFILE%\Documents\GitHub\mrs-test-scripts\Headless Mode &amp; Sideloading\WalkAndUnGZ.bat" "%USERPROFILE%\AppData\Local\Temp\OnboardLogs"\RTDC4025\2017-11-20 &amp; aws s3 cp s3://rtdc.mdm.uploadarchive.raw/RTDC4025/ "%USERPROFILE%\AppData\Local\Temp\OnboardLogs"\RTDC4025\2017-11-21 --exclude "*" --recursive --include "*20171121*" &amp; "%USERPROFILE%\Documents\GitHub\mrs-test-scripts\Headless Mode &amp; Sideloading\WalkAndUnGZ.bat" "%USERPROFILE%\AppData\Local\Temp\OnboardLogs"\RTDC4025\2017-11-21</v>
      </c>
      <c r="AF125" s="74" t="str">
        <f t="shared" si="41"/>
        <v>"C:\Program Files (x86)\AstroGrep\AstroGrep.exe" /e /r /s /spath="%USERPROFILE%\AppData\Local\Temp\OnboardLogs" /stypes="app*4025*20171121*" /stext=" 01:.+((SYSTEM_STATE.+slice.+state.+changed )|(ment ac)|(multiple cpu faults)|(system.+state.+changed )|(\[timeout)|(PRM\|1\|D)|(kpr)|(kdp)|(train st.+moving)|(\|lc)|(penalty))"</v>
      </c>
      <c r="AG125" s="181" t="str">
        <f t="shared" si="42"/>
        <v>EC</v>
      </c>
      <c r="AH125" s="78" t="str">
        <f t="shared" si="43"/>
        <v>"%USERPROFILE%\Documents\GitHub\eaglep3\Utilities\RefineRTDCRunTimes.py" --tripid 210-20 --locoid 4025 --swversion DE.1.0.9.0 --startMP 204:232934 --initTime 2017-11-20T17:55:32 --startdatetime 2017-11-20T18:12:15 --delay 66 --endMP 204:271 --enddatetime 2017-11-20T18:50:13 --enforcementcount 0 &gt;&gt;%USERPROFILE%\Documents\GitHub\eaglep3-reporting\EC\2017-11-20-refined-times.txt</v>
      </c>
      <c r="AI125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{"issue":{"subject":"","project_id":79,"tracker_id":40,"status_id":1,"priority_id":2,"assigned_to_id":338,"start_date":"2017-11-20","description":"","custom_fields":[{"id":1,"name":"Subdivision","value":"EC"},{"id":4,"name":"Milepost","value":"0.0271"},{"id":17,"name":"Train ID","value":"210-20"},{"id":16,"name":"Locomotive ID","value":"4025"},{"id":130,"name":"Impact","value":""},{"id":150,"name":"Time of Event (Mountain Time)","value":"18:50:13"},{"id":151,"name":"Denver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1" t="str">
        <f t="shared" si="45"/>
        <v>start /low /b %USERPROFILE%\Documents\GitHub\eaglep3\Utilities\DownloadLogsFromS3.py --loco 4025 --day 2017-11-20</v>
      </c>
      <c r="AN125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01:50:13"},{"id":29,"name":"Sharepoint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7" t="str">
        <f t="shared" si="47"/>
        <v>https://d0f6bd738d7f1b3e5a7ca70fe4ff75f0.us-east-1.aws.found.io/app/kibana#/discover/Steve-Slow-Train-Analysis-(2080s-and-2083s)?_g=(refreshInterval:(display:Off,pause:!f,section:0,value:0),time:(from:'2017-11-20T16:55:32-0700',mode:absolute,to:'2017-11-20T19:50:13-0700'))&amp;_a=(columns:!('Message%20ID',Summary),filters:!(),index:'emp_*',interval:auto,query:(query_string:(analyze_wildcard:!t,query:'%22rtdc.l.rtdc.4025%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830</v>
      </c>
      <c r="B126" s="7">
        <v>4006</v>
      </c>
      <c r="C126" s="21" t="s">
        <v>192</v>
      </c>
      <c r="D126" s="21" t="s">
        <v>500</v>
      </c>
      <c r="E126" s="13">
        <v>43059.726145833331</v>
      </c>
      <c r="F126" s="13">
        <v>43059.729930555557</v>
      </c>
      <c r="G126" s="7">
        <v>58</v>
      </c>
      <c r="H126" s="21" t="s">
        <v>967</v>
      </c>
      <c r="I126" s="13">
        <v>43059.755289351851</v>
      </c>
      <c r="J126" s="7">
        <v>0</v>
      </c>
      <c r="K126" s="89" t="str">
        <f t="shared" si="29"/>
        <v>4005/4006</v>
      </c>
      <c r="L126" s="184" t="str">
        <f>VLOOKUP(A126,'Trips&amp;Operators'!$C$1:$G$99911,5,FALSE)</f>
        <v>SAFIEF AEIMEN</v>
      </c>
      <c r="M126" s="6">
        <f t="shared" si="30"/>
        <v>2.5358796294312924E-2</v>
      </c>
      <c r="N126" s="7">
        <f t="shared" si="48"/>
        <v>36.516666663810611</v>
      </c>
      <c r="O126" s="7"/>
      <c r="P126" s="7"/>
      <c r="Q126" s="22"/>
      <c r="R126" s="173"/>
      <c r="S126" s="220">
        <f t="shared" si="49"/>
        <v>1</v>
      </c>
      <c r="T126" s="173" t="str">
        <f t="shared" si="33"/>
        <v>NorthBound</v>
      </c>
      <c r="U126" s="19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5" t="str">
        <f t="shared" si="34"/>
        <v>https://d0f6bd738d7f1b3e5a7ca70fe4ff75f0.us-east-1.aws.found.io/app/kibana#/discover/Steve-Slow-Train-Analysis-(2080s-and-2083s)?_g=(refreshInterval:(display:Off,pause:!f,section:0,value:0),time:(from:'2017-11-20T16:25:39-0700',mode:absolute,to:'2017-11-20T19:07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6" s="203" t="str">
        <f>IF(AA126&lt;VLOOKUP(AG126,Variables!$AC$3:$AD$8,2,FALSE),"Y","N")</f>
        <v>N</v>
      </c>
      <c r="X126" s="203">
        <f t="shared" si="50"/>
        <v>1</v>
      </c>
      <c r="Y126" s="203">
        <f t="shared" si="51"/>
        <v>5.1299999999999998E-2</v>
      </c>
      <c r="Z126" s="203">
        <f t="shared" si="52"/>
        <v>23.323399999999999</v>
      </c>
      <c r="AA126" s="203">
        <f t="shared" si="38"/>
        <v>23.272099999999998</v>
      </c>
      <c r="AB126" s="54" t="e">
        <f>VLOOKUP(A126,Enforcements!$C$7:$K$9,8,0)</f>
        <v>#N/A</v>
      </c>
      <c r="AC126" s="51" t="e">
        <f>VLOOKUP(A126,Enforcements!$C$7:$E$9,3,0)</f>
        <v>#N/A</v>
      </c>
      <c r="AD126" s="178">
        <f t="shared" si="39"/>
        <v>211</v>
      </c>
      <c r="AE126" s="77" t="str">
        <f t="shared" si="40"/>
        <v>aws s3 cp s3://rtdc.mdm.uploadarchive.raw/RTDC4006/ "%USERPROFILE%\AppData\Local\Temp\OnboardLogs"\RTDC4006\2017-11-20 --exclude "*" --recursive --include "*20171120*" &amp; "%USERPROFILE%\Documents\GitHub\mrs-test-scripts\Headless Mode &amp; Sideloading\WalkAndUnGZ.bat" "%USERPROFILE%\AppData\Local\Temp\OnboardLogs"\RTDC4006\2017-11-20 &amp; aws s3 cp s3://rtdc.mdm.uploadarchive.raw/RTDC4006/ "%USERPROFILE%\AppData\Local\Temp\OnboardLogs"\RTDC4006\2017-11-21 --exclude "*" --recursive --include "*20171121*" &amp; "%USERPROFILE%\Documents\GitHub\mrs-test-scripts\Headless Mode &amp; Sideloading\WalkAndUnGZ.bat" "%USERPROFILE%\AppData\Local\Temp\OnboardLogs"\RTDC4006\2017-11-21</v>
      </c>
      <c r="AF126" s="74" t="str">
        <f t="shared" si="41"/>
        <v>"C:\Program Files (x86)\AstroGrep\AstroGrep.exe" /e /r /s /spath="%USERPROFILE%\AppData\Local\Temp\OnboardLogs" /stypes="app*4006*20171121*" /stext=" 01:.+((SYSTEM_STATE.+slice.+state.+changed )|(ment ac)|(multiple cpu faults)|(system.+state.+changed )|(\[timeout)|(PRM\|1\|D)|(kpr)|(kdp)|(train st.+moving)|(\|lc)|(penalty))"</v>
      </c>
      <c r="AG126" s="181" t="str">
        <f t="shared" si="42"/>
        <v>EC</v>
      </c>
      <c r="AH126" s="78" t="str">
        <f t="shared" si="43"/>
        <v>"%USERPROFILE%\Documents\GitHub\eaglep3\Utilities\RefineRTDCRunTimes.py" --tripid 211-20 --locoid 4006 --swversion DE.1.0.9.0 --startMP 204:513 --initTime 2017-11-20T17:25:39 --startdatetime 2017-11-20T17:31:06 --delay 58 --endMP 204:233234 --enddatetime 2017-11-20T18:07:37 --enforcementcount 0 &gt;&gt;%USERPROFILE%\Documents\GitHub\eaglep3-reporting\EC\2017-11-20-refined-times.txt</v>
      </c>
      <c r="AI126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{"issue":{"subject":"","project_id":79,"tracker_id":40,"status_id":1,"priority_id":2,"assigned_to_id":338,"start_date":"2017-11-20","description":"","custom_fields":[{"id":1,"name":"Subdivision","value":"EC"},{"id":4,"name":"Milepost","value":"23.3234"},{"id":17,"name":"Train ID","value":"211-20"},{"id":16,"name":"Locomotive ID","value":"4006"},{"id":130,"name":"Impact","value":""},{"id":150,"name":"Time of Event (Mountain Time)","value":"18:07:37"},{"id":151,"name":"Denver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1" t="str">
        <f t="shared" si="45"/>
        <v>start /low /b %USERPROFILE%\Documents\GitHub\eaglep3\Utilities\DownloadLogsFromS3.py --loco 4006 --day 2017-11-20</v>
      </c>
      <c r="AN126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01:07:37"},{"id":29,"name":"Sharepoint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7" t="str">
        <f t="shared" si="47"/>
        <v>https://d0f6bd738d7f1b3e5a7ca70fe4ff75f0.us-east-1.aws.found.io/app/kibana#/discover/Steve-Slow-Train-Analysis-(2080s-and-2083s)?_g=(refreshInterval:(display:Off,pause:!f,section:0,value:0),time:(from:'2017-11-20T16:25:39-0700',mode:absolute,to:'2017-11-20T19:07:37-0700'))&amp;_a=(columns:!('Message%20ID',Summary),filters:!(),index:'emp_*',interval:auto,query:(query_string:(analyze_wildcard:!t,query:'%22rtdc.l.rtdc.4006%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841</v>
      </c>
      <c r="B127" s="7">
        <v>4005</v>
      </c>
      <c r="C127" s="21" t="s">
        <v>192</v>
      </c>
      <c r="D127" s="21" t="s">
        <v>971</v>
      </c>
      <c r="E127" s="13">
        <v>43059.758784722224</v>
      </c>
      <c r="F127" s="13">
        <v>43059.768923611111</v>
      </c>
      <c r="G127" s="7">
        <v>60</v>
      </c>
      <c r="H127" s="21" t="s">
        <v>529</v>
      </c>
      <c r="I127" s="13">
        <v>43059.794629629629</v>
      </c>
      <c r="J127" s="7">
        <v>0</v>
      </c>
      <c r="K127" s="89" t="str">
        <f t="shared" si="29"/>
        <v>4005/4006</v>
      </c>
      <c r="L127" s="184" t="str">
        <f>VLOOKUP(A127,'Trips&amp;Operators'!$C$1:$G$99911,5,FALSE)</f>
        <v>SAFIEF AEIMEN</v>
      </c>
      <c r="M127" s="6">
        <f t="shared" si="30"/>
        <v>2.5706018517666962E-2</v>
      </c>
      <c r="N127" s="7">
        <f t="shared" si="48"/>
        <v>37.016666665440425</v>
      </c>
      <c r="O127" s="7"/>
      <c r="P127" s="7"/>
      <c r="Q127" s="22"/>
      <c r="R127" s="173"/>
      <c r="S127" s="220">
        <f t="shared" si="49"/>
        <v>1</v>
      </c>
      <c r="T127" s="173" t="str">
        <f t="shared" si="33"/>
        <v>Southbound</v>
      </c>
      <c r="U127" s="19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5" t="str">
        <f t="shared" si="34"/>
        <v>https://d0f6bd738d7f1b3e5a7ca70fe4ff75f0.us-east-1.aws.found.io/app/kibana#/discover/Steve-Slow-Train-Analysis-(2080s-and-2083s)?_g=(refreshInterval:(display:Off,pause:!f,section:0,value:0),time:(from:'2017-11-20T17:12:39-0700',mode:absolute,to:'2017-11-20T20:04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7" s="203" t="str">
        <f>IF(AA127&lt;VLOOKUP(AG127,Variables!$AC$3:$AD$8,2,FALSE),"Y","N")</f>
        <v>N</v>
      </c>
      <c r="X127" s="203">
        <f t="shared" si="50"/>
        <v>1</v>
      </c>
      <c r="Y127" s="203">
        <f t="shared" si="51"/>
        <v>23.2925</v>
      </c>
      <c r="Z127" s="203">
        <f t="shared" si="52"/>
        <v>1.9800000000000002E-2</v>
      </c>
      <c r="AA127" s="203">
        <f t="shared" si="38"/>
        <v>23.2727</v>
      </c>
      <c r="AB127" s="54" t="e">
        <f>VLOOKUP(A127,Enforcements!$C$7:$K$9,8,0)</f>
        <v>#N/A</v>
      </c>
      <c r="AC127" s="51" t="e">
        <f>VLOOKUP(A127,Enforcements!$C$7:$E$9,3,0)</f>
        <v>#N/A</v>
      </c>
      <c r="AD127" s="178">
        <f t="shared" si="39"/>
        <v>212</v>
      </c>
      <c r="AE127" s="77" t="str">
        <f t="shared" si="40"/>
        <v>aws s3 cp s3://rtdc.mdm.uploadarchive.raw/RTDC4005/ "%USERPROFILE%\AppData\Local\Temp\OnboardLogs"\RTDC4005\2017-11-20 --exclude "*" --recursive --include "*20171120*" &amp; "%USERPROFILE%\Documents\GitHub\mrs-test-scripts\Headless Mode &amp; Sideloading\WalkAndUnGZ.bat" "%USERPROFILE%\AppData\Local\Temp\OnboardLogs"\RTDC4005\2017-11-20 &amp; aws s3 cp s3://rtdc.mdm.uploadarchive.raw/RTDC4005/ "%USERPROFILE%\AppData\Local\Temp\OnboardLogs"\RTDC4005\2017-11-21 --exclude "*" --recursive --include "*20171121*" &amp; "%USERPROFILE%\Documents\GitHub\mrs-test-scripts\Headless Mode &amp; Sideloading\WalkAndUnGZ.bat" "%USERPROFILE%\AppData\Local\Temp\OnboardLogs"\RTDC4005\2017-11-21</v>
      </c>
      <c r="AF127" s="74" t="str">
        <f t="shared" si="41"/>
        <v>"C:\Program Files (x86)\AstroGrep\AstroGrep.exe" /e /r /s /spath="%USERPROFILE%\AppData\Local\Temp\OnboardLogs" /stypes="app*4005*20171121*" /stext=" 02:.+((SYSTEM_STATE.+slice.+state.+changed )|(ment ac)|(multiple cpu faults)|(system.+state.+changed )|(\[timeout)|(PRM\|1\|D)|(kpr)|(kdp)|(train st.+moving)|(\|lc)|(penalty))"</v>
      </c>
      <c r="AG127" s="181" t="str">
        <f t="shared" si="42"/>
        <v>EC</v>
      </c>
      <c r="AH127" s="78" t="str">
        <f t="shared" si="43"/>
        <v>"%USERPROFILE%\Documents\GitHub\eaglep3\Utilities\RefineRTDCRunTimes.py" --tripid 212-20 --locoid 4005 --swversion DE.1.0.9.0 --startMP 204:232925 --initTime 2017-11-20T18:12:39 --startdatetime 2017-11-20T18:27:15 --delay 60 --endMP 204:198 --enddatetime 2017-11-20T19:04:16 --enforcementcount 0 &gt;&gt;%USERPROFILE%\Documents\GitHub\eaglep3-reporting\EC\2017-11-20-refined-times.txt</v>
      </c>
      <c r="AI127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{"issue":{"subject":"","project_id":79,"tracker_id":40,"status_id":1,"priority_id":2,"assigned_to_id":338,"start_date":"2017-11-20","description":"","custom_fields":[{"id":1,"name":"Subdivision","value":"EC"},{"id":4,"name":"Milepost","value":"0.0198"},{"id":17,"name":"Train ID","value":"212-20"},{"id":16,"name":"Locomotive ID","value":"4005"},{"id":130,"name":"Impact","value":""},{"id":150,"name":"Time of Event (Mountain Time)","value":"19:04:16"},{"id":151,"name":"Denver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1" t="str">
        <f t="shared" si="45"/>
        <v>start /low /b %USERPROFILE%\Documents\GitHub\eaglep3\Utilities\DownloadLogsFromS3.py --loco 4005 --day 2017-11-20</v>
      </c>
      <c r="AN127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02:04:16"},{"id":29,"name":"Sharepoint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7" t="str">
        <f t="shared" si="47"/>
        <v>https://d0f6bd738d7f1b3e5a7ca70fe4ff75f0.us-east-1.aws.found.io/app/kibana#/discover/Steve-Slow-Train-Analysis-(2080s-and-2083s)?_g=(refreshInterval:(display:Off,pause:!f,section:0,value:0),time:(from:'2017-11-20T17:12:39-0700',mode:absolute,to:'2017-11-20T20:04:16-0700'))&amp;_a=(columns:!('Message%20ID',Summary),filters:!(),index:'emp_*',interval:auto,query:(query_string:(analyze_wildcard:!t,query:'%22rtdc.l.rtdc.4005%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834</v>
      </c>
      <c r="B128" s="7">
        <v>4018</v>
      </c>
      <c r="C128" s="21" t="s">
        <v>192</v>
      </c>
      <c r="D128" s="21" t="s">
        <v>558</v>
      </c>
      <c r="E128" s="13">
        <v>43059.737685185188</v>
      </c>
      <c r="F128" s="13">
        <v>43059.739884259259</v>
      </c>
      <c r="G128" s="7">
        <v>68</v>
      </c>
      <c r="H128" s="21" t="s">
        <v>972</v>
      </c>
      <c r="I128" s="13">
        <v>43059.765729166669</v>
      </c>
      <c r="J128" s="7">
        <v>0</v>
      </c>
      <c r="K128" s="89" t="str">
        <f t="shared" si="29"/>
        <v>4017/4018</v>
      </c>
      <c r="L128" s="184" t="str">
        <f>VLOOKUP(A128,'Trips&amp;Operators'!$C$1:$G$99911,5,FALSE)</f>
        <v>STRICKLAND EVAN</v>
      </c>
      <c r="M128" s="6">
        <f t="shared" si="30"/>
        <v>2.584490740991896E-2</v>
      </c>
      <c r="N128" s="7">
        <f t="shared" si="48"/>
        <v>37.216666670283303</v>
      </c>
      <c r="O128" s="7"/>
      <c r="P128" s="7"/>
      <c r="Q128" s="22"/>
      <c r="R128" s="173"/>
      <c r="S128" s="220">
        <f t="shared" si="49"/>
        <v>1</v>
      </c>
      <c r="T128" s="173" t="str">
        <f t="shared" si="33"/>
        <v>NorthBound</v>
      </c>
      <c r="U128" s="19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5" t="str">
        <f t="shared" si="34"/>
        <v>https://d0f6bd738d7f1b3e5a7ca70fe4ff75f0.us-east-1.aws.found.io/app/kibana#/discover/Steve-Slow-Train-Analysis-(2080s-and-2083s)?_g=(refreshInterval:(display:Off,pause:!f,section:0,value:0),time:(from:'2017-11-20T16:42:16-0700',mode:absolute,to:'2017-11-20T19:22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8" s="203" t="str">
        <f>IF(AA128&lt;VLOOKUP(AG128,Variables!$AC$3:$AD$8,2,FALSE),"Y","N")</f>
        <v>N</v>
      </c>
      <c r="X128" s="203">
        <f t="shared" si="50"/>
        <v>1</v>
      </c>
      <c r="Y128" s="203">
        <f t="shared" si="51"/>
        <v>0.05</v>
      </c>
      <c r="Z128" s="203">
        <f t="shared" si="52"/>
        <v>23.321999999999999</v>
      </c>
      <c r="AA128" s="203">
        <f t="shared" si="38"/>
        <v>23.271999999999998</v>
      </c>
      <c r="AB128" s="54" t="e">
        <f>VLOOKUP(A128,Enforcements!$C$7:$K$9,8,0)</f>
        <v>#N/A</v>
      </c>
      <c r="AC128" s="51" t="e">
        <f>VLOOKUP(A128,Enforcements!$C$7:$E$9,3,0)</f>
        <v>#N/A</v>
      </c>
      <c r="AD128" s="178">
        <f t="shared" si="39"/>
        <v>213</v>
      </c>
      <c r="AE128" s="77" t="str">
        <f t="shared" si="40"/>
        <v>aws s3 cp s3://rtdc.mdm.uploadarchive.raw/RTDC4018/ "%USERPROFILE%\AppData\Local\Temp\OnboardLogs"\RTDC4018\2017-11-20 --exclude "*" --recursive --include "*20171120*" &amp; "%USERPROFILE%\Documents\GitHub\mrs-test-scripts\Headless Mode &amp; Sideloading\WalkAndUnGZ.bat" "%USERPROFILE%\AppData\Local\Temp\OnboardLogs"\RTDC4018\2017-11-20 &amp; aws s3 cp s3://rtdc.mdm.uploadarchive.raw/RTDC4018/ "%USERPROFILE%\AppData\Local\Temp\OnboardLogs"\RTDC4018\2017-11-21 --exclude "*" --recursive --include "*20171121*" &amp; "%USERPROFILE%\Documents\GitHub\mrs-test-scripts\Headless Mode &amp; Sideloading\WalkAndUnGZ.bat" "%USERPROFILE%\AppData\Local\Temp\OnboardLogs"\RTDC4018\2017-11-21</v>
      </c>
      <c r="AF128" s="74" t="str">
        <f t="shared" si="41"/>
        <v>"C:\Program Files (x86)\AstroGrep\AstroGrep.exe" /e /r /s /spath="%USERPROFILE%\AppData\Local\Temp\OnboardLogs" /stypes="app*4018*20171121*" /stext=" 01:.+((SYSTEM_STATE.+slice.+state.+changed )|(ment ac)|(multiple cpu faults)|(system.+state.+changed )|(\[timeout)|(PRM\|1\|D)|(kpr)|(kdp)|(train st.+moving)|(\|lc)|(penalty))"</v>
      </c>
      <c r="AG128" s="181" t="str">
        <f t="shared" si="42"/>
        <v>EC</v>
      </c>
      <c r="AH128" s="78" t="str">
        <f t="shared" si="43"/>
        <v>"%USERPROFILE%\Documents\GitHub\eaglep3\Utilities\RefineRTDCRunTimes.py" --tripid 213-20 --locoid 4018 --swversion DE.1.0.9.0 --startMP 204:500 --initTime 2017-11-20T17:42:16 --startdatetime 2017-11-20T17:45:26 --delay 68 --endMP 204:233220 --enddatetime 2017-11-20T18:22:39 --enforcementcount 0 &gt;&gt;%USERPROFILE%\Documents\GitHub\eaglep3-reporting\EC\2017-11-20-refined-times.txt</v>
      </c>
      <c r="AI128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{"issue":{"subject":"","project_id":79,"tracker_id":40,"status_id":1,"priority_id":2,"assigned_to_id":338,"start_date":"2017-11-20","description":"","custom_fields":[{"id":1,"name":"Subdivision","value":"EC"},{"id":4,"name":"Milepost","value":"23.322"},{"id":17,"name":"Train ID","value":"213-20"},{"id":16,"name":"Locomotive ID","value":"4018"},{"id":130,"name":"Impact","value":""},{"id":150,"name":"Time of Event (Mountain Time)","value":"18:22:39"},{"id":151,"name":"Denver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1" t="str">
        <f t="shared" si="45"/>
        <v>start /low /b %USERPROFILE%\Documents\GitHub\eaglep3\Utilities\DownloadLogsFromS3.py --loco 4018 --day 2017-11-20</v>
      </c>
      <c r="AN128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01:22:39"},{"id":29,"name":"Sharepoint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7" t="str">
        <f t="shared" si="47"/>
        <v>https://d0f6bd738d7f1b3e5a7ca70fe4ff75f0.us-east-1.aws.found.io/app/kibana#/discover/Steve-Slow-Train-Analysis-(2080s-and-2083s)?_g=(refreshInterval:(display:Off,pause:!f,section:0,value:0),time:(from:'2017-11-20T16:42:16-0700',mode:absolute,to:'2017-11-20T19:22:39-0700'))&amp;_a=(columns:!('Message%20ID',Summary),filters:!(),index:'emp_*',interval:auto,query:(query_string:(analyze_wildcard:!t,query:'%22rtdc.l.rtdc.4018%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845</v>
      </c>
      <c r="B129" s="7">
        <v>4017</v>
      </c>
      <c r="C129" s="21" t="s">
        <v>192</v>
      </c>
      <c r="D129" s="21" t="s">
        <v>973</v>
      </c>
      <c r="E129" s="13">
        <v>43059.771284722221</v>
      </c>
      <c r="F129" s="13">
        <v>43059.779363425929</v>
      </c>
      <c r="G129" s="7">
        <v>65</v>
      </c>
      <c r="H129" s="21" t="s">
        <v>529</v>
      </c>
      <c r="I129" s="13">
        <v>43059.806168981479</v>
      </c>
      <c r="J129" s="7">
        <v>0</v>
      </c>
      <c r="K129" s="89" t="str">
        <f t="shared" si="29"/>
        <v>4017/4018</v>
      </c>
      <c r="L129" s="184" t="str">
        <f>VLOOKUP(A129,'Trips&amp;Operators'!$C$1:$G$99911,5,FALSE)</f>
        <v>STRICKLAND EVAN</v>
      </c>
      <c r="M129" s="6">
        <f t="shared" si="30"/>
        <v>2.6805555549799465E-2</v>
      </c>
      <c r="N129" s="7">
        <f t="shared" si="48"/>
        <v>38.599999991711229</v>
      </c>
      <c r="O129" s="7"/>
      <c r="P129" s="7"/>
      <c r="Q129" s="22"/>
      <c r="R129" s="173"/>
      <c r="S129" s="220">
        <f t="shared" si="49"/>
        <v>1</v>
      </c>
      <c r="T129" s="173" t="str">
        <f t="shared" si="33"/>
        <v>Southbound</v>
      </c>
      <c r="U129" s="19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5" t="str">
        <f t="shared" si="34"/>
        <v>https://d0f6bd738d7f1b3e5a7ca70fe4ff75f0.us-east-1.aws.found.io/app/kibana#/discover/Steve-Slow-Train-Analysis-(2080s-and-2083s)?_g=(refreshInterval:(display:Off,pause:!f,section:0,value:0),time:(from:'2017-11-20T17:30:39-0700',mode:absolute,to:'2017-11-20T20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9" s="203" t="str">
        <f>IF(AA129&lt;VLOOKUP(AG129,Variables!$AC$3:$AD$8,2,FALSE),"Y","N")</f>
        <v>N</v>
      </c>
      <c r="X129" s="203">
        <f t="shared" si="50"/>
        <v>1</v>
      </c>
      <c r="Y129" s="203">
        <f t="shared" si="51"/>
        <v>23.2896</v>
      </c>
      <c r="Z129" s="203">
        <f t="shared" si="52"/>
        <v>1.9800000000000002E-2</v>
      </c>
      <c r="AA129" s="203">
        <f t="shared" si="38"/>
        <v>23.2698</v>
      </c>
      <c r="AB129" s="54" t="e">
        <f>VLOOKUP(A129,Enforcements!$C$7:$K$9,8,0)</f>
        <v>#N/A</v>
      </c>
      <c r="AC129" s="51" t="e">
        <f>VLOOKUP(A129,Enforcements!$C$7:$E$9,3,0)</f>
        <v>#N/A</v>
      </c>
      <c r="AD129" s="178">
        <f t="shared" si="39"/>
        <v>214</v>
      </c>
      <c r="AE129" s="77" t="str">
        <f t="shared" si="40"/>
        <v>aws s3 cp s3://rtdc.mdm.uploadarchive.raw/RTDC4017/ "%USERPROFILE%\AppData\Local\Temp\OnboardLogs"\RTDC4017\2017-11-20 --exclude "*" --recursive --include "*20171120*" &amp; "%USERPROFILE%\Documents\GitHub\mrs-test-scripts\Headless Mode &amp; Sideloading\WalkAndUnGZ.bat" "%USERPROFILE%\AppData\Local\Temp\OnboardLogs"\RTDC4017\2017-11-20 &amp; aws s3 cp s3://rtdc.mdm.uploadarchive.raw/RTDC4017/ "%USERPROFILE%\AppData\Local\Temp\OnboardLogs"\RTDC4017\2017-11-21 --exclude "*" --recursive --include "*20171121*" &amp; "%USERPROFILE%\Documents\GitHub\mrs-test-scripts\Headless Mode &amp; Sideloading\WalkAndUnGZ.bat" "%USERPROFILE%\AppData\Local\Temp\OnboardLogs"\RTDC4017\2017-11-21</v>
      </c>
      <c r="AF129" s="74" t="str">
        <f t="shared" si="41"/>
        <v>"C:\Program Files (x86)\AstroGrep\AstroGrep.exe" /e /r /s /spath="%USERPROFILE%\AppData\Local\Temp\OnboardLogs" /stypes="app*4017*20171121*" /stext=" 02:.+((SYSTEM_STATE.+slice.+state.+changed )|(ment ac)|(multiple cpu faults)|(system.+state.+changed )|(\[timeout)|(PRM\|1\|D)|(kpr)|(kdp)|(train st.+moving)|(\|lc)|(penalty))"</v>
      </c>
      <c r="AG129" s="181" t="str">
        <f t="shared" si="42"/>
        <v>EC</v>
      </c>
      <c r="AH129" s="78" t="str">
        <f t="shared" si="43"/>
        <v>"%USERPROFILE%\Documents\GitHub\eaglep3\Utilities\RefineRTDCRunTimes.py" --tripid 214-20 --locoid 4017 --swversion DE.1.0.9.0 --startMP 204:232896 --initTime 2017-11-20T18:30:39 --startdatetime 2017-11-20T18:42:17 --delay 65 --endMP 204:198 --enddatetime 2017-11-20T19:20:53 --enforcementcount 0 &gt;&gt;%USERPROFILE%\Documents\GitHub\eaglep3-reporting\EC\2017-11-20-refined-times.txt</v>
      </c>
      <c r="AI129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{"issue":{"subject":"","project_id":79,"tracker_id":40,"status_id":1,"priority_id":2,"assigned_to_id":338,"start_date":"2017-11-20","description":"","custom_fields":[{"id":1,"name":"Subdivision","value":"EC"},{"id":4,"name":"Milepost","value":"0.0198"},{"id":17,"name":"Train ID","value":"214-20"},{"id":16,"name":"Locomotive ID","value":"4017"},{"id":130,"name":"Impact","value":""},{"id":150,"name":"Time of Event (Mountain Time)","value":"19:20:53"},{"id":151,"name":"Denver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1" t="str">
        <f t="shared" si="45"/>
        <v>start /low /b %USERPROFILE%\Documents\GitHub\eaglep3\Utilities\DownloadLogsFromS3.py --loco 4017 --day 2017-11-20</v>
      </c>
      <c r="AN129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02:20:53"},{"id":29,"name":"Sharepoint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7" t="str">
        <f t="shared" si="47"/>
        <v>https://d0f6bd738d7f1b3e5a7ca70fe4ff75f0.us-east-1.aws.found.io/app/kibana#/discover/Steve-Slow-Train-Analysis-(2080s-and-2083s)?_g=(refreshInterval:(display:Off,pause:!f,section:0,value:0),time:(from:'2017-11-20T17:30:39-0700',mode:absolute,to:'2017-11-20T20:20:53-0700'))&amp;_a=(columns:!('Message%20ID',Summary),filters:!(),index:'emp_*',interval:auto,query:(query_string:(analyze_wildcard:!t,query:'%22rtdc.l.rtdc.4017%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835</v>
      </c>
      <c r="B130" s="7">
        <v>4002</v>
      </c>
      <c r="C130" s="21" t="s">
        <v>192</v>
      </c>
      <c r="D130" s="21" t="s">
        <v>899</v>
      </c>
      <c r="E130" s="13">
        <v>43059.745844907404</v>
      </c>
      <c r="F130" s="13">
        <v>43059.750196759262</v>
      </c>
      <c r="G130" s="7">
        <v>65</v>
      </c>
      <c r="H130" s="21" t="s">
        <v>974</v>
      </c>
      <c r="I130" s="13">
        <v>43059.774444444447</v>
      </c>
      <c r="J130" s="7">
        <v>0</v>
      </c>
      <c r="K130" s="89" t="str">
        <f t="shared" si="29"/>
        <v>4001/4002</v>
      </c>
      <c r="L130" s="184" t="str">
        <f>VLOOKUP(A130,'Trips&amp;Operators'!$C$1:$G$99911,5,FALSE)</f>
        <v>GONZALEZ ARMANDO</v>
      </c>
      <c r="M130" s="6">
        <f t="shared" si="30"/>
        <v>2.4247685185400769E-2</v>
      </c>
      <c r="N130" s="7">
        <f t="shared" si="48"/>
        <v>34.916666666977108</v>
      </c>
      <c r="O130" s="7"/>
      <c r="P130" s="7"/>
      <c r="Q130" s="22"/>
      <c r="R130" s="173"/>
      <c r="S130" s="220">
        <f t="shared" si="49"/>
        <v>1</v>
      </c>
      <c r="T130" s="173" t="str">
        <f t="shared" si="33"/>
        <v>NorthBound</v>
      </c>
      <c r="U130" s="19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5" t="str">
        <f t="shared" si="34"/>
        <v>https://d0f6bd738d7f1b3e5a7ca70fe4ff75f0.us-east-1.aws.found.io/app/kibana#/discover/Steve-Slow-Train-Analysis-(2080s-and-2083s)?_g=(refreshInterval:(display:Off,pause:!f,section:0,value:0),time:(from:'2017-11-20T16:54:01-0700',mode:absolute,to:'2017-11-20T19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0" s="203" t="str">
        <f>IF(AA130&lt;VLOOKUP(AG130,Variables!$AC$3:$AD$8,2,FALSE),"Y","N")</f>
        <v>N</v>
      </c>
      <c r="X130" s="203">
        <f t="shared" si="50"/>
        <v>1</v>
      </c>
      <c r="Y130" s="203">
        <f t="shared" si="51"/>
        <v>4.7699999999999999E-2</v>
      </c>
      <c r="Z130" s="203">
        <f t="shared" si="52"/>
        <v>23.3217</v>
      </c>
      <c r="AA130" s="203">
        <f t="shared" si="38"/>
        <v>23.274000000000001</v>
      </c>
      <c r="AB130" s="54" t="e">
        <f>VLOOKUP(A130,Enforcements!$C$7:$K$9,8,0)</f>
        <v>#N/A</v>
      </c>
      <c r="AC130" s="51" t="e">
        <f>VLOOKUP(A130,Enforcements!$C$7:$E$9,3,0)</f>
        <v>#N/A</v>
      </c>
      <c r="AD130" s="178">
        <f t="shared" si="39"/>
        <v>215</v>
      </c>
      <c r="AE130" s="77" t="str">
        <f t="shared" si="40"/>
        <v>aws s3 cp s3://rtdc.mdm.uploadarchive.raw/RTDC4002/ "%USERPROFILE%\AppData\Local\Temp\OnboardLogs"\RTDC4002\2017-11-20 --exclude "*" --recursive --include "*20171120*" &amp; "%USERPROFILE%\Documents\GitHub\mrs-test-scripts\Headless Mode &amp; Sideloading\WalkAndUnGZ.bat" "%USERPROFILE%\AppData\Local\Temp\OnboardLogs"\RTDC4002\2017-11-20 &amp; aws s3 cp s3://rtdc.mdm.uploadarchive.raw/RTDC4002/ "%USERPROFILE%\AppData\Local\Temp\OnboardLogs"\RTDC4002\2017-11-21 --exclude "*" --recursive --include "*20171121*" &amp; "%USERPROFILE%\Documents\GitHub\mrs-test-scripts\Headless Mode &amp; Sideloading\WalkAndUnGZ.bat" "%USERPROFILE%\AppData\Local\Temp\OnboardLogs"\RTDC4002\2017-11-21</v>
      </c>
      <c r="AF130" s="74" t="str">
        <f t="shared" si="41"/>
        <v>"C:\Program Files (x86)\AstroGrep\AstroGrep.exe" /e /r /s /spath="%USERPROFILE%\AppData\Local\Temp\OnboardLogs" /stypes="app*4002*20171121*" /stext=" 01:.+((SYSTEM_STATE.+slice.+state.+changed )|(ment ac)|(multiple cpu faults)|(system.+state.+changed )|(\[timeout)|(PRM\|1\|D)|(kpr)|(kdp)|(train st.+moving)|(\|lc)|(penalty))"</v>
      </c>
      <c r="AG130" s="181" t="str">
        <f t="shared" si="42"/>
        <v>EC</v>
      </c>
      <c r="AH130" s="78" t="str">
        <f t="shared" si="43"/>
        <v>"%USERPROFILE%\Documents\GitHub\eaglep3\Utilities\RefineRTDCRunTimes.py" --tripid 215-20 --locoid 4002 --swversion DE.1.0.9.0 --startMP 204:477 --initTime 2017-11-20T17:54:01 --startdatetime 2017-11-20T18:00:17 --delay 65 --endMP 204:233217 --enddatetime 2017-11-20T18:35:12 --enforcementcount 0 &gt;&gt;%USERPROFILE%\Documents\GitHub\eaglep3-reporting\EC\2017-11-20-refined-times.txt</v>
      </c>
      <c r="AI130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{"issue":{"subject":"","project_id":79,"tracker_id":40,"status_id":1,"priority_id":2,"assigned_to_id":338,"start_date":"2017-11-20","description":"","custom_fields":[{"id":1,"name":"Subdivision","value":"EC"},{"id":4,"name":"Milepost","value":"23.3217"},{"id":17,"name":"Train ID","value":"215-20"},{"id":16,"name":"Locomotive ID","value":"4002"},{"id":130,"name":"Impact","value":""},{"id":150,"name":"Time of Event (Mountain Time)","value":"18:35:12"},{"id":151,"name":"Denver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1" t="str">
        <f t="shared" si="45"/>
        <v>start /low /b %USERPROFILE%\Documents\GitHub\eaglep3\Utilities\DownloadLogsFromS3.py --loco 4002 --day 2017-11-20</v>
      </c>
      <c r="AN130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01:35:12"},{"id":29,"name":"Sharepoint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7" t="str">
        <f t="shared" si="47"/>
        <v>https://d0f6bd738d7f1b3e5a7ca70fe4ff75f0.us-east-1.aws.found.io/app/kibana#/discover/Steve-Slow-Train-Analysis-(2080s-and-2083s)?_g=(refreshInterval:(display:Off,pause:!f,section:0,value:0),time:(from:'2017-11-20T16:54:01-0700',mode:absolute,to:'2017-11-20T19:35:12-0700'))&amp;_a=(columns:!('Message%20ID',Summary),filters:!(),index:'emp_*',interval:auto,query:(query_string:(analyze_wildcard:!t,query:'%22rtdc.l.rtdc.4002%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847</v>
      </c>
      <c r="B131" s="7">
        <v>4001</v>
      </c>
      <c r="C131" s="21" t="s">
        <v>192</v>
      </c>
      <c r="D131" s="21" t="s">
        <v>617</v>
      </c>
      <c r="E131" s="13">
        <v>43059.785104166665</v>
      </c>
      <c r="F131" s="13">
        <v>43059.789942129632</v>
      </c>
      <c r="G131" s="7">
        <v>71</v>
      </c>
      <c r="H131" s="21" t="s">
        <v>918</v>
      </c>
      <c r="I131" s="13">
        <v>43059.815844907411</v>
      </c>
      <c r="J131" s="7">
        <v>0</v>
      </c>
      <c r="K131" s="89" t="str">
        <f t="shared" si="29"/>
        <v>4001/4002</v>
      </c>
      <c r="L131" s="184" t="str">
        <f>VLOOKUP(A131,'Trips&amp;Operators'!$C$1:$G$99911,5,FALSE)</f>
        <v>GONZALEZ ARMANDO</v>
      </c>
      <c r="M131" s="6">
        <f t="shared" si="30"/>
        <v>2.5902777779265307E-2</v>
      </c>
      <c r="N131" s="7">
        <f t="shared" si="48"/>
        <v>37.300000002142042</v>
      </c>
      <c r="O131" s="7"/>
      <c r="P131" s="7"/>
      <c r="Q131" s="22"/>
      <c r="R131" s="173"/>
      <c r="S131" s="220">
        <f t="shared" si="49"/>
        <v>1</v>
      </c>
      <c r="T131" s="173" t="str">
        <f t="shared" si="33"/>
        <v>Southbound</v>
      </c>
      <c r="U131" s="19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5" t="str">
        <f t="shared" si="34"/>
        <v>https://d0f6bd738d7f1b3e5a7ca70fe4ff75f0.us-east-1.aws.found.io/app/kibana#/discover/Steve-Slow-Train-Analysis-(2080s-and-2083s)?_g=(refreshInterval:(display:Off,pause:!f,section:0,value:0),time:(from:'2017-11-20T17:50:33-0700',mode:absolute,to:'2017-11-20T20:34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1" s="203" t="str">
        <f>IF(AA131&lt;VLOOKUP(AG131,Variables!$AC$3:$AD$8,2,FALSE),"Y","N")</f>
        <v>N</v>
      </c>
      <c r="X131" s="203">
        <f t="shared" si="50"/>
        <v>1</v>
      </c>
      <c r="Y131" s="203">
        <f t="shared" si="51"/>
        <v>23.290800000000001</v>
      </c>
      <c r="Z131" s="203">
        <f t="shared" si="52"/>
        <v>1.7399999999999999E-2</v>
      </c>
      <c r="AA131" s="203">
        <f t="shared" si="38"/>
        <v>23.273400000000002</v>
      </c>
      <c r="AB131" s="54" t="e">
        <f>VLOOKUP(A131,Enforcements!$C$7:$K$9,8,0)</f>
        <v>#N/A</v>
      </c>
      <c r="AC131" s="51" t="e">
        <f>VLOOKUP(A131,Enforcements!$C$7:$E$9,3,0)</f>
        <v>#N/A</v>
      </c>
      <c r="AD131" s="178">
        <f t="shared" si="39"/>
        <v>216</v>
      </c>
      <c r="AE131" s="77" t="str">
        <f t="shared" si="40"/>
        <v>aws s3 cp s3://rtdc.mdm.uploadarchive.raw/RTDC4001/ "%USERPROFILE%\AppData\Local\Temp\OnboardLogs"\RTDC4001\2017-11-20 --exclude "*" --recursive --include "*20171120*" &amp; "%USERPROFILE%\Documents\GitHub\mrs-test-scripts\Headless Mode &amp; Sideloading\WalkAndUnGZ.bat" "%USERPROFILE%\AppData\Local\Temp\OnboardLogs"\RTDC4001\2017-11-20 &amp; aws s3 cp s3://rtdc.mdm.uploadarchive.raw/RTDC4001/ "%USERPROFILE%\AppData\Local\Temp\OnboardLogs"\RTDC4001\2017-11-21 --exclude "*" --recursive --include "*20171121*" &amp; "%USERPROFILE%\Documents\GitHub\mrs-test-scripts\Headless Mode &amp; Sideloading\WalkAndUnGZ.bat" "%USERPROFILE%\AppData\Local\Temp\OnboardLogs"\RTDC4001\2017-11-21</v>
      </c>
      <c r="AF131" s="74" t="str">
        <f t="shared" si="41"/>
        <v>"C:\Program Files (x86)\AstroGrep\AstroGrep.exe" /e /r /s /spath="%USERPROFILE%\AppData\Local\Temp\OnboardLogs" /stypes="app*4001*20171121*" /stext=" 02:.+((SYSTEM_STATE.+slice.+state.+changed )|(ment ac)|(multiple cpu faults)|(system.+state.+changed )|(\[timeout)|(PRM\|1\|D)|(kpr)|(kdp)|(train st.+moving)|(\|lc)|(penalty))"</v>
      </c>
      <c r="AG131" s="181" t="str">
        <f t="shared" si="42"/>
        <v>EC</v>
      </c>
      <c r="AH131" s="78" t="str">
        <f t="shared" si="43"/>
        <v>"%USERPROFILE%\Documents\GitHub\eaglep3\Utilities\RefineRTDCRunTimes.py" --tripid 216-20 --locoid 4001 --swversion DE.1.0.9.0 --startMP 204:232908 --initTime 2017-11-20T18:50:33 --startdatetime 2017-11-20T18:57:31 --delay 71 --endMP 204:174 --enddatetime 2017-11-20T19:34:49 --enforcementcount 0 &gt;&gt;%USERPROFILE%\Documents\GitHub\eaglep3-reporting\EC\2017-11-20-refined-times.txt</v>
      </c>
      <c r="AI131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{"issue":{"subject":"","project_id":79,"tracker_id":40,"status_id":1,"priority_id":2,"assigned_to_id":338,"start_date":"2017-11-20","description":"","custom_fields":[{"id":1,"name":"Subdivision","value":"EC"},{"id":4,"name":"Milepost","value":"0.0174"},{"id":17,"name":"Train ID","value":"216-20"},{"id":16,"name":"Locomotive ID","value":"4001"},{"id":130,"name":"Impact","value":""},{"id":150,"name":"Time of Event (Mountain Time)","value":"19:34:49"},{"id":151,"name":"Denver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1" t="str">
        <f t="shared" si="45"/>
        <v>start /low /b %USERPROFILE%\Documents\GitHub\eaglep3\Utilities\DownloadLogsFromS3.py --loco 4001 --day 2017-11-20</v>
      </c>
      <c r="AN131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02:34:49"},{"id":29,"name":"Sharepoint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7" t="str">
        <f t="shared" si="47"/>
        <v>https://d0f6bd738d7f1b3e5a7ca70fe4ff75f0.us-east-1.aws.found.io/app/kibana#/discover/Steve-Slow-Train-Analysis-(2080s-and-2083s)?_g=(refreshInterval:(display:Off,pause:!f,section:0,value:0),time:(from:'2017-11-20T17:50:33-0700',mode:absolute,to:'2017-11-20T20:34:49-0700'))&amp;_a=(columns:!('Message%20ID',Summary),filters:!(),index:'emp_*',interval:auto,query:(query_string:(analyze_wildcard:!t,query:'%22rtdc.l.rtdc.4001%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840</v>
      </c>
      <c r="B132" s="7">
        <v>4064</v>
      </c>
      <c r="C132" s="21" t="s">
        <v>192</v>
      </c>
      <c r="D132" s="21" t="s">
        <v>540</v>
      </c>
      <c r="E132" s="13">
        <v>43059.755289351851</v>
      </c>
      <c r="F132" s="13">
        <v>43059.760763888888</v>
      </c>
      <c r="G132" s="7">
        <v>116</v>
      </c>
      <c r="H132" s="21" t="s">
        <v>975</v>
      </c>
      <c r="I132" s="13">
        <v>43059.785324074073</v>
      </c>
      <c r="J132" s="7">
        <v>0</v>
      </c>
      <c r="K132" s="89" t="str">
        <f t="shared" si="29"/>
        <v>4063/4064</v>
      </c>
      <c r="L132" s="184" t="str">
        <f>VLOOKUP(A132,'Trips&amp;Operators'!$C$1:$G$99911,5,FALSE)</f>
        <v>RESPASS AARON</v>
      </c>
      <c r="M132" s="6">
        <f t="shared" si="30"/>
        <v>2.4560185185691807E-2</v>
      </c>
      <c r="N132" s="7">
        <f t="shared" si="48"/>
        <v>35.366666667396203</v>
      </c>
      <c r="O132" s="7"/>
      <c r="P132" s="7"/>
      <c r="Q132" s="22"/>
      <c r="R132" s="173"/>
      <c r="S132" s="220">
        <f t="shared" si="49"/>
        <v>1</v>
      </c>
      <c r="T132" s="173" t="str">
        <f t="shared" si="33"/>
        <v>NorthBound</v>
      </c>
      <c r="U132" s="19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5" t="str">
        <f t="shared" si="34"/>
        <v>https://d0f6bd738d7f1b3e5a7ca70fe4ff75f0.us-east-1.aws.found.io/app/kibana#/discover/Steve-Slow-Train-Analysis-(2080s-and-2083s)?_g=(refreshInterval:(display:Off,pause:!f,section:0,value:0),time:(from:'2017-11-20T17:07:37-0700',mode:absolute,to:'2017-11-20T19:50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2" s="203" t="str">
        <f>IF(AA132&lt;VLOOKUP(AG132,Variables!$AC$3:$AD$8,2,FALSE),"Y","N")</f>
        <v>N</v>
      </c>
      <c r="X132" s="203">
        <f t="shared" si="50"/>
        <v>1</v>
      </c>
      <c r="Y132" s="203">
        <f t="shared" si="51"/>
        <v>4.9700000000000001E-2</v>
      </c>
      <c r="Z132" s="203">
        <f t="shared" si="52"/>
        <v>23.321100000000001</v>
      </c>
      <c r="AA132" s="203">
        <f t="shared" si="38"/>
        <v>23.2714</v>
      </c>
      <c r="AB132" s="54" t="e">
        <f>VLOOKUP(A132,Enforcements!$C$7:$K$9,8,0)</f>
        <v>#N/A</v>
      </c>
      <c r="AC132" s="51" t="e">
        <f>VLOOKUP(A132,Enforcements!$C$7:$E$9,3,0)</f>
        <v>#N/A</v>
      </c>
      <c r="AD132" s="178">
        <f t="shared" si="39"/>
        <v>217</v>
      </c>
      <c r="AE132" s="77" t="str">
        <f t="shared" si="40"/>
        <v>aws s3 cp s3://rtdc.mdm.uploadarchive.raw/RTDC4064/ "%USERPROFILE%\AppData\Local\Temp\OnboardLogs"\RTDC4064\2017-11-20 --exclude "*" --recursive --include "*20171120*" &amp; "%USERPROFILE%\Documents\GitHub\mrs-test-scripts\Headless Mode &amp; Sideloading\WalkAndUnGZ.bat" "%USERPROFILE%\AppData\Local\Temp\OnboardLogs"\RTDC4064\2017-11-20 &amp; aws s3 cp s3://rtdc.mdm.uploadarchive.raw/RTDC4064/ "%USERPROFILE%\AppData\Local\Temp\OnboardLogs"\RTDC4064\2017-11-21 --exclude "*" --recursive --include "*20171121*" &amp; "%USERPROFILE%\Documents\GitHub\mrs-test-scripts\Headless Mode &amp; Sideloading\WalkAndUnGZ.bat" "%USERPROFILE%\AppData\Local\Temp\OnboardLogs"\RTDC4064\2017-11-21</v>
      </c>
      <c r="AF132" s="74" t="str">
        <f t="shared" si="41"/>
        <v>"C:\Program Files (x86)\AstroGrep\AstroGrep.exe" /e /r /s /spath="%USERPROFILE%\AppData\Local\Temp\OnboardLogs" /stypes="app*4064*20171121*" /stext=" 01:.+((SYSTEM_STATE.+slice.+state.+changed )|(ment ac)|(multiple cpu faults)|(system.+state.+changed )|(\[timeout)|(PRM\|1\|D)|(kpr)|(kdp)|(train st.+moving)|(\|lc)|(penalty))"</v>
      </c>
      <c r="AG132" s="181" t="str">
        <f t="shared" si="42"/>
        <v>EC</v>
      </c>
      <c r="AH132" s="78" t="str">
        <f t="shared" si="43"/>
        <v>"%USERPROFILE%\Documents\GitHub\eaglep3\Utilities\RefineRTDCRunTimes.py" --tripid 217-20 --locoid 4064 --swversion DE.1.0.9.0 --startMP 204:497 --initTime 2017-11-20T18:07:37 --startdatetime 2017-11-20T18:15:30 --delay 116 --endMP 204:233211 --enddatetime 2017-11-20T18:50:52 --enforcementcount 0 &gt;&gt;%USERPROFILE%\Documents\GitHub\eaglep3-reporting\EC\2017-11-20-refined-times.txt</v>
      </c>
      <c r="AI132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{"issue":{"subject":"","project_id":79,"tracker_id":40,"status_id":1,"priority_id":2,"assigned_to_id":338,"start_date":"2017-11-20","description":"","custom_fields":[{"id":1,"name":"Subdivision","value":"EC"},{"id":4,"name":"Milepost","value":"23.3211"},{"id":17,"name":"Train ID","value":"217-20"},{"id":16,"name":"Locomotive ID","value":"4064"},{"id":130,"name":"Impact","value":""},{"id":150,"name":"Time of Event (Mountain Time)","value":"18:50:52"},{"id":151,"name":"Denver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1" t="str">
        <f t="shared" si="45"/>
        <v>start /low /b %USERPROFILE%\Documents\GitHub\eaglep3\Utilities\DownloadLogsFromS3.py --loco 4064 --day 2017-11-20</v>
      </c>
      <c r="AN132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01:50:52"},{"id":29,"name":"Sharepoint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7" t="str">
        <f t="shared" si="47"/>
        <v>https://d0f6bd738d7f1b3e5a7ca70fe4ff75f0.us-east-1.aws.found.io/app/kibana#/discover/Steve-Slow-Train-Analysis-(2080s-and-2083s)?_g=(refreshInterval:(display:Off,pause:!f,section:0,value:0),time:(from:'2017-11-20T17:07:37-0700',mode:absolute,to:'2017-11-20T19:50:52-0700'))&amp;_a=(columns:!('Message%20ID',Summary),filters:!(),index:'emp_*',interval:auto,query:(query_string:(analyze_wildcard:!t,query:'%22rtdc.l.rtdc.4064%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850</v>
      </c>
      <c r="B133" s="7">
        <v>4063</v>
      </c>
      <c r="C133" s="21" t="s">
        <v>192</v>
      </c>
      <c r="D133" s="21" t="s">
        <v>976</v>
      </c>
      <c r="E133" s="13">
        <v>43059.795601851853</v>
      </c>
      <c r="F133" s="13">
        <v>43059.800219907411</v>
      </c>
      <c r="G133" s="7">
        <v>76</v>
      </c>
      <c r="H133" s="21" t="s">
        <v>619</v>
      </c>
      <c r="I133" s="13">
        <v>43059.825300925928</v>
      </c>
      <c r="J133" s="7">
        <v>0</v>
      </c>
      <c r="K133" s="89" t="str">
        <f t="shared" si="29"/>
        <v>4063/4064</v>
      </c>
      <c r="L133" s="184" t="str">
        <f>VLOOKUP(A133,'Trips&amp;Operators'!$C$1:$G$99911,5,FALSE)</f>
        <v>RESPASS AARON</v>
      </c>
      <c r="M133" s="6">
        <f t="shared" si="30"/>
        <v>2.5081018517084885E-2</v>
      </c>
      <c r="N133" s="7">
        <f t="shared" si="48"/>
        <v>36.116666664602235</v>
      </c>
      <c r="O133" s="7"/>
      <c r="P133" s="7"/>
      <c r="Q133" s="22"/>
      <c r="R133" s="173"/>
      <c r="S133" s="220">
        <f t="shared" si="49"/>
        <v>1</v>
      </c>
      <c r="T133" s="173" t="str">
        <f t="shared" si="33"/>
        <v>Southbound</v>
      </c>
      <c r="U133" s="19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5" t="str">
        <f t="shared" si="34"/>
        <v>https://d0f6bd738d7f1b3e5a7ca70fe4ff75f0.us-east-1.aws.found.io/app/kibana#/discover/Steve-Slow-Train-Analysis-(2080s-and-2083s)?_g=(refreshInterval:(display:Off,pause:!f,section:0,value:0),time:(from:'2017-11-20T18:05:40-0700',mode:absolute,to:'2017-11-20T20:48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3" s="203" t="str">
        <f>IF(AA133&lt;VLOOKUP(AG133,Variables!$AC$3:$AD$8,2,FALSE),"Y","N")</f>
        <v>N</v>
      </c>
      <c r="X133" s="203">
        <f t="shared" si="50"/>
        <v>1</v>
      </c>
      <c r="Y133" s="203">
        <f t="shared" si="51"/>
        <v>23.2898</v>
      </c>
      <c r="Z133" s="203">
        <f t="shared" si="52"/>
        <v>2.5399999999999999E-2</v>
      </c>
      <c r="AA133" s="203">
        <f t="shared" si="38"/>
        <v>23.264399999999998</v>
      </c>
      <c r="AB133" s="54" t="e">
        <f>VLOOKUP(A133,Enforcements!$C$7:$K$9,8,0)</f>
        <v>#N/A</v>
      </c>
      <c r="AC133" s="51" t="e">
        <f>VLOOKUP(A133,Enforcements!$C$7:$E$9,3,0)</f>
        <v>#N/A</v>
      </c>
      <c r="AD133" s="178">
        <f t="shared" si="39"/>
        <v>218</v>
      </c>
      <c r="AE133" s="77" t="str">
        <f t="shared" si="40"/>
        <v>aws s3 cp s3://rtdc.mdm.uploadarchive.raw/RTDC4063/ "%USERPROFILE%\AppData\Local\Temp\OnboardLogs"\RTDC4063\2017-11-20 --exclude "*" --recursive --include "*20171120*" &amp; "%USERPROFILE%\Documents\GitHub\mrs-test-scripts\Headless Mode &amp; Sideloading\WalkAndUnGZ.bat" "%USERPROFILE%\AppData\Local\Temp\OnboardLogs"\RTDC4063\2017-11-20 &amp; aws s3 cp s3://rtdc.mdm.uploadarchive.raw/RTDC4063/ "%USERPROFILE%\AppData\Local\Temp\OnboardLogs"\RTDC4063\2017-11-21 --exclude "*" --recursive --include "*20171121*" &amp; "%USERPROFILE%\Documents\GitHub\mrs-test-scripts\Headless Mode &amp; Sideloading\WalkAndUnGZ.bat" "%USERPROFILE%\AppData\Local\Temp\OnboardLogs"\RTDC4063\2017-11-21</v>
      </c>
      <c r="AF133" s="74" t="str">
        <f t="shared" si="41"/>
        <v>"C:\Program Files (x86)\AstroGrep\AstroGrep.exe" /e /r /s /spath="%USERPROFILE%\AppData\Local\Temp\OnboardLogs" /stypes="app*4063*20171121*" /stext=" 02:.+((SYSTEM_STATE.+slice.+state.+changed )|(ment ac)|(multiple cpu faults)|(system.+state.+changed )|(\[timeout)|(PRM\|1\|D)|(kpr)|(kdp)|(train st.+moving)|(\|lc)|(penalty))"</v>
      </c>
      <c r="AG133" s="181" t="str">
        <f t="shared" si="42"/>
        <v>EC</v>
      </c>
      <c r="AH133" s="78" t="str">
        <f t="shared" si="43"/>
        <v>"%USERPROFILE%\Documents\GitHub\eaglep3\Utilities\RefineRTDCRunTimes.py" --tripid 218-20 --locoid 4063 --swversion DE.1.0.9.0 --startMP 204:232898 --initTime 2017-11-20T19:05:40 --startdatetime 2017-11-20T19:12:19 --delay 76 --endMP 204:254 --enddatetime 2017-11-20T19:48:26 --enforcementcount 0 &gt;&gt;%USERPROFILE%\Documents\GitHub\eaglep3-reporting\EC\2017-11-20-refined-times.txt</v>
      </c>
      <c r="AI133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{"issue":{"subject":"","project_id":79,"tracker_id":40,"status_id":1,"priority_id":2,"assigned_to_id":338,"start_date":"2017-11-20","description":"","custom_fields":[{"id":1,"name":"Subdivision","value":"EC"},{"id":4,"name":"Milepost","value":"0.0254"},{"id":17,"name":"Train ID","value":"218-20"},{"id":16,"name":"Locomotive ID","value":"4063"},{"id":130,"name":"Impact","value":""},{"id":150,"name":"Time of Event (Mountain Time)","value":"19:48:26"},{"id":151,"name":"Denver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1" t="str">
        <f t="shared" si="45"/>
        <v>start /low /b %USERPROFILE%\Documents\GitHub\eaglep3\Utilities\DownloadLogsFromS3.py --loco 4063 --day 2017-11-20</v>
      </c>
      <c r="AN133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02:48:26"},{"id":29,"name":"Sharepoint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7" t="str">
        <f t="shared" si="47"/>
        <v>https://d0f6bd738d7f1b3e5a7ca70fe4ff75f0.us-east-1.aws.found.io/app/kibana#/discover/Steve-Slow-Train-Analysis-(2080s-and-2083s)?_g=(refreshInterval:(display:Off,pause:!f,section:0,value:0),time:(from:'2017-11-20T18:05:40-0700',mode:absolute,to:'2017-11-20T20:48:26-0700'))&amp;_a=(columns:!('Message%20ID',Summary),filters:!(),index:'emp_*',interval:auto,query:(query_string:(analyze_wildcard:!t,query:'%22rtdc.l.rtdc.4063%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842</v>
      </c>
      <c r="B134" s="7">
        <v>4028</v>
      </c>
      <c r="C134" s="21" t="s">
        <v>192</v>
      </c>
      <c r="D134" s="21" t="s">
        <v>531</v>
      </c>
      <c r="E134" s="13">
        <v>43059.768090277779</v>
      </c>
      <c r="F134" s="13">
        <v>43059.771331018521</v>
      </c>
      <c r="G134" s="7">
        <v>103</v>
      </c>
      <c r="H134" s="21" t="s">
        <v>977</v>
      </c>
      <c r="I134" s="13">
        <v>43059.7971875</v>
      </c>
      <c r="J134" s="7">
        <v>0</v>
      </c>
      <c r="K134" s="89" t="str">
        <f t="shared" si="29"/>
        <v>4027/4028</v>
      </c>
      <c r="L134" s="184" t="str">
        <f>VLOOKUP(A134,'Trips&amp;Operators'!$C$1:$G$99911,5,FALSE)</f>
        <v>HAMMOND JUSTYNN</v>
      </c>
      <c r="M134" s="6">
        <f t="shared" si="30"/>
        <v>2.5856481479422655E-2</v>
      </c>
      <c r="N134" s="7">
        <f t="shared" si="48"/>
        <v>37.233333330368623</v>
      </c>
      <c r="O134" s="7"/>
      <c r="P134" s="7"/>
      <c r="Q134" s="22"/>
      <c r="R134" s="173"/>
      <c r="S134" s="220">
        <f t="shared" si="49"/>
        <v>1</v>
      </c>
      <c r="T134" s="173" t="str">
        <f t="shared" si="33"/>
        <v>NorthBound</v>
      </c>
      <c r="U134" s="19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5" t="str">
        <f t="shared" si="34"/>
        <v>https://d0f6bd738d7f1b3e5a7ca70fe4ff75f0.us-east-1.aws.found.io/app/kibana#/discover/Steve-Slow-Train-Analysis-(2080s-and-2083s)?_g=(refreshInterval:(display:Off,pause:!f,section:0,value:0),time:(from:'2017-11-20T17:26:03-0700',mode:absolute,to:'2017-11-20T20:07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4" s="203" t="str">
        <f>IF(AA134&lt;VLOOKUP(AG134,Variables!$AC$3:$AD$8,2,FALSE),"Y","N")</f>
        <v>N</v>
      </c>
      <c r="X134" s="203">
        <f t="shared" si="50"/>
        <v>1</v>
      </c>
      <c r="Y134" s="203">
        <f t="shared" si="51"/>
        <v>5.1900000000000002E-2</v>
      </c>
      <c r="Z134" s="203">
        <f t="shared" si="52"/>
        <v>23.321000000000002</v>
      </c>
      <c r="AA134" s="203">
        <f t="shared" si="38"/>
        <v>23.269100000000002</v>
      </c>
      <c r="AB134" s="54" t="e">
        <f>VLOOKUP(A134,Enforcements!$C$7:$K$9,8,0)</f>
        <v>#N/A</v>
      </c>
      <c r="AC134" s="51" t="e">
        <f>VLOOKUP(A134,Enforcements!$C$7:$E$9,3,0)</f>
        <v>#N/A</v>
      </c>
      <c r="AD134" s="178">
        <f t="shared" si="39"/>
        <v>219</v>
      </c>
      <c r="AE134" s="77" t="str">
        <f t="shared" si="40"/>
        <v>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 &amp; aws s3 cp s3://rtdc.mdm.uploadarchive.raw/RTDC4028/ "%USERPROFILE%\AppData\Local\Temp\OnboardLogs"\RTDC4028\2017-11-21 --exclude "*" --recursive --include "*20171121*" &amp; "%USERPROFILE%\Documents\GitHub\mrs-test-scripts\Headless Mode &amp; Sideloading\WalkAndUnGZ.bat" "%USERPROFILE%\AppData\Local\Temp\OnboardLogs"\RTDC4028\2017-11-21</v>
      </c>
      <c r="AF134" s="74" t="str">
        <f t="shared" si="41"/>
        <v>"C:\Program Files (x86)\AstroGrep\AstroGrep.exe" /e /r /s /spath="%USERPROFILE%\AppData\Local\Temp\OnboardLogs" /stypes="app*4028*20171121*" /stext=" 02:.+((SYSTEM_STATE.+slice.+state.+changed )|(ment ac)|(multiple cpu faults)|(system.+state.+changed )|(\[timeout)|(PRM\|1\|D)|(kpr)|(kdp)|(train st.+moving)|(\|lc)|(penalty))"</v>
      </c>
      <c r="AG134" s="181" t="str">
        <f t="shared" si="42"/>
        <v>EC</v>
      </c>
      <c r="AH134" s="78" t="str">
        <f t="shared" si="43"/>
        <v>"%USERPROFILE%\Documents\GitHub\eaglep3\Utilities\RefineRTDCRunTimes.py" --tripid 219-20 --locoid 4028 --swversion DE.1.0.9.0 --startMP 204:519 --initTime 2017-11-20T18:26:03 --startdatetime 2017-11-20T18:30:43 --delay 103 --endMP 204:233210 --enddatetime 2017-11-20T19:07:57 --enforcementcount 0 &gt;&gt;%USERPROFILE%\Documents\GitHub\eaglep3-reporting\EC\2017-11-20-refined-times.txt</v>
      </c>
      <c r="AI134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{"issue":{"subject":"","project_id":79,"tracker_id":40,"status_id":1,"priority_id":2,"assigned_to_id":338,"start_date":"2017-11-20","description":"","custom_fields":[{"id":1,"name":"Subdivision","value":"EC"},{"id":4,"name":"Milepost","value":"23.321"},{"id":17,"name":"Train ID","value":"219-20"},{"id":16,"name":"Locomotive ID","value":"4028"},{"id":130,"name":"Impact","value":""},{"id":150,"name":"Time of Event (Mountain Time)","value":"19:07:57"},{"id":151,"name":"Denver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1" t="str">
        <f t="shared" si="45"/>
        <v>start /low /b %USERPROFILE%\Documents\GitHub\eaglep3\Utilities\DownloadLogsFromS3.py --loco 4028 --day 2017-11-20</v>
      </c>
      <c r="AN134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02:07:57"},{"id":29,"name":"Sharepoint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7" t="str">
        <f t="shared" si="47"/>
        <v>https://d0f6bd738d7f1b3e5a7ca70fe4ff75f0.us-east-1.aws.found.io/app/kibana#/discover/Steve-Slow-Train-Analysis-(2080s-and-2083s)?_g=(refreshInterval:(display:Off,pause:!f,section:0,value:0),time:(from:'2017-11-20T17:26:03-0700',mode:absolute,to:'2017-11-20T20:07:57-0700'))&amp;_a=(columns:!('Message%20ID',Summary),filters:!(),index:'emp_*',interval:auto,query:(query_string:(analyze_wildcard:!t,query:'%22rtdc.l.rtdc.4028%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852</v>
      </c>
      <c r="B135" s="7">
        <v>4027</v>
      </c>
      <c r="C135" s="21" t="s">
        <v>192</v>
      </c>
      <c r="D135" s="21" t="s">
        <v>978</v>
      </c>
      <c r="E135" s="13">
        <v>43059.805601851855</v>
      </c>
      <c r="F135" s="13">
        <v>43059.810601851852</v>
      </c>
      <c r="G135" s="7">
        <v>111</v>
      </c>
      <c r="H135" s="21" t="s">
        <v>529</v>
      </c>
      <c r="I135" s="13">
        <v>43059.837500000001</v>
      </c>
      <c r="J135" s="7">
        <v>0</v>
      </c>
      <c r="K135" s="89" t="str">
        <f t="shared" si="29"/>
        <v>4027/4028</v>
      </c>
      <c r="L135" s="184" t="str">
        <f>VLOOKUP(A135,'Trips&amp;Operators'!$C$1:$G$99911,5,FALSE)</f>
        <v>HAMMOND JUSTYNN</v>
      </c>
      <c r="M135" s="6">
        <f t="shared" si="30"/>
        <v>2.6898148149484769E-2</v>
      </c>
      <c r="N135" s="7">
        <f t="shared" si="48"/>
        <v>38.733333335258067</v>
      </c>
      <c r="O135" s="7"/>
      <c r="P135" s="7"/>
      <c r="Q135" s="22"/>
      <c r="R135" s="173"/>
      <c r="S135" s="220">
        <f t="shared" si="49"/>
        <v>1</v>
      </c>
      <c r="T135" s="173" t="str">
        <f t="shared" si="33"/>
        <v>Southbound</v>
      </c>
      <c r="U135" s="19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5" t="str">
        <f t="shared" si="34"/>
        <v>https://d0f6bd738d7f1b3e5a7ca70fe4ff75f0.us-east-1.aws.found.io/app/kibana#/discover/Steve-Slow-Train-Analysis-(2080s-and-2083s)?_g=(refreshInterval:(display:Off,pause:!f,section:0,value:0),time:(from:'2017-11-20T18:20:04-0700',mode:absolute,to:'2017-11-20T21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5" s="203" t="str">
        <f>IF(AA135&lt;VLOOKUP(AG135,Variables!$AC$3:$AD$8,2,FALSE),"Y","N")</f>
        <v>N</v>
      </c>
      <c r="X135" s="203">
        <f t="shared" si="50"/>
        <v>1</v>
      </c>
      <c r="Y135" s="203">
        <f t="shared" si="51"/>
        <v>23.290600000000001</v>
      </c>
      <c r="Z135" s="203">
        <f t="shared" si="52"/>
        <v>1.9800000000000002E-2</v>
      </c>
      <c r="AA135" s="203">
        <f t="shared" si="38"/>
        <v>23.270800000000001</v>
      </c>
      <c r="AB135" s="54" t="e">
        <f>VLOOKUP(A135,Enforcements!$C$7:$K$9,8,0)</f>
        <v>#N/A</v>
      </c>
      <c r="AC135" s="51" t="e">
        <f>VLOOKUP(A135,Enforcements!$C$7:$E$9,3,0)</f>
        <v>#N/A</v>
      </c>
      <c r="AD135" s="178">
        <f t="shared" si="39"/>
        <v>220</v>
      </c>
      <c r="AE135" s="77" t="str">
        <f t="shared" si="40"/>
        <v>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 &amp; aws s3 cp s3://rtdc.mdm.uploadarchive.raw/RTDC4027/ "%USERPROFILE%\AppData\Local\Temp\OnboardLogs"\RTDC4027\2017-11-21 --exclude "*" --recursive --include "*20171121*" &amp; "%USERPROFILE%\Documents\GitHub\mrs-test-scripts\Headless Mode &amp; Sideloading\WalkAndUnGZ.bat" "%USERPROFILE%\AppData\Local\Temp\OnboardLogs"\RTDC4027\2017-11-21</v>
      </c>
      <c r="AF135" s="74" t="str">
        <f t="shared" si="41"/>
        <v>"C:\Program Files (x86)\AstroGrep\AstroGrep.exe" /e /r /s /spath="%USERPROFILE%\AppData\Local\Temp\OnboardLogs" /stypes="app*4027*20171121*" /stext=" 03:.+((SYSTEM_STATE.+slice.+state.+changed )|(ment ac)|(multiple cpu faults)|(system.+state.+changed )|(\[timeout)|(PRM\|1\|D)|(kpr)|(kdp)|(train st.+moving)|(\|lc)|(penalty))"</v>
      </c>
      <c r="AG135" s="181" t="str">
        <f t="shared" si="42"/>
        <v>EC</v>
      </c>
      <c r="AH135" s="78" t="str">
        <f t="shared" si="43"/>
        <v>"%USERPROFILE%\Documents\GitHub\eaglep3\Utilities\RefineRTDCRunTimes.py" --tripid 220-20 --locoid 4027 --swversion DE.1.0.9.0 --startMP 204:232906 --initTime 2017-11-20T19:20:04 --startdatetime 2017-11-20T19:27:16 --delay 111 --endMP 204:198 --enddatetime 2017-11-20T20:06:00 --enforcementcount 0 &gt;&gt;%USERPROFILE%\Documents\GitHub\eaglep3-reporting\EC\2017-11-20-refined-times.txt</v>
      </c>
      <c r="AI135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{"issue":{"subject":"","project_id":79,"tracker_id":40,"status_id":1,"priority_id":2,"assigned_to_id":338,"start_date":"2017-11-20","description":"","custom_fields":[{"id":1,"name":"Subdivision","value":"EC"},{"id":4,"name":"Milepost","value":"0.0198"},{"id":17,"name":"Train ID","value":"220-20"},{"id":16,"name":"Locomotive ID","value":"4027"},{"id":130,"name":"Impact","value":""},{"id":150,"name":"Time of Event (Mountain Time)","value":"20:06:00"},{"id":151,"name":"Denver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1" t="str">
        <f t="shared" si="45"/>
        <v>start /low /b %USERPROFILE%\Documents\GitHub\eaglep3\Utilities\DownloadLogsFromS3.py --loco 4027 --day 2017-11-20</v>
      </c>
      <c r="AN135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03:06:00"},{"id":29,"name":"Sharepoint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7" t="str">
        <f t="shared" si="47"/>
        <v>https://d0f6bd738d7f1b3e5a7ca70fe4ff75f0.us-east-1.aws.found.io/app/kibana#/discover/Steve-Slow-Train-Analysis-(2080s-and-2083s)?_g=(refreshInterval:(display:Off,pause:!f,section:0,value:0),time:(from:'2017-11-20T18:20:04-0700',mode:absolute,to:'2017-11-20T21:06:00-0700'))&amp;_a=(columns:!('Message%20ID',Summary),filters:!(),index:'emp_*',interval:auto,query:(query_string:(analyze_wildcard:!t,query:'%22rtdc.l.rtdc.4027%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670</v>
      </c>
      <c r="B136" s="7">
        <v>4026</v>
      </c>
      <c r="C136" s="21" t="s">
        <v>192</v>
      </c>
      <c r="D136" s="21" t="s">
        <v>979</v>
      </c>
      <c r="E136" s="13">
        <v>43059.786053240743</v>
      </c>
      <c r="F136" s="13">
        <v>43059.79179398148</v>
      </c>
      <c r="G136" s="7">
        <v>100</v>
      </c>
      <c r="H136" s="21" t="s">
        <v>565</v>
      </c>
      <c r="I136" s="13">
        <v>43059.815891203703</v>
      </c>
      <c r="J136" s="7">
        <v>0</v>
      </c>
      <c r="K136" s="89" t="str">
        <f t="shared" si="29"/>
        <v>4025/4026</v>
      </c>
      <c r="L136" s="184" t="str">
        <f>VLOOKUP(A136,'Trips&amp;Operators'!$C$1:$G$99911,5,FALSE)</f>
        <v>ELBAUM MIKE</v>
      </c>
      <c r="M136" s="6">
        <f t="shared" si="30"/>
        <v>2.4097222223645076E-2</v>
      </c>
      <c r="N136" s="7">
        <f t="shared" si="48"/>
        <v>34.70000000204891</v>
      </c>
      <c r="O136" s="7"/>
      <c r="P136" s="7"/>
      <c r="Q136" s="22"/>
      <c r="R136" s="173"/>
      <c r="S136" s="220">
        <f t="shared" si="49"/>
        <v>1</v>
      </c>
      <c r="T136" s="173" t="str">
        <f t="shared" si="33"/>
        <v>NorthBound</v>
      </c>
      <c r="U136" s="19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5" t="str">
        <f t="shared" si="34"/>
        <v>https://d0f6bd738d7f1b3e5a7ca70fe4ff75f0.us-east-1.aws.found.io/app/kibana#/discover/Steve-Slow-Train-Analysis-(2080s-and-2083s)?_g=(refreshInterval:(display:Off,pause:!f,section:0,value:0),time:(from:'2017-11-20T17:51:55-0700',mode:absolute,to:'2017-11-20T20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6" s="203" t="str">
        <f>IF(AA136&lt;VLOOKUP(AG136,Variables!$AC$3:$AD$8,2,FALSE),"Y","N")</f>
        <v>N</v>
      </c>
      <c r="X136" s="203">
        <f t="shared" si="50"/>
        <v>1</v>
      </c>
      <c r="Y136" s="203">
        <f t="shared" si="51"/>
        <v>5.8400000000000001E-2</v>
      </c>
      <c r="Z136" s="203">
        <f t="shared" si="52"/>
        <v>23.325900000000001</v>
      </c>
      <c r="AA136" s="203">
        <f t="shared" si="38"/>
        <v>23.267500000000002</v>
      </c>
      <c r="AB136" s="54" t="str">
        <f>VLOOKUP(A136,Enforcements!$C$7:$K$9,8,0)</f>
        <v>Bulletin (2)</v>
      </c>
      <c r="AC136" s="51" t="str">
        <f>VLOOKUP(A136,Enforcements!$C$7:$E$9,3,0)</f>
        <v>GRADE CROSSING</v>
      </c>
      <c r="AD136" s="178">
        <f t="shared" si="39"/>
        <v>221</v>
      </c>
      <c r="AE136" s="77" t="str">
        <f t="shared" si="40"/>
        <v>aws s3 cp s3://rtdc.mdm.uploadarchive.raw/RTDC4026/ "%USERPROFILE%\AppData\Local\Temp\OnboardLogs"\RTDC4026\2017-11-20 --exclude "*" --recursive --include "*20171120*" &amp; "%USERPROFILE%\Documents\GitHub\mrs-test-scripts\Headless Mode &amp; Sideloading\WalkAndUnGZ.bat" "%USERPROFILE%\AppData\Local\Temp\OnboardLogs"\RTDC4026\2017-11-20 &amp; aws s3 cp s3://rtdc.mdm.uploadarchive.raw/RTDC4026/ "%USERPROFILE%\AppData\Local\Temp\OnboardLogs"\RTDC4026\2017-11-21 --exclude "*" --recursive --include "*20171121*" &amp; "%USERPROFILE%\Documents\GitHub\mrs-test-scripts\Headless Mode &amp; Sideloading\WalkAndUnGZ.bat" "%USERPROFILE%\AppData\Local\Temp\OnboardLogs"\RTDC4026\2017-11-21</v>
      </c>
      <c r="AF136" s="74" t="str">
        <f t="shared" si="41"/>
        <v>"C:\Program Files (x86)\AstroGrep\AstroGrep.exe" /e /r /s /spath="%USERPROFILE%\AppData\Local\Temp\OnboardLogs" /stypes="app*4026*20171121*" /stext=" 02:.+((SYSTEM_STATE.+slice.+state.+changed )|(ment ac)|(multiple cpu faults)|(system.+state.+changed )|(\[timeout)|(PRM\|1\|D)|(kpr)|(kdp)|(train st.+moving)|(\|lc)|(penalty))"</v>
      </c>
      <c r="AG136" s="181" t="str">
        <f t="shared" si="42"/>
        <v>EC</v>
      </c>
      <c r="AH136" s="78" t="str">
        <f t="shared" si="43"/>
        <v>"%USERPROFILE%\Documents\GitHub\eaglep3\Utilities\RefineRTDCRunTimes.py" --tripid 221-20 --locoid 4026 --swversion DE.1.0.9.0 --startMP 204:584 --initTime 2017-11-20T18:51:55 --startdatetime 2017-11-20T19:00:11 --delay 100 --endMP 204:233259 --enddatetime 2017-11-20T19:34:53 --enforcementcount 0 &gt;&gt;%USERPROFILE%\Documents\GitHub\eaglep3-reporting\EC\2017-11-20-refined-times.txt</v>
      </c>
      <c r="AI136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{"issue":{"subject":"","project_id":79,"tracker_id":40,"status_id":1,"priority_id":2,"assigned_to_id":338,"start_date":"2017-11-20","description":"","custom_fields":[{"id":1,"name":"Subdivision","value":"EC"},{"id":4,"name":"Milepost","value":"23.3259"},{"id":17,"name":"Train ID","value":"221-20"},{"id":16,"name":"Locomotive ID","value":"4026"},{"id":130,"name":"Impact","value":""},{"id":150,"name":"Time of Event (Mountain Time)","value":"19:34:53"},{"id":151,"name":"Denver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1" t="str">
        <f t="shared" si="45"/>
        <v>start /low /b %USERPROFILE%\Documents\GitHub\eaglep3\Utilities\DownloadLogsFromS3.py --loco 4026 --day 2017-11-20</v>
      </c>
      <c r="AN136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02:34:53"},{"id":29,"name":"Sharepoint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7" t="str">
        <f t="shared" si="47"/>
        <v>https://d0f6bd738d7f1b3e5a7ca70fe4ff75f0.us-east-1.aws.found.io/app/kibana#/discover/Steve-Slow-Train-Analysis-(2080s-and-2083s)?_g=(refreshInterval:(display:Off,pause:!f,section:0,value:0),time:(from:'2017-11-20T17:51:55-0700',mode:absolute,to:'2017-11-20T20:34:53-0700'))&amp;_a=(columns:!('Message%20ID',Summary),filters:!(),index:'emp_*',interval:auto,query:(query_string:(analyze_wildcard:!t,query:'%22rtdc.l.rtdc.4026%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855</v>
      </c>
      <c r="B137" s="7">
        <v>4025</v>
      </c>
      <c r="C137" s="21" t="s">
        <v>192</v>
      </c>
      <c r="D137" s="21" t="s">
        <v>563</v>
      </c>
      <c r="E137" s="13">
        <v>43059.816863425927</v>
      </c>
      <c r="F137" s="13">
        <v>43059.831412037034</v>
      </c>
      <c r="G137" s="7">
        <v>81</v>
      </c>
      <c r="H137" s="21" t="s">
        <v>619</v>
      </c>
      <c r="I137" s="13">
        <v>43059.856354166666</v>
      </c>
      <c r="J137" s="7">
        <v>0</v>
      </c>
      <c r="K137" s="89" t="str">
        <f t="shared" si="29"/>
        <v>4025/4026</v>
      </c>
      <c r="L137" s="184" t="str">
        <f>VLOOKUP(A137,'Trips&amp;Operators'!$C$1:$G$99911,5,FALSE)</f>
        <v>ELBAUM MIKE</v>
      </c>
      <c r="M137" s="6">
        <f t="shared" si="30"/>
        <v>2.4942129632108845E-2</v>
      </c>
      <c r="N137" s="7">
        <f t="shared" si="48"/>
        <v>35.916666670236737</v>
      </c>
      <c r="O137" s="7"/>
      <c r="P137" s="7"/>
      <c r="Q137" s="22"/>
      <c r="R137" s="173"/>
      <c r="S137" s="220">
        <f t="shared" si="49"/>
        <v>1</v>
      </c>
      <c r="T137" s="173" t="str">
        <f t="shared" si="33"/>
        <v>Southbound</v>
      </c>
      <c r="U137" s="19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5" t="str">
        <f t="shared" si="34"/>
        <v>https://d0f6bd738d7f1b3e5a7ca70fe4ff75f0.us-east-1.aws.found.io/app/kibana#/discover/Steve-Slow-Train-Analysis-(2080s-and-2083s)?_g=(refreshInterval:(display:Off,pause:!f,section:0,value:0),time:(from:'2017-11-20T18:36:17-0700',mode:absolute,to:'2017-11-20T21:33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7" s="203" t="str">
        <f>IF(AA137&lt;VLOOKUP(AG137,Variables!$AC$3:$AD$8,2,FALSE),"Y","N")</f>
        <v>N</v>
      </c>
      <c r="X137" s="203">
        <f t="shared" si="50"/>
        <v>1</v>
      </c>
      <c r="Y137" s="203">
        <f t="shared" si="51"/>
        <v>23.293199999999999</v>
      </c>
      <c r="Z137" s="203">
        <f t="shared" si="52"/>
        <v>2.5399999999999999E-2</v>
      </c>
      <c r="AA137" s="203">
        <f t="shared" si="38"/>
        <v>23.267799999999998</v>
      </c>
      <c r="AB137" s="54" t="e">
        <f>VLOOKUP(A137,Enforcements!$C$7:$K$9,8,0)</f>
        <v>#N/A</v>
      </c>
      <c r="AC137" s="51" t="e">
        <f>VLOOKUP(A137,Enforcements!$C$7:$E$9,3,0)</f>
        <v>#N/A</v>
      </c>
      <c r="AD137" s="178">
        <f t="shared" si="39"/>
        <v>222</v>
      </c>
      <c r="AE137" s="77" t="str">
        <f t="shared" si="40"/>
        <v>aws s3 cp s3://rtdc.mdm.uploadarchive.raw/RTDC4025/ "%USERPROFILE%\AppData\Local\Temp\OnboardLogs"\RTDC4025\2017-11-20 --exclude "*" --recursive --include "*20171120*" &amp; "%USERPROFILE%\Documents\GitHub\mrs-test-scripts\Headless Mode &amp; Sideloading\WalkAndUnGZ.bat" "%USERPROFILE%\AppData\Local\Temp\OnboardLogs"\RTDC4025\2017-11-20 &amp; aws s3 cp s3://rtdc.mdm.uploadarchive.raw/RTDC4025/ "%USERPROFILE%\AppData\Local\Temp\OnboardLogs"\RTDC4025\2017-11-21 --exclude "*" --recursive --include "*20171121*" &amp; "%USERPROFILE%\Documents\GitHub\mrs-test-scripts\Headless Mode &amp; Sideloading\WalkAndUnGZ.bat" "%USERPROFILE%\AppData\Local\Temp\OnboardLogs"\RTDC4025\2017-11-21</v>
      </c>
      <c r="AF137" s="74" t="str">
        <f t="shared" si="41"/>
        <v>"C:\Program Files (x86)\AstroGrep\AstroGrep.exe" /e /r /s /spath="%USERPROFILE%\AppData\Local\Temp\OnboardLogs" /stypes="app*4025*20171121*" /stext=" 03:.+((SYSTEM_STATE.+slice.+state.+changed )|(ment ac)|(multiple cpu faults)|(system.+state.+changed )|(\[timeout)|(PRM\|1\|D)|(kpr)|(kdp)|(train st.+moving)|(\|lc)|(penalty))"</v>
      </c>
      <c r="AG137" s="181" t="str">
        <f t="shared" si="42"/>
        <v>EC</v>
      </c>
      <c r="AH137" s="78" t="str">
        <f t="shared" si="43"/>
        <v>"%USERPROFILE%\Documents\GitHub\eaglep3\Utilities\RefineRTDCRunTimes.py" --tripid 222-20 --locoid 4025 --swversion DE.1.0.9.0 --startMP 204:232932 --initTime 2017-11-20T19:36:17 --startdatetime 2017-11-20T19:57:14 --delay 81 --endMP 204:254 --enddatetime 2017-11-20T20:33:09 --enforcementcount 0 &gt;&gt;%USERPROFILE%\Documents\GitHub\eaglep3-reporting\EC\2017-11-20-refined-times.txt</v>
      </c>
      <c r="AI137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{"issue":{"subject":"","project_id":79,"tracker_id":40,"status_id":1,"priority_id":2,"assigned_to_id":338,"start_date":"2017-11-20","description":"","custom_fields":[{"id":1,"name":"Subdivision","value":"EC"},{"id":4,"name":"Milepost","value":"0.0254"},{"id":17,"name":"Train ID","value":"222-20"},{"id":16,"name":"Locomotive ID","value":"4025"},{"id":130,"name":"Impact","value":""},{"id":150,"name":"Time of Event (Mountain Time)","value":"20:33:09"},{"id":151,"name":"Denver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1" t="str">
        <f t="shared" si="45"/>
        <v>start /low /b %USERPROFILE%\Documents\GitHub\eaglep3\Utilities\DownloadLogsFromS3.py --loco 4025 --day 2017-11-20</v>
      </c>
      <c r="AN137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03:33:09"},{"id":29,"name":"Sharepoint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7" t="str">
        <f t="shared" si="47"/>
        <v>https://d0f6bd738d7f1b3e5a7ca70fe4ff75f0.us-east-1.aws.found.io/app/kibana#/discover/Steve-Slow-Train-Analysis-(2080s-and-2083s)?_g=(refreshInterval:(display:Off,pause:!f,section:0,value:0),time:(from:'2017-11-20T18:36:17-0700',mode:absolute,to:'2017-11-20T21:33:09-0700'))&amp;_a=(columns:!('Message%20ID',Summary),filters:!(),index:'emp_*',interval:auto,query:(query_string:(analyze_wildcard:!t,query:'%22rtdc.l.rtdc.4025%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853</v>
      </c>
      <c r="B138" s="7">
        <v>4018</v>
      </c>
      <c r="C138" s="21" t="s">
        <v>192</v>
      </c>
      <c r="D138" s="21" t="s">
        <v>605</v>
      </c>
      <c r="E138" s="13">
        <v>43059.807384259257</v>
      </c>
      <c r="F138" s="13">
        <v>43059.812650462962</v>
      </c>
      <c r="G138" s="7">
        <v>79</v>
      </c>
      <c r="H138" s="21" t="s">
        <v>513</v>
      </c>
      <c r="I138" s="13">
        <v>43059.837881944448</v>
      </c>
      <c r="J138" s="7">
        <v>0</v>
      </c>
      <c r="K138" s="89" t="str">
        <f t="shared" si="29"/>
        <v>4017/4018</v>
      </c>
      <c r="L138" s="184" t="str">
        <f>VLOOKUP(A138,'Trips&amp;Operators'!$C$1:$G$99911,5,FALSE)</f>
        <v>STRICKLAND EVAN</v>
      </c>
      <c r="M138" s="6">
        <f t="shared" si="30"/>
        <v>2.5231481486116536E-2</v>
      </c>
      <c r="N138" s="7">
        <f t="shared" si="48"/>
        <v>36.333333340007812</v>
      </c>
      <c r="O138" s="7"/>
      <c r="P138" s="7"/>
      <c r="Q138" s="22"/>
      <c r="R138" s="173"/>
      <c r="S138" s="220">
        <f t="shared" si="49"/>
        <v>1</v>
      </c>
      <c r="T138" s="173" t="str">
        <f t="shared" si="33"/>
        <v>NorthBound</v>
      </c>
      <c r="U138" s="19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5" t="str">
        <f t="shared" si="34"/>
        <v>https://d0f6bd738d7f1b3e5a7ca70fe4ff75f0.us-east-1.aws.found.io/app/kibana#/discover/Steve-Slow-Train-Analysis-(2080s-and-2083s)?_g=(refreshInterval:(display:Off,pause:!f,section:0,value:0),time:(from:'2017-11-20T18:22:38-0700',mode:absolute,to:'2017-11-20T21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8" s="203" t="str">
        <f>IF(AA138&lt;VLOOKUP(AG138,Variables!$AC$3:$AD$8,2,FALSE),"Y","N")</f>
        <v>N</v>
      </c>
      <c r="X138" s="203">
        <f t="shared" si="50"/>
        <v>1</v>
      </c>
      <c r="Y138" s="203">
        <f t="shared" si="51"/>
        <v>5.2400000000000002E-2</v>
      </c>
      <c r="Z138" s="203">
        <f t="shared" si="52"/>
        <v>23.321899999999999</v>
      </c>
      <c r="AA138" s="203">
        <f t="shared" si="38"/>
        <v>23.269500000000001</v>
      </c>
      <c r="AB138" s="54" t="e">
        <f>VLOOKUP(A138,Enforcements!$C$7:$K$9,8,0)</f>
        <v>#N/A</v>
      </c>
      <c r="AC138" s="51" t="e">
        <f>VLOOKUP(A138,Enforcements!$C$7:$E$9,3,0)</f>
        <v>#N/A</v>
      </c>
      <c r="AD138" s="178">
        <f t="shared" si="39"/>
        <v>223</v>
      </c>
      <c r="AE138" s="77" t="str">
        <f t="shared" si="40"/>
        <v>aws s3 cp s3://rtdc.mdm.uploadarchive.raw/RTDC4018/ "%USERPROFILE%\AppData\Local\Temp\OnboardLogs"\RTDC4018\2017-11-20 --exclude "*" --recursive --include "*20171120*" &amp; "%USERPROFILE%\Documents\GitHub\mrs-test-scripts\Headless Mode &amp; Sideloading\WalkAndUnGZ.bat" "%USERPROFILE%\AppData\Local\Temp\OnboardLogs"\RTDC4018\2017-11-20 &amp; aws s3 cp s3://rtdc.mdm.uploadarchive.raw/RTDC4018/ "%USERPROFILE%\AppData\Local\Temp\OnboardLogs"\RTDC4018\2017-11-21 --exclude "*" --recursive --include "*20171121*" &amp; "%USERPROFILE%\Documents\GitHub\mrs-test-scripts\Headless Mode &amp; Sideloading\WalkAndUnGZ.bat" "%USERPROFILE%\AppData\Local\Temp\OnboardLogs"\RTDC4018\2017-11-21</v>
      </c>
      <c r="AF138" s="74" t="str">
        <f t="shared" si="41"/>
        <v>"C:\Program Files (x86)\AstroGrep\AstroGrep.exe" /e /r /s /spath="%USERPROFILE%\AppData\Local\Temp\OnboardLogs" /stypes="app*4018*20171121*" /stext=" 03:.+((SYSTEM_STATE.+slice.+state.+changed )|(ment ac)|(multiple cpu faults)|(system.+state.+changed )|(\[timeout)|(PRM\|1\|D)|(kpr)|(kdp)|(train st.+moving)|(\|lc)|(penalty))"</v>
      </c>
      <c r="AG138" s="181" t="str">
        <f t="shared" si="42"/>
        <v>EC</v>
      </c>
      <c r="AH138" s="78" t="str">
        <f t="shared" si="43"/>
        <v>"%USERPROFILE%\Documents\GitHub\eaglep3\Utilities\RefineRTDCRunTimes.py" --tripid 223-20 --locoid 4018 --swversion DE.1.0.9.0 --startMP 204:524 --initTime 2017-11-20T19:22:38 --startdatetime 2017-11-20T19:30:13 --delay 79 --endMP 204:233219 --enddatetime 2017-11-20T20:06:33 --enforcementcount 0 &gt;&gt;%USERPROFILE%\Documents\GitHub\eaglep3-reporting\EC\2017-11-20-refined-times.txt</v>
      </c>
      <c r="AI138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{"issue":{"subject":"","project_id":79,"tracker_id":40,"status_id":1,"priority_id":2,"assigned_to_id":338,"start_date":"2017-11-20","description":"","custom_fields":[{"id":1,"name":"Subdivision","value":"EC"},{"id":4,"name":"Milepost","value":"23.3219"},{"id":17,"name":"Train ID","value":"223-20"},{"id":16,"name":"Locomotive ID","value":"4018"},{"id":130,"name":"Impact","value":""},{"id":150,"name":"Time of Event (Mountain Time)","value":"20:06:33"},{"id":151,"name":"Denver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1" t="str">
        <f t="shared" si="45"/>
        <v>start /low /b %USERPROFILE%\Documents\GitHub\eaglep3\Utilities\DownloadLogsFromS3.py --loco 4018 --day 2017-11-20</v>
      </c>
      <c r="AN138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03:06:33"},{"id":29,"name":"Sharepoint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7" t="str">
        <f t="shared" si="47"/>
        <v>https://d0f6bd738d7f1b3e5a7ca70fe4ff75f0.us-east-1.aws.found.io/app/kibana#/discover/Steve-Slow-Train-Analysis-(2080s-and-2083s)?_g=(refreshInterval:(display:Off,pause:!f,section:0,value:0),time:(from:'2017-11-20T18:22:38-0700',mode:absolute,to:'2017-11-20T21:06:33-0700'))&amp;_a=(columns:!('Message%20ID',Summary),filters:!(),index:'emp_*',interval:auto,query:(query_string:(analyze_wildcard:!t,query:'%22rtdc.l.rtdc.4018%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672</v>
      </c>
      <c r="B139" s="7">
        <v>4017</v>
      </c>
      <c r="C139" s="21" t="s">
        <v>192</v>
      </c>
      <c r="D139" s="21" t="s">
        <v>973</v>
      </c>
      <c r="E139" s="13">
        <v>43059.840381944443</v>
      </c>
      <c r="F139" s="13">
        <v>43059.852303240739</v>
      </c>
      <c r="G139" s="7">
        <v>50</v>
      </c>
      <c r="H139" s="21" t="s">
        <v>534</v>
      </c>
      <c r="I139" s="13">
        <v>43059.878634259258</v>
      </c>
      <c r="J139" s="7">
        <v>0</v>
      </c>
      <c r="K139" s="89" t="str">
        <f t="shared" si="29"/>
        <v>4017/4018</v>
      </c>
      <c r="L139" s="184" t="str">
        <f>VLOOKUP(A139,'Trips&amp;Operators'!$C$1:$G$99911,5,FALSE)</f>
        <v>STRICKLAND EVAN</v>
      </c>
      <c r="M139" s="6">
        <f t="shared" si="30"/>
        <v>2.6331018518249039E-2</v>
      </c>
      <c r="N139" s="7">
        <f t="shared" si="48"/>
        <v>37.916666666278616</v>
      </c>
      <c r="O139" s="7"/>
      <c r="P139" s="7"/>
      <c r="Q139" s="22"/>
      <c r="R139" s="173"/>
      <c r="S139" s="220">
        <f t="shared" si="49"/>
        <v>1</v>
      </c>
      <c r="T139" s="173" t="str">
        <f t="shared" si="33"/>
        <v>Southbound</v>
      </c>
      <c r="U139" s="19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5" t="str">
        <f t="shared" si="34"/>
        <v>https://d0f6bd738d7f1b3e5a7ca70fe4ff75f0.us-east-1.aws.found.io/app/kibana#/discover/Steve-Slow-Train-Analysis-(2080s-and-2083s)?_g=(refreshInterval:(display:Off,pause:!f,section:0,value:0),time:(from:'2017-11-20T19:10:09-0700',mode:absolute,to:'2017-11-20T22:05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9" s="203" t="str">
        <f>IF(AA139&lt;VLOOKUP(AG139,Variables!$AC$3:$AD$8,2,FALSE),"Y","N")</f>
        <v>N</v>
      </c>
      <c r="X139" s="203">
        <f t="shared" si="50"/>
        <v>1</v>
      </c>
      <c r="Y139" s="203">
        <f t="shared" si="51"/>
        <v>23.2896</v>
      </c>
      <c r="Z139" s="203">
        <f t="shared" si="52"/>
        <v>2.3400000000000001E-2</v>
      </c>
      <c r="AA139" s="203">
        <f t="shared" si="38"/>
        <v>23.266200000000001</v>
      </c>
      <c r="AB139" s="54" t="e">
        <f>VLOOKUP(A139,Enforcements!$C$7:$K$9,8,0)</f>
        <v>#N/A</v>
      </c>
      <c r="AC139" s="51" t="e">
        <f>VLOOKUP(A139,Enforcements!$C$7:$E$9,3,0)</f>
        <v>#N/A</v>
      </c>
      <c r="AD139" s="178">
        <f t="shared" si="39"/>
        <v>224</v>
      </c>
      <c r="AE139" s="77" t="str">
        <f t="shared" si="40"/>
        <v>aws s3 cp s3://rtdc.mdm.uploadarchive.raw/RTDC4017/ "%USERPROFILE%\AppData\Local\Temp\OnboardLogs"\RTDC4017\2017-11-20 --exclude "*" --recursive --include "*20171120*" &amp; "%USERPROFILE%\Documents\GitHub\mrs-test-scripts\Headless Mode &amp; Sideloading\WalkAndUnGZ.bat" "%USERPROFILE%\AppData\Local\Temp\OnboardLogs"\RTDC4017\2017-11-20 &amp; aws s3 cp s3://rtdc.mdm.uploadarchive.raw/RTDC4017/ "%USERPROFILE%\AppData\Local\Temp\OnboardLogs"\RTDC4017\2017-11-21 --exclude "*" --recursive --include "*20171121*" &amp; "%USERPROFILE%\Documents\GitHub\mrs-test-scripts\Headless Mode &amp; Sideloading\WalkAndUnGZ.bat" "%USERPROFILE%\AppData\Local\Temp\OnboardLogs"\RTDC4017\2017-11-21</v>
      </c>
      <c r="AF139" s="74" t="str">
        <f t="shared" si="41"/>
        <v>"C:\Program Files (x86)\AstroGrep\AstroGrep.exe" /e /r /s /spath="%USERPROFILE%\AppData\Local\Temp\OnboardLogs" /stypes="app*4017*20171121*" /stext=" 04:.+((SYSTEM_STATE.+slice.+state.+changed )|(ment ac)|(multiple cpu faults)|(system.+state.+changed )|(\[timeout)|(PRM\|1\|D)|(kpr)|(kdp)|(train st.+moving)|(\|lc)|(penalty))"</v>
      </c>
      <c r="AG139" s="181" t="str">
        <f t="shared" si="42"/>
        <v>EC</v>
      </c>
      <c r="AH139" s="78" t="str">
        <f t="shared" si="43"/>
        <v>"%USERPROFILE%\Documents\GitHub\eaglep3\Utilities\RefineRTDCRunTimes.py" --tripid 224-20 --locoid 4017 --swversion DE.1.0.9.0 --startMP 204:232896 --initTime 2017-11-20T20:10:09 --startdatetime 2017-11-20T20:27:19 --delay 50 --endMP 204:234 --enddatetime 2017-11-20T21:05:14 --enforcementcount 0 &gt;&gt;%USERPROFILE%\Documents\GitHub\eaglep3-reporting\EC\2017-11-20-refined-times.txt</v>
      </c>
      <c r="AI139" s="96" t="str">
        <f t="shared" si="44"/>
        <v>echo {"issue":{"subject":"","project_id":79,"tracker_id":40,"status_id":1,"priority_id":2,"assigned_to_id":338,"start_date":"2017-11-20","description":"","custom_fields":[{"id":1,"name":"Subdivision","value":"EC"},{"id":4,"name":"Milepost","value":"0.0234"},{"id":17,"name":"Train ID","value":"224-20"},{"id":16,"name":"Locomotive ID","value":"4017"},{"id":130,"name":"Impact","value":""},{"id":150,"name":"Time of Event (Mountain Time)","value":"21:05:14"},{"id":151,"name":"Denver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1" t="str">
        <f t="shared" si="45"/>
        <v>start /low /b %USERPROFILE%\Documents\GitHub\eaglep3\Utilities\DownloadLogsFromS3.py --loco 4017 --day 2017-11-20</v>
      </c>
      <c r="AN139" s="150" t="str">
        <f t="shared" si="46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04:05:14"},{"id":29,"name":"Sharepoint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7" t="str">
        <f t="shared" si="47"/>
        <v>https://d0f6bd738d7f1b3e5a7ca70fe4ff75f0.us-east-1.aws.found.io/app/kibana#/discover/Steve-Slow-Train-Analysis-(2080s-and-2083s)?_g=(refreshInterval:(display:Off,pause:!f,section:0,value:0),time:(from:'2017-11-20T19:10:09-0700',mode:absolute,to:'2017-11-20T22:05:14-0700'))&amp;_a=(columns:!('Message%20ID',Summary),filters:!(),index:'emp_*',interval:auto,query:(query_string:(analyze_wildcard:!t,query:'%22rtdc.l.rtdc.4017%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671</v>
      </c>
      <c r="B140" s="7">
        <v>4064</v>
      </c>
      <c r="C140" s="21" t="s">
        <v>192</v>
      </c>
      <c r="D140" s="21" t="s">
        <v>980</v>
      </c>
      <c r="E140" s="13">
        <v>43059.827731481484</v>
      </c>
      <c r="F140" s="13">
        <v>43059.833587962959</v>
      </c>
      <c r="G140" s="7">
        <v>65</v>
      </c>
      <c r="H140" s="21" t="s">
        <v>981</v>
      </c>
      <c r="I140" s="13">
        <v>43059.855543981481</v>
      </c>
      <c r="J140" s="7">
        <v>0</v>
      </c>
      <c r="K140" s="89" t="str">
        <f t="shared" si="29"/>
        <v>4063/4064</v>
      </c>
      <c r="L140" s="184" t="str">
        <f>VLOOKUP(A140,'Trips&amp;Operators'!$C$1:$G$99911,5,FALSE)</f>
        <v>RESPASS AARON</v>
      </c>
      <c r="M140" s="6">
        <f t="shared" si="30"/>
        <v>2.195601852145046E-2</v>
      </c>
      <c r="N140" s="7"/>
      <c r="O140" s="7"/>
      <c r="P140" s="7">
        <f>24*60*SUM($M140:$M140)</f>
        <v>31.616666670888662</v>
      </c>
      <c r="Q140" s="22"/>
      <c r="R140" s="173" t="s">
        <v>1111</v>
      </c>
      <c r="S140" s="220">
        <f t="shared" si="49"/>
        <v>1</v>
      </c>
      <c r="T140" s="173" t="str">
        <f t="shared" si="33"/>
        <v>NorthBound</v>
      </c>
      <c r="U140" s="19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5" t="str">
        <f t="shared" si="34"/>
        <v>https://d0f6bd738d7f1b3e5a7ca70fe4ff75f0.us-east-1.aws.found.io/app/kibana#/discover/Steve-Slow-Train-Analysis-(2080s-and-2083s)?_g=(refreshInterval:(display:Off,pause:!f,section:0,value:0),time:(from:'2017-11-20T18:51:56-0700',mode:absolute,to:'2017-11-20T21:31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0" s="203" t="str">
        <f>IF(AA140&lt;VLOOKUP(AG140,Variables!$AC$3:$AD$8,2,FALSE),"Y","N")</f>
        <v>Y</v>
      </c>
      <c r="X140" s="203">
        <f t="shared" si="50"/>
        <v>1</v>
      </c>
      <c r="Y140" s="203">
        <f t="shared" si="51"/>
        <v>5.3100000000000001E-2</v>
      </c>
      <c r="Z140" s="203">
        <f t="shared" si="52"/>
        <v>21.296900000000001</v>
      </c>
      <c r="AA140" s="203">
        <f t="shared" si="38"/>
        <v>21.2438</v>
      </c>
      <c r="AB140" s="54" t="e">
        <f>VLOOKUP(A140,Enforcements!$C$7:$K$9,8,0)</f>
        <v>#N/A</v>
      </c>
      <c r="AC140" s="51" t="e">
        <f>VLOOKUP(A140,Enforcements!$C$7:$E$9,3,0)</f>
        <v>#N/A</v>
      </c>
      <c r="AD140" s="178">
        <f t="shared" si="39"/>
        <v>225</v>
      </c>
      <c r="AE140" s="77" t="str">
        <f t="shared" si="40"/>
        <v>aws s3 cp s3://rtdc.mdm.uploadarchive.raw/RTDC4064/ "%USERPROFILE%\AppData\Local\Temp\OnboardLogs"\RTDC4064\2017-11-20 --exclude "*" --recursive --include "*20171120*" &amp; "%USERPROFILE%\Documents\GitHub\mrs-test-scripts\Headless Mode &amp; Sideloading\WalkAndUnGZ.bat" "%USERPROFILE%\AppData\Local\Temp\OnboardLogs"\RTDC4064\2017-11-20 &amp; aws s3 cp s3://rtdc.mdm.uploadarchive.raw/RTDC4064/ "%USERPROFILE%\AppData\Local\Temp\OnboardLogs"\RTDC4064\2017-11-21 --exclude "*" --recursive --include "*20171121*" &amp; "%USERPROFILE%\Documents\GitHub\mrs-test-scripts\Headless Mode &amp; Sideloading\WalkAndUnGZ.bat" "%USERPROFILE%\AppData\Local\Temp\OnboardLogs"\RTDC4064\2017-11-21</v>
      </c>
      <c r="AF140" s="74" t="str">
        <f t="shared" si="41"/>
        <v>"C:\Program Files (x86)\AstroGrep\AstroGrep.exe" /e /r /s /spath="%USERPROFILE%\AppData\Local\Temp\OnboardLogs" /stypes="app*4064*20171121*" /stext=" 03:.+((SYSTEM_STATE.+slice.+state.+changed )|(ment ac)|(multiple cpu faults)|(system.+state.+changed )|(\[timeout)|(PRM\|1\|D)|(kpr)|(kdp)|(train st.+moving)|(\|lc)|(penalty))"</v>
      </c>
      <c r="AG140" s="181" t="str">
        <f t="shared" si="42"/>
        <v>EC</v>
      </c>
      <c r="AH140" s="78" t="str">
        <f t="shared" si="43"/>
        <v>"%USERPROFILE%\Documents\GitHub\eaglep3\Utilities\RefineRTDCRunTimes.py" --tripid 225-20 --locoid 4064 --swversion DE.1.0.9.0 --startMP 204:531 --initTime 2017-11-20T19:51:56 --startdatetime 2017-11-20T20:00:22 --delay 65 --endMP 204:212969 --enddatetime 2017-11-20T20:31:59 --enforcementcount 0 &gt;&gt;%USERPROFILE%\Documents\GitHub\eaglep3-reporting\EC\2017-11-20-refined-times.txt</v>
      </c>
      <c r="AI140" s="96" t="str">
        <f t="shared" si="44"/>
        <v>echo {"issue":{"subject":"Wi-MAX data drop","project_id":79,"tracker_id":40,"status_id":1,"priority_id":2,"assigned_to_id":338,"start_date":"2017-11-20","description":"","custom_fields":[{"id":1,"name":"Subdivision","value":"EC"},{"id":4,"name":"Milepost","value":"21.2969"},{"id":17,"name":"Train ID","value":"225-20"},{"id":16,"name":"Locomotive ID","value":"4064"},{"id":130,"name":"Impact","value":""},{"id":150,"name":"Time of Event (Mountain Time)","value":"20:31:59"},{"id":151,"name":"Denver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1" t="str">
        <f t="shared" si="45"/>
        <v>start /low /b %USERPROFILE%\Documents\GitHub\eaglep3\Utilities\DownloadLogsFromS3.py --loco 4064 --day 2017-11-20</v>
      </c>
      <c r="AN140" s="150" t="str">
        <f t="shared" si="46"/>
        <v>echo {"issue":{"subject":"Wi-MAX data drop","project_id":30,"tracker_id":4,"status_id":1,"priority_id":1,"assigned_to_id":10,"start_date":"2017-11-21","description":"","custom_fields":[{"id":30,"name":"Category","value":"Issue"},{"id":3,"name":"Functional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03:31:59"},{"id":29,"name":"Sharepoint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7" t="str">
        <f t="shared" si="47"/>
        <v>https://d0f6bd738d7f1b3e5a7ca70fe4ff75f0.us-east-1.aws.found.io/app/kibana#/discover/Steve-Slow-Train-Analysis-(2080s-and-2083s)?_g=(refreshInterval:(display:Off,pause:!f,section:0,value:0),time:(from:'2017-11-20T18:51:56-0700',mode:absolute,to:'2017-11-20T21:31:59-0700'))&amp;_a=(columns:!('Message%20ID',Summary),filters:!(),index:'emp_*',interval:auto,query:(query_string:(analyze_wildcard:!t,query:'%22rtdc.l.rtdc.4064%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674</v>
      </c>
      <c r="B141" s="7">
        <v>4063</v>
      </c>
      <c r="C141" s="21" t="s">
        <v>192</v>
      </c>
      <c r="D141" s="21" t="s">
        <v>610</v>
      </c>
      <c r="E141" s="13">
        <v>43059.867280092592</v>
      </c>
      <c r="F141" s="13">
        <v>43059.900833333333</v>
      </c>
      <c r="G141" s="7">
        <v>52</v>
      </c>
      <c r="H141" s="21" t="s">
        <v>982</v>
      </c>
      <c r="I141" s="13">
        <v>43059.907951388886</v>
      </c>
      <c r="J141" s="7">
        <v>0</v>
      </c>
      <c r="K141" s="89" t="str">
        <f t="shared" ref="K141:K204" si="53">IF(ISEVEN(B141),(B141-1)&amp;"/"&amp;B141,B141&amp;"/"&amp;(B141+1))</f>
        <v>4063/4064</v>
      </c>
      <c r="L141" s="184" t="str">
        <f>VLOOKUP(A141,'Trips&amp;Operators'!$C$1:$G$99911,5,FALSE)</f>
        <v>RESPASS AARON</v>
      </c>
      <c r="M141" s="6">
        <f t="shared" ref="M141:M204" si="54">I141-F141</f>
        <v>7.1180555532919243E-3</v>
      </c>
      <c r="N141" s="7"/>
      <c r="O141" s="7"/>
      <c r="P141" s="7">
        <f>24*60*SUM($M141:$M141)</f>
        <v>10.249999996740371</v>
      </c>
      <c r="Q141" s="22"/>
      <c r="R141" s="173" t="s">
        <v>1112</v>
      </c>
      <c r="S141" s="220">
        <f>1/IF(AG141="EC",12,1)*SUM(U141:U142)</f>
        <v>0.75</v>
      </c>
      <c r="T141" s="173" t="str">
        <f t="shared" ref="T141:T204" si="55">IF(ISEVEN(LEFT(AD141,4)),"Southbound","NorthBound")</f>
        <v>Southbound</v>
      </c>
      <c r="U141" s="19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6</v>
      </c>
      <c r="V141" s="215" t="str">
        <f t="shared" ref="V141:V204" si="56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-20T19:48:53-0700',mode:absolute,to:'2017-11-20T22:47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1" s="203" t="str">
        <f>IF(AA141&lt;VLOOKUP(AG141,Variables!$AC$3:$AD$8,2,FALSE),"Y","N")</f>
        <v>Y</v>
      </c>
      <c r="X141" s="203">
        <f t="shared" ref="X141:X154" si="57">VALUE(LEFT(AD141,4))-VALUE(LEFT(AD140,4))</f>
        <v>1</v>
      </c>
      <c r="Y141" s="203">
        <f t="shared" ref="Y141:Y158" si="58">RIGHT(D141,LEN(D141)-4)/10000</f>
        <v>23.297899999999998</v>
      </c>
      <c r="Z141" s="203">
        <f t="shared" ref="Z141:Z158" si="59">RIGHT(H141,LEN(H141)-4)/10000</f>
        <v>5.7953000000000001</v>
      </c>
      <c r="AA141" s="203">
        <f t="shared" ref="AA141:AA204" si="60">ABS(Z141-Y141)</f>
        <v>17.502599999999997</v>
      </c>
      <c r="AB141" s="54" t="e">
        <f>VLOOKUP(A141,Enforcements!$C$7:$K$9,8,0)</f>
        <v>#N/A</v>
      </c>
      <c r="AC141" s="51" t="e">
        <f>VLOOKUP(A141,Enforcements!$C$7:$E$9,3,0)</f>
        <v>#N/A</v>
      </c>
      <c r="AD141" s="178">
        <f t="shared" ref="AD141:AD204" si="61">VALUE(LEFT(A141,LEN(A141)-3))</f>
        <v>226</v>
      </c>
      <c r="AE141" s="77" t="str">
        <f t="shared" ref="AE141:AE204" si="6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s3://rtdc.mdm.uploadarchive.raw/RTDC4063/ "%USERPROFILE%\AppData\Local\Temp\OnboardLogs"\RTDC4063\2017-11-20 --exclude "*" --recursive --include "*20171120*" &amp; "%USERPROFILE%\Documents\GitHub\mrs-test-scripts\Headless Mode &amp; Sideloading\WalkAndUnGZ.bat" "%USERPROFILE%\AppData\Local\Temp\OnboardLogs"\RTDC4063\2017-11-20 &amp; aws s3 cp s3://rtdc.mdm.uploadarchive.raw/RTDC4063/ "%USERPROFILE%\AppData\Local\Temp\OnboardLogs"\RTDC4063\2017-11-21 --exclude "*" --recursive --include "*20171121*" &amp; "%USERPROFILE%\Documents\GitHub\mrs-test-scripts\Headless Mode &amp; Sideloading\WalkAndUnGZ.bat" "%USERPROFILE%\AppData\Local\Temp\OnboardLogs"\RTDC4063\2017-11-21</v>
      </c>
      <c r="AF141" s="74" t="str">
        <f t="shared" ref="AF141:AF204" si="63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/stypes="app*4063*20171121*" /stext=" 04:.+((SYSTEM_STATE.+slice.+state.+changed )|(ment ac)|(multiple cpu faults)|(system.+state.+changed )|(\[timeout)|(PRM\|1\|D)|(kpr)|(kdp)|(train st.+moving)|(\|lc)|(penalty))"</v>
      </c>
      <c r="AG141" s="181" t="str">
        <f t="shared" ref="AG141:AG204" si="64">DetSubdiv(A141)</f>
        <v>EC</v>
      </c>
      <c r="AH141" s="78" t="str">
        <f t="shared" si="43"/>
        <v>"%USERPROFILE%\Documents\GitHub\eaglep3\Utilities\RefineRTDCRunTimes.py" --tripid 226-20 --locoid 4063 --swversion DE.1.0.9.0 --startMP 204:232979 --initTime 2017-11-20T20:48:53 --startdatetime 2017-11-20T21:37:12 --delay 52 --endMP 204:57953 --enddatetime 2017-11-20T21:47:27 --enforcementcount 0 &gt;&gt;%USERPROFILE%\Documents\GitHub\eaglep3-reporting\EC\2017-11-20-refined-times.txt</v>
      </c>
      <c r="AI141" s="96" t="str">
        <f t="shared" si="44"/>
        <v>echo {"issue":{"subject":"TMDS issue - could not clear Quebec 4S","project_id":79,"tracker_id":40,"status_id":1,"priority_id":2,"assigned_to_id":338,"start_date":"2017-11-20","description":"","custom_fields":[{"id":1,"name":"Subdivision","value":"EC"},{"id":4,"name":"Milepost","value":"5.7953"},{"id":17,"name":"Train ID","value":"226-20"},{"id":16,"name":"Locomotive ID","value":"4063"},{"id":130,"name":"Impact","value":""},{"id":150,"name":"Time of Event (Mountain Time)","value":"21:47:27"},{"id":151,"name":"Denver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1" t="str">
        <f t="shared" si="45"/>
        <v>start /low /b %USERPROFILE%\Documents\GitHub\eaglep3\Utilities\DownloadLogsFromS3.py --loco 4063 --day 2017-11-20</v>
      </c>
      <c r="AN141" s="150" t="str">
        <f t="shared" si="46"/>
        <v>echo {"issue":{"subject":"TMDS issue - could not clear Quebec 4S","project_id":30,"tracker_id":4,"status_id":1,"priority_id":1,"assigned_to_id":10,"start_date":"2017-11-21","description":"","custom_fields":[{"id":30,"name":"Category","value":"Issue"},{"id":3,"name":"Functional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04:47:27"},{"id":29,"name":"Sharepoint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7" t="str">
        <f t="shared" si="47"/>
        <v>https://d0f6bd738d7f1b3e5a7ca70fe4ff75f0.us-east-1.aws.found.io/app/kibana#/discover/Steve-Slow-Train-Analysis-(2080s-and-2083s)?_g=(refreshInterval:(display:Off,pause:!f,section:0,value:0),time:(from:'2017-11-20T19:48:53-0700',mode:absolute,to:'2017-11-20T22:47:27-0700'))&amp;_a=(columns:!('Message%20ID',Summary),filters:!(),index:'emp_*',interval:auto,query:(query_string:(analyze_wildcard:!t,query:'%22rtdc.l.rtdc.4063%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674</v>
      </c>
      <c r="B142" s="7">
        <v>4063</v>
      </c>
      <c r="C142" s="21" t="s">
        <v>192</v>
      </c>
      <c r="D142" s="21" t="s">
        <v>983</v>
      </c>
      <c r="E142" s="13">
        <v>43059.89984953704</v>
      </c>
      <c r="F142" s="13">
        <v>43059.900833333333</v>
      </c>
      <c r="G142" s="7">
        <v>39</v>
      </c>
      <c r="H142" s="21" t="s">
        <v>636</v>
      </c>
      <c r="I142" s="13">
        <v>43059.907951388886</v>
      </c>
      <c r="J142" s="7">
        <v>0</v>
      </c>
      <c r="K142" s="89" t="str">
        <f t="shared" si="53"/>
        <v>4063/4064</v>
      </c>
      <c r="L142" s="184" t="str">
        <f>VLOOKUP(A142,'Trips&amp;Operators'!$C$1:$G$99911,5,FALSE)</f>
        <v>RESPASS AARON</v>
      </c>
      <c r="M142" s="6">
        <f t="shared" si="54"/>
        <v>7.1180555532919243E-3</v>
      </c>
      <c r="N142" s="7"/>
      <c r="O142" s="7"/>
      <c r="P142" s="7"/>
      <c r="Q142" s="22"/>
      <c r="R142" s="173"/>
      <c r="S142" s="220"/>
      <c r="T142" s="173" t="str">
        <f t="shared" si="55"/>
        <v>Southbound</v>
      </c>
      <c r="U142" s="19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3</v>
      </c>
      <c r="V142" s="215" t="str">
        <f t="shared" si="56"/>
        <v>https://d0f6bd738d7f1b3e5a7ca70fe4ff75f0.us-east-1.aws.found.io/app/kibana#/discover/Steve-Slow-Train-Analysis-(2080s-and-2083s)?_g=(refreshInterval:(display:Off,pause:!f,section:0,value:0),time:(from:'2017-11-20T20:35:47-0700',mode:absolute,to:'2017-11-20T22:47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2" s="203" t="str">
        <f>IF(AA142&lt;VLOOKUP(AG142,Variables!$AC$3:$AD$8,2,FALSE),"Y","N")</f>
        <v>Y</v>
      </c>
      <c r="X142" s="203">
        <f t="shared" si="57"/>
        <v>0</v>
      </c>
      <c r="Y142" s="203">
        <f t="shared" si="58"/>
        <v>3.6770999999999998</v>
      </c>
      <c r="Z142" s="203">
        <f t="shared" si="59"/>
        <v>2.58E-2</v>
      </c>
      <c r="AA142" s="203">
        <f t="shared" si="60"/>
        <v>3.6513</v>
      </c>
      <c r="AB142" s="54" t="e">
        <f>VLOOKUP(A142,Enforcements!$C$7:$K$9,8,0)</f>
        <v>#N/A</v>
      </c>
      <c r="AC142" s="51" t="e">
        <f>VLOOKUP(A142,Enforcements!$C$7:$E$9,3,0)</f>
        <v>#N/A</v>
      </c>
      <c r="AD142" s="178">
        <f t="shared" si="61"/>
        <v>226</v>
      </c>
      <c r="AE142" s="77" t="str">
        <f t="shared" si="62"/>
        <v>aws s3 cp s3://rtdc.mdm.uploadarchive.raw/RTDC4063/ "%USERPROFILE%\AppData\Local\Temp\OnboardLogs"\RTDC4063\2017-11-20 --exclude "*" --recursive --include "*20171120*" &amp; "%USERPROFILE%\Documents\GitHub\mrs-test-scripts\Headless Mode &amp; Sideloading\WalkAndUnGZ.bat" "%USERPROFILE%\AppData\Local\Temp\OnboardLogs"\RTDC4063\2017-11-20 &amp; aws s3 cp s3://rtdc.mdm.uploadarchive.raw/RTDC4063/ "%USERPROFILE%\AppData\Local\Temp\OnboardLogs"\RTDC4063\2017-11-21 --exclude "*" --recursive --include "*20171121*" &amp; "%USERPROFILE%\Documents\GitHub\mrs-test-scripts\Headless Mode &amp; Sideloading\WalkAndUnGZ.bat" "%USERPROFILE%\AppData\Local\Temp\OnboardLogs"\RTDC4063\2017-11-21</v>
      </c>
      <c r="AF142" s="74" t="str">
        <f t="shared" si="63"/>
        <v>"C:\Program Files (x86)\AstroGrep\AstroGrep.exe" /e /r /s /spath="%USERPROFILE%\AppData\Local\Temp\OnboardLogs" /stypes="app*4063*20171121*" /stext=" 04:.+((SYSTEM_STATE.+slice.+state.+changed )|(ment ac)|(multiple cpu faults)|(system.+state.+changed )|(\[timeout)|(PRM\|1\|D)|(kpr)|(kdp)|(train st.+moving)|(\|lc)|(penalty))"</v>
      </c>
      <c r="AG142" s="181" t="str">
        <f t="shared" si="64"/>
        <v>EC</v>
      </c>
      <c r="AH142" s="78" t="str">
        <f t="shared" ref="AH142:AH206" si="65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226-20 --locoid 4063 --swversion DE.1.0.9.0 --startMP 204:36771 --initTime 2017-11-20T21:35:47 --startdatetime 2017-11-20T21:37:12 --delay 39 --endMP 204:258 --enddatetime 2017-11-20T21:47:27 --enforcementcount 0 &gt;&gt;%USERPROFILE%\Documents\GitHub\eaglep3-reporting\EC\2017-11-20-refined-times.txt</v>
      </c>
      <c r="AI142" s="96" t="str">
        <f t="shared" ref="AI142:AI206" si="66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{"issue":{"subject":"","project_id":79,"tracker_id":40,"status_id":1,"priority_id":2,"assigned_to_id":338,"start_date":"2017-11-20","description":"","custom_fields":[{"id":1,"name":"Subdivision","value":"EC"},{"id":4,"name":"Milepost","value":"0.0258"},{"id":17,"name":"Train ID","value":"226-20"},{"id":16,"name":"Locomotive ID","value":"4063"},{"id":130,"name":"Impact","value":""},{"id":150,"name":"Time of Event (Mountain Time)","value":"21:47:27"},{"id":151,"name":"Denver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1" t="str">
        <f t="shared" ref="AM142:AM206" si="67">"start /low /b "&amp;dls3logs&amp;" --loco "&amp;B142&amp;" --day "&amp;TEXT(F142,"YYYY-MM-DD")</f>
        <v>start /low /b %USERPROFILE%\Documents\GitHub\eaglep3\Utilities\DownloadLogsFromS3.py --loco 4063 --day 2017-11-20</v>
      </c>
      <c r="AN142" s="150" t="str">
        <f t="shared" ref="AN142:AN206" si="68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04:47:27"},{"id":29,"name":"Sharepoint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7" t="str">
        <f t="shared" ref="AO142:AO206" si="69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-11-20T20:35:47-0700',mode:absolute,to:'2017-11-20T22:47:27-0700'))&amp;_a=(columns:!('Message%20ID',Summary),filters:!(),index:'emp_*',interval:auto,query:(query_string:(analyze_wildcard:!t,query:'%22rtdc.l.rtdc.4063%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858</v>
      </c>
      <c r="B143" s="7">
        <v>4028</v>
      </c>
      <c r="C143" s="21" t="s">
        <v>192</v>
      </c>
      <c r="D143" s="21" t="s">
        <v>558</v>
      </c>
      <c r="E143" s="13">
        <v>43059.849108796298</v>
      </c>
      <c r="F143" s="13">
        <v>43059.854467592595</v>
      </c>
      <c r="G143" s="7">
        <v>253</v>
      </c>
      <c r="H143" s="21" t="s">
        <v>984</v>
      </c>
      <c r="I143" s="13">
        <v>43059.879988425928</v>
      </c>
      <c r="J143" s="7">
        <v>0</v>
      </c>
      <c r="K143" s="89" t="str">
        <f t="shared" si="53"/>
        <v>4027/4028</v>
      </c>
      <c r="L143" s="184" t="str">
        <f>VLOOKUP(A143,'Trips&amp;Operators'!$C$1:$G$99911,5,FALSE)</f>
        <v>WILLIAMS DONTE</v>
      </c>
      <c r="M143" s="6">
        <f t="shared" si="54"/>
        <v>2.5520833332848269E-2</v>
      </c>
      <c r="N143" s="7">
        <f t="shared" ref="N143:N174" si="70">24*60*SUM($M143:$M143)</f>
        <v>36.749999999301508</v>
      </c>
      <c r="O143" s="7"/>
      <c r="P143" s="7"/>
      <c r="Q143" s="22"/>
      <c r="R143" s="173"/>
      <c r="S143" s="220">
        <f t="shared" ref="S143:S174" si="71">1/IF(AG143="EC",12,1)*SUM(U143:U143)</f>
        <v>1</v>
      </c>
      <c r="T143" s="173" t="str">
        <f t="shared" si="55"/>
        <v>NorthBound</v>
      </c>
      <c r="U143" s="19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5" t="str">
        <f t="shared" si="56"/>
        <v>https://d0f6bd738d7f1b3e5a7ca70fe4ff75f0.us-east-1.aws.found.io/app/kibana#/discover/Steve-Slow-Train-Analysis-(2080s-and-2083s)?_g=(refreshInterval:(display:Off,pause:!f,section:0,value:0),time:(from:'2017-11-20T19:22:43-0700',mode:absolute,to:'2017-11-20T22:07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3" s="203" t="str">
        <f>IF(AA143&lt;VLOOKUP(AG143,Variables!$AC$3:$AD$8,2,FALSE),"Y","N")</f>
        <v>N</v>
      </c>
      <c r="X143" s="203">
        <f t="shared" si="57"/>
        <v>1</v>
      </c>
      <c r="Y143" s="203">
        <f t="shared" si="58"/>
        <v>0.05</v>
      </c>
      <c r="Z143" s="203">
        <f t="shared" si="59"/>
        <v>23.322299999999998</v>
      </c>
      <c r="AA143" s="203">
        <f t="shared" si="60"/>
        <v>23.272299999999998</v>
      </c>
      <c r="AB143" s="54" t="e">
        <f>VLOOKUP(A143,Enforcements!$C$7:$K$9,8,0)</f>
        <v>#N/A</v>
      </c>
      <c r="AC143" s="51" t="e">
        <f>VLOOKUP(A143,Enforcements!$C$7:$E$9,3,0)</f>
        <v>#N/A</v>
      </c>
      <c r="AD143" s="178">
        <f t="shared" si="61"/>
        <v>227</v>
      </c>
      <c r="AE143" s="77" t="str">
        <f t="shared" si="62"/>
        <v>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 &amp; aws s3 cp s3://rtdc.mdm.uploadarchive.raw/RTDC4028/ "%USERPROFILE%\AppData\Local\Temp\OnboardLogs"\RTDC4028\2017-11-21 --exclude "*" --recursive --include "*20171121*" &amp; "%USERPROFILE%\Documents\GitHub\mrs-test-scripts\Headless Mode &amp; Sideloading\WalkAndUnGZ.bat" "%USERPROFILE%\AppData\Local\Temp\OnboardLogs"\RTDC4028\2017-11-21</v>
      </c>
      <c r="AF143" s="74" t="str">
        <f t="shared" si="63"/>
        <v>"C:\Program Files (x86)\AstroGrep\AstroGrep.exe" /e /r /s /spath="%USERPROFILE%\AppData\Local\Temp\OnboardLogs" /stypes="app*4028*20171121*" /stext=" 04:.+((SYSTEM_STATE.+slice.+state.+changed )|(ment ac)|(multiple cpu faults)|(system.+state.+changed )|(\[timeout)|(PRM\|1\|D)|(kpr)|(kdp)|(train st.+moving)|(\|lc)|(penalty))"</v>
      </c>
      <c r="AG143" s="181" t="str">
        <f t="shared" si="64"/>
        <v>EC</v>
      </c>
      <c r="AH143" s="78" t="str">
        <f t="shared" si="65"/>
        <v>"%USERPROFILE%\Documents\GitHub\eaglep3\Utilities\RefineRTDCRunTimes.py" --tripid 227-20 --locoid 4028 --swversion DE.1.0.9.0 --startMP 204:500 --initTime 2017-11-20T20:22:43 --startdatetime 2017-11-20T20:30:26 --delay 253 --endMP 204:233223 --enddatetime 2017-11-20T21:07:11 --enforcementcount 0 &gt;&gt;%USERPROFILE%\Documents\GitHub\eaglep3-reporting\EC\2017-11-20-refined-times.txt</v>
      </c>
      <c r="AI143" s="96" t="str">
        <f t="shared" si="66"/>
        <v>echo {"issue":{"subject":"","project_id":79,"tracker_id":40,"status_id":1,"priority_id":2,"assigned_to_id":338,"start_date":"2017-11-20","description":"","custom_fields":[{"id":1,"name":"Subdivision","value":"EC"},{"id":4,"name":"Milepost","value":"23.3223"},{"id":17,"name":"Train ID","value":"227-20"},{"id":16,"name":"Locomotive ID","value":"4028"},{"id":130,"name":"Impact","value":""},{"id":150,"name":"Time of Event (Mountain Time)","value":"21:07:11"},{"id":151,"name":"Denver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1" t="str">
        <f t="shared" si="67"/>
        <v>start /low /b %USERPROFILE%\Documents\GitHub\eaglep3\Utilities\DownloadLogsFromS3.py --loco 4028 --day 2017-11-20</v>
      </c>
      <c r="AN143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04:07:11"},{"id":29,"name":"Sharepoint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7" t="str">
        <f t="shared" si="69"/>
        <v>https://d0f6bd738d7f1b3e5a7ca70fe4ff75f0.us-east-1.aws.found.io/app/kibana#/discover/Steve-Slow-Train-Analysis-(2080s-and-2083s)?_g=(refreshInterval:(display:Off,pause:!f,section:0,value:0),time:(from:'2017-11-20T19:22:43-0700',mode:absolute,to:'2017-11-20T22:07:11-0700'))&amp;_a=(columns:!('Message%20ID',Summary),filters:!(),index:'emp_*',interval:auto,query:(query_string:(analyze_wildcard:!t,query:'%22rtdc.l.rtdc.4028%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862</v>
      </c>
      <c r="B144" s="7">
        <v>4027</v>
      </c>
      <c r="C144" s="21" t="s">
        <v>192</v>
      </c>
      <c r="D144" s="21" t="s">
        <v>561</v>
      </c>
      <c r="E144" s="13">
        <v>43059.888761574075</v>
      </c>
      <c r="F144" s="13">
        <v>43059.893969907411</v>
      </c>
      <c r="G144" s="7">
        <v>88</v>
      </c>
      <c r="H144" s="21" t="s">
        <v>985</v>
      </c>
      <c r="I144" s="13">
        <v>43059.920983796299</v>
      </c>
      <c r="J144" s="7">
        <v>0</v>
      </c>
      <c r="K144" s="89" t="str">
        <f t="shared" si="53"/>
        <v>4027/4028</v>
      </c>
      <c r="L144" s="184" t="str">
        <f>VLOOKUP(A144,'Trips&amp;Operators'!$C$1:$G$99911,5,FALSE)</f>
        <v>HAMMOND JUSTYNN</v>
      </c>
      <c r="M144" s="6">
        <f t="shared" si="54"/>
        <v>2.7013888888177462E-2</v>
      </c>
      <c r="N144" s="7">
        <f t="shared" si="70"/>
        <v>38.899999998975545</v>
      </c>
      <c r="O144" s="7"/>
      <c r="P144" s="7"/>
      <c r="Q144" s="22"/>
      <c r="R144" s="173"/>
      <c r="S144" s="220">
        <f t="shared" si="71"/>
        <v>1</v>
      </c>
      <c r="T144" s="173" t="str">
        <f t="shared" si="55"/>
        <v>Southbound</v>
      </c>
      <c r="U144" s="19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5" t="str">
        <f t="shared" si="56"/>
        <v>https://d0f6bd738d7f1b3e5a7ca70fe4ff75f0.us-east-1.aws.found.io/app/kibana#/discover/Steve-Slow-Train-Analysis-(2080s-and-2083s)?_g=(refreshInterval:(display:Off,pause:!f,section:0,value:0),time:(from:'2017-11-20T20:19:49-0700',mode:absolute,to:'2017-11-20T23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4" s="203" t="str">
        <f>IF(AA144&lt;VLOOKUP(AG144,Variables!$AC$3:$AD$8,2,FALSE),"Y","N")</f>
        <v>N</v>
      </c>
      <c r="X144" s="203">
        <f t="shared" si="57"/>
        <v>1</v>
      </c>
      <c r="Y144" s="203">
        <f t="shared" si="58"/>
        <v>23.2928</v>
      </c>
      <c r="Z144" s="203">
        <f t="shared" si="59"/>
        <v>2.47E-2</v>
      </c>
      <c r="AA144" s="203">
        <f t="shared" si="60"/>
        <v>23.2681</v>
      </c>
      <c r="AB144" s="54" t="e">
        <f>VLOOKUP(A144,Enforcements!$C$7:$K$9,8,0)</f>
        <v>#N/A</v>
      </c>
      <c r="AC144" s="51" t="e">
        <f>VLOOKUP(A144,Enforcements!$C$7:$E$9,3,0)</f>
        <v>#N/A</v>
      </c>
      <c r="AD144" s="178">
        <f t="shared" si="61"/>
        <v>228</v>
      </c>
      <c r="AE144" s="77" t="str">
        <f t="shared" si="62"/>
        <v>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 &amp; aws s3 cp s3://rtdc.mdm.uploadarchive.raw/RTDC4027/ "%USERPROFILE%\AppData\Local\Temp\OnboardLogs"\RTDC4027\2017-11-21 --exclude "*" --recursive --include "*20171121*" &amp; "%USERPROFILE%\Documents\GitHub\mrs-test-scripts\Headless Mode &amp; Sideloading\WalkAndUnGZ.bat" "%USERPROFILE%\AppData\Local\Temp\OnboardLogs"\RTDC4027\2017-11-21</v>
      </c>
      <c r="AF144" s="74" t="str">
        <f t="shared" si="63"/>
        <v>"C:\Program Files (x86)\AstroGrep\AstroGrep.exe" /e /r /s /spath="%USERPROFILE%\AppData\Local\Temp\OnboardLogs" /stypes="app*4027*20171121*" /stext=" 05:.+((SYSTEM_STATE.+slice.+state.+changed )|(ment ac)|(multiple cpu faults)|(system.+state.+changed )|(\[timeout)|(PRM\|1\|D)|(kpr)|(kdp)|(train st.+moving)|(\|lc)|(penalty))"</v>
      </c>
      <c r="AG144" s="181" t="str">
        <f t="shared" si="64"/>
        <v>EC</v>
      </c>
      <c r="AH144" s="78" t="str">
        <f t="shared" si="65"/>
        <v>"%USERPROFILE%\Documents\GitHub\eaglep3\Utilities\RefineRTDCRunTimes.py" --tripid 228-20 --locoid 4027 --swversion DE.1.0.9.0 --startMP 204:232928 --initTime 2017-11-20T21:19:49 --startdatetime 2017-11-20T21:27:19 --delay 88 --endMP 204:247 --enddatetime 2017-11-20T22:06:13 --enforcementcount 0 &gt;&gt;%USERPROFILE%\Documents\GitHub\eaglep3-reporting\EC\2017-11-20-refined-times.txt</v>
      </c>
      <c r="AI144" s="96" t="str">
        <f t="shared" si="66"/>
        <v>echo {"issue":{"subject":"","project_id":79,"tracker_id":40,"status_id":1,"priority_id":2,"assigned_to_id":338,"start_date":"2017-11-20","description":"","custom_fields":[{"id":1,"name":"Subdivision","value":"EC"},{"id":4,"name":"Milepost","value":"0.0247"},{"id":17,"name":"Train ID","value":"228-20"},{"id":16,"name":"Locomotive ID","value":"4027"},{"id":130,"name":"Impact","value":""},{"id":150,"name":"Time of Event (Mountain Time)","value":"22:06:13"},{"id":151,"name":"Denver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1" t="str">
        <f t="shared" si="67"/>
        <v>start /low /b %USERPROFILE%\Documents\GitHub\eaglep3\Utilities\DownloadLogsFromS3.py --loco 4027 --day 2017-11-20</v>
      </c>
      <c r="AN144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05:06:13"},{"id":29,"name":"Sharepoint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7" t="str">
        <f t="shared" si="69"/>
        <v>https://d0f6bd738d7f1b3e5a7ca70fe4ff75f0.us-east-1.aws.found.io/app/kibana#/discover/Steve-Slow-Train-Analysis-(2080s-and-2083s)?_g=(refreshInterval:(display:Off,pause:!f,section:0,value:0),time:(from:'2017-11-20T20:19:49-0700',mode:absolute,to:'2017-11-20T23:06:13-0700'))&amp;_a=(columns:!('Message%20ID',Summary),filters:!(),index:'emp_*',interval:auto,query:(query_string:(analyze_wildcard:!t,query:'%22rtdc.l.rtdc.4027%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860</v>
      </c>
      <c r="B145" s="7">
        <v>4026</v>
      </c>
      <c r="C145" s="21" t="s">
        <v>192</v>
      </c>
      <c r="D145" s="21" t="s">
        <v>986</v>
      </c>
      <c r="E145" s="13">
        <v>43059.857442129629</v>
      </c>
      <c r="F145" s="13">
        <v>43059.875150462962</v>
      </c>
      <c r="G145" s="7">
        <v>65</v>
      </c>
      <c r="H145" s="21" t="s">
        <v>627</v>
      </c>
      <c r="I145" s="13">
        <v>43059.899594907409</v>
      </c>
      <c r="J145" s="7">
        <v>0</v>
      </c>
      <c r="K145" s="89" t="str">
        <f t="shared" si="53"/>
        <v>4025/4026</v>
      </c>
      <c r="L145" s="184" t="str">
        <f>VLOOKUP(A145,'Trips&amp;Operators'!$C$1:$G$99911,5,FALSE)</f>
        <v>ELBAUM MIKE</v>
      </c>
      <c r="M145" s="6">
        <f t="shared" si="54"/>
        <v>2.4444444446999114E-2</v>
      </c>
      <c r="N145" s="7">
        <f t="shared" si="70"/>
        <v>35.200000003678724</v>
      </c>
      <c r="O145" s="7"/>
      <c r="P145" s="7"/>
      <c r="Q145" s="22"/>
      <c r="R145" s="173"/>
      <c r="S145" s="220">
        <f t="shared" si="71"/>
        <v>1</v>
      </c>
      <c r="T145" s="173" t="str">
        <f t="shared" si="55"/>
        <v>NorthBound</v>
      </c>
      <c r="U145" s="19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5" t="str">
        <f t="shared" si="56"/>
        <v>https://d0f6bd738d7f1b3e5a7ca70fe4ff75f0.us-east-1.aws.found.io/app/kibana#/discover/Steve-Slow-Train-Analysis-(2080s-and-2083s)?_g=(refreshInterval:(display:Off,pause:!f,section:0,value:0),time:(from:'2017-11-20T19:34:43-0700',mode:absolute,to:'2017-11-20T22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5" s="203" t="str">
        <f>IF(AA145&lt;VLOOKUP(AG145,Variables!$AC$3:$AD$8,2,FALSE),"Y","N")</f>
        <v>N</v>
      </c>
      <c r="X145" s="203">
        <f t="shared" si="57"/>
        <v>1</v>
      </c>
      <c r="Y145" s="203">
        <f t="shared" si="58"/>
        <v>5.7700000000000001E-2</v>
      </c>
      <c r="Z145" s="203">
        <f t="shared" si="59"/>
        <v>23.326599999999999</v>
      </c>
      <c r="AA145" s="203">
        <f t="shared" si="60"/>
        <v>23.268899999999999</v>
      </c>
      <c r="AB145" s="54" t="e">
        <f>VLOOKUP(A145,Enforcements!$C$7:$K$9,8,0)</f>
        <v>#N/A</v>
      </c>
      <c r="AC145" s="51" t="e">
        <f>VLOOKUP(A145,Enforcements!$C$7:$E$9,3,0)</f>
        <v>#N/A</v>
      </c>
      <c r="AD145" s="178">
        <f t="shared" si="61"/>
        <v>229</v>
      </c>
      <c r="AE145" s="77" t="str">
        <f t="shared" si="62"/>
        <v>aws s3 cp s3://rtdc.mdm.uploadarchive.raw/RTDC4026/ "%USERPROFILE%\AppData\Local\Temp\OnboardLogs"\RTDC4026\2017-11-20 --exclude "*" --recursive --include "*20171120*" &amp; "%USERPROFILE%\Documents\GitHub\mrs-test-scripts\Headless Mode &amp; Sideloading\WalkAndUnGZ.bat" "%USERPROFILE%\AppData\Local\Temp\OnboardLogs"\RTDC4026\2017-11-20 &amp; aws s3 cp s3://rtdc.mdm.uploadarchive.raw/RTDC4026/ "%USERPROFILE%\AppData\Local\Temp\OnboardLogs"\RTDC4026\2017-11-21 --exclude "*" --recursive --include "*20171121*" &amp; "%USERPROFILE%\Documents\GitHub\mrs-test-scripts\Headless Mode &amp; Sideloading\WalkAndUnGZ.bat" "%USERPROFILE%\AppData\Local\Temp\OnboardLogs"\RTDC4026\2017-11-21</v>
      </c>
      <c r="AF145" s="74" t="str">
        <f t="shared" si="63"/>
        <v>"C:\Program Files (x86)\AstroGrep\AstroGrep.exe" /e /r /s /spath="%USERPROFILE%\AppData\Local\Temp\OnboardLogs" /stypes="app*4026*20171121*" /stext=" 04:.+((SYSTEM_STATE.+slice.+state.+changed )|(ment ac)|(multiple cpu faults)|(system.+state.+changed )|(\[timeout)|(PRM\|1\|D)|(kpr)|(kdp)|(train st.+moving)|(\|lc)|(penalty))"</v>
      </c>
      <c r="AG145" s="181" t="str">
        <f t="shared" si="64"/>
        <v>EC</v>
      </c>
      <c r="AH145" s="78" t="str">
        <f t="shared" si="65"/>
        <v>"%USERPROFILE%\Documents\GitHub\eaglep3\Utilities\RefineRTDCRunTimes.py" --tripid 229-20 --locoid 4026 --swversion DE.1.0.9.0 --startMP 204:577 --initTime 2017-11-20T20:34:43 --startdatetime 2017-11-20T21:00:13 --delay 65 --endMP 204:233266 --enddatetime 2017-11-20T21:35:25 --enforcementcount 0 &gt;&gt;%USERPROFILE%\Documents\GitHub\eaglep3-reporting\EC\2017-11-20-refined-times.txt</v>
      </c>
      <c r="AI145" s="96" t="str">
        <f t="shared" si="66"/>
        <v>echo {"issue":{"subject":"","project_id":79,"tracker_id":40,"status_id":1,"priority_id":2,"assigned_to_id":338,"start_date":"2017-11-20","description":"","custom_fields":[{"id":1,"name":"Subdivision","value":"EC"},{"id":4,"name":"Milepost","value":"23.3266"},{"id":17,"name":"Train ID","value":"229-20"},{"id":16,"name":"Locomotive ID","value":"4026"},{"id":130,"name":"Impact","value":""},{"id":150,"name":"Time of Event (Mountain Time)","value":"21:35:25"},{"id":151,"name":"Denver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1" t="str">
        <f t="shared" si="67"/>
        <v>start /low /b %USERPROFILE%\Documents\GitHub\eaglep3\Utilities\DownloadLogsFromS3.py --loco 4026 --day 2017-11-20</v>
      </c>
      <c r="AN145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04:35:25"},{"id":29,"name":"Sharepoint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7" t="str">
        <f t="shared" si="69"/>
        <v>https://d0f6bd738d7f1b3e5a7ca70fe4ff75f0.us-east-1.aws.found.io/app/kibana#/discover/Steve-Slow-Train-Analysis-(2080s-and-2083s)?_g=(refreshInterval:(display:Off,pause:!f,section:0,value:0),time:(from:'2017-11-20T19:34:43-0700',mode:absolute,to:'2017-11-20T22:35:25-0700'))&amp;_a=(columns:!('Message%20ID',Summary),filters:!(),index:'emp_*',interval:auto,query:(query_string:(analyze_wildcard:!t,query:'%22rtdc.l.rtdc.4026%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863</v>
      </c>
      <c r="B146" s="7">
        <v>4025</v>
      </c>
      <c r="C146" s="21" t="s">
        <v>192</v>
      </c>
      <c r="D146" s="21" t="s">
        <v>606</v>
      </c>
      <c r="E146" s="13">
        <v>43059.900775462964</v>
      </c>
      <c r="F146" s="13">
        <v>43059.914733796293</v>
      </c>
      <c r="G146" s="7">
        <v>70</v>
      </c>
      <c r="H146" s="21" t="s">
        <v>987</v>
      </c>
      <c r="I146" s="13">
        <v>43059.94121527778</v>
      </c>
      <c r="J146" s="7">
        <v>0</v>
      </c>
      <c r="K146" s="89" t="str">
        <f t="shared" si="53"/>
        <v>4025/4026</v>
      </c>
      <c r="L146" s="184" t="str">
        <f>VLOOKUP(A146,'Trips&amp;Operators'!$C$1:$G$99911,5,FALSE)</f>
        <v>ELBAUM MIKE</v>
      </c>
      <c r="M146" s="6">
        <f t="shared" si="54"/>
        <v>2.6481481487280689E-2</v>
      </c>
      <c r="N146" s="7">
        <f t="shared" si="70"/>
        <v>38.133333341684192</v>
      </c>
      <c r="O146" s="7"/>
      <c r="P146" s="7"/>
      <c r="Q146" s="22"/>
      <c r="R146" s="173"/>
      <c r="S146" s="220">
        <f t="shared" si="71"/>
        <v>1</v>
      </c>
      <c r="T146" s="173" t="str">
        <f t="shared" si="55"/>
        <v>Southbound</v>
      </c>
      <c r="U146" s="19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5" t="str">
        <f t="shared" si="56"/>
        <v>https://d0f6bd738d7f1b3e5a7ca70fe4ff75f0.us-east-1.aws.found.io/app/kibana#/discover/Steve-Slow-Train-Analysis-(2080s-and-2083s)?_g=(refreshInterval:(display:Off,pause:!f,section:0,value:0),time:(from:'2017-11-20T20:37:07-0700',mode:absolute,to:'2017-11-20T23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6" s="203" t="str">
        <f>IF(AA146&lt;VLOOKUP(AG146,Variables!$AC$3:$AD$8,2,FALSE),"Y","N")</f>
        <v>N</v>
      </c>
      <c r="X146" s="203">
        <f t="shared" si="57"/>
        <v>1</v>
      </c>
      <c r="Y146" s="203">
        <f t="shared" si="58"/>
        <v>23.293600000000001</v>
      </c>
      <c r="Z146" s="203">
        <f t="shared" si="59"/>
        <v>2.63E-2</v>
      </c>
      <c r="AA146" s="203">
        <f t="shared" si="60"/>
        <v>23.267300000000002</v>
      </c>
      <c r="AB146" s="54" t="e">
        <f>VLOOKUP(A146,Enforcements!$C$7:$K$9,8,0)</f>
        <v>#N/A</v>
      </c>
      <c r="AC146" s="51" t="e">
        <f>VLOOKUP(A146,Enforcements!$C$7:$E$9,3,0)</f>
        <v>#N/A</v>
      </c>
      <c r="AD146" s="178">
        <f t="shared" si="61"/>
        <v>230</v>
      </c>
      <c r="AE146" s="77" t="str">
        <f t="shared" si="62"/>
        <v>aws s3 cp s3://rtdc.mdm.uploadarchive.raw/RTDC4025/ "%USERPROFILE%\AppData\Local\Temp\OnboardLogs"\RTDC4025\2017-11-20 --exclude "*" --recursive --include "*20171120*" &amp; "%USERPROFILE%\Documents\GitHub\mrs-test-scripts\Headless Mode &amp; Sideloading\WalkAndUnGZ.bat" "%USERPROFILE%\AppData\Local\Temp\OnboardLogs"\RTDC4025\2017-11-20 &amp; aws s3 cp s3://rtdc.mdm.uploadarchive.raw/RTDC4025/ "%USERPROFILE%\AppData\Local\Temp\OnboardLogs"\RTDC4025\2017-11-21 --exclude "*" --recursive --include "*20171121*" &amp; "%USERPROFILE%\Documents\GitHub\mrs-test-scripts\Headless Mode &amp; Sideloading\WalkAndUnGZ.bat" "%USERPROFILE%\AppData\Local\Temp\OnboardLogs"\RTDC4025\2017-11-21</v>
      </c>
      <c r="AF146" s="74" t="str">
        <f t="shared" si="63"/>
        <v>"C:\Program Files (x86)\AstroGrep\AstroGrep.exe" /e /r /s /spath="%USERPROFILE%\AppData\Local\Temp\OnboardLogs" /stypes="app*4025*20171121*" /stext=" 05:.+((SYSTEM_STATE.+slice.+state.+changed )|(ment ac)|(multiple cpu faults)|(system.+state.+changed )|(\[timeout)|(PRM\|1\|D)|(kpr)|(kdp)|(train st.+moving)|(\|lc)|(penalty))"</v>
      </c>
      <c r="AG146" s="181" t="str">
        <f t="shared" si="64"/>
        <v>EC</v>
      </c>
      <c r="AH146" s="78" t="str">
        <f t="shared" si="65"/>
        <v>"%USERPROFILE%\Documents\GitHub\eaglep3\Utilities\RefineRTDCRunTimes.py" --tripid 230-20 --locoid 4025 --swversion DE.1.0.9.0 --startMP 204:232936 --initTime 2017-11-20T21:37:07 --startdatetime 2017-11-20T21:57:13 --delay 70 --endMP 204:263 --enddatetime 2017-11-20T22:35:21 --enforcementcount 0 &gt;&gt;%USERPROFILE%\Documents\GitHub\eaglep3-reporting\EC\2017-11-20-refined-times.txt</v>
      </c>
      <c r="AI146" s="96" t="str">
        <f t="shared" si="66"/>
        <v>echo {"issue":{"subject":"","project_id":79,"tracker_id":40,"status_id":1,"priority_id":2,"assigned_to_id":338,"start_date":"2017-11-20","description":"","custom_fields":[{"id":1,"name":"Subdivision","value":"EC"},{"id":4,"name":"Milepost","value":"0.0263"},{"id":17,"name":"Train ID","value":"230-20"},{"id":16,"name":"Locomotive ID","value":"4025"},{"id":130,"name":"Impact","value":""},{"id":150,"name":"Time of Event (Mountain Time)","value":"22:35:21"},{"id":151,"name":"Denver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1" t="str">
        <f t="shared" si="67"/>
        <v>start /low /b %USERPROFILE%\Documents\GitHub\eaglep3\Utilities\DownloadLogsFromS3.py --loco 4025 --day 2017-11-20</v>
      </c>
      <c r="AN146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05:35:21"},{"id":29,"name":"Sharepoint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7" t="str">
        <f t="shared" si="69"/>
        <v>https://d0f6bd738d7f1b3e5a7ca70fe4ff75f0.us-east-1.aws.found.io/app/kibana#/discover/Steve-Slow-Train-Analysis-(2080s-and-2083s)?_g=(refreshInterval:(display:Off,pause:!f,section:0,value:0),time:(from:'2017-11-20T20:37:07-0700',mode:absolute,to:'2017-11-20T23:35:21-0700'))&amp;_a=(columns:!('Message%20ID',Summary),filters:!(),index:'emp_*',interval:auto,query:(query_string:(analyze_wildcard:!t,query:'%22rtdc.l.rtdc.4025%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676</v>
      </c>
      <c r="B147" s="7">
        <v>4018</v>
      </c>
      <c r="C147" s="21" t="s">
        <v>192</v>
      </c>
      <c r="D147" s="21" t="s">
        <v>631</v>
      </c>
      <c r="E147" s="13">
        <v>43059.880798611113</v>
      </c>
      <c r="F147" s="13">
        <v>43059.896018518521</v>
      </c>
      <c r="G147" s="7">
        <v>67</v>
      </c>
      <c r="H147" s="21" t="s">
        <v>984</v>
      </c>
      <c r="I147" s="13">
        <v>43059.921990740739</v>
      </c>
      <c r="J147" s="7">
        <v>0</v>
      </c>
      <c r="K147" s="89" t="str">
        <f t="shared" si="53"/>
        <v>4017/4018</v>
      </c>
      <c r="L147" s="184" t="str">
        <f>VLOOKUP(A147,'Trips&amp;Operators'!$C$1:$G$99911,5,FALSE)</f>
        <v>STRICKLAND EVAN</v>
      </c>
      <c r="M147" s="6">
        <f t="shared" si="54"/>
        <v>2.5972222218115348E-2</v>
      </c>
      <c r="N147" s="7">
        <f t="shared" si="70"/>
        <v>37.399999994086102</v>
      </c>
      <c r="O147" s="7"/>
      <c r="P147" s="7"/>
      <c r="Q147" s="22"/>
      <c r="R147" s="173"/>
      <c r="S147" s="220">
        <f t="shared" si="71"/>
        <v>1</v>
      </c>
      <c r="T147" s="173" t="str">
        <f t="shared" si="55"/>
        <v>NorthBound</v>
      </c>
      <c r="U147" s="19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5" t="str">
        <f t="shared" si="56"/>
        <v>https://d0f6bd738d7f1b3e5a7ca70fe4ff75f0.us-east-1.aws.found.io/app/kibana#/discover/Steve-Slow-Train-Analysis-(2080s-and-2083s)?_g=(refreshInterval:(display:Off,pause:!f,section:0,value:0),time:(from:'2017-11-20T20:08:21-0700',mode:absolute,to:'2017-11-20T23:07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7" s="203" t="str">
        <f>IF(AA147&lt;VLOOKUP(AG147,Variables!$AC$3:$AD$8,2,FALSE),"Y","N")</f>
        <v>N</v>
      </c>
      <c r="X147" s="203">
        <f t="shared" si="57"/>
        <v>1</v>
      </c>
      <c r="Y147" s="203">
        <f t="shared" si="58"/>
        <v>5.57E-2</v>
      </c>
      <c r="Z147" s="203">
        <f t="shared" si="59"/>
        <v>23.322299999999998</v>
      </c>
      <c r="AA147" s="203">
        <f t="shared" si="60"/>
        <v>23.266599999999997</v>
      </c>
      <c r="AB147" s="54" t="e">
        <f>VLOOKUP(A147,Enforcements!$C$7:$K$9,8,0)</f>
        <v>#N/A</v>
      </c>
      <c r="AC147" s="51" t="e">
        <f>VLOOKUP(A147,Enforcements!$C$7:$E$9,3,0)</f>
        <v>#N/A</v>
      </c>
      <c r="AD147" s="178">
        <f t="shared" si="61"/>
        <v>231</v>
      </c>
      <c r="AE147" s="77" t="str">
        <f t="shared" si="62"/>
        <v>aws s3 cp s3://rtdc.mdm.uploadarchive.raw/RTDC4018/ "%USERPROFILE%\AppData\Local\Temp\OnboardLogs"\RTDC4018\2017-11-20 --exclude "*" --recursive --include "*20171120*" &amp; "%USERPROFILE%\Documents\GitHub\mrs-test-scripts\Headless Mode &amp; Sideloading\WalkAndUnGZ.bat" "%USERPROFILE%\AppData\Local\Temp\OnboardLogs"\RTDC4018\2017-11-20 &amp; aws s3 cp s3://rtdc.mdm.uploadarchive.raw/RTDC4018/ "%USERPROFILE%\AppData\Local\Temp\OnboardLogs"\RTDC4018\2017-11-21 --exclude "*" --recursive --include "*20171121*" &amp; "%USERPROFILE%\Documents\GitHub\mrs-test-scripts\Headless Mode &amp; Sideloading\WalkAndUnGZ.bat" "%USERPROFILE%\AppData\Local\Temp\OnboardLogs"\RTDC4018\2017-11-21</v>
      </c>
      <c r="AF147" s="74" t="str">
        <f t="shared" si="63"/>
        <v>"C:\Program Files (x86)\AstroGrep\AstroGrep.exe" /e /r /s /spath="%USERPROFILE%\AppData\Local\Temp\OnboardLogs" /stypes="app*4018*20171121*" /stext=" 05:.+((SYSTEM_STATE.+slice.+state.+changed )|(ment ac)|(multiple cpu faults)|(system.+state.+changed )|(\[timeout)|(PRM\|1\|D)|(kpr)|(kdp)|(train st.+moving)|(\|lc)|(penalty))"</v>
      </c>
      <c r="AG147" s="181" t="str">
        <f t="shared" si="64"/>
        <v>EC</v>
      </c>
      <c r="AH147" s="78" t="str">
        <f t="shared" si="65"/>
        <v>"%USERPROFILE%\Documents\GitHub\eaglep3\Utilities\RefineRTDCRunTimes.py" --tripid 231-20 --locoid 4018 --swversion DE.1.0.9.0 --startMP 204:557 --initTime 2017-11-20T21:08:21 --startdatetime 2017-11-20T21:30:16 --delay 67 --endMP 204:233223 --enddatetime 2017-11-20T22:07:40 --enforcementcount 0 &gt;&gt;%USERPROFILE%\Documents\GitHub\eaglep3-reporting\EC\2017-11-20-refined-times.txt</v>
      </c>
      <c r="AI147" s="96" t="str">
        <f t="shared" si="66"/>
        <v>echo {"issue":{"subject":"","project_id":79,"tracker_id":40,"status_id":1,"priority_id":2,"assigned_to_id":338,"start_date":"2017-11-20","description":"","custom_fields":[{"id":1,"name":"Subdivision","value":"EC"},{"id":4,"name":"Milepost","value":"23.3223"},{"id":17,"name":"Train ID","value":"231-20"},{"id":16,"name":"Locomotive ID","value":"4018"},{"id":130,"name":"Impact","value":""},{"id":150,"name":"Time of Event (Mountain Time)","value":"22:07:40"},{"id":151,"name":"Denver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1" t="str">
        <f t="shared" si="67"/>
        <v>start /low /b %USERPROFILE%\Documents\GitHub\eaglep3\Utilities\DownloadLogsFromS3.py --loco 4018 --day 2017-11-20</v>
      </c>
      <c r="AN147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05:07:40"},{"id":29,"name":"Sharepoint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7" t="str">
        <f t="shared" si="69"/>
        <v>https://d0f6bd738d7f1b3e5a7ca70fe4ff75f0.us-east-1.aws.found.io/app/kibana#/discover/Steve-Slow-Train-Analysis-(2080s-and-2083s)?_g=(refreshInterval:(display:Off,pause:!f,section:0,value:0),time:(from:'2017-11-20T20:08:21-0700',mode:absolute,to:'2017-11-20T23:07:40-0700'))&amp;_a=(columns:!('Message%20ID',Summary),filters:!(),index:'emp_*',interval:auto,query:(query_string:(analyze_wildcard:!t,query:'%22rtdc.l.rtdc.4018%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866</v>
      </c>
      <c r="B148" s="7">
        <v>4017</v>
      </c>
      <c r="C148" s="21" t="s">
        <v>192</v>
      </c>
      <c r="D148" s="21" t="s">
        <v>536</v>
      </c>
      <c r="E148" s="13">
        <v>43059.923796296294</v>
      </c>
      <c r="F148" s="13">
        <v>43059.935613425929</v>
      </c>
      <c r="G148" s="7">
        <v>58</v>
      </c>
      <c r="H148" s="21" t="s">
        <v>934</v>
      </c>
      <c r="I148" s="13">
        <v>43059.962453703702</v>
      </c>
      <c r="J148" s="7">
        <v>0</v>
      </c>
      <c r="K148" s="89" t="str">
        <f t="shared" si="53"/>
        <v>4017/4018</v>
      </c>
      <c r="L148" s="184" t="str">
        <f>VLOOKUP(A148,'Trips&amp;Operators'!$C$1:$G$99911,5,FALSE)</f>
        <v>STRICKLAND EVAN</v>
      </c>
      <c r="M148" s="6">
        <f t="shared" si="54"/>
        <v>2.6840277772862464E-2</v>
      </c>
      <c r="N148" s="7">
        <f t="shared" si="70"/>
        <v>38.649999992921948</v>
      </c>
      <c r="O148" s="7"/>
      <c r="P148" s="7"/>
      <c r="Q148" s="22"/>
      <c r="R148" s="173"/>
      <c r="S148" s="220">
        <f t="shared" si="71"/>
        <v>1</v>
      </c>
      <c r="T148" s="173" t="str">
        <f t="shared" si="55"/>
        <v>Southbound</v>
      </c>
      <c r="U148" s="19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5" t="str">
        <f t="shared" si="56"/>
        <v>https://d0f6bd738d7f1b3e5a7ca70fe4ff75f0.us-east-1.aws.found.io/app/kibana#/discover/Steve-Slow-Train-Analysis-(2080s-and-2083s)?_g=(refreshInterval:(display:Off,pause:!f,section:0,value:0),time:(from:'2017-11-20T21:10:16-0700',mode:absolute,to:'2017-11-21T00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8" s="203" t="str">
        <f>IF(AA148&lt;VLOOKUP(AG148,Variables!$AC$3:$AD$8,2,FALSE),"Y","N")</f>
        <v>N</v>
      </c>
      <c r="X148" s="203">
        <f t="shared" si="57"/>
        <v>1</v>
      </c>
      <c r="Y148" s="203">
        <f t="shared" si="58"/>
        <v>23.290199999999999</v>
      </c>
      <c r="Z148" s="203">
        <f t="shared" si="59"/>
        <v>2.18E-2</v>
      </c>
      <c r="AA148" s="203">
        <f t="shared" si="60"/>
        <v>23.2684</v>
      </c>
      <c r="AB148" s="54" t="e">
        <f>VLOOKUP(A148,Enforcements!$C$7:$K$9,8,0)</f>
        <v>#N/A</v>
      </c>
      <c r="AC148" s="51" t="e">
        <f>VLOOKUP(A148,Enforcements!$C$7:$E$9,3,0)</f>
        <v>#N/A</v>
      </c>
      <c r="AD148" s="178">
        <f t="shared" si="61"/>
        <v>232</v>
      </c>
      <c r="AE148" s="77" t="str">
        <f t="shared" si="62"/>
        <v>aws s3 cp s3://rtdc.mdm.uploadarchive.raw/RTDC4017/ "%USERPROFILE%\AppData\Local\Temp\OnboardLogs"\RTDC4017\2017-11-20 --exclude "*" --recursive --include "*20171120*" &amp; "%USERPROFILE%\Documents\GitHub\mrs-test-scripts\Headless Mode &amp; Sideloading\WalkAndUnGZ.bat" "%USERPROFILE%\AppData\Local\Temp\OnboardLogs"\RTDC4017\2017-11-20 &amp; aws s3 cp s3://rtdc.mdm.uploadarchive.raw/RTDC4017/ "%USERPROFILE%\AppData\Local\Temp\OnboardLogs"\RTDC4017\2017-11-21 --exclude "*" --recursive --include "*20171121*" &amp; "%USERPROFILE%\Documents\GitHub\mrs-test-scripts\Headless Mode &amp; Sideloading\WalkAndUnGZ.bat" "%USERPROFILE%\AppData\Local\Temp\OnboardLogs"\RTDC4017\2017-11-21</v>
      </c>
      <c r="AF148" s="74" t="str">
        <f t="shared" si="63"/>
        <v>"C:\Program Files (x86)\AstroGrep\AstroGrep.exe" /e /r /s /spath="%USERPROFILE%\AppData\Local\Temp\OnboardLogs" /stypes="app*4017*20171121*" /stext=" 06:.+((SYSTEM_STATE.+slice.+state.+changed )|(ment ac)|(multiple cpu faults)|(system.+state.+changed )|(\[timeout)|(PRM\|1\|D)|(kpr)|(kdp)|(train st.+moving)|(\|lc)|(penalty))"</v>
      </c>
      <c r="AG148" s="181" t="str">
        <f t="shared" si="64"/>
        <v>EC</v>
      </c>
      <c r="AH148" s="78" t="str">
        <f t="shared" si="65"/>
        <v>"%USERPROFILE%\Documents\GitHub\eaglep3\Utilities\RefineRTDCRunTimes.py" --tripid 232-20 --locoid 4017 --swversion DE.1.0.9.0 --startMP 204:232902 --initTime 2017-11-20T22:10:16 --startdatetime 2017-11-20T22:27:17 --delay 58 --endMP 204:218 --enddatetime 2017-11-20T23:05:56 --enforcementcount 0 &gt;&gt;%USERPROFILE%\Documents\GitHub\eaglep3-reporting\EC\2017-11-20-refined-times.txt</v>
      </c>
      <c r="AI148" s="96" t="str">
        <f t="shared" si="66"/>
        <v>echo {"issue":{"subject":"","project_id":79,"tracker_id":40,"status_id":1,"priority_id":2,"assigned_to_id":338,"start_date":"2017-11-20","description":"","custom_fields":[{"id":1,"name":"Subdivision","value":"EC"},{"id":4,"name":"Milepost","value":"0.0218"},{"id":17,"name":"Train ID","value":"232-20"},{"id":16,"name":"Locomotive ID","value":"4017"},{"id":130,"name":"Impact","value":""},{"id":150,"name":"Time of Event (Mountain Time)","value":"23:05:56"},{"id":151,"name":"Denver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1" t="str">
        <f t="shared" si="67"/>
        <v>start /low /b %USERPROFILE%\Documents\GitHub\eaglep3\Utilities\DownloadLogsFromS3.py --loco 4017 --day 2017-11-20</v>
      </c>
      <c r="AN148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06:05:56"},{"id":29,"name":"Sharepoint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7" t="str">
        <f t="shared" si="69"/>
        <v>https://d0f6bd738d7f1b3e5a7ca70fe4ff75f0.us-east-1.aws.found.io/app/kibana#/discover/Steve-Slow-Train-Analysis-(2080s-and-2083s)?_g=(refreshInterval:(display:Off,pause:!f,section:0,value:0),time:(from:'2017-11-20T21:10:16-0700',mode:absolute,to:'2017-11-21T00:05:56-0700'))&amp;_a=(columns:!('Message%20ID',Summary),filters:!(),index:'emp_*',interval:auto,query:(query_string:(analyze_wildcard:!t,query:'%22rtdc.l.rtdc.4017%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864</v>
      </c>
      <c r="B149" s="7">
        <v>4064</v>
      </c>
      <c r="C149" s="21" t="s">
        <v>192</v>
      </c>
      <c r="D149" s="21" t="s">
        <v>988</v>
      </c>
      <c r="E149" s="13">
        <v>43059.910266203704</v>
      </c>
      <c r="F149" s="13">
        <v>43059.91684027778</v>
      </c>
      <c r="G149" s="7">
        <v>64</v>
      </c>
      <c r="H149" s="21" t="s">
        <v>609</v>
      </c>
      <c r="I149" s="13">
        <v>43059.942673611113</v>
      </c>
      <c r="J149" s="7">
        <v>0</v>
      </c>
      <c r="K149" s="89" t="str">
        <f t="shared" si="53"/>
        <v>4063/4064</v>
      </c>
      <c r="L149" s="184" t="str">
        <f>VLOOKUP(A149,'Trips&amp;Operators'!$C$1:$G$99911,5,FALSE)</f>
        <v>RESPASS AARON</v>
      </c>
      <c r="M149" s="6">
        <f t="shared" si="54"/>
        <v>2.5833333333139308E-2</v>
      </c>
      <c r="N149" s="7">
        <f t="shared" si="70"/>
        <v>37.199999999720603</v>
      </c>
      <c r="O149" s="7"/>
      <c r="P149" s="7"/>
      <c r="Q149" s="22"/>
      <c r="R149" s="173"/>
      <c r="S149" s="220">
        <f t="shared" si="71"/>
        <v>1</v>
      </c>
      <c r="T149" s="173" t="str">
        <f t="shared" si="55"/>
        <v>NorthBound</v>
      </c>
      <c r="U149" s="19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5" t="str">
        <f t="shared" si="56"/>
        <v>https://d0f6bd738d7f1b3e5a7ca70fe4ff75f0.us-east-1.aws.found.io/app/kibana#/discover/Steve-Slow-Train-Analysis-(2080s-and-2083s)?_g=(refreshInterval:(display:Off,pause:!f,section:0,value:0),time:(from:'2017-11-20T20:50:47-0700',mode:absolute,to:'2017-11-20T23:37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9" s="203" t="str">
        <f>IF(AA149&lt;VLOOKUP(AG149,Variables!$AC$3:$AD$8,2,FALSE),"Y","N")</f>
        <v>N</v>
      </c>
      <c r="X149" s="203">
        <f t="shared" si="57"/>
        <v>1</v>
      </c>
      <c r="Y149" s="203">
        <f t="shared" si="58"/>
        <v>5.3999999999999999E-2</v>
      </c>
      <c r="Z149" s="203">
        <f t="shared" si="59"/>
        <v>23.328199999999999</v>
      </c>
      <c r="AA149" s="203">
        <f t="shared" si="60"/>
        <v>23.2742</v>
      </c>
      <c r="AB149" s="54" t="e">
        <f>VLOOKUP(A149,Enforcements!$C$7:$K$9,8,0)</f>
        <v>#N/A</v>
      </c>
      <c r="AC149" s="51" t="e">
        <f>VLOOKUP(A149,Enforcements!$C$7:$E$9,3,0)</f>
        <v>#N/A</v>
      </c>
      <c r="AD149" s="178">
        <f t="shared" si="61"/>
        <v>233</v>
      </c>
      <c r="AE149" s="77" t="str">
        <f t="shared" si="62"/>
        <v>aws s3 cp s3://rtdc.mdm.uploadarchive.raw/RTDC4064/ "%USERPROFILE%\AppData\Local\Temp\OnboardLogs"\RTDC4064\2017-11-20 --exclude "*" --recursive --include "*20171120*" &amp; "%USERPROFILE%\Documents\GitHub\mrs-test-scripts\Headless Mode &amp; Sideloading\WalkAndUnGZ.bat" "%USERPROFILE%\AppData\Local\Temp\OnboardLogs"\RTDC4064\2017-11-20 &amp; aws s3 cp s3://rtdc.mdm.uploadarchive.raw/RTDC4064/ "%USERPROFILE%\AppData\Local\Temp\OnboardLogs"\RTDC4064\2017-11-21 --exclude "*" --recursive --include "*20171121*" &amp; "%USERPROFILE%\Documents\GitHub\mrs-test-scripts\Headless Mode &amp; Sideloading\WalkAndUnGZ.bat" "%USERPROFILE%\AppData\Local\Temp\OnboardLogs"\RTDC4064\2017-11-21</v>
      </c>
      <c r="AF149" s="74" t="str">
        <f t="shared" si="63"/>
        <v>"C:\Program Files (x86)\AstroGrep\AstroGrep.exe" /e /r /s /spath="%USERPROFILE%\AppData\Local\Temp\OnboardLogs" /stypes="app*4064*20171121*" /stext=" 05:.+((SYSTEM_STATE.+slice.+state.+changed )|(ment ac)|(multiple cpu faults)|(system.+state.+changed )|(\[timeout)|(PRM\|1\|D)|(kpr)|(kdp)|(train st.+moving)|(\|lc)|(penalty))"</v>
      </c>
      <c r="AG149" s="181" t="str">
        <f t="shared" si="64"/>
        <v>EC</v>
      </c>
      <c r="AH149" s="78" t="str">
        <f t="shared" si="65"/>
        <v>"%USERPROFILE%\Documents\GitHub\eaglep3\Utilities\RefineRTDCRunTimes.py" --tripid 233-20 --locoid 4064 --swversion DE.1.0.9.0 --startMP 204:540 --initTime 2017-11-20T21:50:47 --startdatetime 2017-11-20T22:00:15 --delay 64 --endMP 204:233282 --enddatetime 2017-11-20T22:37:27 --enforcementcount 0 &gt;&gt;%USERPROFILE%\Documents\GitHub\eaglep3-reporting\EC\2017-11-20-refined-times.txt</v>
      </c>
      <c r="AI149" s="96" t="str">
        <f t="shared" si="66"/>
        <v>echo {"issue":{"subject":"","project_id":79,"tracker_id":40,"status_id":1,"priority_id":2,"assigned_to_id":338,"start_date":"2017-11-20","description":"","custom_fields":[{"id":1,"name":"Subdivision","value":"EC"},{"id":4,"name":"Milepost","value":"23.3282"},{"id":17,"name":"Train ID","value":"233-20"},{"id":16,"name":"Locomotive ID","value":"4064"},{"id":130,"name":"Impact","value":""},{"id":150,"name":"Time of Event (Mountain Time)","value":"22:37:27"},{"id":151,"name":"Denver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1" t="str">
        <f t="shared" si="67"/>
        <v>start /low /b %USERPROFILE%\Documents\GitHub\eaglep3\Utilities\DownloadLogsFromS3.py --loco 4064 --day 2017-11-20</v>
      </c>
      <c r="AN149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05:37:27"},{"id":29,"name":"Sharepoint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7" t="str">
        <f t="shared" si="69"/>
        <v>https://d0f6bd738d7f1b3e5a7ca70fe4ff75f0.us-east-1.aws.found.io/app/kibana#/discover/Steve-Slow-Train-Analysis-(2080s-and-2083s)?_g=(refreshInterval:(display:Off,pause:!f,section:0,value:0),time:(from:'2017-11-20T20:50:47-0700',mode:absolute,to:'2017-11-20T23:37:27-0700'))&amp;_a=(columns:!('Message%20ID',Summary),filters:!(),index:'emp_*',interval:auto,query:(query_string:(analyze_wildcard:!t,query:'%22rtdc.l.rtdc.4064%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870</v>
      </c>
      <c r="B150" s="7">
        <v>4063</v>
      </c>
      <c r="C150" s="21" t="s">
        <v>192</v>
      </c>
      <c r="D150" s="21" t="s">
        <v>930</v>
      </c>
      <c r="E150" s="13">
        <v>43059.951331018521</v>
      </c>
      <c r="F150" s="13">
        <v>43059.956423611111</v>
      </c>
      <c r="G150" s="7">
        <v>72</v>
      </c>
      <c r="H150" s="21" t="s">
        <v>636</v>
      </c>
      <c r="I150" s="13">
        <v>43059.983101851853</v>
      </c>
      <c r="J150" s="7">
        <v>0</v>
      </c>
      <c r="K150" s="89" t="str">
        <f t="shared" si="53"/>
        <v>4063/4064</v>
      </c>
      <c r="L150" s="184" t="str">
        <f>VLOOKUP(A150,'Trips&amp;Operators'!$C$1:$G$99911,5,FALSE)</f>
        <v>RESPASS AARON</v>
      </c>
      <c r="M150" s="6">
        <f t="shared" si="54"/>
        <v>2.6678240741603076E-2</v>
      </c>
      <c r="N150" s="7">
        <f t="shared" si="70"/>
        <v>38.41666666790843</v>
      </c>
      <c r="O150" s="7"/>
      <c r="P150" s="7"/>
      <c r="Q150" s="22"/>
      <c r="R150" s="173"/>
      <c r="S150" s="220">
        <f t="shared" si="71"/>
        <v>1</v>
      </c>
      <c r="T150" s="173" t="str">
        <f t="shared" si="55"/>
        <v>Southbound</v>
      </c>
      <c r="U150" s="19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5" t="str">
        <f t="shared" si="56"/>
        <v>https://d0f6bd738d7f1b3e5a7ca70fe4ff75f0.us-east-1.aws.found.io/app/kibana#/discover/Steve-Slow-Train-Analysis-(2080s-and-2083s)?_g=(refreshInterval:(display:Off,pause:!f,section:0,value:0),time:(from:'2017-11-20T21:49:55-0700',mode:absolute,to:'2017-11-21T00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0" s="203" t="str">
        <f>IF(AA150&lt;VLOOKUP(AG150,Variables!$AC$3:$AD$8,2,FALSE),"Y","N")</f>
        <v>N</v>
      </c>
      <c r="X150" s="203">
        <f t="shared" si="57"/>
        <v>1</v>
      </c>
      <c r="Y150" s="203">
        <f t="shared" si="58"/>
        <v>23.296500000000002</v>
      </c>
      <c r="Z150" s="203">
        <f t="shared" si="59"/>
        <v>2.58E-2</v>
      </c>
      <c r="AA150" s="203">
        <f t="shared" si="60"/>
        <v>23.270700000000001</v>
      </c>
      <c r="AB150" s="54" t="e">
        <f>VLOOKUP(A150,Enforcements!$C$7:$K$9,8,0)</f>
        <v>#N/A</v>
      </c>
      <c r="AC150" s="51" t="e">
        <f>VLOOKUP(A150,Enforcements!$C$7:$E$9,3,0)</f>
        <v>#N/A</v>
      </c>
      <c r="AD150" s="178">
        <f t="shared" si="61"/>
        <v>234</v>
      </c>
      <c r="AE150" s="77" t="str">
        <f t="shared" si="62"/>
        <v>aws s3 cp s3://rtdc.mdm.uploadarchive.raw/RTDC4063/ "%USERPROFILE%\AppData\Local\Temp\OnboardLogs"\RTDC4063\2017-11-20 --exclude "*" --recursive --include "*20171120*" &amp; "%USERPROFILE%\Documents\GitHub\mrs-test-scripts\Headless Mode &amp; Sideloading\WalkAndUnGZ.bat" "%USERPROFILE%\AppData\Local\Temp\OnboardLogs"\RTDC4063\2017-11-20 &amp; aws s3 cp s3://rtdc.mdm.uploadarchive.raw/RTDC4063/ "%USERPROFILE%\AppData\Local\Temp\OnboardLogs"\RTDC4063\2017-11-21 --exclude "*" --recursive --include "*20171121*" &amp; "%USERPROFILE%\Documents\GitHub\mrs-test-scripts\Headless Mode &amp; Sideloading\WalkAndUnGZ.bat" "%USERPROFILE%\AppData\Local\Temp\OnboardLogs"\RTDC4063\2017-11-21</v>
      </c>
      <c r="AF150" s="74" t="str">
        <f t="shared" si="63"/>
        <v>"C:\Program Files (x86)\AstroGrep\AstroGrep.exe" /e /r /s /spath="%USERPROFILE%\AppData\Local\Temp\OnboardLogs" /stypes="app*4063*20171121*" /stext=" 06:.+((SYSTEM_STATE.+slice.+state.+changed )|(ment ac)|(multiple cpu faults)|(system.+state.+changed )|(\[timeout)|(PRM\|1\|D)|(kpr)|(kdp)|(train st.+moving)|(\|lc)|(penalty))"</v>
      </c>
      <c r="AG150" s="181" t="str">
        <f t="shared" si="64"/>
        <v>EC</v>
      </c>
      <c r="AH150" s="78" t="str">
        <f t="shared" si="65"/>
        <v>"%USERPROFILE%\Documents\GitHub\eaglep3\Utilities\RefineRTDCRunTimes.py" --tripid 234-20 --locoid 4063 --swversion DE.1.0.9.0 --startMP 204:232965 --initTime 2017-11-20T22:49:55 --startdatetime 2017-11-20T22:57:15 --delay 72 --endMP 204:258 --enddatetime 2017-11-20T23:35:40 --enforcementcount 0 &gt;&gt;%USERPROFILE%\Documents\GitHub\eaglep3-reporting\EC\2017-11-20-refined-times.txt</v>
      </c>
      <c r="AI150" s="96" t="str">
        <f t="shared" si="66"/>
        <v>echo {"issue":{"subject":"","project_id":79,"tracker_id":40,"status_id":1,"priority_id":2,"assigned_to_id":338,"start_date":"2017-11-20","description":"","custom_fields":[{"id":1,"name":"Subdivision","value":"EC"},{"id":4,"name":"Milepost","value":"0.0258"},{"id":17,"name":"Train ID","value":"234-20"},{"id":16,"name":"Locomotive ID","value":"4063"},{"id":130,"name":"Impact","value":""},{"id":150,"name":"Time of Event (Mountain Time)","value":"23:35:40"},{"id":151,"name":"Denver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1" t="str">
        <f t="shared" si="67"/>
        <v>start /low /b %USERPROFILE%\Documents\GitHub\eaglep3\Utilities\DownloadLogsFromS3.py --loco 4063 --day 2017-11-20</v>
      </c>
      <c r="AN150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06:35:40"},{"id":29,"name":"Sharepoint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7" t="str">
        <f t="shared" si="69"/>
        <v>https://d0f6bd738d7f1b3e5a7ca70fe4ff75f0.us-east-1.aws.found.io/app/kibana#/discover/Steve-Slow-Train-Analysis-(2080s-and-2083s)?_g=(refreshInterval:(display:Off,pause:!f,section:0,value:0),time:(from:'2017-11-20T21:49:55-0700',mode:absolute,to:'2017-11-21T00:35:40-0700'))&amp;_a=(columns:!('Message%20ID',Summary),filters:!(),index:'emp_*',interval:auto,query:(query_string:(analyze_wildcard:!t,query:'%22rtdc.l.rtdc.4063%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867</v>
      </c>
      <c r="B151" s="7">
        <v>4028</v>
      </c>
      <c r="C151" s="21" t="s">
        <v>192</v>
      </c>
      <c r="D151" s="21" t="s">
        <v>989</v>
      </c>
      <c r="E151" s="13">
        <v>43059.931076388886</v>
      </c>
      <c r="F151" s="13">
        <v>43059.937673611108</v>
      </c>
      <c r="G151" s="7">
        <v>95</v>
      </c>
      <c r="H151" s="21" t="s">
        <v>919</v>
      </c>
      <c r="I151" s="13">
        <v>43059.962893518517</v>
      </c>
      <c r="J151" s="7">
        <v>0</v>
      </c>
      <c r="K151" s="89" t="str">
        <f t="shared" si="53"/>
        <v>4027/4028</v>
      </c>
      <c r="L151" s="184" t="str">
        <f>VLOOKUP(A151,'Trips&amp;Operators'!$C$1:$G$99911,5,FALSE)</f>
        <v>HAMMOND JUSTYNN</v>
      </c>
      <c r="M151" s="6">
        <f t="shared" si="54"/>
        <v>2.5219907409336884E-2</v>
      </c>
      <c r="N151" s="7">
        <f t="shared" si="70"/>
        <v>36.316666669445112</v>
      </c>
      <c r="O151" s="7"/>
      <c r="P151" s="7"/>
      <c r="Q151" s="22"/>
      <c r="R151" s="173"/>
      <c r="S151" s="220">
        <f t="shared" si="71"/>
        <v>1</v>
      </c>
      <c r="T151" s="173" t="str">
        <f t="shared" si="55"/>
        <v>NorthBound</v>
      </c>
      <c r="U151" s="19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5" t="str">
        <f t="shared" si="56"/>
        <v>https://d0f6bd738d7f1b3e5a7ca70fe4ff75f0.us-east-1.aws.found.io/app/kibana#/discover/Steve-Slow-Train-Analysis-(2080s-and-2083s)?_g=(refreshInterval:(display:Off,pause:!f,section:0,value:0),time:(from:'2017-11-20T21:20:45-0700',mode:absolute,to:'2017-11-21T00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1" s="203" t="str">
        <f>IF(AA151&lt;VLOOKUP(AG151,Variables!$AC$3:$AD$8,2,FALSE),"Y","N")</f>
        <v>N</v>
      </c>
      <c r="X151" s="203">
        <f t="shared" si="57"/>
        <v>1</v>
      </c>
      <c r="Y151" s="203">
        <f t="shared" si="58"/>
        <v>5.5100000000000003E-2</v>
      </c>
      <c r="Z151" s="203">
        <f t="shared" si="59"/>
        <v>23.328900000000001</v>
      </c>
      <c r="AA151" s="203">
        <f t="shared" si="60"/>
        <v>23.273800000000001</v>
      </c>
      <c r="AB151" s="54" t="e">
        <f>VLOOKUP(A151,Enforcements!$C$7:$K$9,8,0)</f>
        <v>#N/A</v>
      </c>
      <c r="AC151" s="51" t="e">
        <f>VLOOKUP(A151,Enforcements!$C$7:$E$9,3,0)</f>
        <v>#N/A</v>
      </c>
      <c r="AD151" s="178">
        <f t="shared" si="61"/>
        <v>235</v>
      </c>
      <c r="AE151" s="77" t="str">
        <f t="shared" si="62"/>
        <v>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 &amp; aws s3 cp s3://rtdc.mdm.uploadarchive.raw/RTDC4028/ "%USERPROFILE%\AppData\Local\Temp\OnboardLogs"\RTDC4028\2017-11-21 --exclude "*" --recursive --include "*20171121*" &amp; "%USERPROFILE%\Documents\GitHub\mrs-test-scripts\Headless Mode &amp; Sideloading\WalkAndUnGZ.bat" "%USERPROFILE%\AppData\Local\Temp\OnboardLogs"\RTDC4028\2017-11-21</v>
      </c>
      <c r="AF151" s="74" t="str">
        <f t="shared" si="63"/>
        <v>"C:\Program Files (x86)\AstroGrep\AstroGrep.exe" /e /r /s /spath="%USERPROFILE%\AppData\Local\Temp\OnboardLogs" /stypes="app*4028*20171121*" /stext=" 06:.+((SYSTEM_STATE.+slice.+state.+changed )|(ment ac)|(multiple cpu faults)|(system.+state.+changed )|(\[timeout)|(PRM\|1\|D)|(kpr)|(kdp)|(train st.+moving)|(\|lc)|(penalty))"</v>
      </c>
      <c r="AG151" s="181" t="str">
        <f t="shared" si="64"/>
        <v>EC</v>
      </c>
      <c r="AH151" s="78" t="str">
        <f t="shared" si="65"/>
        <v>"%USERPROFILE%\Documents\GitHub\eaglep3\Utilities\RefineRTDCRunTimes.py" --tripid 235-20 --locoid 4028 --swversion DE.1.0.9.0 --startMP 204:551 --initTime 2017-11-20T22:20:45 --startdatetime 2017-11-20T22:30:15 --delay 95 --endMP 204:233289 --enddatetime 2017-11-20T23:06:34 --enforcementcount 0 &gt;&gt;%USERPROFILE%\Documents\GitHub\eaglep3-reporting\EC\2017-11-20-refined-times.txt</v>
      </c>
      <c r="AI151" s="96" t="str">
        <f t="shared" si="66"/>
        <v>echo {"issue":{"subject":"","project_id":79,"tracker_id":40,"status_id":1,"priority_id":2,"assigned_to_id":338,"start_date":"2017-11-20","description":"","custom_fields":[{"id":1,"name":"Subdivision","value":"EC"},{"id":4,"name":"Milepost","value":"23.3289"},{"id":17,"name":"Train ID","value":"235-20"},{"id":16,"name":"Locomotive ID","value":"4028"},{"id":130,"name":"Impact","value":""},{"id":150,"name":"Time of Event (Mountain Time)","value":"23:06:34"},{"id":151,"name":"Denver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1" t="str">
        <f t="shared" si="67"/>
        <v>start /low /b %USERPROFILE%\Documents\GitHub\eaglep3\Utilities\DownloadLogsFromS3.py --loco 4028 --day 2017-11-20</v>
      </c>
      <c r="AN151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06:06:34"},{"id":29,"name":"Sharepoint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7" t="str">
        <f t="shared" si="69"/>
        <v>https://d0f6bd738d7f1b3e5a7ca70fe4ff75f0.us-east-1.aws.found.io/app/kibana#/discover/Steve-Slow-Train-Analysis-(2080s-and-2083s)?_g=(refreshInterval:(display:Off,pause:!f,section:0,value:0),time:(from:'2017-11-20T21:20:45-0700',mode:absolute,to:'2017-11-21T00:06:34-0700'))&amp;_a=(columns:!('Message%20ID',Summary),filters:!(),index:'emp_*',interval:auto,query:(query_string:(analyze_wildcard:!t,query:'%22rtdc.l.rtdc.4028%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874</v>
      </c>
      <c r="B152" s="7">
        <v>4027</v>
      </c>
      <c r="C152" s="21" t="s">
        <v>192</v>
      </c>
      <c r="D152" s="21" t="s">
        <v>630</v>
      </c>
      <c r="E152" s="13">
        <v>43059.974178240744</v>
      </c>
      <c r="F152" s="13">
        <v>43059.977256944447</v>
      </c>
      <c r="G152" s="7">
        <v>57</v>
      </c>
      <c r="H152" s="21" t="s">
        <v>943</v>
      </c>
      <c r="I152" s="13">
        <v>43060.004131944443</v>
      </c>
      <c r="J152" s="7">
        <v>0</v>
      </c>
      <c r="K152" s="89" t="str">
        <f t="shared" si="53"/>
        <v>4027/4028</v>
      </c>
      <c r="L152" s="184" t="str">
        <f>VLOOKUP(A152,'Trips&amp;Operators'!$C$1:$G$99911,5,FALSE)</f>
        <v>HAMMOND JUSTYNN</v>
      </c>
      <c r="M152" s="6">
        <f t="shared" si="54"/>
        <v>2.6874999995925464E-2</v>
      </c>
      <c r="N152" s="7">
        <f t="shared" si="70"/>
        <v>38.699999994132668</v>
      </c>
      <c r="O152" s="7"/>
      <c r="P152" s="7"/>
      <c r="Q152" s="22"/>
      <c r="R152" s="173"/>
      <c r="S152" s="220">
        <f t="shared" si="71"/>
        <v>1</v>
      </c>
      <c r="T152" s="173" t="str">
        <f t="shared" si="55"/>
        <v>Southbound</v>
      </c>
      <c r="U152" s="19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5" t="str">
        <f t="shared" si="56"/>
        <v>https://d0f6bd738d7f1b3e5a7ca70fe4ff75f0.us-east-1.aws.found.io/app/kibana#/discover/Steve-Slow-Train-Analysis-(2080s-and-2083s)?_g=(refreshInterval:(display:Off,pause:!f,section:0,value:0),time:(from:'2017-11-20T22:22:49-0700',mode:absolute,to:'2017-11-21T01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2" s="203" t="str">
        <f>IF(AA152&lt;VLOOKUP(AG152,Variables!$AC$3:$AD$8,2,FALSE),"Y","N")</f>
        <v>N</v>
      </c>
      <c r="X152" s="203">
        <f t="shared" si="57"/>
        <v>1</v>
      </c>
      <c r="Y152" s="203">
        <f t="shared" si="58"/>
        <v>23.297000000000001</v>
      </c>
      <c r="Z152" s="203">
        <f t="shared" si="59"/>
        <v>2.2499999999999999E-2</v>
      </c>
      <c r="AA152" s="203">
        <f t="shared" si="60"/>
        <v>23.2745</v>
      </c>
      <c r="AB152" s="54" t="e">
        <f>VLOOKUP(A152,Enforcements!$C$7:$K$9,8,0)</f>
        <v>#N/A</v>
      </c>
      <c r="AC152" s="51" t="e">
        <f>VLOOKUP(A152,Enforcements!$C$7:$E$9,3,0)</f>
        <v>#N/A</v>
      </c>
      <c r="AD152" s="178">
        <f t="shared" si="61"/>
        <v>236</v>
      </c>
      <c r="AE152" s="77" t="str">
        <f t="shared" si="62"/>
        <v>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 &amp; aws s3 cp s3://rtdc.mdm.uploadarchive.raw/RTDC4027/ "%USERPROFILE%\AppData\Local\Temp\OnboardLogs"\RTDC4027\2017-11-21 --exclude "*" --recursive --include "*20171121*" &amp; "%USERPROFILE%\Documents\GitHub\mrs-test-scripts\Headless Mode &amp; Sideloading\WalkAndUnGZ.bat" "%USERPROFILE%\AppData\Local\Temp\OnboardLogs"\RTDC4027\2017-11-21</v>
      </c>
      <c r="AF152" s="74" t="str">
        <f t="shared" si="63"/>
        <v>"C:\Program Files (x86)\AstroGrep\AstroGrep.exe" /e /r /s /spath="%USERPROFILE%\AppData\Local\Temp\OnboardLogs" /stypes="app*4027*20171121*" /stext=" 07:.+((SYSTEM_STATE.+slice.+state.+changed )|(ment ac)|(multiple cpu faults)|(system.+state.+changed )|(\[timeout)|(PRM\|1\|D)|(kpr)|(kdp)|(train st.+moving)|(\|lc)|(penalty))"</v>
      </c>
      <c r="AG152" s="181" t="str">
        <f t="shared" si="64"/>
        <v>EC</v>
      </c>
      <c r="AH152" s="78" t="str">
        <f t="shared" si="65"/>
        <v>"%USERPROFILE%\Documents\GitHub\eaglep3\Utilities\RefineRTDCRunTimes.py" --tripid 236-20 --locoid 4027 --swversion DE.1.0.9.0 --startMP 204:232970 --initTime 2017-11-20T23:22:49 --startdatetime 2017-11-20T23:27:15 --delay 57 --endMP 204:225 --enddatetime 2017-11-21T00:05:57 --enforcementcount 0 &gt;&gt;%USERPROFILE%\Documents\GitHub\eaglep3-reporting\EC\2017-11-20-refined-times.txt</v>
      </c>
      <c r="AI152" s="96" t="str">
        <f t="shared" si="66"/>
        <v>echo {"issue":{"subject":"","project_id":79,"tracker_id":40,"status_id":1,"priority_id":2,"assigned_to_id":338,"start_date":"2017-11-21","description":"","custom_fields":[{"id":1,"name":"Subdivision","value":"EC"},{"id":4,"name":"Milepost","value":"0.0225"},{"id":17,"name":"Train ID","value":"236-20"},{"id":16,"name":"Locomotive ID","value":"4027"},{"id":130,"name":"Impact","value":""},{"id":150,"name":"Time of Event (Mountain Time)","value":"00:05:57"},{"id":151,"name":"Denver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1" t="str">
        <f t="shared" si="67"/>
        <v>start /low /b %USERPROFILE%\Documents\GitHub\eaglep3\Utilities\DownloadLogsFromS3.py --loco 4027 --day 2017-11-20</v>
      </c>
      <c r="AN152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07:05:57"},{"id":29,"name":"Sharepoint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7" t="str">
        <f t="shared" si="69"/>
        <v>https://d0f6bd738d7f1b3e5a7ca70fe4ff75f0.us-east-1.aws.found.io/app/kibana#/discover/Steve-Slow-Train-Analysis-(2080s-and-2083s)?_g=(refreshInterval:(display:Off,pause:!f,section:0,value:0),time:(from:'2017-11-20T22:22:49-0700',mode:absolute,to:'2017-11-21T01:05:57-0700'))&amp;_a=(columns:!('Message%20ID',Summary),filters:!(),index:'emp_*',interval:auto,query:(query_string:(analyze_wildcard:!t,query:'%22rtdc.l.rtdc.4027%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869</v>
      </c>
      <c r="B153" s="7">
        <v>4026</v>
      </c>
      <c r="C153" s="21" t="s">
        <v>192</v>
      </c>
      <c r="D153" s="21" t="s">
        <v>538</v>
      </c>
      <c r="E153" s="13">
        <v>43059.947314814817</v>
      </c>
      <c r="F153" s="13">
        <v>43059.958472222221</v>
      </c>
      <c r="G153" s="7">
        <v>59</v>
      </c>
      <c r="H153" s="21" t="s">
        <v>958</v>
      </c>
      <c r="I153" s="13">
        <v>43059.982430555552</v>
      </c>
      <c r="J153" s="7">
        <v>0</v>
      </c>
      <c r="K153" s="89" t="str">
        <f t="shared" si="53"/>
        <v>4025/4026</v>
      </c>
      <c r="L153" s="184" t="str">
        <f>VLOOKUP(A153,'Trips&amp;Operators'!$C$1:$G$99911,5,FALSE)</f>
        <v>ELBAUM MIKE</v>
      </c>
      <c r="M153" s="6">
        <f t="shared" si="54"/>
        <v>2.3958333331393078E-2</v>
      </c>
      <c r="N153" s="7">
        <f t="shared" si="70"/>
        <v>34.499999997206032</v>
      </c>
      <c r="O153" s="7"/>
      <c r="P153" s="7"/>
      <c r="Q153" s="22"/>
      <c r="R153" s="173"/>
      <c r="S153" s="220">
        <f t="shared" si="71"/>
        <v>1</v>
      </c>
      <c r="T153" s="173" t="str">
        <f t="shared" si="55"/>
        <v>NorthBound</v>
      </c>
      <c r="U153" s="19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5" t="str">
        <f t="shared" si="56"/>
        <v>https://d0f6bd738d7f1b3e5a7ca70fe4ff75f0.us-east-1.aws.found.io/app/kibana#/discover/Steve-Slow-Train-Analysis-(2080s-and-2083s)?_g=(refreshInterval:(display:Off,pause:!f,section:0,value:0),time:(from:'2017-11-20T21:44:08-0700',mode:absolute,to:'2017-11-21T00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3" s="203" t="str">
        <f>IF(AA153&lt;VLOOKUP(AG153,Variables!$AC$3:$AD$8,2,FALSE),"Y","N")</f>
        <v>N</v>
      </c>
      <c r="X153" s="203">
        <f t="shared" si="57"/>
        <v>1</v>
      </c>
      <c r="Y153" s="203">
        <f t="shared" si="58"/>
        <v>5.7099999999999998E-2</v>
      </c>
      <c r="Z153" s="203">
        <f t="shared" si="59"/>
        <v>23.3261</v>
      </c>
      <c r="AA153" s="203">
        <f t="shared" si="60"/>
        <v>23.269000000000002</v>
      </c>
      <c r="AB153" s="54" t="e">
        <f>VLOOKUP(A153,Enforcements!$C$7:$K$9,8,0)</f>
        <v>#N/A</v>
      </c>
      <c r="AC153" s="51" t="e">
        <f>VLOOKUP(A153,Enforcements!$C$7:$E$9,3,0)</f>
        <v>#N/A</v>
      </c>
      <c r="AD153" s="178">
        <f t="shared" si="61"/>
        <v>237</v>
      </c>
      <c r="AE153" s="77" t="str">
        <f t="shared" si="62"/>
        <v>aws s3 cp s3://rtdc.mdm.uploadarchive.raw/RTDC4026/ "%USERPROFILE%\AppData\Local\Temp\OnboardLogs"\RTDC4026\2017-11-20 --exclude "*" --recursive --include "*20171120*" &amp; "%USERPROFILE%\Documents\GitHub\mrs-test-scripts\Headless Mode &amp; Sideloading\WalkAndUnGZ.bat" "%USERPROFILE%\AppData\Local\Temp\OnboardLogs"\RTDC4026\2017-11-20 &amp; aws s3 cp s3://rtdc.mdm.uploadarchive.raw/RTDC4026/ "%USERPROFILE%\AppData\Local\Temp\OnboardLogs"\RTDC4026\2017-11-21 --exclude "*" --recursive --include "*20171121*" &amp; "%USERPROFILE%\Documents\GitHub\mrs-test-scripts\Headless Mode &amp; Sideloading\WalkAndUnGZ.bat" "%USERPROFILE%\AppData\Local\Temp\OnboardLogs"\RTDC4026\2017-11-21</v>
      </c>
      <c r="AF153" s="74" t="str">
        <f t="shared" si="63"/>
        <v>"C:\Program Files (x86)\AstroGrep\AstroGrep.exe" /e /r /s /spath="%USERPROFILE%\AppData\Local\Temp\OnboardLogs" /stypes="app*4026*20171121*" /stext=" 06:.+((SYSTEM_STATE.+slice.+state.+changed )|(ment ac)|(multiple cpu faults)|(system.+state.+changed )|(\[timeout)|(PRM\|1\|D)|(kpr)|(kdp)|(train st.+moving)|(\|lc)|(penalty))"</v>
      </c>
      <c r="AG153" s="181" t="str">
        <f t="shared" si="64"/>
        <v>EC</v>
      </c>
      <c r="AH153" s="78" t="str">
        <f t="shared" si="65"/>
        <v>"%USERPROFILE%\Documents\GitHub\eaglep3\Utilities\RefineRTDCRunTimes.py" --tripid 237-20 --locoid 4026 --swversion DE.1.0.9.0 --startMP 204:571 --initTime 2017-11-20T22:44:08 --startdatetime 2017-11-20T23:00:12 --delay 59 --endMP 204:233261 --enddatetime 2017-11-20T23:34:42 --enforcementcount 0 &gt;&gt;%USERPROFILE%\Documents\GitHub\eaglep3-reporting\EC\2017-11-20-refined-times.txt</v>
      </c>
      <c r="AI153" s="96" t="str">
        <f t="shared" si="66"/>
        <v>echo {"issue":{"subject":"","project_id":79,"tracker_id":40,"status_id":1,"priority_id":2,"assigned_to_id":338,"start_date":"2017-11-20","description":"","custom_fields":[{"id":1,"name":"Subdivision","value":"EC"},{"id":4,"name":"Milepost","value":"23.3261"},{"id":17,"name":"Train ID","value":"237-20"},{"id":16,"name":"Locomotive ID","value":"4026"},{"id":130,"name":"Impact","value":""},{"id":150,"name":"Time of Event (Mountain Time)","value":"23:34:42"},{"id":151,"name":"Denver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1" t="str">
        <f t="shared" si="67"/>
        <v>start /low /b %USERPROFILE%\Documents\GitHub\eaglep3\Utilities\DownloadLogsFromS3.py --loco 4026 --day 2017-11-20</v>
      </c>
      <c r="AN153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06:34:42"},{"id":29,"name":"Sharepoint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7" t="str">
        <f t="shared" si="69"/>
        <v>https://d0f6bd738d7f1b3e5a7ca70fe4ff75f0.us-east-1.aws.found.io/app/kibana#/discover/Steve-Slow-Train-Analysis-(2080s-and-2083s)?_g=(refreshInterval:(display:Off,pause:!f,section:0,value:0),time:(from:'2017-11-20T21:44:08-0700',mode:absolute,to:'2017-11-21T00:34:42-0700'))&amp;_a=(columns:!('Message%20ID',Summary),filters:!(),index:'emp_*',interval:auto,query:(query_string:(analyze_wildcard:!t,query:'%22rtdc.l.rtdc.4026%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875</v>
      </c>
      <c r="B154" s="7">
        <v>4025</v>
      </c>
      <c r="C154" s="21" t="s">
        <v>192</v>
      </c>
      <c r="D154" s="21" t="s">
        <v>966</v>
      </c>
      <c r="E154" s="13">
        <v>43059.986504629633</v>
      </c>
      <c r="F154" s="13">
        <v>43059.998287037037</v>
      </c>
      <c r="G154" s="7">
        <v>52</v>
      </c>
      <c r="H154" s="21" t="s">
        <v>961</v>
      </c>
      <c r="I154" s="13">
        <v>43060.025034722225</v>
      </c>
      <c r="J154" s="7">
        <v>0</v>
      </c>
      <c r="K154" s="89" t="str">
        <f t="shared" si="53"/>
        <v>4025/4026</v>
      </c>
      <c r="L154" s="184" t="str">
        <f>VLOOKUP(A154,'Trips&amp;Operators'!$C$1:$G$99911,5,FALSE)</f>
        <v>ELBAUM MIKE</v>
      </c>
      <c r="M154" s="6">
        <f t="shared" si="54"/>
        <v>2.6747685187729076E-2</v>
      </c>
      <c r="N154" s="7">
        <f t="shared" si="70"/>
        <v>38.516666670329869</v>
      </c>
      <c r="O154" s="7"/>
      <c r="P154" s="7"/>
      <c r="Q154" s="22"/>
      <c r="R154" s="173"/>
      <c r="S154" s="220">
        <f t="shared" si="71"/>
        <v>1</v>
      </c>
      <c r="T154" s="173" t="str">
        <f t="shared" si="55"/>
        <v>Southbound</v>
      </c>
      <c r="U154" s="19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5" t="str">
        <f t="shared" si="56"/>
        <v>https://d0f6bd738d7f1b3e5a7ca70fe4ff75f0.us-east-1.aws.found.io/app/kibana#/discover/Steve-Slow-Train-Analysis-(2080s-and-2083s)?_g=(refreshInterval:(display:Off,pause:!f,section:0,value:0),time:(from:'2017-11-20T22:40:34-0700',mode:absolute,to:'2017-11-21T01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4" s="203" t="str">
        <f>IF(AA154&lt;VLOOKUP(AG154,Variables!$AC$3:$AD$8,2,FALSE),"Y","N")</f>
        <v>N</v>
      </c>
      <c r="X154" s="203">
        <f t="shared" si="57"/>
        <v>1</v>
      </c>
      <c r="Y154" s="203">
        <f t="shared" si="58"/>
        <v>23.293800000000001</v>
      </c>
      <c r="Z154" s="203">
        <f t="shared" si="59"/>
        <v>2.6200000000000001E-2</v>
      </c>
      <c r="AA154" s="203">
        <f t="shared" si="60"/>
        <v>23.267600000000002</v>
      </c>
      <c r="AB154" s="54" t="e">
        <f>VLOOKUP(A154,Enforcements!$C$7:$K$9,8,0)</f>
        <v>#N/A</v>
      </c>
      <c r="AC154" s="51" t="e">
        <f>VLOOKUP(A154,Enforcements!$C$7:$E$9,3,0)</f>
        <v>#N/A</v>
      </c>
      <c r="AD154" s="178">
        <f t="shared" si="61"/>
        <v>238</v>
      </c>
      <c r="AE154" s="77" t="str">
        <f t="shared" si="62"/>
        <v>aws s3 cp s3://rtdc.mdm.uploadarchive.raw/RTDC4025/ "%USERPROFILE%\AppData\Local\Temp\OnboardLogs"\RTDC4025\2017-11-20 --exclude "*" --recursive --include "*20171120*" &amp; "%USERPROFILE%\Documents\GitHub\mrs-test-scripts\Headless Mode &amp; Sideloading\WalkAndUnGZ.bat" "%USERPROFILE%\AppData\Local\Temp\OnboardLogs"\RTDC4025\2017-11-20 &amp; aws s3 cp s3://rtdc.mdm.uploadarchive.raw/RTDC4025/ "%USERPROFILE%\AppData\Local\Temp\OnboardLogs"\RTDC4025\2017-11-21 --exclude "*" --recursive --include "*20171121*" &amp; "%USERPROFILE%\Documents\GitHub\mrs-test-scripts\Headless Mode &amp; Sideloading\WalkAndUnGZ.bat" "%USERPROFILE%\AppData\Local\Temp\OnboardLogs"\RTDC4025\2017-11-21</v>
      </c>
      <c r="AF154" s="74" t="str">
        <f t="shared" si="63"/>
        <v>"C:\Program Files (x86)\AstroGrep\AstroGrep.exe" /e /r /s /spath="%USERPROFILE%\AppData\Local\Temp\OnboardLogs" /stypes="app*4025*20171121*" /stext=" 07:.+((SYSTEM_STATE.+slice.+state.+changed )|(ment ac)|(multiple cpu faults)|(system.+state.+changed )|(\[timeout)|(PRM\|1\|D)|(kpr)|(kdp)|(train st.+moving)|(\|lc)|(penalty))"</v>
      </c>
      <c r="AG154" s="181" t="str">
        <f t="shared" si="64"/>
        <v>EC</v>
      </c>
      <c r="AH154" s="78" t="str">
        <f t="shared" si="65"/>
        <v>"%USERPROFILE%\Documents\GitHub\eaglep3\Utilities\RefineRTDCRunTimes.py" --tripid 238-20 --locoid 4025 --swversion DE.1.0.9.0 --startMP 204:232938 --initTime 2017-11-20T23:40:34 --startdatetime 2017-11-20T23:57:32 --delay 52 --endMP 204:262 --enddatetime 2017-11-21T00:36:03 --enforcementcount 0 &gt;&gt;%USERPROFILE%\Documents\GitHub\eaglep3-reporting\EC\2017-11-20-refined-times.txt</v>
      </c>
      <c r="AI154" s="96" t="str">
        <f t="shared" si="66"/>
        <v>echo {"issue":{"subject":"","project_id":79,"tracker_id":40,"status_id":1,"priority_id":2,"assigned_to_id":338,"start_date":"2017-11-21","description":"","custom_fields":[{"id":1,"name":"Subdivision","value":"EC"},{"id":4,"name":"Milepost","value":"0.0262"},{"id":17,"name":"Train ID","value":"238-20"},{"id":16,"name":"Locomotive ID","value":"4025"},{"id":130,"name":"Impact","value":""},{"id":150,"name":"Time of Event (Mountain Time)","value":"00:36:03"},{"id":151,"name":"Denver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1" t="str">
        <f t="shared" si="67"/>
        <v>start /low /b %USERPROFILE%\Documents\GitHub\eaglep3\Utilities\DownloadLogsFromS3.py --loco 4025 --day 2017-11-20</v>
      </c>
      <c r="AN154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07:36:03"},{"id":29,"name":"Sharepoint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7" t="str">
        <f t="shared" si="69"/>
        <v>https://d0f6bd738d7f1b3e5a7ca70fe4ff75f0.us-east-1.aws.found.io/app/kibana#/discover/Steve-Slow-Train-Analysis-(2080s-and-2083s)?_g=(refreshInterval:(display:Off,pause:!f,section:0,value:0),time:(from:'2017-11-20T22:40:34-0700',mode:absolute,to:'2017-11-21T01:36:03-0700'))&amp;_a=(columns:!('Message%20ID',Summary),filters:!(),index:'emp_*',interval:auto,query:(query_string:(analyze_wildcard:!t,query:'%22rtdc.l.rtdc.4025%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872</v>
      </c>
      <c r="B155" s="7">
        <v>4018</v>
      </c>
      <c r="C155" s="21" t="s">
        <v>192</v>
      </c>
      <c r="D155" s="21" t="s">
        <v>487</v>
      </c>
      <c r="E155" s="13">
        <v>43059.974050925928</v>
      </c>
      <c r="F155" s="13">
        <v>43059.979490740741</v>
      </c>
      <c r="G155" s="7">
        <v>72</v>
      </c>
      <c r="H155" s="21" t="s">
        <v>933</v>
      </c>
      <c r="I155" s="13">
        <v>43060.005347222221</v>
      </c>
      <c r="J155" s="7">
        <v>0</v>
      </c>
      <c r="K155" s="89" t="str">
        <f t="shared" si="53"/>
        <v>4017/4018</v>
      </c>
      <c r="L155" s="184" t="str">
        <f>VLOOKUP(A155,'Trips&amp;Operators'!$C$1:$G$99911,5,FALSE)</f>
        <v>STRICKLAND EVAN</v>
      </c>
      <c r="M155" s="6">
        <f t="shared" si="54"/>
        <v>2.5856481479422655E-2</v>
      </c>
      <c r="N155" s="7">
        <f t="shared" si="70"/>
        <v>37.233333330368623</v>
      </c>
      <c r="O155" s="7"/>
      <c r="P155" s="7"/>
      <c r="Q155" s="22"/>
      <c r="R155" s="173"/>
      <c r="S155" s="220">
        <f t="shared" si="71"/>
        <v>1</v>
      </c>
      <c r="T155" s="173" t="str">
        <f t="shared" si="55"/>
        <v>NorthBound</v>
      </c>
      <c r="U155" s="19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5" t="str">
        <f t="shared" si="56"/>
        <v>https://d0f6bd738d7f1b3e5a7ca70fe4ff75f0.us-east-1.aws.found.io/app/kibana#/discover/Steve-Slow-Train-Analysis-(2080s-and-2083s)?_g=(refreshInterval:(display:Off,pause:!f,section:0,value:0),time:(from:'2017-11-20T22:22:38-0700',mode:absolute,to:'2017-11-21T01:07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5" s="203" t="str">
        <f>IF(AA155&lt;VLOOKUP(AG155,Variables!$AC$3:$AD$8,2,FALSE),"Y","N")</f>
        <v>N</v>
      </c>
      <c r="X155" s="203">
        <f t="shared" ref="X155:X158" si="72">VALUE(LEFT(AD155,4))-VALUE(LEFT(AD154,4))</f>
        <v>1</v>
      </c>
      <c r="Y155" s="203">
        <f t="shared" si="58"/>
        <v>5.2200000000000003E-2</v>
      </c>
      <c r="Z155" s="203">
        <f t="shared" si="59"/>
        <v>23.322500000000002</v>
      </c>
      <c r="AA155" s="203">
        <f t="shared" si="60"/>
        <v>23.270300000000002</v>
      </c>
      <c r="AB155" s="54" t="e">
        <f>VLOOKUP(A155,Enforcements!$C$7:$K$9,8,0)</f>
        <v>#N/A</v>
      </c>
      <c r="AC155" s="51" t="e">
        <f>VLOOKUP(A155,Enforcements!$C$7:$E$9,3,0)</f>
        <v>#N/A</v>
      </c>
      <c r="AD155" s="178">
        <f t="shared" si="61"/>
        <v>239</v>
      </c>
      <c r="AE155" s="77" t="str">
        <f t="shared" si="62"/>
        <v>aws s3 cp s3://rtdc.mdm.uploadarchive.raw/RTDC4018/ "%USERPROFILE%\AppData\Local\Temp\OnboardLogs"\RTDC4018\2017-11-20 --exclude "*" --recursive --include "*20171120*" &amp; "%USERPROFILE%\Documents\GitHub\mrs-test-scripts\Headless Mode &amp; Sideloading\WalkAndUnGZ.bat" "%USERPROFILE%\AppData\Local\Temp\OnboardLogs"\RTDC4018\2017-11-20 &amp; aws s3 cp s3://rtdc.mdm.uploadarchive.raw/RTDC4018/ "%USERPROFILE%\AppData\Local\Temp\OnboardLogs"\RTDC4018\2017-11-21 --exclude "*" --recursive --include "*20171121*" &amp; "%USERPROFILE%\Documents\GitHub\mrs-test-scripts\Headless Mode &amp; Sideloading\WalkAndUnGZ.bat" "%USERPROFILE%\AppData\Local\Temp\OnboardLogs"\RTDC4018\2017-11-21</v>
      </c>
      <c r="AF155" s="74" t="str">
        <f t="shared" si="63"/>
        <v>"C:\Program Files (x86)\AstroGrep\AstroGrep.exe" /e /r /s /spath="%USERPROFILE%\AppData\Local\Temp\OnboardLogs" /stypes="app*4018*20171121*" /stext=" 07:.+((SYSTEM_STATE.+slice.+state.+changed )|(ment ac)|(multiple cpu faults)|(system.+state.+changed )|(\[timeout)|(PRM\|1\|D)|(kpr)|(kdp)|(train st.+moving)|(\|lc)|(penalty))"</v>
      </c>
      <c r="AG155" s="181" t="str">
        <f t="shared" si="64"/>
        <v>EC</v>
      </c>
      <c r="AH155" s="78" t="str">
        <f t="shared" si="65"/>
        <v>"%USERPROFILE%\Documents\GitHub\eaglep3\Utilities\RefineRTDCRunTimes.py" --tripid 239-20 --locoid 4018 --swversion DE.1.0.9.0 --startMP 204:522 --initTime 2017-11-20T23:22:38 --startdatetime 2017-11-20T23:30:28 --delay 72 --endMP 204:233225 --enddatetime 2017-11-21T00:07:42 --enforcementcount 0 &gt;&gt;%USERPROFILE%\Documents\GitHub\eaglep3-reporting\EC\2017-11-20-refined-times.txt</v>
      </c>
      <c r="AI155" s="96" t="str">
        <f t="shared" si="66"/>
        <v>echo {"issue":{"subject":"","project_id":79,"tracker_id":40,"status_id":1,"priority_id":2,"assigned_to_id":338,"start_date":"2017-11-21","description":"","custom_fields":[{"id":1,"name":"Subdivision","value":"EC"},{"id":4,"name":"Milepost","value":"23.3225"},{"id":17,"name":"Train ID","value":"239-20"},{"id":16,"name":"Locomotive ID","value":"4018"},{"id":130,"name":"Impact","value":""},{"id":150,"name":"Time of Event (Mountain Time)","value":"00:07:42"},{"id":151,"name":"Denver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1" t="str">
        <f t="shared" si="67"/>
        <v>start /low /b %USERPROFILE%\Documents\GitHub\eaglep3\Utilities\DownloadLogsFromS3.py --loco 4018 --day 2017-11-20</v>
      </c>
      <c r="AN155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07:07:42"},{"id":29,"name":"Sharepoint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7" t="str">
        <f t="shared" si="69"/>
        <v>https://d0f6bd738d7f1b3e5a7ca70fe4ff75f0.us-east-1.aws.found.io/app/kibana#/discover/Steve-Slow-Train-Analysis-(2080s-and-2083s)?_g=(refreshInterval:(display:Off,pause:!f,section:0,value:0),time:(from:'2017-11-20T22:22:38-0700',mode:absolute,to:'2017-11-21T01:07:42-0700'))&amp;_a=(columns:!('Message%20ID',Summary),filters:!(),index:'emp_*',interval:auto,query:(query_string:(analyze_wildcard:!t,query:'%22rtdc.l.rtdc.4018%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877</v>
      </c>
      <c r="B156" s="7">
        <v>4017</v>
      </c>
      <c r="C156" s="21" t="s">
        <v>192</v>
      </c>
      <c r="D156" s="21" t="s">
        <v>976</v>
      </c>
      <c r="E156" s="13">
        <v>43060.006724537037</v>
      </c>
      <c r="F156" s="13">
        <v>43060.019444444442</v>
      </c>
      <c r="G156" s="7">
        <v>61</v>
      </c>
      <c r="H156" s="21" t="s">
        <v>946</v>
      </c>
      <c r="I156" s="13">
        <v>43060.046249999999</v>
      </c>
      <c r="J156" s="7">
        <v>0</v>
      </c>
      <c r="K156" s="89" t="str">
        <f t="shared" si="53"/>
        <v>4017/4018</v>
      </c>
      <c r="L156" s="184" t="str">
        <f>VLOOKUP(A156,'Trips&amp;Operators'!$C$1:$G$99911,5,FALSE)</f>
        <v>STRICKLAND EVAN</v>
      </c>
      <c r="M156" s="6">
        <f t="shared" si="54"/>
        <v>2.6805555557075422E-2</v>
      </c>
      <c r="N156" s="7">
        <f t="shared" si="70"/>
        <v>38.600000002188608</v>
      </c>
      <c r="O156" s="7"/>
      <c r="P156" s="7"/>
      <c r="Q156" s="22"/>
      <c r="R156" s="173"/>
      <c r="S156" s="220">
        <f t="shared" si="71"/>
        <v>1</v>
      </c>
      <c r="T156" s="173" t="str">
        <f t="shared" si="55"/>
        <v>Southbound</v>
      </c>
      <c r="U156" s="19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5" t="str">
        <f t="shared" si="56"/>
        <v>https://d0f6bd738d7f1b3e5a7ca70fe4ff75f0.us-east-1.aws.found.io/app/kibana#/discover/Steve-Slow-Train-Analysis-(2080s-and-2083s)?_g=(refreshInterval:(display:Off,pause:!f,section:0,value:0),time:(from:'2017-11-20T23:09:41-0700',mode:absolute,to:'2017-11-21T02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6" s="203" t="str">
        <f>IF(AA156&lt;VLOOKUP(AG156,Variables!$AC$3:$AD$8,2,FALSE),"Y","N")</f>
        <v>N</v>
      </c>
      <c r="X156" s="203">
        <f t="shared" si="72"/>
        <v>1</v>
      </c>
      <c r="Y156" s="203">
        <f t="shared" si="58"/>
        <v>23.2898</v>
      </c>
      <c r="Z156" s="203">
        <f t="shared" si="59"/>
        <v>2.29E-2</v>
      </c>
      <c r="AA156" s="203">
        <f t="shared" si="60"/>
        <v>23.2669</v>
      </c>
      <c r="AB156" s="54" t="e">
        <f>VLOOKUP(A156,Enforcements!$C$7:$K$9,8,0)</f>
        <v>#N/A</v>
      </c>
      <c r="AC156" s="51" t="e">
        <f>VLOOKUP(A156,Enforcements!$C$7:$E$9,3,0)</f>
        <v>#N/A</v>
      </c>
      <c r="AD156" s="178">
        <f t="shared" si="61"/>
        <v>240</v>
      </c>
      <c r="AE156" s="77" t="str">
        <f t="shared" si="62"/>
        <v>aws s3 cp s3://rtdc.mdm.uploadarchive.raw/RTDC4017/ "%USERPROFILE%\AppData\Local\Temp\OnboardLogs"\RTDC4017\2017-11-21 --exclude "*" --recursive --include "*20171121*" &amp; "%USERPROFILE%\Documents\GitHub\mrs-test-scripts\Headless Mode &amp; Sideloading\WalkAndUnGZ.bat" "%USERPROFILE%\AppData\Local\Temp\OnboardLogs"\RTDC4017\2017-11-21 &amp; aws s3 cp s3://rtdc.mdm.uploadarchive.raw/RTDC4017/ "%USERPROFILE%\AppData\Local\Temp\OnboardLogs"\RTDC4017\2017-11-22 --exclude "*" --recursive --include "*20171122*" &amp; "%USERPROFILE%\Documents\GitHub\mrs-test-scripts\Headless Mode &amp; Sideloading\WalkAndUnGZ.bat" "%USERPROFILE%\AppData\Local\Temp\OnboardLogs"\RTDC4017\2017-11-22</v>
      </c>
      <c r="AF156" s="74" t="str">
        <f t="shared" si="63"/>
        <v>"C:\Program Files (x86)\AstroGrep\AstroGrep.exe" /e /r /s /spath="%USERPROFILE%\AppData\Local\Temp\OnboardLogs" /stypes="app*4017*20171121*" /stext=" 08:.+((SYSTEM_STATE.+slice.+state.+changed )|(ment ac)|(multiple cpu faults)|(system.+state.+changed )|(\[timeout)|(PRM\|1\|D)|(kpr)|(kdp)|(train st.+moving)|(\|lc)|(penalty))"</v>
      </c>
      <c r="AG156" s="181" t="str">
        <f t="shared" si="64"/>
        <v>EC</v>
      </c>
      <c r="AH156" s="78" t="str">
        <f t="shared" si="65"/>
        <v>"%USERPROFILE%\Documents\GitHub\eaglep3\Utilities\RefineRTDCRunTimes.py" --tripid 240-20 --locoid 4017 --swversion DE.1.0.9.0 --startMP 204:232898 --initTime 2017-11-21T00:09:41 --startdatetime 2017-11-21T00:28:00 --delay 61 --endMP 204:229 --enddatetime 2017-11-21T01:06:36 --enforcementcount 0 &gt;&gt;%USERPROFILE%\Documents\GitHub\eaglep3-reporting\EC\2017-11-20-refined-times.txt</v>
      </c>
      <c r="AI156" s="96" t="str">
        <f t="shared" si="66"/>
        <v>echo {"issue":{"subject":"","project_id":79,"tracker_id":40,"status_id":1,"priority_id":2,"assigned_to_id":338,"start_date":"2017-11-21","description":"","custom_fields":[{"id":1,"name":"Subdivision","value":"EC"},{"id":4,"name":"Milepost","value":"0.0229"},{"id":17,"name":"Train ID","value":"240-20"},{"id":16,"name":"Locomotive ID","value":"4017"},{"id":130,"name":"Impact","value":""},{"id":150,"name":"Time of Event (Mountain Time)","value":"01:06:36"},{"id":151,"name":"Denver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1" t="str">
        <f t="shared" si="67"/>
        <v>start /low /b %USERPROFILE%\Documents\GitHub\eaglep3\Utilities\DownloadLogsFromS3.py --loco 4017 --day 2017-11-21</v>
      </c>
      <c r="AN156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08:06:36"},{"id":29,"name":"Sharepoint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7" t="str">
        <f t="shared" si="69"/>
        <v>https://d0f6bd738d7f1b3e5a7ca70fe4ff75f0.us-east-1.aws.found.io/app/kibana#/discover/Steve-Slow-Train-Analysis-(2080s-and-2083s)?_g=(refreshInterval:(display:Off,pause:!f,section:0,value:0),time:(from:'2017-11-20T23:09:41-0700',mode:absolute,to:'2017-11-21T02:06:36-0700'))&amp;_a=(columns:!('Message%20ID',Summary),filters:!(),index:'emp_*',interval:auto,query:(query_string:(analyze_wildcard:!t,query:'%22rtdc.l.rtdc.4017%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876</v>
      </c>
      <c r="B157" s="7">
        <v>4064</v>
      </c>
      <c r="C157" s="21" t="s">
        <v>192</v>
      </c>
      <c r="D157" s="21" t="s">
        <v>639</v>
      </c>
      <c r="E157" s="13">
        <v>43059.991932870369</v>
      </c>
      <c r="F157" s="13">
        <v>43060.000254629631</v>
      </c>
      <c r="G157" s="7">
        <v>48</v>
      </c>
      <c r="H157" s="21" t="s">
        <v>483</v>
      </c>
      <c r="I157" s="13">
        <v>43060.02516203704</v>
      </c>
      <c r="J157" s="7">
        <v>0</v>
      </c>
      <c r="K157" s="89" t="str">
        <f t="shared" si="53"/>
        <v>4063/4064</v>
      </c>
      <c r="L157" s="184" t="str">
        <f>VLOOKUP(A157,'Trips&amp;Operators'!$C$1:$G$99911,5,FALSE)</f>
        <v>RESPASS AARON</v>
      </c>
      <c r="M157" s="6">
        <f t="shared" si="54"/>
        <v>2.4907407409045845E-2</v>
      </c>
      <c r="N157" s="7">
        <f t="shared" si="70"/>
        <v>35.866666669026017</v>
      </c>
      <c r="O157" s="7"/>
      <c r="P157" s="7"/>
      <c r="Q157" s="22"/>
      <c r="R157" s="173" t="s">
        <v>1116</v>
      </c>
      <c r="S157" s="220">
        <f t="shared" si="71"/>
        <v>1</v>
      </c>
      <c r="T157" s="173" t="str">
        <f t="shared" si="55"/>
        <v>NorthBound</v>
      </c>
      <c r="U157" s="19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5" t="str">
        <f t="shared" si="56"/>
        <v>https://d0f6bd738d7f1b3e5a7ca70fe4ff75f0.us-east-1.aws.found.io/app/kibana#/discover/Steve-Slow-Train-Analysis-(2080s-and-2083s)?_g=(refreshInterval:(display:Off,pause:!f,section:0,value:0),time:(from:'2017-11-20T22:48:23-0700',mode:absolute,to:'2017-11-21T01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7" s="203" t="str">
        <f>IF(AA157&lt;VLOOKUP(AG157,Variables!$AC$3:$AD$8,2,FALSE),"Y","N")</f>
        <v>N</v>
      </c>
      <c r="X157" s="203">
        <f t="shared" si="72"/>
        <v>1</v>
      </c>
      <c r="Y157" s="203">
        <f t="shared" si="58"/>
        <v>5.62E-2</v>
      </c>
      <c r="Z157" s="203">
        <f t="shared" si="59"/>
        <v>23.325099999999999</v>
      </c>
      <c r="AA157" s="203">
        <f t="shared" si="60"/>
        <v>23.268899999999999</v>
      </c>
      <c r="AB157" s="54" t="e">
        <f>VLOOKUP(A157,Enforcements!$C$7:$K$9,8,0)</f>
        <v>#N/A</v>
      </c>
      <c r="AC157" s="51" t="e">
        <f>VLOOKUP(A157,Enforcements!$C$7:$E$9,3,0)</f>
        <v>#N/A</v>
      </c>
      <c r="AD157" s="178">
        <f t="shared" si="61"/>
        <v>241</v>
      </c>
      <c r="AE157" s="77" t="str">
        <f t="shared" si="62"/>
        <v>aws s3 cp s3://rtdc.mdm.uploadarchive.raw/RTDC4064/ "%USERPROFILE%\AppData\Local\Temp\OnboardLogs"\RTDC4064\2017-11-21 --exclude "*" --recursive --include "*20171121*" &amp; "%USERPROFILE%\Documents\GitHub\mrs-test-scripts\Headless Mode &amp; Sideloading\WalkAndUnGZ.bat" "%USERPROFILE%\AppData\Local\Temp\OnboardLogs"\RTDC4064\2017-11-21 &amp; aws s3 cp s3://rtdc.mdm.uploadarchive.raw/RTDC4064/ "%USERPROFILE%\AppData\Local\Temp\OnboardLogs"\RTDC4064\2017-11-22 --exclude "*" --recursive --include "*20171122*" &amp; "%USERPROFILE%\Documents\GitHub\mrs-test-scripts\Headless Mode &amp; Sideloading\WalkAndUnGZ.bat" "%USERPROFILE%\AppData\Local\Temp\OnboardLogs"\RTDC4064\2017-11-22</v>
      </c>
      <c r="AF157" s="74" t="str">
        <f t="shared" si="63"/>
        <v>"C:\Program Files (x86)\AstroGrep\AstroGrep.exe" /e /r /s /spath="%USERPROFILE%\AppData\Local\Temp\OnboardLogs" /stypes="app*4064*20171121*" /stext=" 07:.+((SYSTEM_STATE.+slice.+state.+changed )|(ment ac)|(multiple cpu faults)|(system.+state.+changed )|(\[timeout)|(PRM\|1\|D)|(kpr)|(kdp)|(train st.+moving)|(\|lc)|(penalty))"</v>
      </c>
      <c r="AG157" s="181" t="str">
        <f t="shared" si="64"/>
        <v>EC</v>
      </c>
      <c r="AH157" s="78" t="str">
        <f t="shared" si="65"/>
        <v>"%USERPROFILE%\Documents\GitHub\eaglep3\Utilities\RefineRTDCRunTimes.py" --tripid 241-20 --locoid 4064 --swversion DE.1.0.9.0 --startMP 204:562 --initTime 2017-11-20T23:48:23 --startdatetime 2017-11-21T00:00:22 --delay 48 --endMP 204:233251 --enddatetime 2017-11-21T00:36:14 --enforcementcount 0 &gt;&gt;%USERPROFILE%\Documents\GitHub\eaglep3-reporting\EC\2017-11-20-refined-times.txt</v>
      </c>
      <c r="AI157" s="96" t="str">
        <f t="shared" si="66"/>
        <v>echo {"issue":{"subject":"Brief Wi-MAX data drop caused unhealthy crossing banner","project_id":79,"tracker_id":40,"status_id":1,"priority_id":2,"assigned_to_id":338,"start_date":"2017-11-21","description":"","custom_fields":[{"id":1,"name":"Subdivision","value":"EC"},{"id":4,"name":"Milepost","value":"23.3251"},{"id":17,"name":"Train ID","value":"241-20"},{"id":16,"name":"Locomotive ID","value":"4064"},{"id":130,"name":"Impact","value":""},{"id":150,"name":"Time of Event (Mountain Time)","value":"00:36:14"},{"id":151,"name":"Denver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1" t="str">
        <f t="shared" si="67"/>
        <v>start /low /b %USERPROFILE%\Documents\GitHub\eaglep3\Utilities\DownloadLogsFromS3.py --loco 4064 --day 2017-11-21</v>
      </c>
      <c r="AN157" s="150" t="str">
        <f t="shared" si="68"/>
        <v>echo {"issue":{"subject":"Brief Wi-MAX data drop caused unhealthy crossing banner","project_id":30,"tracker_id":4,"status_id":1,"priority_id":1,"assigned_to_id":10,"start_date":"2017-11-21","description":"","custom_fields":[{"id":30,"name":"Category","value":"Issue"},{"id":3,"name":"Functional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07:36:14"},{"id":29,"name":"Sharepoint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7" t="str">
        <f t="shared" si="69"/>
        <v>https://d0f6bd738d7f1b3e5a7ca70fe4ff75f0.us-east-1.aws.found.io/app/kibana#/discover/Steve-Slow-Train-Analysis-(2080s-and-2083s)?_g=(refreshInterval:(display:Off,pause:!f,section:0,value:0),time:(from:'2017-11-20T22:48:23-0700',mode:absolute,to:'2017-11-21T01:36:14-0700'))&amp;_a=(columns:!('Message%20ID',Summary),filters:!(),index:'emp_*',interval:auto,query:(query_string:(analyze_wildcard:!t,query:'%22rtdc.l.rtdc.4064%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880</v>
      </c>
      <c r="B158" s="7">
        <v>4063</v>
      </c>
      <c r="C158" s="21" t="s">
        <v>192</v>
      </c>
      <c r="D158" s="21" t="s">
        <v>611</v>
      </c>
      <c r="E158" s="13">
        <v>43060.036608796298</v>
      </c>
      <c r="F158" s="13">
        <v>43060.039756944447</v>
      </c>
      <c r="G158" s="7">
        <v>78</v>
      </c>
      <c r="H158" s="21" t="s">
        <v>947</v>
      </c>
      <c r="I158" s="13">
        <v>43060.065763888888</v>
      </c>
      <c r="J158" s="7">
        <v>0</v>
      </c>
      <c r="K158" s="89" t="str">
        <f t="shared" si="53"/>
        <v>4063/4064</v>
      </c>
      <c r="L158" s="184" t="str">
        <f>VLOOKUP(A158,'Trips&amp;Operators'!$C$1:$G$99911,5,FALSE)</f>
        <v>RESPASS AARON</v>
      </c>
      <c r="M158" s="6">
        <f t="shared" si="54"/>
        <v>2.6006944441178348E-2</v>
      </c>
      <c r="N158" s="7">
        <f t="shared" si="70"/>
        <v>37.449999995296821</v>
      </c>
      <c r="O158" s="7"/>
      <c r="P158" s="7"/>
      <c r="Q158" s="22"/>
      <c r="R158" s="173"/>
      <c r="S158" s="220">
        <f t="shared" si="71"/>
        <v>1</v>
      </c>
      <c r="T158" s="173" t="str">
        <f t="shared" si="55"/>
        <v>Southbound</v>
      </c>
      <c r="U158" s="19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5" t="str">
        <f t="shared" si="56"/>
        <v>https://d0f6bd738d7f1b3e5a7ca70fe4ff75f0.us-east-1.aws.found.io/app/kibana#/discover/Steve-Slow-Train-Analysis-(2080s-and-2083s)?_g=(refreshInterval:(display:Off,pause:!f,section:0,value:0),time:(from:'2017-11-20T23:52:43-0700',mode:absolute,to:'2017-11-21T02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8" s="203" t="str">
        <f>IF(AA158&lt;VLOOKUP(AG158,Variables!$AC$3:$AD$8,2,FALSE),"Y","N")</f>
        <v>N</v>
      </c>
      <c r="X158" s="203">
        <f t="shared" si="72"/>
        <v>1</v>
      </c>
      <c r="Y158" s="203">
        <f t="shared" si="58"/>
        <v>23.292999999999999</v>
      </c>
      <c r="Z158" s="203">
        <f t="shared" si="59"/>
        <v>2.8500000000000001E-2</v>
      </c>
      <c r="AA158" s="203">
        <f t="shared" si="60"/>
        <v>23.264499999999998</v>
      </c>
      <c r="AB158" s="54" t="e">
        <f>VLOOKUP(A158,Enforcements!$C$7:$K$9,8,0)</f>
        <v>#N/A</v>
      </c>
      <c r="AC158" s="51" t="e">
        <f>VLOOKUP(A158,Enforcements!$C$7:$E$9,3,0)</f>
        <v>#N/A</v>
      </c>
      <c r="AD158" s="178">
        <f t="shared" si="61"/>
        <v>242</v>
      </c>
      <c r="AE158" s="77" t="str">
        <f t="shared" si="62"/>
        <v>aws s3 cp s3://rtdc.mdm.uploadarchive.raw/RTDC4063/ "%USERPROFILE%\AppData\Local\Temp\OnboardLogs"\RTDC4063\2017-11-21 --exclude "*" --recursive --include "*20171121*" &amp; "%USERPROFILE%\Documents\GitHub\mrs-test-scripts\Headless Mode &amp; Sideloading\WalkAndUnGZ.bat" "%USERPROFILE%\AppData\Local\Temp\OnboardLogs"\RTDC4063\2017-11-21 &amp; aws s3 cp s3://rtdc.mdm.uploadarchive.raw/RTDC4063/ "%USERPROFILE%\AppData\Local\Temp\OnboardLogs"\RTDC4063\2017-11-22 --exclude "*" --recursive --include "*20171122*" &amp; "%USERPROFILE%\Documents\GitHub\mrs-test-scripts\Headless Mode &amp; Sideloading\WalkAndUnGZ.bat" "%USERPROFILE%\AppData\Local\Temp\OnboardLogs"\RTDC4063\2017-11-22</v>
      </c>
      <c r="AF158" s="74" t="str">
        <f t="shared" si="63"/>
        <v>"C:\Program Files (x86)\AstroGrep\AstroGrep.exe" /e /r /s /spath="%USERPROFILE%\AppData\Local\Temp\OnboardLogs" /stypes="app*4063*20171121*" /stext=" 08:.+((SYSTEM_STATE.+slice.+state.+changed )|(ment ac)|(multiple cpu faults)|(system.+state.+changed )|(\[timeout)|(PRM\|1\|D)|(kpr)|(kdp)|(train st.+moving)|(\|lc)|(penalty))"</v>
      </c>
      <c r="AG158" s="181" t="str">
        <f t="shared" si="64"/>
        <v>EC</v>
      </c>
      <c r="AH158" s="78" t="str">
        <f t="shared" si="65"/>
        <v>"%USERPROFILE%\Documents\GitHub\eaglep3\Utilities\RefineRTDCRunTimes.py" --tripid 242-20 --locoid 4063 --swversion DE.1.0.9.0 --startMP 204:232930 --initTime 2017-11-21T00:52:43 --startdatetime 2017-11-21T00:57:15 --delay 78 --endMP 204:285 --enddatetime 2017-11-21T01:34:42 --enforcementcount 0 &gt;&gt;%USERPROFILE%\Documents\GitHub\eaglep3-reporting\EC\2017-11-20-refined-times.txt</v>
      </c>
      <c r="AI158" s="96" t="str">
        <f t="shared" si="66"/>
        <v>echo {"issue":{"subject":"","project_id":79,"tracker_id":40,"status_id":1,"priority_id":2,"assigned_to_id":338,"start_date":"2017-11-21","description":"","custom_fields":[{"id":1,"name":"Subdivision","value":"EC"},{"id":4,"name":"Milepost","value":"0.0285"},{"id":17,"name":"Train ID","value":"242-20"},{"id":16,"name":"Locomotive ID","value":"4063"},{"id":130,"name":"Impact","value":""},{"id":150,"name":"Time of Event (Mountain Time)","value":"01:34:42"},{"id":151,"name":"Denver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1" t="str">
        <f t="shared" si="67"/>
        <v>start /low /b %USERPROFILE%\Documents\GitHub\eaglep3\Utilities\DownloadLogsFromS3.py --loco 4063 --day 2017-11-21</v>
      </c>
      <c r="AN158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08:34:42"},{"id":29,"name":"Sharepoint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7" t="str">
        <f t="shared" si="69"/>
        <v>https://d0f6bd738d7f1b3e5a7ca70fe4ff75f0.us-east-1.aws.found.io/app/kibana#/discover/Steve-Slow-Train-Analysis-(2080s-and-2083s)?_g=(refreshInterval:(display:Off,pause:!f,section:0,value:0),time:(from:'2017-11-20T23:52:43-0700',mode:absolute,to:'2017-11-21T02:34:42-0700'))&amp;_a=(columns:!('Message%20ID',Summary),filters:!(),index:'emp_*',interval:auto,query:(query_string:(analyze_wildcard:!t,query:'%22rtdc.l.rtdc.4063%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878</v>
      </c>
      <c r="B159" s="7">
        <v>4028</v>
      </c>
      <c r="C159" s="21" t="s">
        <v>192</v>
      </c>
      <c r="D159" s="21" t="s">
        <v>611</v>
      </c>
      <c r="E159" s="13">
        <v>43060.036608796298</v>
      </c>
      <c r="F159" s="13">
        <v>43060.021064814813</v>
      </c>
      <c r="G159" s="7">
        <v>78</v>
      </c>
      <c r="H159" s="21" t="s">
        <v>947</v>
      </c>
      <c r="I159" s="13">
        <v>43060.047129629631</v>
      </c>
      <c r="J159" s="7">
        <v>0</v>
      </c>
      <c r="K159" s="89" t="str">
        <f t="shared" si="53"/>
        <v>4027/4028</v>
      </c>
      <c r="L159" s="184" t="str">
        <f>VLOOKUP(A159,'Trips&amp;Operators'!$C$1:$G$99911,5,FALSE)</f>
        <v>HAMMOND JUSTYNN</v>
      </c>
      <c r="M159" s="6">
        <f t="shared" si="54"/>
        <v>2.6064814817800652E-2</v>
      </c>
      <c r="N159" s="7">
        <f t="shared" si="70"/>
        <v>37.533333337632939</v>
      </c>
      <c r="O159" s="7"/>
      <c r="P159" s="7"/>
      <c r="Q159" s="22"/>
      <c r="R159" s="173"/>
      <c r="S159" s="220">
        <f t="shared" si="71"/>
        <v>1</v>
      </c>
      <c r="T159" s="173" t="str">
        <f t="shared" si="55"/>
        <v>NorthBound</v>
      </c>
      <c r="U159" s="19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5" t="str">
        <f t="shared" si="56"/>
        <v>https://d0f6bd738d7f1b3e5a7ca70fe4ff75f0.us-east-1.aws.found.io/app/kibana#/discover/Steve-Slow-Train-Analysis-(2080s-and-2083s)?_g=(refreshInterval:(display:Off,pause:!f,section:0,value:0),time:(from:'2017-11-20T23:52:43-0700',mode:absolute,to:'2017-11-21T02:07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9" s="203" t="str">
        <f>IF(AA159&lt;VLOOKUP(AG159,Variables!$AC$3:$AD$8,2,FALSE),"Y","N")</f>
        <v>N</v>
      </c>
      <c r="X159" s="203">
        <f t="shared" ref="X159" si="73">VALUE(LEFT(AD159,4))-VALUE(LEFT(AD158,4))</f>
        <v>1</v>
      </c>
      <c r="Y159" s="203">
        <v>5.62E-2</v>
      </c>
      <c r="Z159" s="203">
        <v>23.325099999999999</v>
      </c>
      <c r="AA159" s="203">
        <f t="shared" si="60"/>
        <v>23.268899999999999</v>
      </c>
      <c r="AB159" s="54" t="e">
        <f>VLOOKUP(A159,Enforcements!$C$7:$K$9,8,0)</f>
        <v>#N/A</v>
      </c>
      <c r="AC159" s="51" t="e">
        <f>VLOOKUP(A159,Enforcements!$C$7:$E$9,3,0)</f>
        <v>#N/A</v>
      </c>
      <c r="AD159" s="178">
        <f t="shared" si="61"/>
        <v>243</v>
      </c>
      <c r="AE159" s="77" t="str">
        <f t="shared" si="62"/>
        <v>aws s3 cp s3://rtdc.mdm.uploadarchive.raw/RTDC4028/ "%USERPROFILE%\AppData\Local\Temp\OnboardLogs"\RTDC4028\2017-11-21 --exclude "*" --recursive --include "*20171121*" &amp; "%USERPROFILE%\Documents\GitHub\mrs-test-scripts\Headless Mode &amp; Sideloading\WalkAndUnGZ.bat" "%USERPROFILE%\AppData\Local\Temp\OnboardLogs"\RTDC4028\2017-11-21 &amp; aws s3 cp s3://rtdc.mdm.uploadarchive.raw/RTDC4028/ "%USERPROFILE%\AppData\Local\Temp\OnboardLogs"\RTDC4028\2017-11-22 --exclude "*" --recursive --include "*20171122*" &amp; "%USERPROFILE%\Documents\GitHub\mrs-test-scripts\Headless Mode &amp; Sideloading\WalkAndUnGZ.bat" "%USERPROFILE%\AppData\Local\Temp\OnboardLogs"\RTDC4028\2017-11-22</v>
      </c>
      <c r="AF159" s="74" t="str">
        <f t="shared" si="63"/>
        <v>"C:\Program Files (x86)\AstroGrep\AstroGrep.exe" /e /r /s /spath="%USERPROFILE%\AppData\Local\Temp\OnboardLogs" /stypes="app*4028*20171121*" /stext=" 08:.+((SYSTEM_STATE.+slice.+state.+changed )|(ment ac)|(multiple cpu faults)|(system.+state.+changed )|(\[timeout)|(PRM\|1\|D)|(kpr)|(kdp)|(train st.+moving)|(\|lc)|(penalty))"</v>
      </c>
      <c r="AG159" s="181" t="str">
        <f t="shared" si="64"/>
        <v>EC</v>
      </c>
      <c r="AH159" s="78" t="str">
        <f t="shared" ref="AH159" si="74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243-20 --locoid 4028 --swversion DE.1.0.9.0 --startMP 204:232930 --initTime 2017-11-21T00:52:43 --startdatetime 2017-11-21T00:30:20 --delay 78 --endMP 204:285 --enddatetime 2017-11-21T01:07:52 --enforcementcount 0 &gt;&gt;%USERPROFILE%\Documents\GitHub\eaglep3-reporting\EC\2017-11-20-refined-times.txt</v>
      </c>
      <c r="AI159" s="96" t="str">
        <f t="shared" ref="AI159" si="75"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{"issue":{"subject":"","project_id":79,"tracker_id":40,"status_id":1,"priority_id":2,"assigned_to_id":338,"start_date":"2017-11-21","description":"","custom_fields":[{"id":1,"name":"Subdivision","value":"EC"},{"id":4,"name":"Milepost","value":"23.3251"},{"id":17,"name":"Train ID","value":"243-20"},{"id":16,"name":"Locomotive ID","value":"4028"},{"id":130,"name":"Impact","value":""},{"id":150,"name":"Time of Event (Mountain Time)","value":"01:07:52"},{"id":151,"name":"Denver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1" t="str">
        <f t="shared" ref="AM159" si="76">"start /low /b "&amp;dls3logs&amp;" --loco "&amp;B159&amp;" --day "&amp;TEXT(F159,"YYYY-MM-DD")</f>
        <v>start /low /b %USERPROFILE%\Documents\GitHub\eaglep3\Utilities\DownloadLogsFromS3.py --loco 4028 --day 2017-11-21</v>
      </c>
      <c r="AN159" s="150" t="str">
        <f t="shared" ref="AN159" si="77"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08:07:52"},{"id":29,"name":"Sharepoint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7" t="str">
        <f t="shared" ref="AO159" si="78"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Message%20ID',Summary),filters:!(),index:'emp_*',interval:auto,query:"&amp;"(query_string:(analyze_wildcard:!t,query:'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-11-20T23:52:43-0700',mode:absolute,to:'2017-11-21T02:07:52-0700'))&amp;_a=(columns:!('Message%20ID',Summary),filters:!(),index:'emp_*',interval:auto,query:(query_string:(analyze_wildcard:!t,query:'%22rtdc.l.rtdc.4028%22')),sort:!(Time.ISO8601,asc))</v>
      </c>
    </row>
    <row r="160" spans="1:91" s="20" customFormat="1" x14ac:dyDescent="0.25">
      <c r="A160" s="32" t="s">
        <v>882</v>
      </c>
      <c r="B160" s="7">
        <v>4027</v>
      </c>
      <c r="C160" s="21" t="s">
        <v>192</v>
      </c>
      <c r="D160" s="21" t="s">
        <v>611</v>
      </c>
      <c r="E160" s="13">
        <v>43060.036608796298</v>
      </c>
      <c r="F160" s="13">
        <v>43060.060601851852</v>
      </c>
      <c r="G160" s="7">
        <v>78</v>
      </c>
      <c r="H160" s="21" t="s">
        <v>947</v>
      </c>
      <c r="I160" s="13">
        <v>43060.088460648149</v>
      </c>
      <c r="J160" s="7">
        <v>0</v>
      </c>
      <c r="K160" s="89" t="str">
        <f t="shared" si="53"/>
        <v>4027/4028</v>
      </c>
      <c r="L160" s="184" t="str">
        <f>VLOOKUP(A160,'Trips&amp;Operators'!$C$1:$G$99911,5,FALSE)</f>
        <v>HAMMOND JUSTYNN</v>
      </c>
      <c r="M160" s="6">
        <f t="shared" si="54"/>
        <v>2.7858796296641231E-2</v>
      </c>
      <c r="N160" s="7">
        <f t="shared" si="70"/>
        <v>40.116666667163372</v>
      </c>
      <c r="O160" s="7"/>
      <c r="P160" s="7"/>
      <c r="Q160" s="22"/>
      <c r="R160" s="173"/>
      <c r="S160" s="220">
        <f t="shared" si="71"/>
        <v>1</v>
      </c>
      <c r="T160" s="173" t="str">
        <f t="shared" si="55"/>
        <v>Southbound</v>
      </c>
      <c r="U160" s="19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15" t="str">
        <f t="shared" si="56"/>
        <v>https://d0f6bd738d7f1b3e5a7ca70fe4ff75f0.us-east-1.aws.found.io/app/kibana#/discover/Steve-Slow-Train-Analysis-(2080s-and-2083s)?_g=(refreshInterval:(display:Off,pause:!f,section:0,value:0),time:(from:'2017-11-20T23:52:43-0700',mode:absolute,to:'2017-11-21T03:07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0" s="203" t="str">
        <f>IF(AA160&lt;VLOOKUP(AG160,Variables!$AC$3:$AD$8,2,FALSE),"Y","N")</f>
        <v>N</v>
      </c>
      <c r="X160" s="203">
        <f t="shared" ref="X160:X161" si="79">VALUE(LEFT(AD160,4))-VALUE(LEFT(AD159,4))</f>
        <v>1</v>
      </c>
      <c r="Y160" s="203">
        <v>23.292999999999999</v>
      </c>
      <c r="Z160" s="203">
        <v>2.8500000000000001E-2</v>
      </c>
      <c r="AA160" s="203">
        <f t="shared" si="60"/>
        <v>23.264499999999998</v>
      </c>
      <c r="AB160" s="54" t="e">
        <f>VLOOKUP(A160,Enforcements!$C$7:$K$9,8,0)</f>
        <v>#N/A</v>
      </c>
      <c r="AC160" s="51" t="e">
        <f>VLOOKUP(A160,Enforcements!$C$7:$E$9,3,0)</f>
        <v>#N/A</v>
      </c>
      <c r="AD160" s="178">
        <f t="shared" si="61"/>
        <v>244</v>
      </c>
      <c r="AE160" s="77" t="str">
        <f t="shared" si="62"/>
        <v>aws s3 cp s3://rtdc.mdm.uploadarchive.raw/RTDC4027/ "%USERPROFILE%\AppData\Local\Temp\OnboardLogs"\RTDC4027\2017-11-21 --exclude "*" --recursive --include "*20171121*" &amp; "%USERPROFILE%\Documents\GitHub\mrs-test-scripts\Headless Mode &amp; Sideloading\WalkAndUnGZ.bat" "%USERPROFILE%\AppData\Local\Temp\OnboardLogs"\RTDC4027\2017-11-21 &amp; aws s3 cp s3://rtdc.mdm.uploadarchive.raw/RTDC4027/ "%USERPROFILE%\AppData\Local\Temp\OnboardLogs"\RTDC4027\2017-11-22 --exclude "*" --recursive --include "*20171122*" &amp; "%USERPROFILE%\Documents\GitHub\mrs-test-scripts\Headless Mode &amp; Sideloading\WalkAndUnGZ.bat" "%USERPROFILE%\AppData\Local\Temp\OnboardLogs"\RTDC4027\2017-11-22</v>
      </c>
      <c r="AF160" s="74" t="str">
        <f t="shared" si="63"/>
        <v>"C:\Program Files (x86)\AstroGrep\AstroGrep.exe" /e /r /s /spath="%USERPROFILE%\AppData\Local\Temp\OnboardLogs" /stypes="app*4027*20171121*" /stext=" 09:.+((SYSTEM_STATE.+slice.+state.+changed )|(ment ac)|(multiple cpu faults)|(system.+state.+changed )|(\[timeout)|(PRM\|1\|D)|(kpr)|(kdp)|(train st.+moving)|(\|lc)|(penalty))"</v>
      </c>
      <c r="AG160" s="181" t="str">
        <f t="shared" si="64"/>
        <v>EC</v>
      </c>
      <c r="AH160" s="78" t="str">
        <f t="shared" ref="AH160" si="80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244-20 --locoid 4027 --swversion DE.1.0.9.0 --startMP 204:232930 --initTime 2017-11-21T00:52:43 --startdatetime 2017-11-21T01:27:16 --delay 78 --endMP 204:285 --enddatetime 2017-11-21T02:07:23 --enforcementcount 0 &gt;&gt;%USERPROFILE%\Documents\GitHub\eaglep3-reporting\EC\2017-11-20-refined-times.txt</v>
      </c>
      <c r="AI160" s="96" t="str">
        <f t="shared" ref="AI160" si="81"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{"issue":{"subject":"","project_id":79,"tracker_id":40,"status_id":1,"priority_id":2,"assigned_to_id":338,"start_date":"2017-11-21","description":"","custom_fields":[{"id":1,"name":"Subdivision","value":"EC"},{"id":4,"name":"Milepost","value":"0.0285"},{"id":17,"name":"Train ID","value":"244-20"},{"id":16,"name":"Locomotive ID","value":"4027"},{"id":130,"name":"Impact","value":""},{"id":150,"name":"Time of Event (Mountain Time)","value":"02:07:23"},{"id":151,"name":"Denver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1" t="str">
        <f t="shared" ref="AM160" si="82">"start /low /b "&amp;dls3logs&amp;" --loco "&amp;B160&amp;" --day "&amp;TEXT(F160,"YYYY-MM-DD")</f>
        <v>start /low /b %USERPROFILE%\Documents\GitHub\eaglep3\Utilities\DownloadLogsFromS3.py --loco 4027 --day 2017-11-21</v>
      </c>
      <c r="AN160" s="150" t="str">
        <f t="shared" ref="AN160" si="83">"echo {""issue"":{""subject"":"""&amp;R160&amp;""",""project_id"":30,""tracker_id"":4,""status_id"":"&amp;redmine_status_wcr&amp;",""priority_id"":"&amp;redmine_priority_wcr&amp;",""assigned_to_id"":"&amp;redmine_assignee_wcr&amp;",""start_date"":"""&amp;TEXT(I160-utc_offset/24,"YYYY-mm-dd")&amp;""",""description"":"""&amp;AJ160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09:07:23"},{"id":29,"name":"Sharepoint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7" t="str">
        <f t="shared" ref="AO160" si="84"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Message%20ID',Summary),filters:!(),index:'emp_*',interval:auto,query:"&amp;"(query_string:(analyze_wildcard:!t,query:'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-11-20T23:52:43-0700',mode:absolute,to:'2017-11-21T03:07:23-0700'))&amp;_a=(columns:!('Message%20ID',Summary),filters:!(),index:'emp_*',interval:auto,query:(query_string:(analyze_wildcard:!t,query:'%22rtdc.l.rtdc.4027%22')),sort:!(Time.ISO8601,asc))</v>
      </c>
    </row>
    <row r="161" spans="1:91" s="20" customFormat="1" x14ac:dyDescent="0.25">
      <c r="A161" s="32" t="s">
        <v>698</v>
      </c>
      <c r="B161" s="7">
        <v>4061</v>
      </c>
      <c r="C161" s="21" t="s">
        <v>192</v>
      </c>
      <c r="D161" s="21" t="s">
        <v>1015</v>
      </c>
      <c r="E161" s="13">
        <v>43059.21234953704</v>
      </c>
      <c r="F161" s="13">
        <v>43059.214618055557</v>
      </c>
      <c r="G161" s="7">
        <v>106</v>
      </c>
      <c r="H161" s="21" t="s">
        <v>1016</v>
      </c>
      <c r="I161" s="13">
        <v>43059.226226851853</v>
      </c>
      <c r="J161" s="7">
        <v>0</v>
      </c>
      <c r="K161" s="89" t="str">
        <f t="shared" si="53"/>
        <v>4061/4062</v>
      </c>
      <c r="L161" s="184" t="str">
        <f>VLOOKUP(A161,'Trips&amp;Operators'!$C$1:$G$99911,5,FALSE)</f>
        <v>MACDONALD THOMAS</v>
      </c>
      <c r="M161" s="6">
        <f t="shared" si="54"/>
        <v>1.1608796296059154E-2</v>
      </c>
      <c r="N161" s="7">
        <f t="shared" si="70"/>
        <v>16.716666666325182</v>
      </c>
      <c r="O161" s="7"/>
      <c r="P161" s="7"/>
      <c r="Q161" s="22"/>
      <c r="R161" s="173"/>
      <c r="S161" s="220">
        <f t="shared" si="71"/>
        <v>1</v>
      </c>
      <c r="T161" s="173" t="str">
        <f t="shared" si="55"/>
        <v>Southbound</v>
      </c>
      <c r="U161" s="19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5" t="str">
        <f t="shared" si="56"/>
        <v>https://d0f6bd738d7f1b3e5a7ca70fe4ff75f0.us-east-1.aws.found.io/app/kibana#/discover/Steve-Slow-Train-Analysis-(2080s-and-2083s)?_g=(refreshInterval:(display:Off,pause:!f,section:0,value:0),time:(from:'2017-11-20T04:05:47-0700',mode:absolute,to:'2017-11-20T06:25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1" s="203" t="str">
        <f>IF(AA161&lt;VLOOKUP(AG161,Variables!$AC$3:$AD$8,2,FALSE),"Y","N")</f>
        <v>N</v>
      </c>
      <c r="X161" s="203">
        <f t="shared" si="79"/>
        <v>556</v>
      </c>
      <c r="Y161" s="203">
        <f t="shared" ref="Y161:Y192" si="85">RIGHT(D161,LEN(D161)-4)/10000</f>
        <v>5.8601999999999999</v>
      </c>
      <c r="Z161" s="203">
        <f t="shared" ref="Z161:Z192" si="86">RIGHT(H161,LEN(H161)-4)/10000</f>
        <v>8.4099999999999994E-2</v>
      </c>
      <c r="AA161" s="203">
        <f t="shared" si="60"/>
        <v>5.7760999999999996</v>
      </c>
      <c r="AB161" s="54" t="e">
        <f>VLOOKUP(A161,Enforcements!$C$7:$K$9,8,0)</f>
        <v>#N/A</v>
      </c>
      <c r="AC161" s="51" t="e">
        <f>VLOOKUP(A161,Enforcements!$C$7:$E$9,3,0)</f>
        <v>#N/A</v>
      </c>
      <c r="AD161" s="178">
        <f t="shared" si="61"/>
        <v>800</v>
      </c>
      <c r="AE161" s="77" t="str">
        <f t="shared" si="62"/>
        <v>aws s3 cp s3://rtdc.mdm.uploadarchive.raw/RTDC4061/ "%USERPROFILE%\AppData\Local\Temp\OnboardLogs"\RTDC4061\2017-11-20 --exclude "*" --recursive --include "*20171120*" &amp; "%USERPROFILE%\Documents\GitHub\mrs-test-scripts\Headless Mode &amp; Sideloading\WalkAndUnGZ.bat" "%USERPROFILE%\AppData\Local\Temp\OnboardLogs"\RTDC4061\2017-11-20 &amp; aws s3 cp s3://rtdc.mdm.uploadarchive.raw/RTDC4061/ "%USERPROFILE%\AppData\Local\Temp\OnboardLogs"\RTDC4061\2017-11-21 --exclude "*" --recursive --include "*20171121*" &amp; "%USERPROFILE%\Documents\GitHub\mrs-test-scripts\Headless Mode &amp; Sideloading\WalkAndUnGZ.bat" "%USERPROFILE%\AppData\Local\Temp\OnboardLogs"\RTDC4061\2017-11-21</v>
      </c>
      <c r="AF161" s="74" t="str">
        <f t="shared" si="63"/>
        <v>"C:\Program Files (x86)\AstroGrep\AstroGrep.exe" /e /r /s /spath="%USERPROFILE%\AppData\Local\Temp\OnboardLogs" /stypes="app*4061*20171120*" /stext=" 12:.+((SYSTEM_STATE.+slice.+state.+changed )|(ment ac)|(multiple cpu faults)|(system.+state.+changed )|(\[timeout)|(PRM\|1\|D)|(kpr)|(kdp)|(train st.+moving)|(\|lc)|(penalty))"</v>
      </c>
      <c r="AG161" s="181" t="str">
        <f t="shared" si="64"/>
        <v>NW</v>
      </c>
      <c r="AH161" s="78" t="str">
        <f t="shared" si="65"/>
        <v>"%USERPROFILE%\Documents\GitHub\eaglep3\Utilities\RefineRTDCRunTimes.py" --tripid 800-20 --locoid 4061 --swversion DE.1.0.9.0 --startMP 300:58602 --initTime 2017-11-20T05:05:47 --startdatetime 2017-11-20T05:09:03 --delay 106 --endMP 204:841 --enddatetime 2017-11-20T05:25:46 --enforcementcount 0 &gt;&gt;%USERPROFILE%\Documents\GitHub\eaglep3-reporting\EC\2017-11-20-refined-times.txt</v>
      </c>
      <c r="AI161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{"issue":{"subject":"","project_id":79,"tracker_id":40,"status_id":1,"priority_id":2,"assigned_to_id":338,"start_date":"2017-11-20","description":"","custom_fields":[{"id":1,"name":"Subdivision","value":"NW"},{"id":4,"name":"Milepost","value":"0.0841"},{"id":17,"name":"Train ID","value":"800-20"},{"id":16,"name":"Locomotive ID","value":"4061"},{"id":130,"name":"Impact","value":""},{"id":150,"name":"Time of Event (Mountain Time)","value":"05:25:46"},{"id":151,"name":"Denver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1" t="str">
        <f t="shared" si="67"/>
        <v>start /low /b %USERPROFILE%\Documents\GitHub\eaglep3\Utilities\DownloadLogsFromS3.py --loco 4061 --day 2017-11-20</v>
      </c>
      <c r="AN161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12:25:46"},{"id":29,"name":"Sharepoint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7" t="str">
        <f t="shared" si="69"/>
        <v>https://d0f6bd738d7f1b3e5a7ca70fe4ff75f0.us-east-1.aws.found.io/app/kibana#/discover/Steve-Slow-Train-Analysis-(2080s-and-2083s)?_g=(refreshInterval:(display:Off,pause:!f,section:0,value:0),time:(from:'2017-11-20T04:05:47-0700',mode:absolute,to:'2017-11-20T06:25:46-0700'))&amp;_a=(columns:!('Message%20ID',Summary),filters:!(),index:'emp_*',interval:auto,query:(query_string:(analyze_wildcard:!t,query:'%22rtdc.l.rtdc.4061%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708</v>
      </c>
      <c r="B162" s="7">
        <v>4062</v>
      </c>
      <c r="C162" s="21" t="s">
        <v>192</v>
      </c>
      <c r="D162" s="21" t="s">
        <v>1017</v>
      </c>
      <c r="E162" s="13">
        <v>43059.234849537039</v>
      </c>
      <c r="F162" s="13">
        <v>43059.236041666663</v>
      </c>
      <c r="G162" s="7">
        <v>61</v>
      </c>
      <c r="H162" s="21" t="s">
        <v>1018</v>
      </c>
      <c r="I162" s="13">
        <v>43059.245439814818</v>
      </c>
      <c r="J162" s="7">
        <v>0</v>
      </c>
      <c r="K162" s="89" t="str">
        <f t="shared" si="53"/>
        <v>4061/4062</v>
      </c>
      <c r="L162" s="184" t="str">
        <f>VLOOKUP(A162,'Trips&amp;Operators'!$C$1:$G$99911,5,FALSE)</f>
        <v>MACDONALD THOMAS</v>
      </c>
      <c r="M162" s="6">
        <f t="shared" si="54"/>
        <v>9.3981481550144963E-3</v>
      </c>
      <c r="N162" s="7">
        <f t="shared" si="70"/>
        <v>13.533333343220875</v>
      </c>
      <c r="O162" s="7"/>
      <c r="P162" s="7"/>
      <c r="Q162" s="22"/>
      <c r="R162" s="173"/>
      <c r="S162" s="220">
        <f t="shared" si="71"/>
        <v>1</v>
      </c>
      <c r="T162" s="173" t="str">
        <f t="shared" si="55"/>
        <v>NorthBound</v>
      </c>
      <c r="U162" s="19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5" t="str">
        <f t="shared" si="56"/>
        <v>https://d0f6bd738d7f1b3e5a7ca70fe4ff75f0.us-east-1.aws.found.io/app/kibana#/discover/Steve-Slow-Train-Analysis-(2080s-and-2083s)?_g=(refreshInterval:(display:Off,pause:!f,section:0,value:0),time:(from:'2017-11-20T04:38:11-0700',mode:absolute,to:'2017-11-20T06:53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2" s="203" t="str">
        <f>IF(AA162&lt;VLOOKUP(AG162,Variables!$AC$3:$AD$8,2,FALSE),"Y","N")</f>
        <v>N</v>
      </c>
      <c r="X162" s="203">
        <f t="shared" ref="X162:X207" si="87">VALUE(LEFT(AD162,4))-VALUE(LEFT(AD161,4))</f>
        <v>1</v>
      </c>
      <c r="Y162" s="203">
        <f t="shared" si="85"/>
        <v>0.1128</v>
      </c>
      <c r="Z162" s="203">
        <f t="shared" si="86"/>
        <v>5.8917999999999999</v>
      </c>
      <c r="AA162" s="203">
        <f t="shared" si="60"/>
        <v>5.7789999999999999</v>
      </c>
      <c r="AB162" s="54" t="e">
        <f>VLOOKUP(A162,Enforcements!$C$7:$K$9,8,0)</f>
        <v>#N/A</v>
      </c>
      <c r="AC162" s="51" t="e">
        <f>VLOOKUP(A162,Enforcements!$C$7:$E$9,3,0)</f>
        <v>#N/A</v>
      </c>
      <c r="AD162" s="178">
        <f t="shared" si="61"/>
        <v>801</v>
      </c>
      <c r="AE162" s="77" t="str">
        <f t="shared" si="62"/>
        <v>aws s3 cp s3://rtdc.mdm.uploadarchive.raw/RTDC4062/ "%USERPROFILE%\AppData\Local\Temp\OnboardLogs"\RTDC4062\2017-11-20 --exclude "*" --recursive --include "*20171120*" &amp; "%USERPROFILE%\Documents\GitHub\mrs-test-scripts\Headless Mode &amp; Sideloading\WalkAndUnGZ.bat" "%USERPROFILE%\AppData\Local\Temp\OnboardLogs"\RTDC4062\2017-11-20 &amp; aws s3 cp s3://rtdc.mdm.uploadarchive.raw/RTDC4062/ "%USERPROFILE%\AppData\Local\Temp\OnboardLogs"\RTDC4062\2017-11-21 --exclude "*" --recursive --include "*20171121*" &amp; "%USERPROFILE%\Documents\GitHub\mrs-test-scripts\Headless Mode &amp; Sideloading\WalkAndUnGZ.bat" "%USERPROFILE%\AppData\Local\Temp\OnboardLogs"\RTDC4062\2017-11-21</v>
      </c>
      <c r="AF162" s="74" t="str">
        <f t="shared" si="63"/>
        <v>"C:\Program Files (x86)\AstroGrep\AstroGrep.exe" /e /r /s /spath="%USERPROFILE%\AppData\Local\Temp\OnboardLogs" /stypes="app*4062*20171120*" /stext=" 12:.+((SYSTEM_STATE.+slice.+state.+changed )|(ment ac)|(multiple cpu faults)|(system.+state.+changed )|(\[timeout)|(PRM\|1\|D)|(kpr)|(kdp)|(train st.+moving)|(\|lc)|(penalty))"</v>
      </c>
      <c r="AG162" s="181" t="str">
        <f t="shared" si="64"/>
        <v>NW</v>
      </c>
      <c r="AH162" s="78" t="str">
        <f t="shared" si="65"/>
        <v>"%USERPROFILE%\Documents\GitHub\eaglep3\Utilities\RefineRTDCRunTimes.py" --tripid 801-20 --locoid 4062 --swversion DE.1.0.9.0 --startMP 204:1128 --initTime 2017-11-20T05:38:11 --startdatetime 2017-11-20T05:39:54 --delay 61 --endMP 300:58918 --enddatetime 2017-11-20T05:53:26 --enforcementcount 0 &gt;&gt;%USERPROFILE%\Documents\GitHub\eaglep3-reporting\EC\2017-11-20-refined-times.txt</v>
      </c>
      <c r="AI162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{"issue":{"subject":"","project_id":79,"tracker_id":40,"status_id":1,"priority_id":2,"assigned_to_id":338,"start_date":"2017-11-20","description":"","custom_fields":[{"id":1,"name":"Subdivision","value":"NW"},{"id":4,"name":"Milepost","value":"5.8918"},{"id":17,"name":"Train ID","value":"801-20"},{"id":16,"name":"Locomotive ID","value":"4062"},{"id":130,"name":"Impact","value":""},{"id":150,"name":"Time of Event (Mountain Time)","value":"05:53:26"},{"id":151,"name":"Denver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1" t="str">
        <f t="shared" si="67"/>
        <v>start /low /b %USERPROFILE%\Documents\GitHub\eaglep3\Utilities\DownloadLogsFromS3.py --loco 4062 --day 2017-11-20</v>
      </c>
      <c r="AN162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12:53:26"},{"id":29,"name":"Sharepoint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7" t="str">
        <f t="shared" si="69"/>
        <v>https://d0f6bd738d7f1b3e5a7ca70fe4ff75f0.us-east-1.aws.found.io/app/kibana#/discover/Steve-Slow-Train-Analysis-(2080s-and-2083s)?_g=(refreshInterval:(display:Off,pause:!f,section:0,value:0),time:(from:'2017-11-20T04:38:11-0700',mode:absolute,to:'2017-11-20T06:53:26-0700'))&amp;_a=(columns:!('Message%20ID',Summary),filters:!(),index:'emp_*',interval:auto,query:(query_string:(analyze_wildcard:!t,query:'%22rtdc.l.rtdc.4062%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646</v>
      </c>
      <c r="B163" s="7">
        <v>4061</v>
      </c>
      <c r="C163" s="21" t="s">
        <v>192</v>
      </c>
      <c r="D163" s="21" t="s">
        <v>1019</v>
      </c>
      <c r="E163" s="13">
        <v>43059.246574074074</v>
      </c>
      <c r="F163" s="13">
        <v>43059.259027777778</v>
      </c>
      <c r="G163" s="7">
        <v>57</v>
      </c>
      <c r="H163" s="21" t="s">
        <v>1020</v>
      </c>
      <c r="I163" s="13">
        <v>43059.268553240741</v>
      </c>
      <c r="J163" s="7">
        <v>0</v>
      </c>
      <c r="K163" s="89" t="str">
        <f t="shared" si="53"/>
        <v>4061/4062</v>
      </c>
      <c r="L163" s="184" t="str">
        <f>VLOOKUP(A163,'Trips&amp;Operators'!$C$1:$G$99911,5,FALSE)</f>
        <v>MACDONALD THOMAS</v>
      </c>
      <c r="M163" s="6">
        <f t="shared" si="54"/>
        <v>9.5254629632108845E-3</v>
      </c>
      <c r="N163" s="7">
        <f t="shared" si="70"/>
        <v>13.716666667023674</v>
      </c>
      <c r="O163" s="7"/>
      <c r="P163" s="7"/>
      <c r="Q163" s="22"/>
      <c r="R163" s="173"/>
      <c r="S163" s="220">
        <f t="shared" si="71"/>
        <v>1</v>
      </c>
      <c r="T163" s="173" t="str">
        <f t="shared" si="55"/>
        <v>Southbound</v>
      </c>
      <c r="U163" s="19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5" t="str">
        <f t="shared" si="56"/>
        <v>https://d0f6bd738d7f1b3e5a7ca70fe4ff75f0.us-east-1.aws.found.io/app/kibana#/discover/Steve-Slow-Train-Analysis-(2080s-and-2083s)?_g=(refreshInterval:(display:Off,pause:!f,section:0,value:0),time:(from:'2017-11-20T04:55:04-0700',mode:absolute,to:'2017-11-20T07:26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3" s="203" t="str">
        <f>IF(AA163&lt;VLOOKUP(AG163,Variables!$AC$3:$AD$8,2,FALSE),"Y","N")</f>
        <v>N</v>
      </c>
      <c r="X163" s="203">
        <f t="shared" si="87"/>
        <v>1</v>
      </c>
      <c r="Y163" s="203">
        <f t="shared" si="85"/>
        <v>5.8590999999999998</v>
      </c>
      <c r="Z163" s="203">
        <f t="shared" si="86"/>
        <v>8.1799999999999998E-2</v>
      </c>
      <c r="AA163" s="203">
        <f t="shared" si="60"/>
        <v>5.7772999999999994</v>
      </c>
      <c r="AB163" s="54" t="e">
        <f>VLOOKUP(A163,Enforcements!$C$7:$K$9,8,0)</f>
        <v>#N/A</v>
      </c>
      <c r="AC163" s="51" t="e">
        <f>VLOOKUP(A163,Enforcements!$C$7:$E$9,3,0)</f>
        <v>#N/A</v>
      </c>
      <c r="AD163" s="178">
        <f t="shared" si="61"/>
        <v>802</v>
      </c>
      <c r="AE163" s="77" t="str">
        <f t="shared" si="62"/>
        <v>aws s3 cp s3://rtdc.mdm.uploadarchive.raw/RTDC4061/ "%USERPROFILE%\AppData\Local\Temp\OnboardLogs"\RTDC4061\2017-11-20 --exclude "*" --recursive --include "*20171120*" &amp; "%USERPROFILE%\Documents\GitHub\mrs-test-scripts\Headless Mode &amp; Sideloading\WalkAndUnGZ.bat" "%USERPROFILE%\AppData\Local\Temp\OnboardLogs"\RTDC4061\2017-11-20 &amp; aws s3 cp s3://rtdc.mdm.uploadarchive.raw/RTDC4061/ "%USERPROFILE%\AppData\Local\Temp\OnboardLogs"\RTDC4061\2017-11-21 --exclude "*" --recursive --include "*20171121*" &amp; "%USERPROFILE%\Documents\GitHub\mrs-test-scripts\Headless Mode &amp; Sideloading\WalkAndUnGZ.bat" "%USERPROFILE%\AppData\Local\Temp\OnboardLogs"\RTDC4061\2017-11-21</v>
      </c>
      <c r="AF163" s="74" t="str">
        <f t="shared" si="63"/>
        <v>"C:\Program Files (x86)\AstroGrep\AstroGrep.exe" /e /r /s /spath="%USERPROFILE%\AppData\Local\Temp\OnboardLogs" /stypes="app*4061*20171120*" /stext=" 13:.+((SYSTEM_STATE.+slice.+state.+changed )|(ment ac)|(multiple cpu faults)|(system.+state.+changed )|(\[timeout)|(PRM\|1\|D)|(kpr)|(kdp)|(train st.+moving)|(\|lc)|(penalty))"</v>
      </c>
      <c r="AG163" s="181" t="str">
        <f t="shared" si="64"/>
        <v>NW</v>
      </c>
      <c r="AH163" s="78" t="str">
        <f t="shared" si="65"/>
        <v>"%USERPROFILE%\Documents\GitHub\eaglep3\Utilities\RefineRTDCRunTimes.py" --tripid 802-20 --locoid 4061 --swversion DE.1.0.9.0 --startMP 300:58591 --initTime 2017-11-20T05:55:04 --startdatetime 2017-11-20T06:13:00 --delay 57 --endMP 204:818 --enddatetime 2017-11-20T06:26:43 --enforcementcount 0 &gt;&gt;%USERPROFILE%\Documents\GitHub\eaglep3-reporting\EC\2017-11-20-refined-times.txt</v>
      </c>
      <c r="AI163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{"issue":{"subject":"","project_id":79,"tracker_id":40,"status_id":1,"priority_id":2,"assigned_to_id":338,"start_date":"2017-11-20","description":"","custom_fields":[{"id":1,"name":"Subdivision","value":"NW"},{"id":4,"name":"Milepost","value":"0.0818"},{"id":17,"name":"Train ID","value":"802-20"},{"id":16,"name":"Locomotive ID","value":"4061"},{"id":130,"name":"Impact","value":""},{"id":150,"name":"Time of Event (Mountain Time)","value":"06:26:43"},{"id":151,"name":"Denver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1" t="str">
        <f t="shared" si="67"/>
        <v>start /low /b %USERPROFILE%\Documents\GitHub\eaglep3\Utilities\DownloadLogsFromS3.py --loco 4061 --day 2017-11-20</v>
      </c>
      <c r="AN163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13:26:43"},{"id":29,"name":"Sharepoint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7" t="str">
        <f t="shared" si="69"/>
        <v>https://d0f6bd738d7f1b3e5a7ca70fe4ff75f0.us-east-1.aws.found.io/app/kibana#/discover/Steve-Slow-Train-Analysis-(2080s-and-2083s)?_g=(refreshInterval:(display:Off,pause:!f,section:0,value:0),time:(from:'2017-11-20T04:55:04-0700',mode:absolute,to:'2017-11-20T07:26:43-0700'))&amp;_a=(columns:!('Message%20ID',Summary),filters:!(),index:'emp_*',interval:auto,query:(query_string:(analyze_wildcard:!t,query:'%22rtdc.l.rtdc.4061%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711</v>
      </c>
      <c r="B164" s="7">
        <v>4014</v>
      </c>
      <c r="C164" s="21" t="s">
        <v>192</v>
      </c>
      <c r="D164" s="21" t="s">
        <v>1021</v>
      </c>
      <c r="E164" s="13">
        <v>43059.240798611114</v>
      </c>
      <c r="F164" s="13">
        <v>43059.256701388891</v>
      </c>
      <c r="G164" s="7">
        <v>57</v>
      </c>
      <c r="H164" s="21" t="s">
        <v>623</v>
      </c>
      <c r="I164" s="13">
        <v>43059.266168981485</v>
      </c>
      <c r="J164" s="7">
        <v>0</v>
      </c>
      <c r="K164" s="89" t="str">
        <f t="shared" si="53"/>
        <v>4013/4014</v>
      </c>
      <c r="L164" s="184" t="str">
        <f>VLOOKUP(A164,'Trips&amp;Operators'!$C$1:$G$99911,5,FALSE)</f>
        <v>YANAI IAN</v>
      </c>
      <c r="M164" s="6">
        <f t="shared" si="54"/>
        <v>9.4675925938645378E-3</v>
      </c>
      <c r="N164" s="7">
        <f t="shared" si="70"/>
        <v>13.633333335164934</v>
      </c>
      <c r="O164" s="7"/>
      <c r="P164" s="7"/>
      <c r="Q164" s="22"/>
      <c r="R164" s="173"/>
      <c r="S164" s="220">
        <f t="shared" si="71"/>
        <v>1</v>
      </c>
      <c r="T164" s="173" t="str">
        <f t="shared" si="55"/>
        <v>NorthBound</v>
      </c>
      <c r="U164" s="19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5" t="str">
        <f t="shared" si="56"/>
        <v>https://d0f6bd738d7f1b3e5a7ca70fe4ff75f0.us-east-1.aws.found.io/app/kibana#/discover/Steve-Slow-Train-Analysis-(2080s-and-2083s)?_g=(refreshInterval:(display:Off,pause:!f,section:0,value:0),time:(from:'2017-11-20T04:46:45-0700',mode:absolute,to:'2017-11-20T07:23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4" s="203" t="str">
        <f>IF(AA164&lt;VLOOKUP(AG164,Variables!$AC$3:$AD$8,2,FALSE),"Y","N")</f>
        <v>N</v>
      </c>
      <c r="X164" s="203">
        <f t="shared" si="87"/>
        <v>1</v>
      </c>
      <c r="Y164" s="203">
        <f t="shared" si="85"/>
        <v>0.11119999999999999</v>
      </c>
      <c r="Z164" s="203">
        <f t="shared" si="86"/>
        <v>5.8910999999999998</v>
      </c>
      <c r="AA164" s="203">
        <f t="shared" si="60"/>
        <v>5.7798999999999996</v>
      </c>
      <c r="AB164" s="54" t="e">
        <f>VLOOKUP(A164,Enforcements!$C$7:$K$9,8,0)</f>
        <v>#N/A</v>
      </c>
      <c r="AC164" s="51" t="e">
        <f>VLOOKUP(A164,Enforcements!$C$7:$E$9,3,0)</f>
        <v>#N/A</v>
      </c>
      <c r="AD164" s="178">
        <f t="shared" si="61"/>
        <v>803</v>
      </c>
      <c r="AE164" s="77" t="str">
        <f t="shared" si="62"/>
        <v>aws s3 cp s3://rtdc.mdm.uploadarchive.raw/RTDC4014/ "%USERPROFILE%\AppData\Local\Temp\OnboardLogs"\RTDC4014\2017-11-20 --exclude "*" --recursive --include "*20171120*" &amp; "%USERPROFILE%\Documents\GitHub\mrs-test-scripts\Headless Mode &amp; Sideloading\WalkAndUnGZ.bat" "%USERPROFILE%\AppData\Local\Temp\OnboardLogs"\RTDC4014\2017-11-20 &amp; 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</v>
      </c>
      <c r="AF164" s="74" t="str">
        <f t="shared" si="63"/>
        <v>"C:\Program Files (x86)\AstroGrep\AstroGrep.exe" /e /r /s /spath="%USERPROFILE%\AppData\Local\Temp\OnboardLogs" /stypes="app*4014*20171120*" /stext=" 13:.+((SYSTEM_STATE.+slice.+state.+changed )|(ment ac)|(multiple cpu faults)|(system.+state.+changed )|(\[timeout)|(PRM\|1\|D)|(kpr)|(kdp)|(train st.+moving)|(\|lc)|(penalty))"</v>
      </c>
      <c r="AG164" s="181" t="str">
        <f t="shared" si="64"/>
        <v>NW</v>
      </c>
      <c r="AH164" s="78" t="str">
        <f t="shared" si="65"/>
        <v>"%USERPROFILE%\Documents\GitHub\eaglep3\Utilities\RefineRTDCRunTimes.py" --tripid 803-20 --locoid 4014 --swversion DE.1.0.9.0 --startMP 204:1112 --initTime 2017-11-20T05:46:45 --startdatetime 2017-11-20T06:09:39 --delay 57 --endMP 300:58911 --enddatetime 2017-11-20T06:23:17 --enforcementcount 0 &gt;&gt;%USERPROFILE%\Documents\GitHub\eaglep3-reporting\EC\2017-11-20-refined-times.txt</v>
      </c>
      <c r="AI164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{"issue":{"subject":"","project_id":79,"tracker_id":40,"status_id":1,"priority_id":2,"assigned_to_id":338,"start_date":"2017-11-20","description":"","custom_fields":[{"id":1,"name":"Subdivision","value":"NW"},{"id":4,"name":"Milepost","value":"5.8911"},{"id":17,"name":"Train ID","value":"803-20"},{"id":16,"name":"Locomotive ID","value":"4014"},{"id":130,"name":"Impact","value":""},{"id":150,"name":"Time of Event (Mountain Time)","value":"06:23:17"},{"id":151,"name":"Denver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1" t="str">
        <f t="shared" si="67"/>
        <v>start /low /b %USERPROFILE%\Documents\GitHub\eaglep3\Utilities\DownloadLogsFromS3.py --loco 4014 --day 2017-11-20</v>
      </c>
      <c r="AN164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13:23:17"},{"id":29,"name":"Sharepoint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7" t="str">
        <f t="shared" si="69"/>
        <v>https://d0f6bd738d7f1b3e5a7ca70fe4ff75f0.us-east-1.aws.found.io/app/kibana#/discover/Steve-Slow-Train-Analysis-(2080s-and-2083s)?_g=(refreshInterval:(display:Off,pause:!f,section:0,value:0),time:(from:'2017-11-20T04:46:45-0700',mode:absolute,to:'2017-11-20T07:23:17-0700'))&amp;_a=(columns:!('Message%20ID',Summary),filters:!(),index:'emp_*',interval:auto,query:(query_string:(analyze_wildcard:!t,query:'%22rtdc.l.rtdc.4014%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715</v>
      </c>
      <c r="B165" s="7">
        <v>4013</v>
      </c>
      <c r="C165" s="21" t="s">
        <v>192</v>
      </c>
      <c r="D165" s="21" t="s">
        <v>620</v>
      </c>
      <c r="E165" s="13">
        <v>43059.266944444447</v>
      </c>
      <c r="F165" s="13">
        <v>43059.279166666667</v>
      </c>
      <c r="G165" s="7">
        <v>58</v>
      </c>
      <c r="H165" s="21" t="s">
        <v>1022</v>
      </c>
      <c r="I165" s="13">
        <v>43059.287905092591</v>
      </c>
      <c r="J165" s="7">
        <v>0</v>
      </c>
      <c r="K165" s="89" t="str">
        <f t="shared" si="53"/>
        <v>4013/4014</v>
      </c>
      <c r="L165" s="184" t="str">
        <f>VLOOKUP(A165,'Trips&amp;Operators'!$C$1:$G$99911,5,FALSE)</f>
        <v>YANAI IAN</v>
      </c>
      <c r="M165" s="6">
        <f t="shared" si="54"/>
        <v>8.7384259240934625E-3</v>
      </c>
      <c r="N165" s="7">
        <f t="shared" si="70"/>
        <v>12.583333330694586</v>
      </c>
      <c r="O165" s="7"/>
      <c r="P165" s="7"/>
      <c r="Q165" s="22"/>
      <c r="R165" s="173"/>
      <c r="S165" s="220">
        <f t="shared" si="71"/>
        <v>1</v>
      </c>
      <c r="T165" s="173" t="str">
        <f t="shared" si="55"/>
        <v>Southbound</v>
      </c>
      <c r="U165" s="19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5" t="str">
        <f t="shared" si="56"/>
        <v>https://d0f6bd738d7f1b3e5a7ca70fe4ff75f0.us-east-1.aws.found.io/app/kibana#/discover/Steve-Slow-Train-Analysis-(2080s-and-2083s)?_g=(refreshInterval:(display:Off,pause:!f,section:0,value:0),time:(from:'2017-11-20T05:24:24-0700',mode:absolute,to:'2017-11-20T07:54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5" s="203" t="str">
        <f>IF(AA165&lt;VLOOKUP(AG165,Variables!$AC$3:$AD$8,2,FALSE),"Y","N")</f>
        <v>N</v>
      </c>
      <c r="X165" s="203">
        <f t="shared" si="87"/>
        <v>1</v>
      </c>
      <c r="Y165" s="203">
        <f t="shared" si="85"/>
        <v>5.8592000000000004</v>
      </c>
      <c r="Z165" s="203">
        <f t="shared" si="86"/>
        <v>8.6599999999999996E-2</v>
      </c>
      <c r="AA165" s="203">
        <f t="shared" si="60"/>
        <v>5.7726000000000006</v>
      </c>
      <c r="AB165" s="54" t="e">
        <f>VLOOKUP(A165,Enforcements!$C$7:$K$9,8,0)</f>
        <v>#N/A</v>
      </c>
      <c r="AC165" s="51" t="e">
        <f>VLOOKUP(A165,Enforcements!$C$7:$E$9,3,0)</f>
        <v>#N/A</v>
      </c>
      <c r="AD165" s="178">
        <f t="shared" si="61"/>
        <v>804</v>
      </c>
      <c r="AE165" s="77" t="str">
        <f t="shared" si="62"/>
        <v>aws s3 cp s3://rtdc.mdm.uploadarchive.raw/RTDC4013/ "%USERPROFILE%\AppData\Local\Temp\OnboardLogs"\RTDC4013\2017-11-20 --exclude "*" --recursive --include "*20171120*" &amp; "%USERPROFILE%\Documents\GitHub\mrs-test-scripts\Headless Mode &amp; Sideloading\WalkAndUnGZ.bat" "%USERPROFILE%\AppData\Local\Temp\OnboardLogs"\RTDC4013\2017-11-20 &amp; 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</v>
      </c>
      <c r="AF165" s="74" t="str">
        <f t="shared" si="63"/>
        <v>"C:\Program Files (x86)\AstroGrep\AstroGrep.exe" /e /r /s /spath="%USERPROFILE%\AppData\Local\Temp\OnboardLogs" /stypes="app*4013*20171120*" /stext=" 13:.+((SYSTEM_STATE.+slice.+state.+changed )|(ment ac)|(multiple cpu faults)|(system.+state.+changed )|(\[timeout)|(PRM\|1\|D)|(kpr)|(kdp)|(train st.+moving)|(\|lc)|(penalty))"</v>
      </c>
      <c r="AG165" s="181" t="str">
        <f t="shared" si="64"/>
        <v>NW</v>
      </c>
      <c r="AH165" s="78" t="str">
        <f t="shared" si="65"/>
        <v>"%USERPROFILE%\Documents\GitHub\eaglep3\Utilities\RefineRTDCRunTimes.py" --tripid 804-20 --locoid 4013 --swversion DE.1.0.9.0 --startMP 300:58592 --initTime 2017-11-20T06:24:24 --startdatetime 2017-11-20T06:42:00 --delay 58 --endMP 204:866 --enddatetime 2017-11-20T06:54:35 --enforcementcount 0 &gt;&gt;%USERPROFILE%\Documents\GitHub\eaglep3-reporting\EC\2017-11-20-refined-times.txt</v>
      </c>
      <c r="AI165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{"issue":{"subject":"","project_id":79,"tracker_id":40,"status_id":1,"priority_id":2,"assigned_to_id":338,"start_date":"2017-11-20","description":"","custom_fields":[{"id":1,"name":"Subdivision","value":"NW"},{"id":4,"name":"Milepost","value":"0.0866"},{"id":17,"name":"Train ID","value":"804-20"},{"id":16,"name":"Locomotive ID","value":"4013"},{"id":130,"name":"Impact","value":""},{"id":150,"name":"Time of Event (Mountain Time)","value":"06:54:35"},{"id":151,"name":"Denver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1" t="str">
        <f t="shared" si="67"/>
        <v>start /low /b %USERPROFILE%\Documents\GitHub\eaglep3\Utilities\DownloadLogsFromS3.py --loco 4013 --day 2017-11-20</v>
      </c>
      <c r="AN165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13:54:35"},{"id":29,"name":"Sharepoint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7" t="str">
        <f t="shared" si="69"/>
        <v>https://d0f6bd738d7f1b3e5a7ca70fe4ff75f0.us-east-1.aws.found.io/app/kibana#/discover/Steve-Slow-Train-Analysis-(2080s-and-2083s)?_g=(refreshInterval:(display:Off,pause:!f,section:0,value:0),time:(from:'2017-11-20T05:24:24-0700',mode:absolute,to:'2017-11-20T07:54:35-0700'))&amp;_a=(columns:!('Message%20ID',Summary),filters:!(),index:'emp_*',interval:auto,query:(query_string:(analyze_wildcard:!t,query:'%22rtdc.l.rtdc.4013%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719</v>
      </c>
      <c r="B166" s="7">
        <v>4062</v>
      </c>
      <c r="C166" s="21" t="s">
        <v>192</v>
      </c>
      <c r="D166" s="21" t="s">
        <v>1023</v>
      </c>
      <c r="E166" s="13">
        <v>43059.275185185186</v>
      </c>
      <c r="F166" s="13">
        <v>43059.277696759258</v>
      </c>
      <c r="G166" s="7">
        <v>133</v>
      </c>
      <c r="H166" s="21" t="s">
        <v>1018</v>
      </c>
      <c r="I166" s="13">
        <v>43059.287534722222</v>
      </c>
      <c r="J166" s="7">
        <v>0</v>
      </c>
      <c r="K166" s="89" t="str">
        <f t="shared" si="53"/>
        <v>4061/4062</v>
      </c>
      <c r="L166" s="184" t="str">
        <f>VLOOKUP(A166,'Trips&amp;Operators'!$C$1:$G$99911,5,FALSE)</f>
        <v>MACDONALD THOMAS</v>
      </c>
      <c r="M166" s="6">
        <f t="shared" si="54"/>
        <v>9.8379629635019228E-3</v>
      </c>
      <c r="N166" s="7">
        <f t="shared" si="70"/>
        <v>14.166666667442769</v>
      </c>
      <c r="O166" s="7"/>
      <c r="P166" s="7"/>
      <c r="Q166" s="22"/>
      <c r="R166" s="173"/>
      <c r="S166" s="220">
        <f t="shared" si="71"/>
        <v>1</v>
      </c>
      <c r="T166" s="173" t="str">
        <f t="shared" si="55"/>
        <v>NorthBound</v>
      </c>
      <c r="U166" s="19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5" t="str">
        <f t="shared" si="56"/>
        <v>https://d0f6bd738d7f1b3e5a7ca70fe4ff75f0.us-east-1.aws.found.io/app/kibana#/discover/Steve-Slow-Train-Analysis-(2080s-and-2083s)?_g=(refreshInterval:(display:Off,pause:!f,section:0,value:0),time:(from:'2017-11-20T05:36:16-0700',mode:absolute,to:'2017-11-20T07:54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6" s="203" t="str">
        <f>IF(AA166&lt;VLOOKUP(AG166,Variables!$AC$3:$AD$8,2,FALSE),"Y","N")</f>
        <v>N</v>
      </c>
      <c r="X166" s="203">
        <f t="shared" si="87"/>
        <v>1</v>
      </c>
      <c r="Y166" s="203">
        <f t="shared" si="85"/>
        <v>0.1118</v>
      </c>
      <c r="Z166" s="203">
        <f t="shared" si="86"/>
        <v>5.8917999999999999</v>
      </c>
      <c r="AA166" s="203">
        <f t="shared" si="60"/>
        <v>5.78</v>
      </c>
      <c r="AB166" s="54" t="e">
        <f>VLOOKUP(A166,Enforcements!$C$7:$K$9,8,0)</f>
        <v>#N/A</v>
      </c>
      <c r="AC166" s="51" t="e">
        <f>VLOOKUP(A166,Enforcements!$C$7:$E$9,3,0)</f>
        <v>#N/A</v>
      </c>
      <c r="AD166" s="178">
        <f t="shared" si="61"/>
        <v>805</v>
      </c>
      <c r="AE166" s="77" t="str">
        <f t="shared" si="62"/>
        <v>aws s3 cp s3://rtdc.mdm.uploadarchive.raw/RTDC4062/ "%USERPROFILE%\AppData\Local\Temp\OnboardLogs"\RTDC4062\2017-11-20 --exclude "*" --recursive --include "*20171120*" &amp; "%USERPROFILE%\Documents\GitHub\mrs-test-scripts\Headless Mode &amp; Sideloading\WalkAndUnGZ.bat" "%USERPROFILE%\AppData\Local\Temp\OnboardLogs"\RTDC4062\2017-11-20 &amp; aws s3 cp s3://rtdc.mdm.uploadarchive.raw/RTDC4062/ "%USERPROFILE%\AppData\Local\Temp\OnboardLogs"\RTDC4062\2017-11-21 --exclude "*" --recursive --include "*20171121*" &amp; "%USERPROFILE%\Documents\GitHub\mrs-test-scripts\Headless Mode &amp; Sideloading\WalkAndUnGZ.bat" "%USERPROFILE%\AppData\Local\Temp\OnboardLogs"\RTDC4062\2017-11-21</v>
      </c>
      <c r="AF166" s="74" t="str">
        <f t="shared" si="63"/>
        <v>"C:\Program Files (x86)\AstroGrep\AstroGrep.exe" /e /r /s /spath="%USERPROFILE%\AppData\Local\Temp\OnboardLogs" /stypes="app*4062*20171120*" /stext=" 13:.+((SYSTEM_STATE.+slice.+state.+changed )|(ment ac)|(multiple cpu faults)|(system.+state.+changed )|(\[timeout)|(PRM\|1\|D)|(kpr)|(kdp)|(train st.+moving)|(\|lc)|(penalty))"</v>
      </c>
      <c r="AG166" s="181" t="str">
        <f t="shared" si="64"/>
        <v>NW</v>
      </c>
      <c r="AH166" s="78" t="str">
        <f t="shared" si="65"/>
        <v>"%USERPROFILE%\Documents\GitHub\eaglep3\Utilities\RefineRTDCRunTimes.py" --tripid 805-20 --locoid 4062 --swversion DE.1.0.9.0 --startMP 204:1118 --initTime 2017-11-20T06:36:16 --startdatetime 2017-11-20T06:39:53 --delay 133 --endMP 300:58918 --enddatetime 2017-11-20T06:54:03 --enforcementcount 0 &gt;&gt;%USERPROFILE%\Documents\GitHub\eaglep3-reporting\EC\2017-11-20-refined-times.txt</v>
      </c>
      <c r="AI166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{"issue":{"subject":"","project_id":79,"tracker_id":40,"status_id":1,"priority_id":2,"assigned_to_id":338,"start_date":"2017-11-20","description":"","custom_fields":[{"id":1,"name":"Subdivision","value":"NW"},{"id":4,"name":"Milepost","value":"5.8918"},{"id":17,"name":"Train ID","value":"805-20"},{"id":16,"name":"Locomotive ID","value":"4062"},{"id":130,"name":"Impact","value":""},{"id":150,"name":"Time of Event (Mountain Time)","value":"06:54:03"},{"id":151,"name":"Denver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1" t="str">
        <f t="shared" si="67"/>
        <v>start /low /b %USERPROFILE%\Documents\GitHub\eaglep3\Utilities\DownloadLogsFromS3.py --loco 4062 --day 2017-11-20</v>
      </c>
      <c r="AN166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13:54:03"},{"id":29,"name":"Sharepoint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7" t="str">
        <f t="shared" si="69"/>
        <v>https://d0f6bd738d7f1b3e5a7ca70fe4ff75f0.us-east-1.aws.found.io/app/kibana#/discover/Steve-Slow-Train-Analysis-(2080s-and-2083s)?_g=(refreshInterval:(display:Off,pause:!f,section:0,value:0),time:(from:'2017-11-20T05:36:16-0700',mode:absolute,to:'2017-11-20T07:54:03-0700'))&amp;_a=(columns:!('Message%20ID',Summary),filters:!(),index:'emp_*',interval:auto,query:(query_string:(analyze_wildcard:!t,query:'%22rtdc.l.rtdc.4062%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650</v>
      </c>
      <c r="B167" s="7">
        <v>4061</v>
      </c>
      <c r="C167" s="21" t="s">
        <v>192</v>
      </c>
      <c r="D167" s="21" t="s">
        <v>572</v>
      </c>
      <c r="E167" s="13">
        <v>43059.289085648146</v>
      </c>
      <c r="F167" s="13">
        <v>43059.300694444442</v>
      </c>
      <c r="G167" s="7">
        <v>67</v>
      </c>
      <c r="H167" s="21" t="s">
        <v>1024</v>
      </c>
      <c r="I167" s="13">
        <v>43059.309907407405</v>
      </c>
      <c r="J167" s="7">
        <v>0</v>
      </c>
      <c r="K167" s="89" t="str">
        <f t="shared" si="53"/>
        <v>4061/4062</v>
      </c>
      <c r="L167" s="184" t="str">
        <f>VLOOKUP(A167,'Trips&amp;Operators'!$C$1:$G$99911,5,FALSE)</f>
        <v>MACDONALD THOMAS</v>
      </c>
      <c r="M167" s="6">
        <f t="shared" si="54"/>
        <v>9.2129629629198462E-3</v>
      </c>
      <c r="N167" s="7">
        <f t="shared" si="70"/>
        <v>13.266666666604578</v>
      </c>
      <c r="O167" s="7"/>
      <c r="P167" s="7"/>
      <c r="Q167" s="22"/>
      <c r="R167" s="173"/>
      <c r="S167" s="220">
        <f t="shared" si="71"/>
        <v>1</v>
      </c>
      <c r="T167" s="173" t="str">
        <f t="shared" si="55"/>
        <v>Southbound</v>
      </c>
      <c r="U167" s="19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5" t="str">
        <f t="shared" si="56"/>
        <v>https://d0f6bd738d7f1b3e5a7ca70fe4ff75f0.us-east-1.aws.found.io/app/kibana#/discover/Steve-Slow-Train-Analysis-(2080s-and-2083s)?_g=(refreshInterval:(display:Off,pause:!f,section:0,value:0),time:(from:'2017-11-20T05:56:17-0700',mode:absolute,to:'2017-11-20T08:26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7" s="203" t="str">
        <f>IF(AA167&lt;VLOOKUP(AG167,Variables!$AC$3:$AD$8,2,FALSE),"Y","N")</f>
        <v>N</v>
      </c>
      <c r="X167" s="203">
        <f t="shared" si="87"/>
        <v>1</v>
      </c>
      <c r="Y167" s="203">
        <f t="shared" si="85"/>
        <v>5.8597999999999999</v>
      </c>
      <c r="Z167" s="203">
        <f t="shared" si="86"/>
        <v>8.3900000000000002E-2</v>
      </c>
      <c r="AA167" s="203">
        <f t="shared" si="60"/>
        <v>5.7759</v>
      </c>
      <c r="AB167" s="54" t="e">
        <f>VLOOKUP(A167,Enforcements!$C$7:$K$9,8,0)</f>
        <v>#N/A</v>
      </c>
      <c r="AC167" s="51" t="e">
        <f>VLOOKUP(A167,Enforcements!$C$7:$E$9,3,0)</f>
        <v>#N/A</v>
      </c>
      <c r="AD167" s="178">
        <f t="shared" si="61"/>
        <v>806</v>
      </c>
      <c r="AE167" s="77" t="str">
        <f t="shared" si="62"/>
        <v>aws s3 cp s3://rtdc.mdm.uploadarchive.raw/RTDC4061/ "%USERPROFILE%\AppData\Local\Temp\OnboardLogs"\RTDC4061\2017-11-20 --exclude "*" --recursive --include "*20171120*" &amp; "%USERPROFILE%\Documents\GitHub\mrs-test-scripts\Headless Mode &amp; Sideloading\WalkAndUnGZ.bat" "%USERPROFILE%\AppData\Local\Temp\OnboardLogs"\RTDC4061\2017-11-20 &amp; aws s3 cp s3://rtdc.mdm.uploadarchive.raw/RTDC4061/ "%USERPROFILE%\AppData\Local\Temp\OnboardLogs"\RTDC4061\2017-11-21 --exclude "*" --recursive --include "*20171121*" &amp; "%USERPROFILE%\Documents\GitHub\mrs-test-scripts\Headless Mode &amp; Sideloading\WalkAndUnGZ.bat" "%USERPROFILE%\AppData\Local\Temp\OnboardLogs"\RTDC4061\2017-11-21</v>
      </c>
      <c r="AF167" s="74" t="str">
        <f t="shared" si="63"/>
        <v>"C:\Program Files (x86)\AstroGrep\AstroGrep.exe" /e /r /s /spath="%USERPROFILE%\AppData\Local\Temp\OnboardLogs" /stypes="app*4061*20171120*" /stext=" 14:.+((SYSTEM_STATE.+slice.+state.+changed )|(ment ac)|(multiple cpu faults)|(system.+state.+changed )|(\[timeout)|(PRM\|1\|D)|(kpr)|(kdp)|(train st.+moving)|(\|lc)|(penalty))"</v>
      </c>
      <c r="AG167" s="181" t="str">
        <f t="shared" si="64"/>
        <v>NW</v>
      </c>
      <c r="AH167" s="78" t="str">
        <f t="shared" si="65"/>
        <v>"%USERPROFILE%\Documents\GitHub\eaglep3\Utilities\RefineRTDCRunTimes.py" --tripid 806-20 --locoid 4061 --swversion DE.1.0.9.0 --startMP 300:58598 --initTime 2017-11-20T06:56:17 --startdatetime 2017-11-20T07:13:00 --delay 67 --endMP 204:839 --enddatetime 2017-11-20T07:26:16 --enforcementcount 0 &gt;&gt;%USERPROFILE%\Documents\GitHub\eaglep3-reporting\EC\2017-11-20-refined-times.txt</v>
      </c>
      <c r="AI167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{"issue":{"subject":"","project_id":79,"tracker_id":40,"status_id":1,"priority_id":2,"assigned_to_id":338,"start_date":"2017-11-20","description":"","custom_fields":[{"id":1,"name":"Subdivision","value":"NW"},{"id":4,"name":"Milepost","value":"0.0839"},{"id":17,"name":"Train ID","value":"806-20"},{"id":16,"name":"Locomotive ID","value":"4061"},{"id":130,"name":"Impact","value":""},{"id":150,"name":"Time of Event (Mountain Time)","value":"07:26:16"},{"id":151,"name":"Denver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1" t="str">
        <f t="shared" si="67"/>
        <v>start /low /b %USERPROFILE%\Documents\GitHub\eaglep3\Utilities\DownloadLogsFromS3.py --loco 4061 --day 2017-11-20</v>
      </c>
      <c r="AN167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14:26:16"},{"id":29,"name":"Sharepoint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7" t="str">
        <f t="shared" si="69"/>
        <v>https://d0f6bd738d7f1b3e5a7ca70fe4ff75f0.us-east-1.aws.found.io/app/kibana#/discover/Steve-Slow-Train-Analysis-(2080s-and-2083s)?_g=(refreshInterval:(display:Off,pause:!f,section:0,value:0),time:(from:'2017-11-20T05:56:17-0700',mode:absolute,to:'2017-11-20T08:26:16-0700'))&amp;_a=(columns:!('Message%20ID',Summary),filters:!(),index:'emp_*',interval:auto,query:(query_string:(analyze_wildcard:!t,query:'%22rtdc.l.rtdc.4061%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651</v>
      </c>
      <c r="B168" s="7">
        <v>4014</v>
      </c>
      <c r="C168" s="21" t="s">
        <v>192</v>
      </c>
      <c r="D168" s="21" t="s">
        <v>1025</v>
      </c>
      <c r="E168" s="13">
        <v>43059.289722222224</v>
      </c>
      <c r="F168" s="13">
        <v>43059.29824074074</v>
      </c>
      <c r="G168" s="7">
        <v>48</v>
      </c>
      <c r="H168" s="21" t="s">
        <v>1026</v>
      </c>
      <c r="I168" s="13">
        <v>43059.308657407404</v>
      </c>
      <c r="J168" s="7">
        <v>0</v>
      </c>
      <c r="K168" s="89" t="str">
        <f t="shared" si="53"/>
        <v>4013/4014</v>
      </c>
      <c r="L168" s="184" t="str">
        <f>VLOOKUP(A168,'Trips&amp;Operators'!$C$1:$G$99911,5,FALSE)</f>
        <v>YANAI IAN</v>
      </c>
      <c r="M168" s="6">
        <f t="shared" si="54"/>
        <v>1.0416666664241347E-2</v>
      </c>
      <c r="N168" s="7">
        <f t="shared" si="70"/>
        <v>14.99999999650754</v>
      </c>
      <c r="O168" s="7"/>
      <c r="P168" s="7"/>
      <c r="Q168" s="22"/>
      <c r="R168" s="173"/>
      <c r="S168" s="220">
        <f t="shared" si="71"/>
        <v>1</v>
      </c>
      <c r="T168" s="173" t="str">
        <f t="shared" si="55"/>
        <v>NorthBound</v>
      </c>
      <c r="U168" s="19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5" t="str">
        <f t="shared" si="56"/>
        <v>https://d0f6bd738d7f1b3e5a7ca70fe4ff75f0.us-east-1.aws.found.io/app/kibana#/discover/Steve-Slow-Train-Analysis-(2080s-and-2083s)?_g=(refreshInterval:(display:Off,pause:!f,section:0,value:0),time:(from:'2017-11-20T05:57:12-0700',mode:absolute,to:'2017-11-20T08:24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8" s="203" t="str">
        <f>IF(AA168&lt;VLOOKUP(AG168,Variables!$AC$3:$AD$8,2,FALSE),"Y","N")</f>
        <v>N</v>
      </c>
      <c r="X168" s="203">
        <f t="shared" si="87"/>
        <v>1</v>
      </c>
      <c r="Y168" s="203">
        <f t="shared" si="85"/>
        <v>0.11609999999999999</v>
      </c>
      <c r="Z168" s="203">
        <f t="shared" si="86"/>
        <v>5.8898999999999999</v>
      </c>
      <c r="AA168" s="203">
        <f t="shared" si="60"/>
        <v>5.7737999999999996</v>
      </c>
      <c r="AB168" s="54" t="e">
        <f>VLOOKUP(A168,Enforcements!$C$7:$K$9,8,0)</f>
        <v>#N/A</v>
      </c>
      <c r="AC168" s="51" t="e">
        <f>VLOOKUP(A168,Enforcements!$C$7:$E$9,3,0)</f>
        <v>#N/A</v>
      </c>
      <c r="AD168" s="178">
        <f t="shared" si="61"/>
        <v>807</v>
      </c>
      <c r="AE168" s="77" t="str">
        <f t="shared" si="62"/>
        <v>aws s3 cp s3://rtdc.mdm.uploadarchive.raw/RTDC4014/ "%USERPROFILE%\AppData\Local\Temp\OnboardLogs"\RTDC4014\2017-11-20 --exclude "*" --recursive --include "*20171120*" &amp; "%USERPROFILE%\Documents\GitHub\mrs-test-scripts\Headless Mode &amp; Sideloading\WalkAndUnGZ.bat" "%USERPROFILE%\AppData\Local\Temp\OnboardLogs"\RTDC4014\2017-11-20 &amp; 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</v>
      </c>
      <c r="AF168" s="74" t="str">
        <f t="shared" si="63"/>
        <v>"C:\Program Files (x86)\AstroGrep\AstroGrep.exe" /e /r /s /spath="%USERPROFILE%\AppData\Local\Temp\OnboardLogs" /stypes="app*4014*20171120*" /stext=" 14:.+((SYSTEM_STATE.+slice.+state.+changed )|(ment ac)|(multiple cpu faults)|(system.+state.+changed )|(\[timeout)|(PRM\|1\|D)|(kpr)|(kdp)|(train st.+moving)|(\|lc)|(penalty))"</v>
      </c>
      <c r="AG168" s="181" t="str">
        <f t="shared" si="64"/>
        <v>NW</v>
      </c>
      <c r="AH168" s="78" t="str">
        <f t="shared" si="65"/>
        <v>"%USERPROFILE%\Documents\GitHub\eaglep3\Utilities\RefineRTDCRunTimes.py" --tripid 807-20 --locoid 4014 --swversion DE.1.0.9.0 --startMP 204:1161 --initTime 2017-11-20T06:57:12 --startdatetime 2017-11-20T07:09:28 --delay 48 --endMP 300:58899 --enddatetime 2017-11-20T07:24:28 --enforcementcount 0 &gt;&gt;%USERPROFILE%\Documents\GitHub\eaglep3-reporting\EC\2017-11-20-refined-times.txt</v>
      </c>
      <c r="AI168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{"issue":{"subject":"","project_id":79,"tracker_id":40,"status_id":1,"priority_id":2,"assigned_to_id":338,"start_date":"2017-11-20","description":"","custom_fields":[{"id":1,"name":"Subdivision","value":"NW"},{"id":4,"name":"Milepost","value":"5.8899"},{"id":17,"name":"Train ID","value":"807-20"},{"id":16,"name":"Locomotive ID","value":"4014"},{"id":130,"name":"Impact","value":""},{"id":150,"name":"Time of Event (Mountain Time)","value":"07:24:28"},{"id":151,"name":"Denver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1" t="str">
        <f t="shared" si="67"/>
        <v>start /low /b %USERPROFILE%\Documents\GitHub\eaglep3\Utilities\DownloadLogsFromS3.py --loco 4014 --day 2017-11-20</v>
      </c>
      <c r="AN168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14:24:28"},{"id":29,"name":"Sharepoint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7" t="str">
        <f t="shared" si="69"/>
        <v>https://d0f6bd738d7f1b3e5a7ca70fe4ff75f0.us-east-1.aws.found.io/app/kibana#/discover/Steve-Slow-Train-Analysis-(2080s-and-2083s)?_g=(refreshInterval:(display:Off,pause:!f,section:0,value:0),time:(from:'2017-11-20T05:57:12-0700',mode:absolute,to:'2017-11-20T08:24:28-0700'))&amp;_a=(columns:!('Message%20ID',Summary),filters:!(),index:'emp_*',interval:auto,query:(query_string:(analyze_wildcard:!t,query:'%22rtdc.l.rtdc.4014%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724</v>
      </c>
      <c r="B169" s="7">
        <v>4013</v>
      </c>
      <c r="C169" s="21" t="s">
        <v>192</v>
      </c>
      <c r="D169" s="21" t="s">
        <v>1027</v>
      </c>
      <c r="E169" s="13">
        <v>43059.309583333335</v>
      </c>
      <c r="F169" s="13">
        <v>43059.320833333331</v>
      </c>
      <c r="G169" s="7">
        <v>70</v>
      </c>
      <c r="H169" s="21" t="s">
        <v>1028</v>
      </c>
      <c r="I169" s="13">
        <v>43059.329421296294</v>
      </c>
      <c r="J169" s="7">
        <v>0</v>
      </c>
      <c r="K169" s="89" t="str">
        <f t="shared" si="53"/>
        <v>4013/4014</v>
      </c>
      <c r="L169" s="184" t="str">
        <f>VLOOKUP(A169,'Trips&amp;Operators'!$C$1:$G$99911,5,FALSE)</f>
        <v>YANAI IAN</v>
      </c>
      <c r="M169" s="6">
        <f t="shared" si="54"/>
        <v>8.5879629623377696E-3</v>
      </c>
      <c r="N169" s="7">
        <f t="shared" si="70"/>
        <v>12.366666665766388</v>
      </c>
      <c r="O169" s="7"/>
      <c r="P169" s="7"/>
      <c r="Q169" s="22"/>
      <c r="R169" s="173"/>
      <c r="S169" s="220">
        <f t="shared" si="71"/>
        <v>1</v>
      </c>
      <c r="T169" s="173" t="str">
        <f t="shared" si="55"/>
        <v>Southbound</v>
      </c>
      <c r="U169" s="19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5" t="str">
        <f t="shared" si="56"/>
        <v>https://d0f6bd738d7f1b3e5a7ca70fe4ff75f0.us-east-1.aws.found.io/app/kibana#/discover/Steve-Slow-Train-Analysis-(2080s-and-2083s)?_g=(refreshInterval:(display:Off,pause:!f,section:0,value:0),time:(from:'2017-11-20T06:25:48-0700',mode:absolute,to:'2017-11-20T08:54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9" s="203" t="str">
        <f>IF(AA169&lt;VLOOKUP(AG169,Variables!$AC$3:$AD$8,2,FALSE),"Y","N")</f>
        <v>N</v>
      </c>
      <c r="X169" s="203">
        <f t="shared" si="87"/>
        <v>1</v>
      </c>
      <c r="Y169" s="203">
        <f t="shared" si="85"/>
        <v>5.8581000000000003</v>
      </c>
      <c r="Z169" s="203">
        <f t="shared" si="86"/>
        <v>8.6699999999999999E-2</v>
      </c>
      <c r="AA169" s="203">
        <f t="shared" si="60"/>
        <v>5.7713999999999999</v>
      </c>
      <c r="AB169" s="54" t="e">
        <f>VLOOKUP(A169,Enforcements!$C$7:$K$9,8,0)</f>
        <v>#N/A</v>
      </c>
      <c r="AC169" s="51" t="e">
        <f>VLOOKUP(A169,Enforcements!$C$7:$E$9,3,0)</f>
        <v>#N/A</v>
      </c>
      <c r="AD169" s="178">
        <f t="shared" si="61"/>
        <v>808</v>
      </c>
      <c r="AE169" s="77" t="str">
        <f t="shared" si="62"/>
        <v>aws s3 cp s3://rtdc.mdm.uploadarchive.raw/RTDC4013/ "%USERPROFILE%\AppData\Local\Temp\OnboardLogs"\RTDC4013\2017-11-20 --exclude "*" --recursive --include "*20171120*" &amp; "%USERPROFILE%\Documents\GitHub\mrs-test-scripts\Headless Mode &amp; Sideloading\WalkAndUnGZ.bat" "%USERPROFILE%\AppData\Local\Temp\OnboardLogs"\RTDC4013\2017-11-20 &amp; 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</v>
      </c>
      <c r="AF169" s="74" t="str">
        <f t="shared" si="63"/>
        <v>"C:\Program Files (x86)\AstroGrep\AstroGrep.exe" /e /r /s /spath="%USERPROFILE%\AppData\Local\Temp\OnboardLogs" /stypes="app*4013*20171120*" /stext=" 14:.+((SYSTEM_STATE.+slice.+state.+changed )|(ment ac)|(multiple cpu faults)|(system.+state.+changed )|(\[timeout)|(PRM\|1\|D)|(kpr)|(kdp)|(train st.+moving)|(\|lc)|(penalty))"</v>
      </c>
      <c r="AG169" s="181" t="str">
        <f t="shared" si="64"/>
        <v>NW</v>
      </c>
      <c r="AH169" s="78" t="str">
        <f t="shared" si="65"/>
        <v>"%USERPROFILE%\Documents\GitHub\eaglep3\Utilities\RefineRTDCRunTimes.py" --tripid 808-20 --locoid 4013 --swversion DE.1.0.9.0 --startMP 300:58581 --initTime 2017-11-20T07:25:48 --startdatetime 2017-11-20T07:42:00 --delay 70 --endMP 204:867 --enddatetime 2017-11-20T07:54:22 --enforcementcount 0 &gt;&gt;%USERPROFILE%\Documents\GitHub\eaglep3-reporting\EC\2017-11-20-refined-times.txt</v>
      </c>
      <c r="AI169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{"issue":{"subject":"","project_id":79,"tracker_id":40,"status_id":1,"priority_id":2,"assigned_to_id":338,"start_date":"2017-11-20","description":"","custom_fields":[{"id":1,"name":"Subdivision","value":"NW"},{"id":4,"name":"Milepost","value":"0.0867"},{"id":17,"name":"Train ID","value":"808-20"},{"id":16,"name":"Locomotive ID","value":"4013"},{"id":130,"name":"Impact","value":""},{"id":150,"name":"Time of Event (Mountain Time)","value":"07:54:22"},{"id":151,"name":"Denver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1" t="str">
        <f t="shared" si="67"/>
        <v>start /low /b %USERPROFILE%\Documents\GitHub\eaglep3\Utilities\DownloadLogsFromS3.py --loco 4013 --day 2017-11-20</v>
      </c>
      <c r="AN169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14:54:22"},{"id":29,"name":"Sharepoint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7" t="str">
        <f t="shared" si="69"/>
        <v>https://d0f6bd738d7f1b3e5a7ca70fe4ff75f0.us-east-1.aws.found.io/app/kibana#/discover/Steve-Slow-Train-Analysis-(2080s-and-2083s)?_g=(refreshInterval:(display:Off,pause:!f,section:0,value:0),time:(from:'2017-11-20T06:25:48-0700',mode:absolute,to:'2017-11-20T08:54:22-0700'))&amp;_a=(columns:!('Message%20ID',Summary),filters:!(),index:'emp_*',interval:auto,query:(query_string:(analyze_wildcard:!t,query:'%22rtdc.l.rtdc.4013%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725</v>
      </c>
      <c r="B170" s="7">
        <v>4062</v>
      </c>
      <c r="C170" s="21" t="s">
        <v>192</v>
      </c>
      <c r="D170" s="21" t="s">
        <v>1017</v>
      </c>
      <c r="E170" s="13">
        <v>43059.317152777781</v>
      </c>
      <c r="F170" s="13">
        <v>43059.319305555553</v>
      </c>
      <c r="G170" s="7">
        <v>64</v>
      </c>
      <c r="H170" s="21" t="s">
        <v>1029</v>
      </c>
      <c r="I170" s="13">
        <v>43059.328923611109</v>
      </c>
      <c r="J170" s="7">
        <v>0</v>
      </c>
      <c r="K170" s="89" t="str">
        <f t="shared" si="53"/>
        <v>4061/4062</v>
      </c>
      <c r="L170" s="184" t="str">
        <f>VLOOKUP(A170,'Trips&amp;Operators'!$C$1:$G$99911,5,FALSE)</f>
        <v>MACDONALD THOMAS</v>
      </c>
      <c r="M170" s="6">
        <f t="shared" si="54"/>
        <v>9.6180555556202307E-3</v>
      </c>
      <c r="N170" s="7">
        <f t="shared" si="70"/>
        <v>13.850000000093132</v>
      </c>
      <c r="O170" s="7"/>
      <c r="P170" s="7"/>
      <c r="Q170" s="22"/>
      <c r="R170" s="173"/>
      <c r="S170" s="220">
        <f t="shared" si="71"/>
        <v>1</v>
      </c>
      <c r="T170" s="173" t="str">
        <f t="shared" si="55"/>
        <v>NorthBound</v>
      </c>
      <c r="U170" s="19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5" t="str">
        <f t="shared" si="56"/>
        <v>https://d0f6bd738d7f1b3e5a7ca70fe4ff75f0.us-east-1.aws.found.io/app/kibana#/discover/Steve-Slow-Train-Analysis-(2080s-and-2083s)?_g=(refreshInterval:(display:Off,pause:!f,section:0,value:0),time:(from:'2017-11-20T06:36:42-0700',mode:absolute,to:'2017-11-20T08:53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0" s="203" t="str">
        <f>IF(AA170&lt;VLOOKUP(AG170,Variables!$AC$3:$AD$8,2,FALSE),"Y","N")</f>
        <v>N</v>
      </c>
      <c r="X170" s="203">
        <f t="shared" si="87"/>
        <v>1</v>
      </c>
      <c r="Y170" s="203">
        <f t="shared" si="85"/>
        <v>0.1128</v>
      </c>
      <c r="Z170" s="203">
        <f t="shared" si="86"/>
        <v>5.8902999999999999</v>
      </c>
      <c r="AA170" s="203">
        <f t="shared" si="60"/>
        <v>5.7774999999999999</v>
      </c>
      <c r="AB170" s="54" t="e">
        <f>VLOOKUP(A170,Enforcements!$C$7:$K$9,8,0)</f>
        <v>#N/A</v>
      </c>
      <c r="AC170" s="51" t="e">
        <f>VLOOKUP(A170,Enforcements!$C$7:$E$9,3,0)</f>
        <v>#N/A</v>
      </c>
      <c r="AD170" s="178">
        <f t="shared" si="61"/>
        <v>809</v>
      </c>
      <c r="AE170" s="77" t="str">
        <f t="shared" si="62"/>
        <v>aws s3 cp s3://rtdc.mdm.uploadarchive.raw/RTDC4062/ "%USERPROFILE%\AppData\Local\Temp\OnboardLogs"\RTDC4062\2017-11-20 --exclude "*" --recursive --include "*20171120*" &amp; "%USERPROFILE%\Documents\GitHub\mrs-test-scripts\Headless Mode &amp; Sideloading\WalkAndUnGZ.bat" "%USERPROFILE%\AppData\Local\Temp\OnboardLogs"\RTDC4062\2017-11-20 &amp; aws s3 cp s3://rtdc.mdm.uploadarchive.raw/RTDC4062/ "%USERPROFILE%\AppData\Local\Temp\OnboardLogs"\RTDC4062\2017-11-21 --exclude "*" --recursive --include "*20171121*" &amp; "%USERPROFILE%\Documents\GitHub\mrs-test-scripts\Headless Mode &amp; Sideloading\WalkAndUnGZ.bat" "%USERPROFILE%\AppData\Local\Temp\OnboardLogs"\RTDC4062\2017-11-21</v>
      </c>
      <c r="AF170" s="74" t="str">
        <f t="shared" si="63"/>
        <v>"C:\Program Files (x86)\AstroGrep\AstroGrep.exe" /e /r /s /spath="%USERPROFILE%\AppData\Local\Temp\OnboardLogs" /stypes="app*4062*20171120*" /stext=" 14:.+((SYSTEM_STATE.+slice.+state.+changed )|(ment ac)|(multiple cpu faults)|(system.+state.+changed )|(\[timeout)|(PRM\|1\|D)|(kpr)|(kdp)|(train st.+moving)|(\|lc)|(penalty))"</v>
      </c>
      <c r="AG170" s="181" t="str">
        <f t="shared" si="64"/>
        <v>NW</v>
      </c>
      <c r="AH170" s="78" t="str">
        <f t="shared" si="65"/>
        <v>"%USERPROFILE%\Documents\GitHub\eaglep3\Utilities\RefineRTDCRunTimes.py" --tripid 809-20 --locoid 4062 --swversion DE.1.0.9.0 --startMP 204:1128 --initTime 2017-11-20T07:36:42 --startdatetime 2017-11-20T07:39:48 --delay 64 --endMP 300:58903 --enddatetime 2017-11-20T07:53:39 --enforcementcount 0 &gt;&gt;%USERPROFILE%\Documents\GitHub\eaglep3-reporting\EC\2017-11-20-refined-times.txt</v>
      </c>
      <c r="AI170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{"issue":{"subject":"","project_id":79,"tracker_id":40,"status_id":1,"priority_id":2,"assigned_to_id":338,"start_date":"2017-11-20","description":"","custom_fields":[{"id":1,"name":"Subdivision","value":"NW"},{"id":4,"name":"Milepost","value":"5.8903"},{"id":17,"name":"Train ID","value":"809-20"},{"id":16,"name":"Locomotive ID","value":"4062"},{"id":130,"name":"Impact","value":""},{"id":150,"name":"Time of Event (Mountain Time)","value":"07:53:39"},{"id":151,"name":"Denver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1" t="str">
        <f t="shared" si="67"/>
        <v>start /low /b %USERPROFILE%\Documents\GitHub\eaglep3\Utilities\DownloadLogsFromS3.py --loco 4062 --day 2017-11-20</v>
      </c>
      <c r="AN170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14:53:39"},{"id":29,"name":"Sharepoint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7" t="str">
        <f t="shared" si="69"/>
        <v>https://d0f6bd738d7f1b3e5a7ca70fe4ff75f0.us-east-1.aws.found.io/app/kibana#/discover/Steve-Slow-Train-Analysis-(2080s-and-2083s)?_g=(refreshInterval:(display:Off,pause:!f,section:0,value:0),time:(from:'2017-11-20T06:36:42-0700',mode:absolute,to:'2017-11-20T08:53:39-0700'))&amp;_a=(columns:!('Message%20ID',Summary),filters:!(),index:'emp_*',interval:auto,query:(query_string:(analyze_wildcard:!t,query:'%22rtdc.l.rtdc.4062%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655</v>
      </c>
      <c r="B171" s="7">
        <v>4061</v>
      </c>
      <c r="C171" s="21" t="s">
        <v>192</v>
      </c>
      <c r="D171" s="21" t="s">
        <v>1019</v>
      </c>
      <c r="E171" s="13">
        <v>43059.329560185186</v>
      </c>
      <c r="F171" s="13">
        <v>43059.342361111114</v>
      </c>
      <c r="G171" s="7">
        <v>77</v>
      </c>
      <c r="H171" s="21" t="s">
        <v>1030</v>
      </c>
      <c r="I171" s="13">
        <v>43059.351458333331</v>
      </c>
      <c r="J171" s="7">
        <v>0</v>
      </c>
      <c r="K171" s="89" t="str">
        <f t="shared" si="53"/>
        <v>4061/4062</v>
      </c>
      <c r="L171" s="184" t="str">
        <f>VLOOKUP(A171,'Trips&amp;Operators'!$C$1:$G$99911,5,FALSE)</f>
        <v>MACDONALD THOMAS</v>
      </c>
      <c r="M171" s="6">
        <f t="shared" si="54"/>
        <v>9.0972222169511952E-3</v>
      </c>
      <c r="N171" s="7">
        <f t="shared" si="70"/>
        <v>13.099999992409721</v>
      </c>
      <c r="O171" s="7"/>
      <c r="P171" s="7"/>
      <c r="Q171" s="22"/>
      <c r="R171" s="173"/>
      <c r="S171" s="220">
        <f t="shared" si="71"/>
        <v>1</v>
      </c>
      <c r="T171" s="173" t="str">
        <f t="shared" si="55"/>
        <v>Southbound</v>
      </c>
      <c r="U171" s="19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5" t="str">
        <f t="shared" si="56"/>
        <v>https://d0f6bd738d7f1b3e5a7ca70fe4ff75f0.us-east-1.aws.found.io/app/kibana#/discover/Steve-Slow-Train-Analysis-(2080s-and-2083s)?_g=(refreshInterval:(display:Off,pause:!f,section:0,value:0),time:(from:'2017-11-20T06:54:34-0700',mode:absolute,to:'2017-11-20T09:26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1" s="203" t="str">
        <f>IF(AA171&lt;VLOOKUP(AG171,Variables!$AC$3:$AD$8,2,FALSE),"Y","N")</f>
        <v>N</v>
      </c>
      <c r="X171" s="203">
        <f t="shared" si="87"/>
        <v>1</v>
      </c>
      <c r="Y171" s="203">
        <f t="shared" si="85"/>
        <v>5.8590999999999998</v>
      </c>
      <c r="Z171" s="203">
        <f t="shared" si="86"/>
        <v>8.0399999999999999E-2</v>
      </c>
      <c r="AA171" s="203">
        <f t="shared" si="60"/>
        <v>5.7786999999999997</v>
      </c>
      <c r="AB171" s="54" t="e">
        <f>VLOOKUP(A171,Enforcements!$C$7:$K$9,8,0)</f>
        <v>#N/A</v>
      </c>
      <c r="AC171" s="51" t="e">
        <f>VLOOKUP(A171,Enforcements!$C$7:$E$9,3,0)</f>
        <v>#N/A</v>
      </c>
      <c r="AD171" s="178">
        <f t="shared" si="61"/>
        <v>810</v>
      </c>
      <c r="AE171" s="77" t="str">
        <f t="shared" si="62"/>
        <v>aws s3 cp s3://rtdc.mdm.uploadarchive.raw/RTDC4061/ "%USERPROFILE%\AppData\Local\Temp\OnboardLogs"\RTDC4061\2017-11-20 --exclude "*" --recursive --include "*20171120*" &amp; "%USERPROFILE%\Documents\GitHub\mrs-test-scripts\Headless Mode &amp; Sideloading\WalkAndUnGZ.bat" "%USERPROFILE%\AppData\Local\Temp\OnboardLogs"\RTDC4061\2017-11-20 &amp; aws s3 cp s3://rtdc.mdm.uploadarchive.raw/RTDC4061/ "%USERPROFILE%\AppData\Local\Temp\OnboardLogs"\RTDC4061\2017-11-21 --exclude "*" --recursive --include "*20171121*" &amp; "%USERPROFILE%\Documents\GitHub\mrs-test-scripts\Headless Mode &amp; Sideloading\WalkAndUnGZ.bat" "%USERPROFILE%\AppData\Local\Temp\OnboardLogs"\RTDC4061\2017-11-21</v>
      </c>
      <c r="AF171" s="74" t="str">
        <f t="shared" si="63"/>
        <v>"C:\Program Files (x86)\AstroGrep\AstroGrep.exe" /e /r /s /spath="%USERPROFILE%\AppData\Local\Temp\OnboardLogs" /stypes="app*4061*20171120*" /stext=" 15:.+((SYSTEM_STATE.+slice.+state.+changed )|(ment ac)|(multiple cpu faults)|(system.+state.+changed )|(\[timeout)|(PRM\|1\|D)|(kpr)|(kdp)|(train st.+moving)|(\|lc)|(penalty))"</v>
      </c>
      <c r="AG171" s="181" t="str">
        <f t="shared" si="64"/>
        <v>NW</v>
      </c>
      <c r="AH171" s="78" t="str">
        <f t="shared" si="65"/>
        <v>"%USERPROFILE%\Documents\GitHub\eaglep3\Utilities\RefineRTDCRunTimes.py" --tripid 810-20 --locoid 4061 --swversion DE.1.0.9.0 --startMP 300:58591 --initTime 2017-11-20T07:54:34 --startdatetime 2017-11-20T08:13:00 --delay 77 --endMP 204:804 --enddatetime 2017-11-20T08:26:06 --enforcementcount 0 &gt;&gt;%USERPROFILE%\Documents\GitHub\eaglep3-reporting\EC\2017-11-20-refined-times.txt</v>
      </c>
      <c r="AI171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{"issue":{"subject":"","project_id":79,"tracker_id":40,"status_id":1,"priority_id":2,"assigned_to_id":338,"start_date":"2017-11-20","description":"","custom_fields":[{"id":1,"name":"Subdivision","value":"NW"},{"id":4,"name":"Milepost","value":"0.0804"},{"id":17,"name":"Train ID","value":"810-20"},{"id":16,"name":"Locomotive ID","value":"4061"},{"id":130,"name":"Impact","value":""},{"id":150,"name":"Time of Event (Mountain Time)","value":"08:26:06"},{"id":151,"name":"Denver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1" t="str">
        <f t="shared" si="67"/>
        <v>start /low /b %USERPROFILE%\Documents\GitHub\eaglep3\Utilities\DownloadLogsFromS3.py --loco 4061 --day 2017-11-20</v>
      </c>
      <c r="AN171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15:26:06"},{"id":29,"name":"Sharepoint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7" t="str">
        <f t="shared" si="69"/>
        <v>https://d0f6bd738d7f1b3e5a7ca70fe4ff75f0.us-east-1.aws.found.io/app/kibana#/discover/Steve-Slow-Train-Analysis-(2080s-and-2083s)?_g=(refreshInterval:(display:Off,pause:!f,section:0,value:0),time:(from:'2017-11-20T06:54:34-0700',mode:absolute,to:'2017-11-20T09:26:06-0700'))&amp;_a=(columns:!('Message%20ID',Summary),filters:!(),index:'emp_*',interval:auto,query:(query_string:(analyze_wildcard:!t,query:'%22rtdc.l.rtdc.4061%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730</v>
      </c>
      <c r="B172" s="7">
        <v>4014</v>
      </c>
      <c r="C172" s="21" t="s">
        <v>192</v>
      </c>
      <c r="D172" s="21" t="s">
        <v>1031</v>
      </c>
      <c r="E172" s="13">
        <v>43059.330520833333</v>
      </c>
      <c r="F172" s="13">
        <v>43059.339803240742</v>
      </c>
      <c r="G172" s="7">
        <v>50</v>
      </c>
      <c r="H172" s="21" t="s">
        <v>1026</v>
      </c>
      <c r="I172" s="13">
        <v>43059.349305555559</v>
      </c>
      <c r="J172" s="7">
        <v>0</v>
      </c>
      <c r="K172" s="89" t="str">
        <f t="shared" si="53"/>
        <v>4013/4014</v>
      </c>
      <c r="L172" s="184" t="str">
        <f>VLOOKUP(A172,'Trips&amp;Operators'!$C$1:$G$99911,5,FALSE)</f>
        <v>YANAI IAN</v>
      </c>
      <c r="M172" s="6">
        <f t="shared" si="54"/>
        <v>9.5023148169275373E-3</v>
      </c>
      <c r="N172" s="7">
        <f t="shared" si="70"/>
        <v>13.683333336375654</v>
      </c>
      <c r="O172" s="7"/>
      <c r="P172" s="7"/>
      <c r="Q172" s="22"/>
      <c r="R172" s="173"/>
      <c r="S172" s="220">
        <f t="shared" si="71"/>
        <v>1</v>
      </c>
      <c r="T172" s="173" t="str">
        <f t="shared" si="55"/>
        <v>NorthBound</v>
      </c>
      <c r="U172" s="19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5" t="str">
        <f t="shared" si="56"/>
        <v>https://d0f6bd738d7f1b3e5a7ca70fe4ff75f0.us-east-1.aws.found.io/app/kibana#/discover/Steve-Slow-Train-Analysis-(2080s-and-2083s)?_g=(refreshInterval:(display:Off,pause:!f,section:0,value:0),time:(from:'2017-11-20T06:55:57-0700',mode:absolute,to:'2017-11-20T09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2" s="203" t="str">
        <f>IF(AA172&lt;VLOOKUP(AG172,Variables!$AC$3:$AD$8,2,FALSE),"Y","N")</f>
        <v>N</v>
      </c>
      <c r="X172" s="203">
        <f t="shared" si="87"/>
        <v>1</v>
      </c>
      <c r="Y172" s="203">
        <f t="shared" si="85"/>
        <v>0.1172</v>
      </c>
      <c r="Z172" s="203">
        <f t="shared" si="86"/>
        <v>5.8898999999999999</v>
      </c>
      <c r="AA172" s="203">
        <f t="shared" si="60"/>
        <v>5.7726999999999995</v>
      </c>
      <c r="AB172" s="54" t="e">
        <f>VLOOKUP(A172,Enforcements!$C$7:$K$9,8,0)</f>
        <v>#N/A</v>
      </c>
      <c r="AC172" s="51" t="e">
        <f>VLOOKUP(A172,Enforcements!$C$7:$E$9,3,0)</f>
        <v>#N/A</v>
      </c>
      <c r="AD172" s="178">
        <f t="shared" si="61"/>
        <v>811</v>
      </c>
      <c r="AE172" s="77" t="str">
        <f t="shared" si="62"/>
        <v>aws s3 cp s3://rtdc.mdm.uploadarchive.raw/RTDC4014/ "%USERPROFILE%\AppData\Local\Temp\OnboardLogs"\RTDC4014\2017-11-20 --exclude "*" --recursive --include "*20171120*" &amp; "%USERPROFILE%\Documents\GitHub\mrs-test-scripts\Headless Mode &amp; Sideloading\WalkAndUnGZ.bat" "%USERPROFILE%\AppData\Local\Temp\OnboardLogs"\RTDC4014\2017-11-20 &amp; 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</v>
      </c>
      <c r="AF172" s="74" t="str">
        <f t="shared" si="63"/>
        <v>"C:\Program Files (x86)\AstroGrep\AstroGrep.exe" /e /r /s /spath="%USERPROFILE%\AppData\Local\Temp\OnboardLogs" /stypes="app*4014*20171120*" /stext=" 15:.+((SYSTEM_STATE.+slice.+state.+changed )|(ment ac)|(multiple cpu faults)|(system.+state.+changed )|(\[timeout)|(PRM\|1\|D)|(kpr)|(kdp)|(train st.+moving)|(\|lc)|(penalty))"</v>
      </c>
      <c r="AG172" s="181" t="str">
        <f t="shared" si="64"/>
        <v>NW</v>
      </c>
      <c r="AH172" s="78" t="str">
        <f t="shared" si="65"/>
        <v>"%USERPROFILE%\Documents\GitHub\eaglep3\Utilities\RefineRTDCRunTimes.py" --tripid 811-20 --locoid 4014 --swversion DE.1.0.9.0 --startMP 204:1172 --initTime 2017-11-20T07:55:57 --startdatetime 2017-11-20T08:09:19 --delay 50 --endMP 300:58899 --enddatetime 2017-11-20T08:23:00 --enforcementcount 0 &gt;&gt;%USERPROFILE%\Documents\GitHub\eaglep3-reporting\EC\2017-11-20-refined-times.txt</v>
      </c>
      <c r="AI172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{"issue":{"subject":"","project_id":79,"tracker_id":40,"status_id":1,"priority_id":2,"assigned_to_id":338,"start_date":"2017-11-20","description":"","custom_fields":[{"id":1,"name":"Subdivision","value":"NW"},{"id":4,"name":"Milepost","value":"5.8899"},{"id":17,"name":"Train ID","value":"811-20"},{"id":16,"name":"Locomotive ID","value":"4014"},{"id":130,"name":"Impact","value":""},{"id":150,"name":"Time of Event (Mountain Time)","value":"08:23:00"},{"id":151,"name":"Denver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1" t="str">
        <f t="shared" si="67"/>
        <v>start /low /b %USERPROFILE%\Documents\GitHub\eaglep3\Utilities\DownloadLogsFromS3.py --loco 4014 --day 2017-11-20</v>
      </c>
      <c r="AN172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15:23:00"},{"id":29,"name":"Sharepoint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7" t="str">
        <f t="shared" si="69"/>
        <v>https://d0f6bd738d7f1b3e5a7ca70fe4ff75f0.us-east-1.aws.found.io/app/kibana#/discover/Steve-Slow-Train-Analysis-(2080s-and-2083s)?_g=(refreshInterval:(display:Off,pause:!f,section:0,value:0),time:(from:'2017-11-20T06:55:57-0700',mode:absolute,to:'2017-11-20T09:23:00-0700'))&amp;_a=(columns:!('Message%20ID',Summary),filters:!(),index:'emp_*',interval:auto,query:(query_string:(analyze_wildcard:!t,query:'%22rtdc.l.rtdc.4014%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733</v>
      </c>
      <c r="B173" s="7">
        <v>4013</v>
      </c>
      <c r="C173" s="21" t="s">
        <v>192</v>
      </c>
      <c r="D173" s="21" t="s">
        <v>1032</v>
      </c>
      <c r="E173" s="13">
        <v>43059.350127314814</v>
      </c>
      <c r="F173" s="13">
        <v>43059.362500000003</v>
      </c>
      <c r="G173" s="7">
        <v>51</v>
      </c>
      <c r="H173" s="21" t="s">
        <v>571</v>
      </c>
      <c r="I173" s="13">
        <v>43059.37122685185</v>
      </c>
      <c r="J173" s="7">
        <v>0</v>
      </c>
      <c r="K173" s="89" t="str">
        <f t="shared" si="53"/>
        <v>4013/4014</v>
      </c>
      <c r="L173" s="184" t="str">
        <f>VLOOKUP(A173,'Trips&amp;Operators'!$C$1:$G$99911,5,FALSE)</f>
        <v>YANAI IAN</v>
      </c>
      <c r="M173" s="6">
        <f t="shared" si="54"/>
        <v>8.7268518473138101E-3</v>
      </c>
      <c r="N173" s="7">
        <f t="shared" si="70"/>
        <v>12.566666660131887</v>
      </c>
      <c r="O173" s="7"/>
      <c r="P173" s="7"/>
      <c r="Q173" s="22"/>
      <c r="R173" s="173"/>
      <c r="S173" s="220">
        <f t="shared" si="71"/>
        <v>1</v>
      </c>
      <c r="T173" s="173" t="str">
        <f t="shared" si="55"/>
        <v>Southbound</v>
      </c>
      <c r="U173" s="19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5" t="str">
        <f t="shared" si="56"/>
        <v>https://d0f6bd738d7f1b3e5a7ca70fe4ff75f0.us-east-1.aws.found.io/app/kibana#/discover/Steve-Slow-Train-Analysis-(2080s-and-2083s)?_g=(refreshInterval:(display:Off,pause:!f,section:0,value:0),time:(from:'2017-11-20T07:24:11-0700',mode:absolute,to:'2017-11-20T09:54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3" s="203" t="str">
        <f>IF(AA173&lt;VLOOKUP(AG173,Variables!$AC$3:$AD$8,2,FALSE),"Y","N")</f>
        <v>N</v>
      </c>
      <c r="X173" s="203">
        <f t="shared" si="87"/>
        <v>1</v>
      </c>
      <c r="Y173" s="203">
        <f t="shared" si="85"/>
        <v>5.8582999999999998</v>
      </c>
      <c r="Z173" s="203">
        <f t="shared" si="86"/>
        <v>8.6900000000000005E-2</v>
      </c>
      <c r="AA173" s="203">
        <f t="shared" si="60"/>
        <v>5.7713999999999999</v>
      </c>
      <c r="AB173" s="54" t="e">
        <f>VLOOKUP(A173,Enforcements!$C$7:$K$9,8,0)</f>
        <v>#N/A</v>
      </c>
      <c r="AC173" s="51" t="e">
        <f>VLOOKUP(A173,Enforcements!$C$7:$E$9,3,0)</f>
        <v>#N/A</v>
      </c>
      <c r="AD173" s="178">
        <f t="shared" si="61"/>
        <v>812</v>
      </c>
      <c r="AE173" s="77" t="str">
        <f t="shared" si="62"/>
        <v>aws s3 cp s3://rtdc.mdm.uploadarchive.raw/RTDC4013/ "%USERPROFILE%\AppData\Local\Temp\OnboardLogs"\RTDC4013\2017-11-20 --exclude "*" --recursive --include "*20171120*" &amp; "%USERPROFILE%\Documents\GitHub\mrs-test-scripts\Headless Mode &amp; Sideloading\WalkAndUnGZ.bat" "%USERPROFILE%\AppData\Local\Temp\OnboardLogs"\RTDC4013\2017-11-20 &amp; 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</v>
      </c>
      <c r="AF173" s="74" t="str">
        <f t="shared" si="63"/>
        <v>"C:\Program Files (x86)\AstroGrep\AstroGrep.exe" /e /r /s /spath="%USERPROFILE%\AppData\Local\Temp\OnboardLogs" /stypes="app*4013*20171120*" /stext=" 15:.+((SYSTEM_STATE.+slice.+state.+changed )|(ment ac)|(multiple cpu faults)|(system.+state.+changed )|(\[timeout)|(PRM\|1\|D)|(kpr)|(kdp)|(train st.+moving)|(\|lc)|(penalty))"</v>
      </c>
      <c r="AG173" s="181" t="str">
        <f t="shared" si="64"/>
        <v>NW</v>
      </c>
      <c r="AH173" s="78" t="str">
        <f t="shared" si="65"/>
        <v>"%USERPROFILE%\Documents\GitHub\eaglep3\Utilities\RefineRTDCRunTimes.py" --tripid 812-20 --locoid 4013 --swversion DE.1.0.9.0 --startMP 300:58583 --initTime 2017-11-20T08:24:11 --startdatetime 2017-11-20T08:42:00 --delay 51 --endMP 204:869 --enddatetime 2017-11-20T08:54:34 --enforcementcount 0 &gt;&gt;%USERPROFILE%\Documents\GitHub\eaglep3-reporting\EC\2017-11-20-refined-times.txt</v>
      </c>
      <c r="AI173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{"issue":{"subject":"","project_id":79,"tracker_id":40,"status_id":1,"priority_id":2,"assigned_to_id":338,"start_date":"2017-11-20","description":"","custom_fields":[{"id":1,"name":"Subdivision","value":"NW"},{"id":4,"name":"Milepost","value":"0.0869"},{"id":17,"name":"Train ID","value":"812-20"},{"id":16,"name":"Locomotive ID","value":"4013"},{"id":130,"name":"Impact","value":""},{"id":150,"name":"Time of Event (Mountain Time)","value":"08:54:34"},{"id":151,"name":"Denver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1" t="str">
        <f t="shared" si="67"/>
        <v>start /low /b %USERPROFILE%\Documents\GitHub\eaglep3\Utilities\DownloadLogsFromS3.py --loco 4013 --day 2017-11-20</v>
      </c>
      <c r="AN173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15:54:34"},{"id":29,"name":"Sharepoint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7" t="str">
        <f t="shared" si="69"/>
        <v>https://d0f6bd738d7f1b3e5a7ca70fe4ff75f0.us-east-1.aws.found.io/app/kibana#/discover/Steve-Slow-Train-Analysis-(2080s-and-2083s)?_g=(refreshInterval:(display:Off,pause:!f,section:0,value:0),time:(from:'2017-11-20T07:24:11-0700',mode:absolute,to:'2017-11-20T09:54:34-0700'))&amp;_a=(columns:!('Message%20ID',Summary),filters:!(),index:'emp_*',interval:auto,query:(query_string:(analyze_wildcard:!t,query:'%22rtdc.l.rtdc.4013%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742</v>
      </c>
      <c r="B174" s="7">
        <v>4014</v>
      </c>
      <c r="C174" s="21" t="s">
        <v>192</v>
      </c>
      <c r="D174" s="21" t="s">
        <v>1033</v>
      </c>
      <c r="E174" s="13">
        <v>43059.377395833333</v>
      </c>
      <c r="F174" s="13">
        <v>43059.381412037037</v>
      </c>
      <c r="G174" s="7">
        <v>109</v>
      </c>
      <c r="H174" s="21" t="s">
        <v>1018</v>
      </c>
      <c r="I174" s="13">
        <v>43059.390451388892</v>
      </c>
      <c r="J174" s="7">
        <v>0</v>
      </c>
      <c r="K174" s="89" t="str">
        <f t="shared" si="53"/>
        <v>4013/4014</v>
      </c>
      <c r="L174" s="184" t="str">
        <f>VLOOKUP(A174,'Trips&amp;Operators'!$C$1:$G$99911,5,FALSE)</f>
        <v>YANAI IAN</v>
      </c>
      <c r="M174" s="6">
        <f t="shared" si="54"/>
        <v>9.0393518548808061E-3</v>
      </c>
      <c r="N174" s="7">
        <f t="shared" si="70"/>
        <v>13.016666671028361</v>
      </c>
      <c r="O174" s="7"/>
      <c r="P174" s="7"/>
      <c r="Q174" s="22"/>
      <c r="R174" s="173"/>
      <c r="S174" s="220">
        <f t="shared" si="71"/>
        <v>1</v>
      </c>
      <c r="T174" s="173" t="str">
        <f t="shared" si="55"/>
        <v>NorthBound</v>
      </c>
      <c r="U174" s="19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5" t="str">
        <f t="shared" si="56"/>
        <v>https://d0f6bd738d7f1b3e5a7ca70fe4ff75f0.us-east-1.aws.found.io/app/kibana#/discover/Steve-Slow-Train-Analysis-(2080s-and-2083s)?_g=(refreshInterval:(display:Off,pause:!f,section:0,value:0),time:(from:'2017-11-20T08:03:27-0700',mode:absolute,to:'2017-11-20T10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4" s="203" t="str">
        <f>IF(AA174&lt;VLOOKUP(AG174,Variables!$AC$3:$AD$8,2,FALSE),"Y","N")</f>
        <v>N</v>
      </c>
      <c r="X174" s="203">
        <f t="shared" si="87"/>
        <v>1</v>
      </c>
      <c r="Y174" s="203">
        <f t="shared" si="85"/>
        <v>0.1168</v>
      </c>
      <c r="Z174" s="203">
        <f t="shared" si="86"/>
        <v>5.8917999999999999</v>
      </c>
      <c r="AA174" s="203">
        <f t="shared" si="60"/>
        <v>5.7750000000000004</v>
      </c>
      <c r="AB174" s="54" t="e">
        <f>VLOOKUP(A174,Enforcements!$C$7:$K$9,8,0)</f>
        <v>#N/A</v>
      </c>
      <c r="AC174" s="51" t="e">
        <f>VLOOKUP(A174,Enforcements!$C$7:$E$9,3,0)</f>
        <v>#N/A</v>
      </c>
      <c r="AD174" s="178">
        <f t="shared" si="61"/>
        <v>813</v>
      </c>
      <c r="AE174" s="77" t="str">
        <f t="shared" si="62"/>
        <v>aws s3 cp s3://rtdc.mdm.uploadarchive.raw/RTDC4014/ "%USERPROFILE%\AppData\Local\Temp\OnboardLogs"\RTDC4014\2017-11-20 --exclude "*" --recursive --include "*20171120*" &amp; "%USERPROFILE%\Documents\GitHub\mrs-test-scripts\Headless Mode &amp; Sideloading\WalkAndUnGZ.bat" "%USERPROFILE%\AppData\Local\Temp\OnboardLogs"\RTDC4014\2017-11-20 &amp; 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</v>
      </c>
      <c r="AF174" s="74" t="str">
        <f t="shared" si="63"/>
        <v>"C:\Program Files (x86)\AstroGrep\AstroGrep.exe" /e /r /s /spath="%USERPROFILE%\AppData\Local\Temp\OnboardLogs" /stypes="app*4014*20171120*" /stext=" 16:.+((SYSTEM_STATE.+slice.+state.+changed )|(ment ac)|(multiple cpu faults)|(system.+state.+changed )|(\[timeout)|(PRM\|1\|D)|(kpr)|(kdp)|(train st.+moving)|(\|lc)|(penalty))"</v>
      </c>
      <c r="AG174" s="181" t="str">
        <f t="shared" si="64"/>
        <v>NW</v>
      </c>
      <c r="AH174" s="78" t="str">
        <f t="shared" si="65"/>
        <v>"%USERPROFILE%\Documents\GitHub\eaglep3\Utilities\RefineRTDCRunTimes.py" --tripid 813-20 --locoid 4014 --swversion DE.1.0.9.0 --startMP 204:1168 --initTime 2017-11-20T09:03:27 --startdatetime 2017-11-20T09:09:14 --delay 109 --endMP 300:58918 --enddatetime 2017-11-20T09:22:15 --enforcementcount 0 &gt;&gt;%USERPROFILE%\Documents\GitHub\eaglep3-reporting\EC\2017-11-20-refined-times.txt</v>
      </c>
      <c r="AI174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{"issue":{"subject":"","project_id":79,"tracker_id":40,"status_id":1,"priority_id":2,"assigned_to_id":338,"start_date":"2017-11-20","description":"","custom_fields":[{"id":1,"name":"Subdivision","value":"NW"},{"id":4,"name":"Milepost","value":"5.8918"},{"id":17,"name":"Train ID","value":"813-20"},{"id":16,"name":"Locomotive ID","value":"4014"},{"id":130,"name":"Impact","value":""},{"id":150,"name":"Time of Event (Mountain Time)","value":"09:22:15"},{"id":151,"name":"Denver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1" t="str">
        <f t="shared" si="67"/>
        <v>start /low /b %USERPROFILE%\Documents\GitHub\eaglep3\Utilities\DownloadLogsFromS3.py --loco 4014 --day 2017-11-20</v>
      </c>
      <c r="AN174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16:22:15"},{"id":29,"name":"Sharepoint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7" t="str">
        <f t="shared" si="69"/>
        <v>https://d0f6bd738d7f1b3e5a7ca70fe4ff75f0.us-east-1.aws.found.io/app/kibana#/discover/Steve-Slow-Train-Analysis-(2080s-and-2083s)?_g=(refreshInterval:(display:Off,pause:!f,section:0,value:0),time:(from:'2017-11-20T08:03:27-0700',mode:absolute,to:'2017-11-20T10:22:15-0700'))&amp;_a=(columns:!('Message%20ID',Summary),filters:!(),index:'emp_*',interval:auto,query:(query_string:(analyze_wildcard:!t,query:'%22rtdc.l.rtdc.4014%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745</v>
      </c>
      <c r="B175" s="7">
        <v>4013</v>
      </c>
      <c r="C175" s="21" t="s">
        <v>192</v>
      </c>
      <c r="D175" s="21" t="s">
        <v>1015</v>
      </c>
      <c r="E175" s="13">
        <v>43059.391284722224</v>
      </c>
      <c r="F175" s="13">
        <v>43059.404166666667</v>
      </c>
      <c r="G175" s="7">
        <v>72</v>
      </c>
      <c r="H175" s="21" t="s">
        <v>1034</v>
      </c>
      <c r="I175" s="13">
        <v>43059.412685185183</v>
      </c>
      <c r="J175" s="7">
        <v>0</v>
      </c>
      <c r="K175" s="89" t="str">
        <f t="shared" si="53"/>
        <v>4013/4014</v>
      </c>
      <c r="L175" s="184" t="str">
        <f>VLOOKUP(A175,'Trips&amp;Operators'!$C$1:$G$99911,5,FALSE)</f>
        <v>YANAI IAN</v>
      </c>
      <c r="M175" s="6">
        <f t="shared" si="54"/>
        <v>8.5185185162117705E-3</v>
      </c>
      <c r="N175" s="7">
        <f t="shared" ref="N175:N206" si="88">24*60*SUM($M175:$M175)</f>
        <v>12.266666663344949</v>
      </c>
      <c r="O175" s="7"/>
      <c r="P175" s="7"/>
      <c r="Q175" s="22"/>
      <c r="R175" s="173"/>
      <c r="S175" s="220">
        <f t="shared" ref="S175:S206" si="89">1/IF(AG175="EC",12,1)*SUM(U175:U175)</f>
        <v>1</v>
      </c>
      <c r="T175" s="173" t="str">
        <f t="shared" si="55"/>
        <v>Southbound</v>
      </c>
      <c r="U175" s="19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5" t="str">
        <f t="shared" si="56"/>
        <v>https://d0f6bd738d7f1b3e5a7ca70fe4ff75f0.us-east-1.aws.found.io/app/kibana#/discover/Steve-Slow-Train-Analysis-(2080s-and-2083s)?_g=(refreshInterval:(display:Off,pause:!f,section:0,value:0),time:(from:'2017-11-20T08:23:27-0700',mode:absolute,to:'2017-11-20T10:54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5" s="203" t="str">
        <f>IF(AA175&lt;VLOOKUP(AG175,Variables!$AC$3:$AD$8,2,FALSE),"Y","N")</f>
        <v>N</v>
      </c>
      <c r="X175" s="203">
        <f t="shared" si="87"/>
        <v>1</v>
      </c>
      <c r="Y175" s="203">
        <f t="shared" si="85"/>
        <v>5.8601999999999999</v>
      </c>
      <c r="Z175" s="203">
        <f t="shared" si="86"/>
        <v>8.5999999999999993E-2</v>
      </c>
      <c r="AA175" s="203">
        <f t="shared" si="60"/>
        <v>5.7741999999999996</v>
      </c>
      <c r="AB175" s="54" t="e">
        <f>VLOOKUP(A175,Enforcements!$C$7:$K$9,8,0)</f>
        <v>#N/A</v>
      </c>
      <c r="AC175" s="51" t="e">
        <f>VLOOKUP(A175,Enforcements!$C$7:$E$9,3,0)</f>
        <v>#N/A</v>
      </c>
      <c r="AD175" s="178">
        <f t="shared" si="61"/>
        <v>814</v>
      </c>
      <c r="AE175" s="77" t="str">
        <f t="shared" si="62"/>
        <v>aws s3 cp s3://rtdc.mdm.uploadarchive.raw/RTDC4013/ "%USERPROFILE%\AppData\Local\Temp\OnboardLogs"\RTDC4013\2017-11-20 --exclude "*" --recursive --include "*20171120*" &amp; "%USERPROFILE%\Documents\GitHub\mrs-test-scripts\Headless Mode &amp; Sideloading\WalkAndUnGZ.bat" "%USERPROFILE%\AppData\Local\Temp\OnboardLogs"\RTDC4013\2017-11-20 &amp; 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</v>
      </c>
      <c r="AF175" s="74" t="str">
        <f t="shared" si="63"/>
        <v>"C:\Program Files (x86)\AstroGrep\AstroGrep.exe" /e /r /s /spath="%USERPROFILE%\AppData\Local\Temp\OnboardLogs" /stypes="app*4013*20171120*" /stext=" 16:.+((SYSTEM_STATE.+slice.+state.+changed )|(ment ac)|(multiple cpu faults)|(system.+state.+changed )|(\[timeout)|(PRM\|1\|D)|(kpr)|(kdp)|(train st.+moving)|(\|lc)|(penalty))"</v>
      </c>
      <c r="AG175" s="181" t="str">
        <f t="shared" si="64"/>
        <v>NW</v>
      </c>
      <c r="AH175" s="78" t="str">
        <f t="shared" si="65"/>
        <v>"%USERPROFILE%\Documents\GitHub\eaglep3\Utilities\RefineRTDCRunTimes.py" --tripid 814-20 --locoid 4013 --swversion DE.1.0.9.0 --startMP 300:58602 --initTime 2017-11-20T09:23:27 --startdatetime 2017-11-20T09:42:00 --delay 72 --endMP 204:860 --enddatetime 2017-11-20T09:54:16 --enforcementcount 0 &gt;&gt;%USERPROFILE%\Documents\GitHub\eaglep3-reporting\EC\2017-11-20-refined-times.txt</v>
      </c>
      <c r="AI175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{"issue":{"subject":"","project_id":79,"tracker_id":40,"status_id":1,"priority_id":2,"assigned_to_id":338,"start_date":"2017-11-20","description":"","custom_fields":[{"id":1,"name":"Subdivision","value":"NW"},{"id":4,"name":"Milepost","value":"0.086"},{"id":17,"name":"Train ID","value":"814-20"},{"id":16,"name":"Locomotive ID","value":"4013"},{"id":130,"name":"Impact","value":""},{"id":150,"name":"Time of Event (Mountain Time)","value":"09:54:16"},{"id":151,"name":"Denver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1" t="str">
        <f t="shared" si="67"/>
        <v>start /low /b %USERPROFILE%\Documents\GitHub\eaglep3\Utilities\DownloadLogsFromS3.py --loco 4013 --day 2017-11-20</v>
      </c>
      <c r="AN175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16:54:16"},{"id":29,"name":"Sharepoint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7" t="str">
        <f t="shared" si="69"/>
        <v>https://d0f6bd738d7f1b3e5a7ca70fe4ff75f0.us-east-1.aws.found.io/app/kibana#/discover/Steve-Slow-Train-Analysis-(2080s-and-2083s)?_g=(refreshInterval:(display:Off,pause:!f,section:0,value:0),time:(from:'2017-11-20T08:23:27-0700',mode:absolute,to:'2017-11-20T10:54:16-0700'))&amp;_a=(columns:!('Message%20ID',Summary),filters:!(),index:'emp_*',interval:auto,query:(query_string:(analyze_wildcard:!t,query:'%22rtdc.l.rtdc.4013%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750</v>
      </c>
      <c r="B176" s="7">
        <v>4014</v>
      </c>
      <c r="C176" s="21" t="s">
        <v>192</v>
      </c>
      <c r="D176" s="21" t="s">
        <v>1035</v>
      </c>
      <c r="E176" s="13">
        <v>43059.418553240743</v>
      </c>
      <c r="F176" s="13">
        <v>43059.423078703701</v>
      </c>
      <c r="G176" s="7">
        <v>60</v>
      </c>
      <c r="H176" s="21" t="s">
        <v>1036</v>
      </c>
      <c r="I176" s="13">
        <v>43059.432037037041</v>
      </c>
      <c r="J176" s="7">
        <v>0</v>
      </c>
      <c r="K176" s="89" t="str">
        <f t="shared" si="53"/>
        <v>4013/4014</v>
      </c>
      <c r="L176" s="184" t="str">
        <f>VLOOKUP(A176,'Trips&amp;Operators'!$C$1:$G$99911,5,FALSE)</f>
        <v>YANAI IAN</v>
      </c>
      <c r="M176" s="6">
        <f t="shared" si="54"/>
        <v>8.9583333392511122E-3</v>
      </c>
      <c r="N176" s="7">
        <f t="shared" si="88"/>
        <v>12.900000008521602</v>
      </c>
      <c r="O176" s="7"/>
      <c r="P176" s="7"/>
      <c r="Q176" s="22"/>
      <c r="R176" s="173"/>
      <c r="S176" s="220">
        <f t="shared" si="89"/>
        <v>1</v>
      </c>
      <c r="T176" s="173" t="str">
        <f t="shared" si="55"/>
        <v>NorthBound</v>
      </c>
      <c r="U176" s="19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5" t="str">
        <f t="shared" si="56"/>
        <v>https://d0f6bd738d7f1b3e5a7ca70fe4ff75f0.us-east-1.aws.found.io/app/kibana#/discover/Steve-Slow-Train-Analysis-(2080s-and-2083s)?_g=(refreshInterval:(display:Off,pause:!f,section:0,value:0),time:(from:'2017-11-20T09:02:43-0700',mode:absolute,to:'2017-11-20T11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6" s="203" t="str">
        <f>IF(AA176&lt;VLOOKUP(AG176,Variables!$AC$3:$AD$8,2,FALSE),"Y","N")</f>
        <v>N</v>
      </c>
      <c r="X176" s="203">
        <f t="shared" si="87"/>
        <v>1</v>
      </c>
      <c r="Y176" s="203">
        <f t="shared" si="85"/>
        <v>0.1167</v>
      </c>
      <c r="Z176" s="203">
        <f t="shared" si="86"/>
        <v>5.8928000000000003</v>
      </c>
      <c r="AA176" s="203">
        <f t="shared" si="60"/>
        <v>5.7761000000000005</v>
      </c>
      <c r="AB176" s="54" t="e">
        <f>VLOOKUP(A176,Enforcements!$C$7:$K$9,8,0)</f>
        <v>#N/A</v>
      </c>
      <c r="AC176" s="51" t="e">
        <f>VLOOKUP(A176,Enforcements!$C$7:$E$9,3,0)</f>
        <v>#N/A</v>
      </c>
      <c r="AD176" s="178">
        <f t="shared" si="61"/>
        <v>815</v>
      </c>
      <c r="AE176" s="77" t="str">
        <f t="shared" si="62"/>
        <v>aws s3 cp s3://rtdc.mdm.uploadarchive.raw/RTDC4014/ "%USERPROFILE%\AppData\Local\Temp\OnboardLogs"\RTDC4014\2017-11-20 --exclude "*" --recursive --include "*20171120*" &amp; "%USERPROFILE%\Documents\GitHub\mrs-test-scripts\Headless Mode &amp; Sideloading\WalkAndUnGZ.bat" "%USERPROFILE%\AppData\Local\Temp\OnboardLogs"\RTDC4014\2017-11-20 &amp; 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</v>
      </c>
      <c r="AF176" s="74" t="str">
        <f t="shared" si="63"/>
        <v>"C:\Program Files (x86)\AstroGrep\AstroGrep.exe" /e /r /s /spath="%USERPROFILE%\AppData\Local\Temp\OnboardLogs" /stypes="app*4014*20171120*" /stext=" 17:.+((SYSTEM_STATE.+slice.+state.+changed )|(ment ac)|(multiple cpu faults)|(system.+state.+changed )|(\[timeout)|(PRM\|1\|D)|(kpr)|(kdp)|(train st.+moving)|(\|lc)|(penalty))"</v>
      </c>
      <c r="AG176" s="181" t="str">
        <f t="shared" si="64"/>
        <v>NW</v>
      </c>
      <c r="AH176" s="78" t="str">
        <f t="shared" si="65"/>
        <v>"%USERPROFILE%\Documents\GitHub\eaglep3\Utilities\RefineRTDCRunTimes.py" --tripid 815-20 --locoid 4014 --swversion DE.1.0.9.0 --startMP 204:1167 --initTime 2017-11-20T10:02:43 --startdatetime 2017-11-20T10:09:14 --delay 60 --endMP 300:58928 --enddatetime 2017-11-20T10:22:08 --enforcementcount 0 &gt;&gt;%USERPROFILE%\Documents\GitHub\eaglep3-reporting\EC\2017-11-20-refined-times.txt</v>
      </c>
      <c r="AI176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{"issue":{"subject":"","project_id":79,"tracker_id":40,"status_id":1,"priority_id":2,"assigned_to_id":338,"start_date":"2017-11-20","description":"","custom_fields":[{"id":1,"name":"Subdivision","value":"NW"},{"id":4,"name":"Milepost","value":"5.8928"},{"id":17,"name":"Train ID","value":"815-20"},{"id":16,"name":"Locomotive ID","value":"4014"},{"id":130,"name":"Impact","value":""},{"id":150,"name":"Time of Event (Mountain Time)","value":"10:22:08"},{"id":151,"name":"Denver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1" t="str">
        <f t="shared" si="67"/>
        <v>start /low /b %USERPROFILE%\Documents\GitHub\eaglep3\Utilities\DownloadLogsFromS3.py --loco 4014 --day 2017-11-20</v>
      </c>
      <c r="AN176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17:22:08"},{"id":29,"name":"Sharepoint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7" t="str">
        <f t="shared" si="69"/>
        <v>https://d0f6bd738d7f1b3e5a7ca70fe4ff75f0.us-east-1.aws.found.io/app/kibana#/discover/Steve-Slow-Train-Analysis-(2080s-and-2083s)?_g=(refreshInterval:(display:Off,pause:!f,section:0,value:0),time:(from:'2017-11-20T09:02:43-0700',mode:absolute,to:'2017-11-20T11:22:08-0700'))&amp;_a=(columns:!('Message%20ID',Summary),filters:!(),index:'emp_*',interval:auto,query:(query_string:(analyze_wildcard:!t,query:'%22rtdc.l.rtdc.4014%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754</v>
      </c>
      <c r="B177" s="7">
        <v>4013</v>
      </c>
      <c r="C177" s="21" t="s">
        <v>192</v>
      </c>
      <c r="D177" s="21" t="s">
        <v>1037</v>
      </c>
      <c r="E177" s="13">
        <v>43059.43310185185</v>
      </c>
      <c r="F177" s="13">
        <v>43059.445833333331</v>
      </c>
      <c r="G177" s="7">
        <v>66</v>
      </c>
      <c r="H177" s="21" t="s">
        <v>1038</v>
      </c>
      <c r="I177" s="13">
        <v>43059.454270833332</v>
      </c>
      <c r="J177" s="7">
        <v>0</v>
      </c>
      <c r="K177" s="89" t="str">
        <f t="shared" si="53"/>
        <v>4013/4014</v>
      </c>
      <c r="L177" s="184" t="str">
        <f>VLOOKUP(A177,'Trips&amp;Operators'!$C$1:$G$99911,5,FALSE)</f>
        <v>YANAI IAN</v>
      </c>
      <c r="M177" s="6">
        <f t="shared" si="54"/>
        <v>8.4375000005820766E-3</v>
      </c>
      <c r="N177" s="7">
        <f t="shared" si="88"/>
        <v>12.15000000083819</v>
      </c>
      <c r="O177" s="7"/>
      <c r="P177" s="7"/>
      <c r="Q177" s="22"/>
      <c r="R177" s="173"/>
      <c r="S177" s="220">
        <f t="shared" si="89"/>
        <v>1</v>
      </c>
      <c r="T177" s="173" t="str">
        <f t="shared" si="55"/>
        <v>Southbound</v>
      </c>
      <c r="U177" s="19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5" t="str">
        <f t="shared" si="56"/>
        <v>https://d0f6bd738d7f1b3e5a7ca70fe4ff75f0.us-east-1.aws.found.io/app/kibana#/discover/Steve-Slow-Train-Analysis-(2080s-and-2083s)?_g=(refreshInterval:(display:Off,pause:!f,section:0,value:0),time:(from:'2017-11-20T09:23:40-0700',mode:absolute,to:'2017-11-20T11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7" s="203" t="str">
        <f>IF(AA177&lt;VLOOKUP(AG177,Variables!$AC$3:$AD$8,2,FALSE),"Y","N")</f>
        <v>N</v>
      </c>
      <c r="X177" s="203">
        <f t="shared" si="87"/>
        <v>1</v>
      </c>
      <c r="Y177" s="203">
        <f t="shared" si="85"/>
        <v>5.8611000000000004</v>
      </c>
      <c r="Z177" s="203">
        <f t="shared" si="86"/>
        <v>8.8499999999999995E-2</v>
      </c>
      <c r="AA177" s="203">
        <f t="shared" si="60"/>
        <v>5.7726000000000006</v>
      </c>
      <c r="AB177" s="54" t="e">
        <f>VLOOKUP(A177,Enforcements!$C$7:$K$9,8,0)</f>
        <v>#N/A</v>
      </c>
      <c r="AC177" s="51" t="e">
        <f>VLOOKUP(A177,Enforcements!$C$7:$E$9,3,0)</f>
        <v>#N/A</v>
      </c>
      <c r="AD177" s="178">
        <f t="shared" si="61"/>
        <v>816</v>
      </c>
      <c r="AE177" s="77" t="str">
        <f t="shared" si="62"/>
        <v>aws s3 cp s3://rtdc.mdm.uploadarchive.raw/RTDC4013/ "%USERPROFILE%\AppData\Local\Temp\OnboardLogs"\RTDC4013\2017-11-20 --exclude "*" --recursive --include "*20171120*" &amp; "%USERPROFILE%\Documents\GitHub\mrs-test-scripts\Headless Mode &amp; Sideloading\WalkAndUnGZ.bat" "%USERPROFILE%\AppData\Local\Temp\OnboardLogs"\RTDC4013\2017-11-20 &amp; 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</v>
      </c>
      <c r="AF177" s="74" t="str">
        <f t="shared" si="63"/>
        <v>"C:\Program Files (x86)\AstroGrep\AstroGrep.exe" /e /r /s /spath="%USERPROFILE%\AppData\Local\Temp\OnboardLogs" /stypes="app*4013*20171120*" /stext=" 17:.+((SYSTEM_STATE.+slice.+state.+changed )|(ment ac)|(multiple cpu faults)|(system.+state.+changed )|(\[timeout)|(PRM\|1\|D)|(kpr)|(kdp)|(train st.+moving)|(\|lc)|(penalty))"</v>
      </c>
      <c r="AG177" s="181" t="str">
        <f t="shared" si="64"/>
        <v>NW</v>
      </c>
      <c r="AH177" s="78" t="str">
        <f t="shared" si="65"/>
        <v>"%USERPROFILE%\Documents\GitHub\eaglep3\Utilities\RefineRTDCRunTimes.py" --tripid 816-20 --locoid 4013 --swversion DE.1.0.9.0 --startMP 300:58611 --initTime 2017-11-20T10:23:40 --startdatetime 2017-11-20T10:42:00 --delay 66 --endMP 204:885 --enddatetime 2017-11-20T10:54:09 --enforcementcount 0 &gt;&gt;%USERPROFILE%\Documents\GitHub\eaglep3-reporting\EC\2017-11-20-refined-times.txt</v>
      </c>
      <c r="AI177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{"issue":{"subject":"","project_id":79,"tracker_id":40,"status_id":1,"priority_id":2,"assigned_to_id":338,"start_date":"2017-11-20","description":"","custom_fields":[{"id":1,"name":"Subdivision","value":"NW"},{"id":4,"name":"Milepost","value":"0.0885"},{"id":17,"name":"Train ID","value":"816-20"},{"id":16,"name":"Locomotive ID","value":"4013"},{"id":130,"name":"Impact","value":""},{"id":150,"name":"Time of Event (Mountain Time)","value":"10:54:09"},{"id":151,"name":"Denver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1" t="str">
        <f t="shared" si="67"/>
        <v>start /low /b %USERPROFILE%\Documents\GitHub\eaglep3\Utilities\DownloadLogsFromS3.py --loco 4013 --day 2017-11-20</v>
      </c>
      <c r="AN177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17:54:09"},{"id":29,"name":"Sharepoint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7" t="str">
        <f t="shared" si="69"/>
        <v>https://d0f6bd738d7f1b3e5a7ca70fe4ff75f0.us-east-1.aws.found.io/app/kibana#/discover/Steve-Slow-Train-Analysis-(2080s-and-2083s)?_g=(refreshInterval:(display:Off,pause:!f,section:0,value:0),time:(from:'2017-11-20T09:23:40-0700',mode:absolute,to:'2017-11-20T11:54:09-0700'))&amp;_a=(columns:!('Message%20ID',Summary),filters:!(),index:'emp_*',interval:auto,query:(query_string:(analyze_wildcard:!t,query:'%22rtdc.l.rtdc.4013%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759</v>
      </c>
      <c r="B178" s="7">
        <v>4014</v>
      </c>
      <c r="C178" s="21" t="s">
        <v>192</v>
      </c>
      <c r="D178" s="21" t="s">
        <v>1039</v>
      </c>
      <c r="E178" s="13">
        <v>43059.455347222225</v>
      </c>
      <c r="F178" s="13">
        <v>43059.464745370373</v>
      </c>
      <c r="G178" s="7">
        <v>45</v>
      </c>
      <c r="H178" s="21" t="s">
        <v>1040</v>
      </c>
      <c r="I178" s="13">
        <v>43059.473726851851</v>
      </c>
      <c r="J178" s="7">
        <v>0</v>
      </c>
      <c r="K178" s="89" t="str">
        <f t="shared" si="53"/>
        <v>4013/4014</v>
      </c>
      <c r="L178" s="184" t="str">
        <f>VLOOKUP(A178,'Trips&amp;Operators'!$C$1:$G$99911,5,FALSE)</f>
        <v>YANAI IAN</v>
      </c>
      <c r="M178" s="6">
        <f t="shared" si="54"/>
        <v>8.9814814782585017E-3</v>
      </c>
      <c r="N178" s="7">
        <f t="shared" si="88"/>
        <v>12.933333328692243</v>
      </c>
      <c r="O178" s="7"/>
      <c r="P178" s="7"/>
      <c r="Q178" s="22"/>
      <c r="R178" s="173"/>
      <c r="S178" s="220">
        <f t="shared" si="89"/>
        <v>1</v>
      </c>
      <c r="T178" s="173" t="str">
        <f t="shared" si="55"/>
        <v>NorthBound</v>
      </c>
      <c r="U178" s="19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5" t="str">
        <f t="shared" si="56"/>
        <v>https://d0f6bd738d7f1b3e5a7ca70fe4ff75f0.us-east-1.aws.found.io/app/kibana#/discover/Steve-Slow-Train-Analysis-(2080s-and-2083s)?_g=(refreshInterval:(display:Off,pause:!f,section:0,value:0),time:(from:'2017-11-20T09:55:42-0700',mode:absolute,to:'2017-11-20T12:22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8" s="203" t="str">
        <f>IF(AA178&lt;VLOOKUP(AG178,Variables!$AC$3:$AD$8,2,FALSE),"Y","N")</f>
        <v>N</v>
      </c>
      <c r="X178" s="203">
        <f t="shared" si="87"/>
        <v>1</v>
      </c>
      <c r="Y178" s="203">
        <f t="shared" si="85"/>
        <v>0.1186</v>
      </c>
      <c r="Z178" s="203">
        <f t="shared" si="86"/>
        <v>5.8920000000000003</v>
      </c>
      <c r="AA178" s="203">
        <f t="shared" si="60"/>
        <v>5.7734000000000005</v>
      </c>
      <c r="AB178" s="54" t="e">
        <f>VLOOKUP(A178,Enforcements!$C$7:$K$9,8,0)</f>
        <v>#N/A</v>
      </c>
      <c r="AC178" s="51" t="e">
        <f>VLOOKUP(A178,Enforcements!$C$7:$E$9,3,0)</f>
        <v>#N/A</v>
      </c>
      <c r="AD178" s="178">
        <f t="shared" si="61"/>
        <v>817</v>
      </c>
      <c r="AE178" s="77" t="str">
        <f t="shared" si="62"/>
        <v>aws s3 cp s3://rtdc.mdm.uploadarchive.raw/RTDC4014/ "%USERPROFILE%\AppData\Local\Temp\OnboardLogs"\RTDC4014\2017-11-20 --exclude "*" --recursive --include "*20171120*" &amp; "%USERPROFILE%\Documents\GitHub\mrs-test-scripts\Headless Mode &amp; Sideloading\WalkAndUnGZ.bat" "%USERPROFILE%\AppData\Local\Temp\OnboardLogs"\RTDC4014\2017-11-20 &amp; 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</v>
      </c>
      <c r="AF178" s="74" t="str">
        <f t="shared" si="63"/>
        <v>"C:\Program Files (x86)\AstroGrep\AstroGrep.exe" /e /r /s /spath="%USERPROFILE%\AppData\Local\Temp\OnboardLogs" /stypes="app*4014*20171120*" /stext=" 18:.+((SYSTEM_STATE.+slice.+state.+changed )|(ment ac)|(multiple cpu faults)|(system.+state.+changed )|(\[timeout)|(PRM\|1\|D)|(kpr)|(kdp)|(train st.+moving)|(\|lc)|(penalty))"</v>
      </c>
      <c r="AG178" s="181" t="str">
        <f t="shared" si="64"/>
        <v>NW</v>
      </c>
      <c r="AH178" s="78" t="str">
        <f t="shared" si="65"/>
        <v>"%USERPROFILE%\Documents\GitHub\eaglep3\Utilities\RefineRTDCRunTimes.py" --tripid 817-20 --locoid 4014 --swversion DE.1.0.9.0 --startMP 204:1186 --initTime 2017-11-20T10:55:42 --startdatetime 2017-11-20T11:09:14 --delay 45 --endMP 300:58920 --enddatetime 2017-11-20T11:22:10 --enforcementcount 0 &gt;&gt;%USERPROFILE%\Documents\GitHub\eaglep3-reporting\EC\2017-11-20-refined-times.txt</v>
      </c>
      <c r="AI178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{"issue":{"subject":"","project_id":79,"tracker_id":40,"status_id":1,"priority_id":2,"assigned_to_id":338,"start_date":"2017-11-20","description":"","custom_fields":[{"id":1,"name":"Subdivision","value":"NW"},{"id":4,"name":"Milepost","value":"5.892"},{"id":17,"name":"Train ID","value":"817-20"},{"id":16,"name":"Locomotive ID","value":"4014"},{"id":130,"name":"Impact","value":""},{"id":150,"name":"Time of Event (Mountain Time)","value":"11:22:10"},{"id":151,"name":"Denver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1" t="str">
        <f t="shared" si="67"/>
        <v>start /low /b %USERPROFILE%\Documents\GitHub\eaglep3\Utilities\DownloadLogsFromS3.py --loco 4014 --day 2017-11-20</v>
      </c>
      <c r="AN178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18:22:10"},{"id":29,"name":"Sharepoint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7" t="str">
        <f t="shared" si="69"/>
        <v>https://d0f6bd738d7f1b3e5a7ca70fe4ff75f0.us-east-1.aws.found.io/app/kibana#/discover/Steve-Slow-Train-Analysis-(2080s-and-2083s)?_g=(refreshInterval:(display:Off,pause:!f,section:0,value:0),time:(from:'2017-11-20T09:55:42-0700',mode:absolute,to:'2017-11-20T12:22:10-0700'))&amp;_a=(columns:!('Message%20ID',Summary),filters:!(),index:'emp_*',interval:auto,query:(query_string:(analyze_wildcard:!t,query:'%22rtdc.l.rtdc.4014%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662</v>
      </c>
      <c r="B179" s="7">
        <v>4013</v>
      </c>
      <c r="C179" s="21" t="s">
        <v>192</v>
      </c>
      <c r="D179" s="21" t="s">
        <v>1041</v>
      </c>
      <c r="E179" s="13">
        <v>43059.474618055552</v>
      </c>
      <c r="F179" s="13">
        <v>43059.487500000003</v>
      </c>
      <c r="G179" s="7">
        <v>46</v>
      </c>
      <c r="H179" s="21" t="s">
        <v>1042</v>
      </c>
      <c r="I179" s="13">
        <v>43059.494953703703</v>
      </c>
      <c r="J179" s="7">
        <v>0</v>
      </c>
      <c r="K179" s="89" t="str">
        <f t="shared" si="53"/>
        <v>4013/4014</v>
      </c>
      <c r="L179" s="184" t="str">
        <f>VLOOKUP(A179,'Trips&amp;Operators'!$C$1:$G$99911,5,FALSE)</f>
        <v>YANAI IAN</v>
      </c>
      <c r="M179" s="6">
        <f t="shared" si="54"/>
        <v>7.4537036998663098E-3</v>
      </c>
      <c r="N179" s="7">
        <f t="shared" si="88"/>
        <v>10.733333327807486</v>
      </c>
      <c r="O179" s="7"/>
      <c r="P179" s="7"/>
      <c r="Q179" s="22"/>
      <c r="R179" s="173"/>
      <c r="S179" s="220">
        <f t="shared" si="89"/>
        <v>1</v>
      </c>
      <c r="T179" s="173" t="str">
        <f t="shared" si="55"/>
        <v>Southbound</v>
      </c>
      <c r="U179" s="19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5" t="str">
        <f t="shared" si="56"/>
        <v>https://d0f6bd738d7f1b3e5a7ca70fe4ff75f0.us-east-1.aws.found.io/app/kibana#/discover/Steve-Slow-Train-Analysis-(2080s-and-2083s)?_g=(refreshInterval:(display:Off,pause:!f,section:0,value:0),time:(from:'2017-11-20T10:23:27-0700',mode:absolute,to:'2017-11-20T12:52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9" s="203" t="str">
        <f>IF(AA179&lt;VLOOKUP(AG179,Variables!$AC$3:$AD$8,2,FALSE),"Y","N")</f>
        <v>Y</v>
      </c>
      <c r="X179" s="203">
        <f t="shared" si="87"/>
        <v>1</v>
      </c>
      <c r="Y179" s="203">
        <f t="shared" si="85"/>
        <v>5.86</v>
      </c>
      <c r="Z179" s="203">
        <f t="shared" si="86"/>
        <v>0.45219999999999999</v>
      </c>
      <c r="AA179" s="203">
        <f t="shared" si="60"/>
        <v>5.4077999999999999</v>
      </c>
      <c r="AB179" s="54" t="e">
        <f>VLOOKUP(A179,Enforcements!$C$7:$K$9,8,0)</f>
        <v>#N/A</v>
      </c>
      <c r="AC179" s="51" t="e">
        <f>VLOOKUP(A179,Enforcements!$C$7:$E$9,3,0)</f>
        <v>#N/A</v>
      </c>
      <c r="AD179" s="178">
        <f t="shared" si="61"/>
        <v>818</v>
      </c>
      <c r="AE179" s="77" t="str">
        <f t="shared" si="62"/>
        <v>aws s3 cp s3://rtdc.mdm.uploadarchive.raw/RTDC4013/ "%USERPROFILE%\AppData\Local\Temp\OnboardLogs"\RTDC4013\2017-11-20 --exclude "*" --recursive --include "*20171120*" &amp; "%USERPROFILE%\Documents\GitHub\mrs-test-scripts\Headless Mode &amp; Sideloading\WalkAndUnGZ.bat" "%USERPROFILE%\AppData\Local\Temp\OnboardLogs"\RTDC4013\2017-11-20 &amp; 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</v>
      </c>
      <c r="AF179" s="74" t="str">
        <f t="shared" si="63"/>
        <v>"C:\Program Files (x86)\AstroGrep\AstroGrep.exe" /e /r /s /spath="%USERPROFILE%\AppData\Local\Temp\OnboardLogs" /stypes="app*4013*20171120*" /stext=" 18:.+((SYSTEM_STATE.+slice.+state.+changed )|(ment ac)|(multiple cpu faults)|(system.+state.+changed )|(\[timeout)|(PRM\|1\|D)|(kpr)|(kdp)|(train st.+moving)|(\|lc)|(penalty))"</v>
      </c>
      <c r="AG179" s="181" t="str">
        <f t="shared" si="64"/>
        <v>NW</v>
      </c>
      <c r="AH179" s="78" t="str">
        <f t="shared" si="65"/>
        <v>"%USERPROFILE%\Documents\GitHub\eaglep3\Utilities\RefineRTDCRunTimes.py" --tripid 818-20 --locoid 4013 --swversion DE.1.0.9.0 --startMP 300:58600 --initTime 2017-11-20T11:23:27 --startdatetime 2017-11-20T11:42:00 --delay 46 --endMP 204:4522 --enddatetime 2017-11-20T11:52:44 --enforcementcount 0 &gt;&gt;%USERPROFILE%\Documents\GitHub\eaglep3-reporting\EC\2017-11-20-refined-times.txt</v>
      </c>
      <c r="AI179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{"issue":{"subject":"","project_id":79,"tracker_id":40,"status_id":1,"priority_id":2,"assigned_to_id":338,"start_date":"2017-11-20","description":"","custom_fields":[{"id":1,"name":"Subdivision","value":"NW"},{"id":4,"name":"Milepost","value":"0.4522"},{"id":17,"name":"Train ID","value":"818-20"},{"id":16,"name":"Locomotive ID","value":"4013"},{"id":130,"name":"Impact","value":""},{"id":150,"name":"Time of Event (Mountain Time)","value":"11:52:44"},{"id":151,"name":"Denver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1" t="str">
        <f t="shared" si="67"/>
        <v>start /low /b %USERPROFILE%\Documents\GitHub\eaglep3\Utilities\DownloadLogsFromS3.py --loco 4013 --day 2017-11-20</v>
      </c>
      <c r="AN179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18:52:44"},{"id":29,"name":"Sharepoint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7" t="str">
        <f t="shared" si="69"/>
        <v>https://d0f6bd738d7f1b3e5a7ca70fe4ff75f0.us-east-1.aws.found.io/app/kibana#/discover/Steve-Slow-Train-Analysis-(2080s-and-2083s)?_g=(refreshInterval:(display:Off,pause:!f,section:0,value:0),time:(from:'2017-11-20T10:23:27-0700',mode:absolute,to:'2017-11-20T12:52:44-0700'))&amp;_a=(columns:!('Message%20ID',Summary),filters:!(),index:'emp_*',interval:auto,query:(query_string:(analyze_wildcard:!t,query:'%22rtdc.l.rtdc.4013%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768</v>
      </c>
      <c r="B180" s="7">
        <v>4014</v>
      </c>
      <c r="C180" s="21" t="s">
        <v>192</v>
      </c>
      <c r="D180" s="21" t="s">
        <v>1043</v>
      </c>
      <c r="E180" s="13">
        <v>43059.497824074075</v>
      </c>
      <c r="F180" s="13">
        <v>43059.506423611114</v>
      </c>
      <c r="G180" s="7">
        <v>44</v>
      </c>
      <c r="H180" s="21" t="s">
        <v>1044</v>
      </c>
      <c r="I180" s="13">
        <v>43059.515289351853</v>
      </c>
      <c r="J180" s="7">
        <v>0</v>
      </c>
      <c r="K180" s="89" t="str">
        <f t="shared" si="53"/>
        <v>4013/4014</v>
      </c>
      <c r="L180" s="184" t="str">
        <f>VLOOKUP(A180,'Trips&amp;Operators'!$C$1:$G$99911,5,FALSE)</f>
        <v>YANAI IAN</v>
      </c>
      <c r="M180" s="6">
        <f t="shared" si="54"/>
        <v>8.8657407395658083E-3</v>
      </c>
      <c r="N180" s="7">
        <f t="shared" si="88"/>
        <v>12.766666664974764</v>
      </c>
      <c r="O180" s="7"/>
      <c r="P180" s="7"/>
      <c r="Q180" s="22"/>
      <c r="R180" s="173"/>
      <c r="S180" s="220">
        <f t="shared" si="89"/>
        <v>1</v>
      </c>
      <c r="T180" s="173" t="str">
        <f t="shared" si="55"/>
        <v>NorthBound</v>
      </c>
      <c r="U180" s="19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5" t="str">
        <f t="shared" si="56"/>
        <v>https://d0f6bd738d7f1b3e5a7ca70fe4ff75f0.us-east-1.aws.found.io/app/kibana#/discover/Steve-Slow-Train-Analysis-(2080s-and-2083s)?_g=(refreshInterval:(display:Off,pause:!f,section:0,value:0),time:(from:'2017-11-20T10:56:52-0700',mode:absolute,to:'2017-11-20T13:22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0" s="203" t="str">
        <f>IF(AA180&lt;VLOOKUP(AG180,Variables!$AC$3:$AD$8,2,FALSE),"Y","N")</f>
        <v>N</v>
      </c>
      <c r="X180" s="203">
        <f t="shared" si="87"/>
        <v>1</v>
      </c>
      <c r="Y180" s="203">
        <f t="shared" si="85"/>
        <v>0.1153</v>
      </c>
      <c r="Z180" s="203">
        <f t="shared" si="86"/>
        <v>5.8925999999999998</v>
      </c>
      <c r="AA180" s="203">
        <f t="shared" si="60"/>
        <v>5.7772999999999994</v>
      </c>
      <c r="AB180" s="54" t="e">
        <f>VLOOKUP(A180,Enforcements!$C$7:$K$9,8,0)</f>
        <v>#N/A</v>
      </c>
      <c r="AC180" s="51" t="e">
        <f>VLOOKUP(A180,Enforcements!$C$7:$E$9,3,0)</f>
        <v>#N/A</v>
      </c>
      <c r="AD180" s="178">
        <f t="shared" si="61"/>
        <v>819</v>
      </c>
      <c r="AE180" s="77" t="str">
        <f t="shared" si="62"/>
        <v>aws s3 cp s3://rtdc.mdm.uploadarchive.raw/RTDC4014/ "%USERPROFILE%\AppData\Local\Temp\OnboardLogs"\RTDC4014\2017-11-20 --exclude "*" --recursive --include "*20171120*" &amp; "%USERPROFILE%\Documents\GitHub\mrs-test-scripts\Headless Mode &amp; Sideloading\WalkAndUnGZ.bat" "%USERPROFILE%\AppData\Local\Temp\OnboardLogs"\RTDC4014\2017-11-20 &amp; 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</v>
      </c>
      <c r="AF180" s="74" t="str">
        <f t="shared" si="63"/>
        <v>"C:\Program Files (x86)\AstroGrep\AstroGrep.exe" /e /r /s /spath="%USERPROFILE%\AppData\Local\Temp\OnboardLogs" /stypes="app*4014*20171120*" /stext=" 19:.+((SYSTEM_STATE.+slice.+state.+changed )|(ment ac)|(multiple cpu faults)|(system.+state.+changed )|(\[timeout)|(PRM\|1\|D)|(kpr)|(kdp)|(train st.+moving)|(\|lc)|(penalty))"</v>
      </c>
      <c r="AG180" s="181" t="str">
        <f t="shared" si="64"/>
        <v>NW</v>
      </c>
      <c r="AH180" s="78" t="str">
        <f t="shared" si="65"/>
        <v>"%USERPROFILE%\Documents\GitHub\eaglep3\Utilities\RefineRTDCRunTimes.py" --tripid 819-20 --locoid 4014 --swversion DE.1.0.9.0 --startMP 204:1153 --initTime 2017-11-20T11:56:52 --startdatetime 2017-11-20T12:09:15 --delay 44 --endMP 300:58926 --enddatetime 2017-11-20T12:22:01 --enforcementcount 0 &gt;&gt;%USERPROFILE%\Documents\GitHub\eaglep3-reporting\EC\2017-11-20-refined-times.txt</v>
      </c>
      <c r="AI180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{"issue":{"subject":"","project_id":79,"tracker_id":40,"status_id":1,"priority_id":2,"assigned_to_id":338,"start_date":"2017-11-20","description":"","custom_fields":[{"id":1,"name":"Subdivision","value":"NW"},{"id":4,"name":"Milepost","value":"5.8926"},{"id":17,"name":"Train ID","value":"819-20"},{"id":16,"name":"Locomotive ID","value":"4014"},{"id":130,"name":"Impact","value":""},{"id":150,"name":"Time of Event (Mountain Time)","value":"12:22:01"},{"id":151,"name":"Denver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1" t="str">
        <f t="shared" si="67"/>
        <v>start /low /b %USERPROFILE%\Documents\GitHub\eaglep3\Utilities\DownloadLogsFromS3.py --loco 4014 --day 2017-11-20</v>
      </c>
      <c r="AN180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19:22:01"},{"id":29,"name":"Sharepoint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7" t="str">
        <f t="shared" si="69"/>
        <v>https://d0f6bd738d7f1b3e5a7ca70fe4ff75f0.us-east-1.aws.found.io/app/kibana#/discover/Steve-Slow-Train-Analysis-(2080s-and-2083s)?_g=(refreshInterval:(display:Off,pause:!f,section:0,value:0),time:(from:'2017-11-20T10:56:52-0700',mode:absolute,to:'2017-11-20T13:22:01-0700'))&amp;_a=(columns:!('Message%20ID',Summary),filters:!(),index:'emp_*',interval:auto,query:(query_string:(analyze_wildcard:!t,query:'%22rtdc.l.rtdc.4014%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771</v>
      </c>
      <c r="B181" s="7">
        <v>4013</v>
      </c>
      <c r="C181" s="21" t="s">
        <v>192</v>
      </c>
      <c r="D181" s="21" t="s">
        <v>1037</v>
      </c>
      <c r="E181" s="13">
        <v>43059.516203703701</v>
      </c>
      <c r="F181" s="13">
        <v>43059.529166666667</v>
      </c>
      <c r="G181" s="7">
        <v>44</v>
      </c>
      <c r="H181" s="21" t="s">
        <v>1045</v>
      </c>
      <c r="I181" s="13">
        <v>43059.537766203706</v>
      </c>
      <c r="J181" s="7">
        <v>0</v>
      </c>
      <c r="K181" s="89" t="str">
        <f t="shared" si="53"/>
        <v>4013/4014</v>
      </c>
      <c r="L181" s="184" t="str">
        <f>VLOOKUP(A181,'Trips&amp;Operators'!$C$1:$G$99911,5,FALSE)</f>
        <v>YANAI IAN</v>
      </c>
      <c r="M181" s="6">
        <f t="shared" si="54"/>
        <v>8.599537039117422E-3</v>
      </c>
      <c r="N181" s="7">
        <f t="shared" si="88"/>
        <v>12.383333336329088</v>
      </c>
      <c r="O181" s="7"/>
      <c r="P181" s="7"/>
      <c r="Q181" s="22"/>
      <c r="R181" s="173"/>
      <c r="S181" s="220">
        <f t="shared" si="89"/>
        <v>1</v>
      </c>
      <c r="T181" s="173" t="str">
        <f t="shared" si="55"/>
        <v>Southbound</v>
      </c>
      <c r="U181" s="19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5" t="str">
        <f t="shared" si="56"/>
        <v>https://d0f6bd738d7f1b3e5a7ca70fe4ff75f0.us-east-1.aws.found.io/app/kibana#/discover/Steve-Slow-Train-Analysis-(2080s-and-2083s)?_g=(refreshInterval:(display:Off,pause:!f,section:0,value:0),time:(from:'2017-11-20T11:23:20-0700',mode:absolute,to:'2017-11-20T13:54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1" s="203" t="str">
        <f>IF(AA181&lt;VLOOKUP(AG181,Variables!$AC$3:$AD$8,2,FALSE),"Y","N")</f>
        <v>N</v>
      </c>
      <c r="X181" s="203">
        <f t="shared" si="87"/>
        <v>1</v>
      </c>
      <c r="Y181" s="203">
        <f t="shared" si="85"/>
        <v>5.8611000000000004</v>
      </c>
      <c r="Z181" s="203">
        <f t="shared" si="86"/>
        <v>8.6199999999999999E-2</v>
      </c>
      <c r="AA181" s="203">
        <f t="shared" si="60"/>
        <v>5.7749000000000006</v>
      </c>
      <c r="AB181" s="54" t="e">
        <f>VLOOKUP(A181,Enforcements!$C$7:$K$9,8,0)</f>
        <v>#N/A</v>
      </c>
      <c r="AC181" s="51" t="e">
        <f>VLOOKUP(A181,Enforcements!$C$7:$E$9,3,0)</f>
        <v>#N/A</v>
      </c>
      <c r="AD181" s="178">
        <f t="shared" si="61"/>
        <v>820</v>
      </c>
      <c r="AE181" s="77" t="str">
        <f t="shared" si="62"/>
        <v>aws s3 cp s3://rtdc.mdm.uploadarchive.raw/RTDC4013/ "%USERPROFILE%\AppData\Local\Temp\OnboardLogs"\RTDC4013\2017-11-20 --exclude "*" --recursive --include "*20171120*" &amp; "%USERPROFILE%\Documents\GitHub\mrs-test-scripts\Headless Mode &amp; Sideloading\WalkAndUnGZ.bat" "%USERPROFILE%\AppData\Local\Temp\OnboardLogs"\RTDC4013\2017-11-20 &amp; 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</v>
      </c>
      <c r="AF181" s="74" t="str">
        <f t="shared" si="63"/>
        <v>"C:\Program Files (x86)\AstroGrep\AstroGrep.exe" /e /r /s /spath="%USERPROFILE%\AppData\Local\Temp\OnboardLogs" /stypes="app*4013*20171120*" /stext=" 19:.+((SYSTEM_STATE.+slice.+state.+changed )|(ment ac)|(multiple cpu faults)|(system.+state.+changed )|(\[timeout)|(PRM\|1\|D)|(kpr)|(kdp)|(train st.+moving)|(\|lc)|(penalty))"</v>
      </c>
      <c r="AG181" s="181" t="str">
        <f t="shared" si="64"/>
        <v>NW</v>
      </c>
      <c r="AH181" s="78" t="str">
        <f t="shared" si="65"/>
        <v>"%USERPROFILE%\Documents\GitHub\eaglep3\Utilities\RefineRTDCRunTimes.py" --tripid 820-20 --locoid 4013 --swversion DE.1.0.9.0 --startMP 300:58611 --initTime 2017-11-20T12:23:20 --startdatetime 2017-11-20T12:42:00 --delay 44 --endMP 204:862 --enddatetime 2017-11-20T12:54:23 --enforcementcount 0 &gt;&gt;%USERPROFILE%\Documents\GitHub\eaglep3-reporting\EC\2017-11-20-refined-times.txt</v>
      </c>
      <c r="AI181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{"issue":{"subject":"","project_id":79,"tracker_id":40,"status_id":1,"priority_id":2,"assigned_to_id":338,"start_date":"2017-11-20","description":"","custom_fields":[{"id":1,"name":"Subdivision","value":"NW"},{"id":4,"name":"Milepost","value":"0.0862"},{"id":17,"name":"Train ID","value":"820-20"},{"id":16,"name":"Locomotive ID","value":"4013"},{"id":130,"name":"Impact","value":""},{"id":150,"name":"Time of Event (Mountain Time)","value":"12:54:23"},{"id":151,"name":"Denver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1" t="str">
        <f t="shared" si="67"/>
        <v>start /low /b %USERPROFILE%\Documents\GitHub\eaglep3\Utilities\DownloadLogsFromS3.py --loco 4013 --day 2017-11-20</v>
      </c>
      <c r="AN181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19:54:23"},{"id":29,"name":"Sharepoint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7" t="str">
        <f t="shared" si="69"/>
        <v>https://d0f6bd738d7f1b3e5a7ca70fe4ff75f0.us-east-1.aws.found.io/app/kibana#/discover/Steve-Slow-Train-Analysis-(2080s-and-2083s)?_g=(refreshInterval:(display:Off,pause:!f,section:0,value:0),time:(from:'2017-11-20T11:23:20-0700',mode:absolute,to:'2017-11-20T13:54:23-0700'))&amp;_a=(columns:!('Message%20ID',Summary),filters:!(),index:'emp_*',interval:auto,query:(query_string:(analyze_wildcard:!t,query:'%22rtdc.l.rtdc.4013%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781</v>
      </c>
      <c r="B182" s="7">
        <v>4014</v>
      </c>
      <c r="C182" s="21" t="s">
        <v>192</v>
      </c>
      <c r="D182" s="21" t="s">
        <v>1025</v>
      </c>
      <c r="E182" s="13">
        <v>43059.541967592595</v>
      </c>
      <c r="F182" s="13">
        <v>43059.548090277778</v>
      </c>
      <c r="G182" s="7">
        <v>73</v>
      </c>
      <c r="H182" s="21" t="s">
        <v>1046</v>
      </c>
      <c r="I182" s="13">
        <v>43059.557673611111</v>
      </c>
      <c r="J182" s="7">
        <v>0</v>
      </c>
      <c r="K182" s="89" t="str">
        <f t="shared" si="53"/>
        <v>4013/4014</v>
      </c>
      <c r="L182" s="184" t="str">
        <f>VLOOKUP(A182,'Trips&amp;Operators'!$C$1:$G$99911,5,FALSE)</f>
        <v>LEVIN SCOTT</v>
      </c>
      <c r="M182" s="6">
        <f t="shared" si="54"/>
        <v>9.5833333325572312E-3</v>
      </c>
      <c r="N182" s="7">
        <f t="shared" si="88"/>
        <v>13.799999998882413</v>
      </c>
      <c r="O182" s="7"/>
      <c r="P182" s="7"/>
      <c r="Q182" s="22"/>
      <c r="R182" s="173"/>
      <c r="S182" s="220">
        <f t="shared" si="89"/>
        <v>1</v>
      </c>
      <c r="T182" s="173" t="str">
        <f t="shared" si="55"/>
        <v>NorthBound</v>
      </c>
      <c r="U182" s="19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5" t="str">
        <f t="shared" si="56"/>
        <v>https://d0f6bd738d7f1b3e5a7ca70fe4ff75f0.us-east-1.aws.found.io/app/kibana#/discover/Steve-Slow-Train-Analysis-(2080s-and-2083s)?_g=(refreshInterval:(display:Off,pause:!f,section:0,value:0),time:(from:'2017-11-20T12:00:26-0700',mode:absolute,to:'2017-11-20T14:23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2" s="203" t="str">
        <f>IF(AA182&lt;VLOOKUP(AG182,Variables!$AC$3:$AD$8,2,FALSE),"Y","N")</f>
        <v>N</v>
      </c>
      <c r="X182" s="203">
        <f t="shared" si="87"/>
        <v>1</v>
      </c>
      <c r="Y182" s="203">
        <f t="shared" si="85"/>
        <v>0.11609999999999999</v>
      </c>
      <c r="Z182" s="203">
        <f t="shared" si="86"/>
        <v>5.8968999999999996</v>
      </c>
      <c r="AA182" s="203">
        <f t="shared" si="60"/>
        <v>5.7807999999999993</v>
      </c>
      <c r="AB182" s="54" t="e">
        <f>VLOOKUP(A182,Enforcements!$C$7:$K$9,8,0)</f>
        <v>#N/A</v>
      </c>
      <c r="AC182" s="51" t="e">
        <f>VLOOKUP(A182,Enforcements!$C$7:$E$9,3,0)</f>
        <v>#N/A</v>
      </c>
      <c r="AD182" s="178">
        <f t="shared" si="61"/>
        <v>821</v>
      </c>
      <c r="AE182" s="77" t="str">
        <f t="shared" si="62"/>
        <v>aws s3 cp s3://rtdc.mdm.uploadarchive.raw/RTDC4014/ "%USERPROFILE%\AppData\Local\Temp\OnboardLogs"\RTDC4014\2017-11-20 --exclude "*" --recursive --include "*20171120*" &amp; "%USERPROFILE%\Documents\GitHub\mrs-test-scripts\Headless Mode &amp; Sideloading\WalkAndUnGZ.bat" "%USERPROFILE%\AppData\Local\Temp\OnboardLogs"\RTDC4014\2017-11-20 &amp; 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</v>
      </c>
      <c r="AF182" s="74" t="str">
        <f t="shared" si="63"/>
        <v>"C:\Program Files (x86)\AstroGrep\AstroGrep.exe" /e /r /s /spath="%USERPROFILE%\AppData\Local\Temp\OnboardLogs" /stypes="app*4014*20171120*" /stext=" 20:.+((SYSTEM_STATE.+slice.+state.+changed )|(ment ac)|(multiple cpu faults)|(system.+state.+changed )|(\[timeout)|(PRM\|1\|D)|(kpr)|(kdp)|(train st.+moving)|(\|lc)|(penalty))"</v>
      </c>
      <c r="AG182" s="181" t="str">
        <f t="shared" si="64"/>
        <v>NW</v>
      </c>
      <c r="AH182" s="78" t="str">
        <f t="shared" si="65"/>
        <v>"%USERPROFILE%\Documents\GitHub\eaglep3\Utilities\RefineRTDCRunTimes.py" --tripid 821-20 --locoid 4014 --swversion DE.1.0.9.0 --startMP 204:1161 --initTime 2017-11-20T13:00:26 --startdatetime 2017-11-20T13:09:15 --delay 73 --endMP 300:58969 --enddatetime 2017-11-20T13:23:03 --enforcementcount 0 &gt;&gt;%USERPROFILE%\Documents\GitHub\eaglep3-reporting\EC\2017-11-20-refined-times.txt</v>
      </c>
      <c r="AI182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{"issue":{"subject":"","project_id":79,"tracker_id":40,"status_id":1,"priority_id":2,"assigned_to_id":338,"start_date":"2017-11-20","description":"","custom_fields":[{"id":1,"name":"Subdivision","value":"NW"},{"id":4,"name":"Milepost","value":"5.8969"},{"id":17,"name":"Train ID","value":"821-20"},{"id":16,"name":"Locomotive ID","value":"4014"},{"id":130,"name":"Impact","value":""},{"id":150,"name":"Time of Event (Mountain Time)","value":"13:23:03"},{"id":151,"name":"Denver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1" t="str">
        <f t="shared" si="67"/>
        <v>start /low /b %USERPROFILE%\Documents\GitHub\eaglep3\Utilities\DownloadLogsFromS3.py --loco 4014 --day 2017-11-20</v>
      </c>
      <c r="AN182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20:23:03"},{"id":29,"name":"Sharepoint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7" t="str">
        <f t="shared" si="69"/>
        <v>https://d0f6bd738d7f1b3e5a7ca70fe4ff75f0.us-east-1.aws.found.io/app/kibana#/discover/Steve-Slow-Train-Analysis-(2080s-and-2083s)?_g=(refreshInterval:(display:Off,pause:!f,section:0,value:0),time:(from:'2017-11-20T12:00:26-0700',mode:absolute,to:'2017-11-20T14:23:03-0700'))&amp;_a=(columns:!('Message%20ID',Summary),filters:!(),index:'emp_*',interval:auto,query:(query_string:(analyze_wildcard:!t,query:'%22rtdc.l.rtdc.4014%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664</v>
      </c>
      <c r="B183" s="7">
        <v>4013</v>
      </c>
      <c r="C183" s="21" t="s">
        <v>192</v>
      </c>
      <c r="D183" s="21" t="s">
        <v>1047</v>
      </c>
      <c r="E183" s="13">
        <v>43059.558981481481</v>
      </c>
      <c r="F183" s="13">
        <v>43059.570833333331</v>
      </c>
      <c r="G183" s="7">
        <v>76</v>
      </c>
      <c r="H183" s="21" t="s">
        <v>1048</v>
      </c>
      <c r="I183" s="13">
        <v>43059.578738425924</v>
      </c>
      <c r="J183" s="7">
        <v>0</v>
      </c>
      <c r="K183" s="89" t="str">
        <f t="shared" si="53"/>
        <v>4013/4014</v>
      </c>
      <c r="L183" s="184" t="str">
        <f>VLOOKUP(A183,'Trips&amp;Operators'!$C$1:$G$99911,5,FALSE)</f>
        <v>LEVIN SCOTT</v>
      </c>
      <c r="M183" s="6">
        <f t="shared" si="54"/>
        <v>7.9050925924093463E-3</v>
      </c>
      <c r="N183" s="7">
        <f t="shared" si="88"/>
        <v>11.383333333069459</v>
      </c>
      <c r="O183" s="7"/>
      <c r="P183" s="7"/>
      <c r="Q183" s="22"/>
      <c r="R183" s="173"/>
      <c r="S183" s="220">
        <f t="shared" si="89"/>
        <v>1</v>
      </c>
      <c r="T183" s="173" t="str">
        <f t="shared" si="55"/>
        <v>Southbound</v>
      </c>
      <c r="U183" s="19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5" t="str">
        <f t="shared" si="56"/>
        <v>https://d0f6bd738d7f1b3e5a7ca70fe4ff75f0.us-east-1.aws.found.io/app/kibana#/discover/Steve-Slow-Train-Analysis-(2080s-and-2083s)?_g=(refreshInterval:(display:Off,pause:!f,section:0,value:0),time:(from:'2017-11-20T12:24:56-0700',mode:absolute,to:'2017-11-20T14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3" s="203" t="str">
        <f>IF(AA183&lt;VLOOKUP(AG183,Variables!$AC$3:$AD$8,2,FALSE),"Y","N")</f>
        <v>Y</v>
      </c>
      <c r="X183" s="203">
        <f t="shared" si="87"/>
        <v>1</v>
      </c>
      <c r="Y183" s="203">
        <f t="shared" si="85"/>
        <v>5.8655999999999997</v>
      </c>
      <c r="Z183" s="203">
        <f t="shared" si="86"/>
        <v>0.45129999999999998</v>
      </c>
      <c r="AA183" s="203">
        <f t="shared" si="60"/>
        <v>5.4142999999999999</v>
      </c>
      <c r="AB183" s="54" t="e">
        <f>VLOOKUP(A183,Enforcements!$C$7:$K$9,8,0)</f>
        <v>#N/A</v>
      </c>
      <c r="AC183" s="51" t="e">
        <f>VLOOKUP(A183,Enforcements!$C$7:$E$9,3,0)</f>
        <v>#N/A</v>
      </c>
      <c r="AD183" s="178">
        <f t="shared" si="61"/>
        <v>822</v>
      </c>
      <c r="AE183" s="77" t="str">
        <f t="shared" si="62"/>
        <v>aws s3 cp s3://rtdc.mdm.uploadarchive.raw/RTDC4013/ "%USERPROFILE%\AppData\Local\Temp\OnboardLogs"\RTDC4013\2017-11-20 --exclude "*" --recursive --include "*20171120*" &amp; "%USERPROFILE%\Documents\GitHub\mrs-test-scripts\Headless Mode &amp; Sideloading\WalkAndUnGZ.bat" "%USERPROFILE%\AppData\Local\Temp\OnboardLogs"\RTDC4013\2017-11-20 &amp; 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</v>
      </c>
      <c r="AF183" s="74" t="str">
        <f t="shared" si="63"/>
        <v>"C:\Program Files (x86)\AstroGrep\AstroGrep.exe" /e /r /s /spath="%USERPROFILE%\AppData\Local\Temp\OnboardLogs" /stypes="app*4013*20171120*" /stext=" 20:.+((SYSTEM_STATE.+slice.+state.+changed )|(ment ac)|(multiple cpu faults)|(system.+state.+changed )|(\[timeout)|(PRM\|1\|D)|(kpr)|(kdp)|(train st.+moving)|(\|lc)|(penalty))"</v>
      </c>
      <c r="AG183" s="181" t="str">
        <f t="shared" si="64"/>
        <v>NW</v>
      </c>
      <c r="AH183" s="78" t="str">
        <f t="shared" si="65"/>
        <v>"%USERPROFILE%\Documents\GitHub\eaglep3\Utilities\RefineRTDCRunTimes.py" --tripid 822-20 --locoid 4013 --swversion DE.1.0.9.0 --startMP 300:58656 --initTime 2017-11-20T13:24:56 --startdatetime 2017-11-20T13:42:00 --delay 76 --endMP 204:4513 --enddatetime 2017-11-20T13:53:23 --enforcementcount 0 &gt;&gt;%USERPROFILE%\Documents\GitHub\eaglep3-reporting\EC\2017-11-20-refined-times.txt</v>
      </c>
      <c r="AI183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{"issue":{"subject":"","project_id":79,"tracker_id":40,"status_id":1,"priority_id":2,"assigned_to_id":338,"start_date":"2017-11-20","description":"","custom_fields":[{"id":1,"name":"Subdivision","value":"NW"},{"id":4,"name":"Milepost","value":"0.4513"},{"id":17,"name":"Train ID","value":"822-20"},{"id":16,"name":"Locomotive ID","value":"4013"},{"id":130,"name":"Impact","value":""},{"id":150,"name":"Time of Event (Mountain Time)","value":"13:53:23"},{"id":151,"name":"Denver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1" t="str">
        <f t="shared" si="67"/>
        <v>start /low /b %USERPROFILE%\Documents\GitHub\eaglep3\Utilities\DownloadLogsFromS3.py --loco 4013 --day 2017-11-20</v>
      </c>
      <c r="AN183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20:53:23"},{"id":29,"name":"Sharepoint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7" t="str">
        <f t="shared" si="69"/>
        <v>https://d0f6bd738d7f1b3e5a7ca70fe4ff75f0.us-east-1.aws.found.io/app/kibana#/discover/Steve-Slow-Train-Analysis-(2080s-and-2083s)?_g=(refreshInterval:(display:Off,pause:!f,section:0,value:0),time:(from:'2017-11-20T12:24:56-0700',mode:absolute,to:'2017-11-20T14:53:23-0700'))&amp;_a=(columns:!('Message%20ID',Summary),filters:!(),index:'emp_*',interval:auto,query:(query_string:(analyze_wildcard:!t,query:'%22rtdc.l.rtdc.4013%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788</v>
      </c>
      <c r="B184" s="7">
        <v>4014</v>
      </c>
      <c r="C184" s="21" t="s">
        <v>192</v>
      </c>
      <c r="D184" s="21" t="s">
        <v>1049</v>
      </c>
      <c r="E184" s="13">
        <v>43059.583912037036</v>
      </c>
      <c r="F184" s="13">
        <v>43059.589791666665</v>
      </c>
      <c r="G184" s="7">
        <v>52</v>
      </c>
      <c r="H184" s="21" t="s">
        <v>1050</v>
      </c>
      <c r="I184" s="13">
        <v>43059.599085648151</v>
      </c>
      <c r="J184" s="7">
        <v>0</v>
      </c>
      <c r="K184" s="89" t="str">
        <f t="shared" si="53"/>
        <v>4013/4014</v>
      </c>
      <c r="L184" s="184" t="str">
        <f>VLOOKUP(A184,'Trips&amp;Operators'!$C$1:$G$99911,5,FALSE)</f>
        <v>LEVIN SCOTT</v>
      </c>
      <c r="M184" s="6">
        <f t="shared" si="54"/>
        <v>9.2939814858254977E-3</v>
      </c>
      <c r="N184" s="7">
        <f t="shared" si="88"/>
        <v>13.383333339588717</v>
      </c>
      <c r="O184" s="7"/>
      <c r="P184" s="7"/>
      <c r="Q184" s="22"/>
      <c r="R184" s="173"/>
      <c r="S184" s="220">
        <f t="shared" si="89"/>
        <v>1</v>
      </c>
      <c r="T184" s="173" t="str">
        <f t="shared" si="55"/>
        <v>NorthBound</v>
      </c>
      <c r="U184" s="19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5" t="str">
        <f t="shared" si="56"/>
        <v>https://d0f6bd738d7f1b3e5a7ca70fe4ff75f0.us-east-1.aws.found.io/app/kibana#/discover/Steve-Slow-Train-Analysis-(2080s-and-2083s)?_g=(refreshInterval:(display:Off,pause:!f,section:0,value:0),time:(from:'2017-11-20T13:00:50-0700',mode:absolute,to:'2017-11-20T15:22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4" s="203" t="str">
        <f>IF(AA184&lt;VLOOKUP(AG184,Variables!$AC$3:$AD$8,2,FALSE),"Y","N")</f>
        <v>N</v>
      </c>
      <c r="X184" s="203">
        <f t="shared" si="87"/>
        <v>1</v>
      </c>
      <c r="Y184" s="203">
        <f t="shared" si="85"/>
        <v>0.11210000000000001</v>
      </c>
      <c r="Z184" s="203">
        <f t="shared" si="86"/>
        <v>5.8944000000000001</v>
      </c>
      <c r="AA184" s="203">
        <f t="shared" si="60"/>
        <v>5.7823000000000002</v>
      </c>
      <c r="AB184" s="54" t="e">
        <f>VLOOKUP(A184,Enforcements!$C$7:$K$9,8,0)</f>
        <v>#N/A</v>
      </c>
      <c r="AC184" s="51" t="e">
        <f>VLOOKUP(A184,Enforcements!$C$7:$E$9,3,0)</f>
        <v>#N/A</v>
      </c>
      <c r="AD184" s="178">
        <f t="shared" si="61"/>
        <v>823</v>
      </c>
      <c r="AE184" s="77" t="str">
        <f t="shared" si="62"/>
        <v>aws s3 cp s3://rtdc.mdm.uploadarchive.raw/RTDC4014/ "%USERPROFILE%\AppData\Local\Temp\OnboardLogs"\RTDC4014\2017-11-20 --exclude "*" --recursive --include "*20171120*" &amp; "%USERPROFILE%\Documents\GitHub\mrs-test-scripts\Headless Mode &amp; Sideloading\WalkAndUnGZ.bat" "%USERPROFILE%\AppData\Local\Temp\OnboardLogs"\RTDC4014\2017-11-20 &amp; 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</v>
      </c>
      <c r="AF184" s="74" t="str">
        <f t="shared" si="63"/>
        <v>"C:\Program Files (x86)\AstroGrep\AstroGrep.exe" /e /r /s /spath="%USERPROFILE%\AppData\Local\Temp\OnboardLogs" /stypes="app*4014*20171120*" /stext=" 21:.+((SYSTEM_STATE.+slice.+state.+changed )|(ment ac)|(multiple cpu faults)|(system.+state.+changed )|(\[timeout)|(PRM\|1\|D)|(kpr)|(kdp)|(train st.+moving)|(\|lc)|(penalty))"</v>
      </c>
      <c r="AG184" s="181" t="str">
        <f t="shared" si="64"/>
        <v>NW</v>
      </c>
      <c r="AH184" s="78" t="str">
        <f t="shared" si="65"/>
        <v>"%USERPROFILE%\Documents\GitHub\eaglep3\Utilities\RefineRTDCRunTimes.py" --tripid 823-20 --locoid 4014 --swversion DE.1.0.9.0 --startMP 204:1121 --initTime 2017-11-20T14:00:50 --startdatetime 2017-11-20T14:09:18 --delay 52 --endMP 300:58944 --enddatetime 2017-11-20T14:22:41 --enforcementcount 0 &gt;&gt;%USERPROFILE%\Documents\GitHub\eaglep3-reporting\EC\2017-11-20-refined-times.txt</v>
      </c>
      <c r="AI184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{"issue":{"subject":"","project_id":79,"tracker_id":40,"status_id":1,"priority_id":2,"assigned_to_id":338,"start_date":"2017-11-20","description":"","custom_fields":[{"id":1,"name":"Subdivision","value":"NW"},{"id":4,"name":"Milepost","value":"5.8944"},{"id":17,"name":"Train ID","value":"823-20"},{"id":16,"name":"Locomotive ID","value":"4014"},{"id":130,"name":"Impact","value":""},{"id":150,"name":"Time of Event (Mountain Time)","value":"14:22:41"},{"id":151,"name":"Denver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1" t="str">
        <f t="shared" si="67"/>
        <v>start /low /b %USERPROFILE%\Documents\GitHub\eaglep3\Utilities\DownloadLogsFromS3.py --loco 4014 --day 2017-11-20</v>
      </c>
      <c r="AN184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21:22:41"},{"id":29,"name":"Sharepoint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7" t="str">
        <f t="shared" si="69"/>
        <v>https://d0f6bd738d7f1b3e5a7ca70fe4ff75f0.us-east-1.aws.found.io/app/kibana#/discover/Steve-Slow-Train-Analysis-(2080s-and-2083s)?_g=(refreshInterval:(display:Off,pause:!f,section:0,value:0),time:(from:'2017-11-20T13:00:50-0700',mode:absolute,to:'2017-11-20T15:22:41-0700'))&amp;_a=(columns:!('Message%20ID',Summary),filters:!(),index:'emp_*',interval:auto,query:(query_string:(analyze_wildcard:!t,query:'%22rtdc.l.rtdc.4014%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794</v>
      </c>
      <c r="B185" s="7">
        <v>4013</v>
      </c>
      <c r="C185" s="21" t="s">
        <v>192</v>
      </c>
      <c r="D185" s="21" t="s">
        <v>629</v>
      </c>
      <c r="E185" s="13">
        <v>43059.600104166668</v>
      </c>
      <c r="F185" s="13">
        <v>43059.612500000003</v>
      </c>
      <c r="G185" s="7">
        <v>60</v>
      </c>
      <c r="H185" s="21" t="s">
        <v>622</v>
      </c>
      <c r="I185" s="13">
        <v>43059.621863425928</v>
      </c>
      <c r="J185" s="7">
        <v>0</v>
      </c>
      <c r="K185" s="89" t="str">
        <f t="shared" si="53"/>
        <v>4013/4014</v>
      </c>
      <c r="L185" s="184" t="str">
        <f>VLOOKUP(A185,'Trips&amp;Operators'!$C$1:$G$99911,5,FALSE)</f>
        <v>LEVIN SCOTT</v>
      </c>
      <c r="M185" s="6">
        <f t="shared" si="54"/>
        <v>9.3634259246755391E-3</v>
      </c>
      <c r="N185" s="7">
        <f t="shared" si="88"/>
        <v>13.483333331532776</v>
      </c>
      <c r="O185" s="7"/>
      <c r="P185" s="7"/>
      <c r="Q185" s="22"/>
      <c r="R185" s="173"/>
      <c r="S185" s="220">
        <f t="shared" si="89"/>
        <v>1</v>
      </c>
      <c r="T185" s="173" t="str">
        <f t="shared" si="55"/>
        <v>Southbound</v>
      </c>
      <c r="U185" s="19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5" t="str">
        <f t="shared" si="56"/>
        <v>https://d0f6bd738d7f1b3e5a7ca70fe4ff75f0.us-east-1.aws.found.io/app/kibana#/discover/Steve-Slow-Train-Analysis-(2080s-and-2083s)?_g=(refreshInterval:(display:Off,pause:!f,section:0,value:0),time:(from:'2017-11-20T13:24:09-0700',mode:absolute,to:'2017-11-20T15:55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5" s="203" t="str">
        <f>IF(AA185&lt;VLOOKUP(AG185,Variables!$AC$3:$AD$8,2,FALSE),"Y","N")</f>
        <v>N</v>
      </c>
      <c r="X185" s="203">
        <f t="shared" si="87"/>
        <v>1</v>
      </c>
      <c r="Y185" s="203">
        <f t="shared" si="85"/>
        <v>5.8630000000000004</v>
      </c>
      <c r="Z185" s="203">
        <f t="shared" si="86"/>
        <v>8.5300000000000001E-2</v>
      </c>
      <c r="AA185" s="203">
        <f t="shared" si="60"/>
        <v>5.7777000000000003</v>
      </c>
      <c r="AB185" s="54" t="e">
        <f>VLOOKUP(A185,Enforcements!$C$7:$K$9,8,0)</f>
        <v>#N/A</v>
      </c>
      <c r="AC185" s="51" t="e">
        <f>VLOOKUP(A185,Enforcements!$C$7:$E$9,3,0)</f>
        <v>#N/A</v>
      </c>
      <c r="AD185" s="178">
        <f t="shared" si="61"/>
        <v>824</v>
      </c>
      <c r="AE185" s="77" t="str">
        <f t="shared" si="62"/>
        <v>aws s3 cp s3://rtdc.mdm.uploadarchive.raw/RTDC4013/ "%USERPROFILE%\AppData\Local\Temp\OnboardLogs"\RTDC4013\2017-11-20 --exclude "*" --recursive --include "*20171120*" &amp; "%USERPROFILE%\Documents\GitHub\mrs-test-scripts\Headless Mode &amp; Sideloading\WalkAndUnGZ.bat" "%USERPROFILE%\AppData\Local\Temp\OnboardLogs"\RTDC4013\2017-11-20 &amp; 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</v>
      </c>
      <c r="AF185" s="74" t="str">
        <f t="shared" si="63"/>
        <v>"C:\Program Files (x86)\AstroGrep\AstroGrep.exe" /e /r /s /spath="%USERPROFILE%\AppData\Local\Temp\OnboardLogs" /stypes="app*4013*20171120*" /stext=" 21:.+((SYSTEM_STATE.+slice.+state.+changed )|(ment ac)|(multiple cpu faults)|(system.+state.+changed )|(\[timeout)|(PRM\|1\|D)|(kpr)|(kdp)|(train st.+moving)|(\|lc)|(penalty))"</v>
      </c>
      <c r="AG185" s="181" t="str">
        <f t="shared" si="64"/>
        <v>NW</v>
      </c>
      <c r="AH185" s="78" t="str">
        <f t="shared" si="65"/>
        <v>"%USERPROFILE%\Documents\GitHub\eaglep3\Utilities\RefineRTDCRunTimes.py" --tripid 824-20 --locoid 4013 --swversion DE.1.0.9.0 --startMP 300:58630 --initTime 2017-11-20T14:24:09 --startdatetime 2017-11-20T14:42:00 --delay 60 --endMP 204:853 --enddatetime 2017-11-20T14:55:29 --enforcementcount 0 &gt;&gt;%USERPROFILE%\Documents\GitHub\eaglep3-reporting\EC\2017-11-20-refined-times.txt</v>
      </c>
      <c r="AI185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{"issue":{"subject":"","project_id":79,"tracker_id":40,"status_id":1,"priority_id":2,"assigned_to_id":338,"start_date":"2017-11-20","description":"","custom_fields":[{"id":1,"name":"Subdivision","value":"NW"},{"id":4,"name":"Milepost","value":"0.0853"},{"id":17,"name":"Train ID","value":"824-20"},{"id":16,"name":"Locomotive ID","value":"4013"},{"id":130,"name":"Impact","value":""},{"id":150,"name":"Time of Event (Mountain Time)","value":"14:55:29"},{"id":151,"name":"Denver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1" t="str">
        <f t="shared" si="67"/>
        <v>start /low /b %USERPROFILE%\Documents\GitHub\eaglep3\Utilities\DownloadLogsFromS3.py --loco 4013 --day 2017-11-20</v>
      </c>
      <c r="AN185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21:55:29"},{"id":29,"name":"Sharepoint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7" t="str">
        <f t="shared" si="69"/>
        <v>https://d0f6bd738d7f1b3e5a7ca70fe4ff75f0.us-east-1.aws.found.io/app/kibana#/discover/Steve-Slow-Train-Analysis-(2080s-and-2083s)?_g=(refreshInterval:(display:Off,pause:!f,section:0,value:0),time:(from:'2017-11-20T13:24:09-0700',mode:absolute,to:'2017-11-20T15:55:29-0700'))&amp;_a=(columns:!('Message%20ID',Summary),filters:!(),index:'emp_*',interval:auto,query:(query_string:(analyze_wildcard:!t,query:'%22rtdc.l.rtdc.4013%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798</v>
      </c>
      <c r="B186" s="7">
        <v>4014</v>
      </c>
      <c r="C186" s="21" t="s">
        <v>192</v>
      </c>
      <c r="D186" s="21" t="s">
        <v>1017</v>
      </c>
      <c r="E186" s="13">
        <v>43059.624479166669</v>
      </c>
      <c r="F186" s="13">
        <v>43059.63144675926</v>
      </c>
      <c r="G186" s="7">
        <v>54</v>
      </c>
      <c r="H186" s="21" t="s">
        <v>1051</v>
      </c>
      <c r="I186" s="13">
        <v>43059.641643518517</v>
      </c>
      <c r="J186" s="7">
        <v>0</v>
      </c>
      <c r="K186" s="89" t="str">
        <f t="shared" si="53"/>
        <v>4013/4014</v>
      </c>
      <c r="L186" s="184" t="str">
        <f>VLOOKUP(A186,'Trips&amp;Operators'!$C$1:$G$99911,5,FALSE)</f>
        <v>LEVIN SCOTT</v>
      </c>
      <c r="M186" s="6">
        <f t="shared" si="54"/>
        <v>1.0196759256359655E-2</v>
      </c>
      <c r="N186" s="7">
        <f t="shared" si="88"/>
        <v>14.683333329157904</v>
      </c>
      <c r="O186" s="7"/>
      <c r="P186" s="7"/>
      <c r="Q186" s="22"/>
      <c r="R186" s="173"/>
      <c r="S186" s="220">
        <f t="shared" si="89"/>
        <v>1</v>
      </c>
      <c r="T186" s="173" t="str">
        <f t="shared" si="55"/>
        <v>NorthBound</v>
      </c>
      <c r="U186" s="19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5" t="str">
        <f t="shared" si="56"/>
        <v>https://d0f6bd738d7f1b3e5a7ca70fe4ff75f0.us-east-1.aws.found.io/app/kibana#/discover/Steve-Slow-Train-Analysis-(2080s-and-2083s)?_g=(refreshInterval:(display:Off,pause:!f,section:0,value:0),time:(from:'2017-11-20T13:59:15-0700',mode:absolute,to:'2017-11-20T16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6" s="203" t="str">
        <f>IF(AA186&lt;VLOOKUP(AG186,Variables!$AC$3:$AD$8,2,FALSE),"Y","N")</f>
        <v>N</v>
      </c>
      <c r="X186" s="203">
        <f t="shared" si="87"/>
        <v>1</v>
      </c>
      <c r="Y186" s="203">
        <f t="shared" si="85"/>
        <v>0.1128</v>
      </c>
      <c r="Z186" s="203">
        <f t="shared" si="86"/>
        <v>5.8948</v>
      </c>
      <c r="AA186" s="203">
        <f t="shared" si="60"/>
        <v>5.782</v>
      </c>
      <c r="AB186" s="54" t="e">
        <f>VLOOKUP(A186,Enforcements!$C$7:$K$9,8,0)</f>
        <v>#N/A</v>
      </c>
      <c r="AC186" s="51" t="e">
        <f>VLOOKUP(A186,Enforcements!$C$7:$E$9,3,0)</f>
        <v>#N/A</v>
      </c>
      <c r="AD186" s="178">
        <f t="shared" si="61"/>
        <v>825</v>
      </c>
      <c r="AE186" s="77" t="str">
        <f t="shared" si="62"/>
        <v>aws s3 cp s3://rtdc.mdm.uploadarchive.raw/RTDC4014/ "%USERPROFILE%\AppData\Local\Temp\OnboardLogs"\RTDC4014\2017-11-20 --exclude "*" --recursive --include "*20171120*" &amp; "%USERPROFILE%\Documents\GitHub\mrs-test-scripts\Headless Mode &amp; Sideloading\WalkAndUnGZ.bat" "%USERPROFILE%\AppData\Local\Temp\OnboardLogs"\RTDC4014\2017-11-20 &amp; 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</v>
      </c>
      <c r="AF186" s="74" t="str">
        <f t="shared" si="63"/>
        <v>"C:\Program Files (x86)\AstroGrep\AstroGrep.exe" /e /r /s /spath="%USERPROFILE%\AppData\Local\Temp\OnboardLogs" /stypes="app*4014*20171120*" /stext=" 22:.+((SYSTEM_STATE.+slice.+state.+changed )|(ment ac)|(multiple cpu faults)|(system.+state.+changed )|(\[timeout)|(PRM\|1\|D)|(kpr)|(kdp)|(train st.+moving)|(\|lc)|(penalty))"</v>
      </c>
      <c r="AG186" s="181" t="str">
        <f t="shared" si="64"/>
        <v>NW</v>
      </c>
      <c r="AH186" s="78" t="str">
        <f t="shared" si="65"/>
        <v>"%USERPROFILE%\Documents\GitHub\eaglep3\Utilities\RefineRTDCRunTimes.py" --tripid 825-20 --locoid 4014 --swversion DE.1.0.9.0 --startMP 204:1128 --initTime 2017-11-20T14:59:15 --startdatetime 2017-11-20T15:09:17 --delay 54 --endMP 300:58948 --enddatetime 2017-11-20T15:23:58 --enforcementcount 0 &gt;&gt;%USERPROFILE%\Documents\GitHub\eaglep3-reporting\EC\2017-11-20-refined-times.txt</v>
      </c>
      <c r="AI186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{"issue":{"subject":"","project_id":79,"tracker_id":40,"status_id":1,"priority_id":2,"assigned_to_id":338,"start_date":"2017-11-20","description":"","custom_fields":[{"id":1,"name":"Subdivision","value":"NW"},{"id":4,"name":"Milepost","value":"5.8948"},{"id":17,"name":"Train ID","value":"825-20"},{"id":16,"name":"Locomotive ID","value":"4014"},{"id":130,"name":"Impact","value":""},{"id":150,"name":"Time of Event (Mountain Time)","value":"15:23:58"},{"id":151,"name":"Denver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1" t="str">
        <f t="shared" si="67"/>
        <v>start /low /b %USERPROFILE%\Documents\GitHub\eaglep3\Utilities\DownloadLogsFromS3.py --loco 4014 --day 2017-11-20</v>
      </c>
      <c r="AN186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22:23:58"},{"id":29,"name":"Sharepoint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7" t="str">
        <f t="shared" si="69"/>
        <v>https://d0f6bd738d7f1b3e5a7ca70fe4ff75f0.us-east-1.aws.found.io/app/kibana#/discover/Steve-Slow-Train-Analysis-(2080s-and-2083s)?_g=(refreshInterval:(display:Off,pause:!f,section:0,value:0),time:(from:'2017-11-20T13:59:15-0700',mode:absolute,to:'2017-11-20T16:23:58-0700'))&amp;_a=(columns:!('Message%20ID',Summary),filters:!(),index:'emp_*',interval:auto,query:(query_string:(analyze_wildcard:!t,query:'%22rtdc.l.rtdc.4014%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803</v>
      </c>
      <c r="B187" s="7">
        <v>4013</v>
      </c>
      <c r="C187" s="21" t="s">
        <v>192</v>
      </c>
      <c r="D187" s="21" t="s">
        <v>1052</v>
      </c>
      <c r="E187" s="13">
        <v>43059.642743055556</v>
      </c>
      <c r="F187" s="13">
        <v>43059.654166666667</v>
      </c>
      <c r="G187" s="7">
        <v>52</v>
      </c>
      <c r="H187" s="21" t="s">
        <v>1053</v>
      </c>
      <c r="I187" s="13">
        <v>43059.663414351853</v>
      </c>
      <c r="J187" s="7">
        <v>0</v>
      </c>
      <c r="K187" s="89" t="str">
        <f t="shared" si="53"/>
        <v>4013/4014</v>
      </c>
      <c r="L187" s="184" t="str">
        <f>VLOOKUP(A187,'Trips&amp;Operators'!$C$1:$G$99911,5,FALSE)</f>
        <v>LEVIN SCOTT</v>
      </c>
      <c r="M187" s="6">
        <f t="shared" si="54"/>
        <v>9.2476851859828457E-3</v>
      </c>
      <c r="N187" s="7">
        <f t="shared" si="88"/>
        <v>13.316666667815298</v>
      </c>
      <c r="O187" s="7"/>
      <c r="P187" s="7"/>
      <c r="Q187" s="22"/>
      <c r="R187" s="173"/>
      <c r="S187" s="220">
        <f t="shared" si="89"/>
        <v>1</v>
      </c>
      <c r="T187" s="173" t="str">
        <f t="shared" si="55"/>
        <v>Southbound</v>
      </c>
      <c r="U187" s="19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5" t="str">
        <f t="shared" si="56"/>
        <v>https://d0f6bd738d7f1b3e5a7ca70fe4ff75f0.us-east-1.aws.found.io/app/kibana#/discover/Steve-Slow-Train-Analysis-(2080s-and-2083s)?_g=(refreshInterval:(display:Off,pause:!f,section:0,value:0),time:(from:'2017-11-20T14:25:33-0700',mode:absolute,to:'2017-11-20T16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7" s="203" t="str">
        <f>IF(AA187&lt;VLOOKUP(AG187,Variables!$AC$3:$AD$8,2,FALSE),"Y","N")</f>
        <v>N</v>
      </c>
      <c r="X187" s="203">
        <f t="shared" si="87"/>
        <v>1</v>
      </c>
      <c r="Y187" s="203">
        <f t="shared" si="85"/>
        <v>5.8638000000000003</v>
      </c>
      <c r="Z187" s="203">
        <f t="shared" si="86"/>
        <v>8.48E-2</v>
      </c>
      <c r="AA187" s="203">
        <f t="shared" si="60"/>
        <v>5.7789999999999999</v>
      </c>
      <c r="AB187" s="54" t="e">
        <f>VLOOKUP(A187,Enforcements!$C$7:$K$9,8,0)</f>
        <v>#N/A</v>
      </c>
      <c r="AC187" s="51" t="e">
        <f>VLOOKUP(A187,Enforcements!$C$7:$E$9,3,0)</f>
        <v>#N/A</v>
      </c>
      <c r="AD187" s="178">
        <f t="shared" si="61"/>
        <v>826</v>
      </c>
      <c r="AE187" s="77" t="str">
        <f t="shared" si="62"/>
        <v>aws s3 cp s3://rtdc.mdm.uploadarchive.raw/RTDC4013/ "%USERPROFILE%\AppData\Local\Temp\OnboardLogs"\RTDC4013\2017-11-20 --exclude "*" --recursive --include "*20171120*" &amp; "%USERPROFILE%\Documents\GitHub\mrs-test-scripts\Headless Mode &amp; Sideloading\WalkAndUnGZ.bat" "%USERPROFILE%\AppData\Local\Temp\OnboardLogs"\RTDC4013\2017-11-20 &amp; 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</v>
      </c>
      <c r="AF187" s="74" t="str">
        <f t="shared" si="63"/>
        <v>"C:\Program Files (x86)\AstroGrep\AstroGrep.exe" /e /r /s /spath="%USERPROFILE%\AppData\Local\Temp\OnboardLogs" /stypes="app*4013*20171120*" /stext=" 22:.+((SYSTEM_STATE.+slice.+state.+changed )|(ment ac)|(multiple cpu faults)|(system.+state.+changed )|(\[timeout)|(PRM\|1\|D)|(kpr)|(kdp)|(train st.+moving)|(\|lc)|(penalty))"</v>
      </c>
      <c r="AG187" s="181" t="str">
        <f t="shared" si="64"/>
        <v>NW</v>
      </c>
      <c r="AH187" s="78" t="str">
        <f t="shared" si="65"/>
        <v>"%USERPROFILE%\Documents\GitHub\eaglep3\Utilities\RefineRTDCRunTimes.py" --tripid 826-20 --locoid 4013 --swversion DE.1.0.9.0 --startMP 300:58638 --initTime 2017-11-20T15:25:33 --startdatetime 2017-11-20T15:42:00 --delay 52 --endMP 204:848 --enddatetime 2017-11-20T15:55:19 --enforcementcount 0 &gt;&gt;%USERPROFILE%\Documents\GitHub\eaglep3-reporting\EC\2017-11-20-refined-times.txt</v>
      </c>
      <c r="AI187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{"issue":{"subject":"","project_id":79,"tracker_id":40,"status_id":1,"priority_id":2,"assigned_to_id":338,"start_date":"2017-11-20","description":"","custom_fields":[{"id":1,"name":"Subdivision","value":"NW"},{"id":4,"name":"Milepost","value":"0.0848"},{"id":17,"name":"Train ID","value":"826-20"},{"id":16,"name":"Locomotive ID","value":"4013"},{"id":130,"name":"Impact","value":""},{"id":150,"name":"Time of Event (Mountain Time)","value":"15:55:19"},{"id":151,"name":"Denver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1" t="str">
        <f t="shared" si="67"/>
        <v>start /low /b %USERPROFILE%\Documents\GitHub\eaglep3\Utilities\DownloadLogsFromS3.py --loco 4013 --day 2017-11-20</v>
      </c>
      <c r="AN187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22:55:19"},{"id":29,"name":"Sharepoint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7" t="str">
        <f t="shared" si="69"/>
        <v>https://d0f6bd738d7f1b3e5a7ca70fe4ff75f0.us-east-1.aws.found.io/app/kibana#/discover/Steve-Slow-Train-Analysis-(2080s-and-2083s)?_g=(refreshInterval:(display:Off,pause:!f,section:0,value:0),time:(from:'2017-11-20T14:25:33-0700',mode:absolute,to:'2017-11-20T16:55:19-0700'))&amp;_a=(columns:!('Message%20ID',Summary),filters:!(),index:'emp_*',interval:auto,query:(query_string:(analyze_wildcard:!t,query:'%22rtdc.l.rtdc.4013%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805</v>
      </c>
      <c r="B188" s="7">
        <v>4062</v>
      </c>
      <c r="C188" s="21" t="s">
        <v>192</v>
      </c>
      <c r="D188" s="21" t="s">
        <v>1054</v>
      </c>
      <c r="E188" s="13">
        <v>43059.64770833333</v>
      </c>
      <c r="F188" s="13">
        <v>43059.652384259258</v>
      </c>
      <c r="G188" s="7">
        <v>72</v>
      </c>
      <c r="H188" s="21" t="s">
        <v>1040</v>
      </c>
      <c r="I188" s="13">
        <v>43059.662465277775</v>
      </c>
      <c r="J188" s="7">
        <v>0</v>
      </c>
      <c r="K188" s="89" t="str">
        <f t="shared" si="53"/>
        <v>4061/4062</v>
      </c>
      <c r="L188" s="184" t="str">
        <f>VLOOKUP(A188,'Trips&amp;Operators'!$C$1:$G$99911,5,FALSE)</f>
        <v>STAMBAUGH JAMES</v>
      </c>
      <c r="M188" s="6">
        <f t="shared" si="54"/>
        <v>1.0081018517666962E-2</v>
      </c>
      <c r="N188" s="7">
        <f t="shared" si="88"/>
        <v>14.516666665440425</v>
      </c>
      <c r="O188" s="7"/>
      <c r="P188" s="7"/>
      <c r="Q188" s="22"/>
      <c r="R188" s="173"/>
      <c r="S188" s="220">
        <f t="shared" si="89"/>
        <v>1</v>
      </c>
      <c r="T188" s="173" t="str">
        <f t="shared" si="55"/>
        <v>NorthBound</v>
      </c>
      <c r="U188" s="19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5" t="str">
        <f t="shared" si="56"/>
        <v>https://d0f6bd738d7f1b3e5a7ca70fe4ff75f0.us-east-1.aws.found.io/app/kibana#/discover/Steve-Slow-Train-Analysis-(2080s-and-2083s)?_g=(refreshInterval:(display:Off,pause:!f,section:0,value:0),time:(from:'2017-11-20T14:32:42-0700',mode:absolute,to:'2017-11-20T16:53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8" s="203" t="str">
        <f>IF(AA188&lt;VLOOKUP(AG188,Variables!$AC$3:$AD$8,2,FALSE),"Y","N")</f>
        <v>N</v>
      </c>
      <c r="X188" s="203">
        <f t="shared" si="87"/>
        <v>1</v>
      </c>
      <c r="Y188" s="203">
        <f t="shared" si="85"/>
        <v>9.8299999999999998E-2</v>
      </c>
      <c r="Z188" s="203">
        <f t="shared" si="86"/>
        <v>5.8920000000000003</v>
      </c>
      <c r="AA188" s="203">
        <f t="shared" si="60"/>
        <v>5.7937000000000003</v>
      </c>
      <c r="AB188" s="54" t="e">
        <f>VLOOKUP(A188,Enforcements!$C$7:$K$9,8,0)</f>
        <v>#N/A</v>
      </c>
      <c r="AC188" s="51" t="e">
        <f>VLOOKUP(A188,Enforcements!$C$7:$E$9,3,0)</f>
        <v>#N/A</v>
      </c>
      <c r="AD188" s="178">
        <f t="shared" si="61"/>
        <v>827</v>
      </c>
      <c r="AE188" s="77" t="str">
        <f t="shared" si="62"/>
        <v>aws s3 cp s3://rtdc.mdm.uploadarchive.raw/RTDC4062/ "%USERPROFILE%\AppData\Local\Temp\OnboardLogs"\RTDC4062\2017-11-20 --exclude "*" --recursive --include "*20171120*" &amp; "%USERPROFILE%\Documents\GitHub\mrs-test-scripts\Headless Mode &amp; Sideloading\WalkAndUnGZ.bat" "%USERPROFILE%\AppData\Local\Temp\OnboardLogs"\RTDC4062\2017-11-20 &amp; aws s3 cp s3://rtdc.mdm.uploadarchive.raw/RTDC4062/ "%USERPROFILE%\AppData\Local\Temp\OnboardLogs"\RTDC4062\2017-11-21 --exclude "*" --recursive --include "*20171121*" &amp; "%USERPROFILE%\Documents\GitHub\mrs-test-scripts\Headless Mode &amp; Sideloading\WalkAndUnGZ.bat" "%USERPROFILE%\AppData\Local\Temp\OnboardLogs"\RTDC4062\2017-11-21</v>
      </c>
      <c r="AF188" s="74" t="str">
        <f t="shared" si="63"/>
        <v>"C:\Program Files (x86)\AstroGrep\AstroGrep.exe" /e /r /s /spath="%USERPROFILE%\AppData\Local\Temp\OnboardLogs" /stypes="app*4062*20171120*" /stext=" 22:.+((SYSTEM_STATE.+slice.+state.+changed )|(ment ac)|(multiple cpu faults)|(system.+state.+changed )|(\[timeout)|(PRM\|1\|D)|(kpr)|(kdp)|(train st.+moving)|(\|lc)|(penalty))"</v>
      </c>
      <c r="AG188" s="181" t="str">
        <f t="shared" si="64"/>
        <v>NW</v>
      </c>
      <c r="AH188" s="78" t="str">
        <f t="shared" si="65"/>
        <v>"%USERPROFILE%\Documents\GitHub\eaglep3\Utilities\RefineRTDCRunTimes.py" --tripid 827-20 --locoid 4062 --swversion DE.1.0.9.0 --startMP 204:983 --initTime 2017-11-20T15:32:42 --startdatetime 2017-11-20T15:39:26 --delay 72 --endMP 300:58920 --enddatetime 2017-11-20T15:53:57 --enforcementcount 0 &gt;&gt;%USERPROFILE%\Documents\GitHub\eaglep3-reporting\EC\2017-11-20-refined-times.txt</v>
      </c>
      <c r="AI188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{"issue":{"subject":"","project_id":79,"tracker_id":40,"status_id":1,"priority_id":2,"assigned_to_id":338,"start_date":"2017-11-20","description":"","custom_fields":[{"id":1,"name":"Subdivision","value":"NW"},{"id":4,"name":"Milepost","value":"5.892"},{"id":17,"name":"Train ID","value":"827-20"},{"id":16,"name":"Locomotive ID","value":"4062"},{"id":130,"name":"Impact","value":""},{"id":150,"name":"Time of Event (Mountain Time)","value":"15:53:57"},{"id":151,"name":"Denver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1" t="str">
        <f t="shared" si="67"/>
        <v>start /low /b %USERPROFILE%\Documents\GitHub\eaglep3\Utilities\DownloadLogsFromS3.py --loco 4062 --day 2017-11-20</v>
      </c>
      <c r="AN188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22:53:57"},{"id":29,"name":"Sharepoint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7" t="str">
        <f t="shared" si="69"/>
        <v>https://d0f6bd738d7f1b3e5a7ca70fe4ff75f0.us-east-1.aws.found.io/app/kibana#/discover/Steve-Slow-Train-Analysis-(2080s-and-2083s)?_g=(refreshInterval:(display:Off,pause:!f,section:0,value:0),time:(from:'2017-11-20T14:32:42-0700',mode:absolute,to:'2017-11-20T16:53:57-0700'))&amp;_a=(columns:!('Message%20ID',Summary),filters:!(),index:'emp_*',interval:auto,query:(query_string:(analyze_wildcard:!t,query:'%22rtdc.l.rtdc.4062%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809</v>
      </c>
      <c r="B189" s="7">
        <v>4061</v>
      </c>
      <c r="C189" s="21" t="s">
        <v>192</v>
      </c>
      <c r="D189" s="21" t="s">
        <v>1055</v>
      </c>
      <c r="E189" s="13">
        <v>43059.6637962963</v>
      </c>
      <c r="F189" s="13">
        <v>43059.675844907404</v>
      </c>
      <c r="G189" s="7">
        <v>65</v>
      </c>
      <c r="H189" s="21" t="s">
        <v>1056</v>
      </c>
      <c r="I189" s="13">
        <v>43059.683738425927</v>
      </c>
      <c r="J189" s="7">
        <v>0</v>
      </c>
      <c r="K189" s="89" t="str">
        <f t="shared" si="53"/>
        <v>4061/4062</v>
      </c>
      <c r="L189" s="184" t="str">
        <f>VLOOKUP(A189,'Trips&amp;Operators'!$C$1:$G$99911,5,FALSE)</f>
        <v>STAMBAUGH JAMES</v>
      </c>
      <c r="M189" s="6">
        <f t="shared" si="54"/>
        <v>7.8935185229056515E-3</v>
      </c>
      <c r="N189" s="7">
        <f t="shared" si="88"/>
        <v>11.366666672984138</v>
      </c>
      <c r="O189" s="7"/>
      <c r="P189" s="7"/>
      <c r="Q189" s="22"/>
      <c r="R189" s="173"/>
      <c r="S189" s="220">
        <f t="shared" si="89"/>
        <v>1</v>
      </c>
      <c r="T189" s="173" t="str">
        <f t="shared" si="55"/>
        <v>Southbound</v>
      </c>
      <c r="U189" s="19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5" t="str">
        <f t="shared" si="56"/>
        <v>https://d0f6bd738d7f1b3e5a7ca70fe4ff75f0.us-east-1.aws.found.io/app/kibana#/discover/Steve-Slow-Train-Analysis-(2080s-and-2083s)?_g=(refreshInterval:(display:Off,pause:!f,section:0,value:0),time:(from:'2017-11-20T14:55:52-0700',mode:absolute,to:'2017-11-20T17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9" s="203" t="str">
        <f>IF(AA189&lt;VLOOKUP(AG189,Variables!$AC$3:$AD$8,2,FALSE),"Y","N")</f>
        <v>N</v>
      </c>
      <c r="X189" s="203">
        <f t="shared" si="87"/>
        <v>1</v>
      </c>
      <c r="Y189" s="203">
        <f t="shared" si="85"/>
        <v>5.8609</v>
      </c>
      <c r="Z189" s="203">
        <f t="shared" si="86"/>
        <v>7.0499999999999993E-2</v>
      </c>
      <c r="AA189" s="203">
        <f t="shared" si="60"/>
        <v>5.7904</v>
      </c>
      <c r="AB189" s="54" t="e">
        <f>VLOOKUP(A189,Enforcements!$C$7:$K$9,8,0)</f>
        <v>#N/A</v>
      </c>
      <c r="AC189" s="51" t="e">
        <f>VLOOKUP(A189,Enforcements!$C$7:$E$9,3,0)</f>
        <v>#N/A</v>
      </c>
      <c r="AD189" s="178">
        <f t="shared" si="61"/>
        <v>828</v>
      </c>
      <c r="AE189" s="77" t="str">
        <f t="shared" si="62"/>
        <v>aws s3 cp s3://rtdc.mdm.uploadarchive.raw/RTDC4061/ "%USERPROFILE%\AppData\Local\Temp\OnboardLogs"\RTDC4061\2017-11-20 --exclude "*" --recursive --include "*20171120*" &amp; "%USERPROFILE%\Documents\GitHub\mrs-test-scripts\Headless Mode &amp; Sideloading\WalkAndUnGZ.bat" "%USERPROFILE%\AppData\Local\Temp\OnboardLogs"\RTDC4061\2017-11-20 &amp; aws s3 cp s3://rtdc.mdm.uploadarchive.raw/RTDC4061/ "%USERPROFILE%\AppData\Local\Temp\OnboardLogs"\RTDC4061\2017-11-21 --exclude "*" --recursive --include "*20171121*" &amp; "%USERPROFILE%\Documents\GitHub\mrs-test-scripts\Headless Mode &amp; Sideloading\WalkAndUnGZ.bat" "%USERPROFILE%\AppData\Local\Temp\OnboardLogs"\RTDC4061\2017-11-21</v>
      </c>
      <c r="AF189" s="74" t="str">
        <f t="shared" si="63"/>
        <v>"C:\Program Files (x86)\AstroGrep\AstroGrep.exe" /e /r /s /spath="%USERPROFILE%\AppData\Local\Temp\OnboardLogs" /stypes="app*4061*20171120*" /stext=" 23:.+((SYSTEM_STATE.+slice.+state.+changed )|(ment ac)|(multiple cpu faults)|(system.+state.+changed )|(\[timeout)|(PRM\|1\|D)|(kpr)|(kdp)|(train st.+moving)|(\|lc)|(penalty))"</v>
      </c>
      <c r="AG189" s="181" t="str">
        <f t="shared" si="64"/>
        <v>NW</v>
      </c>
      <c r="AH189" s="78" t="str">
        <f t="shared" si="65"/>
        <v>"%USERPROFILE%\Documents\GitHub\eaglep3\Utilities\RefineRTDCRunTimes.py" --tripid 828-20 --locoid 4061 --swversion DE.1.0.9.0 --startMP 300:58609 --initTime 2017-11-20T15:55:52 --startdatetime 2017-11-20T16:13:13 --delay 65 --endMP 204:705 --enddatetime 2017-11-20T16:24:35 --enforcementcount 0 &gt;&gt;%USERPROFILE%\Documents\GitHub\eaglep3-reporting\EC\2017-11-20-refined-times.txt</v>
      </c>
      <c r="AI189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{"issue":{"subject":"","project_id":79,"tracker_id":40,"status_id":1,"priority_id":2,"assigned_to_id":338,"start_date":"2017-11-20","description":"","custom_fields":[{"id":1,"name":"Subdivision","value":"NW"},{"id":4,"name":"Milepost","value":"0.0705"},{"id":17,"name":"Train ID","value":"828-20"},{"id":16,"name":"Locomotive ID","value":"4061"},{"id":130,"name":"Impact","value":""},{"id":150,"name":"Time of Event (Mountain Time)","value":"16:24:35"},{"id":151,"name":"Denver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1" t="str">
        <f t="shared" si="67"/>
        <v>start /low /b %USERPROFILE%\Documents\GitHub\eaglep3\Utilities\DownloadLogsFromS3.py --loco 4061 --day 2017-11-20</v>
      </c>
      <c r="AN189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23:24:35"},{"id":29,"name":"Sharepoint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7" t="str">
        <f t="shared" si="69"/>
        <v>https://d0f6bd738d7f1b3e5a7ca70fe4ff75f0.us-east-1.aws.found.io/app/kibana#/discover/Steve-Slow-Train-Analysis-(2080s-and-2083s)?_g=(refreshInterval:(display:Off,pause:!f,section:0,value:0),time:(from:'2017-11-20T14:55:52-0700',mode:absolute,to:'2017-11-20T17:24:35-0700'))&amp;_a=(columns:!('Message%20ID',Summary),filters:!(),index:'emp_*',interval:auto,query:(query_string:(analyze_wildcard:!t,query:'%22rtdc.l.rtdc.4061%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810</v>
      </c>
      <c r="B190" s="7">
        <v>4014</v>
      </c>
      <c r="C190" s="21" t="s">
        <v>192</v>
      </c>
      <c r="D190" s="21" t="s">
        <v>621</v>
      </c>
      <c r="E190" s="13">
        <v>43059.670451388891</v>
      </c>
      <c r="F190" s="13">
        <v>43059.673148148147</v>
      </c>
      <c r="G190" s="7">
        <v>61</v>
      </c>
      <c r="H190" s="21" t="s">
        <v>1050</v>
      </c>
      <c r="I190" s="13">
        <v>43059.683506944442</v>
      </c>
      <c r="J190" s="7">
        <v>0</v>
      </c>
      <c r="K190" s="89" t="str">
        <f t="shared" si="53"/>
        <v>4013/4014</v>
      </c>
      <c r="L190" s="184" t="str">
        <f>VLOOKUP(A190,'Trips&amp;Operators'!$C$1:$G$99911,5,FALSE)</f>
        <v>LEVIN SCOTT</v>
      </c>
      <c r="M190" s="6">
        <f t="shared" si="54"/>
        <v>1.0358796294895001E-2</v>
      </c>
      <c r="N190" s="7">
        <f t="shared" si="88"/>
        <v>14.916666664648801</v>
      </c>
      <c r="O190" s="7"/>
      <c r="P190" s="7"/>
      <c r="Q190" s="22"/>
      <c r="R190" s="173"/>
      <c r="S190" s="220">
        <f t="shared" si="89"/>
        <v>1</v>
      </c>
      <c r="T190" s="173" t="str">
        <f t="shared" si="55"/>
        <v>NorthBound</v>
      </c>
      <c r="U190" s="19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5" t="str">
        <f t="shared" si="56"/>
        <v>https://d0f6bd738d7f1b3e5a7ca70fe4ff75f0.us-east-1.aws.found.io/app/kibana#/discover/Steve-Slow-Train-Analysis-(2080s-and-2083s)?_g=(refreshInterval:(display:Off,pause:!f,section:0,value:0),time:(from:'2017-11-20T15:05:27-0700',mode:absolute,to:'2017-11-20T17:24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0" s="203" t="str">
        <f>IF(AA190&lt;VLOOKUP(AG190,Variables!$AC$3:$AD$8,2,FALSE),"Y","N")</f>
        <v>N</v>
      </c>
      <c r="X190" s="203">
        <f t="shared" si="87"/>
        <v>1</v>
      </c>
      <c r="Y190" s="203">
        <f t="shared" si="85"/>
        <v>0.1125</v>
      </c>
      <c r="Z190" s="203">
        <f t="shared" si="86"/>
        <v>5.8944000000000001</v>
      </c>
      <c r="AA190" s="203">
        <f t="shared" si="60"/>
        <v>5.7819000000000003</v>
      </c>
      <c r="AB190" s="54" t="e">
        <f>VLOOKUP(A190,Enforcements!$C$7:$K$9,8,0)</f>
        <v>#N/A</v>
      </c>
      <c r="AC190" s="51" t="e">
        <f>VLOOKUP(A190,Enforcements!$C$7:$E$9,3,0)</f>
        <v>#N/A</v>
      </c>
      <c r="AD190" s="178">
        <f t="shared" si="61"/>
        <v>829</v>
      </c>
      <c r="AE190" s="77" t="str">
        <f t="shared" si="62"/>
        <v>aws s3 cp s3://rtdc.mdm.uploadarchive.raw/RTDC4014/ "%USERPROFILE%\AppData\Local\Temp\OnboardLogs"\RTDC4014\2017-11-20 --exclude "*" --recursive --include "*20171120*" &amp; "%USERPROFILE%\Documents\GitHub\mrs-test-scripts\Headless Mode &amp; Sideloading\WalkAndUnGZ.bat" "%USERPROFILE%\AppData\Local\Temp\OnboardLogs"\RTDC4014\2017-11-20 &amp; 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</v>
      </c>
      <c r="AF190" s="74" t="str">
        <f t="shared" si="63"/>
        <v>"C:\Program Files (x86)\AstroGrep\AstroGrep.exe" /e /r /s /spath="%USERPROFILE%\AppData\Local\Temp\OnboardLogs" /stypes="app*4014*20171120*" /stext=" 23:.+((SYSTEM_STATE.+slice.+state.+changed )|(ment ac)|(multiple cpu faults)|(system.+state.+changed )|(\[timeout)|(PRM\|1\|D)|(kpr)|(kdp)|(train st.+moving)|(\|lc)|(penalty))"</v>
      </c>
      <c r="AG190" s="181" t="str">
        <f t="shared" si="64"/>
        <v>NW</v>
      </c>
      <c r="AH190" s="78" t="str">
        <f t="shared" si="65"/>
        <v>"%USERPROFILE%\Documents\GitHub\eaglep3\Utilities\RefineRTDCRunTimes.py" --tripid 829-20 --locoid 4014 --swversion DE.1.0.9.0 --startMP 204:1125 --initTime 2017-11-20T16:05:27 --startdatetime 2017-11-20T16:09:20 --delay 61 --endMP 300:58944 --enddatetime 2017-11-20T16:24:15 --enforcementcount 0 &gt;&gt;%USERPROFILE%\Documents\GitHub\eaglep3-reporting\EC\2017-11-20-refined-times.txt</v>
      </c>
      <c r="AI190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{"issue":{"subject":"","project_id":79,"tracker_id":40,"status_id":1,"priority_id":2,"assigned_to_id":338,"start_date":"2017-11-20","description":"","custom_fields":[{"id":1,"name":"Subdivision","value":"NW"},{"id":4,"name":"Milepost","value":"5.8944"},{"id":17,"name":"Train ID","value":"829-20"},{"id":16,"name":"Locomotive ID","value":"4014"},{"id":130,"name":"Impact","value":""},{"id":150,"name":"Time of Event (Mountain Time)","value":"16:24:15"},{"id":151,"name":"Denver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1" t="str">
        <f t="shared" si="67"/>
        <v>start /low /b %USERPROFILE%\Documents\GitHub\eaglep3\Utilities\DownloadLogsFromS3.py --loco 4014 --day 2017-11-20</v>
      </c>
      <c r="AN190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23:24:15"},{"id":29,"name":"Sharepoint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7" t="str">
        <f t="shared" si="69"/>
        <v>https://d0f6bd738d7f1b3e5a7ca70fe4ff75f0.us-east-1.aws.found.io/app/kibana#/discover/Steve-Slow-Train-Analysis-(2080s-and-2083s)?_g=(refreshInterval:(display:Off,pause:!f,section:0,value:0),time:(from:'2017-11-20T15:05:27-0700',mode:absolute,to:'2017-11-20T17:24:15-0700'))&amp;_a=(columns:!('Message%20ID',Summary),filters:!(),index:'emp_*',interval:auto,query:(query_string:(analyze_wildcard:!t,query:'%22rtdc.l.rtdc.4014%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817</v>
      </c>
      <c r="B191" s="7">
        <v>4013</v>
      </c>
      <c r="C191" s="21" t="s">
        <v>192</v>
      </c>
      <c r="D191" s="21" t="s">
        <v>1057</v>
      </c>
      <c r="E191" s="13">
        <v>43059.686724537038</v>
      </c>
      <c r="F191" s="13">
        <v>43059.695833333331</v>
      </c>
      <c r="G191" s="7">
        <v>51</v>
      </c>
      <c r="H191" s="21" t="s">
        <v>1058</v>
      </c>
      <c r="I191" s="13">
        <v>43059.705046296294</v>
      </c>
      <c r="J191" s="7">
        <v>0</v>
      </c>
      <c r="K191" s="89" t="str">
        <f t="shared" si="53"/>
        <v>4013/4014</v>
      </c>
      <c r="L191" s="184" t="str">
        <f>VLOOKUP(A191,'Trips&amp;Operators'!$C$1:$G$99911,5,FALSE)</f>
        <v>LEVIN SCOTT</v>
      </c>
      <c r="M191" s="6">
        <f t="shared" si="54"/>
        <v>9.2129629629198462E-3</v>
      </c>
      <c r="N191" s="7">
        <f t="shared" si="88"/>
        <v>13.266666666604578</v>
      </c>
      <c r="O191" s="7"/>
      <c r="P191" s="7"/>
      <c r="Q191" s="22"/>
      <c r="R191" s="173"/>
      <c r="S191" s="220">
        <f t="shared" si="89"/>
        <v>1</v>
      </c>
      <c r="T191" s="173" t="str">
        <f t="shared" si="55"/>
        <v>Southbound</v>
      </c>
      <c r="U191" s="19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5" t="str">
        <f t="shared" si="56"/>
        <v>https://d0f6bd738d7f1b3e5a7ca70fe4ff75f0.us-east-1.aws.found.io/app/kibana#/discover/Steve-Slow-Train-Analysis-(2080s-and-2083s)?_g=(refreshInterval:(display:Off,pause:!f,section:0,value:0),time:(from:'2017-11-20T15:28:53-0700',mode:absolute,to:'2017-11-20T17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1" s="203" t="str">
        <f>IF(AA191&lt;VLOOKUP(AG191,Variables!$AC$3:$AD$8,2,FALSE),"Y","N")</f>
        <v>N</v>
      </c>
      <c r="X191" s="203">
        <f t="shared" si="87"/>
        <v>1</v>
      </c>
      <c r="Y191" s="203">
        <f t="shared" si="85"/>
        <v>5.8628</v>
      </c>
      <c r="Z191" s="203">
        <f t="shared" si="86"/>
        <v>9.5000000000000001E-2</v>
      </c>
      <c r="AA191" s="203">
        <f t="shared" si="60"/>
        <v>5.7678000000000003</v>
      </c>
      <c r="AB191" s="54" t="e">
        <f>VLOOKUP(A191,Enforcements!$C$7:$K$9,8,0)</f>
        <v>#N/A</v>
      </c>
      <c r="AC191" s="51" t="e">
        <f>VLOOKUP(A191,Enforcements!$C$7:$E$9,3,0)</f>
        <v>#N/A</v>
      </c>
      <c r="AD191" s="178">
        <f t="shared" si="61"/>
        <v>830</v>
      </c>
      <c r="AE191" s="77" t="str">
        <f t="shared" si="62"/>
        <v>aws s3 cp s3://rtdc.mdm.uploadarchive.raw/RTDC4013/ "%USERPROFILE%\AppData\Local\Temp\OnboardLogs"\RTDC4013\2017-11-20 --exclude "*" --recursive --include "*20171120*" &amp; "%USERPROFILE%\Documents\GitHub\mrs-test-scripts\Headless Mode &amp; Sideloading\WalkAndUnGZ.bat" "%USERPROFILE%\AppData\Local\Temp\OnboardLogs"\RTDC4013\2017-11-20 &amp; 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</v>
      </c>
      <c r="AF191" s="74" t="str">
        <f t="shared" si="63"/>
        <v>"C:\Program Files (x86)\AstroGrep\AstroGrep.exe" /e /r /s /spath="%USERPROFILE%\AppData\Local\Temp\OnboardLogs" /stypes="app*4013*20171120*" /stext=" 23:.+((SYSTEM_STATE.+slice.+state.+changed )|(ment ac)|(multiple cpu faults)|(system.+state.+changed )|(\[timeout)|(PRM\|1\|D)|(kpr)|(kdp)|(train st.+moving)|(\|lc)|(penalty))"</v>
      </c>
      <c r="AG191" s="181" t="str">
        <f t="shared" si="64"/>
        <v>NW</v>
      </c>
      <c r="AH191" s="78" t="str">
        <f t="shared" si="65"/>
        <v>"%USERPROFILE%\Documents\GitHub\eaglep3\Utilities\RefineRTDCRunTimes.py" --tripid 830-20 --locoid 4013 --swversion DE.1.0.9.0 --startMP 300:58628 --initTime 2017-11-20T16:28:53 --startdatetime 2017-11-20T16:42:00 --delay 51 --endMP 204:950 --enddatetime 2017-11-20T16:55:16 --enforcementcount 0 &gt;&gt;%USERPROFILE%\Documents\GitHub\eaglep3-reporting\EC\2017-11-20-refined-times.txt</v>
      </c>
      <c r="AI191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{"issue":{"subject":"","project_id":79,"tracker_id":40,"status_id":1,"priority_id":2,"assigned_to_id":338,"start_date":"2017-11-20","description":"","custom_fields":[{"id":1,"name":"Subdivision","value":"NW"},{"id":4,"name":"Milepost","value":"0.095"},{"id":17,"name":"Train ID","value":"830-20"},{"id":16,"name":"Locomotive ID","value":"4013"},{"id":130,"name":"Impact","value":""},{"id":150,"name":"Time of Event (Mountain Time)","value":"16:55:16"},{"id":151,"name":"Denver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1" t="str">
        <f t="shared" si="67"/>
        <v>start /low /b %USERPROFILE%\Documents\GitHub\eaglep3\Utilities\DownloadLogsFromS3.py --loco 4013 --day 2017-11-20</v>
      </c>
      <c r="AN191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23:55:16"},{"id":29,"name":"Sharepoint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7" t="str">
        <f t="shared" si="69"/>
        <v>https://d0f6bd738d7f1b3e5a7ca70fe4ff75f0.us-east-1.aws.found.io/app/kibana#/discover/Steve-Slow-Train-Analysis-(2080s-and-2083s)?_g=(refreshInterval:(display:Off,pause:!f,section:0,value:0),time:(from:'2017-11-20T15:28:53-0700',mode:absolute,to:'2017-11-20T17:55:16-0700'))&amp;_a=(columns:!('Message%20ID',Summary),filters:!(),index:'emp_*',interval:auto,query:(query_string:(analyze_wildcard:!t,query:'%22rtdc.l.rtdc.4013%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818</v>
      </c>
      <c r="B192" s="7">
        <v>4062</v>
      </c>
      <c r="C192" s="21" t="s">
        <v>192</v>
      </c>
      <c r="D192" s="21" t="s">
        <v>1059</v>
      </c>
      <c r="E192" s="13">
        <v>43059.690891203703</v>
      </c>
      <c r="F192" s="13">
        <v>43059.694895833331</v>
      </c>
      <c r="G192" s="7">
        <v>58</v>
      </c>
      <c r="H192" s="21" t="s">
        <v>1060</v>
      </c>
      <c r="I192" s="13">
        <v>43059.704398148147</v>
      </c>
      <c r="J192" s="7">
        <v>0</v>
      </c>
      <c r="K192" s="89" t="str">
        <f t="shared" si="53"/>
        <v>4061/4062</v>
      </c>
      <c r="L192" s="184" t="str">
        <f>VLOOKUP(A192,'Trips&amp;Operators'!$C$1:$G$99911,5,FALSE)</f>
        <v>STAMBAUGH JAMES</v>
      </c>
      <c r="M192" s="6">
        <f t="shared" si="54"/>
        <v>9.5023148169275373E-3</v>
      </c>
      <c r="N192" s="7">
        <f t="shared" si="88"/>
        <v>13.683333336375654</v>
      </c>
      <c r="O192" s="7"/>
      <c r="P192" s="7"/>
      <c r="Q192" s="22"/>
      <c r="R192" s="173"/>
      <c r="S192" s="220">
        <f t="shared" si="89"/>
        <v>1</v>
      </c>
      <c r="T192" s="173" t="str">
        <f t="shared" si="55"/>
        <v>NorthBound</v>
      </c>
      <c r="U192" s="19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5" t="str">
        <f t="shared" si="56"/>
        <v>https://d0f6bd738d7f1b3e5a7ca70fe4ff75f0.us-east-1.aws.found.io/app/kibana#/discover/Steve-Slow-Train-Analysis-(2080s-and-2083s)?_g=(refreshInterval:(display:Off,pause:!f,section:0,value:0),time:(from:'2017-11-20T15:34:53-0700',mode:absolute,to:'2017-11-20T17:54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2" s="203" t="str">
        <f>IF(AA192&lt;VLOOKUP(AG192,Variables!$AC$3:$AD$8,2,FALSE),"Y","N")</f>
        <v>N</v>
      </c>
      <c r="X192" s="203">
        <f t="shared" si="87"/>
        <v>1</v>
      </c>
      <c r="Y192" s="203">
        <f t="shared" si="85"/>
        <v>0.1023</v>
      </c>
      <c r="Z192" s="203">
        <f t="shared" si="86"/>
        <v>5.8929</v>
      </c>
      <c r="AA192" s="203">
        <f t="shared" si="60"/>
        <v>5.7906000000000004</v>
      </c>
      <c r="AB192" s="54" t="e">
        <f>VLOOKUP(A192,Enforcements!$C$7:$K$9,8,0)</f>
        <v>#N/A</v>
      </c>
      <c r="AC192" s="51" t="e">
        <f>VLOOKUP(A192,Enforcements!$C$7:$E$9,3,0)</f>
        <v>#N/A</v>
      </c>
      <c r="AD192" s="178">
        <f t="shared" si="61"/>
        <v>831</v>
      </c>
      <c r="AE192" s="77" t="str">
        <f t="shared" si="62"/>
        <v>aws s3 cp s3://rtdc.mdm.uploadarchive.raw/RTDC4062/ "%USERPROFILE%\AppData\Local\Temp\OnboardLogs"\RTDC4062\2017-11-20 --exclude "*" --recursive --include "*20171120*" &amp; "%USERPROFILE%\Documents\GitHub\mrs-test-scripts\Headless Mode &amp; Sideloading\WalkAndUnGZ.bat" "%USERPROFILE%\AppData\Local\Temp\OnboardLogs"\RTDC4062\2017-11-20 &amp; aws s3 cp s3://rtdc.mdm.uploadarchive.raw/RTDC4062/ "%USERPROFILE%\AppData\Local\Temp\OnboardLogs"\RTDC4062\2017-11-21 --exclude "*" --recursive --include "*20171121*" &amp; "%USERPROFILE%\Documents\GitHub\mrs-test-scripts\Headless Mode &amp; Sideloading\WalkAndUnGZ.bat" "%USERPROFILE%\AppData\Local\Temp\OnboardLogs"\RTDC4062\2017-11-21</v>
      </c>
      <c r="AF192" s="74" t="str">
        <f t="shared" si="63"/>
        <v>"C:\Program Files (x86)\AstroGrep\AstroGrep.exe" /e /r /s /spath="%USERPROFILE%\AppData\Local\Temp\OnboardLogs" /stypes="app*4062*20171120*" /stext=" 23:.+((SYSTEM_STATE.+slice.+state.+changed )|(ment ac)|(multiple cpu faults)|(system.+state.+changed )|(\[timeout)|(PRM\|1\|D)|(kpr)|(kdp)|(train st.+moving)|(\|lc)|(penalty))"</v>
      </c>
      <c r="AG192" s="181" t="str">
        <f t="shared" si="64"/>
        <v>NW</v>
      </c>
      <c r="AH192" s="78" t="str">
        <f t="shared" si="65"/>
        <v>"%USERPROFILE%\Documents\GitHub\eaglep3\Utilities\RefineRTDCRunTimes.py" --tripid 831-20 --locoid 4062 --swversion DE.1.0.9.0 --startMP 204:1023 --initTime 2017-11-20T16:34:53 --startdatetime 2017-11-20T16:40:39 --delay 58 --endMP 300:58929 --enddatetime 2017-11-20T16:54:20 --enforcementcount 0 &gt;&gt;%USERPROFILE%\Documents\GitHub\eaglep3-reporting\EC\2017-11-20-refined-times.txt</v>
      </c>
      <c r="AI192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{"issue":{"subject":"","project_id":79,"tracker_id":40,"status_id":1,"priority_id":2,"assigned_to_id":338,"start_date":"2017-11-20","description":"","custom_fields":[{"id":1,"name":"Subdivision","value":"NW"},{"id":4,"name":"Milepost","value":"5.8929"},{"id":17,"name":"Train ID","value":"831-20"},{"id":16,"name":"Locomotive ID","value":"4062"},{"id":130,"name":"Impact","value":""},{"id":150,"name":"Time of Event (Mountain Time)","value":"16:54:20"},{"id":151,"name":"Denver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1" t="str">
        <f t="shared" si="67"/>
        <v>start /low /b %USERPROFILE%\Documents\GitHub\eaglep3\Utilities\DownloadLogsFromS3.py --loco 4062 --day 2017-11-20</v>
      </c>
      <c r="AN192" s="150" t="str">
        <f t="shared" si="68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23:54:20"},{"id":29,"name":"Sharepoint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7" t="str">
        <f t="shared" si="69"/>
        <v>https://d0f6bd738d7f1b3e5a7ca70fe4ff75f0.us-east-1.aws.found.io/app/kibana#/discover/Steve-Slow-Train-Analysis-(2080s-and-2083s)?_g=(refreshInterval:(display:Off,pause:!f,section:0,value:0),time:(from:'2017-11-20T15:34:53-0700',mode:absolute,to:'2017-11-20T17:54:20-0700'))&amp;_a=(columns:!('Message%20ID',Summary),filters:!(),index:'emp_*',interval:auto,query:(query_string:(analyze_wildcard:!t,query:'%22rtdc.l.rtdc.4062%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823</v>
      </c>
      <c r="B193" s="7">
        <v>4061</v>
      </c>
      <c r="C193" s="21" t="s">
        <v>192</v>
      </c>
      <c r="D193" s="21" t="s">
        <v>1061</v>
      </c>
      <c r="E193" s="13">
        <v>43059.705324074072</v>
      </c>
      <c r="F193" s="13">
        <v>43059.716666666667</v>
      </c>
      <c r="G193" s="7">
        <v>56</v>
      </c>
      <c r="H193" s="21" t="s">
        <v>1062</v>
      </c>
      <c r="I193" s="13">
        <v>43059.725162037037</v>
      </c>
      <c r="J193" s="7">
        <v>0</v>
      </c>
      <c r="K193" s="89" t="str">
        <f t="shared" si="53"/>
        <v>4061/4062</v>
      </c>
      <c r="L193" s="184" t="str">
        <f>VLOOKUP(A193,'Trips&amp;Operators'!$C$1:$G$99911,5,FALSE)</f>
        <v>STAMBAUGH JAMES</v>
      </c>
      <c r="M193" s="6">
        <f t="shared" si="54"/>
        <v>8.4953703699284233E-3</v>
      </c>
      <c r="N193" s="7">
        <f t="shared" si="88"/>
        <v>12.23333333269693</v>
      </c>
      <c r="O193" s="7"/>
      <c r="P193" s="7"/>
      <c r="Q193" s="22"/>
      <c r="R193" s="173"/>
      <c r="S193" s="220">
        <f t="shared" si="89"/>
        <v>1</v>
      </c>
      <c r="T193" s="173" t="str">
        <f t="shared" si="55"/>
        <v>Southbound</v>
      </c>
      <c r="U193" s="19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5" t="str">
        <f t="shared" si="56"/>
        <v>https://d0f6bd738d7f1b3e5a7ca70fe4ff75f0.us-east-1.aws.found.io/app/kibana#/discover/Steve-Slow-Train-Analysis-(2080s-and-2083s)?_g=(refreshInterval:(display:Off,pause:!f,section:0,value:0),time:(from:'2017-11-20T15:55:40-0700',mode:absolute,to:'2017-11-20T18:24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3" s="203" t="str">
        <f>IF(AA193&lt;VLOOKUP(AG193,Variables!$AC$3:$AD$8,2,FALSE),"Y","N")</f>
        <v>N</v>
      </c>
      <c r="X193" s="203">
        <f t="shared" si="87"/>
        <v>1</v>
      </c>
      <c r="Y193" s="203">
        <f t="shared" ref="Y193:Y224" si="90">RIGHT(D193,LEN(D193)-4)/10000</f>
        <v>5.8613</v>
      </c>
      <c r="Z193" s="203">
        <f t="shared" ref="Z193:Z224" si="91">RIGHT(H193,LEN(H193)-4)/10000</f>
        <v>7.0099999999999996E-2</v>
      </c>
      <c r="AA193" s="203">
        <f t="shared" si="60"/>
        <v>5.7911999999999999</v>
      </c>
      <c r="AB193" s="54" t="e">
        <f>VLOOKUP(A193,Enforcements!$C$7:$K$9,8,0)</f>
        <v>#N/A</v>
      </c>
      <c r="AC193" s="51" t="e">
        <f>VLOOKUP(A193,Enforcements!$C$7:$E$9,3,0)</f>
        <v>#N/A</v>
      </c>
      <c r="AD193" s="178">
        <f t="shared" si="61"/>
        <v>832</v>
      </c>
      <c r="AE193" s="77" t="str">
        <f t="shared" si="62"/>
        <v>aws s3 cp s3://rtdc.mdm.uploadarchive.raw/RTDC4061/ "%USERPROFILE%\AppData\Local\Temp\OnboardLogs"\RTDC4061\2017-11-20 --exclude "*" --recursive --include "*20171120*" &amp; "%USERPROFILE%\Documents\GitHub\mrs-test-scripts\Headless Mode &amp; Sideloading\WalkAndUnGZ.bat" "%USERPROFILE%\AppData\Local\Temp\OnboardLogs"\RTDC4061\2017-11-20 &amp; aws s3 cp s3://rtdc.mdm.uploadarchive.raw/RTDC4061/ "%USERPROFILE%\AppData\Local\Temp\OnboardLogs"\RTDC4061\2017-11-21 --exclude "*" --recursive --include "*20171121*" &amp; "%USERPROFILE%\Documents\GitHub\mrs-test-scripts\Headless Mode &amp; Sideloading\WalkAndUnGZ.bat" "%USERPROFILE%\AppData\Local\Temp\OnboardLogs"\RTDC4061\2017-11-21</v>
      </c>
      <c r="AF193" s="74" t="str">
        <f t="shared" si="63"/>
        <v>"C:\Program Files (x86)\AstroGrep\AstroGrep.exe" /e /r /s /spath="%USERPROFILE%\AppData\Local\Temp\OnboardLogs" /stypes="app*4061*20171121*" /stext=" 00:.+((SYSTEM_STATE.+slice.+state.+changed )|(ment ac)|(multiple cpu faults)|(system.+state.+changed )|(\[timeout)|(PRM\|1\|D)|(kpr)|(kdp)|(train st.+moving)|(\|lc)|(penalty))"</v>
      </c>
      <c r="AG193" s="181" t="str">
        <f t="shared" si="64"/>
        <v>NW</v>
      </c>
      <c r="AH193" s="78" t="str">
        <f t="shared" si="65"/>
        <v>"%USERPROFILE%\Documents\GitHub\eaglep3\Utilities\RefineRTDCRunTimes.py" --tripid 832-20 --locoid 4061 --swversion DE.1.0.9.0 --startMP 300:58613 --initTime 2017-11-20T16:55:40 --startdatetime 2017-11-20T17:12:00 --delay 56 --endMP 204:701 --enddatetime 2017-11-20T17:24:14 --enforcementcount 0 &gt;&gt;%USERPROFILE%\Documents\GitHub\eaglep3-reporting\EC\2017-11-20-refined-times.txt</v>
      </c>
      <c r="AI193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{"issue":{"subject":"","project_id":79,"tracker_id":40,"status_id":1,"priority_id":2,"assigned_to_id":338,"start_date":"2017-11-20","description":"","custom_fields":[{"id":1,"name":"Subdivision","value":"NW"},{"id":4,"name":"Milepost","value":"0.0701"},{"id":17,"name":"Train ID","value":"832-20"},{"id":16,"name":"Locomotive ID","value":"4061"},{"id":130,"name":"Impact","value":""},{"id":150,"name":"Time of Event (Mountain Time)","value":"17:24:14"},{"id":151,"name":"Denver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1" t="str">
        <f t="shared" si="67"/>
        <v>start /low /b %USERPROFILE%\Documents\GitHub\eaglep3\Utilities\DownloadLogsFromS3.py --loco 4061 --day 2017-11-20</v>
      </c>
      <c r="AN193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00:24:14"},{"id":29,"name":"Sharepoint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7" t="str">
        <f t="shared" si="69"/>
        <v>https://d0f6bd738d7f1b3e5a7ca70fe4ff75f0.us-east-1.aws.found.io/app/kibana#/discover/Steve-Slow-Train-Analysis-(2080s-and-2083s)?_g=(refreshInterval:(display:Off,pause:!f,section:0,value:0),time:(from:'2017-11-20T15:55:40-0700',mode:absolute,to:'2017-11-20T18:24:14-0700'))&amp;_a=(columns:!('Message%20ID',Summary),filters:!(),index:'emp_*',interval:auto,query:(query_string:(analyze_wildcard:!t,query:'%22rtdc.l.rtdc.4061%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825</v>
      </c>
      <c r="B194" s="7">
        <v>4014</v>
      </c>
      <c r="C194" s="21" t="s">
        <v>192</v>
      </c>
      <c r="D194" s="21" t="s">
        <v>1063</v>
      </c>
      <c r="E194" s="13">
        <v>43059.711481481485</v>
      </c>
      <c r="F194" s="13">
        <v>43059.714768518519</v>
      </c>
      <c r="G194" s="7">
        <v>59</v>
      </c>
      <c r="H194" s="21" t="s">
        <v>1064</v>
      </c>
      <c r="I194" s="13">
        <v>43059.725451388891</v>
      </c>
      <c r="J194" s="7">
        <v>0</v>
      </c>
      <c r="K194" s="89" t="str">
        <f t="shared" si="53"/>
        <v>4013/4014</v>
      </c>
      <c r="L194" s="184" t="str">
        <f>VLOOKUP(A194,'Trips&amp;Operators'!$C$1:$G$99911,5,FALSE)</f>
        <v>LEVIN SCOTT</v>
      </c>
      <c r="M194" s="6">
        <f t="shared" si="54"/>
        <v>1.0682870371965691E-2</v>
      </c>
      <c r="N194" s="7">
        <f t="shared" si="88"/>
        <v>15.383333335630596</v>
      </c>
      <c r="O194" s="7"/>
      <c r="P194" s="7"/>
      <c r="Q194" s="22"/>
      <c r="R194" s="173"/>
      <c r="S194" s="220">
        <f t="shared" si="89"/>
        <v>1</v>
      </c>
      <c r="T194" s="173" t="str">
        <f t="shared" si="55"/>
        <v>NorthBound</v>
      </c>
      <c r="U194" s="19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5" t="str">
        <f t="shared" si="56"/>
        <v>https://d0f6bd738d7f1b3e5a7ca70fe4ff75f0.us-east-1.aws.found.io/app/kibana#/discover/Steve-Slow-Train-Analysis-(2080s-and-2083s)?_g=(refreshInterval:(display:Off,pause:!f,section:0,value:0),time:(from:'2017-11-20T16:04:32-0700',mode:absolute,to:'2017-11-20T18:24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4" s="203" t="str">
        <f>IF(AA194&lt;VLOOKUP(AG194,Variables!$AC$3:$AD$8,2,FALSE),"Y","N")</f>
        <v>N</v>
      </c>
      <c r="X194" s="203">
        <f t="shared" si="87"/>
        <v>1</v>
      </c>
      <c r="Y194" s="203">
        <f t="shared" si="90"/>
        <v>0.11260000000000001</v>
      </c>
      <c r="Z194" s="203">
        <f t="shared" si="91"/>
        <v>5.8945999999999996</v>
      </c>
      <c r="AA194" s="203">
        <f t="shared" si="60"/>
        <v>5.782</v>
      </c>
      <c r="AB194" s="54" t="e">
        <f>VLOOKUP(A194,Enforcements!$C$7:$K$9,8,0)</f>
        <v>#N/A</v>
      </c>
      <c r="AC194" s="51" t="e">
        <f>VLOOKUP(A194,Enforcements!$C$7:$E$9,3,0)</f>
        <v>#N/A</v>
      </c>
      <c r="AD194" s="178">
        <f t="shared" si="61"/>
        <v>833</v>
      </c>
      <c r="AE194" s="77" t="str">
        <f t="shared" si="62"/>
        <v>aws s3 cp s3://rtdc.mdm.uploadarchive.raw/RTDC4014/ "%USERPROFILE%\AppData\Local\Temp\OnboardLogs"\RTDC4014\2017-11-20 --exclude "*" --recursive --include "*20171120*" &amp; "%USERPROFILE%\Documents\GitHub\mrs-test-scripts\Headless Mode &amp; Sideloading\WalkAndUnGZ.bat" "%USERPROFILE%\AppData\Local\Temp\OnboardLogs"\RTDC4014\2017-11-20 &amp; 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</v>
      </c>
      <c r="AF194" s="74" t="str">
        <f t="shared" si="63"/>
        <v>"C:\Program Files (x86)\AstroGrep\AstroGrep.exe" /e /r /s /spath="%USERPROFILE%\AppData\Local\Temp\OnboardLogs" /stypes="app*4014*20171121*" /stext=" 00:.+((SYSTEM_STATE.+slice.+state.+changed )|(ment ac)|(multiple cpu faults)|(system.+state.+changed )|(\[timeout)|(PRM\|1\|D)|(kpr)|(kdp)|(train st.+moving)|(\|lc)|(penalty))"</v>
      </c>
      <c r="AG194" s="181" t="str">
        <f t="shared" si="64"/>
        <v>NW</v>
      </c>
      <c r="AH194" s="78" t="str">
        <f t="shared" si="65"/>
        <v>"%USERPROFILE%\Documents\GitHub\eaglep3\Utilities\RefineRTDCRunTimes.py" --tripid 833-20 --locoid 4014 --swversion DE.1.0.9.0 --startMP 204:1126 --initTime 2017-11-20T17:04:32 --startdatetime 2017-11-20T17:09:16 --delay 59 --endMP 300:58946 --enddatetime 2017-11-20T17:24:39 --enforcementcount 0 &gt;&gt;%USERPROFILE%\Documents\GitHub\eaglep3-reporting\EC\2017-11-20-refined-times.txt</v>
      </c>
      <c r="AI194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{"issue":{"subject":"","project_id":79,"tracker_id":40,"status_id":1,"priority_id":2,"assigned_to_id":338,"start_date":"2017-11-20","description":"","custom_fields":[{"id":1,"name":"Subdivision","value":"NW"},{"id":4,"name":"Milepost","value":"5.8946"},{"id":17,"name":"Train ID","value":"833-20"},{"id":16,"name":"Locomotive ID","value":"4014"},{"id":130,"name":"Impact","value":""},{"id":150,"name":"Time of Event (Mountain Time)","value":"17:24:39"},{"id":151,"name":"Denver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1" t="str">
        <f t="shared" si="67"/>
        <v>start /low /b %USERPROFILE%\Documents\GitHub\eaglep3\Utilities\DownloadLogsFromS3.py --loco 4014 --day 2017-11-20</v>
      </c>
      <c r="AN194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00:24:39"},{"id":29,"name":"Sharepoint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7" t="str">
        <f t="shared" si="69"/>
        <v>https://d0f6bd738d7f1b3e5a7ca70fe4ff75f0.us-east-1.aws.found.io/app/kibana#/discover/Steve-Slow-Train-Analysis-(2080s-and-2083s)?_g=(refreshInterval:(display:Off,pause:!f,section:0,value:0),time:(from:'2017-11-20T16:04:32-0700',mode:absolute,to:'2017-11-20T18:24:39-0700'))&amp;_a=(columns:!('Message%20ID',Summary),filters:!(),index:'emp_*',interval:auto,query:(query_string:(analyze_wildcard:!t,query:'%22rtdc.l.rtdc.4014%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831</v>
      </c>
      <c r="B195" s="7">
        <v>4013</v>
      </c>
      <c r="C195" s="21" t="s">
        <v>192</v>
      </c>
      <c r="D195" s="21" t="s">
        <v>1052</v>
      </c>
      <c r="E195" s="13">
        <v>43059.7265162037</v>
      </c>
      <c r="F195" s="13">
        <v>43059.737500000003</v>
      </c>
      <c r="G195" s="7">
        <v>56</v>
      </c>
      <c r="H195" s="21" t="s">
        <v>1065</v>
      </c>
      <c r="I195" s="13">
        <v>43059.747395833336</v>
      </c>
      <c r="J195" s="7">
        <v>0</v>
      </c>
      <c r="K195" s="89" t="str">
        <f t="shared" si="53"/>
        <v>4013/4014</v>
      </c>
      <c r="L195" s="184" t="str">
        <f>VLOOKUP(A195,'Trips&amp;Operators'!$C$1:$G$99911,5,FALSE)</f>
        <v>LEVIN SCOTT</v>
      </c>
      <c r="M195" s="6">
        <f t="shared" si="54"/>
        <v>9.8958333328482695E-3</v>
      </c>
      <c r="N195" s="7">
        <f t="shared" si="88"/>
        <v>14.249999999301508</v>
      </c>
      <c r="O195" s="7"/>
      <c r="P195" s="7"/>
      <c r="Q195" s="22"/>
      <c r="R195" s="173"/>
      <c r="S195" s="220">
        <f t="shared" si="89"/>
        <v>1</v>
      </c>
      <c r="T195" s="173" t="str">
        <f t="shared" si="55"/>
        <v>Southbound</v>
      </c>
      <c r="U195" s="19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5" t="str">
        <f t="shared" si="56"/>
        <v>https://d0f6bd738d7f1b3e5a7ca70fe4ff75f0.us-east-1.aws.found.io/app/kibana#/discover/Steve-Slow-Train-Analysis-(2080s-and-2083s)?_g=(refreshInterval:(display:Off,pause:!f,section:0,value:0),time:(from:'2017-11-20T16:26:11-0700',mode:absolute,to:'2017-11-20T18:56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5" s="203" t="str">
        <f>IF(AA195&lt;VLOOKUP(AG195,Variables!$AC$3:$AD$8,2,FALSE),"Y","N")</f>
        <v>N</v>
      </c>
      <c r="X195" s="203">
        <f t="shared" si="87"/>
        <v>1</v>
      </c>
      <c r="Y195" s="203">
        <f t="shared" si="90"/>
        <v>5.8638000000000003</v>
      </c>
      <c r="Z195" s="203">
        <f t="shared" si="91"/>
        <v>8.8099999999999998E-2</v>
      </c>
      <c r="AA195" s="203">
        <f t="shared" si="60"/>
        <v>5.7757000000000005</v>
      </c>
      <c r="AB195" s="54" t="e">
        <f>VLOOKUP(A195,Enforcements!$C$7:$K$9,8,0)</f>
        <v>#N/A</v>
      </c>
      <c r="AC195" s="51" t="e">
        <f>VLOOKUP(A195,Enforcements!$C$7:$E$9,3,0)</f>
        <v>#N/A</v>
      </c>
      <c r="AD195" s="178">
        <f t="shared" si="61"/>
        <v>834</v>
      </c>
      <c r="AE195" s="77" t="str">
        <f t="shared" si="62"/>
        <v>aws s3 cp s3://rtdc.mdm.uploadarchive.raw/RTDC4013/ "%USERPROFILE%\AppData\Local\Temp\OnboardLogs"\RTDC4013\2017-11-20 --exclude "*" --recursive --include "*20171120*" &amp; "%USERPROFILE%\Documents\GitHub\mrs-test-scripts\Headless Mode &amp; Sideloading\WalkAndUnGZ.bat" "%USERPROFILE%\AppData\Local\Temp\OnboardLogs"\RTDC4013\2017-11-20 &amp; 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</v>
      </c>
      <c r="AF195" s="74" t="str">
        <f t="shared" si="63"/>
        <v>"C:\Program Files (x86)\AstroGrep\AstroGrep.exe" /e /r /s /spath="%USERPROFILE%\AppData\Local\Temp\OnboardLogs" /stypes="app*4013*20171121*" /stext=" 00:.+((SYSTEM_STATE.+slice.+state.+changed )|(ment ac)|(multiple cpu faults)|(system.+state.+changed )|(\[timeout)|(PRM\|1\|D)|(kpr)|(kdp)|(train st.+moving)|(\|lc)|(penalty))"</v>
      </c>
      <c r="AG195" s="181" t="str">
        <f t="shared" si="64"/>
        <v>NW</v>
      </c>
      <c r="AH195" s="78" t="str">
        <f t="shared" si="65"/>
        <v>"%USERPROFILE%\Documents\GitHub\eaglep3\Utilities\RefineRTDCRunTimes.py" --tripid 834-20 --locoid 4013 --swversion DE.1.0.9.0 --startMP 300:58638 --initTime 2017-11-20T17:26:11 --startdatetime 2017-11-20T17:42:00 --delay 56 --endMP 204:881 --enddatetime 2017-11-20T17:56:15 --enforcementcount 0 &gt;&gt;%USERPROFILE%\Documents\GitHub\eaglep3-reporting\EC\2017-11-20-refined-times.txt</v>
      </c>
      <c r="AI195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{"issue":{"subject":"","project_id":79,"tracker_id":40,"status_id":1,"priority_id":2,"assigned_to_id":338,"start_date":"2017-11-20","description":"","custom_fields":[{"id":1,"name":"Subdivision","value":"NW"},{"id":4,"name":"Milepost","value":"0.0881"},{"id":17,"name":"Train ID","value":"834-20"},{"id":16,"name":"Locomotive ID","value":"4013"},{"id":130,"name":"Impact","value":""},{"id":150,"name":"Time of Event (Mountain Time)","value":"17:56:15"},{"id":151,"name":"Denver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1" t="str">
        <f t="shared" si="67"/>
        <v>start /low /b %USERPROFILE%\Documents\GitHub\eaglep3\Utilities\DownloadLogsFromS3.py --loco 4013 --day 2017-11-20</v>
      </c>
      <c r="AN195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00:56:15"},{"id":29,"name":"Sharepoint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7" t="str">
        <f t="shared" si="69"/>
        <v>https://d0f6bd738d7f1b3e5a7ca70fe4ff75f0.us-east-1.aws.found.io/app/kibana#/discover/Steve-Slow-Train-Analysis-(2080s-and-2083s)?_g=(refreshInterval:(display:Off,pause:!f,section:0,value:0),time:(from:'2017-11-20T16:26:11-0700',mode:absolute,to:'2017-11-20T18:56:15-0700'))&amp;_a=(columns:!('Message%20ID',Summary),filters:!(),index:'emp_*',interval:auto,query:(query_string:(analyze_wildcard:!t,query:'%22rtdc.l.rtdc.4013%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832</v>
      </c>
      <c r="B196" s="7">
        <v>4062</v>
      </c>
      <c r="C196" s="21" t="s">
        <v>192</v>
      </c>
      <c r="D196" s="21" t="s">
        <v>1066</v>
      </c>
      <c r="E196" s="13">
        <v>43059.732569444444</v>
      </c>
      <c r="F196" s="13">
        <v>43059.735856481479</v>
      </c>
      <c r="G196" s="7">
        <v>46</v>
      </c>
      <c r="H196" s="21" t="s">
        <v>1067</v>
      </c>
      <c r="I196" s="13">
        <v>43059.745636574073</v>
      </c>
      <c r="J196" s="7">
        <v>0</v>
      </c>
      <c r="K196" s="89" t="str">
        <f t="shared" si="53"/>
        <v>4061/4062</v>
      </c>
      <c r="L196" s="184" t="str">
        <f>VLOOKUP(A196,'Trips&amp;Operators'!$C$1:$G$99911,5,FALSE)</f>
        <v>STAMBAUGH JAMES</v>
      </c>
      <c r="M196" s="6">
        <f t="shared" si="54"/>
        <v>9.7800925941555761E-3</v>
      </c>
      <c r="N196" s="7">
        <f t="shared" si="88"/>
        <v>14.08333333558403</v>
      </c>
      <c r="O196" s="7"/>
      <c r="P196" s="7"/>
      <c r="Q196" s="22"/>
      <c r="R196" s="173"/>
      <c r="S196" s="220">
        <f t="shared" si="89"/>
        <v>1</v>
      </c>
      <c r="T196" s="173" t="str">
        <f t="shared" si="55"/>
        <v>NorthBound</v>
      </c>
      <c r="U196" s="19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5" t="str">
        <f t="shared" si="56"/>
        <v>https://d0f6bd738d7f1b3e5a7ca70fe4ff75f0.us-east-1.aws.found.io/app/kibana#/discover/Steve-Slow-Train-Analysis-(2080s-and-2083s)?_g=(refreshInterval:(display:Off,pause:!f,section:0,value:0),time:(from:'2017-11-20T16:34:54-0700',mode:absolute,to:'2017-11-20T18:53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6" s="203" t="str">
        <f>IF(AA196&lt;VLOOKUP(AG196,Variables!$AC$3:$AD$8,2,FALSE),"Y","N")</f>
        <v>N</v>
      </c>
      <c r="X196" s="203">
        <f t="shared" si="87"/>
        <v>1</v>
      </c>
      <c r="Y196" s="203">
        <f t="shared" si="90"/>
        <v>9.9299999999999999E-2</v>
      </c>
      <c r="Z196" s="203">
        <f t="shared" si="91"/>
        <v>5.8936999999999999</v>
      </c>
      <c r="AA196" s="203">
        <f t="shared" si="60"/>
        <v>5.7943999999999996</v>
      </c>
      <c r="AB196" s="54" t="e">
        <f>VLOOKUP(A196,Enforcements!$C$7:$K$9,8,0)</f>
        <v>#N/A</v>
      </c>
      <c r="AC196" s="51" t="e">
        <f>VLOOKUP(A196,Enforcements!$C$7:$E$9,3,0)</f>
        <v>#N/A</v>
      </c>
      <c r="AD196" s="178">
        <f t="shared" si="61"/>
        <v>835</v>
      </c>
      <c r="AE196" s="77" t="str">
        <f t="shared" si="62"/>
        <v>aws s3 cp s3://rtdc.mdm.uploadarchive.raw/RTDC4062/ "%USERPROFILE%\AppData\Local\Temp\OnboardLogs"\RTDC4062\2017-11-20 --exclude "*" --recursive --include "*20171120*" &amp; "%USERPROFILE%\Documents\GitHub\mrs-test-scripts\Headless Mode &amp; Sideloading\WalkAndUnGZ.bat" "%USERPROFILE%\AppData\Local\Temp\OnboardLogs"\RTDC4062\2017-11-20 &amp; aws s3 cp s3://rtdc.mdm.uploadarchive.raw/RTDC4062/ "%USERPROFILE%\AppData\Local\Temp\OnboardLogs"\RTDC4062\2017-11-21 --exclude "*" --recursive --include "*20171121*" &amp; "%USERPROFILE%\Documents\GitHub\mrs-test-scripts\Headless Mode &amp; Sideloading\WalkAndUnGZ.bat" "%USERPROFILE%\AppData\Local\Temp\OnboardLogs"\RTDC4062\2017-11-21</v>
      </c>
      <c r="AF196" s="74" t="str">
        <f t="shared" si="63"/>
        <v>"C:\Program Files (x86)\AstroGrep\AstroGrep.exe" /e /r /s /spath="%USERPROFILE%\AppData\Local\Temp\OnboardLogs" /stypes="app*4062*20171121*" /stext=" 00:.+((SYSTEM_STATE.+slice.+state.+changed )|(ment ac)|(multiple cpu faults)|(system.+state.+changed )|(\[timeout)|(PRM\|1\|D)|(kpr)|(kdp)|(train st.+moving)|(\|lc)|(penalty))"</v>
      </c>
      <c r="AG196" s="181" t="str">
        <f t="shared" si="64"/>
        <v>NW</v>
      </c>
      <c r="AH196" s="78" t="str">
        <f t="shared" si="65"/>
        <v>"%USERPROFILE%\Documents\GitHub\eaglep3\Utilities\RefineRTDCRunTimes.py" --tripid 835-20 --locoid 4062 --swversion DE.1.0.9.0 --startMP 204:993 --initTime 2017-11-20T17:34:54 --startdatetime 2017-11-20T17:39:38 --delay 46 --endMP 300:58937 --enddatetime 2017-11-20T17:53:43 --enforcementcount 0 &gt;&gt;%USERPROFILE%\Documents\GitHub\eaglep3-reporting\EC\2017-11-20-refined-times.txt</v>
      </c>
      <c r="AI196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{"issue":{"subject":"","project_id":79,"tracker_id":40,"status_id":1,"priority_id":2,"assigned_to_id":338,"start_date":"2017-11-20","description":"","custom_fields":[{"id":1,"name":"Subdivision","value":"NW"},{"id":4,"name":"Milepost","value":"5.8937"},{"id":17,"name":"Train ID","value":"835-20"},{"id":16,"name":"Locomotive ID","value":"4062"},{"id":130,"name":"Impact","value":""},{"id":150,"name":"Time of Event (Mountain Time)","value":"17:53:43"},{"id":151,"name":"Denver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1" t="str">
        <f t="shared" si="67"/>
        <v>start /low /b %USERPROFILE%\Documents\GitHub\eaglep3\Utilities\DownloadLogsFromS3.py --loco 4062 --day 2017-11-20</v>
      </c>
      <c r="AN196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00:53:43"},{"id":29,"name":"Sharepoint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7" t="str">
        <f t="shared" si="69"/>
        <v>https://d0f6bd738d7f1b3e5a7ca70fe4ff75f0.us-east-1.aws.found.io/app/kibana#/discover/Steve-Slow-Train-Analysis-(2080s-and-2083s)?_g=(refreshInterval:(display:Off,pause:!f,section:0,value:0),time:(from:'2017-11-20T16:34:54-0700',mode:absolute,to:'2017-11-20T18:53:43-0700'))&amp;_a=(columns:!('Message%20ID',Summary),filters:!(),index:'emp_*',interval:auto,query:(query_string:(analyze_wildcard:!t,query:'%22rtdc.l.rtdc.4062%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837</v>
      </c>
      <c r="B197" s="7">
        <v>4061</v>
      </c>
      <c r="C197" s="21" t="s">
        <v>192</v>
      </c>
      <c r="D197" s="21" t="s">
        <v>626</v>
      </c>
      <c r="E197" s="13">
        <v>43059.746539351851</v>
      </c>
      <c r="F197" s="13">
        <v>43059.758333333331</v>
      </c>
      <c r="G197" s="7">
        <v>61</v>
      </c>
      <c r="H197" s="21" t="s">
        <v>1068</v>
      </c>
      <c r="I197" s="13">
        <v>43059.766759259262</v>
      </c>
      <c r="J197" s="7">
        <v>0</v>
      </c>
      <c r="K197" s="89" t="str">
        <f t="shared" si="53"/>
        <v>4061/4062</v>
      </c>
      <c r="L197" s="184" t="str">
        <f>VLOOKUP(A197,'Trips&amp;Operators'!$C$1:$G$99911,5,FALSE)</f>
        <v>STAMBAUGH JAMES</v>
      </c>
      <c r="M197" s="6">
        <f t="shared" si="54"/>
        <v>8.4259259310783818E-3</v>
      </c>
      <c r="N197" s="7">
        <f t="shared" si="88"/>
        <v>12.13333334075287</v>
      </c>
      <c r="O197" s="7"/>
      <c r="P197" s="7"/>
      <c r="Q197" s="22"/>
      <c r="R197" s="173"/>
      <c r="S197" s="220">
        <f t="shared" si="89"/>
        <v>1</v>
      </c>
      <c r="T197" s="173" t="str">
        <f t="shared" si="55"/>
        <v>Southbound</v>
      </c>
      <c r="U197" s="19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5" t="str">
        <f t="shared" si="56"/>
        <v>https://d0f6bd738d7f1b3e5a7ca70fe4ff75f0.us-east-1.aws.found.io/app/kibana#/discover/Steve-Slow-Train-Analysis-(2080s-and-2083s)?_g=(refreshInterval:(display:Off,pause:!f,section:0,value:0),time:(from:'2017-11-20T16:55:01-0700',mode:absolute,to:'2017-11-20T19:24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7" s="203" t="str">
        <f>IF(AA197&lt;VLOOKUP(AG197,Variables!$AC$3:$AD$8,2,FALSE),"Y","N")</f>
        <v>N</v>
      </c>
      <c r="X197" s="203">
        <f t="shared" si="87"/>
        <v>1</v>
      </c>
      <c r="Y197" s="203">
        <f t="shared" si="90"/>
        <v>5.8623000000000003</v>
      </c>
      <c r="Z197" s="203">
        <f t="shared" si="91"/>
        <v>6.5199999999999994E-2</v>
      </c>
      <c r="AA197" s="203">
        <f t="shared" si="60"/>
        <v>5.7971000000000004</v>
      </c>
      <c r="AB197" s="54" t="e">
        <f>VLOOKUP(A197,Enforcements!$C$7:$K$9,8,0)</f>
        <v>#N/A</v>
      </c>
      <c r="AC197" s="51" t="e">
        <f>VLOOKUP(A197,Enforcements!$C$7:$E$9,3,0)</f>
        <v>#N/A</v>
      </c>
      <c r="AD197" s="178">
        <f t="shared" si="61"/>
        <v>836</v>
      </c>
      <c r="AE197" s="77" t="str">
        <f t="shared" si="62"/>
        <v>aws s3 cp s3://rtdc.mdm.uploadarchive.raw/RTDC4061/ "%USERPROFILE%\AppData\Local\Temp\OnboardLogs"\RTDC4061\2017-11-20 --exclude "*" --recursive --include "*20171120*" &amp; "%USERPROFILE%\Documents\GitHub\mrs-test-scripts\Headless Mode &amp; Sideloading\WalkAndUnGZ.bat" "%USERPROFILE%\AppData\Local\Temp\OnboardLogs"\RTDC4061\2017-11-20 &amp; aws s3 cp s3://rtdc.mdm.uploadarchive.raw/RTDC4061/ "%USERPROFILE%\AppData\Local\Temp\OnboardLogs"\RTDC4061\2017-11-21 --exclude "*" --recursive --include "*20171121*" &amp; "%USERPROFILE%\Documents\GitHub\mrs-test-scripts\Headless Mode &amp; Sideloading\WalkAndUnGZ.bat" "%USERPROFILE%\AppData\Local\Temp\OnboardLogs"\RTDC4061\2017-11-21</v>
      </c>
      <c r="AF197" s="74" t="str">
        <f t="shared" si="63"/>
        <v>"C:\Program Files (x86)\AstroGrep\AstroGrep.exe" /e /r /s /spath="%USERPROFILE%\AppData\Local\Temp\OnboardLogs" /stypes="app*4061*20171121*" /stext=" 01:.+((SYSTEM_STATE.+slice.+state.+changed )|(ment ac)|(multiple cpu faults)|(system.+state.+changed )|(\[timeout)|(PRM\|1\|D)|(kpr)|(kdp)|(train st.+moving)|(\|lc)|(penalty))"</v>
      </c>
      <c r="AG197" s="181" t="str">
        <f t="shared" si="64"/>
        <v>NW</v>
      </c>
      <c r="AH197" s="78" t="str">
        <f t="shared" si="65"/>
        <v>"%USERPROFILE%\Documents\GitHub\eaglep3\Utilities\RefineRTDCRunTimes.py" --tripid 836-20 --locoid 4061 --swversion DE.1.0.9.0 --startMP 300:58623 --initTime 2017-11-20T17:55:01 --startdatetime 2017-11-20T18:12:00 --delay 61 --endMP 204:652 --enddatetime 2017-11-20T18:24:08 --enforcementcount 0 &gt;&gt;%USERPROFILE%\Documents\GitHub\eaglep3-reporting\EC\2017-11-20-refined-times.txt</v>
      </c>
      <c r="AI197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{"issue":{"subject":"","project_id":79,"tracker_id":40,"status_id":1,"priority_id":2,"assigned_to_id":338,"start_date":"2017-11-20","description":"","custom_fields":[{"id":1,"name":"Subdivision","value":"NW"},{"id":4,"name":"Milepost","value":"0.0652"},{"id":17,"name":"Train ID","value":"836-20"},{"id":16,"name":"Locomotive ID","value":"4061"},{"id":130,"name":"Impact","value":""},{"id":150,"name":"Time of Event (Mountain Time)","value":"18:24:08"},{"id":151,"name":"Denver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1" t="str">
        <f t="shared" si="67"/>
        <v>start /low /b %USERPROFILE%\Documents\GitHub\eaglep3\Utilities\DownloadLogsFromS3.py --loco 4061 --day 2017-11-20</v>
      </c>
      <c r="AN197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01:24:08"},{"id":29,"name":"Sharepoint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7" t="str">
        <f t="shared" si="69"/>
        <v>https://d0f6bd738d7f1b3e5a7ca70fe4ff75f0.us-east-1.aws.found.io/app/kibana#/discover/Steve-Slow-Train-Analysis-(2080s-and-2083s)?_g=(refreshInterval:(display:Off,pause:!f,section:0,value:0),time:(from:'2017-11-20T16:55:01-0700',mode:absolute,to:'2017-11-20T19:24:08-0700'))&amp;_a=(columns:!('Message%20ID',Summary),filters:!(),index:'emp_*',interval:auto,query:(query_string:(analyze_wildcard:!t,query:'%22rtdc.l.rtdc.4061%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839</v>
      </c>
      <c r="B198" s="7">
        <v>4014</v>
      </c>
      <c r="C198" s="21" t="s">
        <v>192</v>
      </c>
      <c r="D198" s="21" t="s">
        <v>1069</v>
      </c>
      <c r="E198" s="13">
        <v>43059.752372685187</v>
      </c>
      <c r="F198" s="13">
        <v>43059.756435185183</v>
      </c>
      <c r="G198" s="7">
        <v>64</v>
      </c>
      <c r="H198" s="21" t="s">
        <v>1070</v>
      </c>
      <c r="I198" s="13">
        <v>43059.76635416667</v>
      </c>
      <c r="J198" s="7">
        <v>0</v>
      </c>
      <c r="K198" s="89" t="str">
        <f t="shared" si="53"/>
        <v>4013/4014</v>
      </c>
      <c r="L198" s="184" t="str">
        <f>VLOOKUP(A198,'Trips&amp;Operators'!$C$1:$G$99911,5,FALSE)</f>
        <v>LEVIN SCOTT</v>
      </c>
      <c r="M198" s="6">
        <f t="shared" si="54"/>
        <v>9.9189814864075743E-3</v>
      </c>
      <c r="N198" s="7">
        <f t="shared" si="88"/>
        <v>14.283333340426907</v>
      </c>
      <c r="O198" s="7"/>
      <c r="P198" s="7"/>
      <c r="Q198" s="22"/>
      <c r="R198" s="173"/>
      <c r="S198" s="220">
        <f t="shared" si="89"/>
        <v>1</v>
      </c>
      <c r="T198" s="173" t="str">
        <f t="shared" si="55"/>
        <v>NorthBound</v>
      </c>
      <c r="U198" s="19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5" t="str">
        <f t="shared" si="56"/>
        <v>https://d0f6bd738d7f1b3e5a7ca70fe4ff75f0.us-east-1.aws.found.io/app/kibana#/discover/Steve-Slow-Train-Analysis-(2080s-and-2083s)?_g=(refreshInterval:(display:Off,pause:!f,section:0,value:0),time:(from:'2017-11-20T17:03:25-0700',mode:absolute,to:'2017-11-20T19:23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8" s="203" t="str">
        <f>IF(AA198&lt;VLOOKUP(AG198,Variables!$AC$3:$AD$8,2,FALSE),"Y","N")</f>
        <v>N</v>
      </c>
      <c r="X198" s="203">
        <f t="shared" si="87"/>
        <v>1</v>
      </c>
      <c r="Y198" s="203">
        <f t="shared" si="90"/>
        <v>0.1114</v>
      </c>
      <c r="Z198" s="203">
        <f t="shared" si="91"/>
        <v>5.8958000000000004</v>
      </c>
      <c r="AA198" s="203">
        <f t="shared" si="60"/>
        <v>5.7844000000000007</v>
      </c>
      <c r="AB198" s="54" t="e">
        <f>VLOOKUP(A198,Enforcements!$C$7:$K$9,8,0)</f>
        <v>#N/A</v>
      </c>
      <c r="AC198" s="51" t="e">
        <f>VLOOKUP(A198,Enforcements!$C$7:$E$9,3,0)</f>
        <v>#N/A</v>
      </c>
      <c r="AD198" s="178">
        <f t="shared" si="61"/>
        <v>837</v>
      </c>
      <c r="AE198" s="77" t="str">
        <f t="shared" si="62"/>
        <v>aws s3 cp s3://rtdc.mdm.uploadarchive.raw/RTDC4014/ "%USERPROFILE%\AppData\Local\Temp\OnboardLogs"\RTDC4014\2017-11-20 --exclude "*" --recursive --include "*20171120*" &amp; "%USERPROFILE%\Documents\GitHub\mrs-test-scripts\Headless Mode &amp; Sideloading\WalkAndUnGZ.bat" "%USERPROFILE%\AppData\Local\Temp\OnboardLogs"\RTDC4014\2017-11-20 &amp; 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</v>
      </c>
      <c r="AF198" s="74" t="str">
        <f t="shared" si="63"/>
        <v>"C:\Program Files (x86)\AstroGrep\AstroGrep.exe" /e /r /s /spath="%USERPROFILE%\AppData\Local\Temp\OnboardLogs" /stypes="app*4014*20171121*" /stext=" 01:.+((SYSTEM_STATE.+slice.+state.+changed )|(ment ac)|(multiple cpu faults)|(system.+state.+changed )|(\[timeout)|(PRM\|1\|D)|(kpr)|(kdp)|(train st.+moving)|(\|lc)|(penalty))"</v>
      </c>
      <c r="AG198" s="181" t="str">
        <f t="shared" si="64"/>
        <v>NW</v>
      </c>
      <c r="AH198" s="78" t="str">
        <f t="shared" si="65"/>
        <v>"%USERPROFILE%\Documents\GitHub\eaglep3\Utilities\RefineRTDCRunTimes.py" --tripid 837-20 --locoid 4014 --swversion DE.1.0.9.0 --startMP 204:1114 --initTime 2017-11-20T18:03:25 --startdatetime 2017-11-20T18:09:16 --delay 64 --endMP 300:58958 --enddatetime 2017-11-20T18:23:33 --enforcementcount 0 &gt;&gt;%USERPROFILE%\Documents\GitHub\eaglep3-reporting\EC\2017-11-20-refined-times.txt</v>
      </c>
      <c r="AI198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{"issue":{"subject":"","project_id":79,"tracker_id":40,"status_id":1,"priority_id":2,"assigned_to_id":338,"start_date":"2017-11-20","description":"","custom_fields":[{"id":1,"name":"Subdivision","value":"NW"},{"id":4,"name":"Milepost","value":"5.8958"},{"id":17,"name":"Train ID","value":"837-20"},{"id":16,"name":"Locomotive ID","value":"4014"},{"id":130,"name":"Impact","value":""},{"id":150,"name":"Time of Event (Mountain Time)","value":"18:23:33"},{"id":151,"name":"Denver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1" t="str">
        <f t="shared" si="67"/>
        <v>start /low /b %USERPROFILE%\Documents\GitHub\eaglep3\Utilities\DownloadLogsFromS3.py --loco 4014 --day 2017-11-20</v>
      </c>
      <c r="AN198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01:23:33"},{"id":29,"name":"Sharepoint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7" t="str">
        <f t="shared" si="69"/>
        <v>https://d0f6bd738d7f1b3e5a7ca70fe4ff75f0.us-east-1.aws.found.io/app/kibana#/discover/Steve-Slow-Train-Analysis-(2080s-and-2083s)?_g=(refreshInterval:(display:Off,pause:!f,section:0,value:0),time:(from:'2017-11-20T17:03:25-0700',mode:absolute,to:'2017-11-20T19:23:33-0700'))&amp;_a=(columns:!('Message%20ID',Summary),filters:!(),index:'emp_*',interval:auto,query:(query_string:(analyze_wildcard:!t,query:'%22rtdc.l.rtdc.4014%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669</v>
      </c>
      <c r="B199" s="7">
        <v>4013</v>
      </c>
      <c r="C199" s="21" t="s">
        <v>192</v>
      </c>
      <c r="D199" s="21" t="s">
        <v>1071</v>
      </c>
      <c r="E199" s="13">
        <v>43059.769270833334</v>
      </c>
      <c r="F199" s="13">
        <v>43059.779166666667</v>
      </c>
      <c r="G199" s="7">
        <v>84</v>
      </c>
      <c r="H199" s="21" t="s">
        <v>1072</v>
      </c>
      <c r="I199" s="13">
        <v>43059.787083333336</v>
      </c>
      <c r="J199" s="7">
        <v>0</v>
      </c>
      <c r="K199" s="89" t="str">
        <f t="shared" si="53"/>
        <v>4013/4014</v>
      </c>
      <c r="L199" s="184" t="str">
        <f>VLOOKUP(A199,'Trips&amp;Operators'!$C$1:$G$99911,5,FALSE)</f>
        <v>LEVIN SCOTT</v>
      </c>
      <c r="M199" s="6">
        <f t="shared" si="54"/>
        <v>7.9166666691889986E-3</v>
      </c>
      <c r="N199" s="7">
        <f t="shared" si="88"/>
        <v>11.400000003632158</v>
      </c>
      <c r="O199" s="7"/>
      <c r="P199" s="7"/>
      <c r="Q199" s="22"/>
      <c r="R199" s="173"/>
      <c r="S199" s="220">
        <f t="shared" si="89"/>
        <v>1</v>
      </c>
      <c r="T199" s="173" t="str">
        <f t="shared" si="55"/>
        <v>Southbound</v>
      </c>
      <c r="U199" s="19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5" t="str">
        <f t="shared" si="56"/>
        <v>https://d0f6bd738d7f1b3e5a7ca70fe4ff75f0.us-east-1.aws.found.io/app/kibana#/discover/Steve-Slow-Train-Analysis-(2080s-and-2083s)?_g=(refreshInterval:(display:Off,pause:!f,section:0,value:0),time:(from:'2017-11-20T17:27:45-0700',mode:absolute,to:'2017-11-20T19:53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9" s="203" t="str">
        <f>IF(AA199&lt;VLOOKUP(AG199,Variables!$AC$3:$AD$8,2,FALSE),"Y","N")</f>
        <v>Y</v>
      </c>
      <c r="X199" s="203">
        <f t="shared" si="87"/>
        <v>1</v>
      </c>
      <c r="Y199" s="203">
        <f t="shared" si="90"/>
        <v>5.8651</v>
      </c>
      <c r="Z199" s="203">
        <f t="shared" si="91"/>
        <v>0.44940000000000002</v>
      </c>
      <c r="AA199" s="203">
        <f t="shared" si="60"/>
        <v>5.4157000000000002</v>
      </c>
      <c r="AB199" s="54" t="e">
        <f>VLOOKUP(A199,Enforcements!$C$7:$K$9,8,0)</f>
        <v>#N/A</v>
      </c>
      <c r="AC199" s="51" t="e">
        <f>VLOOKUP(A199,Enforcements!$C$7:$E$9,3,0)</f>
        <v>#N/A</v>
      </c>
      <c r="AD199" s="178">
        <f t="shared" si="61"/>
        <v>838</v>
      </c>
      <c r="AE199" s="77" t="str">
        <f t="shared" si="62"/>
        <v>aws s3 cp s3://rtdc.mdm.uploadarchive.raw/RTDC4013/ "%USERPROFILE%\AppData\Local\Temp\OnboardLogs"\RTDC4013\2017-11-20 --exclude "*" --recursive --include "*20171120*" &amp; "%USERPROFILE%\Documents\GitHub\mrs-test-scripts\Headless Mode &amp; Sideloading\WalkAndUnGZ.bat" "%USERPROFILE%\AppData\Local\Temp\OnboardLogs"\RTDC4013\2017-11-20 &amp; 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</v>
      </c>
      <c r="AF199" s="74" t="str">
        <f t="shared" si="63"/>
        <v>"C:\Program Files (x86)\AstroGrep\AstroGrep.exe" /e /r /s /spath="%USERPROFILE%\AppData\Local\Temp\OnboardLogs" /stypes="app*4013*20171121*" /stext=" 01:.+((SYSTEM_STATE.+slice.+state.+changed )|(ment ac)|(multiple cpu faults)|(system.+state.+changed )|(\[timeout)|(PRM\|1\|D)|(kpr)|(kdp)|(train st.+moving)|(\|lc)|(penalty))"</v>
      </c>
      <c r="AG199" s="181" t="str">
        <f t="shared" si="64"/>
        <v>NW</v>
      </c>
      <c r="AH199" s="78" t="str">
        <f t="shared" si="65"/>
        <v>"%USERPROFILE%\Documents\GitHub\eaglep3\Utilities\RefineRTDCRunTimes.py" --tripid 838-20 --locoid 4013 --swversion DE.1.0.9.0 --startMP 300:58651 --initTime 2017-11-20T18:27:45 --startdatetime 2017-11-20T18:42:00 --delay 84 --endMP 204:4494 --enddatetime 2017-11-20T18:53:24 --enforcementcount 0 &gt;&gt;%USERPROFILE%\Documents\GitHub\eaglep3-reporting\EC\2017-11-20-refined-times.txt</v>
      </c>
      <c r="AI199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{"issue":{"subject":"","project_id":79,"tracker_id":40,"status_id":1,"priority_id":2,"assigned_to_id":338,"start_date":"2017-11-20","description":"","custom_fields":[{"id":1,"name":"Subdivision","value":"NW"},{"id":4,"name":"Milepost","value":"0.4494"},{"id":17,"name":"Train ID","value":"838-20"},{"id":16,"name":"Locomotive ID","value":"4013"},{"id":130,"name":"Impact","value":""},{"id":150,"name":"Time of Event (Mountain Time)","value":"18:53:24"},{"id":151,"name":"Denver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1" t="str">
        <f t="shared" si="67"/>
        <v>start /low /b %USERPROFILE%\Documents\GitHub\eaglep3\Utilities\DownloadLogsFromS3.py --loco 4013 --day 2017-11-20</v>
      </c>
      <c r="AN199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01:53:24"},{"id":29,"name":"Sharepoint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7" t="str">
        <f t="shared" si="69"/>
        <v>https://d0f6bd738d7f1b3e5a7ca70fe4ff75f0.us-east-1.aws.found.io/app/kibana#/discover/Steve-Slow-Train-Analysis-(2080s-and-2083s)?_g=(refreshInterval:(display:Off,pause:!f,section:0,value:0),time:(from:'2017-11-20T17:27:45-0700',mode:absolute,to:'2017-11-20T19:53:24-0700'))&amp;_a=(columns:!('Message%20ID',Summary),filters:!(),index:'emp_*',interval:auto,query:(query_string:(analyze_wildcard:!t,query:'%22rtdc.l.rtdc.4013%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668</v>
      </c>
      <c r="B200" s="7">
        <v>4062</v>
      </c>
      <c r="C200" s="21" t="s">
        <v>192</v>
      </c>
      <c r="D200" s="21" t="s">
        <v>1073</v>
      </c>
      <c r="E200" s="13">
        <v>43059.774131944447</v>
      </c>
      <c r="F200" s="13">
        <v>43059.777592592596</v>
      </c>
      <c r="G200" s="7">
        <v>50</v>
      </c>
      <c r="H200" s="21" t="s">
        <v>1074</v>
      </c>
      <c r="I200" s="13">
        <v>43059.786886574075</v>
      </c>
      <c r="J200" s="7">
        <v>0</v>
      </c>
      <c r="K200" s="89" t="str">
        <f t="shared" si="53"/>
        <v>4061/4062</v>
      </c>
      <c r="L200" s="184" t="str">
        <f>VLOOKUP(A200,'Trips&amp;Operators'!$C$1:$G$99911,5,FALSE)</f>
        <v>STAMBAUGH JAMES</v>
      </c>
      <c r="M200" s="6">
        <f t="shared" si="54"/>
        <v>9.29398147854954E-3</v>
      </c>
      <c r="N200" s="7">
        <f t="shared" si="88"/>
        <v>13.383333329111338</v>
      </c>
      <c r="O200" s="7"/>
      <c r="P200" s="7"/>
      <c r="Q200" s="22"/>
      <c r="R200" s="173"/>
      <c r="S200" s="220">
        <f t="shared" si="89"/>
        <v>1</v>
      </c>
      <c r="T200" s="173" t="str">
        <f t="shared" si="55"/>
        <v>NorthBound</v>
      </c>
      <c r="U200" s="19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5" t="str">
        <f t="shared" si="56"/>
        <v>https://d0f6bd738d7f1b3e5a7ca70fe4ff75f0.us-east-1.aws.found.io/app/kibana#/discover/Steve-Slow-Train-Analysis-(2080s-and-2083s)?_g=(refreshInterval:(display:Off,pause:!f,section:0,value:0),time:(from:'2017-11-20T17:34:45-0700',mode:absolute,to:'2017-11-20T19:53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0" s="203" t="str">
        <f>IF(AA200&lt;VLOOKUP(AG200,Variables!$AC$3:$AD$8,2,FALSE),"Y","N")</f>
        <v>N</v>
      </c>
      <c r="X200" s="203">
        <f t="shared" si="87"/>
        <v>1</v>
      </c>
      <c r="Y200" s="203">
        <f t="shared" si="90"/>
        <v>0.13450000000000001</v>
      </c>
      <c r="Z200" s="203">
        <f t="shared" si="91"/>
        <v>5.8930999999999996</v>
      </c>
      <c r="AA200" s="203">
        <f t="shared" si="60"/>
        <v>5.7585999999999995</v>
      </c>
      <c r="AB200" s="54" t="e">
        <f>VLOOKUP(A200,Enforcements!$C$7:$K$9,8,0)</f>
        <v>#N/A</v>
      </c>
      <c r="AC200" s="51" t="e">
        <f>VLOOKUP(A200,Enforcements!$C$7:$E$9,3,0)</f>
        <v>#N/A</v>
      </c>
      <c r="AD200" s="178">
        <f t="shared" si="61"/>
        <v>839</v>
      </c>
      <c r="AE200" s="77" t="str">
        <f t="shared" si="62"/>
        <v>aws s3 cp s3://rtdc.mdm.uploadarchive.raw/RTDC4062/ "%USERPROFILE%\AppData\Local\Temp\OnboardLogs"\RTDC4062\2017-11-20 --exclude "*" --recursive --include "*20171120*" &amp; "%USERPROFILE%\Documents\GitHub\mrs-test-scripts\Headless Mode &amp; Sideloading\WalkAndUnGZ.bat" "%USERPROFILE%\AppData\Local\Temp\OnboardLogs"\RTDC4062\2017-11-20 &amp; aws s3 cp s3://rtdc.mdm.uploadarchive.raw/RTDC4062/ "%USERPROFILE%\AppData\Local\Temp\OnboardLogs"\RTDC4062\2017-11-21 --exclude "*" --recursive --include "*20171121*" &amp; "%USERPROFILE%\Documents\GitHub\mrs-test-scripts\Headless Mode &amp; Sideloading\WalkAndUnGZ.bat" "%USERPROFILE%\AppData\Local\Temp\OnboardLogs"\RTDC4062\2017-11-21</v>
      </c>
      <c r="AF200" s="74" t="str">
        <f t="shared" si="63"/>
        <v>"C:\Program Files (x86)\AstroGrep\AstroGrep.exe" /e /r /s /spath="%USERPROFILE%\AppData\Local\Temp\OnboardLogs" /stypes="app*4062*20171121*" /stext=" 01:.+((SYSTEM_STATE.+slice.+state.+changed )|(ment ac)|(multiple cpu faults)|(system.+state.+changed )|(\[timeout)|(PRM\|1\|D)|(kpr)|(kdp)|(train st.+moving)|(\|lc)|(penalty))"</v>
      </c>
      <c r="AG200" s="181" t="str">
        <f t="shared" si="64"/>
        <v>NW</v>
      </c>
      <c r="AH200" s="78" t="str">
        <f t="shared" si="65"/>
        <v>"%USERPROFILE%\Documents\GitHub\eaglep3\Utilities\RefineRTDCRunTimes.py" --tripid 839-20 --locoid 4062 --swversion DE.1.0.9.0 --startMP 204:1345 --initTime 2017-11-20T18:34:45 --startdatetime 2017-11-20T18:39:44 --delay 50 --endMP 300:58931 --enddatetime 2017-11-20T18:53:07 --enforcementcount 0 &gt;&gt;%USERPROFILE%\Documents\GitHub\eaglep3-reporting\EC\2017-11-20-refined-times.txt</v>
      </c>
      <c r="AI200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{"issue":{"subject":"","project_id":79,"tracker_id":40,"status_id":1,"priority_id":2,"assigned_to_id":338,"start_date":"2017-11-20","description":"","custom_fields":[{"id":1,"name":"Subdivision","value":"NW"},{"id":4,"name":"Milepost","value":"5.8931"},{"id":17,"name":"Train ID","value":"839-20"},{"id":16,"name":"Locomotive ID","value":"4062"},{"id":130,"name":"Impact","value":""},{"id":150,"name":"Time of Event (Mountain Time)","value":"18:53:07"},{"id":151,"name":"Denver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1" t="str">
        <f t="shared" si="67"/>
        <v>start /low /b %USERPROFILE%\Documents\GitHub\eaglep3\Utilities\DownloadLogsFromS3.py --loco 4062 --day 2017-11-20</v>
      </c>
      <c r="AN200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01:53:07"},{"id":29,"name":"Sharepoint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7" t="str">
        <f t="shared" si="69"/>
        <v>https://d0f6bd738d7f1b3e5a7ca70fe4ff75f0.us-east-1.aws.found.io/app/kibana#/discover/Steve-Slow-Train-Analysis-(2080s-and-2083s)?_g=(refreshInterval:(display:Off,pause:!f,section:0,value:0),time:(from:'2017-11-20T17:34:45-0700',mode:absolute,to:'2017-11-20T19:53:07-0700'))&amp;_a=(columns:!('Message%20ID',Summary),filters:!(),index:'emp_*',interval:auto,query:(query_string:(analyze_wildcard:!t,query:'%22rtdc.l.rtdc.4062%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854</v>
      </c>
      <c r="B201" s="7">
        <v>4013</v>
      </c>
      <c r="C201" s="21" t="s">
        <v>192</v>
      </c>
      <c r="D201" s="21" t="s">
        <v>1075</v>
      </c>
      <c r="E201" s="13">
        <v>43059.808969907404</v>
      </c>
      <c r="F201" s="13">
        <v>43059.820833333331</v>
      </c>
      <c r="G201" s="7">
        <v>54</v>
      </c>
      <c r="H201" s="21" t="s">
        <v>1076</v>
      </c>
      <c r="I201" s="13">
        <v>43059.830138888887</v>
      </c>
      <c r="J201" s="7">
        <v>0</v>
      </c>
      <c r="K201" s="89" t="str">
        <f t="shared" si="53"/>
        <v>4013/4014</v>
      </c>
      <c r="L201" s="184" t="str">
        <f>VLOOKUP(A201,'Trips&amp;Operators'!$C$1:$G$99911,5,FALSE)</f>
        <v>LEVIN SCOTT</v>
      </c>
      <c r="M201" s="6">
        <f t="shared" si="54"/>
        <v>9.3055555553291924E-3</v>
      </c>
      <c r="N201" s="7">
        <f t="shared" si="88"/>
        <v>13.399999999674037</v>
      </c>
      <c r="O201" s="7"/>
      <c r="P201" s="7"/>
      <c r="Q201" s="22"/>
      <c r="R201" s="173"/>
      <c r="S201" s="220">
        <f t="shared" si="89"/>
        <v>1</v>
      </c>
      <c r="T201" s="173" t="str">
        <f t="shared" si="55"/>
        <v>Southbound</v>
      </c>
      <c r="U201" s="19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5" t="str">
        <f t="shared" si="56"/>
        <v>https://d0f6bd738d7f1b3e5a7ca70fe4ff75f0.us-east-1.aws.found.io/app/kibana#/discover/Steve-Slow-Train-Analysis-(2080s-and-2083s)?_g=(refreshInterval:(display:Off,pause:!f,section:0,value:0),time:(from:'2017-11-20T18:24:55-0700',mode:absolute,to:'2017-11-20T20:55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1" s="203" t="str">
        <f>IF(AA201&lt;VLOOKUP(AG201,Variables!$AC$3:$AD$8,2,FALSE),"Y","N")</f>
        <v>N</v>
      </c>
      <c r="X201" s="203">
        <f t="shared" si="87"/>
        <v>1</v>
      </c>
      <c r="Y201" s="203">
        <f t="shared" si="90"/>
        <v>5.8640999999999996</v>
      </c>
      <c r="Z201" s="203">
        <f t="shared" si="91"/>
        <v>8.2500000000000004E-2</v>
      </c>
      <c r="AA201" s="203">
        <f t="shared" si="60"/>
        <v>5.7816000000000001</v>
      </c>
      <c r="AB201" s="54" t="e">
        <f>VLOOKUP(A201,Enforcements!$C$7:$K$9,8,0)</f>
        <v>#N/A</v>
      </c>
      <c r="AC201" s="51" t="e">
        <f>VLOOKUP(A201,Enforcements!$C$7:$E$9,3,0)</f>
        <v>#N/A</v>
      </c>
      <c r="AD201" s="178">
        <f t="shared" si="61"/>
        <v>840</v>
      </c>
      <c r="AE201" s="77" t="str">
        <f t="shared" si="62"/>
        <v>aws s3 cp s3://rtdc.mdm.uploadarchive.raw/RTDC4013/ "%USERPROFILE%\AppData\Local\Temp\OnboardLogs"\RTDC4013\2017-11-20 --exclude "*" --recursive --include "*20171120*" &amp; "%USERPROFILE%\Documents\GitHub\mrs-test-scripts\Headless Mode &amp; Sideloading\WalkAndUnGZ.bat" "%USERPROFILE%\AppData\Local\Temp\OnboardLogs"\RTDC4013\2017-11-20 &amp; 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</v>
      </c>
      <c r="AF201" s="74" t="str">
        <f t="shared" si="63"/>
        <v>"C:\Program Files (x86)\AstroGrep\AstroGrep.exe" /e /r /s /spath="%USERPROFILE%\AppData\Local\Temp\OnboardLogs" /stypes="app*4013*20171121*" /stext=" 02:.+((SYSTEM_STATE.+slice.+state.+changed )|(ment ac)|(multiple cpu faults)|(system.+state.+changed )|(\[timeout)|(PRM\|1\|D)|(kpr)|(kdp)|(train st.+moving)|(\|lc)|(penalty))"</v>
      </c>
      <c r="AG201" s="181" t="str">
        <f t="shared" si="64"/>
        <v>NW</v>
      </c>
      <c r="AH201" s="78" t="str">
        <f t="shared" si="65"/>
        <v>"%USERPROFILE%\Documents\GitHub\eaglep3\Utilities\RefineRTDCRunTimes.py" --tripid 840-20 --locoid 4013 --swversion DE.1.0.9.0 --startMP 300:58641 --initTime 2017-11-20T19:24:55 --startdatetime 2017-11-20T19:42:00 --delay 54 --endMP 204:825 --enddatetime 2017-11-20T19:55:24 --enforcementcount 0 &gt;&gt;%USERPROFILE%\Documents\GitHub\eaglep3-reporting\EC\2017-11-20-refined-times.txt</v>
      </c>
      <c r="AI201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{"issue":{"subject":"","project_id":79,"tracker_id":40,"status_id":1,"priority_id":2,"assigned_to_id":338,"start_date":"2017-11-20","description":"","custom_fields":[{"id":1,"name":"Subdivision","value":"NW"},{"id":4,"name":"Milepost","value":"0.0825"},{"id":17,"name":"Train ID","value":"840-20"},{"id":16,"name":"Locomotive ID","value":"4013"},{"id":130,"name":"Impact","value":""},{"id":150,"name":"Time of Event (Mountain Time)","value":"19:55:24"},{"id":151,"name":"Denver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1" t="str">
        <f t="shared" si="67"/>
        <v>start /low /b %USERPROFILE%\Documents\GitHub\eaglep3\Utilities\DownloadLogsFromS3.py --loco 4013 --day 2017-11-20</v>
      </c>
      <c r="AN201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02:55:24"},{"id":29,"name":"Sharepoint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7" t="str">
        <f t="shared" si="69"/>
        <v>https://d0f6bd738d7f1b3e5a7ca70fe4ff75f0.us-east-1.aws.found.io/app/kibana#/discover/Steve-Slow-Train-Analysis-(2080s-and-2083s)?_g=(refreshInterval:(display:Off,pause:!f,section:0,value:0),time:(from:'2017-11-20T18:24:55-0700',mode:absolute,to:'2017-11-20T20:55:24-0700'))&amp;_a=(columns:!('Message%20ID',Summary),filters:!(),index:'emp_*',interval:auto,query:(query_string:(analyze_wildcard:!t,query:'%22rtdc.l.rtdc.4013%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849</v>
      </c>
      <c r="B202" s="7">
        <v>4014</v>
      </c>
      <c r="C202" s="21" t="s">
        <v>192</v>
      </c>
      <c r="D202" s="21" t="s">
        <v>1023</v>
      </c>
      <c r="E202" s="13">
        <v>43059.790879629632</v>
      </c>
      <c r="F202" s="13">
        <v>43059.798125000001</v>
      </c>
      <c r="G202" s="7">
        <v>47</v>
      </c>
      <c r="H202" s="21" t="s">
        <v>628</v>
      </c>
      <c r="I202" s="13">
        <v>43059.807511574072</v>
      </c>
      <c r="J202" s="7">
        <v>0</v>
      </c>
      <c r="K202" s="89" t="str">
        <f t="shared" si="53"/>
        <v>4013/4014</v>
      </c>
      <c r="L202" s="184" t="str">
        <f>VLOOKUP(A202,'Trips&amp;Operators'!$C$1:$G$99911,5,FALSE)</f>
        <v>LEVIN SCOTT</v>
      </c>
      <c r="M202" s="6">
        <f t="shared" si="54"/>
        <v>9.3865740709588863E-3</v>
      </c>
      <c r="N202" s="7">
        <f t="shared" si="88"/>
        <v>13.516666662180796</v>
      </c>
      <c r="O202" s="7"/>
      <c r="P202" s="7"/>
      <c r="Q202" s="22"/>
      <c r="R202" s="173"/>
      <c r="S202" s="220">
        <f t="shared" si="89"/>
        <v>1</v>
      </c>
      <c r="T202" s="173" t="str">
        <f t="shared" si="55"/>
        <v>NorthBound</v>
      </c>
      <c r="U202" s="19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5" t="str">
        <f t="shared" si="56"/>
        <v>https://d0f6bd738d7f1b3e5a7ca70fe4ff75f0.us-east-1.aws.found.io/app/kibana#/discover/Steve-Slow-Train-Analysis-(2080s-and-2083s)?_g=(refreshInterval:(display:Off,pause:!f,section:0,value:0),time:(from:'2017-11-20T17:58:52-0700',mode:absolute,to:'2017-11-20T20:22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2" s="203" t="str">
        <f>IF(AA202&lt;VLOOKUP(AG202,Variables!$AC$3:$AD$8,2,FALSE),"Y","N")</f>
        <v>N</v>
      </c>
      <c r="X202" s="203">
        <f t="shared" si="87"/>
        <v>1</v>
      </c>
      <c r="Y202" s="203">
        <f t="shared" si="90"/>
        <v>0.1118</v>
      </c>
      <c r="Z202" s="203">
        <f t="shared" si="91"/>
        <v>5.8943000000000003</v>
      </c>
      <c r="AA202" s="203">
        <f t="shared" si="60"/>
        <v>5.7825000000000006</v>
      </c>
      <c r="AB202" s="54" t="e">
        <f>VLOOKUP(A202,Enforcements!$C$7:$K$9,8,0)</f>
        <v>#N/A</v>
      </c>
      <c r="AC202" s="51" t="e">
        <f>VLOOKUP(A202,Enforcements!$C$7:$E$9,3,0)</f>
        <v>#N/A</v>
      </c>
      <c r="AD202" s="178">
        <f t="shared" si="61"/>
        <v>841</v>
      </c>
      <c r="AE202" s="77" t="str">
        <f t="shared" si="62"/>
        <v>aws s3 cp s3://rtdc.mdm.uploadarchive.raw/RTDC4014/ "%USERPROFILE%\AppData\Local\Temp\OnboardLogs"\RTDC4014\2017-11-20 --exclude "*" --recursive --include "*20171120*" &amp; "%USERPROFILE%\Documents\GitHub\mrs-test-scripts\Headless Mode &amp; Sideloading\WalkAndUnGZ.bat" "%USERPROFILE%\AppData\Local\Temp\OnboardLogs"\RTDC4014\2017-11-20 &amp; 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</v>
      </c>
      <c r="AF202" s="74" t="str">
        <f t="shared" si="63"/>
        <v>"C:\Program Files (x86)\AstroGrep\AstroGrep.exe" /e /r /s /spath="%USERPROFILE%\AppData\Local\Temp\OnboardLogs" /stypes="app*4014*20171121*" /stext=" 02:.+((SYSTEM_STATE.+slice.+state.+changed )|(ment ac)|(multiple cpu faults)|(system.+state.+changed )|(\[timeout)|(PRM\|1\|D)|(kpr)|(kdp)|(train st.+moving)|(\|lc)|(penalty))"</v>
      </c>
      <c r="AG202" s="181" t="str">
        <f t="shared" si="64"/>
        <v>NW</v>
      </c>
      <c r="AH202" s="78" t="str">
        <f t="shared" si="65"/>
        <v>"%USERPROFILE%\Documents\GitHub\eaglep3\Utilities\RefineRTDCRunTimes.py" --tripid 841-20 --locoid 4014 --swversion DE.1.0.9.0 --startMP 204:1118 --initTime 2017-11-20T18:58:52 --startdatetime 2017-11-20T19:09:18 --delay 47 --endMP 300:58943 --enddatetime 2017-11-20T19:22:49 --enforcementcount 0 &gt;&gt;%USERPROFILE%\Documents\GitHub\eaglep3-reporting\EC\2017-11-20-refined-times.txt</v>
      </c>
      <c r="AI202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{"issue":{"subject":"","project_id":79,"tracker_id":40,"status_id":1,"priority_id":2,"assigned_to_id":338,"start_date":"2017-11-20","description":"","custom_fields":[{"id":1,"name":"Subdivision","value":"NW"},{"id":4,"name":"Milepost","value":"5.8943"},{"id":17,"name":"Train ID","value":"841-20"},{"id":16,"name":"Locomotive ID","value":"4014"},{"id":130,"name":"Impact","value":""},{"id":150,"name":"Time of Event (Mountain Time)","value":"19:22:49"},{"id":151,"name":"Denver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1" t="str">
        <f t="shared" si="67"/>
        <v>start /low /b %USERPROFILE%\Documents\GitHub\eaglep3\Utilities\DownloadLogsFromS3.py --loco 4014 --day 2017-11-20</v>
      </c>
      <c r="AN202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02:22:49"},{"id":29,"name":"Sharepoint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7" t="str">
        <f t="shared" si="69"/>
        <v>https://d0f6bd738d7f1b3e5a7ca70fe4ff75f0.us-east-1.aws.found.io/app/kibana#/discover/Steve-Slow-Train-Analysis-(2080s-and-2083s)?_g=(refreshInterval:(display:Off,pause:!f,section:0,value:0),time:(from:'2017-11-20T17:58:52-0700',mode:absolute,to:'2017-11-20T20:22:49-0700'))&amp;_a=(columns:!('Message%20ID',Summary),filters:!(),index:'emp_*',interval:auto,query:(query_string:(analyze_wildcard:!t,query:'%22rtdc.l.rtdc.4014%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859</v>
      </c>
      <c r="B203" s="7">
        <v>4013</v>
      </c>
      <c r="C203" s="21" t="s">
        <v>192</v>
      </c>
      <c r="D203" s="21" t="s">
        <v>624</v>
      </c>
      <c r="E203" s="13">
        <v>43059.851805555554</v>
      </c>
      <c r="F203" s="13">
        <v>43059.862500000003</v>
      </c>
      <c r="G203" s="7">
        <v>51</v>
      </c>
      <c r="H203" s="21" t="s">
        <v>1077</v>
      </c>
      <c r="I203" s="13">
        <v>43059.871689814812</v>
      </c>
      <c r="J203" s="7">
        <v>0</v>
      </c>
      <c r="K203" s="89" t="str">
        <f t="shared" si="53"/>
        <v>4013/4014</v>
      </c>
      <c r="L203" s="184" t="str">
        <f>VLOOKUP(A203,'Trips&amp;Operators'!$C$1:$G$99911,5,FALSE)</f>
        <v>LEVIN SCOTT</v>
      </c>
      <c r="M203" s="6">
        <f t="shared" si="54"/>
        <v>9.1898148093605414E-3</v>
      </c>
      <c r="N203" s="7">
        <f t="shared" si="88"/>
        <v>13.23333332547918</v>
      </c>
      <c r="O203" s="7"/>
      <c r="P203" s="7"/>
      <c r="Q203" s="22"/>
      <c r="R203" s="173"/>
      <c r="S203" s="220">
        <f t="shared" si="89"/>
        <v>1</v>
      </c>
      <c r="T203" s="173" t="str">
        <f t="shared" si="55"/>
        <v>Southbound</v>
      </c>
      <c r="U203" s="19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5" t="str">
        <f t="shared" si="56"/>
        <v>https://d0f6bd738d7f1b3e5a7ca70fe4ff75f0.us-east-1.aws.found.io/app/kibana#/discover/Steve-Slow-Train-Analysis-(2080s-and-2083s)?_g=(refreshInterval:(display:Off,pause:!f,section:0,value:0),time:(from:'2017-11-20T19:26:36-0700',mode:absolute,to:'2017-11-20T21:55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3" s="203" t="str">
        <f>IF(AA203&lt;VLOOKUP(AG203,Variables!$AC$3:$AD$8,2,FALSE),"Y","N")</f>
        <v>N</v>
      </c>
      <c r="X203" s="203">
        <f t="shared" si="87"/>
        <v>1</v>
      </c>
      <c r="Y203" s="203">
        <f t="shared" si="90"/>
        <v>5.8632</v>
      </c>
      <c r="Z203" s="203">
        <f t="shared" si="91"/>
        <v>8.2699999999999996E-2</v>
      </c>
      <c r="AA203" s="203">
        <f t="shared" si="60"/>
        <v>5.7805</v>
      </c>
      <c r="AB203" s="54" t="e">
        <f>VLOOKUP(A203,Enforcements!$C$7:$K$9,8,0)</f>
        <v>#N/A</v>
      </c>
      <c r="AC203" s="51" t="e">
        <f>VLOOKUP(A203,Enforcements!$C$7:$E$9,3,0)</f>
        <v>#N/A</v>
      </c>
      <c r="AD203" s="178">
        <f t="shared" si="61"/>
        <v>842</v>
      </c>
      <c r="AE203" s="77" t="str">
        <f t="shared" si="62"/>
        <v>aws s3 cp s3://rtdc.mdm.uploadarchive.raw/RTDC4013/ "%USERPROFILE%\AppData\Local\Temp\OnboardLogs"\RTDC4013\2017-11-20 --exclude "*" --recursive --include "*20171120*" &amp; "%USERPROFILE%\Documents\GitHub\mrs-test-scripts\Headless Mode &amp; Sideloading\WalkAndUnGZ.bat" "%USERPROFILE%\AppData\Local\Temp\OnboardLogs"\RTDC4013\2017-11-20 &amp; 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</v>
      </c>
      <c r="AF203" s="74" t="str">
        <f t="shared" si="63"/>
        <v>"C:\Program Files (x86)\AstroGrep\AstroGrep.exe" /e /r /s /spath="%USERPROFILE%\AppData\Local\Temp\OnboardLogs" /stypes="app*4013*20171121*" /stext=" 03:.+((SYSTEM_STATE.+slice.+state.+changed )|(ment ac)|(multiple cpu faults)|(system.+state.+changed )|(\[timeout)|(PRM\|1\|D)|(kpr)|(kdp)|(train st.+moving)|(\|lc)|(penalty))"</v>
      </c>
      <c r="AG203" s="181" t="str">
        <f t="shared" si="64"/>
        <v>NW</v>
      </c>
      <c r="AH203" s="78" t="str">
        <f t="shared" si="65"/>
        <v>"%USERPROFILE%\Documents\GitHub\eaglep3\Utilities\RefineRTDCRunTimes.py" --tripid 842-20 --locoid 4013 --swversion DE.1.0.9.0 --startMP 300:58632 --initTime 2017-11-20T20:26:36 --startdatetime 2017-11-20T20:42:00 --delay 51 --endMP 204:827 --enddatetime 2017-11-20T20:55:14 --enforcementcount 0 &gt;&gt;%USERPROFILE%\Documents\GitHub\eaglep3-reporting\EC\2017-11-20-refined-times.txt</v>
      </c>
      <c r="AI203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{"issue":{"subject":"","project_id":79,"tracker_id":40,"status_id":1,"priority_id":2,"assigned_to_id":338,"start_date":"2017-11-20","description":"","custom_fields":[{"id":1,"name":"Subdivision","value":"NW"},{"id":4,"name":"Milepost","value":"0.0827"},{"id":17,"name":"Train ID","value":"842-20"},{"id":16,"name":"Locomotive ID","value":"4013"},{"id":130,"name":"Impact","value":""},{"id":150,"name":"Time of Event (Mountain Time)","value":"20:55:14"},{"id":151,"name":"Denver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1" t="str">
        <f t="shared" si="67"/>
        <v>start /low /b %USERPROFILE%\Documents\GitHub\eaglep3\Utilities\DownloadLogsFromS3.py --loco 4013 --day 2017-11-20</v>
      </c>
      <c r="AN203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03:55:14"},{"id":29,"name":"Sharepoint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7" t="str">
        <f t="shared" si="69"/>
        <v>https://d0f6bd738d7f1b3e5a7ca70fe4ff75f0.us-east-1.aws.found.io/app/kibana#/discover/Steve-Slow-Train-Analysis-(2080s-and-2083s)?_g=(refreshInterval:(display:Off,pause:!f,section:0,value:0),time:(from:'2017-11-20T19:26:36-0700',mode:absolute,to:'2017-11-20T21:55:14-0700'))&amp;_a=(columns:!('Message%20ID',Summary),filters:!(),index:'emp_*',interval:auto,query:(query_string:(analyze_wildcard:!t,query:'%22rtdc.l.rtdc.4013%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857</v>
      </c>
      <c r="B204" s="7">
        <v>4014</v>
      </c>
      <c r="C204" s="21" t="s">
        <v>192</v>
      </c>
      <c r="D204" s="21" t="s">
        <v>1078</v>
      </c>
      <c r="E204" s="13">
        <v>43059.833981481483</v>
      </c>
      <c r="F204" s="13">
        <v>43059.839768518519</v>
      </c>
      <c r="G204" s="7">
        <v>48</v>
      </c>
      <c r="H204" s="21" t="s">
        <v>628</v>
      </c>
      <c r="I204" s="13">
        <v>43059.850219907406</v>
      </c>
      <c r="J204" s="7">
        <v>0</v>
      </c>
      <c r="K204" s="89" t="str">
        <f t="shared" si="53"/>
        <v>4013/4014</v>
      </c>
      <c r="L204" s="184" t="str">
        <f>VLOOKUP(A204,'Trips&amp;Operators'!$C$1:$G$99911,5,FALSE)</f>
        <v>LEVIN SCOTT</v>
      </c>
      <c r="M204" s="6">
        <f t="shared" si="54"/>
        <v>1.0451388887304347E-2</v>
      </c>
      <c r="N204" s="7">
        <f t="shared" si="88"/>
        <v>15.04999999771826</v>
      </c>
      <c r="O204" s="7"/>
      <c r="P204" s="7"/>
      <c r="Q204" s="22"/>
      <c r="R204" s="173"/>
      <c r="S204" s="220">
        <f t="shared" si="89"/>
        <v>1</v>
      </c>
      <c r="T204" s="173" t="str">
        <f t="shared" si="55"/>
        <v>NorthBound</v>
      </c>
      <c r="U204" s="19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5" t="str">
        <f t="shared" si="56"/>
        <v>https://d0f6bd738d7f1b3e5a7ca70fe4ff75f0.us-east-1.aws.found.io/app/kibana#/discover/Steve-Slow-Train-Analysis-(2080s-and-2083s)?_g=(refreshInterval:(display:Off,pause:!f,section:0,value:0),time:(from:'2017-11-20T19:00:56-0700',mode:absolute,to:'2017-11-20T21:24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4" s="203" t="str">
        <f>IF(AA204&lt;VLOOKUP(AG204,Variables!$AC$3:$AD$8,2,FALSE),"Y","N")</f>
        <v>N</v>
      </c>
      <c r="X204" s="203">
        <f t="shared" si="87"/>
        <v>1</v>
      </c>
      <c r="Y204" s="203">
        <f t="shared" si="90"/>
        <v>0.1111</v>
      </c>
      <c r="Z204" s="203">
        <f t="shared" si="91"/>
        <v>5.8943000000000003</v>
      </c>
      <c r="AA204" s="203">
        <f t="shared" si="60"/>
        <v>5.7831999999999999</v>
      </c>
      <c r="AB204" s="54" t="e">
        <f>VLOOKUP(A204,Enforcements!$C$7:$K$9,8,0)</f>
        <v>#N/A</v>
      </c>
      <c r="AC204" s="51" t="e">
        <f>VLOOKUP(A204,Enforcements!$C$7:$E$9,3,0)</f>
        <v>#N/A</v>
      </c>
      <c r="AD204" s="178">
        <f t="shared" si="61"/>
        <v>843</v>
      </c>
      <c r="AE204" s="77" t="str">
        <f t="shared" si="62"/>
        <v>aws s3 cp s3://rtdc.mdm.uploadarchive.raw/RTDC4014/ "%USERPROFILE%\AppData\Local\Temp\OnboardLogs"\RTDC4014\2017-11-20 --exclude "*" --recursive --include "*20171120*" &amp; "%USERPROFILE%\Documents\GitHub\mrs-test-scripts\Headless Mode &amp; Sideloading\WalkAndUnGZ.bat" "%USERPROFILE%\AppData\Local\Temp\OnboardLogs"\RTDC4014\2017-11-20 &amp; 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</v>
      </c>
      <c r="AF204" s="74" t="str">
        <f t="shared" si="63"/>
        <v>"C:\Program Files (x86)\AstroGrep\AstroGrep.exe" /e /r /s /spath="%USERPROFILE%\AppData\Local\Temp\OnboardLogs" /stypes="app*4014*20171121*" /stext=" 03:.+((SYSTEM_STATE.+slice.+state.+changed )|(ment ac)|(multiple cpu faults)|(system.+state.+changed )|(\[timeout)|(PRM\|1\|D)|(kpr)|(kdp)|(train st.+moving)|(\|lc)|(penalty))"</v>
      </c>
      <c r="AG204" s="181" t="str">
        <f t="shared" si="64"/>
        <v>NW</v>
      </c>
      <c r="AH204" s="78" t="str">
        <f t="shared" si="65"/>
        <v>"%USERPROFILE%\Documents\GitHub\eaglep3\Utilities\RefineRTDCRunTimes.py" --tripid 843-20 --locoid 4014 --swversion DE.1.0.9.0 --startMP 204:1111 --initTime 2017-11-20T20:00:56 --startdatetime 2017-11-20T20:09:16 --delay 48 --endMP 300:58943 --enddatetime 2017-11-20T20:24:19 --enforcementcount 0 &gt;&gt;%USERPROFILE%\Documents\GitHub\eaglep3-reporting\EC\2017-11-20-refined-times.txt</v>
      </c>
      <c r="AI204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{"issue":{"subject":"","project_id":79,"tracker_id":40,"status_id":1,"priority_id":2,"assigned_to_id":338,"start_date":"2017-11-20","description":"","custom_fields":[{"id":1,"name":"Subdivision","value":"NW"},{"id":4,"name":"Milepost","value":"5.8943"},{"id":17,"name":"Train ID","value":"843-20"},{"id":16,"name":"Locomotive ID","value":"4014"},{"id":130,"name":"Impact","value":""},{"id":150,"name":"Time of Event (Mountain Time)","value":"20:24:19"},{"id":151,"name":"Denver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1" t="str">
        <f t="shared" si="67"/>
        <v>start /low /b %USERPROFILE%\Documents\GitHub\eaglep3\Utilities\DownloadLogsFromS3.py --loco 4014 --day 2017-11-20</v>
      </c>
      <c r="AN204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03:24:19"},{"id":29,"name":"Sharepoint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7" t="str">
        <f t="shared" si="69"/>
        <v>https://d0f6bd738d7f1b3e5a7ca70fe4ff75f0.us-east-1.aws.found.io/app/kibana#/discover/Steve-Slow-Train-Analysis-(2080s-and-2083s)?_g=(refreshInterval:(display:Off,pause:!f,section:0,value:0),time:(from:'2017-11-20T19:00:56-0700',mode:absolute,to:'2017-11-20T21:24:19-0700'))&amp;_a=(columns:!('Message%20ID',Summary),filters:!(),index:'emp_*',interval:auto,query:(query_string:(analyze_wildcard:!t,query:'%22rtdc.l.rtdc.4014%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675</v>
      </c>
      <c r="B205" s="7">
        <v>4013</v>
      </c>
      <c r="C205" s="21" t="s">
        <v>192</v>
      </c>
      <c r="D205" s="21" t="s">
        <v>1079</v>
      </c>
      <c r="E205" s="13">
        <v>43059.894456018519</v>
      </c>
      <c r="F205" s="13">
        <v>43059.904166666667</v>
      </c>
      <c r="G205" s="7">
        <v>49</v>
      </c>
      <c r="H205" s="21" t="s">
        <v>1080</v>
      </c>
      <c r="I205" s="13">
        <v>43059.914155092592</v>
      </c>
      <c r="J205" s="7">
        <v>0</v>
      </c>
      <c r="K205" s="89" t="str">
        <f t="shared" ref="K205:K237" si="92">IF(ISEVEN(B205),(B205-1)&amp;"/"&amp;B205,B205&amp;"/"&amp;(B205+1))</f>
        <v>4013/4014</v>
      </c>
      <c r="L205" s="184" t="str">
        <f>VLOOKUP(A205,'Trips&amp;Operators'!$C$1:$G$99911,5,FALSE)</f>
        <v>STAMBAUGH JAMES</v>
      </c>
      <c r="M205" s="6">
        <f t="shared" ref="M205:M237" si="93">I205-F205</f>
        <v>9.9884259252576157E-3</v>
      </c>
      <c r="N205" s="7">
        <f t="shared" si="88"/>
        <v>14.383333332370967</v>
      </c>
      <c r="O205" s="7"/>
      <c r="P205" s="7"/>
      <c r="Q205" s="22"/>
      <c r="R205" s="173"/>
      <c r="S205" s="220">
        <f t="shared" si="89"/>
        <v>1</v>
      </c>
      <c r="T205" s="173" t="str">
        <f t="shared" ref="T205:T237" si="94">IF(ISEVEN(LEFT(AD205,4)),"Southbound","NorthBound")</f>
        <v>Southbound</v>
      </c>
      <c r="U205" s="19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5" t="str">
        <f t="shared" ref="V205:V237" si="9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-20T20:28:01-0700',mode:absolute,to:'2017-11-20T22:56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5" s="203" t="str">
        <f>IF(AA205&lt;VLOOKUP(AG205,Variables!$AC$3:$AD$8,2,FALSE),"Y","N")</f>
        <v>N</v>
      </c>
      <c r="X205" s="203">
        <f t="shared" si="87"/>
        <v>1</v>
      </c>
      <c r="Y205" s="203">
        <f t="shared" si="90"/>
        <v>5.7831999999999999</v>
      </c>
      <c r="Z205" s="203">
        <f t="shared" si="91"/>
        <v>6.6100000000000006E-2</v>
      </c>
      <c r="AA205" s="203">
        <f t="shared" ref="AA205:AA268" si="96">ABS(Z205-Y205)</f>
        <v>5.7171000000000003</v>
      </c>
      <c r="AB205" s="54" t="e">
        <f>VLOOKUP(A205,Enforcements!$C$7:$K$9,8,0)</f>
        <v>#N/A</v>
      </c>
      <c r="AC205" s="51" t="e">
        <f>VLOOKUP(A205,Enforcements!$C$7:$E$9,3,0)</f>
        <v>#N/A</v>
      </c>
      <c r="AD205" s="178">
        <f t="shared" ref="AD205:AD237" si="97">VALUE(LEFT(A205,LEN(A205)-3))</f>
        <v>844</v>
      </c>
      <c r="AE205" s="77" t="str">
        <f t="shared" ref="AE205:AE237" si="98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s3://rtdc.mdm.uploadarchive.raw/RTDC4013/ "%USERPROFILE%\AppData\Local\Temp\OnboardLogs"\RTDC4013\2017-11-20 --exclude "*" --recursive --include "*20171120*" &amp; "%USERPROFILE%\Documents\GitHub\mrs-test-scripts\Headless Mode &amp; Sideloading\WalkAndUnGZ.bat" "%USERPROFILE%\AppData\Local\Temp\OnboardLogs"\RTDC4013\2017-11-20 &amp; 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</v>
      </c>
      <c r="AF205" s="74" t="str">
        <f t="shared" ref="AF205:AF237" si="99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/stypes="app*4013*20171121*" /stext=" 04:.+((SYSTEM_STATE.+slice.+state.+changed )|(ment ac)|(multiple cpu faults)|(system.+state.+changed )|(\[timeout)|(PRM\|1\|D)|(kpr)|(kdp)|(train st.+moving)|(\|lc)|(penalty))"</v>
      </c>
      <c r="AG205" s="181" t="str">
        <f t="shared" ref="AG205:AG237" si="100">DetSubdiv(A205)</f>
        <v>NW</v>
      </c>
      <c r="AH205" s="78" t="str">
        <f t="shared" si="65"/>
        <v>"%USERPROFILE%\Documents\GitHub\eaglep3\Utilities\RefineRTDCRunTimes.py" --tripid 844-20 --locoid 4013 --swversion DE.1.0.9.0 --startMP 300:57832 --initTime 2017-11-20T21:28:01 --startdatetime 2017-11-20T21:42:00 --delay 49 --endMP 204:661 --enddatetime 2017-11-20T21:56:23 --enforcementcount 0 &gt;&gt;%USERPROFILE%\Documents\GitHub\eaglep3-reporting\EC\2017-11-20-refined-times.txt</v>
      </c>
      <c r="AI205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{"issue":{"subject":"","project_id":79,"tracker_id":40,"status_id":1,"priority_id":2,"assigned_to_id":338,"start_date":"2017-11-20","description":"","custom_fields":[{"id":1,"name":"Subdivision","value":"NW"},{"id":4,"name":"Milepost","value":"0.0661"},{"id":17,"name":"Train ID","value":"844-20"},{"id":16,"name":"Locomotive ID","value":"4013"},{"id":130,"name":"Impact","value":""},{"id":150,"name":"Time of Event (Mountain Time)","value":"21:56:23"},{"id":151,"name":"Denver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1" t="str">
        <f t="shared" si="67"/>
        <v>start /low /b %USERPROFILE%\Documents\GitHub\eaglep3\Utilities\DownloadLogsFromS3.py --loco 4013 --day 2017-11-20</v>
      </c>
      <c r="AN205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04:56:23"},{"id":29,"name":"Sharepoint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7" t="str">
        <f t="shared" si="69"/>
        <v>https://d0f6bd738d7f1b3e5a7ca70fe4ff75f0.us-east-1.aws.found.io/app/kibana#/discover/Steve-Slow-Train-Analysis-(2080s-and-2083s)?_g=(refreshInterval:(display:Off,pause:!f,section:0,value:0),time:(from:'2017-11-20T20:28:01-0700',mode:absolute,to:'2017-11-20T22:56:23-0700'))&amp;_a=(columns:!('Message%20ID',Summary),filters:!(),index:'emp_*',interval:auto,query:(query_string:(analyze_wildcard:!t,query:'%22rtdc.l.rtdc.4013%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861</v>
      </c>
      <c r="B206" s="7">
        <v>4014</v>
      </c>
      <c r="C206" s="21" t="s">
        <v>192</v>
      </c>
      <c r="D206" s="21" t="s">
        <v>1081</v>
      </c>
      <c r="E206" s="13">
        <v>43059.877627314818</v>
      </c>
      <c r="F206" s="13">
        <v>43059.881689814814</v>
      </c>
      <c r="G206" s="7">
        <v>75</v>
      </c>
      <c r="H206" s="21" t="s">
        <v>1082</v>
      </c>
      <c r="I206" s="13">
        <v>43059.890555555554</v>
      </c>
      <c r="J206" s="7">
        <v>0</v>
      </c>
      <c r="K206" s="89" t="str">
        <f t="shared" si="92"/>
        <v>4013/4014</v>
      </c>
      <c r="L206" s="184" t="str">
        <f>VLOOKUP(A206,'Trips&amp;Operators'!$C$1:$G$99911,5,FALSE)</f>
        <v>STAMBAUGH JAMES</v>
      </c>
      <c r="M206" s="6">
        <f t="shared" si="93"/>
        <v>8.8657407395658083E-3</v>
      </c>
      <c r="N206" s="7">
        <f t="shared" si="88"/>
        <v>12.766666664974764</v>
      </c>
      <c r="O206" s="7"/>
      <c r="P206" s="7"/>
      <c r="Q206" s="22"/>
      <c r="R206" s="173"/>
      <c r="S206" s="220">
        <f t="shared" si="89"/>
        <v>1</v>
      </c>
      <c r="T206" s="173" t="str">
        <f t="shared" si="94"/>
        <v>NorthBound</v>
      </c>
      <c r="U206" s="19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5" t="str">
        <f t="shared" si="95"/>
        <v>https://d0f6bd738d7f1b3e5a7ca70fe4ff75f0.us-east-1.aws.found.io/app/kibana#/discover/Steve-Slow-Train-Analysis-(2080s-and-2083s)?_g=(refreshInterval:(display:Off,pause:!f,section:0,value:0),time:(from:'2017-11-20T20:03:47-0700',mode:absolute,to:'2017-11-20T22:22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6" s="203" t="str">
        <f>IF(AA206&lt;VLOOKUP(AG206,Variables!$AC$3:$AD$8,2,FALSE),"Y","N")</f>
        <v>N</v>
      </c>
      <c r="X206" s="203">
        <f t="shared" si="87"/>
        <v>1</v>
      </c>
      <c r="Y206" s="203">
        <f t="shared" si="90"/>
        <v>0.11020000000000001</v>
      </c>
      <c r="Z206" s="203">
        <f t="shared" si="91"/>
        <v>5.8935000000000004</v>
      </c>
      <c r="AA206" s="203">
        <f t="shared" si="96"/>
        <v>5.7833000000000006</v>
      </c>
      <c r="AB206" s="54" t="e">
        <f>VLOOKUP(A206,Enforcements!$C$7:$K$9,8,0)</f>
        <v>#N/A</v>
      </c>
      <c r="AC206" s="51" t="e">
        <f>VLOOKUP(A206,Enforcements!$C$7:$E$9,3,0)</f>
        <v>#N/A</v>
      </c>
      <c r="AD206" s="178">
        <f t="shared" si="97"/>
        <v>845</v>
      </c>
      <c r="AE206" s="77" t="str">
        <f t="shared" si="98"/>
        <v>aws s3 cp s3://rtdc.mdm.uploadarchive.raw/RTDC4014/ "%USERPROFILE%\AppData\Local\Temp\OnboardLogs"\RTDC4014\2017-11-20 --exclude "*" --recursive --include "*20171120*" &amp; "%USERPROFILE%\Documents\GitHub\mrs-test-scripts\Headless Mode &amp; Sideloading\WalkAndUnGZ.bat" "%USERPROFILE%\AppData\Local\Temp\OnboardLogs"\RTDC4014\2017-11-20 &amp; 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</v>
      </c>
      <c r="AF206" s="74" t="str">
        <f t="shared" si="99"/>
        <v>"C:\Program Files (x86)\AstroGrep\AstroGrep.exe" /e /r /s /spath="%USERPROFILE%\AppData\Local\Temp\OnboardLogs" /stypes="app*4014*20171121*" /stext=" 04:.+((SYSTEM_STATE.+slice.+state.+changed )|(ment ac)|(multiple cpu faults)|(system.+state.+changed )|(\[timeout)|(PRM\|1\|D)|(kpr)|(kdp)|(train st.+moving)|(\|lc)|(penalty))"</v>
      </c>
      <c r="AG206" s="181" t="str">
        <f t="shared" si="100"/>
        <v>NW</v>
      </c>
      <c r="AH206" s="78" t="str">
        <f t="shared" si="65"/>
        <v>"%USERPROFILE%\Documents\GitHub\eaglep3\Utilities\RefineRTDCRunTimes.py" --tripid 845-20 --locoid 4014 --swversion DE.1.0.9.0 --startMP 204:1102 --initTime 2017-11-20T21:03:47 --startdatetime 2017-11-20T21:09:38 --delay 75 --endMP 300:58935 --enddatetime 2017-11-20T21:22:24 --enforcementcount 0 &gt;&gt;%USERPROFILE%\Documents\GitHub\eaglep3-reporting\EC\2017-11-20-refined-times.txt</v>
      </c>
      <c r="AI206" s="96" t="str">
        <f t="shared" si="66"/>
        <v>echo {"issue":{"subject":"","project_id":79,"tracker_id":40,"status_id":1,"priority_id":2,"assigned_to_id":338,"start_date":"2017-11-20","description":"","custom_fields":[{"id":1,"name":"Subdivision","value":"NW"},{"id":4,"name":"Milepost","value":"5.8935"},{"id":17,"name":"Train ID","value":"845-20"},{"id":16,"name":"Locomotive ID","value":"4014"},{"id":130,"name":"Impact","value":""},{"id":150,"name":"Time of Event (Mountain Time)","value":"21:22:24"},{"id":151,"name":"Denver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1" t="str">
        <f t="shared" si="67"/>
        <v>start /low /b %USERPROFILE%\Documents\GitHub\eaglep3\Utilities\DownloadLogsFromS3.py --loco 4014 --day 2017-11-20</v>
      </c>
      <c r="AN206" s="150" t="str">
        <f t="shared" si="68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04:22:24"},{"id":29,"name":"Sharepoint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7" t="str">
        <f t="shared" si="69"/>
        <v>https://d0f6bd738d7f1b3e5a7ca70fe4ff75f0.us-east-1.aws.found.io/app/kibana#/discover/Steve-Slow-Train-Analysis-(2080s-and-2083s)?_g=(refreshInterval:(display:Off,pause:!f,section:0,value:0),time:(from:'2017-11-20T20:03:47-0700',mode:absolute,to:'2017-11-20T22:22:24-0700'))&amp;_a=(columns:!('Message%20ID',Summary),filters:!(),index:'emp_*',interval:auto,query:(query_string:(analyze_wildcard:!t,query:'%22rtdc.l.rtdc.4014%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868</v>
      </c>
      <c r="B207" s="7">
        <v>4013</v>
      </c>
      <c r="C207" s="21" t="s">
        <v>192</v>
      </c>
      <c r="D207" s="21" t="s">
        <v>1081</v>
      </c>
      <c r="E207" s="13">
        <v>43059.877627314818</v>
      </c>
      <c r="F207" s="13">
        <v>43059.946608796294</v>
      </c>
      <c r="G207" s="7">
        <v>75</v>
      </c>
      <c r="H207" s="21" t="s">
        <v>1082</v>
      </c>
      <c r="I207" s="13">
        <v>43059.954317129632</v>
      </c>
      <c r="J207" s="7">
        <v>0</v>
      </c>
      <c r="K207" s="89" t="str">
        <f t="shared" si="92"/>
        <v>4013/4014</v>
      </c>
      <c r="L207" s="184" t="str">
        <f>VLOOKUP(A207,'Trips&amp;Operators'!$C$1:$G$99911,5,FALSE)</f>
        <v>STAMBAUGH JAMES</v>
      </c>
      <c r="M207" s="6">
        <f t="shared" si="93"/>
        <v>7.708333338086959E-3</v>
      </c>
      <c r="N207" s="7">
        <f t="shared" ref="N207:N237" si="101">24*60*SUM($M207:$M207)</f>
        <v>11.100000006845221</v>
      </c>
      <c r="O207" s="7"/>
      <c r="P207" s="7"/>
      <c r="Q207" s="22"/>
      <c r="R207" s="173"/>
      <c r="S207" s="220">
        <f t="shared" ref="S207:S237" si="102">1/IF(AG207="EC",12,1)*SUM(U207:U207)</f>
        <v>0</v>
      </c>
      <c r="T207" s="173" t="str">
        <f t="shared" si="94"/>
        <v>Southbound</v>
      </c>
      <c r="U207" s="19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215" t="str">
        <f t="shared" si="95"/>
        <v>https://d0f6bd738d7f1b3e5a7ca70fe4ff75f0.us-east-1.aws.found.io/app/kibana#/discover/Steve-Slow-Train-Analysis-(2080s-and-2083s)?_g=(refreshInterval:(display:Off,pause:!f,section:0,value:0),time:(from:'2017-11-20T20:03:47-0700',mode:absolute,to:'2017-11-20T23:54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7" s="203" t="str">
        <f>IF(AA207&lt;VLOOKUP(AG207,Variables!$AC$3:$AD$8,2,FALSE),"Y","N")</f>
        <v>N</v>
      </c>
      <c r="X207" s="203">
        <f t="shared" si="87"/>
        <v>1</v>
      </c>
      <c r="Y207" s="203">
        <f t="shared" si="90"/>
        <v>0.11020000000000001</v>
      </c>
      <c r="Z207" s="203">
        <f t="shared" si="91"/>
        <v>5.8935000000000004</v>
      </c>
      <c r="AA207" s="203">
        <f t="shared" si="96"/>
        <v>5.7833000000000006</v>
      </c>
      <c r="AB207" s="54" t="e">
        <f>VLOOKUP(A207,Enforcements!$C$7:$K$9,8,0)</f>
        <v>#N/A</v>
      </c>
      <c r="AC207" s="51" t="e">
        <f>VLOOKUP(A207,Enforcements!$C$7:$E$9,3,0)</f>
        <v>#N/A</v>
      </c>
      <c r="AD207" s="178">
        <f t="shared" si="97"/>
        <v>846</v>
      </c>
      <c r="AE207" s="77" t="str">
        <f t="shared" si="98"/>
        <v>aws s3 cp s3://rtdc.mdm.uploadarchive.raw/RTDC4013/ "%USERPROFILE%\AppData\Local\Temp\OnboardLogs"\RTDC4013\2017-11-20 --exclude "*" --recursive --include "*20171120*" &amp; "%USERPROFILE%\Documents\GitHub\mrs-test-scripts\Headless Mode &amp; Sideloading\WalkAndUnGZ.bat" "%USERPROFILE%\AppData\Local\Temp\OnboardLogs"\RTDC4013\2017-11-20 &amp; 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</v>
      </c>
      <c r="AF207" s="74" t="str">
        <f t="shared" si="99"/>
        <v>"C:\Program Files (x86)\AstroGrep\AstroGrep.exe" /e /r /s /spath="%USERPROFILE%\AppData\Local\Temp\OnboardLogs" /stypes="app*4013*20171121*" /stext=" 05:.+((SYSTEM_STATE.+slice.+state.+changed )|(ment ac)|(multiple cpu faults)|(system.+state.+changed )|(\[timeout)|(PRM\|1\|D)|(kpr)|(kdp)|(train st.+moving)|(\|lc)|(penalty))"</v>
      </c>
      <c r="AG207" s="181" t="str">
        <f t="shared" si="100"/>
        <v>NW</v>
      </c>
      <c r="AH207" s="78" t="str">
        <f t="shared" ref="AH207" si="103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846-20 --locoid 4013 --swversion DE.1.0.9.0 --startMP 204:1102 --initTime 2017-11-20T21:03:47 --startdatetime 2017-11-20T22:43:07 --delay 75 --endMP 300:58935 --enddatetime 2017-11-20T22:54:13 --enforcementcount 0 &gt;&gt;%USERPROFILE%\Documents\GitHub\eaglep3-reporting\EC\2017-11-20-refined-times.txt</v>
      </c>
      <c r="AI207" s="96" t="str">
        <f t="shared" ref="AI207" si="104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{"issue":{"subject":"","project_id":79,"tracker_id":40,"status_id":1,"priority_id":2,"assigned_to_id":338,"start_date":"2017-11-20","description":"","custom_fields":[{"id":1,"name":"Subdivision","value":"NW"},{"id":4,"name":"Milepost","value":"5.8935"},{"id":17,"name":"Train ID","value":"846-20"},{"id":16,"name":"Locomotive ID","value":"4013"},{"id":130,"name":"Impact","value":""},{"id":150,"name":"Time of Event (Mountain Time)","value":"22:54:13"},{"id":151,"name":"Denver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1" t="str">
        <f t="shared" ref="AM207" si="105">"start /low /b "&amp;dls3logs&amp;" --loco "&amp;B207&amp;" --day "&amp;TEXT(F207,"YYYY-MM-DD")</f>
        <v>start /low /b %USERPROFILE%\Documents\GitHub\eaglep3\Utilities\DownloadLogsFromS3.py --loco 4013 --day 2017-11-20</v>
      </c>
      <c r="AN207" s="150" t="str">
        <f t="shared" ref="AN207" si="106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05:54:13"},{"id":29,"name":"Sharepoint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7" t="str">
        <f t="shared" ref="AO207" si="107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-11-20T20:03:47-0700',mode:absolute,to:'2017-11-20T23:54:13-0700'))&amp;_a=(columns:!('Message%20ID',Summary),filters:!(),index:'emp_*',interval:auto,query:(query_string:(analyze_wildcard:!t,query:'%22rtdc.l.rtdc.4013%22')),sort:!(Time.ISO8601,asc))</v>
      </c>
    </row>
    <row r="208" spans="1:91" s="20" customFormat="1" x14ac:dyDescent="0.25">
      <c r="A208" s="32" t="s">
        <v>865</v>
      </c>
      <c r="B208" s="7">
        <v>4014</v>
      </c>
      <c r="C208" s="21" t="s">
        <v>192</v>
      </c>
      <c r="D208" s="21" t="s">
        <v>1083</v>
      </c>
      <c r="E208" s="13">
        <v>43059.915127314816</v>
      </c>
      <c r="F208" s="13">
        <v>43059.923645833333</v>
      </c>
      <c r="G208" s="7">
        <v>55</v>
      </c>
      <c r="H208" s="21" t="s">
        <v>1074</v>
      </c>
      <c r="I208" s="13">
        <v>43059.932638888888</v>
      </c>
      <c r="J208" s="7">
        <v>0</v>
      </c>
      <c r="K208" s="89" t="str">
        <f t="shared" si="92"/>
        <v>4013/4014</v>
      </c>
      <c r="L208" s="184" t="str">
        <f>VLOOKUP(A208,'Trips&amp;Operators'!$C$1:$G$99911,5,FALSE)</f>
        <v>STAMBAUGH JAMES</v>
      </c>
      <c r="M208" s="6">
        <f t="shared" si="93"/>
        <v>8.9930555550381541E-3</v>
      </c>
      <c r="N208" s="7">
        <f t="shared" si="101"/>
        <v>12.949999999254942</v>
      </c>
      <c r="O208" s="7"/>
      <c r="P208" s="7"/>
      <c r="Q208" s="22"/>
      <c r="R208" s="173"/>
      <c r="S208" s="220">
        <f t="shared" si="102"/>
        <v>1</v>
      </c>
      <c r="T208" s="173" t="str">
        <f t="shared" si="94"/>
        <v>NorthBound</v>
      </c>
      <c r="U208" s="19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5" t="str">
        <f t="shared" si="95"/>
        <v>https://d0f6bd738d7f1b3e5a7ca70fe4ff75f0.us-east-1.aws.found.io/app/kibana#/discover/Steve-Slow-Train-Analysis-(2080s-and-2083s)?_g=(refreshInterval:(display:Off,pause:!f,section:0,value:0),time:(from:'2017-11-20T20:57:47-0700',mode:absolute,to:'2017-11-20T23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8" s="203" t="str">
        <f>IF(AA208&lt;VLOOKUP(AG208,Variables!$AC$3:$AD$8,2,FALSE),"Y","N")</f>
        <v>N</v>
      </c>
      <c r="X208" s="203">
        <f t="shared" ref="X208:X209" si="108">VALUE(LEFT(AD208,4))-VALUE(LEFT(AD207,4))</f>
        <v>1</v>
      </c>
      <c r="Y208" s="203">
        <f t="shared" si="90"/>
        <v>9.9000000000000005E-2</v>
      </c>
      <c r="Z208" s="203">
        <f t="shared" si="91"/>
        <v>5.8930999999999996</v>
      </c>
      <c r="AA208" s="203">
        <f t="shared" si="96"/>
        <v>5.7940999999999994</v>
      </c>
      <c r="AB208" s="54" t="e">
        <f>VLOOKUP(A208,Enforcements!$C$7:$K$9,8,0)</f>
        <v>#N/A</v>
      </c>
      <c r="AC208" s="51" t="e">
        <f>VLOOKUP(A208,Enforcements!$C$7:$E$9,3,0)</f>
        <v>#N/A</v>
      </c>
      <c r="AD208" s="178">
        <f t="shared" si="97"/>
        <v>847</v>
      </c>
      <c r="AE208" s="77" t="str">
        <f t="shared" si="98"/>
        <v>aws s3 cp s3://rtdc.mdm.uploadarchive.raw/RTDC4014/ "%USERPROFILE%\AppData\Local\Temp\OnboardLogs"\RTDC4014\2017-11-20 --exclude "*" --recursive --include "*20171120*" &amp; "%USERPROFILE%\Documents\GitHub\mrs-test-scripts\Headless Mode &amp; Sideloading\WalkAndUnGZ.bat" "%USERPROFILE%\AppData\Local\Temp\OnboardLogs"\RTDC4014\2017-11-20 &amp; 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</v>
      </c>
      <c r="AF208" s="74" t="str">
        <f t="shared" si="99"/>
        <v>"C:\Program Files (x86)\AstroGrep\AstroGrep.exe" /e /r /s /spath="%USERPROFILE%\AppData\Local\Temp\OnboardLogs" /stypes="app*4014*20171121*" /stext=" 05:.+((SYSTEM_STATE.+slice.+state.+changed )|(ment ac)|(multiple cpu faults)|(system.+state.+changed )|(\[timeout)|(PRM\|1\|D)|(kpr)|(kdp)|(train st.+moving)|(\|lc)|(penalty))"</v>
      </c>
      <c r="AG208" s="181" t="str">
        <f t="shared" si="100"/>
        <v>NW</v>
      </c>
      <c r="AH208" s="78" t="str">
        <f t="shared" ref="AH208:AH237" si="109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847-20 --locoid 4014 --swversion DE.1.0.9.0 --startMP 204:990 --initTime 2017-11-20T21:57:47 --startdatetime 2017-11-20T22:10:03 --delay 55 --endMP 300:58931 --enddatetime 2017-11-20T22:23:00 --enforcementcount 0 &gt;&gt;%USERPROFILE%\Documents\GitHub\eaglep3-reporting\EC\2017-11-20-refined-times.txt</v>
      </c>
      <c r="AI208" s="96" t="str">
        <f t="shared" ref="AI208:AI237" si="110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{"issue":{"subject":"","project_id":79,"tracker_id":40,"status_id":1,"priority_id":2,"assigned_to_id":338,"start_date":"2017-11-20","description":"","custom_fields":[{"id":1,"name":"Subdivision","value":"NW"},{"id":4,"name":"Milepost","value":"5.8931"},{"id":17,"name":"Train ID","value":"847-20"},{"id":16,"name":"Locomotive ID","value":"4014"},{"id":130,"name":"Impact","value":""},{"id":150,"name":"Time of Event (Mountain Time)","value":"22:23:00"},{"id":151,"name":"Denver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1" t="str">
        <f t="shared" ref="AM208:AM237" si="111">"start /low /b "&amp;dls3logs&amp;" --loco "&amp;B208&amp;" --day "&amp;TEXT(F208,"YYYY-MM-DD")</f>
        <v>start /low /b %USERPROFILE%\Documents\GitHub\eaglep3\Utilities\DownloadLogsFromS3.py --loco 4014 --day 2017-11-20</v>
      </c>
      <c r="AN208" s="150" t="str">
        <f t="shared" ref="AN208:AN237" si="112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05:23:00"},{"id":29,"name":"Sharepoint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7" t="str">
        <f t="shared" ref="AO208:AO237" si="113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-20T20:57:47-0700',mode:absolute,to:'2017-11-20T23:23:00-0700'))&amp;_a=(columns:!('Message%20ID',Summary),filters:!(),index:'emp_*',interval:auto,query:(query_string:(analyze_wildcard:!t,query:'%22rtdc.l.rtdc.4014%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871</v>
      </c>
      <c r="B209" s="7">
        <v>4014</v>
      </c>
      <c r="C209" s="21" t="s">
        <v>192</v>
      </c>
      <c r="D209" s="21" t="s">
        <v>1054</v>
      </c>
      <c r="E209" s="13">
        <v>43059.962592592594</v>
      </c>
      <c r="F209" s="13">
        <v>43059.964803240742</v>
      </c>
      <c r="G209" s="7">
        <v>57</v>
      </c>
      <c r="H209" s="21" t="s">
        <v>1036</v>
      </c>
      <c r="I209" s="13">
        <v>43059.973414351851</v>
      </c>
      <c r="J209" s="7">
        <v>0</v>
      </c>
      <c r="K209" s="89" t="str">
        <f t="shared" si="92"/>
        <v>4013/4014</v>
      </c>
      <c r="L209" s="184" t="str">
        <f>VLOOKUP(A209,'Trips&amp;Operators'!$C$1:$G$99911,5,FALSE)</f>
        <v>STAMBAUGH JAMES</v>
      </c>
      <c r="M209" s="6">
        <f t="shared" si="93"/>
        <v>8.6111111086211167E-3</v>
      </c>
      <c r="N209" s="7">
        <f t="shared" si="101"/>
        <v>12.399999996414408</v>
      </c>
      <c r="O209" s="7"/>
      <c r="P209" s="7"/>
      <c r="Q209" s="22"/>
      <c r="R209" s="173"/>
      <c r="S209" s="220">
        <f t="shared" si="102"/>
        <v>1</v>
      </c>
      <c r="T209" s="173" t="str">
        <f t="shared" si="94"/>
        <v>NorthBound</v>
      </c>
      <c r="U209" s="19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5" t="str">
        <f t="shared" si="95"/>
        <v>https://d0f6bd738d7f1b3e5a7ca70fe4ff75f0.us-east-1.aws.found.io/app/kibana#/discover/Steve-Slow-Train-Analysis-(2080s-and-2083s)?_g=(refreshInterval:(display:Off,pause:!f,section:0,value:0),time:(from:'2017-11-20T22:06:08-0700',mode:absolute,to:'2017-11-21T00:21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9" s="203" t="str">
        <f>IF(AA209&lt;VLOOKUP(AG209,Variables!$AC$3:$AD$8,2,FALSE),"Y","N")</f>
        <v>N</v>
      </c>
      <c r="X209" s="203">
        <f t="shared" si="108"/>
        <v>2</v>
      </c>
      <c r="Y209" s="203">
        <f t="shared" si="90"/>
        <v>9.8299999999999998E-2</v>
      </c>
      <c r="Z209" s="203">
        <f t="shared" si="91"/>
        <v>5.8928000000000003</v>
      </c>
      <c r="AA209" s="203">
        <f t="shared" si="96"/>
        <v>5.7945000000000002</v>
      </c>
      <c r="AB209" s="54" t="e">
        <f>VLOOKUP(A209,Enforcements!$C$7:$K$9,8,0)</f>
        <v>#N/A</v>
      </c>
      <c r="AC209" s="51" t="e">
        <f>VLOOKUP(A209,Enforcements!$C$7:$E$9,3,0)</f>
        <v>#N/A</v>
      </c>
      <c r="AD209" s="178">
        <f t="shared" si="97"/>
        <v>849</v>
      </c>
      <c r="AE209" s="77" t="str">
        <f t="shared" si="98"/>
        <v>aws s3 cp s3://rtdc.mdm.uploadarchive.raw/RTDC4014/ "%USERPROFILE%\AppData\Local\Temp\OnboardLogs"\RTDC4014\2017-11-20 --exclude "*" --recursive --include "*20171120*" &amp; "%USERPROFILE%\Documents\GitHub\mrs-test-scripts\Headless Mode &amp; Sideloading\WalkAndUnGZ.bat" "%USERPROFILE%\AppData\Local\Temp\OnboardLogs"\RTDC4014\2017-11-20 &amp; 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</v>
      </c>
      <c r="AF209" s="74" t="str">
        <f t="shared" si="99"/>
        <v>"C:\Program Files (x86)\AstroGrep\AstroGrep.exe" /e /r /s /spath="%USERPROFILE%\AppData\Local\Temp\OnboardLogs" /stypes="app*4014*20171121*" /stext=" 06:.+((SYSTEM_STATE.+slice.+state.+changed )|(ment ac)|(multiple cpu faults)|(system.+state.+changed )|(\[timeout)|(PRM\|1\|D)|(kpr)|(kdp)|(train st.+moving)|(\|lc)|(penalty))"</v>
      </c>
      <c r="AG209" s="181" t="str">
        <f t="shared" si="100"/>
        <v>NW</v>
      </c>
      <c r="AH209" s="78" t="str">
        <f t="shared" si="109"/>
        <v>"%USERPROFILE%\Documents\GitHub\eaglep3\Utilities\RefineRTDCRunTimes.py" --tripid 849-20 --locoid 4014 --swversion DE.1.0.9.0 --startMP 204:983 --initTime 2017-11-20T23:06:08 --startdatetime 2017-11-20T23:09:19 --delay 57 --endMP 300:58928 --enddatetime 2017-11-20T23:21:43 --enforcementcount 0 &gt;&gt;%USERPROFILE%\Documents\GitHub\eaglep3-reporting\EC\2017-11-20-refined-times.txt</v>
      </c>
      <c r="AI209" s="96" t="str">
        <f t="shared" si="110"/>
        <v>echo {"issue":{"subject":"","project_id":79,"tracker_id":40,"status_id":1,"priority_id":2,"assigned_to_id":338,"start_date":"2017-11-20","description":"","custom_fields":[{"id":1,"name":"Subdivision","value":"NW"},{"id":4,"name":"Milepost","value":"5.8928"},{"id":17,"name":"Train ID","value":"849-20"},{"id":16,"name":"Locomotive ID","value":"4014"},{"id":130,"name":"Impact","value":""},{"id":150,"name":"Time of Event (Mountain Time)","value":"23:21:43"},{"id":151,"name":"Denver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1" t="str">
        <f t="shared" si="111"/>
        <v>start /low /b %USERPROFILE%\Documents\GitHub\eaglep3\Utilities\DownloadLogsFromS3.py --loco 4014 --day 2017-11-20</v>
      </c>
      <c r="AN209" s="150" t="str">
        <f t="shared" si="11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06:21:43"},{"id":29,"name":"Sharepoint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7" t="str">
        <f t="shared" si="113"/>
        <v>https://d0f6bd738d7f1b3e5a7ca70fe4ff75f0.us-east-1.aws.found.io/app/kibana#/discover/Steve-Slow-Train-Analysis-(2080s-and-2083s)?_g=(refreshInterval:(display:Off,pause:!f,section:0,value:0),time:(from:'2017-11-20T22:06:08-0700',mode:absolute,to:'2017-11-21T00:21:43-0700'))&amp;_a=(columns:!('Message%20ID',Summary),filters:!(),index:'emp_*',interval:auto,query:(query_string:(analyze_wildcard:!t,query:'%22rtdc.l.rtdc.4014%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365</v>
      </c>
      <c r="B210" s="7">
        <v>4063</v>
      </c>
      <c r="C210" s="21" t="s">
        <v>192</v>
      </c>
      <c r="D210" s="21" t="s">
        <v>990</v>
      </c>
      <c r="E210" s="13">
        <v>43059.115057870367</v>
      </c>
      <c r="F210" s="13">
        <v>43059.117789351854</v>
      </c>
      <c r="G210" s="7">
        <v>67</v>
      </c>
      <c r="H210" s="21" t="s">
        <v>494</v>
      </c>
      <c r="I210" s="13">
        <v>43059.124016203707</v>
      </c>
      <c r="J210" s="7">
        <v>0</v>
      </c>
      <c r="K210" s="89" t="str">
        <f t="shared" si="92"/>
        <v>4063/4064</v>
      </c>
      <c r="L210" s="184" t="str">
        <f>VLOOKUP(A210,'Trips&amp;Operators'!$C$1:$G$99911,5,FALSE)</f>
        <v>THOMPSON LESTER</v>
      </c>
      <c r="M210" s="6">
        <f t="shared" si="93"/>
        <v>6.2268518522614613E-3</v>
      </c>
      <c r="N210" s="7">
        <f t="shared" si="101"/>
        <v>8.9666666672565043</v>
      </c>
      <c r="O210" s="7"/>
      <c r="P210" s="7"/>
      <c r="Q210" s="22"/>
      <c r="R210" s="173"/>
      <c r="S210" s="220">
        <f t="shared" si="102"/>
        <v>1</v>
      </c>
      <c r="T210" s="173" t="str">
        <f t="shared" si="94"/>
        <v>Southbound</v>
      </c>
      <c r="U210" s="19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5" t="str">
        <f t="shared" si="95"/>
        <v>https://d0f6bd738d7f1b3e5a7ca70fe4ff75f0.us-east-1.aws.found.io/app/kibana#/discover/Steve-Slow-Train-Analysis-(2080s-and-2083s)?_g=(refreshInterval:(display:Off,pause:!f,section:0,value:0),time:(from:'2017-11-20T01:45:41-0700',mode:absolute,to:'2017-11-20T03:58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0" s="203" t="str">
        <f>IF(AA210&lt;VLOOKUP(AG210,Variables!$AC$3:$AD$8,2,FALSE),"Y","N")</f>
        <v>Y</v>
      </c>
      <c r="X210" s="203">
        <f t="shared" ref="X210:X237" si="114">VALUE(LEFT(AD210,4))-VALUE(LEFT(AD209,4))</f>
        <v>-549</v>
      </c>
      <c r="Y210" s="203">
        <f t="shared" si="90"/>
        <v>2.3553000000000002</v>
      </c>
      <c r="Z210" s="203">
        <f t="shared" si="91"/>
        <v>2.1999999999999999E-2</v>
      </c>
      <c r="AA210" s="203">
        <f t="shared" si="96"/>
        <v>2.3333000000000004</v>
      </c>
      <c r="AB210" s="54" t="e">
        <f>VLOOKUP(A210,Enforcements!$C$7:$K$9,8,0)</f>
        <v>#N/A</v>
      </c>
      <c r="AC210" s="51" t="e">
        <f>VLOOKUP(A210,Enforcements!$C$7:$E$9,3,0)</f>
        <v>#N/A</v>
      </c>
      <c r="AD210" s="178">
        <f t="shared" si="97"/>
        <v>300</v>
      </c>
      <c r="AE210" s="77" t="str">
        <f t="shared" si="98"/>
        <v>aws s3 cp s3://rtdc.mdm.uploadarchive.raw/RTDC4063/ "%USERPROFILE%\AppData\Local\Temp\OnboardLogs"\RTDC4063\2017-11-20 --exclude "*" --recursive --include "*20171120*" &amp; "%USERPROFILE%\Documents\GitHub\mrs-test-scripts\Headless Mode &amp; Sideloading\WalkAndUnGZ.bat" "%USERPROFILE%\AppData\Local\Temp\OnboardLogs"\RTDC4063\2017-11-20 &amp; aws s3 cp s3://rtdc.mdm.uploadarchive.raw/RTDC4063/ "%USERPROFILE%\AppData\Local\Temp\OnboardLogs"\RTDC4063\2017-11-21 --exclude "*" --recursive --include "*20171121*" &amp; "%USERPROFILE%\Documents\GitHub\mrs-test-scripts\Headless Mode &amp; Sideloading\WalkAndUnGZ.bat" "%USERPROFILE%\AppData\Local\Temp\OnboardLogs"\RTDC4063\2017-11-21</v>
      </c>
      <c r="AF210" s="74" t="str">
        <f t="shared" si="99"/>
        <v>"C:\Program Files (x86)\AstroGrep\AstroGrep.exe" /e /r /s /spath="%USERPROFILE%\AppData\Local\Temp\OnboardLogs" /stypes="app*4063*20171120*" /stext=" 09:.+((SYSTEM_STATE.+slice.+state.+changed )|(ment ac)|(multiple cpu faults)|(system.+state.+changed )|(\[timeout)|(PRM\|1\|D)|(kpr)|(kdp)|(train st.+moving)|(\|lc)|(penalty))"</v>
      </c>
      <c r="AG210" s="181" t="str">
        <f t="shared" si="100"/>
        <v>Other</v>
      </c>
      <c r="AH210" s="78" t="str">
        <f t="shared" si="109"/>
        <v>"%USERPROFILE%\Documents\GitHub\eaglep3\Utilities\RefineRTDCRunTimes.py" --tripid 300-20 --locoid 4063 --swversion DE.1.0.9.0 --startMP 300:23553 --initTime 2017-11-20T02:45:41 --startdatetime 2017-11-20T02:49:37 --delay 67 --endMP 204:220 --enddatetime 2017-11-20T02:58:35 --enforcementcount 0 &gt;&gt;%USERPROFILE%\Documents\GitHub\eaglep3-reporting\EC\2017-11-20-refined-times.txt</v>
      </c>
      <c r="AI210" s="96" t="str">
        <f t="shared" si="110"/>
        <v>echo {"issue":{"subject":"","project_id":79,"tracker_id":40,"status_id":1,"priority_id":2,"assigned_to_id":338,"start_date":"2017-11-20","description":"","custom_fields":[{"id":1,"name":"Subdivision","value":"Other"},{"id":4,"name":"Milepost","value":"0.022"},{"id":17,"name":"Train ID","value":"300-20"},{"id":16,"name":"Locomotive ID","value":"4063"},{"id":130,"name":"Impact","value":""},{"id":150,"name":"Time of Event (Mountain Time)","value":"02:58:35"},{"id":151,"name":"Denver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1" t="str">
        <f t="shared" si="111"/>
        <v>start /low /b %USERPROFILE%\Documents\GitHub\eaglep3\Utilities\DownloadLogsFromS3.py --loco 4063 --day 2017-11-20</v>
      </c>
      <c r="AN210" s="150" t="str">
        <f t="shared" si="11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09:58:35"},{"id":29,"name":"Sharepoint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7" t="str">
        <f t="shared" si="113"/>
        <v>https://d0f6bd738d7f1b3e5a7ca70fe4ff75f0.us-east-1.aws.found.io/app/kibana#/discover/Steve-Slow-Train-Analysis-(2080s-and-2083s)?_g=(refreshInterval:(display:Off,pause:!f,section:0,value:0),time:(from:'2017-11-20T01:45:41-0700',mode:absolute,to:'2017-11-20T03:58:35-0700'))&amp;_a=(columns:!('Message%20ID',Summary),filters:!(),index:'emp_*',interval:auto,query:(query_string:(analyze_wildcard:!t,query:'%22rtdc.l.rtdc.4063%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846</v>
      </c>
      <c r="B211" s="7">
        <v>4060</v>
      </c>
      <c r="C211" s="21" t="s">
        <v>192</v>
      </c>
      <c r="D211" s="21" t="s">
        <v>639</v>
      </c>
      <c r="E211" s="13">
        <v>43059.776990740742</v>
      </c>
      <c r="F211" s="13">
        <v>43059.779942129629</v>
      </c>
      <c r="G211" s="7">
        <v>53</v>
      </c>
      <c r="H211" s="21" t="s">
        <v>484</v>
      </c>
      <c r="I211" s="13">
        <v>43059.785138888888</v>
      </c>
      <c r="J211" s="7">
        <v>0</v>
      </c>
      <c r="K211" s="89" t="str">
        <f t="shared" si="92"/>
        <v>4059/4060</v>
      </c>
      <c r="L211" s="184" t="str">
        <f>VLOOKUP(A211,'Trips&amp;Operators'!$C$1:$G$99911,5,FALSE)</f>
        <v>AUSTIN THOMPSON</v>
      </c>
      <c r="M211" s="6">
        <f t="shared" si="93"/>
        <v>5.1967592589790002E-3</v>
      </c>
      <c r="N211" s="7">
        <f t="shared" si="101"/>
        <v>7.4833333329297602</v>
      </c>
      <c r="O211" s="7"/>
      <c r="P211" s="7"/>
      <c r="Q211" s="22"/>
      <c r="R211" s="173"/>
      <c r="S211" s="220">
        <f t="shared" si="102"/>
        <v>1</v>
      </c>
      <c r="T211" s="173" t="str">
        <f t="shared" si="94"/>
        <v>NorthBound</v>
      </c>
      <c r="U211" s="19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5" t="str">
        <f t="shared" si="95"/>
        <v>https://d0f6bd738d7f1b3e5a7ca70fe4ff75f0.us-east-1.aws.found.io/app/kibana#/discover/Steve-Slow-Train-Analysis-(2080s-and-2083s)?_g=(refreshInterval:(display:Off,pause:!f,section:0,value:0),time:(from:'2017-11-20T17:38:52-0700',mode:absolute,to:'2017-11-20T19:50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1" s="203" t="str">
        <f>IF(AA211&lt;VLOOKUP(AG211,Variables!$AC$3:$AD$8,2,FALSE),"Y","N")</f>
        <v>Y</v>
      </c>
      <c r="X211" s="203">
        <f t="shared" si="114"/>
        <v>1</v>
      </c>
      <c r="Y211" s="203">
        <f t="shared" si="90"/>
        <v>5.62E-2</v>
      </c>
      <c r="Z211" s="203">
        <f t="shared" si="91"/>
        <v>2.3304</v>
      </c>
      <c r="AA211" s="203">
        <f t="shared" si="96"/>
        <v>2.2742</v>
      </c>
      <c r="AB211" s="54" t="e">
        <f>VLOOKUP(A211,Enforcements!$C$7:$K$9,8,0)</f>
        <v>#N/A</v>
      </c>
      <c r="AC211" s="51" t="e">
        <f>VLOOKUP(A211,Enforcements!$C$7:$E$9,3,0)</f>
        <v>#N/A</v>
      </c>
      <c r="AD211" s="178">
        <f t="shared" si="97"/>
        <v>301</v>
      </c>
      <c r="AE211" s="77" t="str">
        <f t="shared" si="98"/>
        <v>aws s3 cp s3://rtdc.mdm.uploadarchive.raw/RTDC4060/ "%USERPROFILE%\AppData\Local\Temp\OnboardLogs"\RTDC4060\2017-11-20 --exclude "*" --recursive --include "*20171120*" &amp; "%USERPROFILE%\Documents\GitHub\mrs-test-scripts\Headless Mode &amp; Sideloading\WalkAndUnGZ.bat" "%USERPROFILE%\AppData\Local\Temp\OnboardLogs"\RTDC4060\2017-11-20 &amp; aws s3 cp s3://rtdc.mdm.uploadarchive.raw/RTDC4060/ "%USERPROFILE%\AppData\Local\Temp\OnboardLogs"\RTDC4060\2017-11-21 --exclude "*" --recursive --include "*20171121*" &amp; "%USERPROFILE%\Documents\GitHub\mrs-test-scripts\Headless Mode &amp; Sideloading\WalkAndUnGZ.bat" "%USERPROFILE%\AppData\Local\Temp\OnboardLogs"\RTDC4060\2017-11-21</v>
      </c>
      <c r="AF211" s="74" t="str">
        <f t="shared" si="99"/>
        <v>"C:\Program Files (x86)\AstroGrep\AstroGrep.exe" /e /r /s /spath="%USERPROFILE%\AppData\Local\Temp\OnboardLogs" /stypes="app*4060*20171121*" /stext=" 01:.+((SYSTEM_STATE.+slice.+state.+changed )|(ment ac)|(multiple cpu faults)|(system.+state.+changed )|(\[timeout)|(PRM\|1\|D)|(kpr)|(kdp)|(train st.+moving)|(\|lc)|(penalty))"</v>
      </c>
      <c r="AG211" s="181" t="str">
        <f t="shared" si="100"/>
        <v>Other</v>
      </c>
      <c r="AH211" s="78" t="str">
        <f t="shared" si="109"/>
        <v>"%USERPROFILE%\Documents\GitHub\eaglep3\Utilities\RefineRTDCRunTimes.py" --tripid 301-20 --locoid 4060 --swversion DE.1.0.9.0 --startMP 204:562 --initTime 2017-11-20T18:38:52 --startdatetime 2017-11-20T18:43:07 --delay 53 --endMP 300:23304 --enddatetime 2017-11-20T18:50:36 --enforcementcount 0 &gt;&gt;%USERPROFILE%\Documents\GitHub\eaglep3-reporting\EC\2017-11-20-refined-times.txt</v>
      </c>
      <c r="AI211" s="96" t="str">
        <f t="shared" si="110"/>
        <v>echo {"issue":{"subject":"","project_id":79,"tracker_id":40,"status_id":1,"priority_id":2,"assigned_to_id":338,"start_date":"2017-11-20","description":"","custom_fields":[{"id":1,"name":"Subdivision","value":"Other"},{"id":4,"name":"Milepost","value":"2.3304"},{"id":17,"name":"Train ID","value":"301-20"},{"id":16,"name":"Locomotive ID","value":"4060"},{"id":130,"name":"Impact","value":""},{"id":150,"name":"Time of Event (Mountain Time)","value":"18:50:36"},{"id":151,"name":"Denver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1" t="str">
        <f t="shared" si="111"/>
        <v>start /low /b %USERPROFILE%\Documents\GitHub\eaglep3\Utilities\DownloadLogsFromS3.py --loco 4060 --day 2017-11-20</v>
      </c>
      <c r="AN211" s="150" t="str">
        <f t="shared" si="11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01:50:36"},{"id":29,"name":"Sharepoint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7" t="str">
        <f t="shared" si="113"/>
        <v>https://d0f6bd738d7f1b3e5a7ca70fe4ff75f0.us-east-1.aws.found.io/app/kibana#/discover/Steve-Slow-Train-Analysis-(2080s-and-2083s)?_g=(refreshInterval:(display:Off,pause:!f,section:0,value:0),time:(from:'2017-11-20T17:38:52-0700',mode:absolute,to:'2017-11-20T19:50:36-0700'))&amp;_a=(columns:!('Message%20ID',Summary),filters:!(),index:'emp_*',interval:auto,query:(query_string:(analyze_wildcard:!t,query:'%22rtdc.l.rtdc.4060%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681</v>
      </c>
      <c r="B212" s="7">
        <v>4017</v>
      </c>
      <c r="C212" s="21" t="s">
        <v>192</v>
      </c>
      <c r="D212" s="21" t="s">
        <v>991</v>
      </c>
      <c r="E212" s="13">
        <v>43059.140902777777</v>
      </c>
      <c r="F212" s="13">
        <v>43059.143472222226</v>
      </c>
      <c r="G212" s="7">
        <v>161</v>
      </c>
      <c r="H212" s="21" t="s">
        <v>992</v>
      </c>
      <c r="I212" s="13">
        <v>43059.143599537034</v>
      </c>
      <c r="J212" s="7">
        <v>0</v>
      </c>
      <c r="K212" s="89" t="str">
        <f t="shared" si="92"/>
        <v>4017/4018</v>
      </c>
      <c r="L212" s="184" t="str">
        <f>VLOOKUP(A212,'Trips&amp;Operators'!$C$1:$G$99911,5,FALSE)</f>
        <v>STARKS ANGELINA</v>
      </c>
      <c r="M212" s="6">
        <f t="shared" si="93"/>
        <v>1.2731480819638819E-4</v>
      </c>
      <c r="N212" s="7">
        <f t="shared" si="101"/>
        <v>0.18333332380279899</v>
      </c>
      <c r="O212" s="7"/>
      <c r="P212" s="7"/>
      <c r="Q212" s="22"/>
      <c r="R212" s="173"/>
      <c r="S212" s="220">
        <f t="shared" si="102"/>
        <v>1</v>
      </c>
      <c r="T212" s="173" t="str">
        <f t="shared" si="94"/>
        <v>Southbound</v>
      </c>
      <c r="U212" s="19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5" t="str">
        <f t="shared" si="95"/>
        <v>https://d0f6bd738d7f1b3e5a7ca70fe4ff75f0.us-east-1.aws.found.io/app/kibana#/discover/Steve-Slow-Train-Analysis-(2080s-and-2083s)?_g=(refreshInterval:(display:Off,pause:!f,section:0,value:0),time:(from:'2017-11-20T02:22:54-0700',mode:absolute,to:'2017-11-20T04:26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2" s="203" t="str">
        <f>IF(AA212&lt;VLOOKUP(AG212,Variables!$AC$3:$AD$8,2,FALSE),"Y","N")</f>
        <v>Y</v>
      </c>
      <c r="X212" s="203">
        <f t="shared" si="114"/>
        <v>1</v>
      </c>
      <c r="Y212" s="203">
        <f t="shared" si="90"/>
        <v>2.5785</v>
      </c>
      <c r="Z212" s="203">
        <f t="shared" si="91"/>
        <v>1.49E-2</v>
      </c>
      <c r="AA212" s="203">
        <f t="shared" si="96"/>
        <v>2.5636000000000001</v>
      </c>
      <c r="AB212" s="54" t="e">
        <f>VLOOKUP(A212,Enforcements!$C$7:$K$9,8,0)</f>
        <v>#N/A</v>
      </c>
      <c r="AC212" s="51" t="e">
        <f>VLOOKUP(A212,Enforcements!$C$7:$E$9,3,0)</f>
        <v>#N/A</v>
      </c>
      <c r="AD212" s="178">
        <f t="shared" si="97"/>
        <v>302</v>
      </c>
      <c r="AE212" s="77" t="str">
        <f t="shared" si="98"/>
        <v>aws s3 cp s3://rtdc.mdm.uploadarchive.raw/RTDC4017/ "%USERPROFILE%\AppData\Local\Temp\OnboardLogs"\RTDC4017\2017-11-20 --exclude "*" --recursive --include "*20171120*" &amp; "%USERPROFILE%\Documents\GitHub\mrs-test-scripts\Headless Mode &amp; Sideloading\WalkAndUnGZ.bat" "%USERPROFILE%\AppData\Local\Temp\OnboardLogs"\RTDC4017\2017-11-20 &amp; aws s3 cp s3://rtdc.mdm.uploadarchive.raw/RTDC4017/ "%USERPROFILE%\AppData\Local\Temp\OnboardLogs"\RTDC4017\2017-11-21 --exclude "*" --recursive --include "*20171121*" &amp; "%USERPROFILE%\Documents\GitHub\mrs-test-scripts\Headless Mode &amp; Sideloading\WalkAndUnGZ.bat" "%USERPROFILE%\AppData\Local\Temp\OnboardLogs"\RTDC4017\2017-11-21</v>
      </c>
      <c r="AF212" s="74" t="str">
        <f t="shared" si="99"/>
        <v>"C:\Program Files (x86)\AstroGrep\AstroGrep.exe" /e /r /s /spath="%USERPROFILE%\AppData\Local\Temp\OnboardLogs" /stypes="app*4017*20171120*" /stext=" 10:.+((SYSTEM_STATE.+slice.+state.+changed )|(ment ac)|(multiple cpu faults)|(system.+state.+changed )|(\[timeout)|(PRM\|1\|D)|(kpr)|(kdp)|(train st.+moving)|(\|lc)|(penalty))"</v>
      </c>
      <c r="AG212" s="181" t="str">
        <f t="shared" si="100"/>
        <v>Other</v>
      </c>
      <c r="AH212" s="78" t="str">
        <f t="shared" si="109"/>
        <v>"%USERPROFILE%\Documents\GitHub\eaglep3\Utilities\RefineRTDCRunTimes.py" --tripid 302-20 --locoid 4017 --swversion DE.1.0.9.0 --startMP 300:25785 --initTime 2017-11-20T03:22:54 --startdatetime 2017-11-20T03:26:36 --delay 161 --endMP 204:149 --enddatetime 2017-11-20T03:26:47 --enforcementcount 0 &gt;&gt;%USERPROFILE%\Documents\GitHub\eaglep3-reporting\EC\2017-11-20-refined-times.txt</v>
      </c>
      <c r="AI212" s="96" t="str">
        <f t="shared" si="110"/>
        <v>echo {"issue":{"subject":"","project_id":79,"tracker_id":40,"status_id":1,"priority_id":2,"assigned_to_id":338,"start_date":"2017-11-20","description":"","custom_fields":[{"id":1,"name":"Subdivision","value":"Other"},{"id":4,"name":"Milepost","value":"0.0149"},{"id":17,"name":"Train ID","value":"302-20"},{"id":16,"name":"Locomotive ID","value":"4017"},{"id":130,"name":"Impact","value":""},{"id":150,"name":"Time of Event (Mountain Time)","value":"03:26:47"},{"id":151,"name":"Denver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1" t="str">
        <f t="shared" si="111"/>
        <v>start /low /b %USERPROFILE%\Documents\GitHub\eaglep3\Utilities\DownloadLogsFromS3.py --loco 4017 --day 2017-11-20</v>
      </c>
      <c r="AN212" s="150" t="str">
        <f t="shared" si="11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10:26:47"},{"id":29,"name":"Sharepoint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7" t="str">
        <f t="shared" si="113"/>
        <v>https://d0f6bd738d7f1b3e5a7ca70fe4ff75f0.us-east-1.aws.found.io/app/kibana#/discover/Steve-Slow-Train-Analysis-(2080s-and-2083s)?_g=(refreshInterval:(display:Off,pause:!f,section:0,value:0),time:(from:'2017-11-20T02:22:54-0700',mode:absolute,to:'2017-11-20T04:26:47-0700'))&amp;_a=(columns:!('Message%20ID',Summary),filters:!(),index:'emp_*',interval:auto,query:(query_string:(analyze_wildcard:!t,query:'%22rtdc.l.rtdc.4017%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851</v>
      </c>
      <c r="B213" s="7">
        <v>4006</v>
      </c>
      <c r="C213" s="21" t="s">
        <v>192</v>
      </c>
      <c r="D213" s="21" t="s">
        <v>497</v>
      </c>
      <c r="E213" s="13">
        <v>43059.797291666669</v>
      </c>
      <c r="F213" s="13">
        <v>43059.804976851854</v>
      </c>
      <c r="G213" s="7">
        <v>71</v>
      </c>
      <c r="H213" s="21" t="s">
        <v>993</v>
      </c>
      <c r="I213" s="13">
        <v>43059.811469907407</v>
      </c>
      <c r="J213" s="7">
        <v>0</v>
      </c>
      <c r="K213" s="89" t="str">
        <f t="shared" si="92"/>
        <v>4005/4006</v>
      </c>
      <c r="L213" s="184" t="str">
        <f>VLOOKUP(A213,'Trips&amp;Operators'!$C$1:$G$99911,5,FALSE)</f>
        <v>SAFIEF AEIMEN</v>
      </c>
      <c r="M213" s="6">
        <f t="shared" si="93"/>
        <v>6.4930555527098477E-3</v>
      </c>
      <c r="N213" s="7">
        <f t="shared" si="101"/>
        <v>9.3499999959021807</v>
      </c>
      <c r="O213" s="7"/>
      <c r="P213" s="7"/>
      <c r="Q213" s="22"/>
      <c r="R213" s="173"/>
      <c r="S213" s="220">
        <f t="shared" si="102"/>
        <v>1</v>
      </c>
      <c r="T213" s="173" t="str">
        <f t="shared" si="94"/>
        <v>NorthBound</v>
      </c>
      <c r="U213" s="19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5" t="str">
        <f t="shared" si="95"/>
        <v>https://d0f6bd738d7f1b3e5a7ca70fe4ff75f0.us-east-1.aws.found.io/app/kibana#/discover/Steve-Slow-Train-Analysis-(2080s-and-2083s)?_g=(refreshInterval:(display:Off,pause:!f,section:0,value:0),time:(from:'2017-11-20T18:08:06-0700',mode:absolute,to:'2017-11-20T20:28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3" s="203" t="str">
        <f>IF(AA213&lt;VLOOKUP(AG213,Variables!$AC$3:$AD$8,2,FALSE),"Y","N")</f>
        <v>Y</v>
      </c>
      <c r="X213" s="203">
        <f t="shared" si="114"/>
        <v>1</v>
      </c>
      <c r="Y213" s="203">
        <f t="shared" si="90"/>
        <v>4.9299999999999997E-2</v>
      </c>
      <c r="Z213" s="203">
        <f t="shared" si="91"/>
        <v>2.3313999999999999</v>
      </c>
      <c r="AA213" s="203">
        <f t="shared" si="96"/>
        <v>2.2820999999999998</v>
      </c>
      <c r="AB213" s="54" t="e">
        <f>VLOOKUP(A213,Enforcements!$C$7:$K$9,8,0)</f>
        <v>#N/A</v>
      </c>
      <c r="AC213" s="51" t="e">
        <f>VLOOKUP(A213,Enforcements!$C$7:$E$9,3,0)</f>
        <v>#N/A</v>
      </c>
      <c r="AD213" s="178">
        <f t="shared" si="97"/>
        <v>303</v>
      </c>
      <c r="AE213" s="77" t="str">
        <f t="shared" si="98"/>
        <v>aws s3 cp s3://rtdc.mdm.uploadarchive.raw/RTDC4006/ "%USERPROFILE%\AppData\Local\Temp\OnboardLogs"\RTDC4006\2017-11-20 --exclude "*" --recursive --include "*20171120*" &amp; "%USERPROFILE%\Documents\GitHub\mrs-test-scripts\Headless Mode &amp; Sideloading\WalkAndUnGZ.bat" "%USERPROFILE%\AppData\Local\Temp\OnboardLogs"\RTDC4006\2017-11-20 &amp; aws s3 cp s3://rtdc.mdm.uploadarchive.raw/RTDC4006/ "%USERPROFILE%\AppData\Local\Temp\OnboardLogs"\RTDC4006\2017-11-21 --exclude "*" --recursive --include "*20171121*" &amp; "%USERPROFILE%\Documents\GitHub\mrs-test-scripts\Headless Mode &amp; Sideloading\WalkAndUnGZ.bat" "%USERPROFILE%\AppData\Local\Temp\OnboardLogs"\RTDC4006\2017-11-21</v>
      </c>
      <c r="AF213" s="74" t="str">
        <f t="shared" si="99"/>
        <v>"C:\Program Files (x86)\AstroGrep\AstroGrep.exe" /e /r /s /spath="%USERPROFILE%\AppData\Local\Temp\OnboardLogs" /stypes="app*4006*20171121*" /stext=" 02:.+((SYSTEM_STATE.+slice.+state.+changed )|(ment ac)|(multiple cpu faults)|(system.+state.+changed )|(\[timeout)|(PRM\|1\|D)|(kpr)|(kdp)|(train st.+moving)|(\|lc)|(penalty))"</v>
      </c>
      <c r="AG213" s="181" t="str">
        <f t="shared" si="100"/>
        <v>Other</v>
      </c>
      <c r="AH213" s="78" t="str">
        <f t="shared" si="109"/>
        <v>"%USERPROFILE%\Documents\GitHub\eaglep3\Utilities\RefineRTDCRunTimes.py" --tripid 303-20 --locoid 4006 --swversion DE.1.0.9.0 --startMP 204:493 --initTime 2017-11-20T19:08:06 --startdatetime 2017-11-20T19:19:10 --delay 71 --endMP 300:23314 --enddatetime 2017-11-20T19:28:31 --enforcementcount 0 &gt;&gt;%USERPROFILE%\Documents\GitHub\eaglep3-reporting\EC\2017-11-20-refined-times.txt</v>
      </c>
      <c r="AI213" s="96" t="str">
        <f t="shared" si="110"/>
        <v>echo {"issue":{"subject":"","project_id":79,"tracker_id":40,"status_id":1,"priority_id":2,"assigned_to_id":338,"start_date":"2017-11-20","description":"","custom_fields":[{"id":1,"name":"Subdivision","value":"Other"},{"id":4,"name":"Milepost","value":"2.3314"},{"id":17,"name":"Train ID","value":"303-20"},{"id":16,"name":"Locomotive ID","value":"4006"},{"id":130,"name":"Impact","value":""},{"id":150,"name":"Time of Event (Mountain Time)","value":"19:28:31"},{"id":151,"name":"Denver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1" t="str">
        <f t="shared" si="111"/>
        <v>start /low /b %USERPROFILE%\Documents\GitHub\eaglep3\Utilities\DownloadLogsFromS3.py --loco 4006 --day 2017-11-20</v>
      </c>
      <c r="AN213" s="150" t="str">
        <f t="shared" si="11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02:28:31"},{"id":29,"name":"Sharepoint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7" t="str">
        <f t="shared" si="113"/>
        <v>https://d0f6bd738d7f1b3e5a7ca70fe4ff75f0.us-east-1.aws.found.io/app/kibana#/discover/Steve-Slow-Train-Analysis-(2080s-and-2083s)?_g=(refreshInterval:(display:Off,pause:!f,section:0,value:0),time:(from:'2017-11-20T18:08:06-0700',mode:absolute,to:'2017-11-20T20:28:31-0700'))&amp;_a=(columns:!('Message%20ID',Summary),filters:!(),index:'emp_*',interval:auto,query:(query_string:(analyze_wildcard:!t,query:'%22rtdc.l.rtdc.4006%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684</v>
      </c>
      <c r="B214" s="7">
        <v>4023</v>
      </c>
      <c r="C214" s="21" t="s">
        <v>192</v>
      </c>
      <c r="D214" s="21" t="s">
        <v>994</v>
      </c>
      <c r="E214" s="13">
        <v>43059.15861111111</v>
      </c>
      <c r="F214" s="13">
        <v>43059.163275462961</v>
      </c>
      <c r="G214" s="7">
        <v>98</v>
      </c>
      <c r="H214" s="21" t="s">
        <v>562</v>
      </c>
      <c r="I214" s="13">
        <v>43059.167858796296</v>
      </c>
      <c r="J214" s="7">
        <v>0</v>
      </c>
      <c r="K214" s="89" t="str">
        <f t="shared" si="92"/>
        <v>4023/4024</v>
      </c>
      <c r="L214" s="184" t="str">
        <f>VLOOKUP(A214,'Trips&amp;Operators'!$C$1:$G$99911,5,FALSE)</f>
        <v>YORK EDGAR</v>
      </c>
      <c r="M214" s="6">
        <f t="shared" si="93"/>
        <v>4.5833333351765759E-3</v>
      </c>
      <c r="N214" s="7">
        <f t="shared" si="101"/>
        <v>6.6000000026542693</v>
      </c>
      <c r="O214" s="7"/>
      <c r="P214" s="7"/>
      <c r="Q214" s="22"/>
      <c r="R214" s="173"/>
      <c r="S214" s="220">
        <f t="shared" si="102"/>
        <v>1</v>
      </c>
      <c r="T214" s="173" t="str">
        <f t="shared" si="94"/>
        <v>Southbound</v>
      </c>
      <c r="U214" s="19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5" t="str">
        <f t="shared" si="95"/>
        <v>https://d0f6bd738d7f1b3e5a7ca70fe4ff75f0.us-east-1.aws.found.io/app/kibana#/discover/Steve-Slow-Train-Analysis-(2080s-and-2083s)?_g=(refreshInterval:(display:Off,pause:!f,section:0,value:0),time:(from:'2017-11-20T02:48:24-0700',mode:absolute,to:'2017-11-20T05:01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4" s="203" t="str">
        <f>IF(AA214&lt;VLOOKUP(AG214,Variables!$AC$3:$AD$8,2,FALSE),"Y","N")</f>
        <v>Y</v>
      </c>
      <c r="X214" s="203">
        <f t="shared" si="114"/>
        <v>1</v>
      </c>
      <c r="Y214" s="203">
        <f t="shared" si="90"/>
        <v>2.0223</v>
      </c>
      <c r="Z214" s="203">
        <f t="shared" si="91"/>
        <v>1.6500000000000001E-2</v>
      </c>
      <c r="AA214" s="203">
        <f t="shared" si="96"/>
        <v>2.0057999999999998</v>
      </c>
      <c r="AB214" s="54" t="e">
        <f>VLOOKUP(A214,Enforcements!$C$7:$K$9,8,0)</f>
        <v>#N/A</v>
      </c>
      <c r="AC214" s="51" t="e">
        <f>VLOOKUP(A214,Enforcements!$C$7:$E$9,3,0)</f>
        <v>#N/A</v>
      </c>
      <c r="AD214" s="178">
        <f t="shared" si="97"/>
        <v>304</v>
      </c>
      <c r="AE214" s="77" t="str">
        <f t="shared" si="98"/>
        <v>aws s3 cp s3://rtdc.mdm.uploadarchive.raw/RTDC4023/ "%USERPROFILE%\AppData\Local\Temp\OnboardLogs"\RTDC4023\2017-11-20 --exclude "*" --recursive --include "*20171120*" &amp; "%USERPROFILE%\Documents\GitHub\mrs-test-scripts\Headless Mode &amp; Sideloading\WalkAndUnGZ.bat" "%USERPROFILE%\AppData\Local\Temp\OnboardLogs"\RTDC4023\2017-11-20 &amp; aws s3 cp s3://rtdc.mdm.uploadarchive.raw/RTDC4023/ "%USERPROFILE%\AppData\Local\Temp\OnboardLogs"\RTDC4023\2017-11-21 --exclude "*" --recursive --include "*20171121*" &amp; "%USERPROFILE%\Documents\GitHub\mrs-test-scripts\Headless Mode &amp; Sideloading\WalkAndUnGZ.bat" "%USERPROFILE%\AppData\Local\Temp\OnboardLogs"\RTDC4023\2017-11-21</v>
      </c>
      <c r="AF214" s="74" t="str">
        <f t="shared" si="99"/>
        <v>"C:\Program Files (x86)\AstroGrep\AstroGrep.exe" /e /r /s /spath="%USERPROFILE%\AppData\Local\Temp\OnboardLogs" /stypes="app*4023*20171120*" /stext=" 11:.+((SYSTEM_STATE.+slice.+state.+changed )|(ment ac)|(multiple cpu faults)|(system.+state.+changed )|(\[timeout)|(PRM\|1\|D)|(kpr)|(kdp)|(train st.+moving)|(\|lc)|(penalty))"</v>
      </c>
      <c r="AG214" s="181" t="str">
        <f t="shared" si="100"/>
        <v>Other</v>
      </c>
      <c r="AH214" s="78" t="str">
        <f t="shared" si="109"/>
        <v>"%USERPROFILE%\Documents\GitHub\eaglep3\Utilities\RefineRTDCRunTimes.py" --tripid 304-20 --locoid 4023 --swversion DE.1.0.9.0 --startMP 300:20223 --initTime 2017-11-20T03:48:24 --startdatetime 2017-11-20T03:55:07 --delay 98 --endMP 204:165 --enddatetime 2017-11-20T04:01:43 --enforcementcount 0 &gt;&gt;%USERPROFILE%\Documents\GitHub\eaglep3-reporting\EC\2017-11-20-refined-times.txt</v>
      </c>
      <c r="AI214" s="96" t="str">
        <f t="shared" si="110"/>
        <v>echo {"issue":{"subject":"","project_id":79,"tracker_id":40,"status_id":1,"priority_id":2,"assigned_to_id":338,"start_date":"2017-11-20","description":"","custom_fields":[{"id":1,"name":"Subdivision","value":"Other"},{"id":4,"name":"Milepost","value":"0.0165"},{"id":17,"name":"Train ID","value":"304-20"},{"id":16,"name":"Locomotive ID","value":"4023"},{"id":130,"name":"Impact","value":""},{"id":150,"name":"Time of Event (Mountain Time)","value":"04:01:43"},{"id":151,"name":"Denver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1" t="str">
        <f t="shared" si="111"/>
        <v>start /low /b %USERPROFILE%\Documents\GitHub\eaglep3\Utilities\DownloadLogsFromS3.py --loco 4023 --day 2017-11-20</v>
      </c>
      <c r="AN214" s="150" t="str">
        <f t="shared" si="11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11:01:43"},{"id":29,"name":"Sharepoint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7" t="str">
        <f t="shared" si="113"/>
        <v>https://d0f6bd738d7f1b3e5a7ca70fe4ff75f0.us-east-1.aws.found.io/app/kibana#/discover/Steve-Slow-Train-Analysis-(2080s-and-2083s)?_g=(refreshInterval:(display:Off,pause:!f,section:0,value:0),time:(from:'2017-11-20T02:48:24-0700',mode:absolute,to:'2017-11-20T05:01:43-0700'))&amp;_a=(columns:!('Message%20ID',Summary),filters:!(),index:'emp_*',interval:auto,query:(query_string:(analyze_wildcard:!t,query:'%22rtdc.l.rtdc.4023%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856</v>
      </c>
      <c r="B215" s="7">
        <v>4002</v>
      </c>
      <c r="C215" s="21" t="s">
        <v>192</v>
      </c>
      <c r="D215" s="21" t="s">
        <v>444</v>
      </c>
      <c r="E215" s="13">
        <v>43059.81826388889</v>
      </c>
      <c r="F215" s="13">
        <v>43059.819722222222</v>
      </c>
      <c r="G215" s="7">
        <v>66</v>
      </c>
      <c r="H215" s="21" t="s">
        <v>995</v>
      </c>
      <c r="I215" s="13">
        <v>43059.826469907406</v>
      </c>
      <c r="J215" s="7">
        <v>0</v>
      </c>
      <c r="K215" s="89" t="str">
        <f t="shared" si="92"/>
        <v>4001/4002</v>
      </c>
      <c r="L215" s="184" t="str">
        <f>VLOOKUP(A215,'Trips&amp;Operators'!$C$1:$G$99911,5,FALSE)</f>
        <v>GONZALEZ ARMANDO</v>
      </c>
      <c r="M215" s="6">
        <f t="shared" si="93"/>
        <v>6.7476851836545393E-3</v>
      </c>
      <c r="N215" s="7">
        <f t="shared" si="101"/>
        <v>9.7166666644625366</v>
      </c>
      <c r="O215" s="7"/>
      <c r="P215" s="7"/>
      <c r="Q215" s="22"/>
      <c r="R215" s="173"/>
      <c r="S215" s="220">
        <f t="shared" si="102"/>
        <v>1</v>
      </c>
      <c r="T215" s="173" t="str">
        <f t="shared" si="94"/>
        <v>NorthBound</v>
      </c>
      <c r="U215" s="19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5" t="str">
        <f t="shared" si="95"/>
        <v>https://d0f6bd738d7f1b3e5a7ca70fe4ff75f0.us-east-1.aws.found.io/app/kibana#/discover/Steve-Slow-Train-Analysis-(2080s-and-2083s)?_g=(refreshInterval:(display:Off,pause:!f,section:0,value:0),time:(from:'2017-11-20T18:38:18-0700',mode:absolute,to:'2017-11-20T20:50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5" s="203" t="str">
        <f>IF(AA215&lt;VLOOKUP(AG215,Variables!$AC$3:$AD$8,2,FALSE),"Y","N")</f>
        <v>Y</v>
      </c>
      <c r="X215" s="203">
        <f t="shared" si="114"/>
        <v>1</v>
      </c>
      <c r="Y215" s="203">
        <f t="shared" si="90"/>
        <v>5.0599999999999999E-2</v>
      </c>
      <c r="Z215" s="203">
        <f t="shared" si="91"/>
        <v>2.3315999999999999</v>
      </c>
      <c r="AA215" s="203">
        <f t="shared" si="96"/>
        <v>2.2809999999999997</v>
      </c>
      <c r="AB215" s="54" t="e">
        <f>VLOOKUP(A215,Enforcements!$C$7:$K$9,8,0)</f>
        <v>#N/A</v>
      </c>
      <c r="AC215" s="51" t="e">
        <f>VLOOKUP(A215,Enforcements!$C$7:$E$9,3,0)</f>
        <v>#N/A</v>
      </c>
      <c r="AD215" s="178">
        <f t="shared" si="97"/>
        <v>305</v>
      </c>
      <c r="AE215" s="77" t="str">
        <f t="shared" si="98"/>
        <v>aws s3 cp s3://rtdc.mdm.uploadarchive.raw/RTDC4002/ "%USERPROFILE%\AppData\Local\Temp\OnboardLogs"\RTDC4002\2017-11-20 --exclude "*" --recursive --include "*20171120*" &amp; "%USERPROFILE%\Documents\GitHub\mrs-test-scripts\Headless Mode &amp; Sideloading\WalkAndUnGZ.bat" "%USERPROFILE%\AppData\Local\Temp\OnboardLogs"\RTDC4002\2017-11-20 &amp; aws s3 cp s3://rtdc.mdm.uploadarchive.raw/RTDC4002/ "%USERPROFILE%\AppData\Local\Temp\OnboardLogs"\RTDC4002\2017-11-21 --exclude "*" --recursive --include "*20171121*" &amp; "%USERPROFILE%\Documents\GitHub\mrs-test-scripts\Headless Mode &amp; Sideloading\WalkAndUnGZ.bat" "%USERPROFILE%\AppData\Local\Temp\OnboardLogs"\RTDC4002\2017-11-21</v>
      </c>
      <c r="AF215" s="74" t="str">
        <f t="shared" si="99"/>
        <v>"C:\Program Files (x86)\AstroGrep\AstroGrep.exe" /e /r /s /spath="%USERPROFILE%\AppData\Local\Temp\OnboardLogs" /stypes="app*4002*20171121*" /stext=" 02:.+((SYSTEM_STATE.+slice.+state.+changed )|(ment ac)|(multiple cpu faults)|(system.+state.+changed )|(\[timeout)|(PRM\|1\|D)|(kpr)|(kdp)|(train st.+moving)|(\|lc)|(penalty))"</v>
      </c>
      <c r="AG215" s="181" t="str">
        <f t="shared" si="100"/>
        <v>Other</v>
      </c>
      <c r="AH215" s="78" t="str">
        <f t="shared" si="109"/>
        <v>"%USERPROFILE%\Documents\GitHub\eaglep3\Utilities\RefineRTDCRunTimes.py" --tripid 305-20 --locoid 4002 --swversion DE.1.0.9.0 --startMP 204:506 --initTime 2017-11-20T19:38:18 --startdatetime 2017-11-20T19:40:24 --delay 66 --endMP 300:23316 --enddatetime 2017-11-20T19:50:07 --enforcementcount 0 &gt;&gt;%USERPROFILE%\Documents\GitHub\eaglep3-reporting\EC\2017-11-20-refined-times.txt</v>
      </c>
      <c r="AI215" s="96" t="str">
        <f t="shared" si="110"/>
        <v>echo {"issue":{"subject":"","project_id":79,"tracker_id":40,"status_id":1,"priority_id":2,"assigned_to_id":338,"start_date":"2017-11-20","description":"","custom_fields":[{"id":1,"name":"Subdivision","value":"Other"},{"id":4,"name":"Milepost","value":"2.3316"},{"id":17,"name":"Train ID","value":"305-20"},{"id":16,"name":"Locomotive ID","value":"4002"},{"id":130,"name":"Impact","value":""},{"id":150,"name":"Time of Event (Mountain Time)","value":"19:50:07"},{"id":151,"name":"Denver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1" t="str">
        <f t="shared" si="111"/>
        <v>start /low /b %USERPROFILE%\Documents\GitHub\eaglep3\Utilities\DownloadLogsFromS3.py --loco 4002 --day 2017-11-20</v>
      </c>
      <c r="AN215" s="150" t="str">
        <f t="shared" si="11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02:50:07"},{"id":29,"name":"Sharepoint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7" t="str">
        <f t="shared" si="113"/>
        <v>https://d0f6bd738d7f1b3e5a7ca70fe4ff75f0.us-east-1.aws.found.io/app/kibana#/discover/Steve-Slow-Train-Analysis-(2080s-and-2083s)?_g=(refreshInterval:(display:Off,pause:!f,section:0,value:0),time:(from:'2017-11-20T18:38:18-0700',mode:absolute,to:'2017-11-20T20:50:07-0700'))&amp;_a=(columns:!('Message%20ID',Summary),filters:!(),index:'emp_*',interval:auto,query:(query_string:(analyze_wildcard:!t,query:'%22rtdc.l.rtdc.4002%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688</v>
      </c>
      <c r="B216" s="7">
        <v>4027</v>
      </c>
      <c r="C216" s="21" t="s">
        <v>192</v>
      </c>
      <c r="D216" s="21" t="s">
        <v>996</v>
      </c>
      <c r="E216" s="13">
        <v>43059.178078703706</v>
      </c>
      <c r="F216" s="13">
        <v>43059.181863425925</v>
      </c>
      <c r="G216" s="7">
        <v>61</v>
      </c>
      <c r="H216" s="21" t="s">
        <v>498</v>
      </c>
      <c r="I216" s="13">
        <v>43059.186932870369</v>
      </c>
      <c r="J216" s="7">
        <v>0</v>
      </c>
      <c r="K216" s="89" t="str">
        <f t="shared" si="92"/>
        <v>4027/4028</v>
      </c>
      <c r="L216" s="184" t="str">
        <f>VLOOKUP(A216,'Trips&amp;Operators'!$C$1:$G$99911,5,FALSE)</f>
        <v>LANGERAK WILLIAM</v>
      </c>
      <c r="M216" s="6">
        <f t="shared" si="93"/>
        <v>5.0694444435066544E-3</v>
      </c>
      <c r="N216" s="7">
        <f t="shared" si="101"/>
        <v>7.2999999986495823</v>
      </c>
      <c r="O216" s="7"/>
      <c r="P216" s="7"/>
      <c r="Q216" s="22"/>
      <c r="R216" s="173"/>
      <c r="S216" s="220">
        <f t="shared" si="102"/>
        <v>1</v>
      </c>
      <c r="T216" s="173" t="str">
        <f t="shared" si="94"/>
        <v>Southbound</v>
      </c>
      <c r="U216" s="19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5" t="str">
        <f t="shared" si="95"/>
        <v>https://d0f6bd738d7f1b3e5a7ca70fe4ff75f0.us-east-1.aws.found.io/app/kibana#/discover/Steve-Slow-Train-Analysis-(2080s-and-2083s)?_g=(refreshInterval:(display:Off,pause:!f,section:0,value:0),time:(from:'2017-11-20T03:16:26-0700',mode:absolute,to:'2017-11-20T05:29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6" s="203" t="str">
        <f>IF(AA216&lt;VLOOKUP(AG216,Variables!$AC$3:$AD$8,2,FALSE),"Y","N")</f>
        <v>Y</v>
      </c>
      <c r="X216" s="203">
        <f t="shared" si="114"/>
        <v>1</v>
      </c>
      <c r="Y216" s="203">
        <f t="shared" si="90"/>
        <v>2.266</v>
      </c>
      <c r="Z216" s="203">
        <f t="shared" si="91"/>
        <v>1.9599999999999999E-2</v>
      </c>
      <c r="AA216" s="203">
        <f t="shared" si="96"/>
        <v>2.2464</v>
      </c>
      <c r="AB216" s="54" t="e">
        <f>VLOOKUP(A216,Enforcements!$C$7:$K$9,8,0)</f>
        <v>#N/A</v>
      </c>
      <c r="AC216" s="51" t="e">
        <f>VLOOKUP(A216,Enforcements!$C$7:$E$9,3,0)</f>
        <v>#N/A</v>
      </c>
      <c r="AD216" s="178">
        <f t="shared" si="97"/>
        <v>306</v>
      </c>
      <c r="AE216" s="77" t="str">
        <f t="shared" si="98"/>
        <v>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 &amp; aws s3 cp s3://rtdc.mdm.uploadarchive.raw/RTDC4027/ "%USERPROFILE%\AppData\Local\Temp\OnboardLogs"\RTDC4027\2017-11-21 --exclude "*" --recursive --include "*20171121*" &amp; "%USERPROFILE%\Documents\GitHub\mrs-test-scripts\Headless Mode &amp; Sideloading\WalkAndUnGZ.bat" "%USERPROFILE%\AppData\Local\Temp\OnboardLogs"\RTDC4027\2017-11-21</v>
      </c>
      <c r="AF216" s="74" t="str">
        <f t="shared" si="99"/>
        <v>"C:\Program Files (x86)\AstroGrep\AstroGrep.exe" /e /r /s /spath="%USERPROFILE%\AppData\Local\Temp\OnboardLogs" /stypes="app*4027*20171120*" /stext=" 11:.+((SYSTEM_STATE.+slice.+state.+changed )|(ment ac)|(multiple cpu faults)|(system.+state.+changed )|(\[timeout)|(PRM\|1\|D)|(kpr)|(kdp)|(train st.+moving)|(\|lc)|(penalty))"</v>
      </c>
      <c r="AG216" s="181" t="str">
        <f t="shared" si="100"/>
        <v>Other</v>
      </c>
      <c r="AH216" s="78" t="str">
        <f t="shared" si="109"/>
        <v>"%USERPROFILE%\Documents\GitHub\eaglep3\Utilities\RefineRTDCRunTimes.py" --tripid 306-20 --locoid 4027 --swversion DE.1.0.9.0 --startMP 300:22660 --initTime 2017-11-20T04:16:26 --startdatetime 2017-11-20T04:21:53 --delay 61 --endMP 204:196 --enddatetime 2017-11-20T04:29:11 --enforcementcount 0 &gt;&gt;%USERPROFILE%\Documents\GitHub\eaglep3-reporting\EC\2017-11-20-refined-times.txt</v>
      </c>
      <c r="AI216" s="96" t="str">
        <f t="shared" si="110"/>
        <v>echo {"issue":{"subject":"","project_id":79,"tracker_id":40,"status_id":1,"priority_id":2,"assigned_to_id":338,"start_date":"2017-11-20","description":"","custom_fields":[{"id":1,"name":"Subdivision","value":"Other"},{"id":4,"name":"Milepost","value":"0.0196"},{"id":17,"name":"Train ID","value":"306-20"},{"id":16,"name":"Locomotive ID","value":"4027"},{"id":130,"name":"Impact","value":""},{"id":150,"name":"Time of Event (Mountain Time)","value":"04:29:11"},{"id":151,"name":"Denver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1" t="str">
        <f t="shared" si="111"/>
        <v>start /low /b %USERPROFILE%\Documents\GitHub\eaglep3\Utilities\DownloadLogsFromS3.py --loco 4027 --day 2017-11-20</v>
      </c>
      <c r="AN216" s="150" t="str">
        <f t="shared" si="11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11:29:11"},{"id":29,"name":"Sharepoint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7" t="str">
        <f t="shared" si="113"/>
        <v>https://d0f6bd738d7f1b3e5a7ca70fe4ff75f0.us-east-1.aws.found.io/app/kibana#/discover/Steve-Slow-Train-Analysis-(2080s-and-2083s)?_g=(refreshInterval:(display:Off,pause:!f,section:0,value:0),time:(from:'2017-11-20T03:16:26-0700',mode:absolute,to:'2017-11-20T05:29:11-0700'))&amp;_a=(columns:!('Message%20ID',Summary),filters:!(),index:'emp_*',interval:auto,query:(query_string:(analyze_wildcard:!t,query:'%22rtdc.l.rtdc.4027%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881</v>
      </c>
      <c r="B217" s="7">
        <v>4018</v>
      </c>
      <c r="C217" s="21" t="s">
        <v>192</v>
      </c>
      <c r="D217" s="21" t="s">
        <v>997</v>
      </c>
      <c r="E217" s="13">
        <v>43060.048032407409</v>
      </c>
      <c r="F217" s="13">
        <v>43060.050011574072</v>
      </c>
      <c r="G217" s="7">
        <v>103</v>
      </c>
      <c r="H217" s="21" t="s">
        <v>539</v>
      </c>
      <c r="I217" s="13">
        <v>43060.058923611112</v>
      </c>
      <c r="J217" s="7">
        <v>0</v>
      </c>
      <c r="K217" s="89" t="str">
        <f t="shared" si="92"/>
        <v>4017/4018</v>
      </c>
      <c r="L217" s="184" t="str">
        <f>VLOOKUP(A217,'Trips&amp;Operators'!$C$1:$G$99911,5,FALSE)</f>
        <v>STRICKLAND EVAN</v>
      </c>
      <c r="M217" s="6">
        <f t="shared" si="93"/>
        <v>8.9120370394084603E-3</v>
      </c>
      <c r="N217" s="7">
        <f t="shared" si="101"/>
        <v>12.833333336748183</v>
      </c>
      <c r="O217" s="7"/>
      <c r="P217" s="7"/>
      <c r="Q217" s="22"/>
      <c r="R217" s="173"/>
      <c r="S217" s="220">
        <f t="shared" si="102"/>
        <v>1</v>
      </c>
      <c r="T217" s="173" t="str">
        <f t="shared" si="94"/>
        <v>NorthBound</v>
      </c>
      <c r="U217" s="19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5" t="str">
        <f t="shared" si="95"/>
        <v>https://d0f6bd738d7f1b3e5a7ca70fe4ff75f0.us-east-1.aws.found.io/app/kibana#/discover/Steve-Slow-Train-Analysis-(2080s-and-2083s)?_g=(refreshInterval:(display:Off,pause:!f,section:0,value:0),time:(from:'2017-11-21T00:09:10-0700',mode:absolute,to:'2017-11-21T02:24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7" s="203" t="str">
        <f>IF(AA217&lt;VLOOKUP(AG217,Variables!$AC$3:$AD$8,2,FALSE),"Y","N")</f>
        <v>Y</v>
      </c>
      <c r="X217" s="203">
        <f t="shared" si="114"/>
        <v>1</v>
      </c>
      <c r="Y217" s="203">
        <f t="shared" si="90"/>
        <v>5.4899999999999997E-2</v>
      </c>
      <c r="Z217" s="203">
        <f t="shared" si="91"/>
        <v>2.3346</v>
      </c>
      <c r="AA217" s="203">
        <f t="shared" si="96"/>
        <v>2.2797000000000001</v>
      </c>
      <c r="AB217" s="54" t="e">
        <f>VLOOKUP(A217,Enforcements!$C$7:$K$9,8,0)</f>
        <v>#N/A</v>
      </c>
      <c r="AC217" s="51" t="e">
        <f>VLOOKUP(A217,Enforcements!$C$7:$E$9,3,0)</f>
        <v>#N/A</v>
      </c>
      <c r="AD217" s="178">
        <f t="shared" si="97"/>
        <v>307</v>
      </c>
      <c r="AE217" s="77" t="str">
        <f t="shared" si="98"/>
        <v>aws s3 cp s3://rtdc.mdm.uploadarchive.raw/RTDC4018/ "%USERPROFILE%\AppData\Local\Temp\OnboardLogs"\RTDC4018\2017-11-21 --exclude "*" --recursive --include "*20171121*" &amp; "%USERPROFILE%\Documents\GitHub\mrs-test-scripts\Headless Mode &amp; Sideloading\WalkAndUnGZ.bat" "%USERPROFILE%\AppData\Local\Temp\OnboardLogs"\RTDC4018\2017-11-21 &amp; aws s3 cp s3://rtdc.mdm.uploadarchive.raw/RTDC4018/ "%USERPROFILE%\AppData\Local\Temp\OnboardLogs"\RTDC4018\2017-11-22 --exclude "*" --recursive --include "*20171122*" &amp; "%USERPROFILE%\Documents\GitHub\mrs-test-scripts\Headless Mode &amp; Sideloading\WalkAndUnGZ.bat" "%USERPROFILE%\AppData\Local\Temp\OnboardLogs"\RTDC4018\2017-11-22</v>
      </c>
      <c r="AF217" s="74" t="str">
        <f t="shared" si="99"/>
        <v>"C:\Program Files (x86)\AstroGrep\AstroGrep.exe" /e /r /s /spath="%USERPROFILE%\AppData\Local\Temp\OnboardLogs" /stypes="app*4018*20171121*" /stext=" 08:.+((SYSTEM_STATE.+slice.+state.+changed )|(ment ac)|(multiple cpu faults)|(system.+state.+changed )|(\[timeout)|(PRM\|1\|D)|(kpr)|(kdp)|(train st.+moving)|(\|lc)|(penalty))"</v>
      </c>
      <c r="AG217" s="181" t="str">
        <f t="shared" si="100"/>
        <v>Other</v>
      </c>
      <c r="AH217" s="78" t="str">
        <f t="shared" si="109"/>
        <v>"%USERPROFILE%\Documents\GitHub\eaglep3\Utilities\RefineRTDCRunTimes.py" --tripid 307-20 --locoid 4018 --swversion DE.1.0.9.0 --startMP 204:549 --initTime 2017-11-21T01:09:10 --startdatetime 2017-11-21T01:12:01 --delay 103 --endMP 300:23346 --enddatetime 2017-11-21T01:24:51 --enforcementcount 0 &gt;&gt;%USERPROFILE%\Documents\GitHub\eaglep3-reporting\EC\2017-11-20-refined-times.txt</v>
      </c>
      <c r="AI217" s="96" t="str">
        <f t="shared" si="110"/>
        <v>echo {"issue":{"subject":"","project_id":79,"tracker_id":40,"status_id":1,"priority_id":2,"assigned_to_id":338,"start_date":"2017-11-21","description":"","custom_fields":[{"id":1,"name":"Subdivision","value":"Other"},{"id":4,"name":"Milepost","value":"2.3346"},{"id":17,"name":"Train ID","value":"307-20"},{"id":16,"name":"Locomotive ID","value":"4018"},{"id":130,"name":"Impact","value":""},{"id":150,"name":"Time of Event (Mountain Time)","value":"01:24:51"},{"id":151,"name":"Denver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1" t="str">
        <f t="shared" si="111"/>
        <v>start /low /b %USERPROFILE%\Documents\GitHub\eaglep3\Utilities\DownloadLogsFromS3.py --loco 4018 --day 2017-11-21</v>
      </c>
      <c r="AN217" s="150" t="str">
        <f t="shared" si="11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08:24:51"},{"id":29,"name":"Sharepoint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7" t="str">
        <f t="shared" si="113"/>
        <v>https://d0f6bd738d7f1b3e5a7ca70fe4ff75f0.us-east-1.aws.found.io/app/kibana#/discover/Steve-Slow-Train-Analysis-(2080s-and-2083s)?_g=(refreshInterval:(display:Off,pause:!f,section:0,value:0),time:(from:'2017-11-21T00:09:10-0700',mode:absolute,to:'2017-11-21T02:24:51-0700'))&amp;_a=(columns:!('Message%20ID',Summary),filters:!(),index:'emp_*',interval:auto,query:(query_string:(analyze_wildcard:!t,query:'%22rtdc.l.rtdc.4018%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690</v>
      </c>
      <c r="B218" s="7">
        <v>4059</v>
      </c>
      <c r="C218" s="21" t="s">
        <v>192</v>
      </c>
      <c r="D218" s="21" t="s">
        <v>998</v>
      </c>
      <c r="E218" s="13">
        <v>43059.183749999997</v>
      </c>
      <c r="F218" s="13">
        <v>43059.187650462962</v>
      </c>
      <c r="G218" s="7">
        <v>57</v>
      </c>
      <c r="H218" s="21" t="s">
        <v>559</v>
      </c>
      <c r="I218" s="13">
        <v>43059.192673611113</v>
      </c>
      <c r="J218" s="7">
        <v>0</v>
      </c>
      <c r="K218" s="89" t="str">
        <f t="shared" si="92"/>
        <v>4059/4060</v>
      </c>
      <c r="L218" s="184" t="str">
        <f>VLOOKUP(A218,'Trips&amp;Operators'!$C$1:$G$99911,5,FALSE)</f>
        <v>MAELZER KURT</v>
      </c>
      <c r="M218" s="6">
        <f t="shared" si="93"/>
        <v>5.02314815093996E-3</v>
      </c>
      <c r="N218" s="7">
        <f t="shared" si="101"/>
        <v>7.2333333373535424</v>
      </c>
      <c r="O218" s="7"/>
      <c r="P218" s="7"/>
      <c r="Q218" s="22"/>
      <c r="R218" s="173"/>
      <c r="S218" s="220">
        <f t="shared" si="102"/>
        <v>1</v>
      </c>
      <c r="T218" s="173" t="str">
        <f t="shared" si="94"/>
        <v>Southbound</v>
      </c>
      <c r="U218" s="19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5" t="str">
        <f t="shared" si="95"/>
        <v>https://d0f6bd738d7f1b3e5a7ca70fe4ff75f0.us-east-1.aws.found.io/app/kibana#/discover/Steve-Slow-Train-Analysis-(2080s-and-2083s)?_g=(refreshInterval:(display:Off,pause:!f,section:0,value:0),time:(from:'2017-11-20T03:24:36-0700',mode:absolute,to:'2017-11-20T05:37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8" s="203" t="str">
        <f>IF(AA218&lt;VLOOKUP(AG218,Variables!$AC$3:$AD$8,2,FALSE),"Y","N")</f>
        <v>Y</v>
      </c>
      <c r="X218" s="203">
        <f t="shared" si="114"/>
        <v>1</v>
      </c>
      <c r="Y218" s="203">
        <f t="shared" si="90"/>
        <v>1.9671000000000001</v>
      </c>
      <c r="Z218" s="203">
        <f t="shared" si="91"/>
        <v>2.0500000000000001E-2</v>
      </c>
      <c r="AA218" s="203">
        <f t="shared" si="96"/>
        <v>1.9466000000000001</v>
      </c>
      <c r="AB218" s="54" t="e">
        <f>VLOOKUP(A218,Enforcements!$C$7:$K$9,8,0)</f>
        <v>#N/A</v>
      </c>
      <c r="AC218" s="51" t="e">
        <f>VLOOKUP(A218,Enforcements!$C$7:$E$9,3,0)</f>
        <v>#N/A</v>
      </c>
      <c r="AD218" s="178">
        <f t="shared" si="97"/>
        <v>308</v>
      </c>
      <c r="AE218" s="77" t="str">
        <f t="shared" si="98"/>
        <v>aws s3 cp s3://rtdc.mdm.uploadarchive.raw/RTDC4059/ "%USERPROFILE%\AppData\Local\Temp\OnboardLogs"\RTDC4059\2017-11-20 --exclude "*" --recursive --include "*20171120*" &amp; "%USERPROFILE%\Documents\GitHub\mrs-test-scripts\Headless Mode &amp; Sideloading\WalkAndUnGZ.bat" "%USERPROFILE%\AppData\Local\Temp\OnboardLogs"\RTDC4059\2017-11-20 &amp; aws s3 cp s3://rtdc.mdm.uploadarchive.raw/RTDC4059/ "%USERPROFILE%\AppData\Local\Temp\OnboardLogs"\RTDC4059\2017-11-21 --exclude "*" --recursive --include "*20171121*" &amp; "%USERPROFILE%\Documents\GitHub\mrs-test-scripts\Headless Mode &amp; Sideloading\WalkAndUnGZ.bat" "%USERPROFILE%\AppData\Local\Temp\OnboardLogs"\RTDC4059\2017-11-21</v>
      </c>
      <c r="AF218" s="74" t="str">
        <f t="shared" si="99"/>
        <v>"C:\Program Files (x86)\AstroGrep\AstroGrep.exe" /e /r /s /spath="%USERPROFILE%\AppData\Local\Temp\OnboardLogs" /stypes="app*4059*20171120*" /stext=" 11:.+((SYSTEM_STATE.+slice.+state.+changed )|(ment ac)|(multiple cpu faults)|(system.+state.+changed )|(\[timeout)|(PRM\|1\|D)|(kpr)|(kdp)|(train st.+moving)|(\|lc)|(penalty))"</v>
      </c>
      <c r="AG218" s="181" t="str">
        <f t="shared" si="100"/>
        <v>Other</v>
      </c>
      <c r="AH218" s="78" t="str">
        <f t="shared" si="109"/>
        <v>"%USERPROFILE%\Documents\GitHub\eaglep3\Utilities\RefineRTDCRunTimes.py" --tripid 308-20 --locoid 4059 --swversion DE.1.0.9.0 --startMP 300:19671 --initTime 2017-11-20T04:24:36 --startdatetime 2017-11-20T04:30:13 --delay 57 --endMP 204:205 --enddatetime 2017-11-20T04:37:27 --enforcementcount 0 &gt;&gt;%USERPROFILE%\Documents\GitHub\eaglep3-reporting\EC\2017-11-20-refined-times.txt</v>
      </c>
      <c r="AI218" s="96" t="str">
        <f t="shared" si="110"/>
        <v>echo {"issue":{"subject":"","project_id":79,"tracker_id":40,"status_id":1,"priority_id":2,"assigned_to_id":338,"start_date":"2017-11-20","description":"","custom_fields":[{"id":1,"name":"Subdivision","value":"Other"},{"id":4,"name":"Milepost","value":"0.0205"},{"id":17,"name":"Train ID","value":"308-20"},{"id":16,"name":"Locomotive ID","value":"4059"},{"id":130,"name":"Impact","value":""},{"id":150,"name":"Time of Event (Mountain Time)","value":"04:37:27"},{"id":151,"name":"Denver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1" t="str">
        <f t="shared" si="111"/>
        <v>start /low /b %USERPROFILE%\Documents\GitHub\eaglep3\Utilities\DownloadLogsFromS3.py --loco 4059 --day 2017-11-20</v>
      </c>
      <c r="AN218" s="150" t="str">
        <f t="shared" si="11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11:37:27"},{"id":29,"name":"Sharepoint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7" t="str">
        <f t="shared" si="113"/>
        <v>https://d0f6bd738d7f1b3e5a7ca70fe4ff75f0.us-east-1.aws.found.io/app/kibana#/discover/Steve-Slow-Train-Analysis-(2080s-and-2083s)?_g=(refreshInterval:(display:Off,pause:!f,section:0,value:0),time:(from:'2017-11-20T03:24:36-0700',mode:absolute,to:'2017-11-20T05:37:27-0700'))&amp;_a=(columns:!('Message%20ID',Summary),filters:!(),index:'emp_*',interval:auto,query:(query_string:(analyze_wildcard:!t,query:'%22rtdc.l.rtdc.4059%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693</v>
      </c>
      <c r="B219" s="7">
        <v>4005</v>
      </c>
      <c r="C219" s="21" t="s">
        <v>192</v>
      </c>
      <c r="D219" s="21" t="s">
        <v>999</v>
      </c>
      <c r="E219" s="13">
        <v>43059.199259259258</v>
      </c>
      <c r="F219" s="13">
        <v>43059.202523148146</v>
      </c>
      <c r="G219" s="7">
        <v>107</v>
      </c>
      <c r="H219" s="21" t="s">
        <v>946</v>
      </c>
      <c r="I219" s="13">
        <v>43059.211678240739</v>
      </c>
      <c r="J219" s="7">
        <v>0</v>
      </c>
      <c r="K219" s="89" t="str">
        <f t="shared" si="92"/>
        <v>4005/4006</v>
      </c>
      <c r="L219" s="184" t="str">
        <f>VLOOKUP(A219,'Trips&amp;Operators'!$C$1:$G$99911,5,FALSE)</f>
        <v>DAVIDSON DAVID</v>
      </c>
      <c r="M219" s="6">
        <f t="shared" si="93"/>
        <v>9.1550925935734995E-3</v>
      </c>
      <c r="N219" s="7">
        <f t="shared" si="101"/>
        <v>13.183333334745839</v>
      </c>
      <c r="O219" s="7"/>
      <c r="P219" s="7"/>
      <c r="Q219" s="22"/>
      <c r="R219" s="173"/>
      <c r="S219" s="220">
        <f t="shared" si="102"/>
        <v>1</v>
      </c>
      <c r="T219" s="173" t="str">
        <f t="shared" si="94"/>
        <v>Southbound</v>
      </c>
      <c r="U219" s="19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5" t="str">
        <f t="shared" si="95"/>
        <v>https://d0f6bd738d7f1b3e5a7ca70fe4ff75f0.us-east-1.aws.found.io/app/kibana#/discover/Steve-Slow-Train-Analysis-(2080s-and-2083s)?_g=(refreshInterval:(display:Off,pause:!f,section:0,value:0),time:(from:'2017-11-20T03:46:56-0700',mode:absolute,to:'2017-11-20T06:04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9" s="203" t="str">
        <f>IF(AA219&lt;VLOOKUP(AG219,Variables!$AC$3:$AD$8,2,FALSE),"Y","N")</f>
        <v>Y</v>
      </c>
      <c r="X219" s="203">
        <f t="shared" si="114"/>
        <v>2</v>
      </c>
      <c r="Y219" s="203">
        <f t="shared" si="90"/>
        <v>2.3338000000000001</v>
      </c>
      <c r="Z219" s="203">
        <f t="shared" si="91"/>
        <v>2.29E-2</v>
      </c>
      <c r="AA219" s="203">
        <f t="shared" si="96"/>
        <v>2.3109000000000002</v>
      </c>
      <c r="AB219" s="54" t="e">
        <f>VLOOKUP(A219,Enforcements!$C$7:$K$9,8,0)</f>
        <v>#N/A</v>
      </c>
      <c r="AC219" s="51" t="e">
        <f>VLOOKUP(A219,Enforcements!$C$7:$E$9,3,0)</f>
        <v>#N/A</v>
      </c>
      <c r="AD219" s="178">
        <f t="shared" si="97"/>
        <v>310</v>
      </c>
      <c r="AE219" s="77" t="str">
        <f t="shared" si="98"/>
        <v>aws s3 cp s3://rtdc.mdm.uploadarchive.raw/RTDC4005/ "%USERPROFILE%\AppData\Local\Temp\OnboardLogs"\RTDC4005\2017-11-20 --exclude "*" --recursive --include "*20171120*" &amp; "%USERPROFILE%\Documents\GitHub\mrs-test-scripts\Headless Mode &amp; Sideloading\WalkAndUnGZ.bat" "%USERPROFILE%\AppData\Local\Temp\OnboardLogs"\RTDC4005\2017-11-20 &amp; aws s3 cp s3://rtdc.mdm.uploadarchive.raw/RTDC4005/ "%USERPROFILE%\AppData\Local\Temp\OnboardLogs"\RTDC4005\2017-11-21 --exclude "*" --recursive --include "*20171121*" &amp; "%USERPROFILE%\Documents\GitHub\mrs-test-scripts\Headless Mode &amp; Sideloading\WalkAndUnGZ.bat" "%USERPROFILE%\AppData\Local\Temp\OnboardLogs"\RTDC4005\2017-11-21</v>
      </c>
      <c r="AF219" s="74" t="str">
        <f t="shared" si="99"/>
        <v>"C:\Program Files (x86)\AstroGrep\AstroGrep.exe" /e /r /s /spath="%USERPROFILE%\AppData\Local\Temp\OnboardLogs" /stypes="app*4005*20171120*" /stext=" 12:.+((SYSTEM_STATE.+slice.+state.+changed )|(ment ac)|(multiple cpu faults)|(system.+state.+changed )|(\[timeout)|(PRM\|1\|D)|(kpr)|(kdp)|(train st.+moving)|(\|lc)|(penalty))"</v>
      </c>
      <c r="AG219" s="181" t="str">
        <f t="shared" si="100"/>
        <v>Other</v>
      </c>
      <c r="AH219" s="78" t="str">
        <f t="shared" si="109"/>
        <v>"%USERPROFILE%\Documents\GitHub\eaglep3\Utilities\RefineRTDCRunTimes.py" --tripid 310-20 --locoid 4005 --swversion DE.1.0.9.0 --startMP 300:23338 --initTime 2017-11-20T04:46:56 --startdatetime 2017-11-20T04:51:38 --delay 107 --endMP 204:229 --enddatetime 2017-11-20T05:04:49 --enforcementcount 0 &gt;&gt;%USERPROFILE%\Documents\GitHub\eaglep3-reporting\EC\2017-11-20-refined-times.txt</v>
      </c>
      <c r="AI219" s="96" t="str">
        <f t="shared" si="110"/>
        <v>echo {"issue":{"subject":"","project_id":79,"tracker_id":40,"status_id":1,"priority_id":2,"assigned_to_id":338,"start_date":"2017-11-20","description":"","custom_fields":[{"id":1,"name":"Subdivision","value":"Other"},{"id":4,"name":"Milepost","value":"0.0229"},{"id":17,"name":"Train ID","value":"310-20"},{"id":16,"name":"Locomotive ID","value":"4005"},{"id":130,"name":"Impact","value":""},{"id":150,"name":"Time of Event (Mountain Time)","value":"05:04:49"},{"id":151,"name":"Denver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1" t="str">
        <f t="shared" si="111"/>
        <v>start /low /b %USERPROFILE%\Documents\GitHub\eaglep3\Utilities\DownloadLogsFromS3.py --loco 4005 --day 2017-11-20</v>
      </c>
      <c r="AN219" s="150" t="str">
        <f t="shared" si="11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12:04:49"},{"id":29,"name":"Sharepoint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7" t="str">
        <f t="shared" si="113"/>
        <v>https://d0f6bd738d7f1b3e5a7ca70fe4ff75f0.us-east-1.aws.found.io/app/kibana#/discover/Steve-Slow-Train-Analysis-(2080s-and-2083s)?_g=(refreshInterval:(display:Off,pause:!f,section:0,value:0),time:(from:'2017-11-20T03:46:56-0700',mode:absolute,to:'2017-11-20T06:04:49-0700'))&amp;_a=(columns:!('Message%20ID',Summary),filters:!(),index:'emp_*',interval:auto,query:(query_string:(analyze_wildcard:!t,query:'%22rtdc.l.rtdc.4005%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884</v>
      </c>
      <c r="B220" s="7">
        <v>4028</v>
      </c>
      <c r="C220" s="21" t="s">
        <v>192</v>
      </c>
      <c r="D220" s="21" t="s">
        <v>499</v>
      </c>
      <c r="E220" s="13">
        <v>43060.090104166666</v>
      </c>
      <c r="F220" s="13">
        <v>43060.091736111113</v>
      </c>
      <c r="G220" s="7">
        <v>71</v>
      </c>
      <c r="H220" s="21" t="s">
        <v>1000</v>
      </c>
      <c r="I220" s="13">
        <v>43060.102314814816</v>
      </c>
      <c r="J220" s="7">
        <v>0</v>
      </c>
      <c r="K220" s="89" t="str">
        <f t="shared" si="92"/>
        <v>4027/4028</v>
      </c>
      <c r="L220" s="184" t="str">
        <f>VLOOKUP(A220,'Trips&amp;Operators'!$C$1:$G$99911,5,FALSE)</f>
        <v>HAMMOND JUSTYNN</v>
      </c>
      <c r="M220" s="6">
        <f t="shared" si="93"/>
        <v>1.0578703702776693E-2</v>
      </c>
      <c r="N220" s="7">
        <f t="shared" si="101"/>
        <v>15.233333331998438</v>
      </c>
      <c r="O220" s="7"/>
      <c r="P220" s="7"/>
      <c r="Q220" s="22"/>
      <c r="R220" s="173"/>
      <c r="S220" s="220">
        <f t="shared" si="102"/>
        <v>1</v>
      </c>
      <c r="T220" s="173" t="str">
        <f t="shared" si="94"/>
        <v>NorthBound</v>
      </c>
      <c r="U220" s="19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5" t="str">
        <f t="shared" si="95"/>
        <v>https://d0f6bd738d7f1b3e5a7ca70fe4ff75f0.us-east-1.aws.found.io/app/kibana#/discover/Steve-Slow-Train-Analysis-(2080s-and-2083s)?_g=(refreshInterval:(display:Off,pause:!f,section:0,value:0),time:(from:'2017-11-21T01:09:45-0700',mode:absolute,to:'2017-11-21T03:27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0" s="203" t="str">
        <f>IF(AA220&lt;VLOOKUP(AG220,Variables!$AC$3:$AD$8,2,FALSE),"Y","N")</f>
        <v>Y</v>
      </c>
      <c r="X220" s="203">
        <f t="shared" si="114"/>
        <v>1</v>
      </c>
      <c r="Y220" s="203">
        <f t="shared" si="90"/>
        <v>5.2600000000000001E-2</v>
      </c>
      <c r="Z220" s="203">
        <f t="shared" si="91"/>
        <v>2.3311999999999999</v>
      </c>
      <c r="AA220" s="203">
        <f t="shared" si="96"/>
        <v>2.2786</v>
      </c>
      <c r="AB220" s="54" t="e">
        <f>VLOOKUP(A220,Enforcements!$C$7:$K$9,8,0)</f>
        <v>#N/A</v>
      </c>
      <c r="AC220" s="51" t="e">
        <f>VLOOKUP(A220,Enforcements!$C$7:$E$9,3,0)</f>
        <v>#N/A</v>
      </c>
      <c r="AD220" s="178">
        <f t="shared" si="97"/>
        <v>311</v>
      </c>
      <c r="AE220" s="77" t="str">
        <f t="shared" si="98"/>
        <v>aws s3 cp s3://rtdc.mdm.uploadarchive.raw/RTDC4028/ "%USERPROFILE%\AppData\Local\Temp\OnboardLogs"\RTDC4028\2017-11-21 --exclude "*" --recursive --include "*20171121*" &amp; "%USERPROFILE%\Documents\GitHub\mrs-test-scripts\Headless Mode &amp; Sideloading\WalkAndUnGZ.bat" "%USERPROFILE%\AppData\Local\Temp\OnboardLogs"\RTDC4028\2017-11-21 &amp; aws s3 cp s3://rtdc.mdm.uploadarchive.raw/RTDC4028/ "%USERPROFILE%\AppData\Local\Temp\OnboardLogs"\RTDC4028\2017-11-22 --exclude "*" --recursive --include "*20171122*" &amp; "%USERPROFILE%\Documents\GitHub\mrs-test-scripts\Headless Mode &amp; Sideloading\WalkAndUnGZ.bat" "%USERPROFILE%\AppData\Local\Temp\OnboardLogs"\RTDC4028\2017-11-22</v>
      </c>
      <c r="AF220" s="74" t="str">
        <f t="shared" si="99"/>
        <v>"C:\Program Files (x86)\AstroGrep\AstroGrep.exe" /e /r /s /spath="%USERPROFILE%\AppData\Local\Temp\OnboardLogs" /stypes="app*4028*20171121*" /stext=" 09:.+((SYSTEM_STATE.+slice.+state.+changed )|(ment ac)|(multiple cpu faults)|(system.+state.+changed )|(\[timeout)|(PRM\|1\|D)|(kpr)|(kdp)|(train st.+moving)|(\|lc)|(penalty))"</v>
      </c>
      <c r="AG220" s="181" t="str">
        <f t="shared" si="100"/>
        <v>Other</v>
      </c>
      <c r="AH220" s="78" t="str">
        <f t="shared" si="109"/>
        <v>"%USERPROFILE%\Documents\GitHub\eaglep3\Utilities\RefineRTDCRunTimes.py" --tripid 311-20 --locoid 4028 --swversion DE.1.0.9.0 --startMP 204:526 --initTime 2017-11-21T02:09:45 --startdatetime 2017-11-21T02:12:06 --delay 71 --endMP 300:23312 --enddatetime 2017-11-21T02:27:20 --enforcementcount 0 &gt;&gt;%USERPROFILE%\Documents\GitHub\eaglep3-reporting\EC\2017-11-20-refined-times.txt</v>
      </c>
      <c r="AI220" s="96" t="str">
        <f t="shared" si="110"/>
        <v>echo {"issue":{"subject":"","project_id":79,"tracker_id":40,"status_id":1,"priority_id":2,"assigned_to_id":338,"start_date":"2017-11-21","description":"","custom_fields":[{"id":1,"name":"Subdivision","value":"Other"},{"id":4,"name":"Milepost","value":"2.3312"},{"id":17,"name":"Train ID","value":"311-20"},{"id":16,"name":"Locomotive ID","value":"4028"},{"id":130,"name":"Impact","value":""},{"id":150,"name":"Time of Event (Mountain Time)","value":"02:27:20"},{"id":151,"name":"Denver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1" t="str">
        <f t="shared" si="111"/>
        <v>start /low /b %USERPROFILE%\Documents\GitHub\eaglep3\Utilities\DownloadLogsFromS3.py --loco 4028 --day 2017-11-21</v>
      </c>
      <c r="AN220" s="150" t="str">
        <f t="shared" si="11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09:27:20"},{"id":29,"name":"Sharepoint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7" t="str">
        <f t="shared" si="113"/>
        <v>https://d0f6bd738d7f1b3e5a7ca70fe4ff75f0.us-east-1.aws.found.io/app/kibana#/discover/Steve-Slow-Train-Analysis-(2080s-and-2083s)?_g=(refreshInterval:(display:Off,pause:!f,section:0,value:0),time:(from:'2017-11-21T01:09:45-0700',mode:absolute,to:'2017-11-21T03:27:20-0700'))&amp;_a=(columns:!('Message%20ID',Summary),filters:!(),index:'emp_*',interval:auto,query:(query_string:(analyze_wildcard:!t,query:'%22rtdc.l.rtdc.4028%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703</v>
      </c>
      <c r="B221" s="7">
        <v>4001</v>
      </c>
      <c r="C221" s="21" t="s">
        <v>192</v>
      </c>
      <c r="D221" s="21" t="s">
        <v>1001</v>
      </c>
      <c r="E221" s="13">
        <v>43059.228414351855</v>
      </c>
      <c r="F221" s="13">
        <v>43059.231898148151</v>
      </c>
      <c r="G221" s="7">
        <v>59</v>
      </c>
      <c r="H221" s="21" t="s">
        <v>562</v>
      </c>
      <c r="I221" s="13">
        <v>43059.236712962964</v>
      </c>
      <c r="J221" s="7">
        <v>0</v>
      </c>
      <c r="K221" s="89" t="str">
        <f t="shared" si="92"/>
        <v>4001/4002</v>
      </c>
      <c r="L221" s="184" t="str">
        <f>VLOOKUP(A221,'Trips&amp;Operators'!$C$1:$G$99911,5,FALSE)</f>
        <v>LAMAR NEKESHA</v>
      </c>
      <c r="M221" s="6">
        <f t="shared" si="93"/>
        <v>4.8148148125619628E-3</v>
      </c>
      <c r="N221" s="7">
        <f t="shared" si="101"/>
        <v>6.9333333300892264</v>
      </c>
      <c r="O221" s="7"/>
      <c r="P221" s="7"/>
      <c r="Q221" s="22"/>
      <c r="R221" s="173"/>
      <c r="S221" s="220">
        <f t="shared" si="102"/>
        <v>1</v>
      </c>
      <c r="T221" s="173" t="str">
        <f t="shared" si="94"/>
        <v>Southbound</v>
      </c>
      <c r="U221" s="19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5" t="str">
        <f t="shared" si="95"/>
        <v>https://d0f6bd738d7f1b3e5a7ca70fe4ff75f0.us-east-1.aws.found.io/app/kibana#/discover/Steve-Slow-Train-Analysis-(2080s-and-2083s)?_g=(refreshInterval:(display:Off,pause:!f,section:0,value:0),time:(from:'2017-11-20T04:28:55-0700',mode:absolute,to:'2017-11-20T06:40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1" s="203" t="str">
        <f>IF(AA221&lt;VLOOKUP(AG221,Variables!$AC$3:$AD$8,2,FALSE),"Y","N")</f>
        <v>Y</v>
      </c>
      <c r="X221" s="203">
        <f t="shared" si="114"/>
        <v>1</v>
      </c>
      <c r="Y221" s="203">
        <f t="shared" si="90"/>
        <v>2.2376</v>
      </c>
      <c r="Z221" s="203">
        <f t="shared" si="91"/>
        <v>1.6500000000000001E-2</v>
      </c>
      <c r="AA221" s="203">
        <f t="shared" si="96"/>
        <v>2.2210999999999999</v>
      </c>
      <c r="AB221" s="54" t="e">
        <f>VLOOKUP(A221,Enforcements!$C$7:$K$9,8,0)</f>
        <v>#N/A</v>
      </c>
      <c r="AC221" s="51" t="e">
        <f>VLOOKUP(A221,Enforcements!$C$7:$E$9,3,0)</f>
        <v>#N/A</v>
      </c>
      <c r="AD221" s="178">
        <f t="shared" si="97"/>
        <v>312</v>
      </c>
      <c r="AE221" s="77" t="str">
        <f t="shared" si="98"/>
        <v>aws s3 cp s3://rtdc.mdm.uploadarchive.raw/RTDC4001/ "%USERPROFILE%\AppData\Local\Temp\OnboardLogs"\RTDC4001\2017-11-20 --exclude "*" --recursive --include "*20171120*" &amp; "%USERPROFILE%\Documents\GitHub\mrs-test-scripts\Headless Mode &amp; Sideloading\WalkAndUnGZ.bat" "%USERPROFILE%\AppData\Local\Temp\OnboardLogs"\RTDC4001\2017-11-20 &amp; aws s3 cp s3://rtdc.mdm.uploadarchive.raw/RTDC4001/ "%USERPROFILE%\AppData\Local\Temp\OnboardLogs"\RTDC4001\2017-11-21 --exclude "*" --recursive --include "*20171121*" &amp; "%USERPROFILE%\Documents\GitHub\mrs-test-scripts\Headless Mode &amp; Sideloading\WalkAndUnGZ.bat" "%USERPROFILE%\AppData\Local\Temp\OnboardLogs"\RTDC4001\2017-11-21</v>
      </c>
      <c r="AF221" s="74" t="str">
        <f t="shared" si="99"/>
        <v>"C:\Program Files (x86)\AstroGrep\AstroGrep.exe" /e /r /s /spath="%USERPROFILE%\AppData\Local\Temp\OnboardLogs" /stypes="app*4001*20171120*" /stext=" 12:.+((SYSTEM_STATE.+slice.+state.+changed )|(ment ac)|(multiple cpu faults)|(system.+state.+changed )|(\[timeout)|(PRM\|1\|D)|(kpr)|(kdp)|(train st.+moving)|(\|lc)|(penalty))"</v>
      </c>
      <c r="AG221" s="181" t="str">
        <f t="shared" si="100"/>
        <v>Other</v>
      </c>
      <c r="AH221" s="78" t="str">
        <f t="shared" si="109"/>
        <v>"%USERPROFILE%\Documents\GitHub\eaglep3\Utilities\RefineRTDCRunTimes.py" --tripid 312-20 --locoid 4001 --swversion DE.1.0.9.0 --startMP 300:22376 --initTime 2017-11-20T05:28:55 --startdatetime 2017-11-20T05:33:56 --delay 59 --endMP 204:165 --enddatetime 2017-11-20T05:40:52 --enforcementcount 0 &gt;&gt;%USERPROFILE%\Documents\GitHub\eaglep3-reporting\EC\2017-11-20-refined-times.txt</v>
      </c>
      <c r="AI221" s="96" t="str">
        <f t="shared" si="110"/>
        <v>echo {"issue":{"subject":"","project_id":79,"tracker_id":40,"status_id":1,"priority_id":2,"assigned_to_id":338,"start_date":"2017-11-20","description":"","custom_fields":[{"id":1,"name":"Subdivision","value":"Other"},{"id":4,"name":"Milepost","value":"0.0165"},{"id":17,"name":"Train ID","value":"312-20"},{"id":16,"name":"Locomotive ID","value":"4001"},{"id":130,"name":"Impact","value":""},{"id":150,"name":"Time of Event (Mountain Time)","value":"05:40:52"},{"id":151,"name":"Denver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1" t="str">
        <f t="shared" si="111"/>
        <v>start /low /b %USERPROFILE%\Documents\GitHub\eaglep3\Utilities\DownloadLogsFromS3.py --loco 4001 --day 2017-11-20</v>
      </c>
      <c r="AN221" s="150" t="str">
        <f t="shared" si="11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12:40:52"},{"id":29,"name":"Sharepoint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7" t="str">
        <f t="shared" si="113"/>
        <v>https://d0f6bd738d7f1b3e5a7ca70fe4ff75f0.us-east-1.aws.found.io/app/kibana#/discover/Steve-Slow-Train-Analysis-(2080s-and-2083s)?_g=(refreshInterval:(display:Off,pause:!f,section:0,value:0),time:(from:'2017-11-20T04:28:55-0700',mode:absolute,to:'2017-11-20T06:40:52-0700'))&amp;_a=(columns:!('Message%20ID',Summary),filters:!(),index:'emp_*',interval:auto,query:(query_string:(analyze_wildcard:!t,query:'%22rtdc.l.rtdc.4001%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879</v>
      </c>
      <c r="B222" s="7">
        <v>4026</v>
      </c>
      <c r="C222" s="21" t="s">
        <v>192</v>
      </c>
      <c r="D222" s="21" t="s">
        <v>638</v>
      </c>
      <c r="E222" s="13">
        <v>43060.025868055556</v>
      </c>
      <c r="F222" s="13">
        <v>43060.027245370373</v>
      </c>
      <c r="G222" s="7">
        <v>65</v>
      </c>
      <c r="H222" s="21" t="s">
        <v>569</v>
      </c>
      <c r="I222" s="13">
        <v>43060.03670138889</v>
      </c>
      <c r="J222" s="7">
        <v>0</v>
      </c>
      <c r="K222" s="89" t="str">
        <f t="shared" si="92"/>
        <v>4025/4026</v>
      </c>
      <c r="L222" s="184" t="str">
        <f>VLOOKUP(A222,'Trips&amp;Operators'!$C$1:$G$99911,5,FALSE)</f>
        <v>ELBAUM MIKE</v>
      </c>
      <c r="M222" s="6">
        <f t="shared" si="93"/>
        <v>9.4560185170848854E-3</v>
      </c>
      <c r="N222" s="7">
        <f t="shared" si="101"/>
        <v>13.616666664602235</v>
      </c>
      <c r="O222" s="7"/>
      <c r="P222" s="7"/>
      <c r="Q222" s="22"/>
      <c r="R222" s="173"/>
      <c r="S222" s="220">
        <f t="shared" si="102"/>
        <v>1</v>
      </c>
      <c r="T222" s="173" t="str">
        <f t="shared" si="94"/>
        <v>NorthBound</v>
      </c>
      <c r="U222" s="19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5" t="str">
        <f t="shared" si="95"/>
        <v>https://d0f6bd738d7f1b3e5a7ca70fe4ff75f0.us-east-1.aws.found.io/app/kibana#/discover/Steve-Slow-Train-Analysis-(2080s-and-2083s)?_g=(refreshInterval:(display:Off,pause:!f,section:0,value:0),time:(from:'2017-11-20T23:37:15-0700',mode:absolute,to:'2017-11-21T01:52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2" s="203" t="str">
        <f>IF(AA222&lt;VLOOKUP(AG222,Variables!$AC$3:$AD$8,2,FALSE),"Y","N")</f>
        <v>Y</v>
      </c>
      <c r="X222" s="203">
        <f t="shared" si="114"/>
        <v>1</v>
      </c>
      <c r="Y222" s="203">
        <f t="shared" si="90"/>
        <v>5.91E-2</v>
      </c>
      <c r="Z222" s="203">
        <f t="shared" si="91"/>
        <v>2.331</v>
      </c>
      <c r="AA222" s="203">
        <f t="shared" si="96"/>
        <v>2.2719</v>
      </c>
      <c r="AB222" s="54" t="e">
        <f>VLOOKUP(A222,Enforcements!$C$7:$K$9,8,0)</f>
        <v>#N/A</v>
      </c>
      <c r="AC222" s="51" t="e">
        <f>VLOOKUP(A222,Enforcements!$C$7:$E$9,3,0)</f>
        <v>#N/A</v>
      </c>
      <c r="AD222" s="178">
        <f t="shared" si="97"/>
        <v>313</v>
      </c>
      <c r="AE222" s="77" t="str">
        <f t="shared" si="98"/>
        <v>aws s3 cp s3://rtdc.mdm.uploadarchive.raw/RTDC4026/ "%USERPROFILE%\AppData\Local\Temp\OnboardLogs"\RTDC4026\2017-11-21 --exclude "*" --recursive --include "*20171121*" &amp; "%USERPROFILE%\Documents\GitHub\mrs-test-scripts\Headless Mode &amp; Sideloading\WalkAndUnGZ.bat" "%USERPROFILE%\AppData\Local\Temp\OnboardLogs"\RTDC4026\2017-11-21 &amp; aws s3 cp s3://rtdc.mdm.uploadarchive.raw/RTDC4026/ "%USERPROFILE%\AppData\Local\Temp\OnboardLogs"\RTDC4026\2017-11-22 --exclude "*" --recursive --include "*20171122*" &amp; "%USERPROFILE%\Documents\GitHub\mrs-test-scripts\Headless Mode &amp; Sideloading\WalkAndUnGZ.bat" "%USERPROFILE%\AppData\Local\Temp\OnboardLogs"\RTDC4026\2017-11-22</v>
      </c>
      <c r="AF222" s="74" t="str">
        <f t="shared" si="99"/>
        <v>"C:\Program Files (x86)\AstroGrep\AstroGrep.exe" /e /r /s /spath="%USERPROFILE%\AppData\Local\Temp\OnboardLogs" /stypes="app*4026*20171121*" /stext=" 07:.+((SYSTEM_STATE.+slice.+state.+changed )|(ment ac)|(multiple cpu faults)|(system.+state.+changed )|(\[timeout)|(PRM\|1\|D)|(kpr)|(kdp)|(train st.+moving)|(\|lc)|(penalty))"</v>
      </c>
      <c r="AG222" s="181" t="str">
        <f t="shared" si="100"/>
        <v>Other</v>
      </c>
      <c r="AH222" s="78" t="str">
        <f t="shared" si="109"/>
        <v>"%USERPROFILE%\Documents\GitHub\eaglep3\Utilities\RefineRTDCRunTimes.py" --tripid 313-20 --locoid 4026 --swversion DE.1.0.9.0 --startMP 204:591 --initTime 2017-11-21T00:37:15 --startdatetime 2017-11-21T00:39:14 --delay 65 --endMP 300:23310 --enddatetime 2017-11-21T00:52:51 --enforcementcount 0 &gt;&gt;%USERPROFILE%\Documents\GitHub\eaglep3-reporting\EC\2017-11-20-refined-times.txt</v>
      </c>
      <c r="AI222" s="96" t="str">
        <f t="shared" si="110"/>
        <v>echo {"issue":{"subject":"","project_id":79,"tracker_id":40,"status_id":1,"priority_id":2,"assigned_to_id":338,"start_date":"2017-11-21","description":"","custom_fields":[{"id":1,"name":"Subdivision","value":"Other"},{"id":4,"name":"Milepost","value":"2.331"},{"id":17,"name":"Train ID","value":"313-20"},{"id":16,"name":"Locomotive ID","value":"4026"},{"id":130,"name":"Impact","value":""},{"id":150,"name":"Time of Event (Mountain Time)","value":"00:52:51"},{"id":151,"name":"Denver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1" t="str">
        <f t="shared" si="111"/>
        <v>start /low /b %USERPROFILE%\Documents\GitHub\eaglep3\Utilities\DownloadLogsFromS3.py --loco 4026 --day 2017-11-21</v>
      </c>
      <c r="AN222" s="150" t="str">
        <f t="shared" si="11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07:52:51"},{"id":29,"name":"Sharepoint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7" t="str">
        <f t="shared" si="113"/>
        <v>https://d0f6bd738d7f1b3e5a7ca70fe4ff75f0.us-east-1.aws.found.io/app/kibana#/discover/Steve-Slow-Train-Analysis-(2080s-and-2083s)?_g=(refreshInterval:(display:Off,pause:!f,section:0,value:0),time:(from:'2017-11-20T23:37:15-0700',mode:absolute,to:'2017-11-21T01:52:51-0700'))&amp;_a=(columns:!('Message%20ID',Summary),filters:!(),index:'emp_*',interval:auto,query:(query_string:(analyze_wildcard:!t,query:'%22rtdc.l.rtdc.4026%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696</v>
      </c>
      <c r="B223" s="7">
        <v>4062</v>
      </c>
      <c r="C223" s="21" t="s">
        <v>192</v>
      </c>
      <c r="D223" s="21" t="s">
        <v>1084</v>
      </c>
      <c r="E223" s="13">
        <v>43059.202453703707</v>
      </c>
      <c r="F223" s="13">
        <v>43059.205717592595</v>
      </c>
      <c r="G223" s="7">
        <v>84</v>
      </c>
      <c r="H223" s="21" t="s">
        <v>1085</v>
      </c>
      <c r="I223" s="13">
        <v>43059.21130787037</v>
      </c>
      <c r="J223" s="7">
        <v>0</v>
      </c>
      <c r="K223" s="89" t="str">
        <f t="shared" si="92"/>
        <v>4061/4062</v>
      </c>
      <c r="L223" s="184" t="str">
        <f>VLOOKUP(A223,'Trips&amp;Operators'!$C$1:$G$99911,5,FALSE)</f>
        <v>MACDONALD THOMAS</v>
      </c>
      <c r="M223" s="6">
        <f t="shared" si="93"/>
        <v>5.5902777748997323E-3</v>
      </c>
      <c r="N223" s="7">
        <f t="shared" si="101"/>
        <v>8.0499999958556145</v>
      </c>
      <c r="O223" s="7"/>
      <c r="P223" s="7"/>
      <c r="Q223" s="22"/>
      <c r="R223" s="173"/>
      <c r="S223" s="220">
        <f t="shared" si="102"/>
        <v>0</v>
      </c>
      <c r="T223" s="173" t="str">
        <f t="shared" si="94"/>
        <v>NorthBound</v>
      </c>
      <c r="U223" s="19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15" t="str">
        <f t="shared" si="95"/>
        <v>https://d0f6bd738d7f1b3e5a7ca70fe4ff75f0.us-east-1.aws.found.io/app/kibana#/discover/Steve-Slow-Train-Analysis-(2080s-and-2083s)?_g=(refreshInterval:(display:Off,pause:!f,section:0,value:0),time:(from:'2017-11-20T03:51:32-0700',mode:absolute,to:'2017-11-20T06:04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3" s="203" t="str">
        <f>IF(AA223&lt;VLOOKUP(AG223,Variables!$AC$3:$AD$8,2,FALSE),"Y","N")</f>
        <v>Y</v>
      </c>
      <c r="X223" s="203">
        <f t="shared" si="114"/>
        <v>588</v>
      </c>
      <c r="Y223" s="203">
        <f t="shared" si="90"/>
        <v>2.9902000000000002</v>
      </c>
      <c r="Z223" s="203">
        <f t="shared" si="91"/>
        <v>5.8914</v>
      </c>
      <c r="AA223" s="203">
        <f t="shared" si="96"/>
        <v>2.9011999999999998</v>
      </c>
      <c r="AB223" s="54" t="e">
        <f>VLOOKUP(A223,Enforcements!$C$7:$K$9,8,0)</f>
        <v>#N/A</v>
      </c>
      <c r="AC223" s="51" t="e">
        <f>VLOOKUP(A223,Enforcements!$C$7:$E$9,3,0)</f>
        <v>#N/A</v>
      </c>
      <c r="AD223" s="178">
        <f t="shared" si="97"/>
        <v>901</v>
      </c>
      <c r="AE223" s="77" t="str">
        <f t="shared" si="98"/>
        <v>aws s3 cp s3://rtdc.mdm.uploadarchive.raw/RTDC4062/ "%USERPROFILE%\AppData\Local\Temp\OnboardLogs"\RTDC4062\2017-11-20 --exclude "*" --recursive --include "*20171120*" &amp; "%USERPROFILE%\Documents\GitHub\mrs-test-scripts\Headless Mode &amp; Sideloading\WalkAndUnGZ.bat" "%USERPROFILE%\AppData\Local\Temp\OnboardLogs"\RTDC4062\2017-11-20 &amp; aws s3 cp s3://rtdc.mdm.uploadarchive.raw/RTDC4062/ "%USERPROFILE%\AppData\Local\Temp\OnboardLogs"\RTDC4062\2017-11-21 --exclude "*" --recursive --include "*20171121*" &amp; "%USERPROFILE%\Documents\GitHub\mrs-test-scripts\Headless Mode &amp; Sideloading\WalkAndUnGZ.bat" "%USERPROFILE%\AppData\Local\Temp\OnboardLogs"\RTDC4062\2017-11-21</v>
      </c>
      <c r="AF223" s="74" t="str">
        <f t="shared" si="99"/>
        <v>"C:\Program Files (x86)\AstroGrep\AstroGrep.exe" /e /r /s /spath="%USERPROFILE%\AppData\Local\Temp\OnboardLogs" /stypes="app*4062*20171120*" /stext=" 12:.+((SYSTEM_STATE.+slice.+state.+changed )|(ment ac)|(multiple cpu faults)|(system.+state.+changed )|(\[timeout)|(PRM\|1\|D)|(kpr)|(kdp)|(train st.+moving)|(\|lc)|(penalty))"</v>
      </c>
      <c r="AG223" s="181" t="str">
        <f t="shared" si="100"/>
        <v>Other</v>
      </c>
      <c r="AH223" s="78" t="str">
        <f t="shared" si="109"/>
        <v>"%USERPROFILE%\Documents\GitHub\eaglep3\Utilities\RefineRTDCRunTimes.py" --tripid 901-20 --locoid 4062 --swversion DE.1.0.9.0 --startMP 300:29902 --initTime 2017-11-20T04:51:32 --startdatetime 2017-11-20T04:56:14 --delay 84 --endMP 300:58914 --enddatetime 2017-11-20T05:04:17 --enforcementcount 0 &gt;&gt;%USERPROFILE%\Documents\GitHub\eaglep3-reporting\EC\2017-11-20-refined-times.txt</v>
      </c>
      <c r="AI223" s="96" t="str">
        <f t="shared" si="110"/>
        <v>echo {"issue":{"subject":"","project_id":79,"tracker_id":40,"status_id":1,"priority_id":2,"assigned_to_id":338,"start_date":"2017-11-20","description":"","custom_fields":[{"id":1,"name":"Subdivision","value":"Other"},{"id":4,"name":"Milepost","value":"5.8914"},{"id":17,"name":"Train ID","value":"901-20"},{"id":16,"name":"Locomotive ID","value":"4062"},{"id":130,"name":"Impact","value":""},{"id":150,"name":"Time of Event (Mountain Time)","value":"05:04:17"},{"id":151,"name":"Denver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1" t="str">
        <f t="shared" si="111"/>
        <v>start /low /b %USERPROFILE%\Documents\GitHub\eaglep3\Utilities\DownloadLogsFromS3.py --loco 4062 --day 2017-11-20</v>
      </c>
      <c r="AN223" s="150" t="str">
        <f t="shared" si="11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12:04:17"},{"id":29,"name":"Sharepoint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7" t="str">
        <f t="shared" si="113"/>
        <v>https://d0f6bd738d7f1b3e5a7ca70fe4ff75f0.us-east-1.aws.found.io/app/kibana#/discover/Steve-Slow-Train-Analysis-(2080s-and-2083s)?_g=(refreshInterval:(display:Off,pause:!f,section:0,value:0),time:(from:'2017-11-20T03:51:32-0700',mode:absolute,to:'2017-11-20T06:04:17-0700'))&amp;_a=(columns:!('Message%20ID',Summary),filters:!(),index:'emp_*',interval:auto,query:(query_string:(analyze_wildcard:!t,query:'%22rtdc.l.rtdc.4062%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705</v>
      </c>
      <c r="B224" s="7">
        <v>4013</v>
      </c>
      <c r="C224" s="21" t="s">
        <v>192</v>
      </c>
      <c r="D224" s="21" t="s">
        <v>1086</v>
      </c>
      <c r="E224" s="13">
        <v>43059.232881944445</v>
      </c>
      <c r="F224" s="13">
        <v>43059.234571759262</v>
      </c>
      <c r="G224" s="7">
        <v>59</v>
      </c>
      <c r="H224" s="21" t="s">
        <v>1087</v>
      </c>
      <c r="I224" s="13">
        <v>43059.239699074074</v>
      </c>
      <c r="J224" s="7">
        <v>0</v>
      </c>
      <c r="K224" s="89" t="str">
        <f t="shared" si="92"/>
        <v>4013/4014</v>
      </c>
      <c r="L224" s="184" t="str">
        <f>VLOOKUP(A224,'Trips&amp;Operators'!$C$1:$G$99911,5,FALSE)</f>
        <v>YANAI IAN</v>
      </c>
      <c r="M224" s="6">
        <f t="shared" si="93"/>
        <v>5.1273148128530011E-3</v>
      </c>
      <c r="N224" s="7">
        <f t="shared" si="101"/>
        <v>7.3833333305083215</v>
      </c>
      <c r="O224" s="7"/>
      <c r="P224" s="7"/>
      <c r="Q224" s="22"/>
      <c r="R224" s="173"/>
      <c r="S224" s="220">
        <f t="shared" si="102"/>
        <v>1</v>
      </c>
      <c r="T224" s="173" t="str">
        <f t="shared" si="94"/>
        <v>Southbound</v>
      </c>
      <c r="U224" s="19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5" t="str">
        <f t="shared" si="95"/>
        <v>https://d0f6bd738d7f1b3e5a7ca70fe4ff75f0.us-east-1.aws.found.io/app/kibana#/discover/Steve-Slow-Train-Analysis-(2080s-and-2083s)?_g=(refreshInterval:(display:Off,pause:!f,section:0,value:0),time:(from:'2017-11-20T04:35:21-0700',mode:absolute,to:'2017-11-20T06:45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4" s="203" t="str">
        <f>IF(AA224&lt;VLOOKUP(AG224,Variables!$AC$3:$AD$8,2,FALSE),"Y","N")</f>
        <v>Y</v>
      </c>
      <c r="X224" s="203">
        <f t="shared" si="114"/>
        <v>1</v>
      </c>
      <c r="Y224" s="203">
        <f t="shared" si="90"/>
        <v>2.3780999999999999</v>
      </c>
      <c r="Z224" s="203">
        <f t="shared" si="91"/>
        <v>8.0799999999999997E-2</v>
      </c>
      <c r="AA224" s="203">
        <f t="shared" si="96"/>
        <v>2.2972999999999999</v>
      </c>
      <c r="AB224" s="54" t="e">
        <f>VLOOKUP(A224,Enforcements!$C$7:$K$9,8,0)</f>
        <v>#N/A</v>
      </c>
      <c r="AC224" s="51" t="e">
        <f>VLOOKUP(A224,Enforcements!$C$7:$E$9,3,0)</f>
        <v>#N/A</v>
      </c>
      <c r="AD224" s="178">
        <f t="shared" si="97"/>
        <v>902</v>
      </c>
      <c r="AE224" s="77" t="str">
        <f t="shared" si="98"/>
        <v>aws s3 cp s3://rtdc.mdm.uploadarchive.raw/RTDC4013/ "%USERPROFILE%\AppData\Local\Temp\OnboardLogs"\RTDC4013\2017-11-20 --exclude "*" --recursive --include "*20171120*" &amp; "%USERPROFILE%\Documents\GitHub\mrs-test-scripts\Headless Mode &amp; Sideloading\WalkAndUnGZ.bat" "%USERPROFILE%\AppData\Local\Temp\OnboardLogs"\RTDC4013\2017-11-20 &amp; 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</v>
      </c>
      <c r="AF224" s="74" t="str">
        <f t="shared" si="99"/>
        <v>"C:\Program Files (x86)\AstroGrep\AstroGrep.exe" /e /r /s /spath="%USERPROFILE%\AppData\Local\Temp\OnboardLogs" /stypes="app*4013*20171120*" /stext=" 12:.+((SYSTEM_STATE.+slice.+state.+changed )|(ment ac)|(multiple cpu faults)|(system.+state.+changed )|(\[timeout)|(PRM\|1\|D)|(kpr)|(kdp)|(train st.+moving)|(\|lc)|(penalty))"</v>
      </c>
      <c r="AG224" s="181" t="str">
        <f t="shared" si="100"/>
        <v>Other</v>
      </c>
      <c r="AH224" s="78" t="str">
        <f t="shared" si="109"/>
        <v>"%USERPROFILE%\Documents\GitHub\eaglep3\Utilities\RefineRTDCRunTimes.py" --tripid 902-20 --locoid 4013 --swversion DE.1.0.9.0 --startMP 300:23781 --initTime 2017-11-20T05:35:21 --startdatetime 2017-11-20T05:37:47 --delay 59 --endMP 204:808 --enddatetime 2017-11-20T05:45:10 --enforcementcount 0 &gt;&gt;%USERPROFILE%\Documents\GitHub\eaglep3-reporting\EC\2017-11-20-refined-times.txt</v>
      </c>
      <c r="AI224" s="96" t="str">
        <f t="shared" si="110"/>
        <v>echo {"issue":{"subject":"","project_id":79,"tracker_id":40,"status_id":1,"priority_id":2,"assigned_to_id":338,"start_date":"2017-11-20","description":"","custom_fields":[{"id":1,"name":"Subdivision","value":"Other"},{"id":4,"name":"Milepost","value":"0.0808"},{"id":17,"name":"Train ID","value":"902-20"},{"id":16,"name":"Locomotive ID","value":"4013"},{"id":130,"name":"Impact","value":""},{"id":150,"name":"Time of Event (Mountain Time)","value":"05:45:10"},{"id":151,"name":"Denver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1" t="str">
        <f t="shared" si="111"/>
        <v>start /low /b %USERPROFILE%\Documents\GitHub\eaglep3\Utilities\DownloadLogsFromS3.py --loco 4013 --day 2017-11-20</v>
      </c>
      <c r="AN224" s="150" t="str">
        <f t="shared" si="11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12:45:10"},{"id":29,"name":"Sharepoint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7" t="str">
        <f t="shared" si="113"/>
        <v>https://d0f6bd738d7f1b3e5a7ca70fe4ff75f0.us-east-1.aws.found.io/app/kibana#/discover/Steve-Slow-Train-Analysis-(2080s-and-2083s)?_g=(refreshInterval:(display:Off,pause:!f,section:0,value:0),time:(from:'2017-11-20T04:35:21-0700',mode:absolute,to:'2017-11-20T06:45:10-0700'))&amp;_a=(columns:!('Message%20ID',Summary),filters:!(),index:'emp_*',interval:auto,query:(query_string:(analyze_wildcard:!t,query:'%22rtdc.l.rtdc.4013%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32" t="s">
        <v>737</v>
      </c>
      <c r="B225" s="7">
        <v>4062</v>
      </c>
      <c r="C225" s="21" t="s">
        <v>192</v>
      </c>
      <c r="D225" s="21" t="s">
        <v>1088</v>
      </c>
      <c r="E225" s="13">
        <v>43059.352800925924</v>
      </c>
      <c r="F225" s="13">
        <v>43059.354398148149</v>
      </c>
      <c r="G225" s="7">
        <v>95</v>
      </c>
      <c r="H225" s="21" t="s">
        <v>1089</v>
      </c>
      <c r="I225" s="13">
        <v>43059.361435185187</v>
      </c>
      <c r="J225" s="7">
        <v>0</v>
      </c>
      <c r="K225" s="89" t="str">
        <f t="shared" si="92"/>
        <v>4061/4062</v>
      </c>
      <c r="L225" s="184" t="str">
        <f>VLOOKUP(A225,'Trips&amp;Operators'!$C$1:$G$99911,5,FALSE)</f>
        <v>MACDONALD THOMAS</v>
      </c>
      <c r="M225" s="6">
        <f t="shared" si="93"/>
        <v>7.0370370376622304E-3</v>
      </c>
      <c r="N225" s="7">
        <f t="shared" si="101"/>
        <v>10.133333334233612</v>
      </c>
      <c r="O225" s="7"/>
      <c r="P225" s="7"/>
      <c r="Q225" s="22"/>
      <c r="R225" s="173"/>
      <c r="S225" s="220">
        <f t="shared" si="102"/>
        <v>1</v>
      </c>
      <c r="T225" s="173" t="str">
        <f t="shared" si="94"/>
        <v>NorthBound</v>
      </c>
      <c r="U225" s="19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5" t="str">
        <f t="shared" si="95"/>
        <v>https://d0f6bd738d7f1b3e5a7ca70fe4ff75f0.us-east-1.aws.found.io/app/kibana#/discover/Steve-Slow-Train-Analysis-(2080s-and-2083s)?_g=(refreshInterval:(display:Off,pause:!f,section:0,value:0),time:(from:'2017-11-20T07:28:02-0700',mode:absolute,to:'2017-11-20T09:40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5" s="203" t="str">
        <f>IF(AA225&lt;VLOOKUP(AG225,Variables!$AC$3:$AD$8,2,FALSE),"Y","N")</f>
        <v>Y</v>
      </c>
      <c r="X225" s="203">
        <f t="shared" si="114"/>
        <v>1</v>
      </c>
      <c r="Y225" s="203">
        <f t="shared" ref="Y225:Y237" si="115">RIGHT(D225,LEN(D225)-4)/10000</f>
        <v>0.1104</v>
      </c>
      <c r="Z225" s="203">
        <f t="shared" ref="Z225:Z237" si="116">RIGHT(H225,LEN(H225)-4)/10000</f>
        <v>2.4237000000000002</v>
      </c>
      <c r="AA225" s="203">
        <f t="shared" si="96"/>
        <v>2.3133000000000004</v>
      </c>
      <c r="AB225" s="54" t="e">
        <f>VLOOKUP(A225,Enforcements!$C$7:$K$9,8,0)</f>
        <v>#N/A</v>
      </c>
      <c r="AC225" s="51" t="e">
        <f>VLOOKUP(A225,Enforcements!$C$7:$E$9,3,0)</f>
        <v>#N/A</v>
      </c>
      <c r="AD225" s="178">
        <f t="shared" si="97"/>
        <v>903</v>
      </c>
      <c r="AE225" s="77" t="str">
        <f t="shared" si="98"/>
        <v>aws s3 cp s3://rtdc.mdm.uploadarchive.raw/RTDC4062/ "%USERPROFILE%\AppData\Local\Temp\OnboardLogs"\RTDC4062\2017-11-20 --exclude "*" --recursive --include "*20171120*" &amp; "%USERPROFILE%\Documents\GitHub\mrs-test-scripts\Headless Mode &amp; Sideloading\WalkAndUnGZ.bat" "%USERPROFILE%\AppData\Local\Temp\OnboardLogs"\RTDC4062\2017-11-20 &amp; aws s3 cp s3://rtdc.mdm.uploadarchive.raw/RTDC4062/ "%USERPROFILE%\AppData\Local\Temp\OnboardLogs"\RTDC4062\2017-11-21 --exclude "*" --recursive --include "*20171121*" &amp; "%USERPROFILE%\Documents\GitHub\mrs-test-scripts\Headless Mode &amp; Sideloading\WalkAndUnGZ.bat" "%USERPROFILE%\AppData\Local\Temp\OnboardLogs"\RTDC4062\2017-11-21</v>
      </c>
      <c r="AF225" s="74" t="str">
        <f t="shared" si="99"/>
        <v>"C:\Program Files (x86)\AstroGrep\AstroGrep.exe" /e /r /s /spath="%USERPROFILE%\AppData\Local\Temp\OnboardLogs" /stypes="app*4062*20171120*" /stext=" 15:.+((SYSTEM_STATE.+slice.+state.+changed )|(ment ac)|(multiple cpu faults)|(system.+state.+changed )|(\[timeout)|(PRM\|1\|D)|(kpr)|(kdp)|(train st.+moving)|(\|lc)|(penalty))"</v>
      </c>
      <c r="AG225" s="181" t="str">
        <f t="shared" si="100"/>
        <v>Other</v>
      </c>
      <c r="AH225" s="78" t="str">
        <f t="shared" si="109"/>
        <v>"%USERPROFILE%\Documents\GitHub\eaglep3\Utilities\RefineRTDCRunTimes.py" --tripid 903-20 --locoid 4062 --swversion DE.1.0.9.0 --startMP 204:1104 --initTime 2017-11-20T08:28:02 --startdatetime 2017-11-20T08:30:20 --delay 95 --endMP 300:24237 --enddatetime 2017-11-20T08:40:28 --enforcementcount 0 &gt;&gt;%USERPROFILE%\Documents\GitHub\eaglep3-reporting\EC\2017-11-20-refined-times.txt</v>
      </c>
      <c r="AI225" s="96" t="str">
        <f t="shared" si="110"/>
        <v>echo {"issue":{"subject":"","project_id":79,"tracker_id":40,"status_id":1,"priority_id":2,"assigned_to_id":338,"start_date":"2017-11-20","description":"","custom_fields":[{"id":1,"name":"Subdivision","value":"Other"},{"id":4,"name":"Milepost","value":"2.4237"},{"id":17,"name":"Train ID","value":"903-20"},{"id":16,"name":"Locomotive ID","value":"4062"},{"id":130,"name":"Impact","value":""},{"id":150,"name":"Time of Event (Mountain Time)","value":"08:40:28"},{"id":151,"name":"Denver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1" t="str">
        <f t="shared" si="111"/>
        <v>start /low /b %USERPROFILE%\Documents\GitHub\eaglep3\Utilities\DownloadLogsFromS3.py --loco 4062 --day 2017-11-20</v>
      </c>
      <c r="AN225" s="150" t="str">
        <f t="shared" si="11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15:40:28"},{"id":29,"name":"Sharepoint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7" t="str">
        <f t="shared" si="113"/>
        <v>https://d0f6bd738d7f1b3e5a7ca70fe4ff75f0.us-east-1.aws.found.io/app/kibana#/discover/Steve-Slow-Train-Analysis-(2080s-and-2083s)?_g=(refreshInterval:(display:Off,pause:!f,section:0,value:0),time:(from:'2017-11-20T07:28:02-0700',mode:absolute,to:'2017-11-20T09:40:28-0700'))&amp;_a=(columns:!('Message%20ID',Summary),filters:!(),index:'emp_*',interval:auto,query:(query_string:(analyze_wildcard:!t,query:'%22rtdc.l.rtdc.4062%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32" t="s">
        <v>801</v>
      </c>
      <c r="B226" s="7">
        <v>4061</v>
      </c>
      <c r="C226" s="21" t="s">
        <v>192</v>
      </c>
      <c r="D226" s="21" t="s">
        <v>1090</v>
      </c>
      <c r="E226" s="13">
        <v>43059.63795138889</v>
      </c>
      <c r="F226" s="13">
        <v>43059.640509259261</v>
      </c>
      <c r="G226" s="7">
        <v>110</v>
      </c>
      <c r="H226" s="21" t="s">
        <v>1091</v>
      </c>
      <c r="I226" s="13">
        <v>43059.645324074074</v>
      </c>
      <c r="J226" s="7">
        <v>0</v>
      </c>
      <c r="K226" s="89" t="str">
        <f t="shared" si="92"/>
        <v>4061/4062</v>
      </c>
      <c r="L226" s="184" t="str">
        <f>VLOOKUP(A226,'Trips&amp;Operators'!$C$1:$G$99911,5,FALSE)</f>
        <v>STAMBAUGH JAMES</v>
      </c>
      <c r="M226" s="6">
        <f t="shared" si="93"/>
        <v>4.8148148125619628E-3</v>
      </c>
      <c r="N226" s="7">
        <f t="shared" si="101"/>
        <v>6.9333333300892264</v>
      </c>
      <c r="O226" s="7"/>
      <c r="P226" s="7"/>
      <c r="Q226" s="22"/>
      <c r="R226" s="173"/>
      <c r="S226" s="220">
        <f t="shared" si="102"/>
        <v>1</v>
      </c>
      <c r="T226" s="173" t="str">
        <f t="shared" si="94"/>
        <v>Southbound</v>
      </c>
      <c r="U226" s="19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15" t="str">
        <f t="shared" si="95"/>
        <v>https://d0f6bd738d7f1b3e5a7ca70fe4ff75f0.us-east-1.aws.found.io/app/kibana#/discover/Steve-Slow-Train-Analysis-(2080s-and-2083s)?_g=(refreshInterval:(display:Off,pause:!f,section:0,value:0),time:(from:'2017-11-20T14:18:39-0700',mode:absolute,to:'2017-11-20T16:29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6" s="203" t="str">
        <f>IF(AA226&lt;VLOOKUP(AG226,Variables!$AC$3:$AD$8,2,FALSE),"Y","N")</f>
        <v>Y</v>
      </c>
      <c r="X226" s="203">
        <f t="shared" si="114"/>
        <v>1</v>
      </c>
      <c r="Y226" s="203">
        <f t="shared" si="115"/>
        <v>2.3761999999999999</v>
      </c>
      <c r="Z226" s="203">
        <f t="shared" si="116"/>
        <v>7.0999999999999994E-2</v>
      </c>
      <c r="AA226" s="203">
        <f t="shared" si="96"/>
        <v>2.3051999999999997</v>
      </c>
      <c r="AB226" s="54" t="e">
        <f>VLOOKUP(A226,Enforcements!$C$7:$K$9,8,0)</f>
        <v>#N/A</v>
      </c>
      <c r="AC226" s="51" t="e">
        <f>VLOOKUP(A226,Enforcements!$C$7:$E$9,3,0)</f>
        <v>#N/A</v>
      </c>
      <c r="AD226" s="178">
        <f t="shared" si="97"/>
        <v>904</v>
      </c>
      <c r="AE226" s="77" t="str">
        <f t="shared" si="98"/>
        <v>aws s3 cp s3://rtdc.mdm.uploadarchive.raw/RTDC4061/ "%USERPROFILE%\AppData\Local\Temp\OnboardLogs"\RTDC4061\2017-11-20 --exclude "*" --recursive --include "*20171120*" &amp; "%USERPROFILE%\Documents\GitHub\mrs-test-scripts\Headless Mode &amp; Sideloading\WalkAndUnGZ.bat" "%USERPROFILE%\AppData\Local\Temp\OnboardLogs"\RTDC4061\2017-11-20 &amp; aws s3 cp s3://rtdc.mdm.uploadarchive.raw/RTDC4061/ "%USERPROFILE%\AppData\Local\Temp\OnboardLogs"\RTDC4061\2017-11-21 --exclude "*" --recursive --include "*20171121*" &amp; "%USERPROFILE%\Documents\GitHub\mrs-test-scripts\Headless Mode &amp; Sideloading\WalkAndUnGZ.bat" "%USERPROFILE%\AppData\Local\Temp\OnboardLogs"\RTDC4061\2017-11-21</v>
      </c>
      <c r="AF226" s="74" t="str">
        <f t="shared" si="99"/>
        <v>"C:\Program Files (x86)\AstroGrep\AstroGrep.exe" /e /r /s /spath="%USERPROFILE%\AppData\Local\Temp\OnboardLogs" /stypes="app*4061*20171120*" /stext=" 22:.+((SYSTEM_STATE.+slice.+state.+changed )|(ment ac)|(multiple cpu faults)|(system.+state.+changed )|(\[timeout)|(PRM\|1\|D)|(kpr)|(kdp)|(train st.+moving)|(\|lc)|(penalty))"</v>
      </c>
      <c r="AG226" s="181" t="str">
        <f t="shared" si="100"/>
        <v>Other</v>
      </c>
      <c r="AH226" s="78" t="str">
        <f t="shared" si="109"/>
        <v>"%USERPROFILE%\Documents\GitHub\eaglep3\Utilities\RefineRTDCRunTimes.py" --tripid 904-20 --locoid 4061 --swversion DE.1.0.9.0 --startMP 300:23762 --initTime 2017-11-20T15:18:39 --startdatetime 2017-11-20T15:22:20 --delay 110 --endMP 204:710 --enddatetime 2017-11-20T15:29:16 --enforcementcount 0 &gt;&gt;%USERPROFILE%\Documents\GitHub\eaglep3-reporting\EC\2017-11-20-refined-times.txt</v>
      </c>
      <c r="AI226" s="96" t="str">
        <f t="shared" si="110"/>
        <v>echo {"issue":{"subject":"","project_id":79,"tracker_id":40,"status_id":1,"priority_id":2,"assigned_to_id":338,"start_date":"2017-11-20","description":"","custom_fields":[{"id":1,"name":"Subdivision","value":"Other"},{"id":4,"name":"Milepost","value":"0.071"},{"id":17,"name":"Train ID","value":"904-20"},{"id":16,"name":"Locomotive ID","value":"4061"},{"id":130,"name":"Impact","value":""},{"id":150,"name":"Time of Event (Mountain Time)","value":"15:29:16"},{"id":151,"name":"Denver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1" t="str">
        <f t="shared" si="111"/>
        <v>start /low /b %USERPROFILE%\Documents\GitHub\eaglep3\Utilities\DownloadLogsFromS3.py --loco 4061 --day 2017-11-20</v>
      </c>
      <c r="AN226" s="150" t="str">
        <f t="shared" si="11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22:29:16"},{"id":29,"name":"Sharepoint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7" t="str">
        <f t="shared" si="113"/>
        <v>https://d0f6bd738d7f1b3e5a7ca70fe4ff75f0.us-east-1.aws.found.io/app/kibana#/discover/Steve-Slow-Train-Analysis-(2080s-and-2083s)?_g=(refreshInterval:(display:Off,pause:!f,section:0,value:0),time:(from:'2017-11-20T14:18:39-0700',mode:absolute,to:'2017-11-20T16:29:16-0700'))&amp;_a=(columns:!('Message%20ID',Summary),filters:!(),index:'emp_*',interval:auto,query:(query_string:(analyze_wildcard:!t,query:'%22rtdc.l.rtdc.4061%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32" t="s">
        <v>848</v>
      </c>
      <c r="B227" s="7">
        <v>4061</v>
      </c>
      <c r="C227" s="21" t="s">
        <v>192</v>
      </c>
      <c r="D227" s="21" t="s">
        <v>1061</v>
      </c>
      <c r="E227" s="13">
        <v>43059.787800925929</v>
      </c>
      <c r="F227" s="13">
        <v>43059.788923611108</v>
      </c>
      <c r="G227" s="7">
        <v>56</v>
      </c>
      <c r="H227" s="21" t="s">
        <v>1092</v>
      </c>
      <c r="I227" s="13">
        <v>43059.796666666669</v>
      </c>
      <c r="J227" s="7">
        <v>0</v>
      </c>
      <c r="K227" s="89" t="str">
        <f t="shared" si="92"/>
        <v>4061/4062</v>
      </c>
      <c r="L227" s="184" t="str">
        <f>VLOOKUP(A227,'Trips&amp;Operators'!$C$1:$G$99911,5,FALSE)</f>
        <v>STAMBAUGH JAMES</v>
      </c>
      <c r="M227" s="6">
        <f t="shared" si="93"/>
        <v>7.7430555611499585E-3</v>
      </c>
      <c r="N227" s="7">
        <f t="shared" si="101"/>
        <v>11.15000000805594</v>
      </c>
      <c r="O227" s="7"/>
      <c r="P227" s="7"/>
      <c r="Q227" s="22"/>
      <c r="R227" s="173"/>
      <c r="S227" s="220">
        <f t="shared" si="102"/>
        <v>0</v>
      </c>
      <c r="T227" s="173" t="str">
        <f t="shared" si="94"/>
        <v>Southbound</v>
      </c>
      <c r="U227" s="19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5" t="str">
        <f t="shared" si="95"/>
        <v>https://d0f6bd738d7f1b3e5a7ca70fe4ff75f0.us-east-1.aws.found.io/app/kibana#/discover/Steve-Slow-Train-Analysis-(2080s-and-2083s)?_g=(refreshInterval:(display:Off,pause:!f,section:0,value:0),time:(from:'2017-11-20T17:54:26-0700',mode:absolute,to:'2017-11-20T20:07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7" s="203" t="str">
        <f>IF(AA227&lt;VLOOKUP(AG227,Variables!$AC$3:$AD$8,2,FALSE),"Y","N")</f>
        <v>Y</v>
      </c>
      <c r="X227" s="203">
        <f t="shared" si="114"/>
        <v>2</v>
      </c>
      <c r="Y227" s="203">
        <f t="shared" si="115"/>
        <v>5.8613</v>
      </c>
      <c r="Z227" s="203">
        <f t="shared" si="116"/>
        <v>2.8759000000000001</v>
      </c>
      <c r="AA227" s="203">
        <f t="shared" si="96"/>
        <v>2.9853999999999998</v>
      </c>
      <c r="AB227" s="54" t="e">
        <f>VLOOKUP(A227,Enforcements!$C$7:$K$9,8,0)</f>
        <v>#N/A</v>
      </c>
      <c r="AC227" s="51" t="e">
        <f>VLOOKUP(A227,Enforcements!$C$7:$E$9,3,0)</f>
        <v>#N/A</v>
      </c>
      <c r="AD227" s="178">
        <f t="shared" si="97"/>
        <v>906</v>
      </c>
      <c r="AE227" s="77" t="str">
        <f t="shared" si="98"/>
        <v>aws s3 cp s3://rtdc.mdm.uploadarchive.raw/RTDC4061/ "%USERPROFILE%\AppData\Local\Temp\OnboardLogs"\RTDC4061\2017-11-20 --exclude "*" --recursive --include "*20171120*" &amp; "%USERPROFILE%\Documents\GitHub\mrs-test-scripts\Headless Mode &amp; Sideloading\WalkAndUnGZ.bat" "%USERPROFILE%\AppData\Local\Temp\OnboardLogs"\RTDC4061\2017-11-20 &amp; aws s3 cp s3://rtdc.mdm.uploadarchive.raw/RTDC4061/ "%USERPROFILE%\AppData\Local\Temp\OnboardLogs"\RTDC4061\2017-11-21 --exclude "*" --recursive --include "*20171121*" &amp; "%USERPROFILE%\Documents\GitHub\mrs-test-scripts\Headless Mode &amp; Sideloading\WalkAndUnGZ.bat" "%USERPROFILE%\AppData\Local\Temp\OnboardLogs"\RTDC4061\2017-11-21</v>
      </c>
      <c r="AF227" s="74" t="str">
        <f t="shared" si="99"/>
        <v>"C:\Program Files (x86)\AstroGrep\AstroGrep.exe" /e /r /s /spath="%USERPROFILE%\AppData\Local\Temp\OnboardLogs" /stypes="app*4061*20171121*" /stext=" 02:.+((SYSTEM_STATE.+slice.+state.+changed )|(ment ac)|(multiple cpu faults)|(system.+state.+changed )|(\[timeout)|(PRM\|1\|D)|(kpr)|(kdp)|(train st.+moving)|(\|lc)|(penalty))"</v>
      </c>
      <c r="AG227" s="181" t="str">
        <f t="shared" si="100"/>
        <v>Other</v>
      </c>
      <c r="AH227" s="78" t="str">
        <f t="shared" si="109"/>
        <v>"%USERPROFILE%\Documents\GitHub\eaglep3\Utilities\RefineRTDCRunTimes.py" --tripid 906-20 --locoid 4061 --swversion DE.1.0.9.0 --startMP 300:58613 --initTime 2017-11-20T18:54:26 --startdatetime 2017-11-20T18:56:03 --delay 56 --endMP 300:28759 --enddatetime 2017-11-20T19:07:12 --enforcementcount 0 &gt;&gt;%USERPROFILE%\Documents\GitHub\eaglep3-reporting\EC\2017-11-20-refined-times.txt</v>
      </c>
      <c r="AI227" s="96" t="str">
        <f t="shared" si="110"/>
        <v>echo {"issue":{"subject":"","project_id":79,"tracker_id":40,"status_id":1,"priority_id":2,"assigned_to_id":338,"start_date":"2017-11-20","description":"","custom_fields":[{"id":1,"name":"Subdivision","value":"Other"},{"id":4,"name":"Milepost","value":"2.8759"},{"id":17,"name":"Train ID","value":"906-20"},{"id":16,"name":"Locomotive ID","value":"4061"},{"id":130,"name":"Impact","value":""},{"id":150,"name":"Time of Event (Mountain Time)","value":"19:07:12"},{"id":151,"name":"Denver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1" t="str">
        <f t="shared" si="111"/>
        <v>start /low /b %USERPROFILE%\Documents\GitHub\eaglep3\Utilities\DownloadLogsFromS3.py --loco 4061 --day 2017-11-20</v>
      </c>
      <c r="AN227" s="150" t="str">
        <f t="shared" si="11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02:07:12"},{"id":29,"name":"Sharepoint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7" t="str">
        <f t="shared" si="113"/>
        <v>https://d0f6bd738d7f1b3e5a7ca70fe4ff75f0.us-east-1.aws.found.io/app/kibana#/discover/Steve-Slow-Train-Analysis-(2080s-and-2083s)?_g=(refreshInterval:(display:Off,pause:!f,section:0,value:0),time:(from:'2017-11-20T17:54:26-0700',mode:absolute,to:'2017-11-20T20:07:12-0700'))&amp;_a=(columns:!('Message%20ID',Summary),filters:!(),index:'emp_*',interval:auto,query:(query_string:(analyze_wildcard:!t,query:'%22rtdc.l.rtdc.4061%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32" t="s">
        <v>873</v>
      </c>
      <c r="B228" s="7">
        <v>4013</v>
      </c>
      <c r="C228" s="21" t="s">
        <v>192</v>
      </c>
      <c r="D228" s="21" t="s">
        <v>542</v>
      </c>
      <c r="E228" s="13">
        <v>43059.974097222221</v>
      </c>
      <c r="F228" s="13">
        <v>43059.97519675926</v>
      </c>
      <c r="G228" s="7">
        <v>61</v>
      </c>
      <c r="H228" s="21" t="s">
        <v>1093</v>
      </c>
      <c r="I228" s="13">
        <v>43059.98164351852</v>
      </c>
      <c r="J228" s="7">
        <v>0</v>
      </c>
      <c r="K228" s="89" t="str">
        <f t="shared" si="92"/>
        <v>4013/4014</v>
      </c>
      <c r="L228" s="184" t="str">
        <f>VLOOKUP(A228,'Trips&amp;Operators'!$C$1:$G$99911,5,FALSE)</f>
        <v>STAMBAUGH JAMES</v>
      </c>
      <c r="M228" s="6">
        <f t="shared" si="93"/>
        <v>6.4467592601431534E-3</v>
      </c>
      <c r="N228" s="7">
        <f t="shared" si="101"/>
        <v>9.2833333346061409</v>
      </c>
      <c r="O228" s="7"/>
      <c r="P228" s="7"/>
      <c r="Q228" s="22"/>
      <c r="R228" s="173"/>
      <c r="S228" s="220">
        <f t="shared" si="102"/>
        <v>0</v>
      </c>
      <c r="T228" s="173" t="str">
        <f t="shared" si="94"/>
        <v>Southbound</v>
      </c>
      <c r="U228" s="19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5" t="str">
        <f t="shared" si="95"/>
        <v>https://d0f6bd738d7f1b3e5a7ca70fe4ff75f0.us-east-1.aws.found.io/app/kibana#/discover/Steve-Slow-Train-Analysis-(2080s-and-2083s)?_g=(refreshInterval:(display:Off,pause:!f,section:0,value:0),time:(from:'2017-11-20T22:22:42-0700',mode:absolute,to:'2017-11-21T00:33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8" s="203" t="str">
        <f>IF(AA228&lt;VLOOKUP(AG228,Variables!$AC$3:$AD$8,2,FALSE),"Y","N")</f>
        <v>Y</v>
      </c>
      <c r="X228" s="203">
        <f t="shared" si="114"/>
        <v>2</v>
      </c>
      <c r="Y228" s="203">
        <f t="shared" si="115"/>
        <v>5.8604000000000003</v>
      </c>
      <c r="Z228" s="203">
        <f t="shared" si="116"/>
        <v>2.8786</v>
      </c>
      <c r="AA228" s="203">
        <f t="shared" si="96"/>
        <v>2.9818000000000002</v>
      </c>
      <c r="AB228" s="54" t="e">
        <f>VLOOKUP(A228,Enforcements!$C$7:$K$9,8,0)</f>
        <v>#N/A</v>
      </c>
      <c r="AC228" s="51" t="e">
        <f>VLOOKUP(A228,Enforcements!$C$7:$E$9,3,0)</f>
        <v>#N/A</v>
      </c>
      <c r="AD228" s="178">
        <f t="shared" si="97"/>
        <v>908</v>
      </c>
      <c r="AE228" s="77" t="str">
        <f t="shared" si="98"/>
        <v>aws s3 cp s3://rtdc.mdm.uploadarchive.raw/RTDC4013/ "%USERPROFILE%\AppData\Local\Temp\OnboardLogs"\RTDC4013\2017-11-20 --exclude "*" --recursive --include "*20171120*" &amp; "%USERPROFILE%\Documents\GitHub\mrs-test-scripts\Headless Mode &amp; Sideloading\WalkAndUnGZ.bat" "%USERPROFILE%\AppData\Local\Temp\OnboardLogs"\RTDC4013\2017-11-20 &amp; 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</v>
      </c>
      <c r="AF228" s="74" t="str">
        <f t="shared" si="99"/>
        <v>"C:\Program Files (x86)\AstroGrep\AstroGrep.exe" /e /r /s /spath="%USERPROFILE%\AppData\Local\Temp\OnboardLogs" /stypes="app*4013*20171121*" /stext=" 06:.+((SYSTEM_STATE.+slice.+state.+changed )|(ment ac)|(multiple cpu faults)|(system.+state.+changed )|(\[timeout)|(PRM\|1\|D)|(kpr)|(kdp)|(train st.+moving)|(\|lc)|(penalty))"</v>
      </c>
      <c r="AG228" s="181" t="str">
        <f t="shared" si="100"/>
        <v>Other</v>
      </c>
      <c r="AH228" s="78" t="str">
        <f t="shared" si="109"/>
        <v>"%USERPROFILE%\Documents\GitHub\eaglep3\Utilities\RefineRTDCRunTimes.py" --tripid 908-20 --locoid 4013 --swversion DE.1.0.9.0 --startMP 300:58604 --initTime 2017-11-20T23:22:42 --startdatetime 2017-11-20T23:24:17 --delay 61 --endMP 300:28786 --enddatetime 2017-11-20T23:33:34 --enforcementcount 0 &gt;&gt;%USERPROFILE%\Documents\GitHub\eaglep3-reporting\EC\2017-11-20-refined-times.txt</v>
      </c>
      <c r="AI228" s="96" t="str">
        <f t="shared" si="110"/>
        <v>echo {"issue":{"subject":"","project_id":79,"tracker_id":40,"status_id":1,"priority_id":2,"assigned_to_id":338,"start_date":"2017-11-20","description":"","custom_fields":[{"id":1,"name":"Subdivision","value":"Other"},{"id":4,"name":"Milepost","value":"2.8786"},{"id":17,"name":"Train ID","value":"908-20"},{"id":16,"name":"Locomotive ID","value":"4013"},{"id":130,"name":"Impact","value":""},{"id":150,"name":"Time of Event (Mountain Time)","value":"23:33:34"},{"id":151,"name":"Denver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1" t="str">
        <f t="shared" si="111"/>
        <v>start /low /b %USERPROFILE%\Documents\GitHub\eaglep3\Utilities\DownloadLogsFromS3.py --loco 4013 --day 2017-11-20</v>
      </c>
      <c r="AN228" s="150" t="str">
        <f t="shared" si="11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06:33:34"},{"id":29,"name":"Sharepoint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7" t="str">
        <f t="shared" si="113"/>
        <v>https://d0f6bd738d7f1b3e5a7ca70fe4ff75f0.us-east-1.aws.found.io/app/kibana#/discover/Steve-Slow-Train-Analysis-(2080s-and-2083s)?_g=(refreshInterval:(display:Off,pause:!f,section:0,value:0),time:(from:'2017-11-20T22:22:42-0700',mode:absolute,to:'2017-11-21T00:33:34-0700'))&amp;_a=(columns:!('Message%20ID',Summary),filters:!(),index:'emp_*',interval:auto,query:(query_string:(analyze_wildcard:!t,query:'%22rtdc.l.rtdc.4013%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32" t="s">
        <v>677</v>
      </c>
      <c r="B229" s="7">
        <v>4064</v>
      </c>
      <c r="C229" s="21" t="s">
        <v>192</v>
      </c>
      <c r="D229" s="21" t="s">
        <v>512</v>
      </c>
      <c r="E229" s="13">
        <v>43059.125752314816</v>
      </c>
      <c r="F229" s="13">
        <v>43059.138113425928</v>
      </c>
      <c r="G229" s="7">
        <v>78</v>
      </c>
      <c r="H229" s="21" t="s">
        <v>1002</v>
      </c>
      <c r="I229" s="13">
        <v>43059.139189814814</v>
      </c>
      <c r="J229" s="7">
        <v>0</v>
      </c>
      <c r="K229" s="89" t="str">
        <f t="shared" si="92"/>
        <v>4063/4064</v>
      </c>
      <c r="L229" s="184" t="str">
        <f>VLOOKUP(A229,'Trips&amp;Operators'!$C$1:$G$99911,5,FALSE)</f>
        <v>SPECTOR MICHAEL</v>
      </c>
      <c r="M229" s="6">
        <f t="shared" si="93"/>
        <v>1.0763888858491555E-3</v>
      </c>
      <c r="N229" s="7">
        <f t="shared" si="101"/>
        <v>1.5499999956227839</v>
      </c>
      <c r="O229" s="7"/>
      <c r="P229" s="7"/>
      <c r="Q229" s="22"/>
      <c r="R229" s="173"/>
      <c r="S229" s="220">
        <f t="shared" si="102"/>
        <v>0</v>
      </c>
      <c r="T229" s="173" t="str">
        <f t="shared" si="94"/>
        <v>NorthBound</v>
      </c>
      <c r="U229" s="19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5" t="str">
        <f t="shared" si="95"/>
        <v>https://d0f6bd738d7f1b3e5a7ca70fe4ff75f0.us-east-1.aws.found.io/app/kibana#/discover/Steve-Slow-Train-Analysis-(2080s-and-2083s)?_g=(refreshInterval:(display:Off,pause:!f,section:0,value:0),time:(from:'2017-11-20T02:01:05-0700',mode:absolute,to:'2017-11-20T04:20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9" s="203" t="str">
        <f>IF(AA229&lt;VLOOKUP(AG229,Variables!$AC$3:$AD$8,2,FALSE),"Y","N")</f>
        <v>Y</v>
      </c>
      <c r="X229" s="203">
        <f t="shared" si="114"/>
        <v>-857</v>
      </c>
      <c r="Y229" s="203">
        <f t="shared" si="115"/>
        <v>5.04E-2</v>
      </c>
      <c r="Z229" s="203">
        <f t="shared" si="116"/>
        <v>0.35639999999999999</v>
      </c>
      <c r="AA229" s="203">
        <f t="shared" si="96"/>
        <v>0.30599999999999999</v>
      </c>
      <c r="AB229" s="54" t="e">
        <f>VLOOKUP(A229,Enforcements!$C$7:$K$9,8,0)</f>
        <v>#N/A</v>
      </c>
      <c r="AC229" s="51" t="e">
        <f>VLOOKUP(A229,Enforcements!$C$7:$E$9,3,0)</f>
        <v>#N/A</v>
      </c>
      <c r="AD229" s="178">
        <f t="shared" si="97"/>
        <v>51</v>
      </c>
      <c r="AE229" s="77" t="str">
        <f t="shared" si="98"/>
        <v>aws s3 cp s3://rtdc.mdm.uploadarchive.raw/RTDC4064/ "%USERPROFILE%\AppData\Local\Temp\OnboardLogs"\RTDC4064\2017-11-20 --exclude "*" --recursive --include "*20171120*" &amp; "%USERPROFILE%\Documents\GitHub\mrs-test-scripts\Headless Mode &amp; Sideloading\WalkAndUnGZ.bat" "%USERPROFILE%\AppData\Local\Temp\OnboardLogs"\RTDC4064\2017-11-20 &amp; aws s3 cp s3://rtdc.mdm.uploadarchive.raw/RTDC4064/ "%USERPROFILE%\AppData\Local\Temp\OnboardLogs"\RTDC4064\2017-11-21 --exclude "*" --recursive --include "*20171121*" &amp; "%USERPROFILE%\Documents\GitHub\mrs-test-scripts\Headless Mode &amp; Sideloading\WalkAndUnGZ.bat" "%USERPROFILE%\AppData\Local\Temp\OnboardLogs"\RTDC4064\2017-11-21</v>
      </c>
      <c r="AF229" s="74" t="str">
        <f t="shared" si="99"/>
        <v>"C:\Program Files (x86)\AstroGrep\AstroGrep.exe" /e /r /s /spath="%USERPROFILE%\AppData\Local\Temp\OnboardLogs" /stypes="app*4064*20171120*" /stext=" 10:.+((SYSTEM_STATE.+slice.+state.+changed )|(ment ac)|(multiple cpu faults)|(system.+state.+changed )|(\[timeout)|(PRM\|1\|D)|(kpr)|(kdp)|(train st.+moving)|(\|lc)|(penalty))"</v>
      </c>
      <c r="AG229" s="181" t="str">
        <f t="shared" si="100"/>
        <v>Shuttle/Test</v>
      </c>
      <c r="AH229" s="78" t="str">
        <f t="shared" si="109"/>
        <v>"%USERPROFILE%\Documents\GitHub\eaglep3\Utilities\RefineRTDCRunTimes.py" --tripid 51-20 --locoid 4064 --swversion DE.1.0.9.0 --startMP 204:504 --initTime 2017-11-20T03:01:05 --startdatetime 2017-11-20T03:18:53 --delay 78 --endMP 204:3564 --enddatetime 2017-11-20T03:20:26 --enforcementcount 0 &gt;&gt;%USERPROFILE%\Documents\GitHub\eaglep3-reporting\EC\2017-11-20-refined-times.txt</v>
      </c>
      <c r="AI229" s="96" t="str">
        <f t="shared" si="110"/>
        <v>echo {"issue":{"subject":"","project_id":79,"tracker_id":40,"status_id":1,"priority_id":2,"assigned_to_id":338,"start_date":"2017-11-20","description":"","custom_fields":[{"id":1,"name":"Subdivision","value":"Shuttle/Test"},{"id":4,"name":"Milepost","value":"0.3564"},{"id":17,"name":"Train ID","value":"51-20"},{"id":16,"name":"Locomotive ID","value":"4064"},{"id":130,"name":"Impact","value":""},{"id":150,"name":"Time of Event (Mountain Time)","value":"03:20:26"},{"id":151,"name":"Denver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1" t="str">
        <f t="shared" si="111"/>
        <v>start /low /b %USERPROFILE%\Documents\GitHub\eaglep3\Utilities\DownloadLogsFromS3.py --loco 4064 --day 2017-11-20</v>
      </c>
      <c r="AN229" s="150" t="str">
        <f t="shared" si="11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10:20:26"},{"id":29,"name":"Sharepoint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7" t="str">
        <f t="shared" si="113"/>
        <v>https://d0f6bd738d7f1b3e5a7ca70fe4ff75f0.us-east-1.aws.found.io/app/kibana#/discover/Steve-Slow-Train-Analysis-(2080s-and-2083s)?_g=(refreshInterval:(display:Off,pause:!f,section:0,value:0),time:(from:'2017-11-20T02:01:05-0700',mode:absolute,to:'2017-11-20T04:20:26-0700'))&amp;_a=(columns:!('Message%20ID',Summary),filters:!(),index:'emp_*',interval:auto,query:(query_string:(analyze_wildcard:!t,query:'%22rtdc.l.rtdc.4064%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32" t="s">
        <v>677</v>
      </c>
      <c r="B230" s="7">
        <v>4064</v>
      </c>
      <c r="C230" s="21" t="s">
        <v>192</v>
      </c>
      <c r="D230" s="21" t="s">
        <v>1003</v>
      </c>
      <c r="E230" s="13">
        <v>43059.225324074076</v>
      </c>
      <c r="F230" s="13">
        <v>43059.227256944447</v>
      </c>
      <c r="G230" s="7">
        <v>82</v>
      </c>
      <c r="H230" s="21" t="s">
        <v>1004</v>
      </c>
      <c r="I230" s="13">
        <v>43059.228101851855</v>
      </c>
      <c r="J230" s="7">
        <v>0</v>
      </c>
      <c r="K230" s="89" t="str">
        <f t="shared" si="92"/>
        <v>4063/4064</v>
      </c>
      <c r="L230" s="184" t="str">
        <f>VLOOKUP(A230,'Trips&amp;Operators'!$C$1:$G$99911,5,FALSE)</f>
        <v>SPECTOR MICHAEL</v>
      </c>
      <c r="M230" s="6">
        <f t="shared" si="93"/>
        <v>8.4490740846376866E-4</v>
      </c>
      <c r="N230" s="7">
        <f t="shared" si="101"/>
        <v>1.2166666681878269</v>
      </c>
      <c r="O230" s="7"/>
      <c r="P230" s="7"/>
      <c r="Q230" s="22"/>
      <c r="R230" s="173"/>
      <c r="S230" s="220">
        <f t="shared" si="102"/>
        <v>0</v>
      </c>
      <c r="T230" s="173" t="str">
        <f t="shared" si="94"/>
        <v>NorthBound</v>
      </c>
      <c r="U230" s="19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5" t="str">
        <f t="shared" si="95"/>
        <v>https://d0f6bd738d7f1b3e5a7ca70fe4ff75f0.us-east-1.aws.found.io/app/kibana#/discover/Steve-Slow-Train-Analysis-(2080s-and-2083s)?_g=(refreshInterval:(display:Off,pause:!f,section:0,value:0),time:(from:'2017-11-20T04:24:28-0700',mode:absolute,to:'2017-11-20T06:28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0" s="203" t="str">
        <f>IF(AA230&lt;VLOOKUP(AG230,Variables!$AC$3:$AD$8,2,FALSE),"Y","N")</f>
        <v>Y</v>
      </c>
      <c r="X230" s="203">
        <f t="shared" si="114"/>
        <v>0</v>
      </c>
      <c r="Y230" s="203">
        <f t="shared" si="115"/>
        <v>0.15010000000000001</v>
      </c>
      <c r="Z230" s="203">
        <f t="shared" si="116"/>
        <v>0.35510000000000003</v>
      </c>
      <c r="AA230" s="203">
        <f t="shared" si="96"/>
        <v>0.20500000000000002</v>
      </c>
      <c r="AB230" s="54" t="e">
        <f>VLOOKUP(A230,Enforcements!$C$7:$K$9,8,0)</f>
        <v>#N/A</v>
      </c>
      <c r="AC230" s="51" t="e">
        <f>VLOOKUP(A230,Enforcements!$C$7:$E$9,3,0)</f>
        <v>#N/A</v>
      </c>
      <c r="AD230" s="178">
        <f t="shared" si="97"/>
        <v>51</v>
      </c>
      <c r="AE230" s="77" t="str">
        <f t="shared" si="98"/>
        <v>aws s3 cp s3://rtdc.mdm.uploadarchive.raw/RTDC4064/ "%USERPROFILE%\AppData\Local\Temp\OnboardLogs"\RTDC4064\2017-11-20 --exclude "*" --recursive --include "*20171120*" &amp; "%USERPROFILE%\Documents\GitHub\mrs-test-scripts\Headless Mode &amp; Sideloading\WalkAndUnGZ.bat" "%USERPROFILE%\AppData\Local\Temp\OnboardLogs"\RTDC4064\2017-11-20 &amp; aws s3 cp s3://rtdc.mdm.uploadarchive.raw/RTDC4064/ "%USERPROFILE%\AppData\Local\Temp\OnboardLogs"\RTDC4064\2017-11-21 --exclude "*" --recursive --include "*20171121*" &amp; "%USERPROFILE%\Documents\GitHub\mrs-test-scripts\Headless Mode &amp; Sideloading\WalkAndUnGZ.bat" "%USERPROFILE%\AppData\Local\Temp\OnboardLogs"\RTDC4064\2017-11-21</v>
      </c>
      <c r="AF230" s="74" t="str">
        <f t="shared" si="99"/>
        <v>"C:\Program Files (x86)\AstroGrep\AstroGrep.exe" /e /r /s /spath="%USERPROFILE%\AppData\Local\Temp\OnboardLogs" /stypes="app*4064*20171120*" /stext=" 12:.+((SYSTEM_STATE.+slice.+state.+changed )|(ment ac)|(multiple cpu faults)|(system.+state.+changed )|(\[timeout)|(PRM\|1\|D)|(kpr)|(kdp)|(train st.+moving)|(\|lc)|(penalty))"</v>
      </c>
      <c r="AG230" s="181" t="str">
        <f t="shared" si="100"/>
        <v>Shuttle/Test</v>
      </c>
      <c r="AH230" s="78" t="str">
        <f t="shared" si="109"/>
        <v>"%USERPROFILE%\Documents\GitHub\eaglep3\Utilities\RefineRTDCRunTimes.py" --tripid 51-20 --locoid 4064 --swversion DE.1.0.9.0 --startMP 204:1501 --initTime 2017-11-20T05:24:28 --startdatetime 2017-11-20T05:27:15 --delay 82 --endMP 204:3551 --enddatetime 2017-11-20T05:28:28 --enforcementcount 0 &gt;&gt;%USERPROFILE%\Documents\GitHub\eaglep3-reporting\EC\2017-11-20-refined-times.txt</v>
      </c>
      <c r="AI230" s="96" t="str">
        <f t="shared" si="110"/>
        <v>echo {"issue":{"subject":"","project_id":79,"tracker_id":40,"status_id":1,"priority_id":2,"assigned_to_id":338,"start_date":"2017-11-20","description":"","custom_fields":[{"id":1,"name":"Subdivision","value":"Shuttle/Test"},{"id":4,"name":"Milepost","value":"0.3551"},{"id":17,"name":"Train ID","value":"51-20"},{"id":16,"name":"Locomotive ID","value":"4064"},{"id":130,"name":"Impact","value":""},{"id":150,"name":"Time of Event (Mountain Time)","value":"05:28:28"},{"id":151,"name":"Denver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1" t="str">
        <f t="shared" si="111"/>
        <v>start /low /b %USERPROFILE%\Documents\GitHub\eaglep3\Utilities\DownloadLogsFromS3.py --loco 4064 --day 2017-11-20</v>
      </c>
      <c r="AN230" s="150" t="str">
        <f t="shared" si="11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12:28:28"},{"id":29,"name":"Sharepoint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7" t="str">
        <f t="shared" si="113"/>
        <v>https://d0f6bd738d7f1b3e5a7ca70fe4ff75f0.us-east-1.aws.found.io/app/kibana#/discover/Steve-Slow-Train-Analysis-(2080s-and-2083s)?_g=(refreshInterval:(display:Off,pause:!f,section:0,value:0),time:(from:'2017-11-20T04:24:28-0700',mode:absolute,to:'2017-11-20T06:28:28-0700'))&amp;_a=(columns:!('Message%20ID',Summary),filters:!(),index:'emp_*',interval:auto,query:(query_string:(analyze_wildcard:!t,query:'%22rtdc.l.rtdc.4064%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32" t="s">
        <v>680</v>
      </c>
      <c r="B231" s="7">
        <v>4063</v>
      </c>
      <c r="C231" s="21" t="s">
        <v>192</v>
      </c>
      <c r="D231" s="21" t="s">
        <v>1005</v>
      </c>
      <c r="E231" s="13">
        <v>43059.140231481484</v>
      </c>
      <c r="F231" s="13">
        <v>43059.141759259262</v>
      </c>
      <c r="G231" s="7">
        <v>67</v>
      </c>
      <c r="H231" s="21" t="s">
        <v>1006</v>
      </c>
      <c r="I231" s="13">
        <v>43059.142905092594</v>
      </c>
      <c r="J231" s="7">
        <v>0</v>
      </c>
      <c r="K231" s="89" t="str">
        <f t="shared" si="92"/>
        <v>4063/4064</v>
      </c>
      <c r="L231" s="184" t="str">
        <f>VLOOKUP(A231,'Trips&amp;Operators'!$C$1:$G$99911,5,FALSE)</f>
        <v>SPECTOR MICHAEL</v>
      </c>
      <c r="M231" s="6">
        <f t="shared" si="93"/>
        <v>1.1458333319751546E-3</v>
      </c>
      <c r="N231" s="7">
        <f t="shared" si="101"/>
        <v>1.6499999980442226</v>
      </c>
      <c r="O231" s="7"/>
      <c r="P231" s="7"/>
      <c r="Q231" s="22"/>
      <c r="R231" s="173"/>
      <c r="S231" s="220">
        <f t="shared" si="102"/>
        <v>0</v>
      </c>
      <c r="T231" s="173" t="str">
        <f t="shared" si="94"/>
        <v>Southbound</v>
      </c>
      <c r="U231" s="19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5" t="str">
        <f t="shared" si="95"/>
        <v>https://d0f6bd738d7f1b3e5a7ca70fe4ff75f0.us-east-1.aws.found.io/app/kibana#/discover/Steve-Slow-Train-Analysis-(2080s-and-2083s)?_g=(refreshInterval:(display:Off,pause:!f,section:0,value:0),time:(from:'2017-11-20T02:21:56-0700',mode:absolute,to:'2017-11-20T04:25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1" s="203" t="str">
        <f>IF(AA231&lt;VLOOKUP(AG231,Variables!$AC$3:$AD$8,2,FALSE),"Y","N")</f>
        <v>Y</v>
      </c>
      <c r="X231" s="203">
        <f t="shared" si="114"/>
        <v>1</v>
      </c>
      <c r="Y231" s="203">
        <f t="shared" si="115"/>
        <v>0.32229999999999998</v>
      </c>
      <c r="Z231" s="203">
        <f t="shared" si="116"/>
        <v>0.11749999999999999</v>
      </c>
      <c r="AA231" s="203">
        <f t="shared" si="96"/>
        <v>0.20479999999999998</v>
      </c>
      <c r="AB231" s="54" t="e">
        <f>VLOOKUP(A231,Enforcements!$C$7:$K$9,8,0)</f>
        <v>#N/A</v>
      </c>
      <c r="AC231" s="51" t="e">
        <f>VLOOKUP(A231,Enforcements!$C$7:$E$9,3,0)</f>
        <v>#N/A</v>
      </c>
      <c r="AD231" s="178">
        <f t="shared" si="97"/>
        <v>52</v>
      </c>
      <c r="AE231" s="77" t="str">
        <f t="shared" si="98"/>
        <v>aws s3 cp s3://rtdc.mdm.uploadarchive.raw/RTDC4063/ "%USERPROFILE%\AppData\Local\Temp\OnboardLogs"\RTDC4063\2017-11-20 --exclude "*" --recursive --include "*20171120*" &amp; "%USERPROFILE%\Documents\GitHub\mrs-test-scripts\Headless Mode &amp; Sideloading\WalkAndUnGZ.bat" "%USERPROFILE%\AppData\Local\Temp\OnboardLogs"\RTDC4063\2017-11-20 &amp; aws s3 cp s3://rtdc.mdm.uploadarchive.raw/RTDC4063/ "%USERPROFILE%\AppData\Local\Temp\OnboardLogs"\RTDC4063\2017-11-21 --exclude "*" --recursive --include "*20171121*" &amp; "%USERPROFILE%\Documents\GitHub\mrs-test-scripts\Headless Mode &amp; Sideloading\WalkAndUnGZ.bat" "%USERPROFILE%\AppData\Local\Temp\OnboardLogs"\RTDC4063\2017-11-21</v>
      </c>
      <c r="AF231" s="74" t="str">
        <f t="shared" si="99"/>
        <v>"C:\Program Files (x86)\AstroGrep\AstroGrep.exe" /e /r /s /spath="%USERPROFILE%\AppData\Local\Temp\OnboardLogs" /stypes="app*4063*20171120*" /stext=" 10:.+((SYSTEM_STATE.+slice.+state.+changed )|(ment ac)|(multiple cpu faults)|(system.+state.+changed )|(\[timeout)|(PRM\|1\|D)|(kpr)|(kdp)|(train st.+moving)|(\|lc)|(penalty))"</v>
      </c>
      <c r="AG231" s="181" t="str">
        <f t="shared" si="100"/>
        <v>Shuttle/Test</v>
      </c>
      <c r="AH231" s="78" t="str">
        <f t="shared" si="109"/>
        <v>"%USERPROFILE%\Documents\GitHub\eaglep3\Utilities\RefineRTDCRunTimes.py" --tripid 52-20 --locoid 4063 --swversion DE.1.0.9.0 --startMP 204:3223 --initTime 2017-11-20T03:21:56 --startdatetime 2017-11-20T03:24:08 --delay 67 --endMP 204:1175 --enddatetime 2017-11-20T03:25:47 --enforcementcount 0 &gt;&gt;%USERPROFILE%\Documents\GitHub\eaglep3-reporting\EC\2017-11-20-refined-times.txt</v>
      </c>
      <c r="AI231" s="96" t="str">
        <f t="shared" si="110"/>
        <v>echo {"issue":{"subject":"","project_id":79,"tracker_id":40,"status_id":1,"priority_id":2,"assigned_to_id":338,"start_date":"2017-11-20","description":"","custom_fields":[{"id":1,"name":"Subdivision","value":"Shuttle/Test"},{"id":4,"name":"Milepost","value":"0.1175"},{"id":17,"name":"Train ID","value":"52-20"},{"id":16,"name":"Locomotive ID","value":"4063"},{"id":130,"name":"Impact","value":""},{"id":150,"name":"Time of Event (Mountain Time)","value":"03:25:47"},{"id":151,"name":"Denver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1" t="str">
        <f t="shared" si="111"/>
        <v>start /low /b %USERPROFILE%\Documents\GitHub\eaglep3\Utilities\DownloadLogsFromS3.py --loco 4063 --day 2017-11-20</v>
      </c>
      <c r="AN231" s="150" t="str">
        <f t="shared" si="11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10:25:47"},{"id":29,"name":"Sharepoint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7" t="str">
        <f t="shared" si="113"/>
        <v>https://d0f6bd738d7f1b3e5a7ca70fe4ff75f0.us-east-1.aws.found.io/app/kibana#/discover/Steve-Slow-Train-Analysis-(2080s-and-2083s)?_g=(refreshInterval:(display:Off,pause:!f,section:0,value:0),time:(from:'2017-11-20T02:21:56-0700',mode:absolute,to:'2017-11-20T04:25:47-0700'))&amp;_a=(columns:!('Message%20ID',Summary),filters:!(),index:'emp_*',interval:auto,query:(query_string:(analyze_wildcard:!t,query:'%22rtdc.l.rtdc.4063%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32" t="s">
        <v>680</v>
      </c>
      <c r="B232" s="7">
        <v>4063</v>
      </c>
      <c r="C232" s="21" t="s">
        <v>192</v>
      </c>
      <c r="D232" s="21" t="s">
        <v>1007</v>
      </c>
      <c r="E232" s="13">
        <v>43059.229004629633</v>
      </c>
      <c r="F232" s="13">
        <v>43059.231458333335</v>
      </c>
      <c r="G232" s="7">
        <v>84</v>
      </c>
      <c r="H232" s="21" t="s">
        <v>570</v>
      </c>
      <c r="I232" s="13">
        <v>43059.233113425929</v>
      </c>
      <c r="J232" s="7">
        <v>0</v>
      </c>
      <c r="K232" s="89" t="str">
        <f t="shared" si="92"/>
        <v>4063/4064</v>
      </c>
      <c r="L232" s="184" t="str">
        <f>VLOOKUP(A232,'Trips&amp;Operators'!$C$1:$G$99911,5,FALSE)</f>
        <v>SPECTOR MICHAEL</v>
      </c>
      <c r="M232" s="6">
        <f t="shared" si="93"/>
        <v>1.6550925938645378E-3</v>
      </c>
      <c r="N232" s="7">
        <f t="shared" si="101"/>
        <v>2.3833333351649344</v>
      </c>
      <c r="O232" s="7"/>
      <c r="P232" s="7"/>
      <c r="Q232" s="22"/>
      <c r="R232" s="173"/>
      <c r="S232" s="220">
        <f t="shared" si="102"/>
        <v>0</v>
      </c>
      <c r="T232" s="173" t="str">
        <f t="shared" si="94"/>
        <v>Southbound</v>
      </c>
      <c r="U232" s="197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5" t="str">
        <f t="shared" si="95"/>
        <v>https://d0f6bd738d7f1b3e5a7ca70fe4ff75f0.us-east-1.aws.found.io/app/kibana#/discover/Steve-Slow-Train-Analysis-(2080s-and-2083s)?_g=(refreshInterval:(display:Off,pause:!f,section:0,value:0),time:(from:'2017-11-20T04:29:46-0700',mode:absolute,to:'2017-11-20T06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2" s="203" t="str">
        <f>IF(AA232&lt;VLOOKUP(AG232,Variables!$AC$3:$AD$8,2,FALSE),"Y","N")</f>
        <v>Y</v>
      </c>
      <c r="X232" s="203">
        <f t="shared" si="114"/>
        <v>0</v>
      </c>
      <c r="Y232" s="203">
        <f t="shared" si="115"/>
        <v>0.32269999999999999</v>
      </c>
      <c r="Z232" s="203">
        <f t="shared" si="116"/>
        <v>1.43E-2</v>
      </c>
      <c r="AA232" s="203">
        <f t="shared" si="96"/>
        <v>0.30840000000000001</v>
      </c>
      <c r="AB232" s="54" t="e">
        <f>VLOOKUP(A232,Enforcements!$C$7:$K$9,8,0)</f>
        <v>#N/A</v>
      </c>
      <c r="AC232" s="51" t="e">
        <f>VLOOKUP(A232,Enforcements!$C$7:$E$9,3,0)</f>
        <v>#N/A</v>
      </c>
      <c r="AD232" s="178">
        <f t="shared" si="97"/>
        <v>52</v>
      </c>
      <c r="AE232" s="77" t="str">
        <f t="shared" si="98"/>
        <v>aws s3 cp s3://rtdc.mdm.uploadarchive.raw/RTDC4063/ "%USERPROFILE%\AppData\Local\Temp\OnboardLogs"\RTDC4063\2017-11-20 --exclude "*" --recursive --include "*20171120*" &amp; "%USERPROFILE%\Documents\GitHub\mrs-test-scripts\Headless Mode &amp; Sideloading\WalkAndUnGZ.bat" "%USERPROFILE%\AppData\Local\Temp\OnboardLogs"\RTDC4063\2017-11-20 &amp; aws s3 cp s3://rtdc.mdm.uploadarchive.raw/RTDC4063/ "%USERPROFILE%\AppData\Local\Temp\OnboardLogs"\RTDC4063\2017-11-21 --exclude "*" --recursive --include "*20171121*" &amp; "%USERPROFILE%\Documents\GitHub\mrs-test-scripts\Headless Mode &amp; Sideloading\WalkAndUnGZ.bat" "%USERPROFILE%\AppData\Local\Temp\OnboardLogs"\RTDC4063\2017-11-21</v>
      </c>
      <c r="AF232" s="74" t="str">
        <f t="shared" si="99"/>
        <v>"C:\Program Files (x86)\AstroGrep\AstroGrep.exe" /e /r /s /spath="%USERPROFILE%\AppData\Local\Temp\OnboardLogs" /stypes="app*4063*20171120*" /stext=" 12:.+((SYSTEM_STATE.+slice.+state.+changed )|(ment ac)|(multiple cpu faults)|(system.+state.+changed )|(\[timeout)|(PRM\|1\|D)|(kpr)|(kdp)|(train st.+moving)|(\|lc)|(penalty))"</v>
      </c>
      <c r="AG232" s="181" t="str">
        <f t="shared" si="100"/>
        <v>Shuttle/Test</v>
      </c>
      <c r="AH232" s="78" t="str">
        <f t="shared" si="109"/>
        <v>"%USERPROFILE%\Documents\GitHub\eaglep3\Utilities\RefineRTDCRunTimes.py" --tripid 52-20 --locoid 4063 --swversion DE.1.0.9.0 --startMP 204:3227 --initTime 2017-11-20T05:29:46 --startdatetime 2017-11-20T05:33:18 --delay 84 --endMP 204:143 --enddatetime 2017-11-20T05:35:41 --enforcementcount 0 &gt;&gt;%USERPROFILE%\Documents\GitHub\eaglep3-reporting\EC\2017-11-20-refined-times.txt</v>
      </c>
      <c r="AI232" s="96" t="str">
        <f t="shared" si="110"/>
        <v>echo {"issue":{"subject":"","project_id":79,"tracker_id":40,"status_id":1,"priority_id":2,"assigned_to_id":338,"start_date":"2017-11-20","description":"","custom_fields":[{"id":1,"name":"Subdivision","value":"Shuttle/Test"},{"id":4,"name":"Milepost","value":"0.0143"},{"id":17,"name":"Train ID","value":"52-20"},{"id":16,"name":"Locomotive ID","value":"4063"},{"id":130,"name":"Impact","value":""},{"id":150,"name":"Time of Event (Mountain Time)","value":"05:35:41"},{"id":151,"name":"Denver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1" t="str">
        <f t="shared" si="111"/>
        <v>start /low /b %USERPROFILE%\Documents\GitHub\eaglep3\Utilities\DownloadLogsFromS3.py --loco 4063 --day 2017-11-20</v>
      </c>
      <c r="AN232" s="150" t="str">
        <f t="shared" si="11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12:35:41"},{"id":29,"name":"Sharepoint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7" t="str">
        <f t="shared" si="113"/>
        <v>https://d0f6bd738d7f1b3e5a7ca70fe4ff75f0.us-east-1.aws.found.io/app/kibana#/discover/Steve-Slow-Train-Analysis-(2080s-and-2083s)?_g=(refreshInterval:(display:Off,pause:!f,section:0,value:0),time:(from:'2017-11-20T04:29:46-0700',mode:absolute,to:'2017-11-20T06:35:41-0700'))&amp;_a=(columns:!('Message%20ID',Summary),filters:!(),index:'emp_*',interval:auto,query:(query_string:(analyze_wildcard:!t,query:'%22rtdc.l.rtdc.4063%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32" t="s">
        <v>658</v>
      </c>
      <c r="B233" s="7">
        <v>4011</v>
      </c>
      <c r="C233" s="21" t="s">
        <v>192</v>
      </c>
      <c r="D233" s="21" t="s">
        <v>1008</v>
      </c>
      <c r="E233" s="13">
        <v>43059.450995370367</v>
      </c>
      <c r="F233" s="13">
        <v>43059.453472222223</v>
      </c>
      <c r="G233" s="7">
        <v>58</v>
      </c>
      <c r="H233" s="21" t="s">
        <v>1009</v>
      </c>
      <c r="I233" s="13">
        <v>43059.458553240744</v>
      </c>
      <c r="J233" s="7">
        <v>0</v>
      </c>
      <c r="K233" s="89" t="str">
        <f t="shared" si="92"/>
        <v>4011/4012</v>
      </c>
      <c r="L233" s="184" t="str">
        <f>VLOOKUP(A233,'Trips&amp;Operators'!$C$1:$G$99911,5,FALSE)</f>
        <v>BIRENBAUM THOMAS</v>
      </c>
      <c r="M233" s="6">
        <f t="shared" si="93"/>
        <v>5.0810185202863067E-3</v>
      </c>
      <c r="N233" s="7">
        <f t="shared" si="101"/>
        <v>7.3166666692122817</v>
      </c>
      <c r="O233" s="7"/>
      <c r="P233" s="7"/>
      <c r="Q233" s="22"/>
      <c r="R233" s="173"/>
      <c r="S233" s="220">
        <f t="shared" si="102"/>
        <v>1</v>
      </c>
      <c r="T233" s="173" t="str">
        <f t="shared" si="94"/>
        <v>Southbound</v>
      </c>
      <c r="U233" s="197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15" t="str">
        <f t="shared" si="95"/>
        <v>https://d0f6bd738d7f1b3e5a7ca70fe4ff75f0.us-east-1.aws.found.io/app/kibana#/discover/Steve-Slow-Train-Analysis-(2080s-and-2083s)?_g=(refreshInterval:(display:Off,pause:!f,section:0,value:0),time:(from:'2017-11-20T09:49:26-0700',mode:absolute,to:'2017-11-20T12:00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3" s="203" t="str">
        <f>IF(AA233&lt;VLOOKUP(AG233,Variables!$AC$3:$AD$8,2,FALSE),"Y","N")</f>
        <v>Y</v>
      </c>
      <c r="X233" s="203">
        <f t="shared" si="114"/>
        <v>2</v>
      </c>
      <c r="Y233" s="203">
        <f t="shared" si="115"/>
        <v>2.3355000000000001</v>
      </c>
      <c r="Z233" s="203">
        <f t="shared" si="116"/>
        <v>9.9699999999999997E-2</v>
      </c>
      <c r="AA233" s="203">
        <f t="shared" si="96"/>
        <v>2.2358000000000002</v>
      </c>
      <c r="AB233" s="54" t="e">
        <f>VLOOKUP(A233,Enforcements!$C$7:$K$9,8,0)</f>
        <v>#N/A</v>
      </c>
      <c r="AC233" s="51" t="e">
        <f>VLOOKUP(A233,Enforcements!$C$7:$E$9,3,0)</f>
        <v>#N/A</v>
      </c>
      <c r="AD233" s="178">
        <f t="shared" si="97"/>
        <v>54</v>
      </c>
      <c r="AE233" s="77" t="str">
        <f t="shared" si="98"/>
        <v>aws s3 cp s3://rtdc.mdm.uploadarchive.raw/RTDC4011/ "%USERPROFILE%\AppData\Local\Temp\OnboardLogs"\RTDC4011\2017-11-20 --exclude "*" --recursive --include "*20171120*" &amp; "%USERPROFILE%\Documents\GitHub\mrs-test-scripts\Headless Mode &amp; Sideloading\WalkAndUnGZ.bat" "%USERPROFILE%\AppData\Local\Temp\OnboardLogs"\RTDC4011\2017-11-20 &amp; aws s3 cp s3://rtdc.mdm.uploadarchive.raw/RTDC4011/ "%USERPROFILE%\AppData\Local\Temp\OnboardLogs"\RTDC4011\2017-11-21 --exclude "*" --recursive --include "*20171121*" &amp; "%USERPROFILE%\Documents\GitHub\mrs-test-scripts\Headless Mode &amp; Sideloading\WalkAndUnGZ.bat" "%USERPROFILE%\AppData\Local\Temp\OnboardLogs"\RTDC4011\2017-11-21</v>
      </c>
      <c r="AF233" s="74" t="str">
        <f t="shared" si="99"/>
        <v>"C:\Program Files (x86)\AstroGrep\AstroGrep.exe" /e /r /s /spath="%USERPROFILE%\AppData\Local\Temp\OnboardLogs" /stypes="app*4011*20171120*" /stext=" 18:.+((SYSTEM_STATE.+slice.+state.+changed )|(ment ac)|(multiple cpu faults)|(system.+state.+changed )|(\[timeout)|(PRM\|1\|D)|(kpr)|(kdp)|(train st.+moving)|(\|lc)|(penalty))"</v>
      </c>
      <c r="AG233" s="181" t="str">
        <f t="shared" si="100"/>
        <v>Shuttle/Test</v>
      </c>
      <c r="AH233" s="78" t="str">
        <f t="shared" si="109"/>
        <v>"%USERPROFILE%\Documents\GitHub\eaglep3\Utilities\RefineRTDCRunTimes.py" --tripid 54-20 --locoid 4011 --swversion DE.1.0.9.0 --startMP 300:23355 --initTime 2017-11-20T10:49:26 --startdatetime 2017-11-20T10:53:00 --delay 58 --endMP 204:997 --enddatetime 2017-11-20T11:00:19 --enforcementcount 0 &gt;&gt;%USERPROFILE%\Documents\GitHub\eaglep3-reporting\EC\2017-11-20-refined-times.txt</v>
      </c>
      <c r="AI233" s="96" t="str">
        <f t="shared" si="110"/>
        <v>echo {"issue":{"subject":"","project_id":79,"tracker_id":40,"status_id":1,"priority_id":2,"assigned_to_id":338,"start_date":"2017-11-20","description":"","custom_fields":[{"id":1,"name":"Subdivision","value":"Shuttle/Test"},{"id":4,"name":"Milepost","value":"0.0997"},{"id":17,"name":"Train ID","value":"54-20"},{"id":16,"name":"Locomotive ID","value":"4011"},{"id":130,"name":"Impact","value":""},{"id":150,"name":"Time of Event (Mountain Time)","value":"11:00:19"},{"id":151,"name":"Denver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1" t="str">
        <f t="shared" si="111"/>
        <v>start /low /b %USERPROFILE%\Documents\GitHub\eaglep3\Utilities\DownloadLogsFromS3.py --loco 4011 --day 2017-11-20</v>
      </c>
      <c r="AN233" s="150" t="str">
        <f t="shared" si="11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18:00:19"},{"id":29,"name":"Sharepoint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7" t="str">
        <f t="shared" si="113"/>
        <v>https://d0f6bd738d7f1b3e5a7ca70fe4ff75f0.us-east-1.aws.found.io/app/kibana#/discover/Steve-Slow-Train-Analysis-(2080s-and-2083s)?_g=(refreshInterval:(display:Off,pause:!f,section:0,value:0),time:(from:'2017-11-20T09:49:26-0700',mode:absolute,to:'2017-11-20T12:00:19-0700'))&amp;_a=(columns:!('Message%20ID',Summary),filters:!(),index:'emp_*',interval:auto,query:(query_string:(analyze_wildcard:!t,query:'%22rtdc.l.rtdc.4011%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32" t="s">
        <v>764</v>
      </c>
      <c r="B234" s="7">
        <v>4012</v>
      </c>
      <c r="C234" s="21" t="s">
        <v>192</v>
      </c>
      <c r="D234" s="21" t="s">
        <v>1010</v>
      </c>
      <c r="E234" s="13">
        <v>43059.475775462961</v>
      </c>
      <c r="F234" s="13">
        <v>43059.476909722223</v>
      </c>
      <c r="G234" s="7">
        <v>49</v>
      </c>
      <c r="H234" s="21" t="s">
        <v>1011</v>
      </c>
      <c r="I234" s="13">
        <v>43059.483599537038</v>
      </c>
      <c r="J234" s="7">
        <v>0</v>
      </c>
      <c r="K234" s="89" t="str">
        <f t="shared" si="92"/>
        <v>4011/4012</v>
      </c>
      <c r="L234" s="184" t="str">
        <f>VLOOKUP(A234,'Trips&amp;Operators'!$C$1:$G$99911,5,FALSE)</f>
        <v>YORK EDGAR</v>
      </c>
      <c r="M234" s="6">
        <f t="shared" si="93"/>
        <v>6.6898148143081926E-3</v>
      </c>
      <c r="N234" s="7">
        <f t="shared" si="101"/>
        <v>9.6333333326037973</v>
      </c>
      <c r="O234" s="7"/>
      <c r="P234" s="7"/>
      <c r="Q234" s="22"/>
      <c r="R234" s="173"/>
      <c r="S234" s="220">
        <f t="shared" si="102"/>
        <v>1</v>
      </c>
      <c r="T234" s="173" t="str">
        <f t="shared" si="94"/>
        <v>NorthBound</v>
      </c>
      <c r="U234" s="197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5" t="str">
        <f t="shared" si="95"/>
        <v>https://d0f6bd738d7f1b3e5a7ca70fe4ff75f0.us-east-1.aws.found.io/app/kibana#/discover/Steve-Slow-Train-Analysis-(2080s-and-2083s)?_g=(refreshInterval:(display:Off,pause:!f,section:0,value:0),time:(from:'2017-11-20T10:25:07-0700',mode:absolute,to:'2017-11-20T12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4" s="203" t="str">
        <f>IF(AA234&lt;VLOOKUP(AG234,Variables!$AC$3:$AD$8,2,FALSE),"Y","N")</f>
        <v>Y</v>
      </c>
      <c r="X234" s="203">
        <f t="shared" si="114"/>
        <v>1</v>
      </c>
      <c r="Y234" s="203">
        <f t="shared" si="115"/>
        <v>0.13089999999999999</v>
      </c>
      <c r="Z234" s="203">
        <f t="shared" si="116"/>
        <v>2.4239000000000002</v>
      </c>
      <c r="AA234" s="203">
        <f t="shared" si="96"/>
        <v>2.2930000000000001</v>
      </c>
      <c r="AB234" s="54" t="e">
        <f>VLOOKUP(A234,Enforcements!$C$7:$K$9,8,0)</f>
        <v>#N/A</v>
      </c>
      <c r="AC234" s="51" t="e">
        <f>VLOOKUP(A234,Enforcements!$C$7:$E$9,3,0)</f>
        <v>#N/A</v>
      </c>
      <c r="AD234" s="178">
        <f t="shared" si="97"/>
        <v>55</v>
      </c>
      <c r="AE234" s="77" t="str">
        <f t="shared" si="98"/>
        <v>aws s3 cp s3://rtdc.mdm.uploadarchive.raw/RTDC4012/ "%USERPROFILE%\AppData\Local\Temp\OnboardLogs"\RTDC4012\2017-11-20 --exclude "*" --recursive --include "*20171120*" &amp; "%USERPROFILE%\Documents\GitHub\mrs-test-scripts\Headless Mode &amp; Sideloading\WalkAndUnGZ.bat" "%USERPROFILE%\AppData\Local\Temp\OnboardLogs"\RTDC4012\2017-11-20 &amp; aws s3 cp s3://rtdc.mdm.uploadarchive.raw/RTDC4012/ "%USERPROFILE%\AppData\Local\Temp\OnboardLogs"\RTDC4012\2017-11-21 --exclude "*" --recursive --include "*20171121*" &amp; "%USERPROFILE%\Documents\GitHub\mrs-test-scripts\Headless Mode &amp; Sideloading\WalkAndUnGZ.bat" "%USERPROFILE%\AppData\Local\Temp\OnboardLogs"\RTDC4012\2017-11-21</v>
      </c>
      <c r="AF234" s="74" t="str">
        <f t="shared" si="99"/>
        <v>"C:\Program Files (x86)\AstroGrep\AstroGrep.exe" /e /r /s /spath="%USERPROFILE%\AppData\Local\Temp\OnboardLogs" /stypes="app*4012*20171120*" /stext=" 18:.+((SYSTEM_STATE.+slice.+state.+changed )|(ment ac)|(multiple cpu faults)|(system.+state.+changed )|(\[timeout)|(PRM\|1\|D)|(kpr)|(kdp)|(train st.+moving)|(\|lc)|(penalty))"</v>
      </c>
      <c r="AG234" s="181" t="str">
        <f t="shared" si="100"/>
        <v>Shuttle/Test</v>
      </c>
      <c r="AH234" s="78" t="str">
        <f t="shared" si="109"/>
        <v>"%USERPROFILE%\Documents\GitHub\eaglep3\Utilities\RefineRTDCRunTimes.py" --tripid 55-20 --locoid 4012 --swversion DE.1.0.9.0 --startMP 204:1309 --initTime 2017-11-20T11:25:07 --startdatetime 2017-11-20T11:26:45 --delay 49 --endMP 300:24239 --enddatetime 2017-11-20T11:36:23 --enforcementcount 0 &gt;&gt;%USERPROFILE%\Documents\GitHub\eaglep3-reporting\EC\2017-11-20-refined-times.txt</v>
      </c>
      <c r="AI234" s="96" t="str">
        <f t="shared" si="110"/>
        <v>echo {"issue":{"subject":"","project_id":79,"tracker_id":40,"status_id":1,"priority_id":2,"assigned_to_id":338,"start_date":"2017-11-20","description":"","custom_fields":[{"id":1,"name":"Subdivision","value":"Shuttle/Test"},{"id":4,"name":"Milepost","value":"2.4239"},{"id":17,"name":"Train ID","value":"55-20"},{"id":16,"name":"Locomotive ID","value":"4012"},{"id":130,"name":"Impact","value":""},{"id":150,"name":"Time of Event (Mountain Time)","value":"11:36:23"},{"id":151,"name":"Denver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1" t="str">
        <f t="shared" si="111"/>
        <v>start /low /b %USERPROFILE%\Documents\GitHub\eaglep3\Utilities\DownloadLogsFromS3.py --loco 4012 --day 2017-11-20</v>
      </c>
      <c r="AN234" s="150" t="str">
        <f t="shared" si="11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18:36:23"},{"id":29,"name":"Sharepoint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7" t="str">
        <f t="shared" si="113"/>
        <v>https://d0f6bd738d7f1b3e5a7ca70fe4ff75f0.us-east-1.aws.found.io/app/kibana#/discover/Steve-Slow-Train-Analysis-(2080s-and-2083s)?_g=(refreshInterval:(display:Off,pause:!f,section:0,value:0),time:(from:'2017-11-20T10:25:07-0700',mode:absolute,to:'2017-11-20T12:36:23-0700'))&amp;_a=(columns:!('Message%20ID',Summary),filters:!(),index:'emp_*',interval:auto,query:(query_string:(analyze_wildcard:!t,query:'%22rtdc.l.rtdc.4012%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32" t="s">
        <v>829</v>
      </c>
      <c r="B235" s="7">
        <v>4035</v>
      </c>
      <c r="C235" s="21" t="s">
        <v>192</v>
      </c>
      <c r="D235" s="21" t="s">
        <v>1012</v>
      </c>
      <c r="E235" s="13">
        <v>43059.722233796296</v>
      </c>
      <c r="F235" s="13">
        <v>43059.724664351852</v>
      </c>
      <c r="G235" s="7">
        <v>65</v>
      </c>
      <c r="H235" s="21" t="s">
        <v>1013</v>
      </c>
      <c r="I235" s="13">
        <v>43059.737337962964</v>
      </c>
      <c r="J235" s="7">
        <v>0</v>
      </c>
      <c r="K235" s="89" t="str">
        <f t="shared" si="92"/>
        <v>4035/4036</v>
      </c>
      <c r="L235" s="184" t="str">
        <f>VLOOKUP(A235,'Trips&amp;Operators'!$C$1:$G$99911,5,FALSE)</f>
        <v>GUNTHIER ERIC</v>
      </c>
      <c r="M235" s="6">
        <f t="shared" si="93"/>
        <v>1.2673611112404615E-2</v>
      </c>
      <c r="N235" s="7">
        <f t="shared" si="101"/>
        <v>18.250000001862645</v>
      </c>
      <c r="O235" s="7"/>
      <c r="P235" s="7"/>
      <c r="Q235" s="22"/>
      <c r="R235" s="173" t="s">
        <v>1115</v>
      </c>
      <c r="S235" s="220">
        <f t="shared" si="102"/>
        <v>1</v>
      </c>
      <c r="T235" s="173" t="str">
        <f t="shared" si="94"/>
        <v>Southbound</v>
      </c>
      <c r="U235" s="197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5" t="str">
        <f t="shared" si="95"/>
        <v>https://d0f6bd738d7f1b3e5a7ca70fe4ff75f0.us-east-1.aws.found.io/app/kibana#/discover/Steve-Slow-Train-Analysis-(2080s-and-2083s)?_g=(refreshInterval:(display:Off,pause:!f,section:0,value:0),time:(from:'2017-11-20T16:20:01-0700',mode:absolute,to:'2017-11-20T18:41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35" s="203" t="str">
        <f>IF(AA235&lt;VLOOKUP(AG235,Variables!$AC$3:$AD$8,2,FALSE),"Y","N")</f>
        <v>Y</v>
      </c>
      <c r="X235" s="203">
        <f t="shared" si="114"/>
        <v>17</v>
      </c>
      <c r="Y235" s="203">
        <f t="shared" si="115"/>
        <v>2.3624000000000001</v>
      </c>
      <c r="Z235" s="203">
        <f t="shared" si="116"/>
        <v>0.1075</v>
      </c>
      <c r="AA235" s="203">
        <f t="shared" si="96"/>
        <v>2.2549000000000001</v>
      </c>
      <c r="AB235" s="54" t="e">
        <f>VLOOKUP(A235,Enforcements!$C$7:$K$9,8,0)</f>
        <v>#N/A</v>
      </c>
      <c r="AC235" s="51" t="e">
        <f>VLOOKUP(A235,Enforcements!$C$7:$E$9,3,0)</f>
        <v>#N/A</v>
      </c>
      <c r="AD235" s="178">
        <f t="shared" si="97"/>
        <v>72</v>
      </c>
      <c r="AE235" s="77" t="str">
        <f t="shared" si="98"/>
        <v>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 &amp; aws s3 cp s3://rtdc.mdm.uploadarchive.raw/RTDC4035/ "%USERPROFILE%\AppData\Local\Temp\OnboardLogs"\RTDC4035\2017-11-21 --exclude "*" --recursive --include "*20171121*" &amp; "%USERPROFILE%\Documents\GitHub\mrs-test-scripts\Headless Mode &amp; Sideloading\WalkAndUnGZ.bat" "%USERPROFILE%\AppData\Local\Temp\OnboardLogs"\RTDC4035\2017-11-21</v>
      </c>
      <c r="AF235" s="74" t="str">
        <f t="shared" si="99"/>
        <v>"C:\Program Files (x86)\AstroGrep\AstroGrep.exe" /e /r /s /spath="%USERPROFILE%\AppData\Local\Temp\OnboardLogs" /stypes="app*4035*20171121*" /stext=" 00:.+((SYSTEM_STATE.+slice.+state.+changed )|(ment ac)|(multiple cpu faults)|(system.+state.+changed )|(\[timeout)|(PRM\|1\|D)|(kpr)|(kdp)|(train st.+moving)|(\|lc)|(penalty))"</v>
      </c>
      <c r="AG235" s="181" t="str">
        <f t="shared" si="100"/>
        <v>Shuttle/Test</v>
      </c>
      <c r="AH235" s="78" t="str">
        <f t="shared" si="109"/>
        <v>"%USERPROFILE%\Documents\GitHub\eaglep3\Utilities\RefineRTDCRunTimes.py" --tripid 72-20 --locoid 4035 --swversion DE.1.0.9.0 --startMP 300:23624 --initTime 2017-11-20T17:20:01 --startdatetime 2017-11-20T17:23:31 --delay 65 --endMP 204:1075 --enddatetime 2017-11-20T17:41:46 --enforcementcount 0 &gt;&gt;%USERPROFILE%\Documents\GitHub\eaglep3-reporting\EC\2017-11-20-refined-times.txt</v>
      </c>
      <c r="AI235" s="96" t="str">
        <f t="shared" si="110"/>
        <v>echo {"issue":{"subject":"Banner without braking","project_id":79,"tracker_id":40,"status_id":1,"priority_id":2,"assigned_to_id":338,"start_date":"2017-11-20","description":"","custom_fields":[{"id":1,"name":"Subdivision","value":"Shuttle/Test"},{"id":4,"name":"Milepost","value":"0.1075"},{"id":17,"name":"Train ID","value":"72-20"},{"id":16,"name":"Locomotive ID","value":"4035"},{"id":130,"name":"Impact","value":""},{"id":150,"name":"Time of Event (Mountain Time)","value":"17:41:46"},{"id":151,"name":"Denver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1" t="str">
        <f t="shared" si="111"/>
        <v>start /low /b %USERPROFILE%\Documents\GitHub\eaglep3\Utilities\DownloadLogsFromS3.py --loco 4035 --day 2017-11-20</v>
      </c>
      <c r="AN235" s="150" t="str">
        <f t="shared" si="112"/>
        <v>echo {"issue":{"subject":"Banner without braking","project_id":30,"tracker_id":4,"status_id":1,"priority_id":1,"assigned_to_id":10,"start_date":"2017-11-21","description":"","custom_fields":[{"id":30,"name":"Category","value":"Issue"},{"id":3,"name":"Functional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00:41:46"},{"id":29,"name":"Sharepoint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7" t="str">
        <f t="shared" si="113"/>
        <v>https://d0f6bd738d7f1b3e5a7ca70fe4ff75f0.us-east-1.aws.found.io/app/kibana#/discover/Steve-Slow-Train-Analysis-(2080s-and-2083s)?_g=(refreshInterval:(display:Off,pause:!f,section:0,value:0),time:(from:'2017-11-20T16:20:01-0700',mode:absolute,to:'2017-11-20T18:41:46-0700'))&amp;_a=(columns:!('Message%20ID',Summary),filters:!(),index:'emp_*',interval:auto,query:(query_string:(analyze_wildcard:!t,query:'%22rtdc.l.rtdc.4035%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 s="32" t="s">
        <v>812</v>
      </c>
      <c r="B236" s="7">
        <v>4024</v>
      </c>
      <c r="C236" s="21" t="s">
        <v>192</v>
      </c>
      <c r="D236" s="21" t="s">
        <v>1014</v>
      </c>
      <c r="E236" s="13">
        <v>43059.6721875</v>
      </c>
      <c r="F236" s="13">
        <v>43059.691828703704</v>
      </c>
      <c r="G236" s="7">
        <v>114</v>
      </c>
      <c r="H236" s="21" t="s">
        <v>642</v>
      </c>
      <c r="I236" s="13">
        <v>43059.696805555555</v>
      </c>
      <c r="J236" s="7">
        <v>0</v>
      </c>
      <c r="K236" s="89" t="str">
        <f t="shared" si="92"/>
        <v>4023/4024</v>
      </c>
      <c r="L236" s="184" t="str">
        <f>VLOOKUP(A236,'Trips&amp;Operators'!$C$1:$G$99911,5,FALSE)</f>
        <v>ROMERO CHAD</v>
      </c>
      <c r="M236" s="6">
        <f t="shared" si="93"/>
        <v>4.9768518510973081E-3</v>
      </c>
      <c r="N236" s="7">
        <f t="shared" si="101"/>
        <v>7.1666666655801237</v>
      </c>
      <c r="O236" s="7"/>
      <c r="P236" s="7"/>
      <c r="Q236" s="22"/>
      <c r="R236" s="173"/>
      <c r="S236" s="220">
        <f t="shared" si="102"/>
        <v>1</v>
      </c>
      <c r="T236" s="173" t="str">
        <f t="shared" si="94"/>
        <v>NorthBound</v>
      </c>
      <c r="U236" s="197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15" t="str">
        <f t="shared" si="95"/>
        <v>https://d0f6bd738d7f1b3e5a7ca70fe4ff75f0.us-east-1.aws.found.io/app/kibana#/discover/Steve-Slow-Train-Analysis-(2080s-and-2083s)?_g=(refreshInterval:(display:Off,pause:!f,section:0,value:0),time:(from:'2017-11-20T15:07:57-0700',mode:absolute,to:'2017-11-20T17:43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6" s="203" t="str">
        <f>IF(AA236&lt;VLOOKUP(AG236,Variables!$AC$3:$AD$8,2,FALSE),"Y","N")</f>
        <v>Y</v>
      </c>
      <c r="X236" s="203">
        <f t="shared" si="114"/>
        <v>3</v>
      </c>
      <c r="Y236" s="203">
        <f t="shared" si="115"/>
        <v>0.14749999999999999</v>
      </c>
      <c r="Z236" s="203">
        <f t="shared" si="116"/>
        <v>2.3296999999999999</v>
      </c>
      <c r="AA236" s="203">
        <f t="shared" si="96"/>
        <v>2.1821999999999999</v>
      </c>
      <c r="AB236" s="54" t="e">
        <f>VLOOKUP(A236,Enforcements!$C$7:$K$9,8,0)</f>
        <v>#N/A</v>
      </c>
      <c r="AC236" s="51" t="e">
        <f>VLOOKUP(A236,Enforcements!$C$7:$E$9,3,0)</f>
        <v>#N/A</v>
      </c>
      <c r="AD236" s="178">
        <f t="shared" si="97"/>
        <v>75</v>
      </c>
      <c r="AE236" s="77" t="str">
        <f t="shared" si="98"/>
        <v>aws s3 cp s3://rtdc.mdm.uploadarchive.raw/RTDC4024/ "%USERPROFILE%\AppData\Local\Temp\OnboardLogs"\RTDC4024\2017-11-20 --exclude "*" --recursive --include "*20171120*" &amp; "%USERPROFILE%\Documents\GitHub\mrs-test-scripts\Headless Mode &amp; Sideloading\WalkAndUnGZ.bat" "%USERPROFILE%\AppData\Local\Temp\OnboardLogs"\RTDC4024\2017-11-20 &amp; aws s3 cp s3://rtdc.mdm.uploadarchive.raw/RTDC4024/ "%USERPROFILE%\AppData\Local\Temp\OnboardLogs"\RTDC4024\2017-11-21 --exclude "*" --recursive --include "*20171121*" &amp; "%USERPROFILE%\Documents\GitHub\mrs-test-scripts\Headless Mode &amp; Sideloading\WalkAndUnGZ.bat" "%USERPROFILE%\AppData\Local\Temp\OnboardLogs"\RTDC4024\2017-11-21</v>
      </c>
      <c r="AF236" s="74" t="str">
        <f t="shared" si="99"/>
        <v>"C:\Program Files (x86)\AstroGrep\AstroGrep.exe" /e /r /s /spath="%USERPROFILE%\AppData\Local\Temp\OnboardLogs" /stypes="app*4024*20171120*" /stext=" 23:.+((SYSTEM_STATE.+slice.+state.+changed )|(ment ac)|(multiple cpu faults)|(system.+state.+changed )|(\[timeout)|(PRM\|1\|D)|(kpr)|(kdp)|(train st.+moving)|(\|lc)|(penalty))"</v>
      </c>
      <c r="AG236" s="181" t="str">
        <f t="shared" si="100"/>
        <v>Shuttle/Test</v>
      </c>
      <c r="AH236" s="78" t="str">
        <f t="shared" si="109"/>
        <v>"%USERPROFILE%\Documents\GitHub\eaglep3\Utilities\RefineRTDCRunTimes.py" --tripid 75-20 --locoid 4024 --swversion DE.1.0.9.0 --startMP 204:1475 --initTime 2017-11-20T16:07:57 --startdatetime 2017-11-20T16:36:14 --delay 114 --endMP 300:23297 --enddatetime 2017-11-20T16:43:24 --enforcementcount 0 &gt;&gt;%USERPROFILE%\Documents\GitHub\eaglep3-reporting\EC\2017-11-20-refined-times.txt</v>
      </c>
      <c r="AI236" s="96" t="str">
        <f t="shared" si="110"/>
        <v>echo {"issue":{"subject":"","project_id":79,"tracker_id":40,"status_id":1,"priority_id":2,"assigned_to_id":338,"start_date":"2017-11-20","description":"","custom_fields":[{"id":1,"name":"Subdivision","value":"Shuttle/Test"},{"id":4,"name":"Milepost","value":"2.3297"},{"id":17,"name":"Train ID","value":"75-20"},{"id":16,"name":"Locomotive ID","value":"4024"},{"id":130,"name":"Impact","value":""},{"id":150,"name":"Time of Event (Mountain Time)","value":"16:43:24"},{"id":151,"name":"Denver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1" t="str">
        <f t="shared" si="111"/>
        <v>start /low /b %USERPROFILE%\Documents\GitHub\eaglep3\Utilities\DownloadLogsFromS3.py --loco 4024 --day 2017-11-20</v>
      </c>
      <c r="AN236" s="150" t="str">
        <f t="shared" si="112"/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23:43:24"},{"id":29,"name":"Sharepoint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7" t="str">
        <f t="shared" si="113"/>
        <v>https://d0f6bd738d7f1b3e5a7ca70fe4ff75f0.us-east-1.aws.found.io/app/kibana#/discover/Steve-Slow-Train-Analysis-(2080s-and-2083s)?_g=(refreshInterval:(display:Off,pause:!f,section:0,value:0),time:(from:'2017-11-20T15:07:57-0700',mode:absolute,to:'2017-11-20T17:43:24-0700'))&amp;_a=(columns:!('Message%20ID',Summary),filters:!(),index:'emp_*',interval:auto,query:(query_string:(analyze_wildcard:!t,query:'%22rtdc.l.rtdc.4024%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 s="32" t="s">
        <v>822</v>
      </c>
      <c r="B237" s="7">
        <v>4016</v>
      </c>
      <c r="C237" s="21" t="s">
        <v>192</v>
      </c>
      <c r="D237" s="21" t="s">
        <v>643</v>
      </c>
      <c r="E237" s="13">
        <v>43059.705150462964</v>
      </c>
      <c r="F237" s="13">
        <v>43059.711157407408</v>
      </c>
      <c r="G237" s="7">
        <v>62</v>
      </c>
      <c r="H237" s="21" t="s">
        <v>541</v>
      </c>
      <c r="I237" s="13">
        <v>43059.732314814813</v>
      </c>
      <c r="J237" s="7">
        <v>0</v>
      </c>
      <c r="K237" s="89" t="str">
        <f t="shared" si="92"/>
        <v>4015/4016</v>
      </c>
      <c r="L237" s="184" t="str">
        <f>VLOOKUP(A237,'Trips&amp;Operators'!$C$1:$G$99911,5,FALSE)</f>
        <v>BROWN JACOB</v>
      </c>
      <c r="M237" s="6">
        <f t="shared" si="93"/>
        <v>2.1157407405553386E-2</v>
      </c>
      <c r="N237" s="7">
        <f t="shared" si="101"/>
        <v>30.466666663996875</v>
      </c>
      <c r="O237" s="7"/>
      <c r="P237" s="7"/>
      <c r="Q237" s="22"/>
      <c r="R237" s="173"/>
      <c r="S237" s="220">
        <f t="shared" si="102"/>
        <v>1</v>
      </c>
      <c r="T237" s="173" t="str">
        <f t="shared" si="94"/>
        <v>NorthBound</v>
      </c>
      <c r="U237" s="197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15" t="str">
        <f t="shared" si="95"/>
        <v>https://d0f6bd738d7f1b3e5a7ca70fe4ff75f0.us-east-1.aws.found.io/app/kibana#/discover/Steve-Slow-Train-Analysis-(2080s-and-2083s)?_g=(refreshInterval:(display:Off,pause:!f,section:0,value:0),time:(from:'2017-11-20T15:55:25-0700',mode:absolute,to:'2017-11-20T18:34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7" s="203" t="str">
        <f>IF(AA237&lt;VLOOKUP(AG237,Variables!$AC$3:$AD$8,2,FALSE),"Y","N")</f>
        <v>Y</v>
      </c>
      <c r="X237" s="203">
        <f t="shared" si="114"/>
        <v>2</v>
      </c>
      <c r="Y237" s="203">
        <f t="shared" si="115"/>
        <v>0.115</v>
      </c>
      <c r="Z237" s="203">
        <f t="shared" si="116"/>
        <v>2.3308</v>
      </c>
      <c r="AA237" s="203">
        <f t="shared" si="96"/>
        <v>2.2157999999999998</v>
      </c>
      <c r="AB237" s="54" t="e">
        <f>VLOOKUP(A237,Enforcements!$C$7:$K$9,8,0)</f>
        <v>#N/A</v>
      </c>
      <c r="AC237" s="51" t="e">
        <f>VLOOKUP(A237,Enforcements!$C$7:$E$9,3,0)</f>
        <v>#N/A</v>
      </c>
      <c r="AD237" s="178">
        <f t="shared" si="97"/>
        <v>77</v>
      </c>
      <c r="AE237" s="77" t="str">
        <f t="shared" si="98"/>
        <v>aws s3 cp s3://rtdc.mdm.uploadarchive.raw/RTDC4016/ "%USERPROFILE%\AppData\Local\Temp\OnboardLogs"\RTDC4016\2017-11-20 --exclude "*" --recursive --include "*20171120*" &amp; "%USERPROFILE%\Documents\GitHub\mrs-test-scripts\Headless Mode &amp; Sideloading\WalkAndUnGZ.bat" "%USERPROFILE%\AppData\Local\Temp\OnboardLogs"\RTDC4016\2017-11-20 &amp; aws s3 cp s3://rtdc.mdm.uploadarchive.raw/RTDC4016/ "%USERPROFILE%\AppData\Local\Temp\OnboardLogs"\RTDC4016\2017-11-21 --exclude "*" --recursive --include "*20171121*" &amp; "%USERPROFILE%\Documents\GitHub\mrs-test-scripts\Headless Mode &amp; Sideloading\WalkAndUnGZ.bat" "%USERPROFILE%\AppData\Local\Temp\OnboardLogs"\RTDC4016\2017-11-21</v>
      </c>
      <c r="AF237" s="74" t="str">
        <f t="shared" si="99"/>
        <v>"C:\Program Files (x86)\AstroGrep\AstroGrep.exe" /e /r /s /spath="%USERPROFILE%\AppData\Local\Temp\OnboardLogs" /stypes="app*4016*20171121*" /stext=" 00:.+((SYSTEM_STATE.+slice.+state.+changed )|(ment ac)|(multiple cpu faults)|(system.+state.+changed )|(\[timeout)|(PRM\|1\|D)|(kpr)|(kdp)|(train st.+moving)|(\|lc)|(penalty))"</v>
      </c>
      <c r="AG237" s="181" t="str">
        <f t="shared" si="100"/>
        <v>Shuttle/Test</v>
      </c>
      <c r="AH237" s="78" t="str">
        <f t="shared" si="109"/>
        <v>"%USERPROFILE%\Documents\GitHub\eaglep3\Utilities\RefineRTDCRunTimes.py" --tripid 77-20 --locoid 4016 --swversion DE.1.0.9.0 --startMP 204:1150 --initTime 2017-11-20T16:55:25 --startdatetime 2017-11-20T17:04:04 --delay 62 --endMP 300:23308 --enddatetime 2017-11-20T17:34:32 --enforcementcount 0 &gt;&gt;%USERPROFILE%\Documents\GitHub\eaglep3-reporting\EC\2017-11-20-refined-times.txt</v>
      </c>
      <c r="AI237" s="96" t="str">
        <f t="shared" si="110"/>
        <v>echo {"issue":{"subject":"","project_id":79,"tracker_id":40,"status_id":1,"priority_id":2,"assigned_to_id":338,"start_date":"2017-11-20","description":"","custom_fields":[{"id":1,"name":"Subdivision","value":"Shuttle/Test"},{"id":4,"name":"Milepost","value":"2.3308"},{"id":17,"name":"Train ID","value":"77-20"},{"id":16,"name":"Locomotive ID","value":"4016"},{"id":130,"name":"Impact","value":""},{"id":150,"name":"Time of Event (Mountain Time)","value":"17:34:32"},{"id":151,"name":"Denver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1" t="str">
        <f t="shared" si="111"/>
        <v>start /low /b %USERPROFILE%\Documents\GitHub\eaglep3\Utilities\DownloadLogsFromS3.py --loco 4016 --day 2017-11-20</v>
      </c>
      <c r="AN237" s="150" t="str">
        <f t="shared" si="112"/>
        <v>echo {"issue":{"subject":"","project_id":30,"tracker_id":4,"status_id":1,"priority_id":1,"assigned_to_id":10,"start_date":"2017-11-21","description":"","custom_fields":[{"id":30,"name":"Category","value":"Issue"},{"id":3,"name":"Functional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UTC","value":"2017-11-21 00:34:32"},{"id":29,"name":"Sharepoint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7" t="str">
        <f t="shared" si="113"/>
        <v>https://d0f6bd738d7f1b3e5a7ca70fe4ff75f0.us-east-1.aws.found.io/app/kibana#/discover/Steve-Slow-Train-Analysis-(2080s-and-2083s)?_g=(refreshInterval:(display:Off,pause:!f,section:0,value:0),time:(from:'2017-11-20T15:55:25-0700',mode:absolute,to:'2017-11-20T18:34:32-0700'))&amp;_a=(columns:!('Message%20ID',Summary),filters:!(),index:'emp_*',interval:auto,query:(query_string:(analyze_wildcard:!t,query:'%22rtdc.l.rtdc.4016%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M381"/>
      <c r="AO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9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M388"/>
      <c r="AO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M395"/>
      <c r="AO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9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s="20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s="20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s="20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s="20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4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4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4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4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4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4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4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4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4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4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4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4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4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4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4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4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4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4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</sheetData>
  <autoFilter ref="A12:AG493">
    <sortState ref="A13:AG493">
      <sortCondition ref="AG13:AG237"/>
      <sortCondition ref="AD13:AD237"/>
    </sortState>
  </autoFilter>
  <sortState ref="A13:AN398">
    <sortCondition ref="AG13:AG398"/>
    <sortCondition ref="AD13:AD398"/>
  </sortState>
  <mergeCells count="1">
    <mergeCell ref="A11:P11"/>
  </mergeCells>
  <conditionalFormatting sqref="W11:W12 W499:X1048576 W13:X237">
    <cfRule type="cellIs" dxfId="10" priority="465" operator="equal">
      <formula>"Y"</formula>
    </cfRule>
  </conditionalFormatting>
  <conditionalFormatting sqref="X499:X1048576 X13:X237">
    <cfRule type="cellIs" dxfId="9" priority="448" operator="greaterThan">
      <formula>1</formula>
    </cfRule>
  </conditionalFormatting>
  <conditionalFormatting sqref="X499:X1048576 X12:X237">
    <cfRule type="cellIs" dxfId="8" priority="445" operator="equal">
      <formula>0</formula>
    </cfRule>
  </conditionalFormatting>
  <conditionalFormatting sqref="A13:S237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AK13:AK237</xm:sqref>
        </x14:dataValidation>
        <x14:dataValidation type="list" allowBlank="1" showInputMessage="1" showErrorMessage="1">
          <x14:formula1>
            <xm:f>'Redmine List Values'!$C$2:$C$15</xm:f>
          </x14:formula1>
          <xm:sqref>AL13:AL237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4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2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7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1">
        <f>COUNTIF($O$7:$O$171,"=Y")</f>
        <v>11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2">
        <f>COUNTA($O$7:$O$171)-O2</f>
        <v>13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26" t="str">
        <f>"Eagle P3 Braking Events - "&amp;TEXT(Variables!$A$2,"YYYY-mm-dd")</f>
        <v>Eagle P3 Braking Events - 2017-11-20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43059.795949074076</v>
      </c>
      <c r="B7" s="30" t="s">
        <v>666</v>
      </c>
      <c r="C7" s="30" t="s">
        <v>670</v>
      </c>
      <c r="D7" s="30" t="s">
        <v>49</v>
      </c>
      <c r="E7" s="30" t="s">
        <v>183</v>
      </c>
      <c r="F7" s="42">
        <v>0</v>
      </c>
      <c r="G7" s="42">
        <v>207</v>
      </c>
      <c r="H7" s="42">
        <v>26935</v>
      </c>
      <c r="I7" s="42">
        <v>27275</v>
      </c>
      <c r="J7" s="30" t="s">
        <v>184</v>
      </c>
      <c r="K7" s="42">
        <v>27053</v>
      </c>
      <c r="L7" s="131" t="s">
        <v>50</v>
      </c>
      <c r="M7" s="132">
        <f t="shared" ref="M7:M30" si="0">CONVERT((I7-K7)/10000,"mi","ft")*IF(L7="Increasing Mileposts (1)",-1,1)</f>
        <v>-117.21599999999999</v>
      </c>
      <c r="N7" s="133" t="str">
        <f>VLOOKUP(C7,'Trips&amp;Operators'!$C$1:$G$99911,5,FALSE)</f>
        <v>ELBAUM MIKE</v>
      </c>
      <c r="O7" s="175" t="s">
        <v>178</v>
      </c>
      <c r="P7" s="134" t="s">
        <v>576</v>
      </c>
      <c r="Q7" s="30"/>
      <c r="R7" s="81" t="str">
        <f>VLOOKUP(C7,'Train Runs'!$A$13:$AE$10152,31,0)</f>
        <v>aws s3 cp s3://rtdc.mdm.uploadarchive.raw/RTDC4026/ "%USERPROFILE%\AppData\Local\Temp\OnboardLogs"\RTDC4026\2017-11-20 --exclude "*" --recursive --include "*20171120*" &amp; "%USERPROFILE%\Documents\GitHub\mrs-test-scripts\Headless Mode &amp; Sideloading\WalkAndUnGZ.bat" "%USERPROFILE%\AppData\Local\Temp\OnboardLogs"\RTDC4026\2017-11-20 &amp; aws s3 cp s3://rtdc.mdm.uploadarchive.raw/RTDC4026/ "%USERPROFILE%\AppData\Local\Temp\OnboardLogs"\RTDC4026\2017-11-21 --exclude "*" --recursive --include "*20171121*" &amp; "%USERPROFILE%\Documents\GitHub\mrs-test-scripts\Headless Mode &amp; Sideloading\WalkAndUnGZ.bat" "%USERPROFILE%\AppData\Local\Temp\OnboardLogs"\RTDC4026\2017-11-21</v>
      </c>
      <c r="S7" s="84" t="str">
        <f>VLOOKUP(C7,'Train Runs'!$A$13:$AE$10152,22,0)</f>
        <v>https://d0f6bd738d7f1b3e5a7ca70fe4ff75f0.us-east-1.aws.found.io/app/kibana#/discover/Steve-Slow-Train-Analysis-(2080s-and-2083s)?_g=(refreshInterval:(display:Off,pause:!f,section:0,value:0),time:(from:'2017-11-20T17:51:55-0700',mode:absolute,to:'2017-11-20T20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7" s="86" t="str">
        <f t="shared" ref="T7:T30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/stypes="*4026*201711210*" /stext=" 02:.+((SYSTEM_STATE.+slice.+state.+changed )|(ment ac)|(multiple cpu faults)|(system.+state.+changed )|(\[timeout)|(PRM\|1\|D)|(kpr)|(kdp)|(train st.+moving)|(\|lc)|(penalty))"</v>
      </c>
      <c r="U7" s="9" t="str">
        <f t="shared" ref="U7:U30" si="2">MID(B7,13,4)</f>
        <v>4026</v>
      </c>
      <c r="V7" s="31">
        <f t="shared" ref="V7:V30" si="3">A7-utc_offset/24</f>
        <v>43060.08761574074</v>
      </c>
      <c r="W7" s="45" t="str">
        <f t="shared" ref="W7:W30" si="4">DetSubdiv(C7)</f>
        <v>EC</v>
      </c>
      <c r="X7" s="22">
        <f t="shared" ref="X7:X30" si="5">VALUE(LEFT(C7,LEN(C7)-3))</f>
        <v>221</v>
      </c>
      <c r="Y7" s="96" t="str">
        <f t="shared" ref="Y7:Y3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Arrival","project_id":79,"tracker_id":40,"status_id":1,"priority_id":2,"assigned_to_id":338,"start_date":"2017-11-20","description":"","custom_fields":[{"id":1,"name":"Subdivision","value":"EC"},{"id":4,"name":"Milepost","value":"2.7053"},{"id":17,"name":"Train ID","value":"221-20"},{"id":16,"name":"Locomotive ID","value":"4026"},{"id":130,"name":"Impact","value":""},{"id":150,"name":"Time of Event (Mountain Time)","value":"19:06:10"},{"id":151,"name":"Denver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30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/c/Users/stu/AppData/Local/Temp/OnboardLogs/RTDC4026 --include="*4026*201711210*"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"%USERPROFILE%\AppData\Local\Temp\OnboardLogs"\RTDC4026\*4026*201711210* &gt;&gt; 2017-11-20-SliceDisagreementCheck.txt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4026 --day 2017-11-21</v>
      </c>
    </row>
    <row r="8" spans="1:32" s="1" customFormat="1" x14ac:dyDescent="0.25">
      <c r="A8" s="31">
        <v>43059.415451388886</v>
      </c>
      <c r="B8" s="30" t="s">
        <v>647</v>
      </c>
      <c r="C8" s="30" t="s">
        <v>657</v>
      </c>
      <c r="D8" s="30" t="s">
        <v>49</v>
      </c>
      <c r="E8" s="30" t="s">
        <v>183</v>
      </c>
      <c r="F8" s="42">
        <v>0</v>
      </c>
      <c r="G8" s="42">
        <v>192</v>
      </c>
      <c r="H8" s="42">
        <v>27378</v>
      </c>
      <c r="I8" s="42">
        <v>27115</v>
      </c>
      <c r="J8" s="30" t="s">
        <v>184</v>
      </c>
      <c r="K8" s="42">
        <v>27350</v>
      </c>
      <c r="L8" s="131" t="s">
        <v>51</v>
      </c>
      <c r="M8" s="132">
        <f t="shared" si="0"/>
        <v>-124.08</v>
      </c>
      <c r="N8" s="133" t="str">
        <f>VLOOKUP(C8,'Trips&amp;Operators'!$C$1:$G$99911,5,FALSE)</f>
        <v>THOMPSON LESTER</v>
      </c>
      <c r="O8" s="175" t="s">
        <v>178</v>
      </c>
      <c r="P8" s="134" t="s">
        <v>576</v>
      </c>
      <c r="Q8" s="30"/>
      <c r="R8" s="81" t="str">
        <f>VLOOKUP(C8,'Train Runs'!$A$13:$AE$10152,31,0)</f>
        <v>aws s3 cp s3://rtdc.mdm.uploadarchive.raw/RTDC4025/ "%USERPROFILE%\AppData\Local\Temp\OnboardLogs"\RTDC4025\2017-11-20 --exclude "*" --recursive --include "*20171120*" &amp; "%USERPROFILE%\Documents\GitHub\mrs-test-scripts\Headless Mode &amp; Sideloading\WalkAndUnGZ.bat" "%USERPROFILE%\AppData\Local\Temp\OnboardLogs"\RTDC4025\2017-11-20 &amp; aws s3 cp s3://rtdc.mdm.uploadarchive.raw/RTDC4025/ "%USERPROFILE%\AppData\Local\Temp\OnboardLogs"\RTDC4025\2017-11-21 --exclude "*" --recursive --include "*20171121*" &amp; "%USERPROFILE%\Documents\GitHub\mrs-test-scripts\Headless Mode &amp; Sideloading\WalkAndUnGZ.bat" "%USERPROFILE%\AppData\Local\Temp\OnboardLogs"\RTDC4025\2017-11-21</v>
      </c>
      <c r="S8" s="84" t="str">
        <f>VLOOKUP(C8,'Train Runs'!$A$13:$AE$10152,22,0)</f>
        <v>https://d0f6bd738d7f1b3e5a7ca70fe4ff75f0.us-east-1.aws.found.io/app/kibana#/discover/Steve-Slow-Train-Analysis-(2080s-and-2083s)?_g=(refreshInterval:(display:Off,pause:!f,section:0,value:0),time:(from:'2017-11-20T08:24:53-0700',mode:absolute,to:'2017-11-20T11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8" s="86" t="str">
        <f t="shared" si="1"/>
        <v>"C:\Program Files (x86)\AstroGrep\AstroGrep.exe" /e /r /s /spath="%USERPROFILE%\AppData\Local\Temp\OnboardLogs" /stypes="*4025*201711201*" /stext=" 16:.+((SYSTEM_STATE.+slice.+state.+changed )|(ment ac)|(multiple cpu faults)|(system.+state.+changed )|(\[timeout)|(PRM\|1\|D)|(kpr)|(kdp)|(train st.+moving)|(\|lc)|(penalty))"</v>
      </c>
      <c r="U8" s="9" t="str">
        <f t="shared" si="2"/>
        <v>4025</v>
      </c>
      <c r="V8" s="31">
        <f t="shared" si="3"/>
        <v>43059.70711805555</v>
      </c>
      <c r="W8" s="45" t="str">
        <f t="shared" si="4"/>
        <v>EC</v>
      </c>
      <c r="X8" s="22">
        <f t="shared" si="5"/>
        <v>140</v>
      </c>
      <c r="Y8" s="96" t="str">
        <f t="shared" si="6"/>
        <v>echo {"issue":{"subject":"Early Arrival","project_id":79,"tracker_id":40,"status_id":1,"priority_id":2,"assigned_to_id":338,"start_date":"2017-11-20","description":"","custom_fields":[{"id":1,"name":"Subdivision","value":"EC"},{"id":4,"name":"Milepost","value":"2.735"},{"id":17,"name":"Train ID","value":"140-20"},{"id":16,"name":"Locomotive ID","value":"4025"},{"id":130,"name":"Impact","value":""},{"id":150,"name":"Time of Event (Mountain Time)","value":"09:58:15"},{"id":151,"name":"Denver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47"/>
      <c r="AB8" s="47"/>
      <c r="AC8" s="115" t="str">
        <f t="shared" si="7"/>
        <v>grep -hrE -A400 "Enforcement Action" /c/Users/stu/AppData/Local/Temp/OnboardLogs/RTDC4025 --include="*4025*201711201*"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"%USERPROFILE%\AppData\Local\Temp\OnboardLogs"\RTDC4025\*4025*201711201* &gt;&gt; 2017-11-20-SliceDisagreementCheck.txt</v>
      </c>
      <c r="AE8" s="144" t="str">
        <f t="shared" ref="AE8:AE30" si="9">"start /low /b "&amp;dls3logs&amp;" --loco "&amp;U8&amp;" --day "&amp;TEXT(V8,"YYYY-MM-DD")</f>
        <v>start /low /b %USERPROFILE%\Documents\GitHub\eaglep3\Utilities\DownloadLogsFromS3.py --loco 4025 --day 2017-11-20</v>
      </c>
    </row>
    <row r="9" spans="1:32" s="1" customFormat="1" x14ac:dyDescent="0.25">
      <c r="A9" s="31">
        <v>43059.162048611113</v>
      </c>
      <c r="B9" s="30" t="s">
        <v>360</v>
      </c>
      <c r="C9" s="30" t="s">
        <v>645</v>
      </c>
      <c r="D9" s="30" t="s">
        <v>49</v>
      </c>
      <c r="E9" s="30" t="s">
        <v>183</v>
      </c>
      <c r="F9" s="42">
        <v>30</v>
      </c>
      <c r="G9" s="42">
        <v>134</v>
      </c>
      <c r="H9" s="42">
        <v>32598</v>
      </c>
      <c r="I9" s="42">
        <v>33032</v>
      </c>
      <c r="J9" s="30" t="s">
        <v>184</v>
      </c>
      <c r="K9" s="42">
        <v>33137</v>
      </c>
      <c r="L9" s="131" t="s">
        <v>50</v>
      </c>
      <c r="M9" s="132">
        <f t="shared" si="0"/>
        <v>55.44</v>
      </c>
      <c r="N9" s="133" t="str">
        <f>VLOOKUP(C9,'Trips&amp;Operators'!$C$1:$G$99911,5,FALSE)</f>
        <v>STARKS ANGELINA</v>
      </c>
      <c r="O9" s="175" t="s">
        <v>178</v>
      </c>
      <c r="P9" s="134" t="s">
        <v>1114</v>
      </c>
      <c r="Q9" s="30"/>
      <c r="R9" s="81" t="str">
        <f>VLOOKUP(C9,'Train Runs'!$A$13:$AE$10152,31,0)</f>
        <v>aws s3 cp s3://rtdc.mdm.uploadarchive.raw/RTDC4018/ "%USERPROFILE%\AppData\Local\Temp\OnboardLogs"\RTDC4018\2017-11-20 --exclude "*" --recursive --include "*20171120*" &amp; "%USERPROFILE%\Documents\GitHub\mrs-test-scripts\Headless Mode &amp; Sideloading\WalkAndUnGZ.bat" "%USERPROFILE%\AppData\Local\Temp\OnboardLogs"\RTDC4018\2017-11-20 &amp; aws s3 cp s3://rtdc.mdm.uploadarchive.raw/RTDC4018/ "%USERPROFILE%\AppData\Local\Temp\OnboardLogs"\RTDC4018\2017-11-21 --exclude "*" --recursive --include "*20171121*" &amp; "%USERPROFILE%\Documents\GitHub\mrs-test-scripts\Headless Mode &amp; Sideloading\WalkAndUnGZ.bat" "%USERPROFILE%\AppData\Local\Temp\OnboardLogs"\RTDC4018\2017-11-21</v>
      </c>
      <c r="S9" s="84" t="str">
        <f>VLOOKUP(C9,'Train Runs'!$A$13:$AE$10152,22,0)</f>
        <v>https://d0f6bd738d7f1b3e5a7ca70fe4ff75f0.us-east-1.aws.found.io/app/kibana#/discover/Steve-Slow-Train-Analysis-(2080s-and-2083s)?_g=(refreshInterval:(display:Off,pause:!f,section:0,value:0),time:(from:'2017-11-20T02:41:28-0700',mode:absolute,to:'2017-11-20T05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9" s="86" t="str">
        <f t="shared" si="1"/>
        <v>"C:\Program Files (x86)\AstroGrep\AstroGrep.exe" /e /r /s /spath="%USERPROFILE%\AppData\Local\Temp\OnboardLogs" /stypes="*4018*201711201*" /stext=" 10:.+((SYSTEM_STATE.+slice.+state.+changed )|(ment ac)|(multiple cpu faults)|(system.+state.+changed )|(\[timeout)|(PRM\|1\|D)|(kpr)|(kdp)|(train st.+moving)|(\|lc)|(penalty))"</v>
      </c>
      <c r="U9" s="9" t="str">
        <f t="shared" si="2"/>
        <v>4018</v>
      </c>
      <c r="V9" s="31">
        <f t="shared" si="3"/>
        <v>43059.453715277778</v>
      </c>
      <c r="W9" s="45" t="str">
        <f t="shared" si="4"/>
        <v>EC</v>
      </c>
      <c r="X9" s="22">
        <f t="shared" si="5"/>
        <v>103</v>
      </c>
      <c r="Y9" s="96" t="str">
        <f t="shared" si="6"/>
        <v>echo {"issue":{"subject":"Early Arrival caused by Wi-MAX data drop","project_id":79,"tracker_id":40,"status_id":1,"priority_id":2,"assigned_to_id":338,"start_date":"2017-11-20","description":"","custom_fields":[{"id":1,"name":"Subdivision","value":"EC"},{"id":4,"name":"Milepost","value":"3.3137"},{"id":17,"name":"Train ID","value":"103-20"},{"id":16,"name":"Locomotive ID","value":"4018"},{"id":130,"name":"Impact","value":""},{"id":150,"name":"Time of Event (Mountain Time)","value":"03:53:21"},{"id":151,"name":"Denver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47"/>
      <c r="AB9" s="47"/>
      <c r="AC9" s="115" t="str">
        <f t="shared" si="7"/>
        <v>grep -hrE -A400 "Enforcement Action" /c/Users/stu/AppData/Local/Temp/OnboardLogs/RTDC4018 --include="*4018*201711201*"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"%USERPROFILE%\AppData\Local\Temp\OnboardLogs"\RTDC4018\*4018*201711201* &gt;&gt; 2017-11-20-SliceDisagreementCheck.txt</v>
      </c>
      <c r="AE9" s="144" t="str">
        <f t="shared" si="9"/>
        <v>start /low /b %USERPROFILE%\Documents\GitHub\eaglep3\Utilities\DownloadLogsFromS3.py --loco 4018 --day 2017-11-20</v>
      </c>
    </row>
    <row r="10" spans="1:32" x14ac:dyDescent="0.25">
      <c r="A10" s="31">
        <v>43059.507627314815</v>
      </c>
      <c r="B10" s="30" t="s">
        <v>362</v>
      </c>
      <c r="C10" s="30" t="s">
        <v>663</v>
      </c>
      <c r="D10" s="30" t="s">
        <v>49</v>
      </c>
      <c r="E10" s="30" t="s">
        <v>183</v>
      </c>
      <c r="F10" s="42">
        <v>0</v>
      </c>
      <c r="G10" s="42">
        <v>253</v>
      </c>
      <c r="H10" s="42">
        <v>58538</v>
      </c>
      <c r="I10" s="42">
        <v>57979</v>
      </c>
      <c r="J10" s="30" t="s">
        <v>184</v>
      </c>
      <c r="K10" s="42">
        <v>58301</v>
      </c>
      <c r="L10" s="131" t="s">
        <v>51</v>
      </c>
      <c r="M10" s="132">
        <f t="shared" si="0"/>
        <v>-170.01599999999999</v>
      </c>
      <c r="N10" s="133" t="str">
        <f>VLOOKUP(C10,'Trips&amp;Operators'!$C$1:$G$99911,5,FALSE)</f>
        <v>BADERTSCHER DIANE</v>
      </c>
      <c r="O10" s="175" t="s">
        <v>178</v>
      </c>
      <c r="P10" s="134" t="s">
        <v>576</v>
      </c>
      <c r="Q10" s="30"/>
      <c r="R10" s="81" t="str">
        <f>VLOOKUP(C10,'Train Runs'!$A$13:$AE$10152,31,0)</f>
        <v>aws s3 cp s3://rtdc.mdm.uploadarchive.raw/RTDC4017/ "%USERPROFILE%\AppData\Local\Temp\OnboardLogs"\RTDC4017\2017-11-20 --exclude "*" --recursive --include "*20171120*" &amp; "%USERPROFILE%\Documents\GitHub\mrs-test-scripts\Headless Mode &amp; Sideloading\WalkAndUnGZ.bat" "%USERPROFILE%\AppData\Local\Temp\OnboardLogs"\RTDC4017\2017-11-20 &amp; aws s3 cp s3://rtdc.mdm.uploadarchive.raw/RTDC4017/ "%USERPROFILE%\AppData\Local\Temp\OnboardLogs"\RTDC4017\2017-11-21 --exclude "*" --recursive --include "*20171121*" &amp; "%USERPROFILE%\Documents\GitHub\mrs-test-scripts\Headless Mode &amp; Sideloading\WalkAndUnGZ.bat" "%USERPROFILE%\AppData\Local\Temp\OnboardLogs"\RTDC4017\2017-11-21</v>
      </c>
      <c r="S10" s="84" t="str">
        <f>VLOOKUP(C10,'Train Runs'!$A$13:$AE$10152,22,0)</f>
        <v>https://d0f6bd738d7f1b3e5a7ca70fe4ff75f0.us-east-1.aws.found.io/app/kibana#/discover/Steve-Slow-Train-Analysis-(2080s-and-2083s)?_g=(refreshInterval:(display:Off,pause:!f,section:0,value:0),time:(from:'2017-11-20T10:27:59-0700',mode:absolute,to:'2017-11-20T13:25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0" s="86" t="str">
        <f t="shared" si="1"/>
        <v>"C:\Program Files (x86)\AstroGrep\AstroGrep.exe" /e /r /s /spath="%USERPROFILE%\AppData\Local\Temp\OnboardLogs" /stypes="*4017*201711201*" /stext=" 19:.+((SYSTEM_STATE.+slice.+state.+changed )|(ment ac)|(multiple cpu faults)|(system.+state.+changed )|(\[timeout)|(PRM\|1\|D)|(kpr)|(kdp)|(train st.+moving)|(\|lc)|(penalty))"</v>
      </c>
      <c r="U10" s="9" t="str">
        <f t="shared" si="2"/>
        <v>4017</v>
      </c>
      <c r="V10" s="31">
        <f t="shared" si="3"/>
        <v>43059.799293981479</v>
      </c>
      <c r="W10" s="45" t="str">
        <f t="shared" si="4"/>
        <v>EC</v>
      </c>
      <c r="X10" s="22">
        <f t="shared" si="5"/>
        <v>158</v>
      </c>
      <c r="Y10" s="96" t="str">
        <f t="shared" si="6"/>
        <v>echo {"issue":{"subject":"Early Arrival","project_id":79,"tracker_id":40,"status_id":1,"priority_id":2,"assigned_to_id":338,"start_date":"2017-11-20","description":"","custom_fields":[{"id":1,"name":"Subdivision","value":"EC"},{"id":4,"name":"Milepost","value":"5.8301"},{"id":17,"name":"Train ID","value":"158-20"},{"id":16,"name":"Locomotive ID","value":"4017"},{"id":130,"name":"Impact","value":""},{"id":150,"name":"Time of Event (Mountain Time)","value":"12:10:59"},{"id":151,"name":"Denver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47"/>
      <c r="AB10" s="47"/>
      <c r="AC10" s="115" t="str">
        <f t="shared" si="7"/>
        <v>grep -hrE -A400 "Enforcement Action" /c/Users/stu/AppData/Local/Temp/OnboardLogs/RTDC4017 --include="*4017*201711201*"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"%USERPROFILE%\AppData\Local\Temp\OnboardLogs"\RTDC4017\*4017*201711201* &gt;&gt; 2017-11-20-SliceDisagreementCheck.txt</v>
      </c>
      <c r="AE10" s="144" t="str">
        <f t="shared" si="9"/>
        <v>start /low /b %USERPROFILE%\Documents\GitHub\eaglep3\Utilities\DownloadLogsFromS3.py --loco 4017 --day 2017-11-20</v>
      </c>
      <c r="AF10" s="1"/>
    </row>
    <row r="11" spans="1:32" x14ac:dyDescent="0.25">
      <c r="A11" s="31">
        <v>43059.889722222222</v>
      </c>
      <c r="B11" s="30" t="s">
        <v>673</v>
      </c>
      <c r="C11" s="30" t="s">
        <v>674</v>
      </c>
      <c r="D11" s="30" t="s">
        <v>95</v>
      </c>
      <c r="E11" s="30" t="s">
        <v>183</v>
      </c>
      <c r="F11" s="42">
        <v>140</v>
      </c>
      <c r="G11" s="42">
        <v>203</v>
      </c>
      <c r="H11" s="42">
        <v>63015</v>
      </c>
      <c r="I11" s="42">
        <v>63015</v>
      </c>
      <c r="J11" s="30" t="s">
        <v>184</v>
      </c>
      <c r="K11" s="42">
        <v>63309</v>
      </c>
      <c r="L11" s="131" t="s">
        <v>51</v>
      </c>
      <c r="M11" s="132">
        <f t="shared" si="0"/>
        <v>-155.232</v>
      </c>
      <c r="N11" s="133" t="str">
        <f>VLOOKUP(C11,'Trips&amp;Operators'!$C$1:$G$99911,5,FALSE)</f>
        <v>RESPASS AARON</v>
      </c>
      <c r="O11" s="175" t="s">
        <v>178</v>
      </c>
      <c r="P11" s="134" t="s">
        <v>576</v>
      </c>
      <c r="Q11" s="30"/>
      <c r="R11" s="81" t="str">
        <f>VLOOKUP(C11,'Train Runs'!$A$13:$AE$10152,31,0)</f>
        <v>aws s3 cp s3://rtdc.mdm.uploadarchive.raw/RTDC4063/ "%USERPROFILE%\AppData\Local\Temp\OnboardLogs"\RTDC4063\2017-11-20 --exclude "*" --recursive --include "*20171120*" &amp; "%USERPROFILE%\Documents\GitHub\mrs-test-scripts\Headless Mode &amp; Sideloading\WalkAndUnGZ.bat" "%USERPROFILE%\AppData\Local\Temp\OnboardLogs"\RTDC4063\2017-11-20 &amp; aws s3 cp s3://rtdc.mdm.uploadarchive.raw/RTDC4063/ "%USERPROFILE%\AppData\Local\Temp\OnboardLogs"\RTDC4063\2017-11-21 --exclude "*" --recursive --include "*20171121*" &amp; "%USERPROFILE%\Documents\GitHub\mrs-test-scripts\Headless Mode &amp; Sideloading\WalkAndUnGZ.bat" "%USERPROFILE%\AppData\Local\Temp\OnboardLogs"\RTDC4063\2017-11-21</v>
      </c>
      <c r="S11" s="84" t="str">
        <f>VLOOKUP(C11,'Train Runs'!$A$13:$AE$10152,22,0)</f>
        <v>https://d0f6bd738d7f1b3e5a7ca70fe4ff75f0.us-east-1.aws.found.io/app/kibana#/discover/Steve-Slow-Train-Analysis-(2080s-and-2083s)?_g=(refreshInterval:(display:Off,pause:!f,section:0,value:0),time:(from:'2017-11-20T19:48:53-0700',mode:absolute,to:'2017-11-20T22:47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1" s="86" t="str">
        <f t="shared" si="1"/>
        <v>"C:\Program Files (x86)\AstroGrep\AstroGrep.exe" /e /r /s /spath="%USERPROFILE%\AppData\Local\Temp\OnboardLogs" /stypes="*4063*201711210*" /stext=" 04:.+((SYSTEM_STATE.+slice.+state.+changed )|(ment ac)|(multiple cpu faults)|(system.+state.+changed )|(\[timeout)|(PRM\|1\|D)|(kpr)|(kdp)|(train st.+moving)|(\|lc)|(penalty))"</v>
      </c>
      <c r="U11" s="9" t="str">
        <f t="shared" si="2"/>
        <v>4063</v>
      </c>
      <c r="V11" s="31">
        <f t="shared" si="3"/>
        <v>43060.181388888886</v>
      </c>
      <c r="W11" s="45" t="str">
        <f t="shared" si="4"/>
        <v>EC</v>
      </c>
      <c r="X11" s="22">
        <f t="shared" si="5"/>
        <v>226</v>
      </c>
      <c r="Y11" s="96" t="str">
        <f t="shared" si="6"/>
        <v>echo {"issue":{"subject":"Early Arrival","project_id":79,"tracker_id":40,"status_id":1,"priority_id":2,"assigned_to_id":338,"start_date":"2017-11-20","description":"","custom_fields":[{"id":1,"name":"Subdivision","value":"EC"},{"id":4,"name":"Milepost","value":"6.3309"},{"id":17,"name":"Train ID","value":"226-20"},{"id":16,"name":"Locomotive ID","value":"4063"},{"id":130,"name":"Impact","value":""},{"id":150,"name":"Time of Event (Mountain Time)","value":"21:21:12"},{"id":151,"name":"Denver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47"/>
      <c r="AB11" s="47"/>
      <c r="AC11" s="115" t="str">
        <f t="shared" si="7"/>
        <v>grep -hrE -A400 "Enforcement Action" /c/Users/stu/AppData/Local/Temp/OnboardLogs/RTDC4063 --include="*4063*201711210*"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"%USERPROFILE%\AppData\Local\Temp\OnboardLogs"\RTDC4063\*4063*201711210* &gt;&gt; 2017-11-20-SliceDisagreementCheck.txt</v>
      </c>
      <c r="AE11" s="144" t="str">
        <f t="shared" si="9"/>
        <v>start /low /b %USERPROFILE%\Documents\GitHub\eaglep3\Utilities\DownloadLogsFromS3.py --loco 4063 --day 2017-11-21</v>
      </c>
      <c r="AF11" s="1"/>
    </row>
    <row r="12" spans="1:32" x14ac:dyDescent="0.25">
      <c r="A12" s="31">
        <v>43059.281377314815</v>
      </c>
      <c r="B12" s="30" t="s">
        <v>362</v>
      </c>
      <c r="C12" s="30" t="s">
        <v>649</v>
      </c>
      <c r="D12" s="30" t="s">
        <v>49</v>
      </c>
      <c r="E12" s="30" t="s">
        <v>183</v>
      </c>
      <c r="F12" s="42">
        <v>0</v>
      </c>
      <c r="G12" s="42">
        <v>555</v>
      </c>
      <c r="H12" s="42">
        <v>104652</v>
      </c>
      <c r="I12" s="42">
        <v>102922</v>
      </c>
      <c r="J12" s="30" t="s">
        <v>184</v>
      </c>
      <c r="K12" s="42">
        <v>103800</v>
      </c>
      <c r="L12" s="131" t="s">
        <v>51</v>
      </c>
      <c r="M12" s="132">
        <f t="shared" si="0"/>
        <v>-463.584</v>
      </c>
      <c r="N12" s="133" t="str">
        <f>VLOOKUP(C12,'Trips&amp;Operators'!$C$1:$G$99911,5,FALSE)</f>
        <v>STARKS ANGELINA</v>
      </c>
      <c r="O12" s="175" t="s">
        <v>178</v>
      </c>
      <c r="P12" s="134" t="s">
        <v>576</v>
      </c>
      <c r="Q12" s="30"/>
      <c r="R12" s="81" t="str">
        <f>VLOOKUP(C12,'Train Runs'!$A$13:$AE$10152,31,0)</f>
        <v>aws s3 cp s3://rtdc.mdm.uploadarchive.raw/RTDC4017/ "%USERPROFILE%\AppData\Local\Temp\OnboardLogs"\RTDC4017\2017-11-20 --exclude "*" --recursive --include "*20171120*" &amp; "%USERPROFILE%\Documents\GitHub\mrs-test-scripts\Headless Mode &amp; Sideloading\WalkAndUnGZ.bat" "%USERPROFILE%\AppData\Local\Temp\OnboardLogs"\RTDC4017\2017-11-20 &amp; aws s3 cp s3://rtdc.mdm.uploadarchive.raw/RTDC4017/ "%USERPROFILE%\AppData\Local\Temp\OnboardLogs"\RTDC4017\2017-11-21 --exclude "*" --recursive --include "*20171121*" &amp; "%USERPROFILE%\Documents\GitHub\mrs-test-scripts\Headless Mode &amp; Sideloading\WalkAndUnGZ.bat" "%USERPROFILE%\AppData\Local\Temp\OnboardLogs"\RTDC4017\2017-11-21</v>
      </c>
      <c r="S12" s="84" t="str">
        <f>VLOOKUP(C12,'Train Runs'!$A$13:$AE$10152,22,0)</f>
        <v>https://d0f6bd738d7f1b3e5a7ca70fe4ff75f0.us-east-1.aws.found.io/app/kibana#/discover/Steve-Slow-Train-Analysis-(2080s-and-2083s)?_g=(refreshInterval:(display:Off,pause:!f,section:0,value:0),time:(from:'2017-11-20T05:09:45-0700',mode:absolute,to:'2017-11-20T08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2" s="86" t="str">
        <f t="shared" si="1"/>
        <v>"C:\Program Files (x86)\AstroGrep\AstroGrep.exe" /e /r /s /spath="%USERPROFILE%\AppData\Local\Temp\OnboardLogs" /stypes="*4017*201711201*" /stext=" 13:.+((SYSTEM_STATE.+slice.+state.+changed )|(ment ac)|(multiple cpu faults)|(system.+state.+changed )|(\[timeout)|(PRM\|1\|D)|(kpr)|(kdp)|(train st.+moving)|(\|lc)|(penalty))"</v>
      </c>
      <c r="U12" s="9" t="str">
        <f t="shared" si="2"/>
        <v>4017</v>
      </c>
      <c r="V12" s="31">
        <f t="shared" si="3"/>
        <v>43059.57304398148</v>
      </c>
      <c r="W12" s="45" t="str">
        <f t="shared" si="4"/>
        <v>EC</v>
      </c>
      <c r="X12" s="22">
        <f t="shared" si="5"/>
        <v>116</v>
      </c>
      <c r="Y12" s="96" t="str">
        <f t="shared" si="6"/>
        <v>echo {"issue":{"subject":"Early Arrival","project_id":79,"tracker_id":40,"status_id":1,"priority_id":2,"assigned_to_id":338,"start_date":"2017-11-20","description":"","custom_fields":[{"id":1,"name":"Subdivision","value":"EC"},{"id":4,"name":"Milepost","value":"10.38"},{"id":17,"name":"Train ID","value":"116-20"},{"id":16,"name":"Locomotive ID","value":"4017"},{"id":130,"name":"Impact","value":""},{"id":150,"name":"Time of Event (Mountain Time)","value":"06:45:11"},{"id":151,"name":"Denver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47"/>
      <c r="AB12" s="47"/>
      <c r="AC12" s="115" t="str">
        <f t="shared" si="7"/>
        <v>grep -hrE -A400 "Enforcement Action" /c/Users/stu/AppData/Local/Temp/OnboardLogs/RTDC4017 --include="*4017*201711201*"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"%USERPROFILE%\AppData\Local\Temp\OnboardLogs"\RTDC4017\*4017*201711201* &gt;&gt; 2017-11-20-SliceDisagreementCheck.txt</v>
      </c>
      <c r="AE12" s="144" t="str">
        <f t="shared" si="9"/>
        <v>start /low /b %USERPROFILE%\Documents\GitHub\eaglep3\Utilities\DownloadLogsFromS3.py --loco 4017 --day 2017-11-20</v>
      </c>
      <c r="AF12" s="1"/>
    </row>
    <row r="13" spans="1:32" x14ac:dyDescent="0.25">
      <c r="A13" s="31">
        <v>43059.896956018521</v>
      </c>
      <c r="B13" s="30" t="s">
        <v>360</v>
      </c>
      <c r="C13" s="30" t="s">
        <v>676</v>
      </c>
      <c r="D13" s="30" t="s">
        <v>95</v>
      </c>
      <c r="E13" s="30" t="s">
        <v>190</v>
      </c>
      <c r="F13" s="42">
        <v>150</v>
      </c>
      <c r="G13" s="42">
        <v>201</v>
      </c>
      <c r="H13" s="42">
        <v>3209</v>
      </c>
      <c r="I13" s="42">
        <v>3580</v>
      </c>
      <c r="J13" s="30" t="s">
        <v>191</v>
      </c>
      <c r="K13" s="42">
        <v>0</v>
      </c>
      <c r="L13" s="131" t="s">
        <v>50</v>
      </c>
      <c r="M13" s="132">
        <f t="shared" si="0"/>
        <v>-1890.24</v>
      </c>
      <c r="N13" s="133" t="str">
        <f>VLOOKUP(C13,'Trips&amp;Operators'!$C$1:$G$99911,5,FALSE)</f>
        <v>STRICKLAND EVAN</v>
      </c>
      <c r="O13" s="175" t="s">
        <v>178</v>
      </c>
      <c r="P13" s="134"/>
      <c r="Q13" s="30"/>
      <c r="R13" s="81" t="str">
        <f>VLOOKUP(C13,'Train Runs'!$A$13:$AE$10152,31,0)</f>
        <v>aws s3 cp s3://rtdc.mdm.uploadarchive.raw/RTDC4018/ "%USERPROFILE%\AppData\Local\Temp\OnboardLogs"\RTDC4018\2017-11-20 --exclude "*" --recursive --include "*20171120*" &amp; "%USERPROFILE%\Documents\GitHub\mrs-test-scripts\Headless Mode &amp; Sideloading\WalkAndUnGZ.bat" "%USERPROFILE%\AppData\Local\Temp\OnboardLogs"\RTDC4018\2017-11-20 &amp; aws s3 cp s3://rtdc.mdm.uploadarchive.raw/RTDC4018/ "%USERPROFILE%\AppData\Local\Temp\OnboardLogs"\RTDC4018\2017-11-21 --exclude "*" --recursive --include "*20171121*" &amp; "%USERPROFILE%\Documents\GitHub\mrs-test-scripts\Headless Mode &amp; Sideloading\WalkAndUnGZ.bat" "%USERPROFILE%\AppData\Local\Temp\OnboardLogs"\RTDC4018\2017-11-21</v>
      </c>
      <c r="S13" s="84" t="str">
        <f>VLOOKUP(C13,'Train Runs'!$A$13:$AE$10152,22,0)</f>
        <v>https://d0f6bd738d7f1b3e5a7ca70fe4ff75f0.us-east-1.aws.found.io/app/kibana#/discover/Steve-Slow-Train-Analysis-(2080s-and-2083s)?_g=(refreshInterval:(display:Off,pause:!f,section:0,value:0),time:(from:'2017-11-20T20:08:21-0700',mode:absolute,to:'2017-11-20T23:07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3" s="86" t="str">
        <f t="shared" si="1"/>
        <v>"C:\Program Files (x86)\AstroGrep\AstroGrep.exe" /e /r /s /spath="%USERPROFILE%\AppData\Local\Temp\OnboardLogs" /stypes="*4018*201711210*" /stext=" 04:.+((SYSTEM_STATE.+slice.+state.+changed )|(ment ac)|(multiple cpu faults)|(system.+state.+changed )|(\[timeout)|(PRM\|1\|D)|(kpr)|(kdp)|(train st.+moving)|(\|lc)|(penalty))"</v>
      </c>
      <c r="U13" s="9" t="str">
        <f t="shared" si="2"/>
        <v>4018</v>
      </c>
      <c r="V13" s="31">
        <f t="shared" si="3"/>
        <v>43060.188622685186</v>
      </c>
      <c r="W13" s="45" t="str">
        <f t="shared" si="4"/>
        <v>EC</v>
      </c>
      <c r="X13" s="22">
        <f t="shared" si="5"/>
        <v>231</v>
      </c>
      <c r="Y13" s="96" t="str">
        <f t="shared" si="6"/>
        <v>echo {"issue":{"subject":"","project_id":79,"tracker_id":40,"status_id":1,"priority_id":2,"assigned_to_id":338,"start_date":"2017-11-20","description":"","custom_fields":[{"id":1,"name":"Subdivision","value":"EC"},{"id":4,"name":"Milepost","value":"0"},{"id":17,"name":"Train ID","value":"231-20"},{"id":16,"name":"Locomotive ID","value":"4018"},{"id":130,"name":"Impact","value":""},{"id":150,"name":"Time of Event (Mountain Time)","value":"21:31:37"},{"id":151,"name":"Denver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47"/>
      <c r="AB13" s="47"/>
      <c r="AC13" s="115" t="str">
        <f t="shared" si="7"/>
        <v>grep -hrE -A400 "Enforcement Action" /c/Users/stu/AppData/Local/Temp/OnboardLogs/RTDC4018 --include="*4018*201711210*"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"%USERPROFILE%\AppData\Local\Temp\OnboardLogs"\RTDC4018\*4018*201711210* &gt;&gt; 2017-11-20-SliceDisagreementCheck.txt</v>
      </c>
      <c r="AE13" s="144" t="str">
        <f t="shared" si="9"/>
        <v>start /low /b %USERPROFILE%\Documents\GitHub\eaglep3\Utilities\DownloadLogsFromS3.py --loco 4018 --day 2017-11-21</v>
      </c>
      <c r="AF13" s="1"/>
    </row>
    <row r="14" spans="1:32" x14ac:dyDescent="0.25">
      <c r="A14" s="31">
        <v>43059.796550925923</v>
      </c>
      <c r="B14" s="30" t="s">
        <v>666</v>
      </c>
      <c r="C14" s="30" t="s">
        <v>670</v>
      </c>
      <c r="D14" s="30" t="s">
        <v>95</v>
      </c>
      <c r="E14" s="30" t="s">
        <v>190</v>
      </c>
      <c r="F14" s="42">
        <v>200</v>
      </c>
      <c r="G14" s="42">
        <v>253</v>
      </c>
      <c r="H14" s="42">
        <v>27631</v>
      </c>
      <c r="I14" s="42">
        <v>27976</v>
      </c>
      <c r="J14" s="30" t="s">
        <v>191</v>
      </c>
      <c r="K14" s="42">
        <v>27333</v>
      </c>
      <c r="L14" s="131" t="s">
        <v>50</v>
      </c>
      <c r="M14" s="132">
        <f t="shared" si="0"/>
        <v>-339.50399999999996</v>
      </c>
      <c r="N14" s="133" t="str">
        <f>VLOOKUP(C14,'Trips&amp;Operators'!$C$1:$G$99911,5,FALSE)</f>
        <v>ELBAUM MIKE</v>
      </c>
      <c r="O14" s="175" t="s">
        <v>178</v>
      </c>
      <c r="P14" s="134"/>
      <c r="Q14" s="30"/>
      <c r="R14" s="81" t="str">
        <f>VLOOKUP(C14,'Train Runs'!$A$13:$AE$10152,31,0)</f>
        <v>aws s3 cp s3://rtdc.mdm.uploadarchive.raw/RTDC4026/ "%USERPROFILE%\AppData\Local\Temp\OnboardLogs"\RTDC4026\2017-11-20 --exclude "*" --recursive --include "*20171120*" &amp; "%USERPROFILE%\Documents\GitHub\mrs-test-scripts\Headless Mode &amp; Sideloading\WalkAndUnGZ.bat" "%USERPROFILE%\AppData\Local\Temp\OnboardLogs"\RTDC4026\2017-11-20 &amp; aws s3 cp s3://rtdc.mdm.uploadarchive.raw/RTDC4026/ "%USERPROFILE%\AppData\Local\Temp\OnboardLogs"\RTDC4026\2017-11-21 --exclude "*" --recursive --include "*20171121*" &amp; "%USERPROFILE%\Documents\GitHub\mrs-test-scripts\Headless Mode &amp; Sideloading\WalkAndUnGZ.bat" "%USERPROFILE%\AppData\Local\Temp\OnboardLogs"\RTDC4026\2017-11-21</v>
      </c>
      <c r="S14" s="84" t="str">
        <f>VLOOKUP(C14,'Train Runs'!$A$13:$AE$10152,22,0)</f>
        <v>https://d0f6bd738d7f1b3e5a7ca70fe4ff75f0.us-east-1.aws.found.io/app/kibana#/discover/Steve-Slow-Train-Analysis-(2080s-and-2083s)?_g=(refreshInterval:(display:Off,pause:!f,section:0,value:0),time:(from:'2017-11-20T17:51:55-0700',mode:absolute,to:'2017-11-20T20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4" s="86" t="str">
        <f t="shared" si="1"/>
        <v>"C:\Program Files (x86)\AstroGrep\AstroGrep.exe" /e /r /s /spath="%USERPROFILE%\AppData\Local\Temp\OnboardLogs" /stypes="*4026*201711210*" /stext=" 02:.+((SYSTEM_STATE.+slice.+state.+changed )|(ment ac)|(multiple cpu faults)|(system.+state.+changed )|(\[timeout)|(PRM\|1\|D)|(kpr)|(kdp)|(train st.+moving)|(\|lc)|(penalty))"</v>
      </c>
      <c r="U14" s="9" t="str">
        <f t="shared" si="2"/>
        <v>4026</v>
      </c>
      <c r="V14" s="31">
        <f t="shared" si="3"/>
        <v>43060.088217592587</v>
      </c>
      <c r="W14" s="45" t="str">
        <f t="shared" si="4"/>
        <v>EC</v>
      </c>
      <c r="X14" s="22">
        <f t="shared" si="5"/>
        <v>221</v>
      </c>
      <c r="Y14" s="96" t="str">
        <f t="shared" si="6"/>
        <v>echo {"issue":{"subject":"","project_id":79,"tracker_id":40,"status_id":1,"priority_id":2,"assigned_to_id":338,"start_date":"2017-11-20","description":"","custom_fields":[{"id":1,"name":"Subdivision","value":"EC"},{"id":4,"name":"Milepost","value":"2.7333"},{"id":17,"name":"Train ID","value":"221-20"},{"id":16,"name":"Locomotive ID","value":"4026"},{"id":130,"name":"Impact","value":""},{"id":150,"name":"Time of Event (Mountain Time)","value":"19:07:02"},{"id":151,"name":"Denver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47"/>
      <c r="AB14" s="47"/>
      <c r="AC14" s="115" t="str">
        <f t="shared" si="7"/>
        <v>grep -hrE -A400 "Enforcement Action" /c/Users/stu/AppData/Local/Temp/OnboardLogs/RTDC4026 --include="*4026*201711210*"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"%USERPROFILE%\AppData\Local\Temp\OnboardLogs"\RTDC4026\*4026*201711210* &gt;&gt; 2017-11-20-SliceDisagreementCheck.txt</v>
      </c>
      <c r="AE14" s="144" t="str">
        <f t="shared" si="9"/>
        <v>start /low /b %USERPROFILE%\Documents\GitHub\eaglep3\Utilities\DownloadLogsFromS3.py --loco 4026 --day 2017-11-21</v>
      </c>
      <c r="AF14" s="1"/>
    </row>
    <row r="15" spans="1:32" x14ac:dyDescent="0.25">
      <c r="A15" s="31">
        <v>43059.668981481482</v>
      </c>
      <c r="B15" s="30" t="s">
        <v>666</v>
      </c>
      <c r="C15" s="30" t="s">
        <v>667</v>
      </c>
      <c r="D15" s="30" t="s">
        <v>49</v>
      </c>
      <c r="E15" s="30" t="s">
        <v>190</v>
      </c>
      <c r="F15" s="42">
        <v>350</v>
      </c>
      <c r="G15" s="42">
        <v>579</v>
      </c>
      <c r="H15" s="42">
        <v>222178</v>
      </c>
      <c r="I15" s="42">
        <v>224215</v>
      </c>
      <c r="J15" s="30" t="s">
        <v>191</v>
      </c>
      <c r="K15" s="42">
        <v>224581</v>
      </c>
      <c r="L15" s="131" t="s">
        <v>50</v>
      </c>
      <c r="M15" s="132">
        <f t="shared" si="0"/>
        <v>193.24799999999999</v>
      </c>
      <c r="N15" s="133" t="str">
        <f>VLOOKUP(C15,'Trips&amp;Operators'!$C$1:$G$99911,5,FALSE)</f>
        <v>ANDREA WILLIAMS</v>
      </c>
      <c r="O15" s="175" t="s">
        <v>178</v>
      </c>
      <c r="P15" s="134"/>
      <c r="Q15" s="30"/>
      <c r="R15" s="81" t="str">
        <f>VLOOKUP(C15,'Train Runs'!$A$13:$AE$10152,31,0)</f>
        <v>aws s3 cp s3://rtdc.mdm.uploadarchive.raw/RTDC4026/ "%USERPROFILE%\AppData\Local\Temp\OnboardLogs"\RTDC4026\2017-11-20 --exclude "*" --recursive --include "*20171120*" &amp; "%USERPROFILE%\Documents\GitHub\mrs-test-scripts\Headless Mode &amp; Sideloading\WalkAndUnGZ.bat" "%USERPROFILE%\AppData\Local\Temp\OnboardLogs"\RTDC4026\2017-11-20 &amp; aws s3 cp s3://rtdc.mdm.uploadarchive.raw/RTDC4026/ "%USERPROFILE%\AppData\Local\Temp\OnboardLogs"\RTDC4026\2017-11-21 --exclude "*" --recursive --include "*20171121*" &amp; "%USERPROFILE%\Documents\GitHub\mrs-test-scripts\Headless Mode &amp; Sideloading\WalkAndUnGZ.bat" "%USERPROFILE%\AppData\Local\Temp\OnboardLogs"\RTDC4026\2017-11-21</v>
      </c>
      <c r="S15" s="84" t="str">
        <f>VLOOKUP(C15,'Train Runs'!$A$13:$AE$10152,22,0)</f>
        <v>https://d0f6bd738d7f1b3e5a7ca70fe4ff75f0.us-east-1.aws.found.io/app/kibana#/discover/Steve-Slow-Train-Analysis-(2080s-and-2083s)?_g=(refreshInterval:(display:Off,pause:!f,section:0,value:0),time:(from:'2017-11-20T14:22:30-0700',mode:absolute,to:'2017-11-20T17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5" s="86" t="str">
        <f t="shared" si="1"/>
        <v>"C:\Program Files (x86)\AstroGrep\AstroGrep.exe" /e /r /s /spath="%USERPROFILE%\AppData\Local\Temp\OnboardLogs" /stypes="*4026*201711202*" /stext=" 23:.+((SYSTEM_STATE.+slice.+state.+changed )|(ment ac)|(multiple cpu faults)|(system.+state.+changed )|(\[timeout)|(PRM\|1\|D)|(kpr)|(kdp)|(train st.+moving)|(\|lc)|(penalty))"</v>
      </c>
      <c r="U15" s="9" t="str">
        <f t="shared" si="2"/>
        <v>4026</v>
      </c>
      <c r="V15" s="31">
        <f t="shared" si="3"/>
        <v>43059.960648148146</v>
      </c>
      <c r="W15" s="45" t="str">
        <f t="shared" si="4"/>
        <v>EC</v>
      </c>
      <c r="X15" s="22">
        <f t="shared" si="5"/>
        <v>195</v>
      </c>
      <c r="Y15" s="96" t="str">
        <f t="shared" si="6"/>
        <v>echo {"issue":{"subject":"","project_id":79,"tracker_id":40,"status_id":1,"priority_id":2,"assigned_to_id":338,"start_date":"2017-11-20","description":"","custom_fields":[{"id":1,"name":"Subdivision","value":"EC"},{"id":4,"name":"Milepost","value":"22.4581"},{"id":17,"name":"Train ID","value":"195-20"},{"id":16,"name":"Locomotive ID","value":"4026"},{"id":130,"name":"Impact","value":""},{"id":150,"name":"Time of Event (Mountain Time)","value":"16:03:20"},{"id":151,"name":"Denver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47"/>
      <c r="AB15" s="47"/>
      <c r="AC15" s="115" t="str">
        <f t="shared" si="7"/>
        <v>grep -hrE -A400 "Enforcement Action" /c/Users/stu/AppData/Local/Temp/OnboardLogs/RTDC4026 --include="*4026*201711202*"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"%USERPROFILE%\AppData\Local\Temp\OnboardLogs"\RTDC4026\*4026*201711202* &gt;&gt; 2017-11-20-SliceDisagreementCheck.txt</v>
      </c>
      <c r="AE15" s="144" t="str">
        <f t="shared" si="9"/>
        <v>start /low /b %USERPROFILE%\Documents\GitHub\eaglep3\Utilities\DownloadLogsFromS3.py --loco 4026 --day 2017-11-20</v>
      </c>
      <c r="AF15" s="1"/>
    </row>
    <row r="16" spans="1:32" x14ac:dyDescent="0.25">
      <c r="A16" s="31">
        <v>43059.890636574077</v>
      </c>
      <c r="B16" s="30" t="s">
        <v>673</v>
      </c>
      <c r="C16" s="30" t="s">
        <v>674</v>
      </c>
      <c r="D16" s="30" t="s">
        <v>49</v>
      </c>
      <c r="E16" s="30" t="s">
        <v>354</v>
      </c>
      <c r="F16" s="42">
        <v>0</v>
      </c>
      <c r="G16" s="42">
        <v>434</v>
      </c>
      <c r="H16" s="42">
        <v>60244</v>
      </c>
      <c r="I16" s="42">
        <v>58935</v>
      </c>
      <c r="J16" s="30" t="s">
        <v>355</v>
      </c>
      <c r="K16" s="42">
        <v>57897</v>
      </c>
      <c r="L16" s="131" t="s">
        <v>51</v>
      </c>
      <c r="M16" s="132">
        <f t="shared" si="0"/>
        <v>548.06399999999996</v>
      </c>
      <c r="N16" s="133" t="str">
        <f>VLOOKUP(C16,'Trips&amp;Operators'!$C$1:$G$99911,5,FALSE)</f>
        <v>RESPASS AARON</v>
      </c>
      <c r="O16" s="175" t="s">
        <v>348</v>
      </c>
      <c r="P16" s="134" t="s">
        <v>1112</v>
      </c>
      <c r="Q16" s="30"/>
      <c r="R16" s="81" t="str">
        <f>VLOOKUP(C16,'Train Runs'!$A$13:$AE$10152,31,0)</f>
        <v>aws s3 cp s3://rtdc.mdm.uploadarchive.raw/RTDC4063/ "%USERPROFILE%\AppData\Local\Temp\OnboardLogs"\RTDC4063\2017-11-20 --exclude "*" --recursive --include "*20171120*" &amp; "%USERPROFILE%\Documents\GitHub\mrs-test-scripts\Headless Mode &amp; Sideloading\WalkAndUnGZ.bat" "%USERPROFILE%\AppData\Local\Temp\OnboardLogs"\RTDC4063\2017-11-20 &amp; aws s3 cp s3://rtdc.mdm.uploadarchive.raw/RTDC4063/ "%USERPROFILE%\AppData\Local\Temp\OnboardLogs"\RTDC4063\2017-11-21 --exclude "*" --recursive --include "*20171121*" &amp; "%USERPROFILE%\Documents\GitHub\mrs-test-scripts\Headless Mode &amp; Sideloading\WalkAndUnGZ.bat" "%USERPROFILE%\AppData\Local\Temp\OnboardLogs"\RTDC4063\2017-11-21</v>
      </c>
      <c r="S16" s="84" t="str">
        <f>VLOOKUP(C16,'Train Runs'!$A$13:$AE$10152,22,0)</f>
        <v>https://d0f6bd738d7f1b3e5a7ca70fe4ff75f0.us-east-1.aws.found.io/app/kibana#/discover/Steve-Slow-Train-Analysis-(2080s-and-2083s)?_g=(refreshInterval:(display:Off,pause:!f,section:0,value:0),time:(from:'2017-11-20T19:48:53-0700',mode:absolute,to:'2017-11-20T22:47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6" s="86" t="str">
        <f t="shared" si="1"/>
        <v>"C:\Program Files (x86)\AstroGrep\AstroGrep.exe" /e /r /s /spath="%USERPROFILE%\AppData\Local\Temp\OnboardLogs" /stypes="*4063*201711210*" /stext=" 04:.+((SYSTEM_STATE.+slice.+state.+changed )|(ment ac)|(multiple cpu faults)|(system.+state.+changed )|(\[timeout)|(PRM\|1\|D)|(kpr)|(kdp)|(train st.+moving)|(\|lc)|(penalty))"</v>
      </c>
      <c r="U16" s="9" t="str">
        <f t="shared" si="2"/>
        <v>4063</v>
      </c>
      <c r="V16" s="31">
        <f t="shared" si="3"/>
        <v>43060.182303240741</v>
      </c>
      <c r="W16" s="45" t="str">
        <f t="shared" si="4"/>
        <v>EC</v>
      </c>
      <c r="X16" s="22">
        <f t="shared" si="5"/>
        <v>226</v>
      </c>
      <c r="Y16" s="96" t="str">
        <f t="shared" si="6"/>
        <v>echo {"issue":{"subject":"TMDS issue - could not clear Quebec 4S","project_id":79,"tracker_id":40,"status_id":1,"priority_id":2,"assigned_to_id":338,"start_date":"2017-11-20","description":"","custom_fields":[{"id":1,"name":"Subdivision","value":"EC"},{"id":4,"name":"Milepost","value":"5.7897"},{"id":17,"name":"Train ID","value":"226-20"},{"id":16,"name":"Locomotive ID","value":"4063"},{"id":130,"name":"Impact","value":""},{"id":150,"name":"Time of Event (Mountain Time)","value":"21:22:31"},{"id":151,"name":"Denver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47"/>
      <c r="AB16" s="47"/>
      <c r="AC16" s="115" t="str">
        <f t="shared" si="7"/>
        <v>grep -hrE -A400 "Enforcement Action" /c/Users/stu/AppData/Local/Temp/OnboardLogs/RTDC4063 --include="*4063*201711210*"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"%USERPROFILE%\AppData\Local\Temp\OnboardLogs"\RTDC4063\*4063*201711210* &gt;&gt; 2017-11-20-SliceDisagreementCheck.txt</v>
      </c>
      <c r="AE16" s="144" t="str">
        <f t="shared" si="9"/>
        <v>start /low /b %USERPROFILE%\Documents\GitHub\eaglep3\Utilities\DownloadLogsFromS3.py --loco 4063 --day 2017-11-21</v>
      </c>
      <c r="AF16" s="1"/>
    </row>
    <row r="17" spans="1:32" x14ac:dyDescent="0.25">
      <c r="A17" s="31">
        <v>43059.891817129632</v>
      </c>
      <c r="B17" s="30" t="s">
        <v>673</v>
      </c>
      <c r="C17" s="30" t="s">
        <v>674</v>
      </c>
      <c r="D17" s="30" t="s">
        <v>49</v>
      </c>
      <c r="E17" s="30" t="s">
        <v>354</v>
      </c>
      <c r="F17" s="42">
        <v>0</v>
      </c>
      <c r="G17" s="42">
        <v>66</v>
      </c>
      <c r="H17" s="42">
        <v>58179</v>
      </c>
      <c r="I17" s="42">
        <v>58127</v>
      </c>
      <c r="J17" s="30" t="s">
        <v>355</v>
      </c>
      <c r="K17" s="42">
        <v>57897</v>
      </c>
      <c r="L17" s="131" t="s">
        <v>51</v>
      </c>
      <c r="M17" s="132">
        <f t="shared" si="0"/>
        <v>121.44</v>
      </c>
      <c r="N17" s="133" t="str">
        <f>VLOOKUP(C17,'Trips&amp;Operators'!$C$1:$G$99911,5,FALSE)</f>
        <v>RESPASS AARON</v>
      </c>
      <c r="O17" s="175" t="s">
        <v>348</v>
      </c>
      <c r="P17" s="134" t="s">
        <v>1112</v>
      </c>
      <c r="Q17" s="30"/>
      <c r="R17" s="81" t="str">
        <f>VLOOKUP(C17,'Train Runs'!$A$13:$AE$10152,31,0)</f>
        <v>aws s3 cp s3://rtdc.mdm.uploadarchive.raw/RTDC4063/ "%USERPROFILE%\AppData\Local\Temp\OnboardLogs"\RTDC4063\2017-11-20 --exclude "*" --recursive --include "*20171120*" &amp; "%USERPROFILE%\Documents\GitHub\mrs-test-scripts\Headless Mode &amp; Sideloading\WalkAndUnGZ.bat" "%USERPROFILE%\AppData\Local\Temp\OnboardLogs"\RTDC4063\2017-11-20 &amp; aws s3 cp s3://rtdc.mdm.uploadarchive.raw/RTDC4063/ "%USERPROFILE%\AppData\Local\Temp\OnboardLogs"\RTDC4063\2017-11-21 --exclude "*" --recursive --include "*20171121*" &amp; "%USERPROFILE%\Documents\GitHub\mrs-test-scripts\Headless Mode &amp; Sideloading\WalkAndUnGZ.bat" "%USERPROFILE%\AppData\Local\Temp\OnboardLogs"\RTDC4063\2017-11-21</v>
      </c>
      <c r="S17" s="84" t="str">
        <f>VLOOKUP(C17,'Train Runs'!$A$13:$AE$10152,22,0)</f>
        <v>https://d0f6bd738d7f1b3e5a7ca70fe4ff75f0.us-east-1.aws.found.io/app/kibana#/discover/Steve-Slow-Train-Analysis-(2080s-and-2083s)?_g=(refreshInterval:(display:Off,pause:!f,section:0,value:0),time:(from:'2017-11-20T19:48:53-0700',mode:absolute,to:'2017-11-20T22:47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7" s="86" t="str">
        <f t="shared" si="1"/>
        <v>"C:\Program Files (x86)\AstroGrep\AstroGrep.exe" /e /r /s /spath="%USERPROFILE%\AppData\Local\Temp\OnboardLogs" /stypes="*4063*201711210*" /stext=" 04:.+((SYSTEM_STATE.+slice.+state.+changed )|(ment ac)|(multiple cpu faults)|(system.+state.+changed )|(\[timeout)|(PRM\|1\|D)|(kpr)|(kdp)|(train st.+moving)|(\|lc)|(penalty))"</v>
      </c>
      <c r="U17" s="9" t="str">
        <f t="shared" si="2"/>
        <v>4063</v>
      </c>
      <c r="V17" s="31">
        <f t="shared" si="3"/>
        <v>43060.183483796296</v>
      </c>
      <c r="W17" s="45" t="str">
        <f t="shared" si="4"/>
        <v>EC</v>
      </c>
      <c r="X17" s="22">
        <f t="shared" si="5"/>
        <v>226</v>
      </c>
      <c r="Y17" s="96" t="str">
        <f t="shared" si="6"/>
        <v>echo {"issue":{"subject":"TMDS issue - could not clear Quebec 4S","project_id":79,"tracker_id":40,"status_id":1,"priority_id":2,"assigned_to_id":338,"start_date":"2017-11-20","description":"","custom_fields":[{"id":1,"name":"Subdivision","value":"EC"},{"id":4,"name":"Milepost","value":"5.7897"},{"id":17,"name":"Train ID","value":"226-20"},{"id":16,"name":"Locomotive ID","value":"4063"},{"id":130,"name":"Impact","value":""},{"id":150,"name":"Time of Event (Mountain Time)","value":"21:24:13"},{"id":151,"name":"Denver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47"/>
      <c r="AB17" s="47"/>
      <c r="AC17" s="115" t="str">
        <f t="shared" si="7"/>
        <v>grep -hrE -A400 "Enforcement Action" /c/Users/stu/AppData/Local/Temp/OnboardLogs/RTDC4063 --include="*4063*201711210*"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"%USERPROFILE%\AppData\Local\Temp\OnboardLogs"\RTDC4063\*4063*201711210* &gt;&gt; 2017-11-20-SliceDisagreementCheck.txt</v>
      </c>
      <c r="AE17" s="144" t="str">
        <f t="shared" si="9"/>
        <v>start /low /b %USERPROFILE%\Documents\GitHub\eaglep3\Utilities\DownloadLogsFromS3.py --loco 4063 --day 2017-11-21</v>
      </c>
      <c r="AF17" s="1"/>
    </row>
    <row r="18" spans="1:32" x14ac:dyDescent="0.25">
      <c r="A18" s="31">
        <v>43059.89267361111</v>
      </c>
      <c r="B18" s="30" t="s">
        <v>673</v>
      </c>
      <c r="C18" s="30" t="s">
        <v>674</v>
      </c>
      <c r="D18" s="30" t="s">
        <v>49</v>
      </c>
      <c r="E18" s="30" t="s">
        <v>354</v>
      </c>
      <c r="F18" s="42">
        <v>0</v>
      </c>
      <c r="G18" s="42">
        <v>8</v>
      </c>
      <c r="H18" s="42">
        <v>57908</v>
      </c>
      <c r="I18" s="42">
        <v>57893</v>
      </c>
      <c r="J18" s="30" t="s">
        <v>355</v>
      </c>
      <c r="K18" s="42">
        <v>57897</v>
      </c>
      <c r="L18" s="131" t="s">
        <v>51</v>
      </c>
      <c r="M18" s="132">
        <f t="shared" si="0"/>
        <v>-2.1120000000000001</v>
      </c>
      <c r="N18" s="133" t="str">
        <f>VLOOKUP(C18,'Trips&amp;Operators'!$C$1:$G$99911,5,FALSE)</f>
        <v>RESPASS AARON</v>
      </c>
      <c r="O18" s="175" t="s">
        <v>348</v>
      </c>
      <c r="P18" s="134" t="s">
        <v>1112</v>
      </c>
      <c r="Q18" s="30"/>
      <c r="R18" s="81" t="str">
        <f>VLOOKUP(C18,'Train Runs'!$A$13:$AE$10152,31,0)</f>
        <v>aws s3 cp s3://rtdc.mdm.uploadarchive.raw/RTDC4063/ "%USERPROFILE%\AppData\Local\Temp\OnboardLogs"\RTDC4063\2017-11-20 --exclude "*" --recursive --include "*20171120*" &amp; "%USERPROFILE%\Documents\GitHub\mrs-test-scripts\Headless Mode &amp; Sideloading\WalkAndUnGZ.bat" "%USERPROFILE%\AppData\Local\Temp\OnboardLogs"\RTDC4063\2017-11-20 &amp; aws s3 cp s3://rtdc.mdm.uploadarchive.raw/RTDC4063/ "%USERPROFILE%\AppData\Local\Temp\OnboardLogs"\RTDC4063\2017-11-21 --exclude "*" --recursive --include "*20171121*" &amp; "%USERPROFILE%\Documents\GitHub\mrs-test-scripts\Headless Mode &amp; Sideloading\WalkAndUnGZ.bat" "%USERPROFILE%\AppData\Local\Temp\OnboardLogs"\RTDC4063\2017-11-21</v>
      </c>
      <c r="S18" s="84" t="str">
        <f>VLOOKUP(C18,'Train Runs'!$A$13:$AE$10152,22,0)</f>
        <v>https://d0f6bd738d7f1b3e5a7ca70fe4ff75f0.us-east-1.aws.found.io/app/kibana#/discover/Steve-Slow-Train-Analysis-(2080s-and-2083s)?_g=(refreshInterval:(display:Off,pause:!f,section:0,value:0),time:(from:'2017-11-20T19:48:53-0700',mode:absolute,to:'2017-11-20T22:47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8" s="86" t="str">
        <f t="shared" si="1"/>
        <v>"C:\Program Files (x86)\AstroGrep\AstroGrep.exe" /e /r /s /spath="%USERPROFILE%\AppData\Local\Temp\OnboardLogs" /stypes="*4063*201711210*" /stext=" 04:.+((SYSTEM_STATE.+slice.+state.+changed )|(ment ac)|(multiple cpu faults)|(system.+state.+changed )|(\[timeout)|(PRM\|1\|D)|(kpr)|(kdp)|(train st.+moving)|(\|lc)|(penalty))"</v>
      </c>
      <c r="U18" s="9" t="str">
        <f t="shared" si="2"/>
        <v>4063</v>
      </c>
      <c r="V18" s="31">
        <f t="shared" si="3"/>
        <v>43060.184340277774</v>
      </c>
      <c r="W18" s="45" t="str">
        <f t="shared" si="4"/>
        <v>EC</v>
      </c>
      <c r="X18" s="22">
        <f t="shared" si="5"/>
        <v>226</v>
      </c>
      <c r="Y18" s="96" t="str">
        <f t="shared" si="6"/>
        <v>echo {"issue":{"subject":"TMDS issue - could not clear Quebec 4S","project_id":79,"tracker_id":40,"status_id":1,"priority_id":2,"assigned_to_id":338,"start_date":"2017-11-20","description":"","custom_fields":[{"id":1,"name":"Subdivision","value":"EC"},{"id":4,"name":"Milepost","value":"5.7897"},{"id":17,"name":"Train ID","value":"226-20"},{"id":16,"name":"Locomotive ID","value":"4063"},{"id":130,"name":"Impact","value":""},{"id":150,"name":"Time of Event (Mountain Time)","value":"21:25:27"},{"id":151,"name":"Denver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47"/>
      <c r="AB18" s="47"/>
      <c r="AC18" s="115" t="str">
        <f t="shared" si="7"/>
        <v>grep -hrE -A400 "Enforcement Action" /c/Users/stu/AppData/Local/Temp/OnboardLogs/RTDC4063 --include="*4063*201711210*"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"%USERPROFILE%\AppData\Local\Temp\OnboardLogs"\RTDC4063\*4063*201711210* &gt;&gt; 2017-11-20-SliceDisagreementCheck.txt</v>
      </c>
      <c r="AE18" s="144" t="str">
        <f t="shared" si="9"/>
        <v>start /low /b %USERPROFILE%\Documents\GitHub\eaglep3\Utilities\DownloadLogsFromS3.py --loco 4063 --day 2017-11-21</v>
      </c>
      <c r="AF18" s="1"/>
    </row>
    <row r="19" spans="1:32" x14ac:dyDescent="0.25">
      <c r="A19" s="31">
        <v>43059.318784722222</v>
      </c>
      <c r="B19" s="30" t="s">
        <v>391</v>
      </c>
      <c r="C19" s="30" t="s">
        <v>654</v>
      </c>
      <c r="D19" s="30" t="s">
        <v>49</v>
      </c>
      <c r="E19" s="30" t="s">
        <v>354</v>
      </c>
      <c r="F19" s="42">
        <v>0</v>
      </c>
      <c r="G19" s="42">
        <v>601</v>
      </c>
      <c r="H19" s="42">
        <v>141390</v>
      </c>
      <c r="I19" s="42">
        <v>139119</v>
      </c>
      <c r="J19" s="30" t="s">
        <v>355</v>
      </c>
      <c r="K19" s="42">
        <v>138851</v>
      </c>
      <c r="L19" s="131" t="s">
        <v>51</v>
      </c>
      <c r="M19" s="132">
        <f t="shared" si="0"/>
        <v>141.50399999999999</v>
      </c>
      <c r="N19" s="133" t="str">
        <f>VLOOKUP(C19,'Trips&amp;Operators'!$C$1:$G$99911,5,FALSE)</f>
        <v>MAELZER KURT</v>
      </c>
      <c r="O19" s="175" t="s">
        <v>348</v>
      </c>
      <c r="P19" s="134" t="s">
        <v>1111</v>
      </c>
      <c r="Q19" s="30"/>
      <c r="R19" s="81" t="str">
        <f>VLOOKUP(C19,'Train Runs'!$A$13:$AE$10152,31,0)</f>
        <v>aws s3 cp s3://rtdc.mdm.uploadarchive.raw/RTDC4059/ "%USERPROFILE%\AppData\Local\Temp\OnboardLogs"\RTDC4059\2017-11-20 --exclude "*" --recursive --include "*20171120*" &amp; "%USERPROFILE%\Documents\GitHub\mrs-test-scripts\Headless Mode &amp; Sideloading\WalkAndUnGZ.bat" "%USERPROFILE%\AppData\Local\Temp\OnboardLogs"\RTDC4059\2017-11-20 &amp; aws s3 cp s3://rtdc.mdm.uploadarchive.raw/RTDC4059/ "%USERPROFILE%\AppData\Local\Temp\OnboardLogs"\RTDC4059\2017-11-21 --exclude "*" --recursive --include "*20171121*" &amp; "%USERPROFILE%\Documents\GitHub\mrs-test-scripts\Headless Mode &amp; Sideloading\WalkAndUnGZ.bat" "%USERPROFILE%\AppData\Local\Temp\OnboardLogs"\RTDC4059\2017-11-21</v>
      </c>
      <c r="S19" s="84" t="str">
        <f>VLOOKUP(C19,'Train Runs'!$A$13:$AE$10152,22,0)</f>
        <v>https://d0f6bd738d7f1b3e5a7ca70fe4ff75f0.us-east-1.aws.found.io/app/kibana#/discover/Steve-Slow-Train-Analysis-(2080s-and-2083s)?_g=(refreshInterval:(display:Off,pause:!f,section:0,value:0),time:(from:'2017-11-20T06:18:46-0700',mode:absolute,to:'2017-11-20T09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9" s="86" t="str">
        <f t="shared" si="1"/>
        <v>"C:\Program Files (x86)\AstroGrep\AstroGrep.exe" /e /r /s /spath="%USERPROFILE%\AppData\Local\Temp\OnboardLogs" /stypes="*4059*201711201*" /stext=" 14:.+((SYSTEM_STATE.+slice.+state.+changed )|(ment ac)|(multiple cpu faults)|(system.+state.+changed )|(\[timeout)|(PRM\|1\|D)|(kpr)|(kdp)|(train st.+moving)|(\|lc)|(penalty))"</v>
      </c>
      <c r="U19" s="9" t="str">
        <f t="shared" si="2"/>
        <v>4059</v>
      </c>
      <c r="V19" s="31">
        <f t="shared" si="3"/>
        <v>43059.610451388886</v>
      </c>
      <c r="W19" s="45" t="str">
        <f t="shared" si="4"/>
        <v>EC</v>
      </c>
      <c r="X19" s="22">
        <f t="shared" si="5"/>
        <v>124</v>
      </c>
      <c r="Y19" s="96" t="str">
        <f t="shared" si="6"/>
        <v>echo {"issue":{"subject":"Wi-MAX data drop","project_id":79,"tracker_id":40,"status_id":1,"priority_id":2,"assigned_to_id":338,"start_date":"2017-11-20","description":"","custom_fields":[{"id":1,"name":"Subdivision","value":"EC"},{"id":4,"name":"Milepost","value":"13.8851"},{"id":17,"name":"Train ID","value":"124-20"},{"id":16,"name":"Locomotive ID","value":"4059"},{"id":130,"name":"Impact","value":""},{"id":150,"name":"Time of Event (Mountain Time)","value":"07:39:03"},{"id":151,"name":"Denver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47"/>
      <c r="AB19" s="47"/>
      <c r="AC19" s="115" t="str">
        <f t="shared" si="7"/>
        <v>grep -hrE -A400 "Enforcement Action" /c/Users/stu/AppData/Local/Temp/OnboardLogs/RTDC4059 --include="*4059*201711201*"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"%USERPROFILE%\AppData\Local\Temp\OnboardLogs"\RTDC4059\*4059*201711201* &gt;&gt; 2017-11-20-SliceDisagreementCheck.txt</v>
      </c>
      <c r="AE19" s="144" t="str">
        <f t="shared" si="9"/>
        <v>start /low /b %USERPROFILE%\Documents\GitHub\eaglep3\Utilities\DownloadLogsFromS3.py --loco 4059 --day 2017-11-20</v>
      </c>
      <c r="AF19" s="1"/>
    </row>
    <row r="20" spans="1:32" x14ac:dyDescent="0.25">
      <c r="A20" s="31">
        <v>43059.855543981481</v>
      </c>
      <c r="B20" s="30" t="s">
        <v>659</v>
      </c>
      <c r="C20" s="30" t="s">
        <v>671</v>
      </c>
      <c r="D20" s="30" t="s">
        <v>49</v>
      </c>
      <c r="E20" s="30" t="s">
        <v>354</v>
      </c>
      <c r="F20" s="42">
        <v>0</v>
      </c>
      <c r="G20" s="42">
        <v>620</v>
      </c>
      <c r="H20" s="42">
        <v>209791</v>
      </c>
      <c r="I20" s="42">
        <v>212503</v>
      </c>
      <c r="J20" s="30" t="s">
        <v>355</v>
      </c>
      <c r="K20" s="42">
        <v>210929</v>
      </c>
      <c r="L20" s="131" t="s">
        <v>50</v>
      </c>
      <c r="M20" s="132">
        <f t="shared" si="0"/>
        <v>-831.072</v>
      </c>
      <c r="N20" s="133" t="str">
        <f>VLOOKUP(C20,'Trips&amp;Operators'!$C$1:$G$99911,5,FALSE)</f>
        <v>RESPASS AARON</v>
      </c>
      <c r="O20" s="175" t="s">
        <v>348</v>
      </c>
      <c r="P20" s="134" t="s">
        <v>1111</v>
      </c>
      <c r="Q20" s="30"/>
      <c r="R20" s="81" t="str">
        <f>VLOOKUP(C20,'Train Runs'!$A$13:$AE$10152,31,0)</f>
        <v>aws s3 cp s3://rtdc.mdm.uploadarchive.raw/RTDC4064/ "%USERPROFILE%\AppData\Local\Temp\OnboardLogs"\RTDC4064\2017-11-20 --exclude "*" --recursive --include "*20171120*" &amp; "%USERPROFILE%\Documents\GitHub\mrs-test-scripts\Headless Mode &amp; Sideloading\WalkAndUnGZ.bat" "%USERPROFILE%\AppData\Local\Temp\OnboardLogs"\RTDC4064\2017-11-20 &amp; aws s3 cp s3://rtdc.mdm.uploadarchive.raw/RTDC4064/ "%USERPROFILE%\AppData\Local\Temp\OnboardLogs"\RTDC4064\2017-11-21 --exclude "*" --recursive --include "*20171121*" &amp; "%USERPROFILE%\Documents\GitHub\mrs-test-scripts\Headless Mode &amp; Sideloading\WalkAndUnGZ.bat" "%USERPROFILE%\AppData\Local\Temp\OnboardLogs"\RTDC4064\2017-11-21</v>
      </c>
      <c r="S20" s="84" t="str">
        <f>VLOOKUP(C20,'Train Runs'!$A$13:$AE$10152,22,0)</f>
        <v>https://d0f6bd738d7f1b3e5a7ca70fe4ff75f0.us-east-1.aws.found.io/app/kibana#/discover/Steve-Slow-Train-Analysis-(2080s-and-2083s)?_g=(refreshInterval:(display:Off,pause:!f,section:0,value:0),time:(from:'2017-11-20T18:51:56-0700',mode:absolute,to:'2017-11-20T21:31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0" s="86" t="str">
        <f t="shared" si="1"/>
        <v>"C:\Program Files (x86)\AstroGrep\AstroGrep.exe" /e /r /s /spath="%USERPROFILE%\AppData\Local\Temp\OnboardLogs" /stypes="*4064*201711210*" /stext=" 03:.+((SYSTEM_STATE.+slice.+state.+changed )|(ment ac)|(multiple cpu faults)|(system.+state.+changed )|(\[timeout)|(PRM\|1\|D)|(kpr)|(kdp)|(train st.+moving)|(\|lc)|(penalty))"</v>
      </c>
      <c r="U20" s="9" t="str">
        <f t="shared" si="2"/>
        <v>4064</v>
      </c>
      <c r="V20" s="31">
        <f t="shared" si="3"/>
        <v>43060.147210648145</v>
      </c>
      <c r="W20" s="45" t="str">
        <f t="shared" si="4"/>
        <v>EC</v>
      </c>
      <c r="X20" s="22">
        <f t="shared" si="5"/>
        <v>225</v>
      </c>
      <c r="Y20" s="96" t="str">
        <f t="shared" si="6"/>
        <v>echo {"issue":{"subject":"Wi-MAX data drop","project_id":79,"tracker_id":40,"status_id":1,"priority_id":2,"assigned_to_id":338,"start_date":"2017-11-20","description":"","custom_fields":[{"id":1,"name":"Subdivision","value":"EC"},{"id":4,"name":"Milepost","value":"21.0929"},{"id":17,"name":"Train ID","value":"225-20"},{"id":16,"name":"Locomotive ID","value":"4064"},{"id":130,"name":"Impact","value":""},{"id":150,"name":"Time of Event (Mountain Time)","value":"20:31:59"},{"id":151,"name":"Denver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47"/>
      <c r="AB20" s="47"/>
      <c r="AC20" s="115" t="str">
        <f t="shared" si="7"/>
        <v>grep -hrE -A400 "Enforcement Action" /c/Users/stu/AppData/Local/Temp/OnboardLogs/RTDC4064 --include="*4064*201711210*"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"%USERPROFILE%\AppData\Local\Temp\OnboardLogs"\RTDC4064\*4064*201711210* &gt;&gt; 2017-11-20-SliceDisagreementCheck.txt</v>
      </c>
      <c r="AE20" s="144" t="str">
        <f t="shared" si="9"/>
        <v>start /low /b %USERPROFILE%\Documents\GitHub\eaglep3\Utilities\DownloadLogsFromS3.py --loco 4064 --day 2017-11-21</v>
      </c>
      <c r="AF20" s="1"/>
    </row>
    <row r="21" spans="1:32" x14ac:dyDescent="0.25">
      <c r="A21" s="31">
        <v>43059.484467592592</v>
      </c>
      <c r="B21" s="30" t="s">
        <v>659</v>
      </c>
      <c r="C21" s="30" t="s">
        <v>660</v>
      </c>
      <c r="D21" s="30" t="s">
        <v>49</v>
      </c>
      <c r="E21" s="30" t="s">
        <v>453</v>
      </c>
      <c r="F21" s="42">
        <v>0</v>
      </c>
      <c r="G21" s="42">
        <v>461</v>
      </c>
      <c r="H21" s="42">
        <v>126390</v>
      </c>
      <c r="I21" s="42">
        <v>127519</v>
      </c>
      <c r="J21" s="30" t="s">
        <v>454</v>
      </c>
      <c r="K21" s="42">
        <v>126678</v>
      </c>
      <c r="L21" s="131" t="s">
        <v>50</v>
      </c>
      <c r="M21" s="132">
        <f t="shared" si="0"/>
        <v>-444.048</v>
      </c>
      <c r="N21" s="133" t="str">
        <f>VLOOKUP(C21,'Trips&amp;Operators'!$C$1:$G$99911,5,FALSE)</f>
        <v>DAVIS MICHAEL</v>
      </c>
      <c r="O21" s="175" t="s">
        <v>348</v>
      </c>
      <c r="P21" s="134" t="s">
        <v>1111</v>
      </c>
      <c r="Q21" s="30"/>
      <c r="R21" s="81" t="str">
        <f>VLOOKUP(C21,'Train Runs'!$A$13:$AE$10152,31,0)</f>
        <v>aws s3 cp s3://rtdc.mdm.uploadarchive.raw/RTDC4064/ "%USERPROFILE%\AppData\Local\Temp\OnboardLogs"\RTDC4064\2017-11-20 --exclude "*" --recursive --include "*20171120*" &amp; "%USERPROFILE%\Documents\GitHub\mrs-test-scripts\Headless Mode &amp; Sideloading\WalkAndUnGZ.bat" "%USERPROFILE%\AppData\Local\Temp\OnboardLogs"\RTDC4064\2017-11-20 &amp; aws s3 cp s3://rtdc.mdm.uploadarchive.raw/RTDC4064/ "%USERPROFILE%\AppData\Local\Temp\OnboardLogs"\RTDC4064\2017-11-21 --exclude "*" --recursive --include "*20171121*" &amp; "%USERPROFILE%\Documents\GitHub\mrs-test-scripts\Headless Mode &amp; Sideloading\WalkAndUnGZ.bat" "%USERPROFILE%\AppData\Local\Temp\OnboardLogs"\RTDC4064\2017-11-21</v>
      </c>
      <c r="S21" s="84" t="str">
        <f>VLOOKUP(C21,'Train Runs'!$A$13:$AE$10152,22,0)</f>
        <v>https://d0f6bd738d7f1b3e5a7ca70fe4ff75f0.us-east-1.aws.found.io/app/kibana#/discover/Steve-Slow-Train-Analysis-(2080s-and-2083s)?_g=(refreshInterval:(display:Off,pause:!f,section:0,value:0),time:(from:'2017-11-20T10:39:53-0700',mode:absolute,to:'2017-11-20T12:56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1" s="86" t="str">
        <f t="shared" si="1"/>
        <v>"C:\Program Files (x86)\AstroGrep\AstroGrep.exe" /e /r /s /spath="%USERPROFILE%\AppData\Local\Temp\OnboardLogs" /stypes="*4064*201711201*" /stext=" 18:.+((SYSTEM_STATE.+slice.+state.+changed )|(ment ac)|(multiple cpu faults)|(system.+state.+changed )|(\[timeout)|(PRM\|1\|D)|(kpr)|(kdp)|(train st.+moving)|(\|lc)|(penalty))"</v>
      </c>
      <c r="U21" s="9" t="str">
        <f t="shared" si="2"/>
        <v>4064</v>
      </c>
      <c r="V21" s="31">
        <f t="shared" si="3"/>
        <v>43059.776134259257</v>
      </c>
      <c r="W21" s="45" t="str">
        <f t="shared" si="4"/>
        <v>EC</v>
      </c>
      <c r="X21" s="22">
        <f t="shared" si="5"/>
        <v>161</v>
      </c>
      <c r="Y21" s="96" t="str">
        <f t="shared" si="6"/>
        <v>echo {"issue":{"subject":"Wi-MAX data drop","project_id":79,"tracker_id":40,"status_id":1,"priority_id":2,"assigned_to_id":338,"start_date":"2017-11-20","description":"","custom_fields":[{"id":1,"name":"Subdivision","value":"EC"},{"id":4,"name":"Milepost","value":"12.6678"},{"id":17,"name":"Train ID","value":"161-20"},{"id":16,"name":"Locomotive ID","value":"4064"},{"id":130,"name":"Impact","value":""},{"id":150,"name":"Time of Event (Mountain Time)","value":"11:37:38"},{"id":151,"name":"Denver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47"/>
      <c r="AB21" s="47"/>
      <c r="AC21" s="115" t="str">
        <f t="shared" si="7"/>
        <v>grep -hrE -A400 "Enforcement Action" /c/Users/stu/AppData/Local/Temp/OnboardLogs/RTDC4064 --include="*4064*201711201*"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"%USERPROFILE%\AppData\Local\Temp\OnboardLogs"\RTDC4064\*4064*201711201* &gt;&gt; 2017-11-20-SliceDisagreementCheck.txt</v>
      </c>
      <c r="AE21" s="144" t="str">
        <f t="shared" si="9"/>
        <v>start /low /b %USERPROFILE%\Documents\GitHub\eaglep3\Utilities\DownloadLogsFromS3.py --loco 4064 --day 2017-11-20</v>
      </c>
      <c r="AF21" s="1"/>
    </row>
    <row r="22" spans="1:32" x14ac:dyDescent="0.25">
      <c r="A22" s="31">
        <v>43059.778981481482</v>
      </c>
      <c r="B22" s="30" t="s">
        <v>384</v>
      </c>
      <c r="C22" s="30" t="s">
        <v>668</v>
      </c>
      <c r="D22" s="30" t="s">
        <v>95</v>
      </c>
      <c r="E22" s="30" t="s">
        <v>190</v>
      </c>
      <c r="F22" s="42">
        <v>200</v>
      </c>
      <c r="G22" s="42">
        <v>257</v>
      </c>
      <c r="H22" s="42">
        <v>6040</v>
      </c>
      <c r="I22" s="42">
        <v>6516</v>
      </c>
      <c r="J22" s="30" t="s">
        <v>191</v>
      </c>
      <c r="K22" s="42">
        <v>4790</v>
      </c>
      <c r="L22" s="131" t="s">
        <v>50</v>
      </c>
      <c r="M22" s="132">
        <f t="shared" si="0"/>
        <v>-911.32799999999997</v>
      </c>
      <c r="N22" s="133" t="str">
        <f>VLOOKUP(C22,'Trips&amp;Operators'!$C$1:$G$99911,5,FALSE)</f>
        <v>STAMBAUGH JAMES</v>
      </c>
      <c r="O22" s="175" t="s">
        <v>178</v>
      </c>
      <c r="P22" s="134"/>
      <c r="Q22" s="30"/>
      <c r="R22" s="81" t="str">
        <f>VLOOKUP(C22,'Train Runs'!$A$13:$AE$10152,31,0)</f>
        <v>aws s3 cp s3://rtdc.mdm.uploadarchive.raw/RTDC4062/ "%USERPROFILE%\AppData\Local\Temp\OnboardLogs"\RTDC4062\2017-11-20 --exclude "*" --recursive --include "*20171120*" &amp; "%USERPROFILE%\Documents\GitHub\mrs-test-scripts\Headless Mode &amp; Sideloading\WalkAndUnGZ.bat" "%USERPROFILE%\AppData\Local\Temp\OnboardLogs"\RTDC4062\2017-11-20 &amp; aws s3 cp s3://rtdc.mdm.uploadarchive.raw/RTDC4062/ "%USERPROFILE%\AppData\Local\Temp\OnboardLogs"\RTDC4062\2017-11-21 --exclude "*" --recursive --include "*20171121*" &amp; "%USERPROFILE%\Documents\GitHub\mrs-test-scripts\Headless Mode &amp; Sideloading\WalkAndUnGZ.bat" "%USERPROFILE%\AppData\Local\Temp\OnboardLogs"\RTDC4062\2017-11-21</v>
      </c>
      <c r="S22" s="84" t="str">
        <f>VLOOKUP(C22,'Train Runs'!$A$13:$AE$10152,22,0)</f>
        <v>https://d0f6bd738d7f1b3e5a7ca70fe4ff75f0.us-east-1.aws.found.io/app/kibana#/discover/Steve-Slow-Train-Analysis-(2080s-and-2083s)?_g=(refreshInterval:(display:Off,pause:!f,section:0,value:0),time:(from:'2017-11-20T17:34:45-0700',mode:absolute,to:'2017-11-20T19:53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22" s="86" t="str">
        <f t="shared" si="1"/>
        <v>"C:\Program Files (x86)\AstroGrep\AstroGrep.exe" /e /r /s /spath="%USERPROFILE%\AppData\Local\Temp\OnboardLogs" /stypes="*4062*201711210*" /stext=" 01:.+((SYSTEM_STATE.+slice.+state.+changed )|(ment ac)|(multiple cpu faults)|(system.+state.+changed )|(\[timeout)|(PRM\|1\|D)|(kpr)|(kdp)|(train st.+moving)|(\|lc)|(penalty))"</v>
      </c>
      <c r="U22" s="9" t="str">
        <f t="shared" si="2"/>
        <v>4062</v>
      </c>
      <c r="V22" s="31">
        <f t="shared" si="3"/>
        <v>43060.070648148147</v>
      </c>
      <c r="W22" s="45" t="str">
        <f t="shared" si="4"/>
        <v>NW</v>
      </c>
      <c r="X22" s="22">
        <f t="shared" si="5"/>
        <v>839</v>
      </c>
      <c r="Y22" s="96" t="str">
        <f t="shared" si="6"/>
        <v>echo {"issue":{"subject":"","project_id":79,"tracker_id":40,"status_id":1,"priority_id":2,"assigned_to_id":338,"start_date":"2017-11-20","description":"","custom_fields":[{"id":1,"name":"Subdivision","value":"NW"},{"id":4,"name":"Milepost","value":"0.479"},{"id":17,"name":"Train ID","value":"839-20"},{"id":16,"name":"Locomotive ID","value":"4062"},{"id":130,"name":"Impact","value":""},{"id":150,"name":"Time of Event (Mountain Time)","value":"18:41:44"},{"id":151,"name":"Denver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47"/>
      <c r="AB22" s="47"/>
      <c r="AC22" s="115" t="str">
        <f t="shared" si="7"/>
        <v>grep -hrE -A400 "Enforcement Action" /c/Users/stu/AppData/Local/Temp/OnboardLogs/RTDC4062 --include="*4062*201711210*"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"%USERPROFILE%\AppData\Local\Temp\OnboardLogs"\RTDC4062\*4062*201711210* &gt;&gt; 2017-11-20-SliceDisagreementCheck.txt</v>
      </c>
      <c r="AE22" s="144" t="str">
        <f t="shared" si="9"/>
        <v>start /low /b %USERPROFILE%\Documents\GitHub\eaglep3\Utilities\DownloadLogsFromS3.py --loco 4062 --day 2017-11-21</v>
      </c>
      <c r="AF22" s="1"/>
    </row>
    <row r="23" spans="1:32" x14ac:dyDescent="0.25">
      <c r="A23" s="31">
        <v>43059.304652777777</v>
      </c>
      <c r="B23" s="30" t="s">
        <v>490</v>
      </c>
      <c r="C23" s="30" t="s">
        <v>651</v>
      </c>
      <c r="D23" s="30" t="s">
        <v>49</v>
      </c>
      <c r="E23" s="30" t="s">
        <v>190</v>
      </c>
      <c r="F23" s="42">
        <v>300</v>
      </c>
      <c r="G23" s="42">
        <v>350</v>
      </c>
      <c r="H23" s="42">
        <v>40480</v>
      </c>
      <c r="I23" s="42">
        <v>41244</v>
      </c>
      <c r="J23" s="30" t="s">
        <v>191</v>
      </c>
      <c r="K23" s="42">
        <v>40977</v>
      </c>
      <c r="L23" s="131" t="s">
        <v>50</v>
      </c>
      <c r="M23" s="132">
        <f t="shared" si="0"/>
        <v>-140.976</v>
      </c>
      <c r="N23" s="133" t="str">
        <f>VLOOKUP(C23,'Trips&amp;Operators'!$C$1:$G$99911,5,FALSE)</f>
        <v>YANAI IAN</v>
      </c>
      <c r="O23" s="175" t="s">
        <v>178</v>
      </c>
      <c r="P23" s="134"/>
      <c r="Q23" s="30"/>
      <c r="R23" s="81" t="str">
        <f>VLOOKUP(C23,'Train Runs'!$A$13:$AE$10152,31,0)</f>
        <v>aws s3 cp s3://rtdc.mdm.uploadarchive.raw/RTDC4014/ "%USERPROFILE%\AppData\Local\Temp\OnboardLogs"\RTDC4014\2017-11-20 --exclude "*" --recursive --include "*20171120*" &amp; "%USERPROFILE%\Documents\GitHub\mrs-test-scripts\Headless Mode &amp; Sideloading\WalkAndUnGZ.bat" "%USERPROFILE%\AppData\Local\Temp\OnboardLogs"\RTDC4014\2017-11-20 &amp; aws s3 cp s3://rtdc.mdm.uploadarchive.raw/RTDC4014/ "%USERPROFILE%\AppData\Local\Temp\OnboardLogs"\RTDC4014\2017-11-21 --exclude "*" --recursive --include "*20171121*" &amp; "%USERPROFILE%\Documents\GitHub\mrs-test-scripts\Headless Mode &amp; Sideloading\WalkAndUnGZ.bat" "%USERPROFILE%\AppData\Local\Temp\OnboardLogs"\RTDC4014\2017-11-21</v>
      </c>
      <c r="S23" s="84" t="str">
        <f>VLOOKUP(C23,'Train Runs'!$A$13:$AE$10152,22,0)</f>
        <v>https://d0f6bd738d7f1b3e5a7ca70fe4ff75f0.us-east-1.aws.found.io/app/kibana#/discover/Steve-Slow-Train-Analysis-(2080s-and-2083s)?_g=(refreshInterval:(display:Off,pause:!f,section:0,value:0),time:(from:'2017-11-20T05:57:12-0700',mode:absolute,to:'2017-11-20T08:24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3" s="86" t="str">
        <f t="shared" si="1"/>
        <v>"C:\Program Files (x86)\AstroGrep\AstroGrep.exe" /e /r /s /spath="%USERPROFILE%\AppData\Local\Temp\OnboardLogs" /stypes="*4014*201711201*" /stext=" 14:.+((SYSTEM_STATE.+slice.+state.+changed )|(ment ac)|(multiple cpu faults)|(system.+state.+changed )|(\[timeout)|(PRM\|1\|D)|(kpr)|(kdp)|(train st.+moving)|(\|lc)|(penalty))"</v>
      </c>
      <c r="U23" s="9" t="str">
        <f t="shared" si="2"/>
        <v>4014</v>
      </c>
      <c r="V23" s="31">
        <f t="shared" si="3"/>
        <v>43059.596319444441</v>
      </c>
      <c r="W23" s="45" t="str">
        <f t="shared" si="4"/>
        <v>NW</v>
      </c>
      <c r="X23" s="22">
        <f t="shared" si="5"/>
        <v>807</v>
      </c>
      <c r="Y23" s="96" t="str">
        <f t="shared" si="6"/>
        <v>echo {"issue":{"subject":"","project_id":79,"tracker_id":40,"status_id":1,"priority_id":2,"assigned_to_id":338,"start_date":"2017-11-20","description":"","custom_fields":[{"id":1,"name":"Subdivision","value":"NW"},{"id":4,"name":"Milepost","value":"4.0977"},{"id":17,"name":"Train ID","value":"807-20"},{"id":16,"name":"Locomotive ID","value":"4014"},{"id":130,"name":"Impact","value":""},{"id":150,"name":"Time of Event (Mountain Time)","value":"07:18:42"},{"id":151,"name":"Denver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47"/>
      <c r="AB23" s="47"/>
      <c r="AC23" s="115" t="str">
        <f t="shared" si="7"/>
        <v>grep -hrE -A400 "Enforcement Action" /c/Users/stu/AppData/Local/Temp/OnboardLogs/RTDC4014 --include="*4014*201711201*"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"%USERPROFILE%\AppData\Local\Temp\OnboardLogs"\RTDC4014\*4014*201711201* &gt;&gt; 2017-11-20-SliceDisagreementCheck.txt</v>
      </c>
      <c r="AE23" s="144" t="str">
        <f t="shared" si="9"/>
        <v>start /low /b %USERPROFILE%\Documents\GitHub\eaglep3\Utilities\DownloadLogsFromS3.py --loco 4014 --day 2017-11-20</v>
      </c>
      <c r="AF23" s="1"/>
    </row>
    <row r="24" spans="1:32" x14ac:dyDescent="0.25">
      <c r="A24" s="31">
        <v>43059.301990740743</v>
      </c>
      <c r="B24" s="30" t="s">
        <v>386</v>
      </c>
      <c r="C24" s="30" t="s">
        <v>650</v>
      </c>
      <c r="D24" s="30" t="s">
        <v>49</v>
      </c>
      <c r="E24" s="30" t="s">
        <v>190</v>
      </c>
      <c r="F24" s="42">
        <v>400</v>
      </c>
      <c r="G24" s="42">
        <v>558</v>
      </c>
      <c r="H24" s="42">
        <v>53246</v>
      </c>
      <c r="I24" s="42">
        <v>51156</v>
      </c>
      <c r="J24" s="30" t="s">
        <v>191</v>
      </c>
      <c r="K24" s="42">
        <v>49775</v>
      </c>
      <c r="L24" s="131" t="s">
        <v>51</v>
      </c>
      <c r="M24" s="132">
        <f t="shared" si="0"/>
        <v>729.16800000000001</v>
      </c>
      <c r="N24" s="133" t="str">
        <f>VLOOKUP(C24,'Trips&amp;Operators'!$C$1:$G$99911,5,FALSE)</f>
        <v>MACDONALD THOMAS</v>
      </c>
      <c r="O24" s="175" t="s">
        <v>178</v>
      </c>
      <c r="P24" s="134"/>
      <c r="Q24" s="30"/>
      <c r="R24" s="81" t="str">
        <f>VLOOKUP(C24,'Train Runs'!$A$13:$AE$10152,31,0)</f>
        <v>aws s3 cp s3://rtdc.mdm.uploadarchive.raw/RTDC4061/ "%USERPROFILE%\AppData\Local\Temp\OnboardLogs"\RTDC4061\2017-11-20 --exclude "*" --recursive --include "*20171120*" &amp; "%USERPROFILE%\Documents\GitHub\mrs-test-scripts\Headless Mode &amp; Sideloading\WalkAndUnGZ.bat" "%USERPROFILE%\AppData\Local\Temp\OnboardLogs"\RTDC4061\2017-11-20 &amp; aws s3 cp s3://rtdc.mdm.uploadarchive.raw/RTDC4061/ "%USERPROFILE%\AppData\Local\Temp\OnboardLogs"\RTDC4061\2017-11-21 --exclude "*" --recursive --include "*20171121*" &amp; "%USERPROFILE%\Documents\GitHub\mrs-test-scripts\Headless Mode &amp; Sideloading\WalkAndUnGZ.bat" "%USERPROFILE%\AppData\Local\Temp\OnboardLogs"\RTDC4061\2017-11-21</v>
      </c>
      <c r="S24" s="84" t="str">
        <f>VLOOKUP(C24,'Train Runs'!$A$13:$AE$10152,22,0)</f>
        <v>https://d0f6bd738d7f1b3e5a7ca70fe4ff75f0.us-east-1.aws.found.io/app/kibana#/discover/Steve-Slow-Train-Analysis-(2080s-and-2083s)?_g=(refreshInterval:(display:Off,pause:!f,section:0,value:0),time:(from:'2017-11-20T05:56:17-0700',mode:absolute,to:'2017-11-20T08:26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4" s="86" t="str">
        <f t="shared" si="1"/>
        <v>"C:\Program Files (x86)\AstroGrep\AstroGrep.exe" /e /r /s /spath="%USERPROFILE%\AppData\Local\Temp\OnboardLogs" /stypes="*4061*201711201*" /stext=" 14:.+((SYSTEM_STATE.+slice.+state.+changed )|(ment ac)|(multiple cpu faults)|(system.+state.+changed )|(\[timeout)|(PRM\|1\|D)|(kpr)|(kdp)|(train st.+moving)|(\|lc)|(penalty))"</v>
      </c>
      <c r="U24" s="9" t="str">
        <f t="shared" si="2"/>
        <v>4061</v>
      </c>
      <c r="V24" s="31">
        <f t="shared" si="3"/>
        <v>43059.593657407408</v>
      </c>
      <c r="W24" s="45" t="str">
        <f t="shared" si="4"/>
        <v>NW</v>
      </c>
      <c r="X24" s="22">
        <f t="shared" si="5"/>
        <v>806</v>
      </c>
      <c r="Y24" s="96" t="str">
        <f t="shared" si="6"/>
        <v>echo {"issue":{"subject":"","project_id":79,"tracker_id":40,"status_id":1,"priority_id":2,"assigned_to_id":338,"start_date":"2017-11-20","description":"","custom_fields":[{"id":1,"name":"Subdivision","value":"NW"},{"id":4,"name":"Milepost","value":"4.9775"},{"id":17,"name":"Train ID","value":"806-20"},{"id":16,"name":"Locomotive ID","value":"4061"},{"id":130,"name":"Impact","value":""},{"id":150,"name":"Time of Event (Mountain Time)","value":"07:14:52"},{"id":151,"name":"Denver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47"/>
      <c r="AB24" s="47"/>
      <c r="AC24" s="115" t="str">
        <f t="shared" si="7"/>
        <v>grep -hrE -A400 "Enforcement Action" /c/Users/stu/AppData/Local/Temp/OnboardLogs/RTDC4061 --include="*4061*201711201*"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"%USERPROFILE%\AppData\Local\Temp\OnboardLogs"\RTDC4061\*4061*201711201* &gt;&gt; 2017-11-20-SliceDisagreementCheck.txt</v>
      </c>
      <c r="AE24" s="144" t="str">
        <f t="shared" si="9"/>
        <v>start /low /b %USERPROFILE%\Documents\GitHub\eaglep3\Utilities\DownloadLogsFromS3.py --loco 4061 --day 2017-11-20</v>
      </c>
      <c r="AF24" s="1"/>
    </row>
    <row r="25" spans="1:32" x14ac:dyDescent="0.25">
      <c r="A25" s="31">
        <v>43059.494953703703</v>
      </c>
      <c r="B25" s="30" t="s">
        <v>661</v>
      </c>
      <c r="C25" s="30" t="s">
        <v>662</v>
      </c>
      <c r="D25" s="30" t="s">
        <v>95</v>
      </c>
      <c r="E25" s="30" t="s">
        <v>354</v>
      </c>
      <c r="F25" s="42">
        <v>0</v>
      </c>
      <c r="G25" s="42">
        <v>92</v>
      </c>
      <c r="H25" s="42">
        <v>4796</v>
      </c>
      <c r="I25" s="42">
        <v>4673</v>
      </c>
      <c r="J25" s="30" t="s">
        <v>355</v>
      </c>
      <c r="K25" s="42">
        <v>4798</v>
      </c>
      <c r="L25" s="131" t="s">
        <v>51</v>
      </c>
      <c r="M25" s="132">
        <f t="shared" si="0"/>
        <v>-66</v>
      </c>
      <c r="N25" s="133" t="str">
        <f>VLOOKUP(C25,'Trips&amp;Operators'!$C$1:$G$99911,5,FALSE)</f>
        <v>YANAI IAN</v>
      </c>
      <c r="O25" s="175" t="s">
        <v>348</v>
      </c>
      <c r="P25" s="134" t="s">
        <v>1113</v>
      </c>
      <c r="Q25" s="30"/>
      <c r="R25" s="81" t="str">
        <f>VLOOKUP(C25,'Train Runs'!$A$13:$AE$10152,31,0)</f>
        <v>aws s3 cp s3://rtdc.mdm.uploadarchive.raw/RTDC4013/ "%USERPROFILE%\AppData\Local\Temp\OnboardLogs"\RTDC4013\2017-11-20 --exclude "*" --recursive --include "*20171120*" &amp; "%USERPROFILE%\Documents\GitHub\mrs-test-scripts\Headless Mode &amp; Sideloading\WalkAndUnGZ.bat" "%USERPROFILE%\AppData\Local\Temp\OnboardLogs"\RTDC4013\2017-11-20 &amp; 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</v>
      </c>
      <c r="S25" s="84" t="str">
        <f>VLOOKUP(C25,'Train Runs'!$A$13:$AE$10152,22,0)</f>
        <v>https://d0f6bd738d7f1b3e5a7ca70fe4ff75f0.us-east-1.aws.found.io/app/kibana#/discover/Steve-Slow-Train-Analysis-(2080s-and-2083s)?_g=(refreshInterval:(display:Off,pause:!f,section:0,value:0),time:(from:'2017-11-20T10:23:27-0700',mode:absolute,to:'2017-11-20T12:52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5" s="86" t="str">
        <f t="shared" si="1"/>
        <v>"C:\Program Files (x86)\AstroGrep\AstroGrep.exe" /e /r /s /spath="%USERPROFILE%\AppData\Local\Temp\OnboardLogs" /stypes="*4013*201711201*" /stext=" 18:.+((SYSTEM_STATE.+slice.+state.+changed )|(ment ac)|(multiple cpu faults)|(system.+state.+changed )|(\[timeout)|(PRM\|1\|D)|(kpr)|(kdp)|(train st.+moving)|(\|lc)|(penalty))"</v>
      </c>
      <c r="U25" s="9" t="str">
        <f t="shared" si="2"/>
        <v>4013</v>
      </c>
      <c r="V25" s="31">
        <f t="shared" si="3"/>
        <v>43059.786620370367</v>
      </c>
      <c r="W25" s="45" t="str">
        <f t="shared" si="4"/>
        <v>NW</v>
      </c>
      <c r="X25" s="22">
        <f t="shared" si="5"/>
        <v>818</v>
      </c>
      <c r="Y25" s="96" t="str">
        <f t="shared" si="6"/>
        <v>echo {"issue":{"subject":"Poor GPS @ Wewatta","project_id":79,"tracker_id":40,"status_id":1,"priority_id":2,"assigned_to_id":338,"start_date":"2017-11-20","description":"","custom_fields":[{"id":1,"name":"Subdivision","value":"NW"},{"id":4,"name":"Milepost","value":"0.4798"},{"id":17,"name":"Train ID","value":"818-20"},{"id":16,"name":"Locomotive ID","value":"4013"},{"id":130,"name":"Impact","value":""},{"id":150,"name":"Time of Event (Mountain Time)","value":"11:52:44"},{"id":151,"name":"Denver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47"/>
      <c r="AB25" s="47"/>
      <c r="AC25" s="115" t="str">
        <f t="shared" si="7"/>
        <v>grep -hrE -A400 "Enforcement Action" /c/Users/stu/AppData/Local/Temp/OnboardLogs/RTDC4013 --include="*4013*201711201*"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"%USERPROFILE%\AppData\Local\Temp\OnboardLogs"\RTDC4013\*4013*201711201* &gt;&gt; 2017-11-20-SliceDisagreementCheck.txt</v>
      </c>
      <c r="AE25" s="144" t="str">
        <f t="shared" si="9"/>
        <v>start /low /b %USERPROFILE%\Documents\GitHub\eaglep3\Utilities\DownloadLogsFromS3.py --loco 4013 --day 2017-11-20</v>
      </c>
      <c r="AF25" s="1"/>
    </row>
    <row r="26" spans="1:32" x14ac:dyDescent="0.25">
      <c r="A26" s="31">
        <v>43059.578738425924</v>
      </c>
      <c r="B26" s="30" t="s">
        <v>661</v>
      </c>
      <c r="C26" s="30" t="s">
        <v>664</v>
      </c>
      <c r="D26" s="30" t="s">
        <v>49</v>
      </c>
      <c r="E26" s="30" t="s">
        <v>354</v>
      </c>
      <c r="F26" s="42">
        <v>0</v>
      </c>
      <c r="G26" s="42">
        <v>104</v>
      </c>
      <c r="H26" s="42">
        <v>4874</v>
      </c>
      <c r="I26" s="42">
        <v>4716</v>
      </c>
      <c r="J26" s="30" t="s">
        <v>355</v>
      </c>
      <c r="K26" s="42">
        <v>4798</v>
      </c>
      <c r="L26" s="131" t="s">
        <v>51</v>
      </c>
      <c r="M26" s="132">
        <f t="shared" si="0"/>
        <v>-43.296000000000006</v>
      </c>
      <c r="N26" s="133" t="str">
        <f>VLOOKUP(C26,'Trips&amp;Operators'!$C$1:$G$99911,5,FALSE)</f>
        <v>LEVIN SCOTT</v>
      </c>
      <c r="O26" s="175" t="s">
        <v>348</v>
      </c>
      <c r="P26" s="134" t="s">
        <v>1113</v>
      </c>
      <c r="Q26" s="30"/>
      <c r="R26" s="81" t="str">
        <f>VLOOKUP(C26,'Train Runs'!$A$13:$AE$10152,31,0)</f>
        <v>aws s3 cp s3://rtdc.mdm.uploadarchive.raw/RTDC4013/ "%USERPROFILE%\AppData\Local\Temp\OnboardLogs"\RTDC4013\2017-11-20 --exclude "*" --recursive --include "*20171120*" &amp; "%USERPROFILE%\Documents\GitHub\mrs-test-scripts\Headless Mode &amp; Sideloading\WalkAndUnGZ.bat" "%USERPROFILE%\AppData\Local\Temp\OnboardLogs"\RTDC4013\2017-11-20 &amp; 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</v>
      </c>
      <c r="S26" s="84" t="str">
        <f>VLOOKUP(C26,'Train Runs'!$A$13:$AE$10152,22,0)</f>
        <v>https://d0f6bd738d7f1b3e5a7ca70fe4ff75f0.us-east-1.aws.found.io/app/kibana#/discover/Steve-Slow-Train-Analysis-(2080s-and-2083s)?_g=(refreshInterval:(display:Off,pause:!f,section:0,value:0),time:(from:'2017-11-20T12:24:56-0700',mode:absolute,to:'2017-11-20T14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6" s="86" t="str">
        <f t="shared" si="1"/>
        <v>"C:\Program Files (x86)\AstroGrep\AstroGrep.exe" /e /r /s /spath="%USERPROFILE%\AppData\Local\Temp\OnboardLogs" /stypes="*4013*201711202*" /stext=" 20:.+((SYSTEM_STATE.+slice.+state.+changed )|(ment ac)|(multiple cpu faults)|(system.+state.+changed )|(\[timeout)|(PRM\|1\|D)|(kpr)|(kdp)|(train st.+moving)|(\|lc)|(penalty))"</v>
      </c>
      <c r="U26" s="9" t="str">
        <f t="shared" si="2"/>
        <v>4013</v>
      </c>
      <c r="V26" s="31">
        <f t="shared" si="3"/>
        <v>43059.870405092588</v>
      </c>
      <c r="W26" s="45" t="str">
        <f t="shared" si="4"/>
        <v>NW</v>
      </c>
      <c r="X26" s="22">
        <f t="shared" si="5"/>
        <v>822</v>
      </c>
      <c r="Y26" s="96" t="str">
        <f t="shared" si="6"/>
        <v>echo {"issue":{"subject":"Poor GPS @ Wewatta","project_id":79,"tracker_id":40,"status_id":1,"priority_id":2,"assigned_to_id":338,"start_date":"2017-11-20","description":"","custom_fields":[{"id":1,"name":"Subdivision","value":"NW"},{"id":4,"name":"Milepost","value":"0.4798"},{"id":17,"name":"Train ID","value":"822-20"},{"id":16,"name":"Locomotive ID","value":"4013"},{"id":130,"name":"Impact","value":""},{"id":150,"name":"Time of Event (Mountain Time)","value":"13:53:23"},{"id":151,"name":"Denver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47"/>
      <c r="AB26" s="47"/>
      <c r="AC26" s="115" t="str">
        <f t="shared" si="7"/>
        <v>grep -hrE -A400 "Enforcement Action" /c/Users/stu/AppData/Local/Temp/OnboardLogs/RTDC4013 --include="*4013*201711202*"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"%USERPROFILE%\AppData\Local\Temp\OnboardLogs"\RTDC4013\*4013*201711202* &gt;&gt; 2017-11-20-SliceDisagreementCheck.txt</v>
      </c>
      <c r="AE26" s="144" t="str">
        <f t="shared" si="9"/>
        <v>start /low /b %USERPROFILE%\Documents\GitHub\eaglep3\Utilities\DownloadLogsFromS3.py --loco 4013 --day 2017-11-20</v>
      </c>
      <c r="AF26" s="1"/>
    </row>
    <row r="27" spans="1:32" x14ac:dyDescent="0.25">
      <c r="A27" s="31">
        <v>43059.787719907406</v>
      </c>
      <c r="B27" s="30" t="s">
        <v>661</v>
      </c>
      <c r="C27" s="30" t="s">
        <v>669</v>
      </c>
      <c r="D27" s="30" t="s">
        <v>95</v>
      </c>
      <c r="E27" s="30" t="s">
        <v>354</v>
      </c>
      <c r="F27" s="42">
        <v>0</v>
      </c>
      <c r="G27" s="42">
        <v>103</v>
      </c>
      <c r="H27" s="42">
        <v>4766</v>
      </c>
      <c r="I27" s="42">
        <v>4459</v>
      </c>
      <c r="J27" s="30" t="s">
        <v>355</v>
      </c>
      <c r="K27" s="42">
        <v>4798</v>
      </c>
      <c r="L27" s="131" t="s">
        <v>51</v>
      </c>
      <c r="M27" s="132">
        <f t="shared" si="0"/>
        <v>-178.99199999999999</v>
      </c>
      <c r="N27" s="133" t="str">
        <f>VLOOKUP(C27,'Trips&amp;Operators'!$C$1:$G$99911,5,FALSE)</f>
        <v>LEVIN SCOTT</v>
      </c>
      <c r="O27" s="175" t="s">
        <v>348</v>
      </c>
      <c r="P27" s="134" t="s">
        <v>1113</v>
      </c>
      <c r="Q27" s="30"/>
      <c r="R27" s="81" t="str">
        <f>VLOOKUP(C27,'Train Runs'!$A$13:$AE$10152,31,0)</f>
        <v>aws s3 cp s3://rtdc.mdm.uploadarchive.raw/RTDC4013/ "%USERPROFILE%\AppData\Local\Temp\OnboardLogs"\RTDC4013\2017-11-20 --exclude "*" --recursive --include "*20171120*" &amp; "%USERPROFILE%\Documents\GitHub\mrs-test-scripts\Headless Mode &amp; Sideloading\WalkAndUnGZ.bat" "%USERPROFILE%\AppData\Local\Temp\OnboardLogs"\RTDC4013\2017-11-20 &amp; 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</v>
      </c>
      <c r="S27" s="84" t="str">
        <f>VLOOKUP(C27,'Train Runs'!$A$13:$AE$10152,22,0)</f>
        <v>https://d0f6bd738d7f1b3e5a7ca70fe4ff75f0.us-east-1.aws.found.io/app/kibana#/discover/Steve-Slow-Train-Analysis-(2080s-and-2083s)?_g=(refreshInterval:(display:Off,pause:!f,section:0,value:0),time:(from:'2017-11-20T17:27:45-0700',mode:absolute,to:'2017-11-20T19:53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7" s="86" t="str">
        <f t="shared" si="1"/>
        <v>"C:\Program Files (x86)\AstroGrep\AstroGrep.exe" /e /r /s /spath="%USERPROFILE%\AppData\Local\Temp\OnboardLogs" /stypes="*4013*201711210*" /stext=" 01:.+((SYSTEM_STATE.+slice.+state.+changed )|(ment ac)|(multiple cpu faults)|(system.+state.+changed )|(\[timeout)|(PRM\|1\|D)|(kpr)|(kdp)|(train st.+moving)|(\|lc)|(penalty))"</v>
      </c>
      <c r="U27" s="9" t="str">
        <f t="shared" si="2"/>
        <v>4013</v>
      </c>
      <c r="V27" s="31">
        <f t="shared" si="3"/>
        <v>43060.079386574071</v>
      </c>
      <c r="W27" s="45" t="str">
        <f t="shared" si="4"/>
        <v>NW</v>
      </c>
      <c r="X27" s="22">
        <f t="shared" si="5"/>
        <v>838</v>
      </c>
      <c r="Y27" s="96" t="str">
        <f t="shared" si="6"/>
        <v>echo {"issue":{"subject":"Poor GPS @ Wewatta","project_id":79,"tracker_id":40,"status_id":1,"priority_id":2,"assigned_to_id":338,"start_date":"2017-11-20","description":"","custom_fields":[{"id":1,"name":"Subdivision","value":"NW"},{"id":4,"name":"Milepost","value":"0.4798"},{"id":17,"name":"Train ID","value":"838-20"},{"id":16,"name":"Locomotive ID","value":"4013"},{"id":130,"name":"Impact","value":""},{"id":150,"name":"Time of Event (Mountain Time)","value":"18:54:19"},{"id":151,"name":"Denver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47"/>
      <c r="AB27" s="47"/>
      <c r="AC27" s="115" t="str">
        <f t="shared" si="7"/>
        <v>grep -hrE -A400 "Enforcement Action" /c/Users/stu/AppData/Local/Temp/OnboardLogs/RTDC4013 --include="*4013*201711210*"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"%USERPROFILE%\AppData\Local\Temp\OnboardLogs"\RTDC4013\*4013*201711210* &gt;&gt; 2017-11-20-SliceDisagreementCheck.txt</v>
      </c>
      <c r="AE27" s="144" t="str">
        <f t="shared" si="9"/>
        <v>start /low /b %USERPROFILE%\Documents\GitHub\eaglep3\Utilities\DownloadLogsFromS3.py --loco 4013 --day 2017-11-21</v>
      </c>
      <c r="AF27" s="1"/>
    </row>
    <row r="28" spans="1:32" x14ac:dyDescent="0.25">
      <c r="A28" s="31">
        <v>43059.893877314818</v>
      </c>
      <c r="B28" s="30" t="s">
        <v>661</v>
      </c>
      <c r="C28" s="30" t="s">
        <v>675</v>
      </c>
      <c r="D28" s="30" t="s">
        <v>95</v>
      </c>
      <c r="E28" s="30" t="s">
        <v>354</v>
      </c>
      <c r="F28" s="42">
        <v>0</v>
      </c>
      <c r="G28" s="42">
        <v>84</v>
      </c>
      <c r="H28" s="42">
        <v>57994</v>
      </c>
      <c r="I28" s="42">
        <v>57880</v>
      </c>
      <c r="J28" s="30" t="s">
        <v>355</v>
      </c>
      <c r="K28" s="42">
        <v>48761</v>
      </c>
      <c r="L28" s="131" t="s">
        <v>50</v>
      </c>
      <c r="M28" s="132">
        <f t="shared" si="0"/>
        <v>-4814.8320000000003</v>
      </c>
      <c r="N28" s="133" t="str">
        <f>VLOOKUP(C28,'Trips&amp;Operators'!$C$1:$G$99911,5,FALSE)</f>
        <v>STAMBAUGH JAMES</v>
      </c>
      <c r="O28" s="175" t="s">
        <v>348</v>
      </c>
      <c r="P28" s="134" t="s">
        <v>1111</v>
      </c>
      <c r="Q28" s="30"/>
      <c r="R28" s="81" t="str">
        <f>VLOOKUP(C28,'Train Runs'!$A$13:$AE$10152,31,0)</f>
        <v>aws s3 cp s3://rtdc.mdm.uploadarchive.raw/RTDC4013/ "%USERPROFILE%\AppData\Local\Temp\OnboardLogs"\RTDC4013\2017-11-20 --exclude "*" --recursive --include "*20171120*" &amp; "%USERPROFILE%\Documents\GitHub\mrs-test-scripts\Headless Mode &amp; Sideloading\WalkAndUnGZ.bat" "%USERPROFILE%\AppData\Local\Temp\OnboardLogs"\RTDC4013\2017-11-20 &amp; aws s3 cp s3://rtdc.mdm.uploadarchive.raw/RTDC4013/ "%USERPROFILE%\AppData\Local\Temp\OnboardLogs"\RTDC4013\2017-11-21 --exclude "*" --recursive --include "*20171121*" &amp; "%USERPROFILE%\Documents\GitHub\mrs-test-scripts\Headless Mode &amp; Sideloading\WalkAndUnGZ.bat" "%USERPROFILE%\AppData\Local\Temp\OnboardLogs"\RTDC4013\2017-11-21</v>
      </c>
      <c r="S28" s="84" t="str">
        <f>VLOOKUP(C28,'Train Runs'!$A$13:$AE$10152,22,0)</f>
        <v>https://d0f6bd738d7f1b3e5a7ca70fe4ff75f0.us-east-1.aws.found.io/app/kibana#/discover/Steve-Slow-Train-Analysis-(2080s-and-2083s)?_g=(refreshInterval:(display:Off,pause:!f,section:0,value:0),time:(from:'2017-11-20T20:28:01-0700',mode:absolute,to:'2017-11-20T22:56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8" s="86" t="str">
        <f t="shared" si="1"/>
        <v>"C:\Program Files (x86)\AstroGrep\AstroGrep.exe" /e /r /s /spath="%USERPROFILE%\AppData\Local\Temp\OnboardLogs" /stypes="*4013*201711210*" /stext=" 04:.+((SYSTEM_STATE.+slice.+state.+changed )|(ment ac)|(multiple cpu faults)|(system.+state.+changed )|(\[timeout)|(PRM\|1\|D)|(kpr)|(kdp)|(train st.+moving)|(\|lc)|(penalty))"</v>
      </c>
      <c r="U28" s="9" t="str">
        <f t="shared" si="2"/>
        <v>4013</v>
      </c>
      <c r="V28" s="31">
        <f t="shared" si="3"/>
        <v>43060.185543981483</v>
      </c>
      <c r="W28" s="45" t="str">
        <f t="shared" si="4"/>
        <v>NW</v>
      </c>
      <c r="X28" s="22">
        <f t="shared" si="5"/>
        <v>844</v>
      </c>
      <c r="Y28" s="96" t="str">
        <f t="shared" si="6"/>
        <v>echo {"issue":{"subject":"Wi-MAX data drop","project_id":79,"tracker_id":40,"status_id":1,"priority_id":2,"assigned_to_id":338,"start_date":"2017-11-20","description":"","custom_fields":[{"id":1,"name":"Subdivision","value":"NW"},{"id":4,"name":"Milepost","value":"4.8761"},{"id":17,"name":"Train ID","value":"844-20"},{"id":16,"name":"Locomotive ID","value":"4013"},{"id":130,"name":"Impact","value":""},{"id":150,"name":"Time of Event (Mountain Time)","value":"21:27:11"},{"id":151,"name":"Denver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47"/>
      <c r="AB28" s="47"/>
      <c r="AC28" s="225" t="str">
        <f t="shared" si="7"/>
        <v>grep -hrE -A400 "Enforcement Action" /c/Users/stu/AppData/Local/Temp/OnboardLogs/RTDC4013 --include="*4013*201711210*"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"%USERPROFILE%\AppData\Local\Temp\OnboardLogs"\RTDC4013\*4013*201711210* &gt;&gt; 2017-11-20-SliceDisagreementCheck.txt</v>
      </c>
      <c r="AE28" s="144" t="str">
        <f t="shared" si="9"/>
        <v>start /low /b %USERPROFILE%\Documents\GitHub\eaglep3\Utilities\DownloadLogsFromS3.py --loco 4013 --day 2017-11-21</v>
      </c>
      <c r="AF28" s="1"/>
    </row>
    <row r="29" spans="1:32" x14ac:dyDescent="0.25">
      <c r="A29" s="31">
        <v>43059.263437499998</v>
      </c>
      <c r="B29" s="30" t="s">
        <v>386</v>
      </c>
      <c r="C29" s="30" t="s">
        <v>646</v>
      </c>
      <c r="D29" s="30" t="s">
        <v>95</v>
      </c>
      <c r="E29" s="30" t="s">
        <v>453</v>
      </c>
      <c r="F29" s="42">
        <v>0</v>
      </c>
      <c r="G29" s="42">
        <v>298</v>
      </c>
      <c r="H29" s="42">
        <v>22675</v>
      </c>
      <c r="I29" s="42">
        <v>21905</v>
      </c>
      <c r="J29" s="30" t="s">
        <v>454</v>
      </c>
      <c r="K29" s="42">
        <v>24193</v>
      </c>
      <c r="L29" s="131" t="s">
        <v>51</v>
      </c>
      <c r="M29" s="132">
        <f t="shared" si="0"/>
        <v>-1208.0640000000001</v>
      </c>
      <c r="N29" s="133" t="str">
        <f>VLOOKUP(C29,'Trips&amp;Operators'!$C$1:$G$99911,5,FALSE)</f>
        <v>MACDONALD THOMAS</v>
      </c>
      <c r="O29" s="175" t="s">
        <v>348</v>
      </c>
      <c r="P29" s="134" t="s">
        <v>1111</v>
      </c>
      <c r="Q29" s="30"/>
      <c r="R29" s="81" t="str">
        <f>VLOOKUP(C29,'Train Runs'!$A$13:$AE$10152,31,0)</f>
        <v>aws s3 cp s3://rtdc.mdm.uploadarchive.raw/RTDC4061/ "%USERPROFILE%\AppData\Local\Temp\OnboardLogs"\RTDC4061\2017-11-20 --exclude "*" --recursive --include "*20171120*" &amp; "%USERPROFILE%\Documents\GitHub\mrs-test-scripts\Headless Mode &amp; Sideloading\WalkAndUnGZ.bat" "%USERPROFILE%\AppData\Local\Temp\OnboardLogs"\RTDC4061\2017-11-20 &amp; aws s3 cp s3://rtdc.mdm.uploadarchive.raw/RTDC4061/ "%USERPROFILE%\AppData\Local\Temp\OnboardLogs"\RTDC4061\2017-11-21 --exclude "*" --recursive --include "*20171121*" &amp; "%USERPROFILE%\Documents\GitHub\mrs-test-scripts\Headless Mode &amp; Sideloading\WalkAndUnGZ.bat" "%USERPROFILE%\AppData\Local\Temp\OnboardLogs"\RTDC4061\2017-11-21</v>
      </c>
      <c r="S29" s="84" t="str">
        <f>VLOOKUP(C29,'Train Runs'!$A$13:$AE$10152,22,0)</f>
        <v>https://d0f6bd738d7f1b3e5a7ca70fe4ff75f0.us-east-1.aws.found.io/app/kibana#/discover/Steve-Slow-Train-Analysis-(2080s-and-2083s)?_g=(refreshInterval:(display:Off,pause:!f,section:0,value:0),time:(from:'2017-11-20T04:55:04-0700',mode:absolute,to:'2017-11-20T07:26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9" s="86" t="str">
        <f t="shared" si="1"/>
        <v>"C:\Program Files (x86)\AstroGrep\AstroGrep.exe" /e /r /s /spath="%USERPROFILE%\AppData\Local\Temp\OnboardLogs" /stypes="*4061*201711201*" /stext=" 13:.+((SYSTEM_STATE.+slice.+state.+changed )|(ment ac)|(multiple cpu faults)|(system.+state.+changed )|(\[timeout)|(PRM\|1\|D)|(kpr)|(kdp)|(train st.+moving)|(\|lc)|(penalty))"</v>
      </c>
      <c r="U29" s="9" t="str">
        <f t="shared" si="2"/>
        <v>4061</v>
      </c>
      <c r="V29" s="31">
        <f t="shared" si="3"/>
        <v>43059.555104166662</v>
      </c>
      <c r="W29" s="45" t="str">
        <f t="shared" si="4"/>
        <v>NW</v>
      </c>
      <c r="X29" s="22">
        <f t="shared" si="5"/>
        <v>802</v>
      </c>
      <c r="Y29" s="96" t="str">
        <f t="shared" si="6"/>
        <v>echo {"issue":{"subject":"Wi-MAX data drop","project_id":79,"tracker_id":40,"status_id":1,"priority_id":2,"assigned_to_id":338,"start_date":"2017-11-20","description":"","custom_fields":[{"id":1,"name":"Subdivision","value":"NW"},{"id":4,"name":"Milepost","value":"2.4193"},{"id":17,"name":"Train ID","value":"802-20"},{"id":16,"name":"Locomotive ID","value":"4061"},{"id":130,"name":"Impact","value":""},{"id":150,"name":"Time of Event (Mountain Time)","value":"06:19:21"},{"id":151,"name":"Denver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47"/>
      <c r="AB29" s="47"/>
      <c r="AC29" s="115" t="str">
        <f t="shared" si="7"/>
        <v>grep -hrE -A400 "Enforcement Action" /c/Users/stu/AppData/Local/Temp/OnboardLogs/RTDC4061 --include="*4061*201711201*"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"%USERPROFILE%\AppData\Local\Temp\OnboardLogs"\RTDC4061\*4061*201711201* &gt;&gt; 2017-11-20-SliceDisagreementCheck.txt</v>
      </c>
      <c r="AE29" s="144" t="str">
        <f t="shared" si="9"/>
        <v>start /low /b %USERPROFILE%\Documents\GitHub\eaglep3\Utilities\DownloadLogsFromS3.py --loco 4061 --day 2017-11-20</v>
      </c>
      <c r="AF29" s="1"/>
    </row>
    <row r="30" spans="1:32" x14ac:dyDescent="0.25">
      <c r="A30" s="31">
        <v>43059.349629629629</v>
      </c>
      <c r="B30" s="30" t="s">
        <v>386</v>
      </c>
      <c r="C30" s="30" t="s">
        <v>655</v>
      </c>
      <c r="D30" s="30" t="s">
        <v>49</v>
      </c>
      <c r="E30" s="30" t="s">
        <v>656</v>
      </c>
      <c r="F30" s="42">
        <v>100</v>
      </c>
      <c r="G30" s="42">
        <v>150</v>
      </c>
      <c r="H30" s="42">
        <v>5166</v>
      </c>
      <c r="I30" s="42">
        <v>5023</v>
      </c>
      <c r="J30" s="30" t="s">
        <v>184</v>
      </c>
      <c r="K30" s="42">
        <v>4701</v>
      </c>
      <c r="L30" s="131" t="s">
        <v>51</v>
      </c>
      <c r="M30" s="132">
        <f t="shared" si="0"/>
        <v>170.01599999999999</v>
      </c>
      <c r="N30" s="133" t="str">
        <f>VLOOKUP(C30,'Trips&amp;Operators'!$C$1:$G$99911,5,FALSE)</f>
        <v>MACDONALD THOMAS</v>
      </c>
      <c r="O30" s="175" t="s">
        <v>178</v>
      </c>
      <c r="P30" s="134"/>
      <c r="Q30" s="30"/>
      <c r="R30" s="81" t="str">
        <f>VLOOKUP(C30,'Train Runs'!$A$13:$AE$10152,31,0)</f>
        <v>aws s3 cp s3://rtdc.mdm.uploadarchive.raw/RTDC4061/ "%USERPROFILE%\AppData\Local\Temp\OnboardLogs"\RTDC4061\2017-11-20 --exclude "*" --recursive --include "*20171120*" &amp; "%USERPROFILE%\Documents\GitHub\mrs-test-scripts\Headless Mode &amp; Sideloading\WalkAndUnGZ.bat" "%USERPROFILE%\AppData\Local\Temp\OnboardLogs"\RTDC4061\2017-11-20 &amp; aws s3 cp s3://rtdc.mdm.uploadarchive.raw/RTDC4061/ "%USERPROFILE%\AppData\Local\Temp\OnboardLogs"\RTDC4061\2017-11-21 --exclude "*" --recursive --include "*20171121*" &amp; "%USERPROFILE%\Documents\GitHub\mrs-test-scripts\Headless Mode &amp; Sideloading\WalkAndUnGZ.bat" "%USERPROFILE%\AppData\Local\Temp\OnboardLogs"\RTDC4061\2017-11-21</v>
      </c>
      <c r="S30" s="84" t="str">
        <f>VLOOKUP(C30,'Train Runs'!$A$13:$AE$10152,22,0)</f>
        <v>https://d0f6bd738d7f1b3e5a7ca70fe4ff75f0.us-east-1.aws.found.io/app/kibana#/discover/Steve-Slow-Train-Analysis-(2080s-and-2083s)?_g=(refreshInterval:(display:Off,pause:!f,section:0,value:0),time:(from:'2017-11-20T06:54:34-0700',mode:absolute,to:'2017-11-20T09:26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30" s="86" t="str">
        <f t="shared" si="1"/>
        <v>"C:\Program Files (x86)\AstroGrep\AstroGrep.exe" /e /r /s /spath="%USERPROFILE%\AppData\Local\Temp\OnboardLogs" /stypes="*4061*201711201*" /stext=" 15:.+((SYSTEM_STATE.+slice.+state.+changed )|(ment ac)|(multiple cpu faults)|(system.+state.+changed )|(\[timeout)|(PRM\|1\|D)|(kpr)|(kdp)|(train st.+moving)|(\|lc)|(penalty))"</v>
      </c>
      <c r="U30" s="9" t="str">
        <f t="shared" si="2"/>
        <v>4061</v>
      </c>
      <c r="V30" s="31">
        <f t="shared" si="3"/>
        <v>43059.641296296293</v>
      </c>
      <c r="W30" s="45" t="str">
        <f t="shared" si="4"/>
        <v>NW</v>
      </c>
      <c r="X30" s="22">
        <f t="shared" si="5"/>
        <v>810</v>
      </c>
      <c r="Y30" s="96" t="str">
        <f t="shared" si="6"/>
        <v>echo {"issue":{"subject":"","project_id":79,"tracker_id":40,"status_id":1,"priority_id":2,"assigned_to_id":338,"start_date":"2017-11-20","description":"","custom_fields":[{"id":1,"name":"Subdivision","value":"NW"},{"id":4,"name":"Milepost","value":"0.4701"},{"id":17,"name":"Train ID","value":"810-20"},{"id":16,"name":"Locomotive ID","value":"4061"},{"id":130,"name":"Impact","value":""},{"id":150,"name":"Time of Event (Mountain Time)","value":"08:23:28"},{"id":151,"name":"Denver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8"/>
      <c r="AA30" s="47"/>
      <c r="AB30" s="47"/>
      <c r="AC30" s="115" t="str">
        <f t="shared" si="7"/>
        <v>grep -hrE -A400 "Enforcement Action" /c/Users/stu/AppData/Local/Temp/OnboardLogs/RTDC4061 --include="*4061*201711201*"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"%USERPROFILE%\AppData\Local\Temp\OnboardLogs"\RTDC4061\*4061*201711201* &gt;&gt; 2017-11-20-SliceDisagreementCheck.txt</v>
      </c>
      <c r="AE30" s="144" t="str">
        <f t="shared" si="9"/>
        <v>start /low /b %USERPROFILE%\Documents\GitHub\eaglep3\Utilities\DownloadLogsFromS3.py --loco 4061 --day 2017-11-20</v>
      </c>
      <c r="AF30" s="1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</sheetData>
  <autoFilter ref="A6:AC13">
    <sortState ref="A7:AC30">
      <sortCondition ref="W7:W30"/>
      <sortCondition ref="E7:E30"/>
      <sortCondition ref="K7:K30"/>
      <sortCondition ref="F7:F30"/>
    </sortState>
  </autoFilter>
  <sortState ref="A7:AE12">
    <sortCondition ref="W7:W12"/>
    <sortCondition ref="E7:E12"/>
    <sortCondition ref="K7:K12"/>
    <sortCondition ref="C7:C12"/>
    <sortCondition ref="F7:F12"/>
  </sortState>
  <mergeCells count="1">
    <mergeCell ref="A5:O5"/>
  </mergeCells>
  <conditionalFormatting sqref="O6:P6 R6 O35:O1048576 O7:O30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0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AA7:AA30</xm:sqref>
        </x14:dataValidation>
        <x14:dataValidation type="list" allowBlank="1" showInputMessage="1" showErrorMessage="1">
          <x14:formula1>
            <xm:f>'Redmine List Values'!$C$2:$C$15</xm:f>
          </x14:formula1>
          <xm:sqref>AB7:AB30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95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8" customWidth="1"/>
    <col min="10" max="10" width="9.140625" customWidth="1"/>
  </cols>
  <sheetData>
    <row r="1" spans="1:10" s="20" customFormat="1" x14ac:dyDescent="0.25">
      <c r="A1" s="195"/>
      <c r="B1" s="227" t="str">
        <f>"Trips that did not appear in PTC Data "&amp;TEXT(Variables!$A$2,"YYYY-mm-dd")</f>
        <v>Trips that did not appear in PTC Data 2017-11-20</v>
      </c>
      <c r="C1" s="227"/>
      <c r="D1" s="227"/>
      <c r="E1" s="227"/>
      <c r="F1" s="227"/>
      <c r="I1" s="188"/>
    </row>
    <row r="2" spans="1:10" s="23" customFormat="1" ht="45" x14ac:dyDescent="0.25">
      <c r="A2" s="223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25">
      <c r="A3" s="197">
        <v>244</v>
      </c>
      <c r="B3" s="42" t="str">
        <f>A3&amp;"-"&amp;IF(DAY(Variables!$A$2)&lt;10,0,"")&amp;DAY(Variables!$A$2)</f>
        <v>244-20</v>
      </c>
      <c r="C3" s="135"/>
      <c r="D3" s="224" t="str">
        <f>VLOOKUP(B3,'Trips&amp;Operators'!$C$1:$H$1072,6,FALSE)</f>
        <v>4027</v>
      </c>
      <c r="E3" s="30"/>
      <c r="F3" s="21" t="str">
        <f>VLOOKUP(B3,'Trips&amp;Operators'!$C$2:$E$9912,3,FALSE)</f>
        <v>HAMMOND</v>
      </c>
      <c r="G3" s="21" t="str">
        <f>VLOOKUP(B3,'Trips&amp;Operators'!$C$1:$F$9912,4,FALSE)</f>
        <v>JUSTYNN</v>
      </c>
      <c r="H3" s="29" t="str">
        <f>VLOOKUP(B3,'Trips&amp;Operators'!$C$1:$H$9912,5,FALSE)</f>
        <v>HAMMOND JUSTYNN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22244-20%22)),sort:!(Time.ISO8601,asc))</v>
      </c>
      <c r="J3" s="30" t="str">
        <f>VLOOKUP(B3,'Train Runs'!$A$13:$A$100149,1,FALSE)</f>
        <v>244-20</v>
      </c>
    </row>
    <row r="4" spans="1:10" x14ac:dyDescent="0.25">
      <c r="A4" s="197"/>
      <c r="B4" s="42" t="str">
        <f>A4&amp;"-"&amp;IF(DAY(Variables!$A$2)&lt;10,0,"")&amp;DAY(Variables!$A$2)</f>
        <v>-20</v>
      </c>
      <c r="C4" s="135"/>
      <c r="D4" s="152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" s="30" t="e">
        <f>VLOOKUP(B4,'Train Runs'!$A$13:$A$100149,1,FALSE)</f>
        <v>#N/A</v>
      </c>
    </row>
    <row r="5" spans="1:10" x14ac:dyDescent="0.25">
      <c r="A5" s="197"/>
      <c r="B5" s="42" t="str">
        <f>A5&amp;"-"&amp;IF(DAY(Variables!$A$2)&lt;10,0,"")&amp;DAY(Variables!$A$2)</f>
        <v>-20</v>
      </c>
      <c r="C5" s="135"/>
      <c r="D5" s="152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" s="30" t="e">
        <f>VLOOKUP(B5,'Train Runs'!$A$13:$A$100149,1,FALSE)</f>
        <v>#N/A</v>
      </c>
    </row>
    <row r="6" spans="1:10" x14ac:dyDescent="0.25">
      <c r="A6" s="197"/>
      <c r="B6" s="42" t="str">
        <f>A6&amp;"-"&amp;IF(DAY(Variables!$A$2)&lt;10,0,"")&amp;DAY(Variables!$A$2)</f>
        <v>-20</v>
      </c>
      <c r="C6" s="135"/>
      <c r="D6" s="152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" s="30" t="e">
        <f>VLOOKUP(B6,'Train Runs'!$A$13:$A$100149,1,FALSE)</f>
        <v>#N/A</v>
      </c>
    </row>
    <row r="7" spans="1:10" x14ac:dyDescent="0.25">
      <c r="A7" s="197"/>
      <c r="B7" s="42" t="str">
        <f>A7&amp;"-"&amp;IF(DAY(Variables!$A$2)&lt;10,0,"")&amp;DAY(Variables!$A$2)</f>
        <v>-20</v>
      </c>
      <c r="C7" s="135"/>
      <c r="D7" s="152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" s="30" t="e">
        <f>VLOOKUP(B7,'Train Runs'!$A$13:$A$100149,1,FALSE)</f>
        <v>#N/A</v>
      </c>
    </row>
    <row r="8" spans="1:10" x14ac:dyDescent="0.25">
      <c r="A8" s="197"/>
      <c r="B8" s="42" t="str">
        <f>A8&amp;"-"&amp;IF(DAY(Variables!$A$2)&lt;10,0,"")&amp;DAY(Variables!$A$2)</f>
        <v>-20</v>
      </c>
      <c r="C8" s="135"/>
      <c r="D8" s="152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" s="30" t="e">
        <f>VLOOKUP(B8,'Train Runs'!$A$13:$A$100149,1,FALSE)</f>
        <v>#N/A</v>
      </c>
    </row>
    <row r="9" spans="1:10" x14ac:dyDescent="0.25">
      <c r="A9" s="197"/>
      <c r="B9" s="42" t="str">
        <f>A9&amp;"-"&amp;IF(DAY(Variables!$A$2)&lt;10,0,"")&amp;DAY(Variables!$A$2)</f>
        <v>-20</v>
      </c>
      <c r="C9" s="135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" s="30" t="e">
        <f>VLOOKUP(B9,'Train Runs'!$A$13:$A$100149,1,FALSE)</f>
        <v>#N/A</v>
      </c>
    </row>
    <row r="10" spans="1:10" x14ac:dyDescent="0.25">
      <c r="A10" s="197"/>
      <c r="B10" s="42" t="str">
        <f>A10&amp;"-"&amp;IF(DAY(Variables!$A$2)&lt;10,0,"")&amp;DAY(Variables!$A$2)</f>
        <v>-20</v>
      </c>
      <c r="C10" s="135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" s="30" t="e">
        <f>VLOOKUP(B10,'Train Runs'!$A$13:$A$100149,1,FALSE)</f>
        <v>#N/A</v>
      </c>
    </row>
    <row r="11" spans="1:10" x14ac:dyDescent="0.25">
      <c r="A11" s="197"/>
      <c r="B11" s="42" t="str">
        <f>A11&amp;"-"&amp;IF(DAY(Variables!$A$2)&lt;10,0,"")&amp;DAY(Variables!$A$2)</f>
        <v>-20</v>
      </c>
      <c r="C11" s="135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" s="30" t="e">
        <f>VLOOKUP(B11,'Train Runs'!$A$13:$A$100149,1,FALSE)</f>
        <v>#N/A</v>
      </c>
    </row>
    <row r="12" spans="1:10" x14ac:dyDescent="0.25">
      <c r="A12" s="197"/>
      <c r="B12" s="42" t="str">
        <f>A12&amp;"-"&amp;IF(DAY(Variables!$A$2)&lt;10,0,"")&amp;DAY(Variables!$A$2)</f>
        <v>-20</v>
      </c>
      <c r="C12" s="135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" s="30" t="e">
        <f>VLOOKUP(B12,'Train Runs'!$A$13:$A$100149,1,FALSE)</f>
        <v>#N/A</v>
      </c>
    </row>
    <row r="13" spans="1:10" x14ac:dyDescent="0.25">
      <c r="A13" s="197"/>
      <c r="B13" s="42" t="str">
        <f>A13&amp;"-"&amp;IF(DAY(Variables!$A$2)&lt;10,0,"")&amp;DAY(Variables!$A$2)</f>
        <v>-20</v>
      </c>
      <c r="C13" s="135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" s="30" t="e">
        <f>VLOOKUP(B13,'Train Runs'!$A$13:$A$100149,1,FALSE)</f>
        <v>#N/A</v>
      </c>
    </row>
    <row r="14" spans="1:10" x14ac:dyDescent="0.25">
      <c r="A14" s="197"/>
      <c r="B14" s="42" t="str">
        <f>A14&amp;"-"&amp;IF(DAY(Variables!$A$2)&lt;10,0,"")&amp;DAY(Variables!$A$2)</f>
        <v>-20</v>
      </c>
      <c r="C14" s="135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4" s="30" t="e">
        <f>VLOOKUP(B14,'Train Runs'!$A$13:$A$100149,1,FALSE)</f>
        <v>#N/A</v>
      </c>
    </row>
    <row r="15" spans="1:10" x14ac:dyDescent="0.25">
      <c r="A15" s="197"/>
      <c r="B15" s="42" t="str">
        <f>A15&amp;"-"&amp;IF(DAY(Variables!$A$2)&lt;10,0,"")&amp;DAY(Variables!$A$2)</f>
        <v>-20</v>
      </c>
      <c r="C15" s="135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5" s="30" t="e">
        <f>VLOOKUP(B15,'Train Runs'!$A$13:$A$100149,1,FALSE)</f>
        <v>#N/A</v>
      </c>
    </row>
    <row r="16" spans="1:10" x14ac:dyDescent="0.25">
      <c r="A16" s="197"/>
      <c r="B16" s="42" t="str">
        <f>A16&amp;"-"&amp;IF(DAY(Variables!$A$2)&lt;10,0,"")&amp;DAY(Variables!$A$2)</f>
        <v>-20</v>
      </c>
      <c r="C16" s="135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6" s="30" t="e">
        <f>VLOOKUP(B16,'Train Runs'!$A$13:$A$100149,1,FALSE)</f>
        <v>#N/A</v>
      </c>
    </row>
    <row r="17" spans="1:10" x14ac:dyDescent="0.25">
      <c r="A17" s="197"/>
      <c r="B17" s="42" t="str">
        <f>A17&amp;"-"&amp;IF(DAY(Variables!$A$2)&lt;10,0,"")&amp;DAY(Variables!$A$2)</f>
        <v>-20</v>
      </c>
      <c r="C17" s="135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7" s="30" t="e">
        <f>VLOOKUP(B17,'Train Runs'!$A$13:$A$100149,1,FALSE)</f>
        <v>#N/A</v>
      </c>
    </row>
    <row r="18" spans="1:10" x14ac:dyDescent="0.25">
      <c r="A18" s="197"/>
      <c r="B18" s="42" t="str">
        <f>A18&amp;"-"&amp;IF(DAY(Variables!$A$2)&lt;10,0,"")&amp;DAY(Variables!$A$2)</f>
        <v>-20</v>
      </c>
      <c r="C18" s="135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8" s="30" t="e">
        <f>VLOOKUP(B18,'Train Runs'!$A$13:$A$100149,1,FALSE)</f>
        <v>#N/A</v>
      </c>
    </row>
    <row r="19" spans="1:10" x14ac:dyDescent="0.25">
      <c r="A19" s="197"/>
      <c r="B19" s="42"/>
      <c r="C19" s="135"/>
      <c r="D19" s="152"/>
      <c r="E19" s="30"/>
      <c r="F19" s="21"/>
      <c r="G19" s="21"/>
      <c r="H19" s="29"/>
      <c r="I19" s="190"/>
      <c r="J19" s="30"/>
    </row>
    <row r="20" spans="1:10" x14ac:dyDescent="0.25">
      <c r="A20" s="197"/>
      <c r="B20" s="42"/>
      <c r="C20" s="135"/>
      <c r="D20" s="152"/>
      <c r="E20" s="30"/>
      <c r="F20" s="21"/>
      <c r="G20" s="21"/>
      <c r="H20" s="29"/>
      <c r="I20" s="190"/>
      <c r="J20" s="30"/>
    </row>
    <row r="21" spans="1:10" x14ac:dyDescent="0.25">
      <c r="A21" s="197"/>
      <c r="B21" s="42"/>
      <c r="C21" s="135"/>
      <c r="D21" s="152"/>
      <c r="E21" s="30"/>
      <c r="F21" s="21"/>
      <c r="G21" s="21"/>
      <c r="H21" s="29"/>
      <c r="I21" s="190"/>
      <c r="J21" s="30"/>
    </row>
    <row r="22" spans="1:10" x14ac:dyDescent="0.25">
      <c r="A22" s="197"/>
      <c r="B22" s="42"/>
      <c r="C22" s="135"/>
      <c r="D22" s="152"/>
      <c r="E22" s="30"/>
      <c r="F22" s="21"/>
      <c r="G22" s="21"/>
      <c r="H22" s="29"/>
      <c r="I22" s="190"/>
      <c r="J22" s="30"/>
    </row>
    <row r="23" spans="1:10" x14ac:dyDescent="0.25">
      <c r="A23" s="197"/>
      <c r="B23" s="42"/>
      <c r="C23" s="135"/>
      <c r="D23" s="152"/>
      <c r="E23" s="30"/>
      <c r="F23" s="21"/>
      <c r="G23" s="21"/>
      <c r="H23" s="29"/>
      <c r="I23" s="190"/>
      <c r="J23" s="30"/>
    </row>
    <row r="24" spans="1:10" x14ac:dyDescent="0.25">
      <c r="A24" s="197"/>
      <c r="B24" s="42"/>
      <c r="C24" s="135"/>
      <c r="D24" s="152"/>
      <c r="E24" s="30"/>
      <c r="F24" s="21"/>
      <c r="G24" s="21"/>
      <c r="H24" s="29"/>
      <c r="I24" s="190"/>
      <c r="J24" s="30"/>
    </row>
    <row r="25" spans="1:10" x14ac:dyDescent="0.25">
      <c r="A25" s="197"/>
      <c r="B25" s="42"/>
      <c r="C25" s="135"/>
      <c r="D25" s="152"/>
      <c r="E25" s="30"/>
      <c r="F25" s="21"/>
      <c r="G25" s="21"/>
      <c r="H25" s="29"/>
      <c r="I25" s="190"/>
      <c r="J25" s="30"/>
    </row>
    <row r="26" spans="1:10" x14ac:dyDescent="0.25">
      <c r="A26" s="197"/>
      <c r="B26" s="42"/>
      <c r="C26" s="135"/>
      <c r="D26" s="152"/>
      <c r="E26" s="30"/>
      <c r="F26" s="21"/>
      <c r="G26" s="21"/>
      <c r="H26" s="29"/>
      <c r="I26" s="190"/>
      <c r="J26" s="30"/>
    </row>
    <row r="27" spans="1:10" x14ac:dyDescent="0.25">
      <c r="A27" s="197"/>
      <c r="B27" s="42"/>
      <c r="C27" s="135"/>
      <c r="D27" s="152"/>
      <c r="E27" s="30"/>
      <c r="F27" s="21"/>
      <c r="G27" s="21"/>
      <c r="H27" s="29"/>
      <c r="I27" s="190"/>
      <c r="J27" s="30"/>
    </row>
    <row r="28" spans="1:10" x14ac:dyDescent="0.25">
      <c r="A28" s="197"/>
      <c r="B28" s="42"/>
      <c r="C28" s="135"/>
      <c r="D28" s="152"/>
      <c r="E28" s="30"/>
      <c r="F28" s="21"/>
      <c r="G28" s="21"/>
      <c r="H28" s="29"/>
      <c r="I28" s="190"/>
      <c r="J28" s="30"/>
    </row>
    <row r="29" spans="1:10" x14ac:dyDescent="0.25">
      <c r="A29" s="197"/>
      <c r="B29" s="42"/>
      <c r="C29" s="135"/>
      <c r="D29" s="152"/>
      <c r="E29" s="30"/>
      <c r="F29" s="21"/>
      <c r="G29" s="21"/>
      <c r="H29" s="29"/>
      <c r="I29" s="190"/>
      <c r="J29" s="30"/>
    </row>
    <row r="30" spans="1:10" x14ac:dyDescent="0.25">
      <c r="A30" s="197"/>
      <c r="B30" s="42"/>
      <c r="C30" s="135"/>
      <c r="D30" s="152"/>
      <c r="E30" s="30"/>
      <c r="F30" s="21"/>
      <c r="G30" s="21"/>
      <c r="H30" s="29"/>
      <c r="I30" s="190"/>
      <c r="J30" s="30"/>
    </row>
    <row r="31" spans="1:10" x14ac:dyDescent="0.25">
      <c r="A31" s="197"/>
      <c r="B31" s="42"/>
      <c r="C31" s="135"/>
      <c r="D31" s="152"/>
      <c r="E31" s="30"/>
      <c r="F31" s="21"/>
      <c r="G31" s="21"/>
      <c r="H31" s="29"/>
      <c r="I31" s="190"/>
      <c r="J31" s="30"/>
    </row>
    <row r="32" spans="1:10" x14ac:dyDescent="0.25">
      <c r="A32" s="197"/>
      <c r="B32" s="42"/>
      <c r="C32" s="135"/>
      <c r="D32" s="152"/>
      <c r="E32" s="30"/>
      <c r="F32" s="21"/>
      <c r="G32" s="21"/>
      <c r="H32" s="29"/>
      <c r="I32" s="190"/>
      <c r="J32" s="30"/>
    </row>
    <row r="33" spans="1:10" x14ac:dyDescent="0.25">
      <c r="A33" s="197"/>
      <c r="B33" s="42"/>
      <c r="C33" s="135"/>
      <c r="D33" s="152"/>
      <c r="E33" s="30"/>
      <c r="F33" s="21"/>
      <c r="G33" s="21"/>
      <c r="H33" s="29"/>
      <c r="I33" s="190"/>
      <c r="J33" s="30"/>
    </row>
    <row r="34" spans="1:10" x14ac:dyDescent="0.25">
      <c r="A34" s="197"/>
      <c r="B34" s="42"/>
      <c r="C34" s="135"/>
      <c r="D34" s="152"/>
      <c r="E34" s="30"/>
      <c r="F34" s="21"/>
      <c r="G34" s="21"/>
      <c r="H34" s="29"/>
      <c r="I34" s="190"/>
      <c r="J34" s="30"/>
    </row>
    <row r="35" spans="1:10" x14ac:dyDescent="0.25">
      <c r="A35" s="197"/>
      <c r="B35" s="42"/>
      <c r="C35" s="135"/>
      <c r="D35" s="152"/>
      <c r="E35" s="30"/>
      <c r="F35" s="21"/>
      <c r="G35" s="21"/>
      <c r="H35" s="29"/>
      <c r="I35" s="190"/>
      <c r="J35" s="30"/>
    </row>
    <row r="36" spans="1:10" x14ac:dyDescent="0.25">
      <c r="A36" s="197"/>
      <c r="B36" s="42"/>
      <c r="C36" s="135"/>
      <c r="D36" s="152"/>
      <c r="E36" s="30"/>
      <c r="F36" s="21"/>
      <c r="G36" s="21"/>
      <c r="H36" s="29"/>
      <c r="I36" s="190"/>
      <c r="J36" s="30"/>
    </row>
    <row r="37" spans="1:10" x14ac:dyDescent="0.25">
      <c r="A37" s="197"/>
      <c r="B37" s="42"/>
      <c r="C37" s="135"/>
      <c r="D37" s="152"/>
      <c r="E37" s="30"/>
      <c r="F37" s="21"/>
      <c r="G37" s="21"/>
      <c r="H37" s="29"/>
      <c r="I37" s="190"/>
      <c r="J37" s="30"/>
    </row>
    <row r="38" spans="1:10" x14ac:dyDescent="0.25">
      <c r="A38" s="197"/>
      <c r="B38" s="42"/>
      <c r="C38" s="135"/>
      <c r="D38" s="152"/>
      <c r="E38" s="30"/>
      <c r="F38" s="21"/>
      <c r="G38" s="21"/>
      <c r="H38" s="29"/>
      <c r="I38" s="190"/>
      <c r="J38" s="30"/>
    </row>
    <row r="39" spans="1:10" x14ac:dyDescent="0.25">
      <c r="A39" s="197"/>
      <c r="B39" s="42"/>
      <c r="C39" s="135"/>
      <c r="D39" s="152"/>
      <c r="E39" s="30"/>
      <c r="F39" s="21"/>
      <c r="G39" s="21"/>
      <c r="H39" s="29"/>
      <c r="I39" s="190"/>
      <c r="J39" s="30"/>
    </row>
    <row r="40" spans="1:10" x14ac:dyDescent="0.25">
      <c r="A40" s="197"/>
      <c r="B40" s="42"/>
      <c r="C40" s="135"/>
      <c r="D40" s="152"/>
      <c r="E40" s="30"/>
      <c r="F40" s="21"/>
      <c r="G40" s="21"/>
      <c r="H40" s="29"/>
      <c r="I40" s="190"/>
      <c r="J40" s="30"/>
    </row>
    <row r="41" spans="1:10" x14ac:dyDescent="0.25">
      <c r="A41" s="197"/>
      <c r="B41" s="42"/>
      <c r="C41" s="135"/>
      <c r="D41" s="152"/>
      <c r="E41" s="30"/>
      <c r="F41" s="21"/>
      <c r="G41" s="21"/>
      <c r="H41" s="29"/>
      <c r="I41" s="190"/>
      <c r="J41" s="30"/>
    </row>
    <row r="42" spans="1:10" x14ac:dyDescent="0.25">
      <c r="A42" s="197"/>
      <c r="B42" s="42"/>
      <c r="C42" s="135"/>
      <c r="D42" s="152"/>
      <c r="E42" s="30"/>
      <c r="F42" s="21"/>
      <c r="G42" s="21"/>
      <c r="H42" s="29"/>
      <c r="I42" s="190"/>
      <c r="J42" s="30"/>
    </row>
    <row r="43" spans="1:10" x14ac:dyDescent="0.25">
      <c r="A43" s="197"/>
      <c r="B43" s="42"/>
      <c r="C43" s="135"/>
      <c r="D43" s="152"/>
      <c r="E43" s="30"/>
      <c r="F43" s="21"/>
      <c r="G43" s="21"/>
      <c r="H43" s="29"/>
      <c r="I43" s="190"/>
      <c r="J43" s="30"/>
    </row>
    <row r="44" spans="1:10" x14ac:dyDescent="0.25">
      <c r="A44" s="197"/>
      <c r="B44" s="42"/>
      <c r="C44" s="135"/>
      <c r="D44" s="152"/>
      <c r="E44" s="30"/>
      <c r="F44" s="21"/>
      <c r="G44" s="21"/>
      <c r="H44" s="29"/>
      <c r="I44" s="190"/>
      <c r="J44" s="30"/>
    </row>
    <row r="45" spans="1:10" x14ac:dyDescent="0.25">
      <c r="A45" s="197"/>
      <c r="B45" s="42"/>
      <c r="C45" s="135"/>
      <c r="D45" s="152"/>
      <c r="E45" s="30"/>
      <c r="F45" s="21"/>
      <c r="G45" s="21"/>
      <c r="H45" s="29"/>
      <c r="I45" s="190"/>
      <c r="J45" s="30"/>
    </row>
    <row r="46" spans="1:10" x14ac:dyDescent="0.25">
      <c r="A46" s="197"/>
      <c r="B46" s="42"/>
      <c r="C46" s="135"/>
      <c r="D46" s="152"/>
      <c r="E46" s="30"/>
      <c r="F46" s="21"/>
      <c r="G46" s="21"/>
      <c r="H46" s="29"/>
      <c r="I46" s="190"/>
      <c r="J46" s="30"/>
    </row>
    <row r="47" spans="1:10" x14ac:dyDescent="0.25">
      <c r="A47" s="197"/>
      <c r="B47" s="42"/>
      <c r="C47" s="135"/>
      <c r="D47" s="152"/>
      <c r="E47" s="30"/>
      <c r="F47" s="21"/>
      <c r="G47" s="21"/>
      <c r="H47" s="29"/>
      <c r="I47" s="190"/>
      <c r="J47" s="30"/>
    </row>
    <row r="48" spans="1:10" x14ac:dyDescent="0.25">
      <c r="A48" s="197"/>
      <c r="B48" s="42"/>
      <c r="C48" s="135"/>
      <c r="D48" s="152"/>
      <c r="E48" s="30"/>
      <c r="F48" s="21"/>
      <c r="G48" s="21"/>
      <c r="H48" s="29"/>
      <c r="I48" s="190"/>
      <c r="J48" s="30"/>
    </row>
    <row r="49" spans="1:10" x14ac:dyDescent="0.25">
      <c r="A49" s="197"/>
      <c r="B49" s="42"/>
      <c r="C49" s="135"/>
      <c r="D49" s="152"/>
      <c r="E49" s="30"/>
      <c r="F49" s="21"/>
      <c r="G49" s="21"/>
      <c r="H49" s="29"/>
      <c r="I49" s="190"/>
      <c r="J49" s="30"/>
    </row>
    <row r="50" spans="1:10" x14ac:dyDescent="0.25">
      <c r="A50" s="197"/>
      <c r="B50" s="42"/>
      <c r="C50" s="135"/>
      <c r="D50" s="152"/>
      <c r="E50" s="30"/>
      <c r="F50" s="21"/>
      <c r="G50" s="21"/>
      <c r="H50" s="29"/>
      <c r="I50" s="190"/>
      <c r="J50" s="30"/>
    </row>
    <row r="51" spans="1:10" x14ac:dyDescent="0.25">
      <c r="A51" s="197"/>
      <c r="B51" s="42"/>
      <c r="C51" s="135"/>
      <c r="D51" s="152"/>
      <c r="E51" s="30"/>
      <c r="F51" s="21"/>
      <c r="G51" s="21"/>
      <c r="H51" s="29"/>
      <c r="I51" s="190"/>
      <c r="J51" s="30"/>
    </row>
    <row r="52" spans="1:10" x14ac:dyDescent="0.25">
      <c r="A52" s="197"/>
      <c r="B52" s="42"/>
      <c r="C52" s="135"/>
      <c r="D52" s="152"/>
      <c r="E52" s="30"/>
      <c r="F52" s="21"/>
      <c r="G52" s="21"/>
      <c r="H52" s="29"/>
      <c r="I52" s="190"/>
      <c r="J52" s="30"/>
    </row>
    <row r="53" spans="1:10" x14ac:dyDescent="0.25">
      <c r="A53" s="197"/>
      <c r="B53" s="42"/>
      <c r="C53" s="135"/>
      <c r="D53" s="152"/>
      <c r="E53" s="30"/>
      <c r="F53" s="21"/>
      <c r="G53" s="21"/>
      <c r="H53" s="29"/>
      <c r="I53" s="190"/>
      <c r="J53" s="30"/>
    </row>
    <row r="54" spans="1:10" x14ac:dyDescent="0.25">
      <c r="A54" s="197"/>
      <c r="B54" s="42"/>
      <c r="C54" s="135"/>
      <c r="D54" s="152"/>
      <c r="E54" s="30"/>
      <c r="F54" s="21"/>
      <c r="G54" s="21"/>
      <c r="H54" s="29"/>
      <c r="I54" s="190"/>
      <c r="J54" s="30"/>
    </row>
    <row r="55" spans="1:10" x14ac:dyDescent="0.25">
      <c r="A55" s="197"/>
      <c r="B55" s="42"/>
      <c r="C55" s="135"/>
      <c r="D55" s="152"/>
      <c r="E55" s="30"/>
      <c r="F55" s="21"/>
      <c r="G55" s="21"/>
      <c r="H55" s="29"/>
      <c r="I55" s="190"/>
      <c r="J55" s="30"/>
    </row>
    <row r="56" spans="1:10" x14ac:dyDescent="0.25">
      <c r="A56" s="197"/>
      <c r="B56" s="42"/>
      <c r="C56" s="135"/>
      <c r="D56" s="152"/>
      <c r="E56" s="30"/>
      <c r="F56" s="21"/>
      <c r="G56" s="21"/>
      <c r="H56" s="29"/>
      <c r="I56" s="190"/>
      <c r="J56" s="30"/>
    </row>
    <row r="57" spans="1:10" x14ac:dyDescent="0.25">
      <c r="A57" s="197"/>
      <c r="B57" s="42"/>
      <c r="C57" s="135"/>
      <c r="D57" s="152"/>
      <c r="E57" s="30"/>
      <c r="F57" s="21"/>
      <c r="G57" s="21"/>
      <c r="H57" s="29"/>
      <c r="I57" s="190"/>
      <c r="J57" s="30"/>
    </row>
    <row r="58" spans="1:10" x14ac:dyDescent="0.25">
      <c r="A58" s="197"/>
      <c r="B58" s="42"/>
      <c r="C58" s="135"/>
      <c r="D58" s="152"/>
      <c r="E58" s="30"/>
      <c r="F58" s="21"/>
      <c r="G58" s="21"/>
      <c r="H58" s="29"/>
      <c r="I58" s="190"/>
      <c r="J58" s="30"/>
    </row>
    <row r="59" spans="1:10" x14ac:dyDescent="0.25">
      <c r="A59" s="197"/>
      <c r="B59" s="42"/>
      <c r="C59" s="135"/>
      <c r="D59" s="152"/>
      <c r="E59" s="30"/>
      <c r="F59" s="21"/>
      <c r="G59" s="21"/>
      <c r="H59" s="29"/>
      <c r="I59" s="190"/>
      <c r="J59" s="30"/>
    </row>
    <row r="60" spans="1:10" x14ac:dyDescent="0.25">
      <c r="A60" s="197"/>
      <c r="B60" s="42"/>
      <c r="C60" s="135"/>
      <c r="D60" s="152"/>
      <c r="E60" s="30"/>
      <c r="F60" s="21"/>
      <c r="G60" s="21"/>
      <c r="H60" s="29"/>
      <c r="I60" s="190"/>
      <c r="J60" s="30"/>
    </row>
    <row r="61" spans="1:10" x14ac:dyDescent="0.25">
      <c r="A61" s="197"/>
      <c r="B61" s="42"/>
      <c r="C61" s="135"/>
      <c r="D61" s="152"/>
      <c r="E61" s="30"/>
      <c r="F61" s="21"/>
      <c r="G61" s="21"/>
      <c r="H61" s="29"/>
      <c r="I61" s="190"/>
      <c r="J61" s="30"/>
    </row>
    <row r="62" spans="1:10" x14ac:dyDescent="0.25">
      <c r="A62" s="197"/>
      <c r="B62" s="42"/>
      <c r="C62" s="135"/>
      <c r="D62" s="152"/>
      <c r="E62" s="30"/>
      <c r="F62" s="21"/>
      <c r="G62" s="21"/>
      <c r="H62" s="29"/>
      <c r="I62" s="190"/>
      <c r="J62" s="30"/>
    </row>
    <row r="63" spans="1:10" x14ac:dyDescent="0.25">
      <c r="A63" s="197"/>
      <c r="B63" s="42"/>
      <c r="C63" s="135"/>
      <c r="D63" s="152"/>
      <c r="E63" s="30"/>
      <c r="F63" s="21"/>
      <c r="G63" s="21"/>
      <c r="H63" s="29"/>
      <c r="I63" s="190"/>
      <c r="J63" s="30"/>
    </row>
    <row r="64" spans="1:10" x14ac:dyDescent="0.25">
      <c r="A64" s="197"/>
      <c r="B64" s="42"/>
      <c r="C64" s="135"/>
      <c r="D64" s="152"/>
      <c r="E64" s="30"/>
      <c r="F64" s="21"/>
      <c r="G64" s="21"/>
      <c r="H64" s="29"/>
      <c r="I64" s="190"/>
      <c r="J64" s="30"/>
    </row>
    <row r="65" spans="1:10" x14ac:dyDescent="0.25">
      <c r="A65" s="197"/>
      <c r="B65" s="42"/>
      <c r="C65" s="135"/>
      <c r="D65" s="152"/>
      <c r="E65" s="30"/>
      <c r="F65" s="21"/>
      <c r="G65" s="21"/>
      <c r="H65" s="29"/>
      <c r="I65" s="190"/>
      <c r="J65" s="30"/>
    </row>
    <row r="66" spans="1:10" x14ac:dyDescent="0.25">
      <c r="A66" s="197"/>
      <c r="B66" s="42"/>
      <c r="C66" s="135"/>
      <c r="D66" s="152"/>
      <c r="E66" s="30"/>
      <c r="F66" s="21"/>
      <c r="G66" s="21"/>
      <c r="H66" s="29"/>
      <c r="I66" s="190"/>
      <c r="J66" s="30"/>
    </row>
    <row r="67" spans="1:10" x14ac:dyDescent="0.25">
      <c r="A67" s="197"/>
      <c r="B67" s="42"/>
      <c r="C67" s="135"/>
      <c r="D67" s="152"/>
      <c r="E67" s="30"/>
      <c r="F67" s="21"/>
      <c r="G67" s="21"/>
      <c r="H67" s="29"/>
      <c r="I67" s="190"/>
      <c r="J67" s="30"/>
    </row>
    <row r="68" spans="1:10" x14ac:dyDescent="0.25">
      <c r="A68" s="197"/>
      <c r="B68" s="42"/>
      <c r="C68" s="135"/>
      <c r="D68" s="152"/>
      <c r="E68" s="30"/>
      <c r="F68" s="21"/>
      <c r="G68" s="21"/>
      <c r="H68" s="29"/>
      <c r="I68" s="190"/>
      <c r="J68" s="30"/>
    </row>
    <row r="69" spans="1:10" x14ac:dyDescent="0.25">
      <c r="A69" s="197"/>
      <c r="B69" s="42"/>
      <c r="C69" s="135"/>
      <c r="D69" s="152"/>
      <c r="E69" s="30"/>
      <c r="F69" s="21"/>
      <c r="G69" s="21"/>
      <c r="H69" s="29"/>
      <c r="I69" s="190"/>
      <c r="J69" s="30"/>
    </row>
    <row r="70" spans="1:10" x14ac:dyDescent="0.25">
      <c r="A70" s="197"/>
      <c r="B70" s="42"/>
      <c r="C70" s="135"/>
      <c r="D70" s="152"/>
      <c r="E70" s="30"/>
      <c r="F70" s="21"/>
      <c r="G70" s="21"/>
      <c r="H70" s="29"/>
      <c r="I70" s="190"/>
      <c r="J70" s="30"/>
    </row>
    <row r="71" spans="1:10" x14ac:dyDescent="0.25">
      <c r="A71" s="197"/>
      <c r="B71" s="42"/>
      <c r="C71" s="135"/>
      <c r="D71" s="152"/>
      <c r="E71" s="30"/>
      <c r="F71" s="21"/>
      <c r="G71" s="21"/>
      <c r="H71" s="29"/>
      <c r="I71" s="190"/>
      <c r="J71" s="30"/>
    </row>
    <row r="72" spans="1:10" x14ac:dyDescent="0.25">
      <c r="A72" s="197"/>
      <c r="B72" s="42"/>
      <c r="C72" s="135"/>
      <c r="D72" s="152"/>
      <c r="E72" s="30"/>
      <c r="F72" s="21"/>
      <c r="G72" s="21"/>
      <c r="H72" s="29"/>
      <c r="I72" s="190"/>
      <c r="J72" s="30"/>
    </row>
    <row r="73" spans="1:10" x14ac:dyDescent="0.25">
      <c r="A73" s="197"/>
      <c r="B73" s="42"/>
      <c r="C73" s="135"/>
      <c r="D73" s="152"/>
      <c r="E73" s="30"/>
      <c r="F73" s="21"/>
      <c r="G73" s="21"/>
      <c r="H73" s="29"/>
      <c r="I73" s="190"/>
      <c r="J73" s="30"/>
    </row>
    <row r="74" spans="1:10" x14ac:dyDescent="0.25">
      <c r="A74" s="197"/>
      <c r="B74" s="42"/>
      <c r="C74" s="135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3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95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95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43059.037430555552</v>
      </c>
      <c r="B2" s="20" t="s">
        <v>445</v>
      </c>
      <c r="C2" s="20" t="s">
        <v>590</v>
      </c>
      <c r="D2" s="195">
        <v>3340000</v>
      </c>
      <c r="E2" s="20" t="s">
        <v>552</v>
      </c>
      <c r="F2" s="20" t="s">
        <v>553</v>
      </c>
      <c r="G2" s="8" t="str">
        <f>E2&amp;" "&amp;F2</f>
        <v>ELBAUM MIKE</v>
      </c>
      <c r="H2" t="str">
        <f>MID(B2,13,4)</f>
        <v>4009</v>
      </c>
    </row>
    <row r="3" spans="1:8" x14ac:dyDescent="0.25">
      <c r="A3" s="8">
        <v>43059.038553240738</v>
      </c>
      <c r="B3" s="20" t="s">
        <v>445</v>
      </c>
      <c r="C3" s="20" t="s">
        <v>590</v>
      </c>
      <c r="D3" s="195">
        <v>3340000</v>
      </c>
      <c r="E3" s="20" t="s">
        <v>552</v>
      </c>
      <c r="F3" s="20" t="s">
        <v>553</v>
      </c>
      <c r="G3" s="8" t="str">
        <f t="shared" ref="G3:G66" si="0">E3&amp;" "&amp;F3</f>
        <v>ELBAUM MIKE</v>
      </c>
      <c r="H3" s="20" t="str">
        <f t="shared" ref="H3:H66" si="1">MID(B3,13,4)</f>
        <v>4009</v>
      </c>
    </row>
    <row r="4" spans="1:8" x14ac:dyDescent="0.25">
      <c r="A4" s="8">
        <v>43059.046898148146</v>
      </c>
      <c r="B4" s="20" t="s">
        <v>575</v>
      </c>
      <c r="C4" s="20" t="s">
        <v>591</v>
      </c>
      <c r="D4" s="195">
        <v>3220000</v>
      </c>
      <c r="E4" s="20" t="s">
        <v>378</v>
      </c>
      <c r="F4" s="20" t="s">
        <v>379</v>
      </c>
      <c r="G4" s="8" t="str">
        <f t="shared" si="0"/>
        <v>RESPASS AARON</v>
      </c>
      <c r="H4" s="20" t="str">
        <f t="shared" si="1"/>
        <v>4053</v>
      </c>
    </row>
    <row r="5" spans="1:8" x14ac:dyDescent="0.25">
      <c r="A5" s="8">
        <v>43059.050046296295</v>
      </c>
      <c r="B5" s="20" t="s">
        <v>544</v>
      </c>
      <c r="C5" s="20" t="s">
        <v>592</v>
      </c>
      <c r="D5" s="195">
        <v>2030000</v>
      </c>
      <c r="E5" s="20" t="s">
        <v>515</v>
      </c>
      <c r="F5" s="20" t="s">
        <v>485</v>
      </c>
      <c r="G5" s="8" t="str">
        <f t="shared" si="0"/>
        <v>KILLION DAVID</v>
      </c>
      <c r="H5" s="20" t="str">
        <f t="shared" si="1"/>
        <v>4042</v>
      </c>
    </row>
    <row r="6" spans="1:8" x14ac:dyDescent="0.25">
      <c r="A6" s="8">
        <v>43059.050543981481</v>
      </c>
      <c r="B6" s="20" t="s">
        <v>445</v>
      </c>
      <c r="C6" s="20" t="s">
        <v>590</v>
      </c>
      <c r="D6" s="195">
        <v>3340000</v>
      </c>
      <c r="E6" s="20" t="s">
        <v>552</v>
      </c>
      <c r="F6" s="20" t="s">
        <v>553</v>
      </c>
      <c r="G6" s="8" t="str">
        <f t="shared" si="0"/>
        <v>ELBAUM MIKE</v>
      </c>
      <c r="H6" s="20" t="str">
        <f t="shared" si="1"/>
        <v>4009</v>
      </c>
    </row>
    <row r="7" spans="1:8" x14ac:dyDescent="0.25">
      <c r="A7" s="8">
        <v>43059.069467592592</v>
      </c>
      <c r="B7" s="20" t="s">
        <v>446</v>
      </c>
      <c r="C7" s="20" t="s">
        <v>593</v>
      </c>
      <c r="D7" s="195">
        <v>3340000</v>
      </c>
      <c r="E7" s="20" t="s">
        <v>552</v>
      </c>
      <c r="F7" s="20" t="s">
        <v>553</v>
      </c>
      <c r="G7" s="8" t="str">
        <f t="shared" si="0"/>
        <v>ELBAUM MIKE</v>
      </c>
      <c r="H7" s="20" t="str">
        <f t="shared" si="1"/>
        <v>4010</v>
      </c>
    </row>
    <row r="8" spans="1:8" x14ac:dyDescent="0.25">
      <c r="A8" s="8">
        <v>43059.087754629632</v>
      </c>
      <c r="B8" s="20" t="s">
        <v>573</v>
      </c>
      <c r="C8" s="20" t="s">
        <v>594</v>
      </c>
      <c r="D8" s="195">
        <v>3220000</v>
      </c>
      <c r="E8" s="20" t="s">
        <v>378</v>
      </c>
      <c r="F8" s="20" t="s">
        <v>379</v>
      </c>
      <c r="G8" s="8" t="str">
        <f t="shared" si="0"/>
        <v>RESPASS AARON</v>
      </c>
      <c r="H8" s="20" t="str">
        <f t="shared" si="1"/>
        <v>4054</v>
      </c>
    </row>
    <row r="9" spans="1:8" ht="15.75" thickBot="1" x14ac:dyDescent="0.3">
      <c r="A9" s="24">
        <v>43059.115601851852</v>
      </c>
      <c r="B9" s="20" t="s">
        <v>673</v>
      </c>
      <c r="C9" s="20" t="s">
        <v>365</v>
      </c>
      <c r="D9" s="195">
        <v>3120000</v>
      </c>
      <c r="E9" s="20" t="s">
        <v>369</v>
      </c>
      <c r="F9" s="20" t="s">
        <v>577</v>
      </c>
      <c r="G9" s="8" t="str">
        <f t="shared" si="0"/>
        <v>THOMPSON LESTER</v>
      </c>
      <c r="H9" s="20" t="str">
        <f t="shared" si="1"/>
        <v>4063</v>
      </c>
    </row>
    <row r="10" spans="1:8" x14ac:dyDescent="0.25">
      <c r="A10" s="8">
        <v>43059.126342592594</v>
      </c>
      <c r="B10" s="20" t="s">
        <v>659</v>
      </c>
      <c r="C10" s="20" t="s">
        <v>677</v>
      </c>
      <c r="D10" s="195">
        <v>1090000</v>
      </c>
      <c r="E10" s="20" t="s">
        <v>678</v>
      </c>
      <c r="F10" s="20" t="s">
        <v>352</v>
      </c>
      <c r="G10" s="8" t="str">
        <f t="shared" si="0"/>
        <v>SPECTOR MICHAEL</v>
      </c>
      <c r="H10" s="20" t="str">
        <f t="shared" si="1"/>
        <v>4064</v>
      </c>
    </row>
    <row r="11" spans="1:8" x14ac:dyDescent="0.25">
      <c r="A11" s="8">
        <v>43059.129074074073</v>
      </c>
      <c r="B11" s="20" t="s">
        <v>666</v>
      </c>
      <c r="C11" s="20" t="s">
        <v>679</v>
      </c>
      <c r="D11" s="195">
        <v>3120000</v>
      </c>
      <c r="E11" s="20" t="s">
        <v>369</v>
      </c>
      <c r="F11" s="20" t="s">
        <v>577</v>
      </c>
      <c r="G11" s="8" t="str">
        <f t="shared" si="0"/>
        <v>THOMPSON LESTER</v>
      </c>
      <c r="H11" s="20" t="str">
        <f t="shared" si="1"/>
        <v>4026</v>
      </c>
    </row>
    <row r="12" spans="1:8" x14ac:dyDescent="0.25">
      <c r="A12" s="8">
        <v>43059.140706018516</v>
      </c>
      <c r="B12" s="20" t="s">
        <v>673</v>
      </c>
      <c r="C12" s="20" t="s">
        <v>680</v>
      </c>
      <c r="D12" s="195">
        <v>1090000</v>
      </c>
      <c r="E12" s="20" t="s">
        <v>678</v>
      </c>
      <c r="F12" s="20" t="s">
        <v>352</v>
      </c>
      <c r="G12" s="8" t="str">
        <f t="shared" si="0"/>
        <v>SPECTOR MICHAEL</v>
      </c>
      <c r="H12" s="20" t="str">
        <f t="shared" si="1"/>
        <v>4063</v>
      </c>
    </row>
    <row r="13" spans="1:8" x14ac:dyDescent="0.25">
      <c r="A13" s="8">
        <v>43059.142523148148</v>
      </c>
      <c r="B13" s="20" t="s">
        <v>362</v>
      </c>
      <c r="C13" s="20" t="s">
        <v>681</v>
      </c>
      <c r="D13" s="195">
        <v>1110000</v>
      </c>
      <c r="E13" s="20" t="s">
        <v>682</v>
      </c>
      <c r="F13" s="20" t="s">
        <v>683</v>
      </c>
      <c r="G13" s="8" t="str">
        <f t="shared" si="0"/>
        <v>STARKS ANGELINA</v>
      </c>
      <c r="H13" s="20" t="str">
        <f t="shared" si="1"/>
        <v>4017</v>
      </c>
    </row>
    <row r="14" spans="1:8" x14ac:dyDescent="0.25">
      <c r="A14" s="8">
        <v>43059.154398148145</v>
      </c>
      <c r="B14" s="20" t="s">
        <v>360</v>
      </c>
      <c r="C14" s="20" t="s">
        <v>645</v>
      </c>
      <c r="D14" s="195">
        <v>1110000</v>
      </c>
      <c r="E14" s="20" t="s">
        <v>682</v>
      </c>
      <c r="F14" s="20" t="s">
        <v>683</v>
      </c>
      <c r="G14" s="8" t="str">
        <f t="shared" si="0"/>
        <v>STARKS ANGELINA</v>
      </c>
      <c r="H14" s="20" t="str">
        <f t="shared" si="1"/>
        <v>4018</v>
      </c>
    </row>
    <row r="15" spans="1:8" x14ac:dyDescent="0.25">
      <c r="A15" s="8">
        <v>43059.159513888888</v>
      </c>
      <c r="B15" s="20" t="s">
        <v>457</v>
      </c>
      <c r="C15" s="20" t="s">
        <v>684</v>
      </c>
      <c r="D15" s="195">
        <v>1830000</v>
      </c>
      <c r="E15" s="20" t="s">
        <v>346</v>
      </c>
      <c r="F15" s="20" t="s">
        <v>347</v>
      </c>
      <c r="G15" s="8" t="str">
        <f t="shared" si="0"/>
        <v>YORK EDGAR</v>
      </c>
      <c r="H15" s="20" t="str">
        <f t="shared" si="1"/>
        <v>4023</v>
      </c>
    </row>
    <row r="16" spans="1:8" x14ac:dyDescent="0.25">
      <c r="A16" s="8">
        <v>43059.16988425926</v>
      </c>
      <c r="B16" s="20" t="s">
        <v>456</v>
      </c>
      <c r="C16" s="20" t="s">
        <v>685</v>
      </c>
      <c r="D16" s="195">
        <v>1830000</v>
      </c>
      <c r="E16" s="20" t="s">
        <v>346</v>
      </c>
      <c r="F16" s="20" t="s">
        <v>347</v>
      </c>
      <c r="G16" s="8" t="str">
        <f t="shared" si="0"/>
        <v>YORK EDGAR</v>
      </c>
      <c r="H16" s="20" t="str">
        <f t="shared" si="1"/>
        <v>4024</v>
      </c>
    </row>
    <row r="17" spans="1:8" x14ac:dyDescent="0.25">
      <c r="A17" s="8">
        <v>43059.173425925925</v>
      </c>
      <c r="B17" s="20" t="s">
        <v>647</v>
      </c>
      <c r="C17" s="20" t="s">
        <v>686</v>
      </c>
      <c r="D17" s="195">
        <v>3120000</v>
      </c>
      <c r="E17" s="20" t="s">
        <v>369</v>
      </c>
      <c r="F17" s="20" t="s">
        <v>577</v>
      </c>
      <c r="G17" s="8" t="str">
        <f t="shared" si="0"/>
        <v>THOMPSON LESTER</v>
      </c>
      <c r="H17" s="20" t="str">
        <f t="shared" si="1"/>
        <v>4025</v>
      </c>
    </row>
    <row r="18" spans="1:8" x14ac:dyDescent="0.25">
      <c r="A18" s="8">
        <v>43059.177245370367</v>
      </c>
      <c r="B18" s="20" t="s">
        <v>574</v>
      </c>
      <c r="C18" s="20" t="s">
        <v>687</v>
      </c>
      <c r="D18" s="195">
        <v>3300000</v>
      </c>
      <c r="E18" s="20" t="s">
        <v>578</v>
      </c>
      <c r="F18" s="20" t="s">
        <v>579</v>
      </c>
      <c r="G18" s="8" t="str">
        <f t="shared" si="0"/>
        <v>LANGERAK WILLIAM</v>
      </c>
      <c r="H18" s="20" t="str">
        <f t="shared" si="1"/>
        <v>4027</v>
      </c>
    </row>
    <row r="19" spans="1:8" x14ac:dyDescent="0.25">
      <c r="A19" s="8">
        <v>43059.178576388891</v>
      </c>
      <c r="B19" s="20" t="s">
        <v>574</v>
      </c>
      <c r="C19" s="20" t="s">
        <v>688</v>
      </c>
      <c r="D19" s="195">
        <v>3300000</v>
      </c>
      <c r="E19" s="20" t="s">
        <v>578</v>
      </c>
      <c r="F19" s="20" t="s">
        <v>579</v>
      </c>
      <c r="G19" s="8" t="str">
        <f t="shared" si="0"/>
        <v>LANGERAK WILLIAM</v>
      </c>
      <c r="H19" s="20" t="str">
        <f t="shared" si="1"/>
        <v>4027</v>
      </c>
    </row>
    <row r="20" spans="1:8" x14ac:dyDescent="0.25">
      <c r="A20" s="8">
        <v>43059.18341435185</v>
      </c>
      <c r="B20" s="20" t="s">
        <v>362</v>
      </c>
      <c r="C20" s="20" t="s">
        <v>689</v>
      </c>
      <c r="D20" s="195">
        <v>1110000</v>
      </c>
      <c r="E20" s="20" t="s">
        <v>682</v>
      </c>
      <c r="F20" s="20" t="s">
        <v>683</v>
      </c>
      <c r="G20" s="8" t="str">
        <f t="shared" si="0"/>
        <v>STARKS ANGELINA</v>
      </c>
      <c r="H20" s="20" t="str">
        <f t="shared" si="1"/>
        <v>4017</v>
      </c>
    </row>
    <row r="21" spans="1:8" x14ac:dyDescent="0.25">
      <c r="A21" s="8">
        <v>43059.184201388889</v>
      </c>
      <c r="B21" s="20" t="s">
        <v>391</v>
      </c>
      <c r="C21" s="20" t="s">
        <v>690</v>
      </c>
      <c r="D21" s="195">
        <v>2010000</v>
      </c>
      <c r="E21" s="20" t="s">
        <v>545</v>
      </c>
      <c r="F21" s="20" t="s">
        <v>546</v>
      </c>
      <c r="G21" s="8" t="str">
        <f t="shared" si="0"/>
        <v>MAELZER KURT</v>
      </c>
      <c r="H21" s="20" t="str">
        <f t="shared" si="1"/>
        <v>4059</v>
      </c>
    </row>
    <row r="22" spans="1:8" x14ac:dyDescent="0.25">
      <c r="A22" s="26">
        <v>43059.188668981478</v>
      </c>
      <c r="B22" s="20" t="s">
        <v>392</v>
      </c>
      <c r="C22" s="20" t="s">
        <v>687</v>
      </c>
      <c r="D22" s="195">
        <v>3300000</v>
      </c>
      <c r="E22" s="20" t="s">
        <v>578</v>
      </c>
      <c r="F22" s="20" t="s">
        <v>579</v>
      </c>
      <c r="G22" s="8" t="str">
        <f t="shared" si="0"/>
        <v>LANGERAK WILLIAM</v>
      </c>
      <c r="H22" s="20" t="str">
        <f t="shared" si="1"/>
        <v>4028</v>
      </c>
    </row>
    <row r="23" spans="1:8" x14ac:dyDescent="0.25">
      <c r="A23" s="8">
        <v>43059.195555555554</v>
      </c>
      <c r="B23" s="20" t="s">
        <v>357</v>
      </c>
      <c r="C23" s="20" t="s">
        <v>691</v>
      </c>
      <c r="D23" s="195">
        <v>2010000</v>
      </c>
      <c r="E23" s="20" t="s">
        <v>545</v>
      </c>
      <c r="F23" s="20" t="s">
        <v>546</v>
      </c>
      <c r="G23" s="8" t="str">
        <f t="shared" si="0"/>
        <v>MAELZER KURT</v>
      </c>
      <c r="H23" s="20" t="str">
        <f t="shared" si="1"/>
        <v>4060</v>
      </c>
    </row>
    <row r="24" spans="1:8" x14ac:dyDescent="0.25">
      <c r="A24" s="8">
        <v>43059.200243055559</v>
      </c>
      <c r="B24" s="20" t="s">
        <v>692</v>
      </c>
      <c r="C24" s="20" t="s">
        <v>693</v>
      </c>
      <c r="D24" s="195">
        <v>2600000</v>
      </c>
      <c r="E24" s="20" t="s">
        <v>694</v>
      </c>
      <c r="F24" s="20" t="s">
        <v>485</v>
      </c>
      <c r="G24" s="8" t="str">
        <f t="shared" si="0"/>
        <v>DAVIDSON DAVID</v>
      </c>
      <c r="H24" s="20" t="str">
        <f t="shared" si="1"/>
        <v>4005</v>
      </c>
    </row>
    <row r="25" spans="1:8" x14ac:dyDescent="0.25">
      <c r="A25" s="8">
        <v>43059.2028587963</v>
      </c>
      <c r="B25" s="20" t="s">
        <v>457</v>
      </c>
      <c r="C25" s="20" t="s">
        <v>695</v>
      </c>
      <c r="D25" s="195">
        <v>1830000</v>
      </c>
      <c r="E25" s="20" t="s">
        <v>346</v>
      </c>
      <c r="F25" s="20" t="s">
        <v>347</v>
      </c>
      <c r="G25" s="8" t="str">
        <f t="shared" si="0"/>
        <v>YORK EDGAR</v>
      </c>
      <c r="H25" s="20" t="str">
        <f t="shared" si="1"/>
        <v>4023</v>
      </c>
    </row>
    <row r="26" spans="1:8" x14ac:dyDescent="0.25">
      <c r="A26" s="8">
        <v>43059.203125</v>
      </c>
      <c r="B26" s="20" t="s">
        <v>384</v>
      </c>
      <c r="C26" s="20" t="s">
        <v>696</v>
      </c>
      <c r="D26" s="195">
        <v>2560000</v>
      </c>
      <c r="E26" s="20" t="s">
        <v>582</v>
      </c>
      <c r="F26" s="20" t="s">
        <v>583</v>
      </c>
      <c r="G26" s="8" t="str">
        <f t="shared" si="0"/>
        <v>MACDONALD THOMAS</v>
      </c>
      <c r="H26" s="20" t="str">
        <f t="shared" si="1"/>
        <v>4062</v>
      </c>
    </row>
    <row r="27" spans="1:8" x14ac:dyDescent="0.25">
      <c r="A27" s="8">
        <v>43059.206655092596</v>
      </c>
      <c r="B27" s="20" t="s">
        <v>666</v>
      </c>
      <c r="C27" s="20" t="s">
        <v>697</v>
      </c>
      <c r="D27" s="195">
        <v>3120000</v>
      </c>
      <c r="E27" s="20" t="s">
        <v>369</v>
      </c>
      <c r="F27" s="20" t="s">
        <v>577</v>
      </c>
      <c r="G27" s="8" t="str">
        <f t="shared" si="0"/>
        <v>THOMPSON LESTER</v>
      </c>
      <c r="H27" s="20" t="str">
        <f t="shared" si="1"/>
        <v>4026</v>
      </c>
    </row>
    <row r="28" spans="1:8" x14ac:dyDescent="0.25">
      <c r="A28" s="8">
        <v>43059.212951388887</v>
      </c>
      <c r="B28" s="20" t="s">
        <v>386</v>
      </c>
      <c r="C28" s="20" t="s">
        <v>698</v>
      </c>
      <c r="D28" s="195">
        <v>2560000</v>
      </c>
      <c r="E28" s="20" t="s">
        <v>582</v>
      </c>
      <c r="F28" s="20" t="s">
        <v>583</v>
      </c>
      <c r="G28" s="8" t="str">
        <f t="shared" si="0"/>
        <v>MACDONALD THOMAS</v>
      </c>
      <c r="H28" s="20" t="str">
        <f t="shared" si="1"/>
        <v>4061</v>
      </c>
    </row>
    <row r="29" spans="1:8" x14ac:dyDescent="0.25">
      <c r="A29" s="8">
        <v>43059.214131944442</v>
      </c>
      <c r="B29" s="20" t="s">
        <v>652</v>
      </c>
      <c r="C29" s="20" t="s">
        <v>699</v>
      </c>
      <c r="D29" s="195">
        <v>2600000</v>
      </c>
      <c r="E29" s="20" t="s">
        <v>694</v>
      </c>
      <c r="F29" s="20" t="s">
        <v>485</v>
      </c>
      <c r="G29" s="8" t="str">
        <f t="shared" si="0"/>
        <v>DAVIDSON DAVID</v>
      </c>
      <c r="H29" s="20" t="str">
        <f t="shared" si="1"/>
        <v>4006</v>
      </c>
    </row>
    <row r="30" spans="1:8" x14ac:dyDescent="0.25">
      <c r="A30" s="8">
        <v>43059.217083333337</v>
      </c>
      <c r="B30" s="20" t="s">
        <v>574</v>
      </c>
      <c r="C30" s="20" t="s">
        <v>700</v>
      </c>
      <c r="D30" s="195">
        <v>3300000</v>
      </c>
      <c r="E30" s="20" t="s">
        <v>578</v>
      </c>
      <c r="F30" s="20" t="s">
        <v>579</v>
      </c>
      <c r="G30" s="8" t="str">
        <f t="shared" si="0"/>
        <v>LANGERAK WILLIAM</v>
      </c>
      <c r="H30" s="20" t="str">
        <f t="shared" si="1"/>
        <v>4027</v>
      </c>
    </row>
    <row r="31" spans="1:8" x14ac:dyDescent="0.25">
      <c r="A31" s="8">
        <v>43059.225949074076</v>
      </c>
      <c r="B31" s="20" t="s">
        <v>659</v>
      </c>
      <c r="C31" s="20" t="s">
        <v>677</v>
      </c>
      <c r="D31" s="195">
        <v>1090000</v>
      </c>
      <c r="E31" s="20" t="s">
        <v>678</v>
      </c>
      <c r="F31" s="20" t="s">
        <v>352</v>
      </c>
      <c r="G31" s="8" t="str">
        <f t="shared" si="0"/>
        <v>SPECTOR MICHAEL</v>
      </c>
      <c r="H31" s="20" t="str">
        <f t="shared" si="1"/>
        <v>4064</v>
      </c>
    </row>
    <row r="32" spans="1:8" x14ac:dyDescent="0.25">
      <c r="A32" s="8">
        <v>43059.227268518516</v>
      </c>
      <c r="B32" s="20" t="s">
        <v>360</v>
      </c>
      <c r="C32" s="20" t="s">
        <v>701</v>
      </c>
      <c r="D32" s="195">
        <v>1110000</v>
      </c>
      <c r="E32" s="20" t="s">
        <v>682</v>
      </c>
      <c r="F32" s="20" t="s">
        <v>683</v>
      </c>
      <c r="G32" s="8" t="str">
        <f t="shared" si="0"/>
        <v>STARKS ANGELINA</v>
      </c>
      <c r="H32" s="20" t="str">
        <f t="shared" si="1"/>
        <v>4018</v>
      </c>
    </row>
    <row r="33" spans="1:8" x14ac:dyDescent="0.25">
      <c r="A33" s="8">
        <v>43059.228888888887</v>
      </c>
      <c r="B33" s="20" t="s">
        <v>702</v>
      </c>
      <c r="C33" s="20" t="s">
        <v>703</v>
      </c>
      <c r="D33" s="195">
        <v>3090000</v>
      </c>
      <c r="E33" s="20" t="s">
        <v>580</v>
      </c>
      <c r="F33" s="20" t="s">
        <v>581</v>
      </c>
      <c r="G33" s="8" t="str">
        <f t="shared" si="0"/>
        <v>LAMAR NEKESHA</v>
      </c>
      <c r="H33" s="20" t="str">
        <f t="shared" si="1"/>
        <v>4001</v>
      </c>
    </row>
    <row r="34" spans="1:8" x14ac:dyDescent="0.25">
      <c r="A34" s="8">
        <v>43059.229548611111</v>
      </c>
      <c r="B34" s="20" t="s">
        <v>673</v>
      </c>
      <c r="C34" s="20" t="s">
        <v>680</v>
      </c>
      <c r="D34" s="195">
        <v>1090000</v>
      </c>
      <c r="E34" s="20" t="s">
        <v>678</v>
      </c>
      <c r="F34" s="20" t="s">
        <v>352</v>
      </c>
      <c r="G34" s="8" t="str">
        <f t="shared" si="0"/>
        <v>SPECTOR MICHAEL</v>
      </c>
      <c r="H34" s="20" t="str">
        <f t="shared" si="1"/>
        <v>4063</v>
      </c>
    </row>
    <row r="35" spans="1:8" x14ac:dyDescent="0.25">
      <c r="A35" s="8">
        <v>43059.230856481481</v>
      </c>
      <c r="B35" s="20" t="s">
        <v>391</v>
      </c>
      <c r="C35" s="20" t="s">
        <v>704</v>
      </c>
      <c r="D35" s="195">
        <v>2010000</v>
      </c>
      <c r="E35" s="20" t="s">
        <v>545</v>
      </c>
      <c r="F35" s="20" t="s">
        <v>546</v>
      </c>
      <c r="G35" s="8" t="str">
        <f t="shared" si="0"/>
        <v>MAELZER KURT</v>
      </c>
      <c r="H35" s="20" t="str">
        <f t="shared" si="1"/>
        <v>4059</v>
      </c>
    </row>
    <row r="36" spans="1:8" x14ac:dyDescent="0.25">
      <c r="A36" s="8">
        <v>43059.233356481483</v>
      </c>
      <c r="B36" s="20" t="s">
        <v>661</v>
      </c>
      <c r="C36" s="20" t="s">
        <v>705</v>
      </c>
      <c r="D36" s="195">
        <v>1230000</v>
      </c>
      <c r="E36" s="20" t="s">
        <v>706</v>
      </c>
      <c r="F36" s="20" t="s">
        <v>707</v>
      </c>
      <c r="G36" s="8" t="str">
        <f t="shared" si="0"/>
        <v>YANAI IAN</v>
      </c>
      <c r="H36" s="20" t="str">
        <f t="shared" si="1"/>
        <v>4013</v>
      </c>
    </row>
    <row r="37" spans="1:8" x14ac:dyDescent="0.25">
      <c r="A37" s="8">
        <v>43059.235335648147</v>
      </c>
      <c r="B37" s="20" t="s">
        <v>384</v>
      </c>
      <c r="C37" s="20" t="s">
        <v>708</v>
      </c>
      <c r="D37" s="195">
        <v>2560000</v>
      </c>
      <c r="E37" s="20" t="s">
        <v>582</v>
      </c>
      <c r="F37" s="20" t="s">
        <v>583</v>
      </c>
      <c r="G37" s="8" t="str">
        <f t="shared" si="0"/>
        <v>MACDONALD THOMAS</v>
      </c>
      <c r="H37" s="20" t="str">
        <f t="shared" si="1"/>
        <v>4062</v>
      </c>
    </row>
    <row r="38" spans="1:8" x14ac:dyDescent="0.25">
      <c r="A38" s="8">
        <v>43059.238287037035</v>
      </c>
      <c r="B38" s="20" t="s">
        <v>709</v>
      </c>
      <c r="C38" s="20" t="s">
        <v>710</v>
      </c>
      <c r="D38" s="195">
        <v>3090000</v>
      </c>
      <c r="E38" s="20" t="s">
        <v>580</v>
      </c>
      <c r="F38" s="20" t="s">
        <v>581</v>
      </c>
      <c r="G38" s="8" t="str">
        <f t="shared" si="0"/>
        <v>LAMAR NEKESHA</v>
      </c>
      <c r="H38" s="20" t="str">
        <f t="shared" si="1"/>
        <v>4002</v>
      </c>
    </row>
    <row r="39" spans="1:8" x14ac:dyDescent="0.25">
      <c r="A39" s="8">
        <v>43059.241238425922</v>
      </c>
      <c r="B39" s="20" t="s">
        <v>490</v>
      </c>
      <c r="C39" s="20" t="s">
        <v>711</v>
      </c>
      <c r="D39" s="195">
        <v>1230000</v>
      </c>
      <c r="E39" s="20" t="s">
        <v>706</v>
      </c>
      <c r="F39" s="20" t="s">
        <v>707</v>
      </c>
      <c r="G39" s="8" t="str">
        <f t="shared" si="0"/>
        <v>YANAI IAN</v>
      </c>
      <c r="H39" s="20" t="str">
        <f t="shared" si="1"/>
        <v>4014</v>
      </c>
    </row>
    <row r="40" spans="1:8" x14ac:dyDescent="0.25">
      <c r="A40" s="8">
        <v>43059.24596064815</v>
      </c>
      <c r="B40" s="25" t="s">
        <v>647</v>
      </c>
      <c r="C40" s="20" t="s">
        <v>648</v>
      </c>
      <c r="D40" s="195">
        <v>3120000</v>
      </c>
      <c r="E40" s="20" t="s">
        <v>369</v>
      </c>
      <c r="F40" s="20" t="s">
        <v>577</v>
      </c>
      <c r="G40" s="8" t="str">
        <f t="shared" si="0"/>
        <v>THOMPSON LESTER</v>
      </c>
      <c r="H40" s="20" t="str">
        <f t="shared" si="1"/>
        <v>4025</v>
      </c>
    </row>
    <row r="41" spans="1:8" x14ac:dyDescent="0.25">
      <c r="A41" s="8">
        <v>43059.246122685188</v>
      </c>
      <c r="B41" s="20" t="s">
        <v>692</v>
      </c>
      <c r="C41" s="20" t="s">
        <v>712</v>
      </c>
      <c r="D41" s="195">
        <v>2600000</v>
      </c>
      <c r="E41" s="20" t="s">
        <v>694</v>
      </c>
      <c r="F41" s="20" t="s">
        <v>485</v>
      </c>
      <c r="G41" s="8" t="str">
        <f t="shared" si="0"/>
        <v>DAVIDSON DAVID</v>
      </c>
      <c r="H41" s="20" t="str">
        <f t="shared" si="1"/>
        <v>4005</v>
      </c>
    </row>
    <row r="42" spans="1:8" x14ac:dyDescent="0.25">
      <c r="A42" s="8">
        <v>43059.247013888889</v>
      </c>
      <c r="B42" s="20" t="s">
        <v>386</v>
      </c>
      <c r="C42" s="20" t="s">
        <v>646</v>
      </c>
      <c r="D42" s="195">
        <v>2560000</v>
      </c>
      <c r="E42" s="20" t="s">
        <v>582</v>
      </c>
      <c r="F42" s="20" t="s">
        <v>583</v>
      </c>
      <c r="G42" s="8" t="str">
        <f t="shared" si="0"/>
        <v>MACDONALD THOMAS</v>
      </c>
      <c r="H42" s="20" t="str">
        <f t="shared" si="1"/>
        <v>4061</v>
      </c>
    </row>
    <row r="43" spans="1:8" x14ac:dyDescent="0.25">
      <c r="A43" s="8">
        <v>43059.249189814815</v>
      </c>
      <c r="B43" s="20" t="s">
        <v>659</v>
      </c>
      <c r="C43" s="20" t="s">
        <v>713</v>
      </c>
      <c r="D43" s="195">
        <v>1830000</v>
      </c>
      <c r="E43" s="20" t="s">
        <v>346</v>
      </c>
      <c r="F43" s="20" t="s">
        <v>347</v>
      </c>
      <c r="G43" s="8" t="str">
        <f t="shared" si="0"/>
        <v>YORK EDGAR</v>
      </c>
      <c r="H43" s="20" t="str">
        <f t="shared" si="1"/>
        <v>4064</v>
      </c>
    </row>
    <row r="44" spans="1:8" x14ac:dyDescent="0.25">
      <c r="A44" s="8">
        <v>43059.256273148145</v>
      </c>
      <c r="B44" s="20" t="s">
        <v>392</v>
      </c>
      <c r="C44" s="20" t="s">
        <v>714</v>
      </c>
      <c r="D44" s="195">
        <v>3300000</v>
      </c>
      <c r="E44" s="20" t="s">
        <v>578</v>
      </c>
      <c r="F44" s="20" t="s">
        <v>579</v>
      </c>
      <c r="G44" s="8" t="str">
        <f t="shared" si="0"/>
        <v>LANGERAK WILLIAM</v>
      </c>
      <c r="H44" s="20" t="str">
        <f t="shared" si="1"/>
        <v>4028</v>
      </c>
    </row>
    <row r="45" spans="1:8" x14ac:dyDescent="0.25">
      <c r="A45" s="8">
        <v>43059.257303240738</v>
      </c>
      <c r="B45" s="20" t="s">
        <v>362</v>
      </c>
      <c r="C45" s="20" t="s">
        <v>649</v>
      </c>
      <c r="D45" s="195">
        <v>1110000</v>
      </c>
      <c r="E45" s="20" t="s">
        <v>682</v>
      </c>
      <c r="F45" s="20" t="s">
        <v>683</v>
      </c>
      <c r="G45" s="8" t="str">
        <f t="shared" si="0"/>
        <v>STARKS ANGELINA</v>
      </c>
      <c r="H45" s="20" t="str">
        <f t="shared" si="1"/>
        <v>4017</v>
      </c>
    </row>
    <row r="46" spans="1:8" x14ac:dyDescent="0.25">
      <c r="A46" s="8">
        <v>43059.258518518516</v>
      </c>
      <c r="B46" s="20" t="s">
        <v>392</v>
      </c>
      <c r="C46" s="20" t="s">
        <v>714</v>
      </c>
      <c r="D46" s="195">
        <v>3300000</v>
      </c>
      <c r="E46" s="20" t="s">
        <v>578</v>
      </c>
      <c r="F46" s="20" t="s">
        <v>579</v>
      </c>
      <c r="G46" s="8" t="str">
        <f t="shared" si="0"/>
        <v>LANGERAK WILLIAM</v>
      </c>
      <c r="H46" s="20" t="str">
        <f t="shared" si="1"/>
        <v>4028</v>
      </c>
    </row>
    <row r="47" spans="1:8" x14ac:dyDescent="0.25">
      <c r="A47" s="8">
        <v>43059.260057870371</v>
      </c>
      <c r="B47" s="20" t="s">
        <v>392</v>
      </c>
      <c r="C47" s="20" t="s">
        <v>714</v>
      </c>
      <c r="D47" s="195">
        <v>3300000</v>
      </c>
      <c r="E47" s="20" t="s">
        <v>578</v>
      </c>
      <c r="F47" s="20" t="s">
        <v>579</v>
      </c>
      <c r="G47" s="8" t="str">
        <f t="shared" si="0"/>
        <v>LANGERAK WILLIAM</v>
      </c>
      <c r="H47" s="20" t="str">
        <f t="shared" si="1"/>
        <v>4028</v>
      </c>
    </row>
    <row r="48" spans="1:8" x14ac:dyDescent="0.25">
      <c r="A48" s="8">
        <v>43059.267361111109</v>
      </c>
      <c r="B48" s="20" t="s">
        <v>661</v>
      </c>
      <c r="C48" s="20" t="s">
        <v>715</v>
      </c>
      <c r="D48" s="195">
        <v>1230000</v>
      </c>
      <c r="E48" s="20" t="s">
        <v>706</v>
      </c>
      <c r="F48" s="20" t="s">
        <v>707</v>
      </c>
      <c r="G48" s="8" t="str">
        <f t="shared" si="0"/>
        <v>YANAI IAN</v>
      </c>
      <c r="H48" s="20" t="str">
        <f t="shared" si="1"/>
        <v>4013</v>
      </c>
    </row>
    <row r="49" spans="1:8" x14ac:dyDescent="0.25">
      <c r="A49" s="8">
        <v>43059.268437500003</v>
      </c>
      <c r="B49" s="20" t="s">
        <v>357</v>
      </c>
      <c r="C49" s="20" t="s">
        <v>716</v>
      </c>
      <c r="D49" s="195">
        <v>2010000</v>
      </c>
      <c r="E49" s="20" t="s">
        <v>545</v>
      </c>
      <c r="F49" s="20" t="s">
        <v>546</v>
      </c>
      <c r="G49" s="8" t="str">
        <f t="shared" si="0"/>
        <v>MAELZER KURT</v>
      </c>
      <c r="H49" s="20" t="str">
        <f t="shared" si="1"/>
        <v>4060</v>
      </c>
    </row>
    <row r="50" spans="1:8" x14ac:dyDescent="0.25">
      <c r="A50" s="8">
        <v>43059.275914351849</v>
      </c>
      <c r="B50" s="20" t="s">
        <v>702</v>
      </c>
      <c r="C50" s="20" t="s">
        <v>717</v>
      </c>
      <c r="D50" s="195">
        <v>3090000</v>
      </c>
      <c r="E50" s="20" t="s">
        <v>580</v>
      </c>
      <c r="F50" s="20" t="s">
        <v>581</v>
      </c>
      <c r="G50" s="8" t="str">
        <f t="shared" si="0"/>
        <v>LAMAR NEKESHA</v>
      </c>
      <c r="H50" s="20" t="str">
        <f t="shared" si="1"/>
        <v>4001</v>
      </c>
    </row>
    <row r="51" spans="1:8" x14ac:dyDescent="0.25">
      <c r="A51" s="8">
        <v>43059.275972222225</v>
      </c>
      <c r="B51" s="20" t="s">
        <v>673</v>
      </c>
      <c r="C51" s="20" t="s">
        <v>718</v>
      </c>
      <c r="D51" s="195">
        <v>1830000</v>
      </c>
      <c r="E51" s="20" t="s">
        <v>346</v>
      </c>
      <c r="F51" s="20" t="s">
        <v>347</v>
      </c>
      <c r="G51" s="8" t="str">
        <f t="shared" si="0"/>
        <v>YORK EDGAR</v>
      </c>
      <c r="H51" s="20" t="str">
        <f t="shared" si="1"/>
        <v>4063</v>
      </c>
    </row>
    <row r="52" spans="1:8" x14ac:dyDescent="0.25">
      <c r="A52" s="8">
        <v>43059.276493055557</v>
      </c>
      <c r="B52" s="20" t="s">
        <v>384</v>
      </c>
      <c r="C52" s="20" t="s">
        <v>719</v>
      </c>
      <c r="D52" s="195">
        <v>2560000</v>
      </c>
      <c r="E52" s="20" t="s">
        <v>582</v>
      </c>
      <c r="F52" s="20" t="s">
        <v>583</v>
      </c>
      <c r="G52" s="8" t="str">
        <f t="shared" si="0"/>
        <v>MACDONALD THOMAS</v>
      </c>
      <c r="H52" s="20" t="str">
        <f t="shared" si="1"/>
        <v>4062</v>
      </c>
    </row>
    <row r="53" spans="1:8" x14ac:dyDescent="0.25">
      <c r="A53" s="8">
        <v>43059.279178240744</v>
      </c>
      <c r="B53" s="20" t="s">
        <v>666</v>
      </c>
      <c r="C53" s="20" t="s">
        <v>720</v>
      </c>
      <c r="D53" s="195">
        <v>3120000</v>
      </c>
      <c r="E53" s="20" t="s">
        <v>369</v>
      </c>
      <c r="F53" s="20" t="s">
        <v>577</v>
      </c>
      <c r="G53" s="8" t="str">
        <f t="shared" si="0"/>
        <v>THOMPSON LESTER</v>
      </c>
      <c r="H53" s="20" t="str">
        <f t="shared" si="1"/>
        <v>4026</v>
      </c>
    </row>
    <row r="54" spans="1:8" x14ac:dyDescent="0.25">
      <c r="A54" s="8">
        <v>43059.286724537036</v>
      </c>
      <c r="B54" s="20" t="s">
        <v>652</v>
      </c>
      <c r="C54" s="20" t="s">
        <v>653</v>
      </c>
      <c r="D54" s="195">
        <v>2600000</v>
      </c>
      <c r="E54" s="20" t="s">
        <v>694</v>
      </c>
      <c r="F54" s="20" t="s">
        <v>485</v>
      </c>
      <c r="G54" s="8" t="str">
        <f t="shared" si="0"/>
        <v>DAVIDSON DAVID</v>
      </c>
      <c r="H54" s="20" t="str">
        <f t="shared" si="1"/>
        <v>4006</v>
      </c>
    </row>
    <row r="55" spans="1:8" x14ac:dyDescent="0.25">
      <c r="A55" s="8">
        <v>43059.288587962961</v>
      </c>
      <c r="B55" s="20" t="s">
        <v>574</v>
      </c>
      <c r="C55" s="20" t="s">
        <v>721</v>
      </c>
      <c r="D55" s="195">
        <v>3300000</v>
      </c>
      <c r="E55" s="20" t="s">
        <v>578</v>
      </c>
      <c r="F55" s="20" t="s">
        <v>579</v>
      </c>
      <c r="G55" s="8" t="str">
        <f t="shared" si="0"/>
        <v>LANGERAK WILLIAM</v>
      </c>
      <c r="H55" s="20" t="str">
        <f t="shared" si="1"/>
        <v>4027</v>
      </c>
    </row>
    <row r="56" spans="1:8" x14ac:dyDescent="0.25">
      <c r="A56" s="8">
        <v>43059.289606481485</v>
      </c>
      <c r="B56" s="20" t="s">
        <v>386</v>
      </c>
      <c r="C56" s="20" t="s">
        <v>650</v>
      </c>
      <c r="D56" s="195">
        <v>2560000</v>
      </c>
      <c r="E56" s="20" t="s">
        <v>582</v>
      </c>
      <c r="F56" s="20" t="s">
        <v>583</v>
      </c>
      <c r="G56" s="8" t="str">
        <f t="shared" si="0"/>
        <v>MACDONALD THOMAS</v>
      </c>
      <c r="H56" s="20" t="str">
        <f t="shared" si="1"/>
        <v>4061</v>
      </c>
    </row>
    <row r="57" spans="1:8" x14ac:dyDescent="0.25">
      <c r="A57" s="8">
        <v>43059.29005787037</v>
      </c>
      <c r="B57" s="20" t="s">
        <v>490</v>
      </c>
      <c r="C57" s="20" t="s">
        <v>651</v>
      </c>
      <c r="D57" s="195">
        <v>1230000</v>
      </c>
      <c r="E57" s="20" t="s">
        <v>706</v>
      </c>
      <c r="F57" s="20" t="s">
        <v>707</v>
      </c>
      <c r="G57" s="8" t="str">
        <f t="shared" si="0"/>
        <v>YANAI IAN</v>
      </c>
      <c r="H57" s="20" t="str">
        <f t="shared" si="1"/>
        <v>4014</v>
      </c>
    </row>
    <row r="58" spans="1:8" x14ac:dyDescent="0.25">
      <c r="A58" s="8">
        <v>43059.300092592595</v>
      </c>
      <c r="B58" s="20" t="s">
        <v>360</v>
      </c>
      <c r="C58" s="20" t="s">
        <v>722</v>
      </c>
      <c r="D58" s="195">
        <v>1110000</v>
      </c>
      <c r="E58" s="20" t="s">
        <v>682</v>
      </c>
      <c r="F58" s="20" t="s">
        <v>683</v>
      </c>
      <c r="G58" s="8" t="str">
        <f t="shared" si="0"/>
        <v>STARKS ANGELINA</v>
      </c>
      <c r="H58" s="20" t="str">
        <f t="shared" si="1"/>
        <v>4018</v>
      </c>
    </row>
    <row r="59" spans="1:8" x14ac:dyDescent="0.25">
      <c r="A59" s="8">
        <v>43059.30505787037</v>
      </c>
      <c r="B59" s="20" t="s">
        <v>391</v>
      </c>
      <c r="C59" s="20" t="s">
        <v>654</v>
      </c>
      <c r="D59" s="195">
        <v>2010000</v>
      </c>
      <c r="E59" s="20" t="s">
        <v>545</v>
      </c>
      <c r="F59" s="20" t="s">
        <v>546</v>
      </c>
      <c r="G59" s="8" t="str">
        <f t="shared" si="0"/>
        <v>MAELZER KURT</v>
      </c>
      <c r="H59" s="20" t="str">
        <f t="shared" si="1"/>
        <v>4059</v>
      </c>
    </row>
    <row r="60" spans="1:8" x14ac:dyDescent="0.25">
      <c r="A60" s="8">
        <v>43059.31013888889</v>
      </c>
      <c r="B60" s="20" t="s">
        <v>709</v>
      </c>
      <c r="C60" s="20" t="s">
        <v>723</v>
      </c>
      <c r="D60" s="195">
        <v>3090000</v>
      </c>
      <c r="E60" s="20" t="s">
        <v>580</v>
      </c>
      <c r="F60" s="20" t="s">
        <v>581</v>
      </c>
      <c r="G60" s="8" t="str">
        <f t="shared" si="0"/>
        <v>LAMAR NEKESHA</v>
      </c>
      <c r="H60" s="20" t="str">
        <f t="shared" si="1"/>
        <v>4002</v>
      </c>
    </row>
    <row r="61" spans="1:8" x14ac:dyDescent="0.25">
      <c r="A61" s="8">
        <v>43059.310173611113</v>
      </c>
      <c r="B61" s="20" t="s">
        <v>661</v>
      </c>
      <c r="C61" s="20" t="s">
        <v>724</v>
      </c>
      <c r="D61" s="195">
        <v>1230000</v>
      </c>
      <c r="E61" s="20" t="s">
        <v>706</v>
      </c>
      <c r="F61" s="20" t="s">
        <v>707</v>
      </c>
      <c r="G61" s="8" t="str">
        <f t="shared" si="0"/>
        <v>YANAI IAN</v>
      </c>
      <c r="H61" s="20" t="str">
        <f t="shared" si="1"/>
        <v>4013</v>
      </c>
    </row>
    <row r="62" spans="1:8" x14ac:dyDescent="0.25">
      <c r="A62" s="8">
        <v>43059.31758101852</v>
      </c>
      <c r="B62" s="20" t="s">
        <v>384</v>
      </c>
      <c r="C62" s="20" t="s">
        <v>725</v>
      </c>
      <c r="D62" s="195">
        <v>2560000</v>
      </c>
      <c r="E62" s="20" t="s">
        <v>582</v>
      </c>
      <c r="F62" s="20" t="s">
        <v>583</v>
      </c>
      <c r="G62" s="8" t="str">
        <f t="shared" si="0"/>
        <v>MACDONALD THOMAS</v>
      </c>
      <c r="H62" s="20" t="str">
        <f t="shared" si="1"/>
        <v>4062</v>
      </c>
    </row>
    <row r="63" spans="1:8" x14ac:dyDescent="0.25">
      <c r="A63" s="8">
        <v>43059.318078703705</v>
      </c>
      <c r="B63" s="20" t="s">
        <v>659</v>
      </c>
      <c r="C63" s="20" t="s">
        <v>726</v>
      </c>
      <c r="D63" s="195">
        <v>1830000</v>
      </c>
      <c r="E63" s="20" t="s">
        <v>346</v>
      </c>
      <c r="F63" s="20" t="s">
        <v>347</v>
      </c>
      <c r="G63" s="8" t="str">
        <f t="shared" si="0"/>
        <v>YORK EDGAR</v>
      </c>
      <c r="H63" s="20" t="str">
        <f t="shared" si="1"/>
        <v>4064</v>
      </c>
    </row>
    <row r="64" spans="1:8" x14ac:dyDescent="0.25">
      <c r="A64" s="26">
        <v>43059.319571759261</v>
      </c>
      <c r="B64" s="20" t="s">
        <v>647</v>
      </c>
      <c r="C64" s="20" t="s">
        <v>727</v>
      </c>
      <c r="D64" s="195">
        <v>3120000</v>
      </c>
      <c r="E64" s="20" t="s">
        <v>369</v>
      </c>
      <c r="F64" s="20" t="s">
        <v>577</v>
      </c>
      <c r="G64" s="8" t="str">
        <f t="shared" si="0"/>
        <v>THOMPSON LESTER</v>
      </c>
      <c r="H64" s="20" t="str">
        <f t="shared" si="1"/>
        <v>4025</v>
      </c>
    </row>
    <row r="65" spans="1:8" x14ac:dyDescent="0.25">
      <c r="A65" s="8">
        <v>43059.325162037036</v>
      </c>
      <c r="B65" s="20" t="s">
        <v>692</v>
      </c>
      <c r="C65" s="20" t="s">
        <v>728</v>
      </c>
      <c r="D65" s="195">
        <v>2600000</v>
      </c>
      <c r="E65" s="20" t="s">
        <v>694</v>
      </c>
      <c r="F65" s="20" t="s">
        <v>485</v>
      </c>
      <c r="G65" s="8" t="str">
        <f t="shared" si="0"/>
        <v>DAVIDSON DAVID</v>
      </c>
      <c r="H65" s="20" t="str">
        <f t="shared" si="1"/>
        <v>4005</v>
      </c>
    </row>
    <row r="66" spans="1:8" x14ac:dyDescent="0.25">
      <c r="A66" s="8">
        <v>43059.3284375</v>
      </c>
      <c r="B66" s="20" t="s">
        <v>392</v>
      </c>
      <c r="C66" s="20" t="s">
        <v>729</v>
      </c>
      <c r="D66" s="195">
        <v>3300000</v>
      </c>
      <c r="E66" s="20" t="s">
        <v>578</v>
      </c>
      <c r="F66" s="20" t="s">
        <v>579</v>
      </c>
      <c r="G66" s="8" t="str">
        <f t="shared" si="0"/>
        <v>LANGERAK WILLIAM</v>
      </c>
      <c r="H66" s="20" t="str">
        <f t="shared" si="1"/>
        <v>4028</v>
      </c>
    </row>
    <row r="67" spans="1:8" x14ac:dyDescent="0.25">
      <c r="A67" s="8">
        <v>43059.33011574074</v>
      </c>
      <c r="B67" s="20" t="s">
        <v>386</v>
      </c>
      <c r="C67" s="20" t="s">
        <v>655</v>
      </c>
      <c r="D67" s="195">
        <v>2560000</v>
      </c>
      <c r="E67" s="20" t="s">
        <v>582</v>
      </c>
      <c r="F67" s="20" t="s">
        <v>583</v>
      </c>
      <c r="G67" s="8" t="str">
        <f t="shared" ref="G67:G130" si="2">E67&amp;" "&amp;F67</f>
        <v>MACDONALD THOMAS</v>
      </c>
      <c r="H67" s="20" t="str">
        <f t="shared" ref="H67:H130" si="3">MID(B67,13,4)</f>
        <v>4061</v>
      </c>
    </row>
    <row r="68" spans="1:8" x14ac:dyDescent="0.25">
      <c r="A68" s="8">
        <v>43059.33090277778</v>
      </c>
      <c r="B68" s="20" t="s">
        <v>490</v>
      </c>
      <c r="C68" s="20" t="s">
        <v>730</v>
      </c>
      <c r="D68" s="195">
        <v>1230000</v>
      </c>
      <c r="E68" s="20" t="s">
        <v>706</v>
      </c>
      <c r="F68" s="20" t="s">
        <v>707</v>
      </c>
      <c r="G68" s="8" t="str">
        <f t="shared" si="2"/>
        <v>YANAI IAN</v>
      </c>
      <c r="H68" s="20" t="str">
        <f t="shared" si="3"/>
        <v>4014</v>
      </c>
    </row>
    <row r="69" spans="1:8" x14ac:dyDescent="0.25">
      <c r="A69" s="8">
        <v>43059.334560185183</v>
      </c>
      <c r="B69" s="20" t="s">
        <v>362</v>
      </c>
      <c r="C69" s="20" t="s">
        <v>731</v>
      </c>
      <c r="D69" s="195">
        <v>1110000</v>
      </c>
      <c r="E69" s="20" t="s">
        <v>682</v>
      </c>
      <c r="F69" s="20" t="s">
        <v>683</v>
      </c>
      <c r="G69" s="8" t="str">
        <f t="shared" si="2"/>
        <v>STARKS ANGELINA</v>
      </c>
      <c r="H69" s="20" t="str">
        <f t="shared" si="3"/>
        <v>4017</v>
      </c>
    </row>
    <row r="70" spans="1:8" x14ac:dyDescent="0.25">
      <c r="A70" s="8">
        <v>43059.339814814812</v>
      </c>
      <c r="B70" s="20" t="s">
        <v>357</v>
      </c>
      <c r="C70" s="20" t="s">
        <v>732</v>
      </c>
      <c r="D70" s="195">
        <v>2010000</v>
      </c>
      <c r="E70" s="20" t="s">
        <v>545</v>
      </c>
      <c r="F70" s="20" t="s">
        <v>546</v>
      </c>
      <c r="G70" s="8" t="str">
        <f t="shared" si="2"/>
        <v>MAELZER KURT</v>
      </c>
      <c r="H70" s="20" t="str">
        <f t="shared" si="3"/>
        <v>4060</v>
      </c>
    </row>
    <row r="71" spans="1:8" x14ac:dyDescent="0.25">
      <c r="A71" s="8">
        <v>43059.350497685184</v>
      </c>
      <c r="B71" s="20" t="s">
        <v>661</v>
      </c>
      <c r="C71" s="20" t="s">
        <v>733</v>
      </c>
      <c r="D71" s="195">
        <v>1230000</v>
      </c>
      <c r="E71" s="20" t="s">
        <v>706</v>
      </c>
      <c r="F71" s="20" t="s">
        <v>707</v>
      </c>
      <c r="G71" s="8" t="str">
        <f t="shared" si="2"/>
        <v>YANAI IAN</v>
      </c>
      <c r="H71" s="20" t="str">
        <f t="shared" si="3"/>
        <v>4013</v>
      </c>
    </row>
    <row r="72" spans="1:8" x14ac:dyDescent="0.25">
      <c r="A72" s="8">
        <v>43059.350706018522</v>
      </c>
      <c r="B72" s="20" t="s">
        <v>673</v>
      </c>
      <c r="C72" s="20" t="s">
        <v>734</v>
      </c>
      <c r="D72" s="195">
        <v>1830000</v>
      </c>
      <c r="E72" s="20" t="s">
        <v>346</v>
      </c>
      <c r="F72" s="20" t="s">
        <v>347</v>
      </c>
      <c r="G72" s="8" t="str">
        <f t="shared" si="2"/>
        <v>YORK EDGAR</v>
      </c>
      <c r="H72" s="20" t="str">
        <f t="shared" si="3"/>
        <v>4063</v>
      </c>
    </row>
    <row r="73" spans="1:8" x14ac:dyDescent="0.25">
      <c r="A73" s="8">
        <v>43059.350763888891</v>
      </c>
      <c r="B73" s="20" t="s">
        <v>702</v>
      </c>
      <c r="C73" s="20" t="s">
        <v>735</v>
      </c>
      <c r="D73" s="195">
        <v>3090000</v>
      </c>
      <c r="E73" s="20" t="s">
        <v>580</v>
      </c>
      <c r="F73" s="20" t="s">
        <v>581</v>
      </c>
      <c r="G73" s="8" t="str">
        <f t="shared" si="2"/>
        <v>LAMAR NEKESHA</v>
      </c>
      <c r="H73" s="20" t="str">
        <f t="shared" si="3"/>
        <v>4001</v>
      </c>
    </row>
    <row r="74" spans="1:8" x14ac:dyDescent="0.25">
      <c r="A74" s="8">
        <v>43059.352812500001</v>
      </c>
      <c r="B74" s="20" t="s">
        <v>666</v>
      </c>
      <c r="C74" s="20" t="s">
        <v>736</v>
      </c>
      <c r="D74" s="195">
        <v>3120000</v>
      </c>
      <c r="E74" s="20" t="s">
        <v>369</v>
      </c>
      <c r="F74" s="20" t="s">
        <v>577</v>
      </c>
      <c r="G74" s="8" t="str">
        <f t="shared" si="2"/>
        <v>THOMPSON LESTER</v>
      </c>
      <c r="H74" s="20" t="str">
        <f t="shared" si="3"/>
        <v>4026</v>
      </c>
    </row>
    <row r="75" spans="1:8" x14ac:dyDescent="0.25">
      <c r="A75" s="8">
        <v>43059.353692129633</v>
      </c>
      <c r="B75" s="20" t="s">
        <v>384</v>
      </c>
      <c r="C75" s="20" t="s">
        <v>737</v>
      </c>
      <c r="D75" s="195">
        <v>2560000</v>
      </c>
      <c r="E75" s="20" t="s">
        <v>582</v>
      </c>
      <c r="F75" s="20" t="s">
        <v>583</v>
      </c>
      <c r="G75" s="8" t="str">
        <f t="shared" si="2"/>
        <v>MACDONALD THOMAS</v>
      </c>
      <c r="H75" s="20" t="str">
        <f t="shared" si="3"/>
        <v>4062</v>
      </c>
    </row>
    <row r="76" spans="1:8" x14ac:dyDescent="0.25">
      <c r="A76" s="8">
        <v>43059.360208333332</v>
      </c>
      <c r="B76" s="20" t="s">
        <v>652</v>
      </c>
      <c r="C76" s="20" t="s">
        <v>738</v>
      </c>
      <c r="D76" s="195">
        <v>2600000</v>
      </c>
      <c r="E76" s="20" t="s">
        <v>694</v>
      </c>
      <c r="F76" s="20" t="s">
        <v>485</v>
      </c>
      <c r="G76" s="8" t="str">
        <f t="shared" si="2"/>
        <v>DAVIDSON DAVID</v>
      </c>
      <c r="H76" s="20" t="str">
        <f t="shared" si="3"/>
        <v>4006</v>
      </c>
    </row>
    <row r="77" spans="1:8" x14ac:dyDescent="0.25">
      <c r="A77" s="8">
        <v>43059.360821759263</v>
      </c>
      <c r="B77" s="20" t="s">
        <v>574</v>
      </c>
      <c r="C77" s="20" t="s">
        <v>739</v>
      </c>
      <c r="D77" s="195">
        <v>3300000</v>
      </c>
      <c r="E77" s="20" t="s">
        <v>578</v>
      </c>
      <c r="F77" s="20" t="s">
        <v>579</v>
      </c>
      <c r="G77" s="8" t="str">
        <f t="shared" si="2"/>
        <v>LANGERAK WILLIAM</v>
      </c>
      <c r="H77" s="20" t="str">
        <f t="shared" si="3"/>
        <v>4027</v>
      </c>
    </row>
    <row r="78" spans="1:8" x14ac:dyDescent="0.25">
      <c r="A78" s="8">
        <v>43059.372800925928</v>
      </c>
      <c r="B78" s="20" t="s">
        <v>360</v>
      </c>
      <c r="C78" s="20" t="s">
        <v>740</v>
      </c>
      <c r="D78" s="195">
        <v>1110000</v>
      </c>
      <c r="E78" s="20" t="s">
        <v>682</v>
      </c>
      <c r="F78" s="20" t="s">
        <v>683</v>
      </c>
      <c r="G78" s="8" t="str">
        <f t="shared" si="2"/>
        <v>STARKS ANGELINA</v>
      </c>
      <c r="H78" s="20" t="str">
        <f t="shared" si="3"/>
        <v>4018</v>
      </c>
    </row>
    <row r="79" spans="1:8" x14ac:dyDescent="0.25">
      <c r="A79" s="8">
        <v>43059.375925925924</v>
      </c>
      <c r="B79" s="20" t="s">
        <v>391</v>
      </c>
      <c r="C79" s="20" t="s">
        <v>741</v>
      </c>
      <c r="D79" s="195">
        <v>2010000</v>
      </c>
      <c r="E79" s="20" t="s">
        <v>545</v>
      </c>
      <c r="F79" s="20" t="s">
        <v>546</v>
      </c>
      <c r="G79" s="8" t="str">
        <f t="shared" si="2"/>
        <v>MAELZER KURT</v>
      </c>
      <c r="H79" s="20" t="str">
        <f t="shared" si="3"/>
        <v>4059</v>
      </c>
    </row>
    <row r="80" spans="1:8" x14ac:dyDescent="0.25">
      <c r="A80" s="8">
        <v>43059.378449074073</v>
      </c>
      <c r="B80" s="20" t="s">
        <v>490</v>
      </c>
      <c r="C80" s="20" t="s">
        <v>742</v>
      </c>
      <c r="D80" s="195">
        <v>1230000</v>
      </c>
      <c r="E80" s="20" t="s">
        <v>706</v>
      </c>
      <c r="F80" s="20" t="s">
        <v>707</v>
      </c>
      <c r="G80" s="8" t="str">
        <f t="shared" si="2"/>
        <v>YANAI IAN</v>
      </c>
      <c r="H80" s="20" t="str">
        <f t="shared" si="3"/>
        <v>4014</v>
      </c>
    </row>
    <row r="81" spans="1:8" x14ac:dyDescent="0.25">
      <c r="A81" s="8">
        <v>43059.381064814814</v>
      </c>
      <c r="B81" s="20" t="s">
        <v>709</v>
      </c>
      <c r="C81" s="20" t="s">
        <v>743</v>
      </c>
      <c r="D81" s="195">
        <v>3090000</v>
      </c>
      <c r="E81" s="20" t="s">
        <v>580</v>
      </c>
      <c r="F81" s="20" t="s">
        <v>581</v>
      </c>
      <c r="G81" s="8" t="str">
        <f t="shared" si="2"/>
        <v>LAMAR NEKESHA</v>
      </c>
      <c r="H81" s="20" t="str">
        <f t="shared" si="3"/>
        <v>4002</v>
      </c>
    </row>
    <row r="82" spans="1:8" x14ac:dyDescent="0.25">
      <c r="A82" s="8">
        <v>43059.389155092591</v>
      </c>
      <c r="B82" s="20" t="s">
        <v>659</v>
      </c>
      <c r="C82" s="20" t="s">
        <v>744</v>
      </c>
      <c r="D82" s="195">
        <v>1830000</v>
      </c>
      <c r="E82" s="20" t="s">
        <v>346</v>
      </c>
      <c r="F82" s="20" t="s">
        <v>347</v>
      </c>
      <c r="G82" s="8" t="str">
        <f t="shared" si="2"/>
        <v>YORK EDGAR</v>
      </c>
      <c r="H82" s="20" t="str">
        <f t="shared" si="3"/>
        <v>4064</v>
      </c>
    </row>
    <row r="83" spans="1:8" x14ac:dyDescent="0.25">
      <c r="A83" s="8">
        <v>43059.391817129632</v>
      </c>
      <c r="B83" s="20" t="s">
        <v>661</v>
      </c>
      <c r="C83" s="20" t="s">
        <v>745</v>
      </c>
      <c r="D83" s="195">
        <v>1230000</v>
      </c>
      <c r="E83" s="20" t="s">
        <v>706</v>
      </c>
      <c r="F83" s="20" t="s">
        <v>707</v>
      </c>
      <c r="G83" s="8" t="str">
        <f t="shared" si="2"/>
        <v>YANAI IAN</v>
      </c>
      <c r="H83" s="20" t="str">
        <f t="shared" si="3"/>
        <v>4013</v>
      </c>
    </row>
    <row r="84" spans="1:8" x14ac:dyDescent="0.25">
      <c r="A84" s="8">
        <v>43059.392002314817</v>
      </c>
      <c r="B84" s="20" t="s">
        <v>692</v>
      </c>
      <c r="C84" s="20" t="s">
        <v>746</v>
      </c>
      <c r="D84" s="195">
        <v>2600000</v>
      </c>
      <c r="E84" s="20" t="s">
        <v>694</v>
      </c>
      <c r="F84" s="20" t="s">
        <v>485</v>
      </c>
      <c r="G84" s="8" t="str">
        <f t="shared" si="2"/>
        <v>DAVIDSON DAVID</v>
      </c>
      <c r="H84" s="20" t="str">
        <f t="shared" si="3"/>
        <v>4005</v>
      </c>
    </row>
    <row r="85" spans="1:8" x14ac:dyDescent="0.25">
      <c r="A85" s="8">
        <v>43059.392696759256</v>
      </c>
      <c r="B85" s="20" t="s">
        <v>647</v>
      </c>
      <c r="C85" s="20" t="s">
        <v>657</v>
      </c>
      <c r="D85" s="195">
        <v>3120000</v>
      </c>
      <c r="E85" s="20" t="s">
        <v>369</v>
      </c>
      <c r="F85" s="20" t="s">
        <v>577</v>
      </c>
      <c r="G85" s="8" t="str">
        <f t="shared" si="2"/>
        <v>THOMPSON LESTER</v>
      </c>
      <c r="H85" s="20" t="str">
        <f t="shared" si="3"/>
        <v>4025</v>
      </c>
    </row>
    <row r="86" spans="1:8" x14ac:dyDescent="0.25">
      <c r="A86" s="8">
        <v>43059.401921296296</v>
      </c>
      <c r="B86" s="20" t="s">
        <v>392</v>
      </c>
      <c r="C86" s="20" t="s">
        <v>747</v>
      </c>
      <c r="D86" s="195">
        <v>3300000</v>
      </c>
      <c r="E86" s="20" t="s">
        <v>578</v>
      </c>
      <c r="F86" s="20" t="s">
        <v>579</v>
      </c>
      <c r="G86" s="8" t="str">
        <f t="shared" si="2"/>
        <v>LANGERAK WILLIAM</v>
      </c>
      <c r="H86" s="20" t="str">
        <f t="shared" si="3"/>
        <v>4028</v>
      </c>
    </row>
    <row r="87" spans="1:8" x14ac:dyDescent="0.25">
      <c r="A87" s="8">
        <v>43059.402488425927</v>
      </c>
      <c r="B87" s="20" t="s">
        <v>362</v>
      </c>
      <c r="C87" s="20" t="s">
        <v>748</v>
      </c>
      <c r="D87" s="195">
        <v>1110000</v>
      </c>
      <c r="E87" s="20" t="s">
        <v>682</v>
      </c>
      <c r="F87" s="20" t="s">
        <v>683</v>
      </c>
      <c r="G87" s="8" t="str">
        <f t="shared" si="2"/>
        <v>STARKS ANGELINA</v>
      </c>
      <c r="H87" s="20" t="str">
        <f t="shared" si="3"/>
        <v>4017</v>
      </c>
    </row>
    <row r="88" spans="1:8" x14ac:dyDescent="0.25">
      <c r="A88" s="8">
        <v>43059.414351851854</v>
      </c>
      <c r="B88" s="20" t="s">
        <v>357</v>
      </c>
      <c r="C88" s="20" t="s">
        <v>749</v>
      </c>
      <c r="D88" s="195">
        <v>2010000</v>
      </c>
      <c r="E88" s="20" t="s">
        <v>545</v>
      </c>
      <c r="F88" s="20" t="s">
        <v>546</v>
      </c>
      <c r="G88" s="8" t="str">
        <f t="shared" si="2"/>
        <v>MAELZER KURT</v>
      </c>
      <c r="H88" s="20" t="str">
        <f t="shared" si="3"/>
        <v>4060</v>
      </c>
    </row>
    <row r="89" spans="1:8" x14ac:dyDescent="0.25">
      <c r="A89" s="8">
        <v>43059.418888888889</v>
      </c>
      <c r="B89" s="20" t="s">
        <v>490</v>
      </c>
      <c r="C89" s="20" t="s">
        <v>750</v>
      </c>
      <c r="D89" s="195">
        <v>1230000</v>
      </c>
      <c r="E89" s="20" t="s">
        <v>706</v>
      </c>
      <c r="F89" s="20" t="s">
        <v>707</v>
      </c>
      <c r="G89" s="8" t="str">
        <f t="shared" si="2"/>
        <v>YANAI IAN</v>
      </c>
      <c r="H89" s="20" t="str">
        <f t="shared" si="3"/>
        <v>4014</v>
      </c>
    </row>
    <row r="90" spans="1:8" x14ac:dyDescent="0.25">
      <c r="A90" s="8">
        <v>43059.419363425928</v>
      </c>
      <c r="B90" s="20" t="s">
        <v>702</v>
      </c>
      <c r="C90" s="20" t="s">
        <v>751</v>
      </c>
      <c r="D90" s="195">
        <v>3090000</v>
      </c>
      <c r="E90" s="20" t="s">
        <v>580</v>
      </c>
      <c r="F90" s="20" t="s">
        <v>581</v>
      </c>
      <c r="G90" s="8" t="str">
        <f t="shared" si="2"/>
        <v>LAMAR NEKESHA</v>
      </c>
      <c r="H90" s="20" t="str">
        <f t="shared" si="3"/>
        <v>4001</v>
      </c>
    </row>
    <row r="91" spans="1:8" x14ac:dyDescent="0.25">
      <c r="A91" s="8">
        <v>43059.42324074074</v>
      </c>
      <c r="B91" s="20" t="s">
        <v>666</v>
      </c>
      <c r="C91" s="20" t="s">
        <v>752</v>
      </c>
      <c r="D91" s="195">
        <v>2560000</v>
      </c>
      <c r="E91" s="20" t="s">
        <v>582</v>
      </c>
      <c r="F91" s="20" t="s">
        <v>583</v>
      </c>
      <c r="G91" s="8" t="str">
        <f t="shared" si="2"/>
        <v>MACDONALD THOMAS</v>
      </c>
      <c r="H91" s="20" t="str">
        <f t="shared" si="3"/>
        <v>4026</v>
      </c>
    </row>
    <row r="92" spans="1:8" x14ac:dyDescent="0.25">
      <c r="A92" s="8">
        <v>43059.432662037034</v>
      </c>
      <c r="B92" s="20" t="s">
        <v>652</v>
      </c>
      <c r="C92" s="20" t="s">
        <v>753</v>
      </c>
      <c r="D92" s="195">
        <v>2600000</v>
      </c>
      <c r="E92" s="20" t="s">
        <v>694</v>
      </c>
      <c r="F92" s="20" t="s">
        <v>485</v>
      </c>
      <c r="G92" s="8" t="str">
        <f t="shared" si="2"/>
        <v>DAVIDSON DAVID</v>
      </c>
      <c r="H92" s="20" t="str">
        <f t="shared" si="3"/>
        <v>4006</v>
      </c>
    </row>
    <row r="93" spans="1:8" x14ac:dyDescent="0.25">
      <c r="A93" s="8">
        <v>43059.433645833335</v>
      </c>
      <c r="B93" s="20" t="s">
        <v>661</v>
      </c>
      <c r="C93" s="20" t="s">
        <v>754</v>
      </c>
      <c r="D93" s="195">
        <v>1230000</v>
      </c>
      <c r="E93" s="20" t="s">
        <v>706</v>
      </c>
      <c r="F93" s="20" t="s">
        <v>707</v>
      </c>
      <c r="G93" s="8" t="str">
        <f t="shared" si="2"/>
        <v>YANAI IAN</v>
      </c>
      <c r="H93" s="20" t="str">
        <f t="shared" si="3"/>
        <v>4013</v>
      </c>
    </row>
    <row r="94" spans="1:8" x14ac:dyDescent="0.25">
      <c r="A94" s="8">
        <v>43059.43378472222</v>
      </c>
      <c r="B94" s="20" t="s">
        <v>574</v>
      </c>
      <c r="C94" s="20" t="s">
        <v>755</v>
      </c>
      <c r="D94" s="195">
        <v>3300000</v>
      </c>
      <c r="E94" s="20" t="s">
        <v>578</v>
      </c>
      <c r="F94" s="20" t="s">
        <v>579</v>
      </c>
      <c r="G94" s="8" t="str">
        <f t="shared" si="2"/>
        <v>LANGERAK WILLIAM</v>
      </c>
      <c r="H94" s="20" t="str">
        <f t="shared" si="3"/>
        <v>4027</v>
      </c>
    </row>
    <row r="95" spans="1:8" x14ac:dyDescent="0.25">
      <c r="A95" s="8">
        <v>43059.434560185182</v>
      </c>
      <c r="B95" s="20" t="s">
        <v>673</v>
      </c>
      <c r="C95" s="20" t="s">
        <v>756</v>
      </c>
      <c r="D95" s="195">
        <v>1830000</v>
      </c>
      <c r="E95" s="20" t="s">
        <v>346</v>
      </c>
      <c r="F95" s="20" t="s">
        <v>347</v>
      </c>
      <c r="G95" s="8" t="str">
        <f t="shared" si="2"/>
        <v>YORK EDGAR</v>
      </c>
      <c r="H95" s="20" t="str">
        <f t="shared" si="3"/>
        <v>4063</v>
      </c>
    </row>
    <row r="96" spans="1:8" x14ac:dyDescent="0.25">
      <c r="A96" s="8">
        <v>43059.444513888891</v>
      </c>
      <c r="B96" s="20" t="s">
        <v>360</v>
      </c>
      <c r="C96" s="20" t="s">
        <v>757</v>
      </c>
      <c r="D96" s="195">
        <v>2550000</v>
      </c>
      <c r="E96" s="20" t="s">
        <v>550</v>
      </c>
      <c r="F96" s="20" t="s">
        <v>551</v>
      </c>
      <c r="G96" s="8" t="str">
        <f t="shared" si="2"/>
        <v>BADERTSCHER DIANE</v>
      </c>
      <c r="H96" s="20" t="str">
        <f t="shared" si="3"/>
        <v>4018</v>
      </c>
    </row>
    <row r="97" spans="1:8" x14ac:dyDescent="0.25">
      <c r="A97" s="8">
        <v>43059.451412037037</v>
      </c>
      <c r="B97" s="20" t="s">
        <v>391</v>
      </c>
      <c r="C97" s="20" t="s">
        <v>758</v>
      </c>
      <c r="D97" s="195">
        <v>2010000</v>
      </c>
      <c r="E97" s="20" t="s">
        <v>545</v>
      </c>
      <c r="F97" s="20" t="s">
        <v>546</v>
      </c>
      <c r="G97" s="8" t="str">
        <f t="shared" si="2"/>
        <v>MAELZER KURT</v>
      </c>
      <c r="H97" s="20" t="str">
        <f t="shared" si="3"/>
        <v>4059</v>
      </c>
    </row>
    <row r="98" spans="1:8" x14ac:dyDescent="0.25">
      <c r="A98" s="8">
        <v>43059.45144675926</v>
      </c>
      <c r="B98" s="20" t="s">
        <v>371</v>
      </c>
      <c r="C98" s="20" t="s">
        <v>658</v>
      </c>
      <c r="D98" s="195">
        <v>3030000</v>
      </c>
      <c r="E98" s="20" t="s">
        <v>584</v>
      </c>
      <c r="F98" s="20" t="s">
        <v>583</v>
      </c>
      <c r="G98" s="8" t="str">
        <f t="shared" si="2"/>
        <v>BIRENBAUM THOMAS</v>
      </c>
      <c r="H98" s="20" t="str">
        <f t="shared" si="3"/>
        <v>4011</v>
      </c>
    </row>
    <row r="99" spans="1:8" x14ac:dyDescent="0.25">
      <c r="A99" s="8">
        <v>43059.455671296295</v>
      </c>
      <c r="B99" s="20" t="s">
        <v>490</v>
      </c>
      <c r="C99" s="20" t="s">
        <v>759</v>
      </c>
      <c r="D99" s="195">
        <v>1230000</v>
      </c>
      <c r="E99" s="20" t="s">
        <v>706</v>
      </c>
      <c r="F99" s="20" t="s">
        <v>707</v>
      </c>
      <c r="G99" s="8" t="str">
        <f t="shared" si="2"/>
        <v>YANAI IAN</v>
      </c>
      <c r="H99" s="20" t="str">
        <f t="shared" si="3"/>
        <v>4014</v>
      </c>
    </row>
    <row r="100" spans="1:8" x14ac:dyDescent="0.25">
      <c r="A100" s="8">
        <v>43059.456111111111</v>
      </c>
      <c r="B100" s="20" t="s">
        <v>709</v>
      </c>
      <c r="C100" s="20" t="s">
        <v>760</v>
      </c>
      <c r="D100" s="195">
        <v>3090000</v>
      </c>
      <c r="E100" s="20" t="s">
        <v>580</v>
      </c>
      <c r="F100" s="20" t="s">
        <v>581</v>
      </c>
      <c r="G100" s="8" t="str">
        <f t="shared" si="2"/>
        <v>LAMAR NEKESHA</v>
      </c>
      <c r="H100" s="20" t="str">
        <f t="shared" si="3"/>
        <v>4002</v>
      </c>
    </row>
    <row r="101" spans="1:8" x14ac:dyDescent="0.25">
      <c r="A101" s="8">
        <v>43059.464560185188</v>
      </c>
      <c r="B101" s="20" t="s">
        <v>692</v>
      </c>
      <c r="C101" s="20" t="s">
        <v>761</v>
      </c>
      <c r="D101" s="195">
        <v>2600000</v>
      </c>
      <c r="E101" s="20" t="s">
        <v>694</v>
      </c>
      <c r="F101" s="20" t="s">
        <v>485</v>
      </c>
      <c r="G101" s="8" t="str">
        <f t="shared" si="2"/>
        <v>DAVIDSON DAVID</v>
      </c>
      <c r="H101" s="20" t="str">
        <f t="shared" si="3"/>
        <v>4005</v>
      </c>
    </row>
    <row r="102" spans="1:8" x14ac:dyDescent="0.25">
      <c r="A102" s="8">
        <v>43059.465520833335</v>
      </c>
      <c r="B102" s="20" t="s">
        <v>659</v>
      </c>
      <c r="C102" s="20" t="s">
        <v>660</v>
      </c>
      <c r="D102" s="195">
        <v>920000</v>
      </c>
      <c r="E102" s="20" t="s">
        <v>587</v>
      </c>
      <c r="F102" s="20" t="s">
        <v>352</v>
      </c>
      <c r="G102" s="8" t="str">
        <f t="shared" si="2"/>
        <v>DAVIS MICHAEL</v>
      </c>
      <c r="H102" s="20" t="str">
        <f t="shared" si="3"/>
        <v>4064</v>
      </c>
    </row>
    <row r="103" spans="1:8" x14ac:dyDescent="0.25">
      <c r="A103" s="8">
        <v>43059.467256944445</v>
      </c>
      <c r="B103" s="20" t="s">
        <v>647</v>
      </c>
      <c r="C103" s="20" t="s">
        <v>762</v>
      </c>
      <c r="D103" s="195">
        <v>2560000</v>
      </c>
      <c r="E103" s="20" t="s">
        <v>582</v>
      </c>
      <c r="F103" s="20" t="s">
        <v>583</v>
      </c>
      <c r="G103" s="8" t="str">
        <f t="shared" si="2"/>
        <v>MACDONALD THOMAS</v>
      </c>
      <c r="H103" s="20" t="str">
        <f t="shared" si="3"/>
        <v>4025</v>
      </c>
    </row>
    <row r="104" spans="1:8" x14ac:dyDescent="0.25">
      <c r="A104" s="8">
        <v>43059.474953703706</v>
      </c>
      <c r="B104" s="20" t="s">
        <v>661</v>
      </c>
      <c r="C104" s="20" t="s">
        <v>662</v>
      </c>
      <c r="D104" s="195">
        <v>1230000</v>
      </c>
      <c r="E104" s="20" t="s">
        <v>706</v>
      </c>
      <c r="F104" s="20" t="s">
        <v>707</v>
      </c>
      <c r="G104" s="8" t="str">
        <f t="shared" si="2"/>
        <v>YANAI IAN</v>
      </c>
      <c r="H104" s="20" t="str">
        <f t="shared" si="3"/>
        <v>4013</v>
      </c>
    </row>
    <row r="105" spans="1:8" x14ac:dyDescent="0.25">
      <c r="A105" s="8">
        <v>43059.475069444445</v>
      </c>
      <c r="B105" s="20" t="s">
        <v>392</v>
      </c>
      <c r="C105" s="20" t="s">
        <v>763</v>
      </c>
      <c r="D105" s="195">
        <v>880000</v>
      </c>
      <c r="E105" s="20" t="s">
        <v>380</v>
      </c>
      <c r="F105" s="20" t="s">
        <v>352</v>
      </c>
      <c r="G105" s="8" t="str">
        <f t="shared" si="2"/>
        <v>STEWART MICHAEL</v>
      </c>
      <c r="H105" s="20" t="str">
        <f t="shared" si="3"/>
        <v>4028</v>
      </c>
    </row>
    <row r="106" spans="1:8" x14ac:dyDescent="0.25">
      <c r="A106" s="8">
        <v>43059.476145833331</v>
      </c>
      <c r="B106" s="20" t="s">
        <v>370</v>
      </c>
      <c r="C106" s="20" t="s">
        <v>764</v>
      </c>
      <c r="D106" s="195">
        <v>1830000</v>
      </c>
      <c r="E106" s="20" t="s">
        <v>346</v>
      </c>
      <c r="F106" s="20" t="s">
        <v>347</v>
      </c>
      <c r="G106" s="8" t="str">
        <f t="shared" si="2"/>
        <v>YORK EDGAR</v>
      </c>
      <c r="H106" s="20" t="str">
        <f t="shared" si="3"/>
        <v>4012</v>
      </c>
    </row>
    <row r="107" spans="1:8" x14ac:dyDescent="0.25">
      <c r="A107" s="8">
        <v>43059.478530092594</v>
      </c>
      <c r="B107" s="20" t="s">
        <v>362</v>
      </c>
      <c r="C107" s="20" t="s">
        <v>663</v>
      </c>
      <c r="D107" s="195">
        <v>2550000</v>
      </c>
      <c r="E107" s="20" t="s">
        <v>550</v>
      </c>
      <c r="F107" s="20" t="s">
        <v>551</v>
      </c>
      <c r="G107" s="8" t="str">
        <f t="shared" si="2"/>
        <v>BADERTSCHER DIANE</v>
      </c>
      <c r="H107" s="20" t="str">
        <f t="shared" si="3"/>
        <v>4017</v>
      </c>
    </row>
    <row r="108" spans="1:8" x14ac:dyDescent="0.25">
      <c r="A108" s="8">
        <v>43059.486250000002</v>
      </c>
      <c r="B108" s="20" t="s">
        <v>659</v>
      </c>
      <c r="C108" s="20" t="s">
        <v>660</v>
      </c>
      <c r="D108" s="195">
        <v>920000</v>
      </c>
      <c r="E108" s="20" t="s">
        <v>587</v>
      </c>
      <c r="F108" s="20" t="s">
        <v>352</v>
      </c>
      <c r="G108" s="8" t="str">
        <f t="shared" si="2"/>
        <v>DAVIS MICHAEL</v>
      </c>
      <c r="H108" s="20" t="str">
        <f t="shared" si="3"/>
        <v>4064</v>
      </c>
    </row>
    <row r="109" spans="1:8" x14ac:dyDescent="0.25">
      <c r="A109" s="8">
        <v>43059.488969907405</v>
      </c>
      <c r="B109" s="20" t="s">
        <v>357</v>
      </c>
      <c r="C109" s="20" t="s">
        <v>765</v>
      </c>
      <c r="D109" s="195">
        <v>3700000</v>
      </c>
      <c r="E109" s="20" t="s">
        <v>449</v>
      </c>
      <c r="F109" s="20" t="s">
        <v>369</v>
      </c>
      <c r="G109" s="8" t="str">
        <f t="shared" si="2"/>
        <v>AUSTIN THOMPSON</v>
      </c>
      <c r="H109" s="20" t="str">
        <f t="shared" si="3"/>
        <v>4060</v>
      </c>
    </row>
    <row r="110" spans="1:8" x14ac:dyDescent="0.25">
      <c r="A110" s="8">
        <v>43059.494849537034</v>
      </c>
      <c r="B110" s="20" t="s">
        <v>702</v>
      </c>
      <c r="C110" s="20" t="s">
        <v>766</v>
      </c>
      <c r="D110" s="195">
        <v>3090000</v>
      </c>
      <c r="E110" s="20" t="s">
        <v>580</v>
      </c>
      <c r="F110" s="20" t="s">
        <v>581</v>
      </c>
      <c r="G110" s="8" t="str">
        <f t="shared" si="2"/>
        <v>LAMAR NEKESHA</v>
      </c>
      <c r="H110" s="20" t="str">
        <f t="shared" si="3"/>
        <v>4001</v>
      </c>
    </row>
    <row r="111" spans="1:8" x14ac:dyDescent="0.25">
      <c r="A111" s="8">
        <v>43059.495856481481</v>
      </c>
      <c r="B111" s="20" t="s">
        <v>666</v>
      </c>
      <c r="C111" s="20" t="s">
        <v>767</v>
      </c>
      <c r="D111" s="195">
        <v>2970000</v>
      </c>
      <c r="E111" s="20" t="s">
        <v>374</v>
      </c>
      <c r="F111" s="20" t="s">
        <v>375</v>
      </c>
      <c r="G111" s="8" t="str">
        <f t="shared" si="2"/>
        <v>GUZMAN DANNY</v>
      </c>
      <c r="H111" s="20" t="str">
        <f t="shared" si="3"/>
        <v>4026</v>
      </c>
    </row>
    <row r="112" spans="1:8" x14ac:dyDescent="0.25">
      <c r="A112" s="8">
        <v>43059.498124999998</v>
      </c>
      <c r="B112" s="20" t="s">
        <v>490</v>
      </c>
      <c r="C112" s="20" t="s">
        <v>768</v>
      </c>
      <c r="D112" s="195">
        <v>1230000</v>
      </c>
      <c r="E112" s="20" t="s">
        <v>706</v>
      </c>
      <c r="F112" s="20" t="s">
        <v>707</v>
      </c>
      <c r="G112" s="8" t="str">
        <f t="shared" si="2"/>
        <v>YANAI IAN</v>
      </c>
      <c r="H112" s="20" t="str">
        <f t="shared" si="3"/>
        <v>4014</v>
      </c>
    </row>
    <row r="113" spans="1:8" x14ac:dyDescent="0.25">
      <c r="A113" s="8">
        <v>43059.507245370369</v>
      </c>
      <c r="B113" s="20" t="s">
        <v>673</v>
      </c>
      <c r="C113" s="20" t="s">
        <v>769</v>
      </c>
      <c r="D113" s="195">
        <v>920000</v>
      </c>
      <c r="E113" s="20" t="s">
        <v>587</v>
      </c>
      <c r="F113" s="20" t="s">
        <v>352</v>
      </c>
      <c r="G113" s="8" t="str">
        <f t="shared" si="2"/>
        <v>DAVIS MICHAEL</v>
      </c>
      <c r="H113" s="20" t="str">
        <f t="shared" si="3"/>
        <v>4063</v>
      </c>
    </row>
    <row r="114" spans="1:8" x14ac:dyDescent="0.25">
      <c r="A114" s="8">
        <v>43059.507743055554</v>
      </c>
      <c r="B114" s="20" t="s">
        <v>652</v>
      </c>
      <c r="C114" s="20" t="s">
        <v>770</v>
      </c>
      <c r="D114" s="195">
        <v>2630000</v>
      </c>
      <c r="E114" s="20" t="s">
        <v>372</v>
      </c>
      <c r="F114" s="20" t="s">
        <v>373</v>
      </c>
      <c r="G114" s="8" t="str">
        <f t="shared" si="2"/>
        <v>SAFIEF AEIMEN</v>
      </c>
      <c r="H114" s="20" t="str">
        <f t="shared" si="3"/>
        <v>4006</v>
      </c>
    </row>
    <row r="115" spans="1:8" x14ac:dyDescent="0.25">
      <c r="A115" s="8">
        <v>43059.516516203701</v>
      </c>
      <c r="B115" s="20" t="s">
        <v>661</v>
      </c>
      <c r="C115" s="20" t="s">
        <v>771</v>
      </c>
      <c r="D115" s="195">
        <v>1230000</v>
      </c>
      <c r="E115" s="20" t="s">
        <v>706</v>
      </c>
      <c r="F115" s="20" t="s">
        <v>707</v>
      </c>
      <c r="G115" s="8" t="str">
        <f t="shared" si="2"/>
        <v>YANAI IAN</v>
      </c>
      <c r="H115" s="20" t="str">
        <f t="shared" si="3"/>
        <v>4013</v>
      </c>
    </row>
    <row r="116" spans="1:8" x14ac:dyDescent="0.25">
      <c r="A116" s="8">
        <v>43059.517777777779</v>
      </c>
      <c r="B116" s="20" t="s">
        <v>574</v>
      </c>
      <c r="C116" s="20" t="s">
        <v>772</v>
      </c>
      <c r="D116" s="195">
        <v>880000</v>
      </c>
      <c r="E116" s="20" t="s">
        <v>380</v>
      </c>
      <c r="F116" s="20" t="s">
        <v>352</v>
      </c>
      <c r="G116" s="8" t="str">
        <f t="shared" si="2"/>
        <v>STEWART MICHAEL</v>
      </c>
      <c r="H116" s="20" t="str">
        <f t="shared" si="3"/>
        <v>4027</v>
      </c>
    </row>
    <row r="117" spans="1:8" x14ac:dyDescent="0.25">
      <c r="A117" s="8">
        <v>43059.519733796296</v>
      </c>
      <c r="B117" s="20" t="s">
        <v>360</v>
      </c>
      <c r="C117" s="20" t="s">
        <v>773</v>
      </c>
      <c r="D117" s="195">
        <v>2550000</v>
      </c>
      <c r="E117" s="20" t="s">
        <v>550</v>
      </c>
      <c r="F117" s="20" t="s">
        <v>551</v>
      </c>
      <c r="G117" s="8" t="str">
        <f t="shared" si="2"/>
        <v>BADERTSCHER DIANE</v>
      </c>
      <c r="H117" s="20" t="str">
        <f t="shared" si="3"/>
        <v>4018</v>
      </c>
    </row>
    <row r="118" spans="1:8" x14ac:dyDescent="0.25">
      <c r="A118" s="8">
        <v>43059.52175925926</v>
      </c>
      <c r="B118" s="20" t="s">
        <v>391</v>
      </c>
      <c r="C118" s="20" t="s">
        <v>774</v>
      </c>
      <c r="D118" s="195">
        <v>3700000</v>
      </c>
      <c r="E118" s="20" t="s">
        <v>449</v>
      </c>
      <c r="F118" s="20" t="s">
        <v>369</v>
      </c>
      <c r="G118" s="8" t="str">
        <f t="shared" si="2"/>
        <v>AUSTIN THOMPSON</v>
      </c>
      <c r="H118" s="20" t="str">
        <f t="shared" si="3"/>
        <v>4059</v>
      </c>
    </row>
    <row r="119" spans="1:8" x14ac:dyDescent="0.25">
      <c r="A119" s="8">
        <v>43059.52721064815</v>
      </c>
      <c r="B119" s="20" t="s">
        <v>647</v>
      </c>
      <c r="C119" s="20" t="s">
        <v>775</v>
      </c>
      <c r="D119" s="195">
        <v>2970000</v>
      </c>
      <c r="E119" s="20" t="s">
        <v>374</v>
      </c>
      <c r="F119" s="20" t="s">
        <v>375</v>
      </c>
      <c r="G119" s="8" t="str">
        <f t="shared" si="2"/>
        <v>GUZMAN DANNY</v>
      </c>
      <c r="H119" s="20" t="str">
        <f t="shared" si="3"/>
        <v>4025</v>
      </c>
    </row>
    <row r="120" spans="1:8" x14ac:dyDescent="0.25">
      <c r="A120" s="8">
        <v>43059.529293981483</v>
      </c>
      <c r="B120" s="20" t="s">
        <v>709</v>
      </c>
      <c r="C120" s="20" t="s">
        <v>776</v>
      </c>
      <c r="D120" s="195">
        <v>3330000</v>
      </c>
      <c r="E120" s="20" t="s">
        <v>777</v>
      </c>
      <c r="F120" s="20" t="s">
        <v>778</v>
      </c>
      <c r="G120" s="8" t="str">
        <f t="shared" si="2"/>
        <v>GONZALEZ ARMANDO</v>
      </c>
      <c r="H120" s="20" t="str">
        <f t="shared" si="3"/>
        <v>4002</v>
      </c>
    </row>
    <row r="121" spans="1:8" x14ac:dyDescent="0.25">
      <c r="A121" s="8">
        <v>43059.539201388892</v>
      </c>
      <c r="B121" s="20" t="s">
        <v>692</v>
      </c>
      <c r="C121" s="20" t="s">
        <v>779</v>
      </c>
      <c r="D121" s="195">
        <v>2630000</v>
      </c>
      <c r="E121" s="20" t="s">
        <v>372</v>
      </c>
      <c r="F121" s="20" t="s">
        <v>373</v>
      </c>
      <c r="G121" s="8" t="str">
        <f t="shared" si="2"/>
        <v>SAFIEF AEIMEN</v>
      </c>
      <c r="H121" s="20" t="str">
        <f t="shared" si="3"/>
        <v>4005</v>
      </c>
    </row>
    <row r="122" spans="1:8" x14ac:dyDescent="0.25">
      <c r="A122" s="8">
        <v>43059.540046296293</v>
      </c>
      <c r="B122" s="25" t="s">
        <v>659</v>
      </c>
      <c r="C122" s="20" t="s">
        <v>780</v>
      </c>
      <c r="D122" s="195">
        <v>920000</v>
      </c>
      <c r="E122" s="20" t="s">
        <v>587</v>
      </c>
      <c r="F122" s="20" t="s">
        <v>352</v>
      </c>
      <c r="G122" s="8" t="str">
        <f t="shared" si="2"/>
        <v>DAVIS MICHAEL</v>
      </c>
      <c r="H122" s="20" t="str">
        <f t="shared" si="3"/>
        <v>4064</v>
      </c>
    </row>
    <row r="123" spans="1:8" x14ac:dyDescent="0.25">
      <c r="A123" s="8">
        <v>43059.542604166665</v>
      </c>
      <c r="B123" s="20" t="s">
        <v>490</v>
      </c>
      <c r="C123" s="20" t="s">
        <v>781</v>
      </c>
      <c r="D123" s="195">
        <v>1300000</v>
      </c>
      <c r="E123" s="20" t="s">
        <v>358</v>
      </c>
      <c r="F123" s="20" t="s">
        <v>359</v>
      </c>
      <c r="G123" s="8" t="str">
        <f t="shared" si="2"/>
        <v>LEVIN SCOTT</v>
      </c>
      <c r="H123" s="20" t="str">
        <f t="shared" si="3"/>
        <v>4014</v>
      </c>
    </row>
    <row r="124" spans="1:8" x14ac:dyDescent="0.25">
      <c r="A124" s="8">
        <v>43059.548611111109</v>
      </c>
      <c r="B124" s="20" t="s">
        <v>392</v>
      </c>
      <c r="C124" s="20" t="s">
        <v>782</v>
      </c>
      <c r="D124" s="195">
        <v>880000</v>
      </c>
      <c r="E124" s="20" t="s">
        <v>380</v>
      </c>
      <c r="F124" s="20" t="s">
        <v>352</v>
      </c>
      <c r="G124" s="8" t="str">
        <f t="shared" si="2"/>
        <v>STEWART MICHAEL</v>
      </c>
      <c r="H124" s="20" t="str">
        <f t="shared" si="3"/>
        <v>4028</v>
      </c>
    </row>
    <row r="125" spans="1:8" x14ac:dyDescent="0.25">
      <c r="A125" s="8">
        <v>43059.555196759262</v>
      </c>
      <c r="B125" s="20" t="s">
        <v>362</v>
      </c>
      <c r="C125" s="20" t="s">
        <v>665</v>
      </c>
      <c r="D125" s="195">
        <v>2550000</v>
      </c>
      <c r="E125" s="20" t="s">
        <v>550</v>
      </c>
      <c r="F125" s="20" t="s">
        <v>551</v>
      </c>
      <c r="G125" s="8" t="str">
        <f t="shared" si="2"/>
        <v>BADERTSCHER DIANE</v>
      </c>
      <c r="H125" s="20" t="str">
        <f t="shared" si="3"/>
        <v>4017</v>
      </c>
    </row>
    <row r="126" spans="1:8" x14ac:dyDescent="0.25">
      <c r="A126" s="8">
        <v>43059.558310185188</v>
      </c>
      <c r="B126" s="20" t="s">
        <v>357</v>
      </c>
      <c r="C126" s="20" t="s">
        <v>783</v>
      </c>
      <c r="D126" s="195">
        <v>3700000</v>
      </c>
      <c r="E126" s="20" t="s">
        <v>449</v>
      </c>
      <c r="F126" s="20" t="s">
        <v>369</v>
      </c>
      <c r="G126" s="8" t="str">
        <f t="shared" si="2"/>
        <v>AUSTIN THOMPSON</v>
      </c>
      <c r="H126" s="20" t="str">
        <f t="shared" si="3"/>
        <v>4060</v>
      </c>
    </row>
    <row r="127" spans="1:8" x14ac:dyDescent="0.25">
      <c r="A127" s="8">
        <v>43059.559641203705</v>
      </c>
      <c r="B127" s="20" t="s">
        <v>661</v>
      </c>
      <c r="C127" s="20" t="s">
        <v>664</v>
      </c>
      <c r="D127" s="195">
        <v>1300000</v>
      </c>
      <c r="E127" s="20" t="s">
        <v>358</v>
      </c>
      <c r="F127" s="20" t="s">
        <v>359</v>
      </c>
      <c r="G127" s="8" t="str">
        <f t="shared" si="2"/>
        <v>LEVIN SCOTT</v>
      </c>
      <c r="H127" s="20" t="str">
        <f t="shared" si="3"/>
        <v>4013</v>
      </c>
    </row>
    <row r="128" spans="1:8" x14ac:dyDescent="0.25">
      <c r="A128" s="8">
        <v>43059.566562499997</v>
      </c>
      <c r="B128" s="20" t="s">
        <v>702</v>
      </c>
      <c r="C128" s="20" t="s">
        <v>784</v>
      </c>
      <c r="D128" s="195">
        <v>3330000</v>
      </c>
      <c r="E128" s="20" t="s">
        <v>777</v>
      </c>
      <c r="F128" s="20" t="s">
        <v>778</v>
      </c>
      <c r="G128" s="8" t="str">
        <f t="shared" si="2"/>
        <v>GONZALEZ ARMANDO</v>
      </c>
      <c r="H128" s="20" t="str">
        <f t="shared" si="3"/>
        <v>4001</v>
      </c>
    </row>
    <row r="129" spans="1:8" x14ac:dyDescent="0.25">
      <c r="A129" s="8">
        <v>43059.568495370368</v>
      </c>
      <c r="B129" s="20" t="s">
        <v>666</v>
      </c>
      <c r="C129" s="20" t="s">
        <v>785</v>
      </c>
      <c r="D129" s="195">
        <v>3670000</v>
      </c>
      <c r="E129" s="20" t="s">
        <v>383</v>
      </c>
      <c r="F129" s="20" t="s">
        <v>368</v>
      </c>
      <c r="G129" s="8" t="str">
        <f t="shared" si="2"/>
        <v>ANDREA WILLIAMS</v>
      </c>
      <c r="H129" s="20" t="str">
        <f t="shared" si="3"/>
        <v>4026</v>
      </c>
    </row>
    <row r="130" spans="1:8" x14ac:dyDescent="0.25">
      <c r="A130" s="8">
        <v>43059.579918981479</v>
      </c>
      <c r="B130" s="20" t="s">
        <v>673</v>
      </c>
      <c r="C130" s="20" t="s">
        <v>786</v>
      </c>
      <c r="D130" s="195">
        <v>920000</v>
      </c>
      <c r="E130" s="20" t="s">
        <v>587</v>
      </c>
      <c r="F130" s="20" t="s">
        <v>352</v>
      </c>
      <c r="G130" s="8" t="str">
        <f t="shared" si="2"/>
        <v>DAVIS MICHAEL</v>
      </c>
      <c r="H130" s="20" t="str">
        <f t="shared" si="3"/>
        <v>4063</v>
      </c>
    </row>
    <row r="131" spans="1:8" x14ac:dyDescent="0.25">
      <c r="A131" s="8">
        <v>43059.580740740741</v>
      </c>
      <c r="B131" s="20" t="s">
        <v>652</v>
      </c>
      <c r="C131" s="20" t="s">
        <v>787</v>
      </c>
      <c r="D131" s="195">
        <v>2630000</v>
      </c>
      <c r="E131" s="20" t="s">
        <v>372</v>
      </c>
      <c r="F131" s="20" t="s">
        <v>373</v>
      </c>
      <c r="G131" s="8" t="str">
        <f t="shared" ref="G131:G194" si="4">E131&amp;" "&amp;F131</f>
        <v>SAFIEF AEIMEN</v>
      </c>
      <c r="H131" s="20" t="str">
        <f t="shared" ref="H131:H194" si="5">MID(B131,13,4)</f>
        <v>4006</v>
      </c>
    </row>
    <row r="132" spans="1:8" x14ac:dyDescent="0.25">
      <c r="A132" s="8">
        <v>43059.584305555552</v>
      </c>
      <c r="B132" s="20" t="s">
        <v>490</v>
      </c>
      <c r="C132" s="20" t="s">
        <v>788</v>
      </c>
      <c r="D132" s="195">
        <v>1300000</v>
      </c>
      <c r="E132" s="20" t="s">
        <v>358</v>
      </c>
      <c r="F132" s="20" t="s">
        <v>359</v>
      </c>
      <c r="G132" s="8" t="str">
        <f t="shared" si="4"/>
        <v>LEVIN SCOTT</v>
      </c>
      <c r="H132" s="20" t="str">
        <f t="shared" si="5"/>
        <v>4014</v>
      </c>
    </row>
    <row r="133" spans="1:8" x14ac:dyDescent="0.25">
      <c r="A133" s="8">
        <v>43059.589525462965</v>
      </c>
      <c r="B133" s="20" t="s">
        <v>574</v>
      </c>
      <c r="C133" s="20" t="s">
        <v>789</v>
      </c>
      <c r="D133" s="195">
        <v>880000</v>
      </c>
      <c r="E133" s="20" t="s">
        <v>380</v>
      </c>
      <c r="F133" s="20" t="s">
        <v>352</v>
      </c>
      <c r="G133" s="8" t="str">
        <f t="shared" si="4"/>
        <v>STEWART MICHAEL</v>
      </c>
      <c r="H133" s="20" t="str">
        <f t="shared" si="5"/>
        <v>4027</v>
      </c>
    </row>
    <row r="134" spans="1:8" x14ac:dyDescent="0.25">
      <c r="A134" s="8">
        <v>43059.590173611112</v>
      </c>
      <c r="B134" s="20" t="s">
        <v>360</v>
      </c>
      <c r="C134" s="20" t="s">
        <v>790</v>
      </c>
      <c r="D134" s="195">
        <v>2550000</v>
      </c>
      <c r="E134" s="20" t="s">
        <v>550</v>
      </c>
      <c r="F134" s="20" t="s">
        <v>551</v>
      </c>
      <c r="G134" s="8" t="str">
        <f t="shared" si="4"/>
        <v>BADERTSCHER DIANE</v>
      </c>
      <c r="H134" s="20" t="str">
        <f t="shared" si="5"/>
        <v>4018</v>
      </c>
    </row>
    <row r="135" spans="1:8" x14ac:dyDescent="0.25">
      <c r="A135" s="8">
        <v>43059.598611111112</v>
      </c>
      <c r="B135" s="20" t="s">
        <v>709</v>
      </c>
      <c r="C135" s="20" t="s">
        <v>791</v>
      </c>
      <c r="D135" s="195">
        <v>3330000</v>
      </c>
      <c r="E135" s="20" t="s">
        <v>777</v>
      </c>
      <c r="F135" s="20" t="s">
        <v>778</v>
      </c>
      <c r="G135" s="8" t="str">
        <f t="shared" si="4"/>
        <v>GONZALEZ ARMANDO</v>
      </c>
      <c r="H135" s="20" t="str">
        <f t="shared" si="5"/>
        <v>4002</v>
      </c>
    </row>
    <row r="136" spans="1:8" x14ac:dyDescent="0.25">
      <c r="A136" s="8">
        <v>43059.599456018521</v>
      </c>
      <c r="B136" s="20" t="s">
        <v>391</v>
      </c>
      <c r="C136" s="20" t="s">
        <v>792</v>
      </c>
      <c r="D136" s="195">
        <v>3700000</v>
      </c>
      <c r="E136" s="20" t="s">
        <v>449</v>
      </c>
      <c r="F136" s="20" t="s">
        <v>369</v>
      </c>
      <c r="G136" s="8" t="str">
        <f t="shared" si="4"/>
        <v>AUSTIN THOMPSON</v>
      </c>
      <c r="H136" s="20" t="str">
        <f t="shared" si="5"/>
        <v>4059</v>
      </c>
    </row>
    <row r="137" spans="1:8" x14ac:dyDescent="0.25">
      <c r="A137" s="8">
        <v>43059.600081018521</v>
      </c>
      <c r="B137" s="20" t="s">
        <v>647</v>
      </c>
      <c r="C137" s="20" t="s">
        <v>793</v>
      </c>
      <c r="D137" s="195">
        <v>3670000</v>
      </c>
      <c r="E137" s="20" t="s">
        <v>383</v>
      </c>
      <c r="F137" s="20" t="s">
        <v>368</v>
      </c>
      <c r="G137" s="8" t="str">
        <f t="shared" si="4"/>
        <v>ANDREA WILLIAMS</v>
      </c>
      <c r="H137" s="20" t="str">
        <f t="shared" si="5"/>
        <v>4025</v>
      </c>
    </row>
    <row r="138" spans="1:8" x14ac:dyDescent="0.25">
      <c r="A138" s="8">
        <v>43059.600555555553</v>
      </c>
      <c r="B138" s="20" t="s">
        <v>661</v>
      </c>
      <c r="C138" s="20" t="s">
        <v>794</v>
      </c>
      <c r="D138" s="195">
        <v>1300000</v>
      </c>
      <c r="E138" s="20" t="s">
        <v>358</v>
      </c>
      <c r="F138" s="20" t="s">
        <v>359</v>
      </c>
      <c r="G138" s="8" t="str">
        <f t="shared" si="4"/>
        <v>LEVIN SCOTT</v>
      </c>
      <c r="H138" s="20" t="str">
        <f t="shared" si="5"/>
        <v>4013</v>
      </c>
    </row>
    <row r="139" spans="1:8" x14ac:dyDescent="0.25">
      <c r="A139" s="8">
        <v>43059.611944444441</v>
      </c>
      <c r="B139" s="20" t="s">
        <v>659</v>
      </c>
      <c r="C139" s="20" t="s">
        <v>795</v>
      </c>
      <c r="D139" s="195">
        <v>2030000</v>
      </c>
      <c r="E139" s="20" t="s">
        <v>515</v>
      </c>
      <c r="F139" s="20" t="s">
        <v>485</v>
      </c>
      <c r="G139" s="8" t="str">
        <f t="shared" si="4"/>
        <v>KILLION DAVID</v>
      </c>
      <c r="H139" s="20" t="str">
        <f t="shared" si="5"/>
        <v>4064</v>
      </c>
    </row>
    <row r="140" spans="1:8" x14ac:dyDescent="0.25">
      <c r="A140" s="8">
        <v>43059.620555555557</v>
      </c>
      <c r="B140" s="20" t="s">
        <v>692</v>
      </c>
      <c r="C140" s="20" t="s">
        <v>796</v>
      </c>
      <c r="D140" s="195">
        <v>2630000</v>
      </c>
      <c r="E140" s="20" t="s">
        <v>372</v>
      </c>
      <c r="F140" s="20" t="s">
        <v>373</v>
      </c>
      <c r="G140" s="8" t="str">
        <f t="shared" si="4"/>
        <v>SAFIEF AEIMEN</v>
      </c>
      <c r="H140" s="20" t="str">
        <f t="shared" si="5"/>
        <v>4005</v>
      </c>
    </row>
    <row r="141" spans="1:8" x14ac:dyDescent="0.25">
      <c r="A141" s="8">
        <v>43059.622835648152</v>
      </c>
      <c r="B141" s="20" t="s">
        <v>392</v>
      </c>
      <c r="C141" s="20" t="s">
        <v>797</v>
      </c>
      <c r="D141" s="195">
        <v>880000</v>
      </c>
      <c r="E141" s="20" t="s">
        <v>380</v>
      </c>
      <c r="F141" s="20" t="s">
        <v>352</v>
      </c>
      <c r="G141" s="8" t="str">
        <f t="shared" si="4"/>
        <v>STEWART MICHAEL</v>
      </c>
      <c r="H141" s="20" t="str">
        <f t="shared" si="5"/>
        <v>4028</v>
      </c>
    </row>
    <row r="142" spans="1:8" x14ac:dyDescent="0.25">
      <c r="A142" s="8">
        <v>43059.624872685185</v>
      </c>
      <c r="B142" s="20" t="s">
        <v>490</v>
      </c>
      <c r="C142" s="20" t="s">
        <v>798</v>
      </c>
      <c r="D142" s="195">
        <v>1300000</v>
      </c>
      <c r="E142" s="20" t="s">
        <v>358</v>
      </c>
      <c r="F142" s="20" t="s">
        <v>359</v>
      </c>
      <c r="G142" s="8" t="str">
        <f t="shared" si="4"/>
        <v>LEVIN SCOTT</v>
      </c>
      <c r="H142" s="20" t="str">
        <f t="shared" si="5"/>
        <v>4014</v>
      </c>
    </row>
    <row r="143" spans="1:8" x14ac:dyDescent="0.25">
      <c r="A143" s="8">
        <v>43059.630023148151</v>
      </c>
      <c r="B143" s="20" t="s">
        <v>362</v>
      </c>
      <c r="C143" s="20" t="s">
        <v>799</v>
      </c>
      <c r="D143" s="195">
        <v>2550000</v>
      </c>
      <c r="E143" s="20" t="s">
        <v>550</v>
      </c>
      <c r="F143" s="20" t="s">
        <v>551</v>
      </c>
      <c r="G143" s="8" t="str">
        <f t="shared" si="4"/>
        <v>BADERTSCHER DIANE</v>
      </c>
      <c r="H143" s="20" t="str">
        <f t="shared" si="5"/>
        <v>4017</v>
      </c>
    </row>
    <row r="144" spans="1:8" x14ac:dyDescent="0.25">
      <c r="A144" s="8">
        <v>43059.631423611114</v>
      </c>
      <c r="B144" s="20" t="s">
        <v>357</v>
      </c>
      <c r="C144" s="20" t="s">
        <v>800</v>
      </c>
      <c r="D144" s="195">
        <v>3700000</v>
      </c>
      <c r="E144" s="20" t="s">
        <v>449</v>
      </c>
      <c r="F144" s="20" t="s">
        <v>369</v>
      </c>
      <c r="G144" s="8" t="str">
        <f t="shared" si="4"/>
        <v>AUSTIN THOMPSON</v>
      </c>
      <c r="H144" s="20" t="str">
        <f t="shared" si="5"/>
        <v>4060</v>
      </c>
    </row>
    <row r="145" spans="1:8" x14ac:dyDescent="0.25">
      <c r="A145" s="8">
        <v>43059.638969907406</v>
      </c>
      <c r="B145" s="20" t="s">
        <v>386</v>
      </c>
      <c r="C145" s="20" t="s">
        <v>801</v>
      </c>
      <c r="D145" s="195">
        <v>2000000</v>
      </c>
      <c r="E145" s="20" t="s">
        <v>395</v>
      </c>
      <c r="F145" s="20" t="s">
        <v>396</v>
      </c>
      <c r="G145" s="8" t="str">
        <f t="shared" si="4"/>
        <v>STAMBAUGH JAMES</v>
      </c>
      <c r="H145" s="20" t="str">
        <f t="shared" si="5"/>
        <v>4061</v>
      </c>
    </row>
    <row r="146" spans="1:8" x14ac:dyDescent="0.25">
      <c r="A146" s="8">
        <v>43059.639155092591</v>
      </c>
      <c r="B146" s="20" t="s">
        <v>702</v>
      </c>
      <c r="C146" s="20" t="s">
        <v>802</v>
      </c>
      <c r="D146" s="195">
        <v>3330000</v>
      </c>
      <c r="E146" s="20" t="s">
        <v>777</v>
      </c>
      <c r="F146" s="20" t="s">
        <v>778</v>
      </c>
      <c r="G146" s="8" t="str">
        <f t="shared" si="4"/>
        <v>GONZALEZ ARMANDO</v>
      </c>
      <c r="H146" s="20" t="str">
        <f t="shared" si="5"/>
        <v>4001</v>
      </c>
    </row>
    <row r="147" spans="1:8" x14ac:dyDescent="0.25">
      <c r="A147" s="8">
        <v>43059.641944444447</v>
      </c>
      <c r="B147" s="20" t="s">
        <v>666</v>
      </c>
      <c r="C147" s="20" t="s">
        <v>667</v>
      </c>
      <c r="D147" s="195">
        <v>3670000</v>
      </c>
      <c r="E147" s="20" t="s">
        <v>383</v>
      </c>
      <c r="F147" s="20" t="s">
        <v>368</v>
      </c>
      <c r="G147" s="8" t="str">
        <f t="shared" si="4"/>
        <v>ANDREA WILLIAMS</v>
      </c>
      <c r="H147" s="20" t="str">
        <f t="shared" si="5"/>
        <v>4026</v>
      </c>
    </row>
    <row r="148" spans="1:8" x14ac:dyDescent="0.25">
      <c r="A148" s="8">
        <v>43059.643125000002</v>
      </c>
      <c r="B148" s="20" t="s">
        <v>661</v>
      </c>
      <c r="C148" s="20" t="s">
        <v>803</v>
      </c>
      <c r="D148" s="195">
        <v>1300000</v>
      </c>
      <c r="E148" s="20" t="s">
        <v>358</v>
      </c>
      <c r="F148" s="20" t="s">
        <v>359</v>
      </c>
      <c r="G148" s="8" t="str">
        <f t="shared" si="4"/>
        <v>LEVIN SCOTT</v>
      </c>
      <c r="H148" s="20" t="str">
        <f t="shared" si="5"/>
        <v>4013</v>
      </c>
    </row>
    <row r="149" spans="1:8" x14ac:dyDescent="0.25">
      <c r="A149" s="8">
        <v>43059.646643518521</v>
      </c>
      <c r="B149" s="20" t="s">
        <v>673</v>
      </c>
      <c r="C149" s="20" t="s">
        <v>804</v>
      </c>
      <c r="D149" s="195">
        <v>2030000</v>
      </c>
      <c r="E149" s="20" t="s">
        <v>515</v>
      </c>
      <c r="F149" s="20" t="s">
        <v>485</v>
      </c>
      <c r="G149" s="8" t="str">
        <f t="shared" si="4"/>
        <v>KILLION DAVID</v>
      </c>
      <c r="H149" s="20" t="str">
        <f t="shared" si="5"/>
        <v>4063</v>
      </c>
    </row>
    <row r="150" spans="1:8" x14ac:dyDescent="0.25">
      <c r="A150" s="8">
        <v>43059.648252314815</v>
      </c>
      <c r="B150" s="20" t="s">
        <v>384</v>
      </c>
      <c r="C150" s="20" t="s">
        <v>805</v>
      </c>
      <c r="D150" s="195">
        <v>2000000</v>
      </c>
      <c r="E150" s="20" t="s">
        <v>395</v>
      </c>
      <c r="F150" s="20" t="s">
        <v>396</v>
      </c>
      <c r="G150" s="8" t="str">
        <f t="shared" si="4"/>
        <v>STAMBAUGH JAMES</v>
      </c>
      <c r="H150" s="20" t="str">
        <f t="shared" si="5"/>
        <v>4062</v>
      </c>
    </row>
    <row r="151" spans="1:8" x14ac:dyDescent="0.25">
      <c r="A151" s="8">
        <v>43059.653333333335</v>
      </c>
      <c r="B151" s="20" t="s">
        <v>652</v>
      </c>
      <c r="C151" s="20" t="s">
        <v>806</v>
      </c>
      <c r="D151" s="195">
        <v>2630000</v>
      </c>
      <c r="E151" s="20" t="s">
        <v>372</v>
      </c>
      <c r="F151" s="20" t="s">
        <v>373</v>
      </c>
      <c r="G151" s="8" t="str">
        <f t="shared" si="4"/>
        <v>SAFIEF AEIMEN</v>
      </c>
      <c r="H151" s="20" t="str">
        <f t="shared" si="5"/>
        <v>4006</v>
      </c>
    </row>
    <row r="152" spans="1:8" x14ac:dyDescent="0.25">
      <c r="A152" s="8">
        <v>43059.662222222221</v>
      </c>
      <c r="B152" s="20" t="s">
        <v>574</v>
      </c>
      <c r="C152" s="20" t="s">
        <v>807</v>
      </c>
      <c r="D152" s="195">
        <v>880000</v>
      </c>
      <c r="E152" s="20" t="s">
        <v>380</v>
      </c>
      <c r="F152" s="20" t="s">
        <v>352</v>
      </c>
      <c r="G152" s="8" t="str">
        <f t="shared" si="4"/>
        <v>STEWART MICHAEL</v>
      </c>
      <c r="H152" s="20" t="str">
        <f t="shared" si="5"/>
        <v>4027</v>
      </c>
    </row>
    <row r="153" spans="1:8" x14ac:dyDescent="0.25">
      <c r="A153" s="8">
        <v>43059.663738425923</v>
      </c>
      <c r="B153" s="20" t="s">
        <v>360</v>
      </c>
      <c r="C153" s="20" t="s">
        <v>808</v>
      </c>
      <c r="D153" s="195">
        <v>2550000</v>
      </c>
      <c r="E153" s="20" t="s">
        <v>550</v>
      </c>
      <c r="F153" s="20" t="s">
        <v>551</v>
      </c>
      <c r="G153" s="8" t="str">
        <f t="shared" si="4"/>
        <v>BADERTSCHER DIANE</v>
      </c>
      <c r="H153" s="20" t="str">
        <f t="shared" si="5"/>
        <v>4018</v>
      </c>
    </row>
    <row r="154" spans="1:8" x14ac:dyDescent="0.25">
      <c r="A154" s="8">
        <v>43059.664259259262</v>
      </c>
      <c r="B154" s="20" t="s">
        <v>386</v>
      </c>
      <c r="C154" s="20" t="s">
        <v>809</v>
      </c>
      <c r="D154" s="195">
        <v>2000000</v>
      </c>
      <c r="E154" s="20" t="s">
        <v>395</v>
      </c>
      <c r="F154" s="20" t="s">
        <v>396</v>
      </c>
      <c r="G154" s="8" t="str">
        <f t="shared" si="4"/>
        <v>STAMBAUGH JAMES</v>
      </c>
      <c r="H154" s="20" t="str">
        <f t="shared" si="5"/>
        <v>4061</v>
      </c>
    </row>
    <row r="155" spans="1:8" x14ac:dyDescent="0.25">
      <c r="A155" s="8">
        <v>43059.670925925922</v>
      </c>
      <c r="B155" s="20" t="s">
        <v>490</v>
      </c>
      <c r="C155" s="20" t="s">
        <v>810</v>
      </c>
      <c r="D155" s="195">
        <v>1300000</v>
      </c>
      <c r="E155" s="20" t="s">
        <v>358</v>
      </c>
      <c r="F155" s="20" t="s">
        <v>359</v>
      </c>
      <c r="G155" s="8" t="str">
        <f t="shared" si="4"/>
        <v>LEVIN SCOTT</v>
      </c>
      <c r="H155" s="20" t="str">
        <f t="shared" si="5"/>
        <v>4014</v>
      </c>
    </row>
    <row r="156" spans="1:8" x14ac:dyDescent="0.25">
      <c r="A156" s="8">
        <v>43059.671886574077</v>
      </c>
      <c r="B156" s="20" t="s">
        <v>709</v>
      </c>
      <c r="C156" s="20" t="s">
        <v>811</v>
      </c>
      <c r="D156" s="195">
        <v>3330000</v>
      </c>
      <c r="E156" s="20" t="s">
        <v>777</v>
      </c>
      <c r="F156" s="20" t="s">
        <v>778</v>
      </c>
      <c r="G156" s="8" t="str">
        <f t="shared" si="4"/>
        <v>GONZALEZ ARMANDO</v>
      </c>
      <c r="H156" s="20" t="str">
        <f t="shared" si="5"/>
        <v>4002</v>
      </c>
    </row>
    <row r="157" spans="1:8" x14ac:dyDescent="0.25">
      <c r="A157" s="8">
        <v>43059.673217592594</v>
      </c>
      <c r="B157" s="20" t="s">
        <v>456</v>
      </c>
      <c r="C157" s="20" t="s">
        <v>812</v>
      </c>
      <c r="D157" s="195">
        <v>2470000</v>
      </c>
      <c r="E157" s="20" t="s">
        <v>588</v>
      </c>
      <c r="F157" s="20" t="s">
        <v>589</v>
      </c>
      <c r="G157" s="8" t="str">
        <f t="shared" si="4"/>
        <v>ROMERO CHAD</v>
      </c>
      <c r="H157" s="20" t="str">
        <f t="shared" si="5"/>
        <v>4024</v>
      </c>
    </row>
    <row r="158" spans="1:8" x14ac:dyDescent="0.25">
      <c r="A158" s="8">
        <v>43059.673321759263</v>
      </c>
      <c r="B158" s="20" t="s">
        <v>391</v>
      </c>
      <c r="C158" s="20" t="s">
        <v>813</v>
      </c>
      <c r="D158" s="195">
        <v>3700000</v>
      </c>
      <c r="E158" s="20" t="s">
        <v>449</v>
      </c>
      <c r="F158" s="20" t="s">
        <v>369</v>
      </c>
      <c r="G158" s="8" t="str">
        <f t="shared" si="4"/>
        <v>AUSTIN THOMPSON</v>
      </c>
      <c r="H158" s="20" t="str">
        <f t="shared" si="5"/>
        <v>4059</v>
      </c>
    </row>
    <row r="159" spans="1:8" x14ac:dyDescent="0.25">
      <c r="A159" s="8">
        <v>43059.674664351849</v>
      </c>
      <c r="B159" s="20" t="s">
        <v>647</v>
      </c>
      <c r="C159" s="20" t="s">
        <v>814</v>
      </c>
      <c r="D159" s="195">
        <v>3670000</v>
      </c>
      <c r="E159" s="20" t="s">
        <v>383</v>
      </c>
      <c r="F159" s="20" t="s">
        <v>368</v>
      </c>
      <c r="G159" s="8" t="str">
        <f t="shared" si="4"/>
        <v>ANDREA WILLIAMS</v>
      </c>
      <c r="H159" s="20" t="str">
        <f t="shared" si="5"/>
        <v>4025</v>
      </c>
    </row>
    <row r="160" spans="1:8" x14ac:dyDescent="0.25">
      <c r="A160" s="8">
        <v>43059.685231481482</v>
      </c>
      <c r="B160" s="20" t="s">
        <v>659</v>
      </c>
      <c r="C160" s="20" t="s">
        <v>815</v>
      </c>
      <c r="D160" s="195">
        <v>2030000</v>
      </c>
      <c r="E160" s="20" t="s">
        <v>515</v>
      </c>
      <c r="F160" s="20" t="s">
        <v>485</v>
      </c>
      <c r="G160" s="8" t="str">
        <f t="shared" si="4"/>
        <v>KILLION DAVID</v>
      </c>
      <c r="H160" s="20" t="str">
        <f t="shared" si="5"/>
        <v>4064</v>
      </c>
    </row>
    <row r="161" spans="1:8" x14ac:dyDescent="0.25">
      <c r="A161" s="8">
        <v>43059.68546296296</v>
      </c>
      <c r="B161" s="20" t="s">
        <v>692</v>
      </c>
      <c r="C161" s="20" t="s">
        <v>816</v>
      </c>
      <c r="D161" s="195">
        <v>2630000</v>
      </c>
      <c r="E161" s="20" t="s">
        <v>372</v>
      </c>
      <c r="F161" s="20" t="s">
        <v>373</v>
      </c>
      <c r="G161" s="8" t="str">
        <f t="shared" si="4"/>
        <v>SAFIEF AEIMEN</v>
      </c>
      <c r="H161" s="20" t="str">
        <f t="shared" si="5"/>
        <v>4005</v>
      </c>
    </row>
    <row r="162" spans="1:8" x14ac:dyDescent="0.25">
      <c r="A162" s="8">
        <v>43059.687106481484</v>
      </c>
      <c r="B162" s="20" t="s">
        <v>661</v>
      </c>
      <c r="C162" s="20" t="s">
        <v>817</v>
      </c>
      <c r="D162" s="195">
        <v>1300000</v>
      </c>
      <c r="E162" s="20" t="s">
        <v>358</v>
      </c>
      <c r="F162" s="20" t="s">
        <v>359</v>
      </c>
      <c r="G162" s="8" t="str">
        <f t="shared" si="4"/>
        <v>LEVIN SCOTT</v>
      </c>
      <c r="H162" s="20" t="str">
        <f t="shared" si="5"/>
        <v>4013</v>
      </c>
    </row>
    <row r="163" spans="1:8" x14ac:dyDescent="0.25">
      <c r="A163" s="8">
        <v>43059.691354166665</v>
      </c>
      <c r="B163" s="20" t="s">
        <v>384</v>
      </c>
      <c r="C163" s="20" t="s">
        <v>818</v>
      </c>
      <c r="D163" s="195">
        <v>2000000</v>
      </c>
      <c r="E163" s="20" t="s">
        <v>395</v>
      </c>
      <c r="F163" s="20" t="s">
        <v>396</v>
      </c>
      <c r="G163" s="8" t="str">
        <f t="shared" si="4"/>
        <v>STAMBAUGH JAMES</v>
      </c>
      <c r="H163" s="20" t="str">
        <f t="shared" si="5"/>
        <v>4062</v>
      </c>
    </row>
    <row r="164" spans="1:8" x14ac:dyDescent="0.25">
      <c r="A164" s="8">
        <v>43059.694490740738</v>
      </c>
      <c r="B164" s="20" t="s">
        <v>392</v>
      </c>
      <c r="C164" s="20" t="s">
        <v>819</v>
      </c>
      <c r="D164" s="195">
        <v>880000</v>
      </c>
      <c r="E164" s="20" t="s">
        <v>380</v>
      </c>
      <c r="F164" s="20" t="s">
        <v>352</v>
      </c>
      <c r="G164" s="8" t="str">
        <f t="shared" si="4"/>
        <v>STEWART MICHAEL</v>
      </c>
      <c r="H164" s="20" t="str">
        <f t="shared" si="5"/>
        <v>4028</v>
      </c>
    </row>
    <row r="165" spans="1:8" x14ac:dyDescent="0.25">
      <c r="A165" s="8">
        <v>43059.702465277776</v>
      </c>
      <c r="B165" s="20" t="s">
        <v>362</v>
      </c>
      <c r="C165" s="20" t="s">
        <v>820</v>
      </c>
      <c r="D165" s="195">
        <v>2550000</v>
      </c>
      <c r="E165" s="20" t="s">
        <v>550</v>
      </c>
      <c r="F165" s="20" t="s">
        <v>551</v>
      </c>
      <c r="G165" s="8" t="str">
        <f t="shared" si="4"/>
        <v>BADERTSCHER DIANE</v>
      </c>
      <c r="H165" s="20" t="str">
        <f t="shared" si="5"/>
        <v>4017</v>
      </c>
    </row>
    <row r="166" spans="1:8" x14ac:dyDescent="0.25">
      <c r="A166" s="8">
        <v>43059.705648148149</v>
      </c>
      <c r="B166" s="20" t="s">
        <v>821</v>
      </c>
      <c r="C166" s="20" t="s">
        <v>822</v>
      </c>
      <c r="D166" s="195">
        <v>2270000</v>
      </c>
      <c r="E166" s="20" t="s">
        <v>585</v>
      </c>
      <c r="F166" s="20" t="s">
        <v>586</v>
      </c>
      <c r="G166" s="8" t="str">
        <f t="shared" si="4"/>
        <v>BROWN JACOB</v>
      </c>
      <c r="H166" s="20" t="str">
        <f t="shared" si="5"/>
        <v>4016</v>
      </c>
    </row>
    <row r="167" spans="1:8" x14ac:dyDescent="0.25">
      <c r="A167" s="8">
        <v>43059.705717592595</v>
      </c>
      <c r="B167" s="20" t="s">
        <v>386</v>
      </c>
      <c r="C167" s="20" t="s">
        <v>823</v>
      </c>
      <c r="D167" s="195">
        <v>2000000</v>
      </c>
      <c r="E167" s="20" t="s">
        <v>395</v>
      </c>
      <c r="F167" s="20" t="s">
        <v>396</v>
      </c>
      <c r="G167" s="8" t="str">
        <f t="shared" si="4"/>
        <v>STAMBAUGH JAMES</v>
      </c>
      <c r="H167" s="20" t="str">
        <f t="shared" si="5"/>
        <v>4061</v>
      </c>
    </row>
    <row r="168" spans="1:8" x14ac:dyDescent="0.25">
      <c r="A168" s="8">
        <v>43059.706666666665</v>
      </c>
      <c r="B168" s="20" t="s">
        <v>357</v>
      </c>
      <c r="C168" s="20" t="s">
        <v>824</v>
      </c>
      <c r="D168" s="195">
        <v>3700000</v>
      </c>
      <c r="E168" s="20" t="s">
        <v>449</v>
      </c>
      <c r="F168" s="20" t="s">
        <v>369</v>
      </c>
      <c r="G168" s="8" t="str">
        <f t="shared" si="4"/>
        <v>AUSTIN THOMPSON</v>
      </c>
      <c r="H168" s="20" t="str">
        <f t="shared" si="5"/>
        <v>4060</v>
      </c>
    </row>
    <row r="169" spans="1:8" x14ac:dyDescent="0.25">
      <c r="A169" s="8">
        <v>43059.711956018517</v>
      </c>
      <c r="B169" s="20" t="s">
        <v>490</v>
      </c>
      <c r="C169" s="20" t="s">
        <v>825</v>
      </c>
      <c r="D169" s="195">
        <v>1300000</v>
      </c>
      <c r="E169" s="20" t="s">
        <v>358</v>
      </c>
      <c r="F169" s="20" t="s">
        <v>359</v>
      </c>
      <c r="G169" s="8" t="str">
        <f t="shared" si="4"/>
        <v>LEVIN SCOTT</v>
      </c>
      <c r="H169" s="20" t="str">
        <f t="shared" si="5"/>
        <v>4014</v>
      </c>
    </row>
    <row r="170" spans="1:8" x14ac:dyDescent="0.25">
      <c r="A170" s="8">
        <v>43059.713437500002</v>
      </c>
      <c r="B170" s="20" t="s">
        <v>702</v>
      </c>
      <c r="C170" s="20" t="s">
        <v>826</v>
      </c>
      <c r="D170" s="195">
        <v>3330000</v>
      </c>
      <c r="E170" s="20" t="s">
        <v>777</v>
      </c>
      <c r="F170" s="20" t="s">
        <v>778</v>
      </c>
      <c r="G170" s="8" t="str">
        <f t="shared" si="4"/>
        <v>GONZALEZ ARMANDO</v>
      </c>
      <c r="H170" s="20" t="str">
        <f t="shared" si="5"/>
        <v>4001</v>
      </c>
    </row>
    <row r="171" spans="1:8" x14ac:dyDescent="0.25">
      <c r="A171" s="8">
        <v>43059.717627314814</v>
      </c>
      <c r="B171" s="20" t="s">
        <v>666</v>
      </c>
      <c r="C171" s="20" t="s">
        <v>827</v>
      </c>
      <c r="D171" s="195">
        <v>3670000</v>
      </c>
      <c r="E171" s="20" t="s">
        <v>383</v>
      </c>
      <c r="F171" s="20" t="s">
        <v>368</v>
      </c>
      <c r="G171" s="8" t="str">
        <f t="shared" si="4"/>
        <v>ANDREA WILLIAMS</v>
      </c>
      <c r="H171" s="20" t="str">
        <f t="shared" si="5"/>
        <v>4026</v>
      </c>
    </row>
    <row r="172" spans="1:8" x14ac:dyDescent="0.25">
      <c r="A172" s="8">
        <v>43059.720416666663</v>
      </c>
      <c r="B172" s="20" t="s">
        <v>673</v>
      </c>
      <c r="C172" s="20" t="s">
        <v>828</v>
      </c>
      <c r="D172" s="195">
        <v>2030000</v>
      </c>
      <c r="E172" s="20" t="s">
        <v>515</v>
      </c>
      <c r="F172" s="20" t="s">
        <v>485</v>
      </c>
      <c r="G172" s="8" t="str">
        <f t="shared" si="4"/>
        <v>KILLION DAVID</v>
      </c>
      <c r="H172" s="20" t="str">
        <f t="shared" si="5"/>
        <v>4063</v>
      </c>
    </row>
    <row r="173" spans="1:8" x14ac:dyDescent="0.25">
      <c r="A173" s="8">
        <v>43059.722696759258</v>
      </c>
      <c r="B173" s="20" t="s">
        <v>367</v>
      </c>
      <c r="C173" s="20" t="s">
        <v>829</v>
      </c>
      <c r="D173" s="195">
        <v>3500000</v>
      </c>
      <c r="E173" s="20" t="s">
        <v>376</v>
      </c>
      <c r="F173" s="20" t="s">
        <v>377</v>
      </c>
      <c r="G173" s="8" t="str">
        <f t="shared" si="4"/>
        <v>GUNTHIER ERIC</v>
      </c>
      <c r="H173" s="20" t="str">
        <f t="shared" si="5"/>
        <v>4035</v>
      </c>
    </row>
    <row r="174" spans="1:8" x14ac:dyDescent="0.25">
      <c r="A174" s="8">
        <v>43059.726597222223</v>
      </c>
      <c r="B174" s="20" t="s">
        <v>652</v>
      </c>
      <c r="C174" s="20" t="s">
        <v>830</v>
      </c>
      <c r="D174" s="195">
        <v>2630000</v>
      </c>
      <c r="E174" s="20" t="s">
        <v>372</v>
      </c>
      <c r="F174" s="20" t="s">
        <v>373</v>
      </c>
      <c r="G174" s="8" t="str">
        <f t="shared" si="4"/>
        <v>SAFIEF AEIMEN</v>
      </c>
      <c r="H174" s="20" t="str">
        <f t="shared" si="5"/>
        <v>4006</v>
      </c>
    </row>
    <row r="175" spans="1:8" x14ac:dyDescent="0.25">
      <c r="A175" s="8">
        <v>43059.726921296293</v>
      </c>
      <c r="B175" s="20" t="s">
        <v>661</v>
      </c>
      <c r="C175" s="20" t="s">
        <v>831</v>
      </c>
      <c r="D175" s="195">
        <v>1300000</v>
      </c>
      <c r="E175" s="20" t="s">
        <v>358</v>
      </c>
      <c r="F175" s="20" t="s">
        <v>359</v>
      </c>
      <c r="G175" s="8" t="str">
        <f t="shared" si="4"/>
        <v>LEVIN SCOTT</v>
      </c>
      <c r="H175" s="20" t="str">
        <f t="shared" si="5"/>
        <v>4013</v>
      </c>
    </row>
    <row r="176" spans="1:8" x14ac:dyDescent="0.25">
      <c r="A176" s="8">
        <v>43059.732881944445</v>
      </c>
      <c r="B176" s="20" t="s">
        <v>384</v>
      </c>
      <c r="C176" s="20" t="s">
        <v>832</v>
      </c>
      <c r="D176" s="195">
        <v>2000000</v>
      </c>
      <c r="E176" s="20" t="s">
        <v>395</v>
      </c>
      <c r="F176" s="20" t="s">
        <v>396</v>
      </c>
      <c r="G176" s="8" t="str">
        <f t="shared" si="4"/>
        <v>STAMBAUGH JAMES</v>
      </c>
      <c r="H176" s="20" t="str">
        <f t="shared" si="5"/>
        <v>4062</v>
      </c>
    </row>
    <row r="177" spans="1:8" x14ac:dyDescent="0.25">
      <c r="A177" s="8">
        <v>43059.735844907409</v>
      </c>
      <c r="B177" s="20" t="s">
        <v>574</v>
      </c>
      <c r="C177" s="20" t="s">
        <v>833</v>
      </c>
      <c r="D177" s="195">
        <v>880000</v>
      </c>
      <c r="E177" s="20" t="s">
        <v>380</v>
      </c>
      <c r="F177" s="20" t="s">
        <v>352</v>
      </c>
      <c r="G177" s="8" t="str">
        <f t="shared" si="4"/>
        <v>STEWART MICHAEL</v>
      </c>
      <c r="H177" s="20" t="str">
        <f t="shared" si="5"/>
        <v>4027</v>
      </c>
    </row>
    <row r="178" spans="1:8" x14ac:dyDescent="0.25">
      <c r="A178" s="8">
        <v>43059.738229166665</v>
      </c>
      <c r="B178" s="20" t="s">
        <v>360</v>
      </c>
      <c r="C178" s="20" t="s">
        <v>834</v>
      </c>
      <c r="D178" s="195">
        <v>1760000</v>
      </c>
      <c r="E178" s="20" t="s">
        <v>548</v>
      </c>
      <c r="F178" s="20" t="s">
        <v>549</v>
      </c>
      <c r="G178" s="8" t="str">
        <f t="shared" si="4"/>
        <v>STRICKLAND EVAN</v>
      </c>
      <c r="H178" s="20" t="str">
        <f t="shared" si="5"/>
        <v>4018</v>
      </c>
    </row>
    <row r="179" spans="1:8" x14ac:dyDescent="0.25">
      <c r="A179" s="8">
        <v>43059.746388888889</v>
      </c>
      <c r="B179" s="20" t="s">
        <v>709</v>
      </c>
      <c r="C179" s="20" t="s">
        <v>835</v>
      </c>
      <c r="D179" s="195">
        <v>3330000</v>
      </c>
      <c r="E179" s="20" t="s">
        <v>777</v>
      </c>
      <c r="F179" s="20" t="s">
        <v>778</v>
      </c>
      <c r="G179" s="8" t="str">
        <f t="shared" si="4"/>
        <v>GONZALEZ ARMANDO</v>
      </c>
      <c r="H179" s="20" t="str">
        <f t="shared" si="5"/>
        <v>4002</v>
      </c>
    </row>
    <row r="180" spans="1:8" x14ac:dyDescent="0.25">
      <c r="A180" s="8">
        <v>43059.746851851851</v>
      </c>
      <c r="B180" s="20" t="s">
        <v>391</v>
      </c>
      <c r="C180" s="20" t="s">
        <v>836</v>
      </c>
      <c r="D180" s="195">
        <v>3700000</v>
      </c>
      <c r="E180" s="20" t="s">
        <v>449</v>
      </c>
      <c r="F180" s="20" t="s">
        <v>369</v>
      </c>
      <c r="G180" s="8" t="str">
        <f t="shared" si="4"/>
        <v>AUSTIN THOMPSON</v>
      </c>
      <c r="H180" s="20" t="str">
        <f t="shared" si="5"/>
        <v>4059</v>
      </c>
    </row>
    <row r="181" spans="1:8" x14ac:dyDescent="0.25">
      <c r="A181" s="8">
        <v>43059.747025462966</v>
      </c>
      <c r="B181" s="20" t="s">
        <v>386</v>
      </c>
      <c r="C181" s="20" t="s">
        <v>837</v>
      </c>
      <c r="D181" s="195">
        <v>2000000</v>
      </c>
      <c r="E181" s="20" t="s">
        <v>395</v>
      </c>
      <c r="F181" s="20" t="s">
        <v>396</v>
      </c>
      <c r="G181" s="8" t="str">
        <f t="shared" si="4"/>
        <v>STAMBAUGH JAMES</v>
      </c>
      <c r="H181" s="20" t="str">
        <f t="shared" si="5"/>
        <v>4061</v>
      </c>
    </row>
    <row r="182" spans="1:8" x14ac:dyDescent="0.25">
      <c r="A182" s="8">
        <v>43059.747384259259</v>
      </c>
      <c r="B182" s="20" t="s">
        <v>647</v>
      </c>
      <c r="C182" s="20" t="s">
        <v>838</v>
      </c>
      <c r="D182" s="195">
        <v>2970000</v>
      </c>
      <c r="E182" s="20" t="s">
        <v>374</v>
      </c>
      <c r="F182" s="20" t="s">
        <v>375</v>
      </c>
      <c r="G182" s="8" t="str">
        <f t="shared" si="4"/>
        <v>GUZMAN DANNY</v>
      </c>
      <c r="H182" s="20" t="str">
        <f t="shared" si="5"/>
        <v>4025</v>
      </c>
    </row>
    <row r="183" spans="1:8" x14ac:dyDescent="0.25">
      <c r="A183" s="8">
        <v>43059.752905092595</v>
      </c>
      <c r="B183" s="20" t="s">
        <v>490</v>
      </c>
      <c r="C183" s="20" t="s">
        <v>839</v>
      </c>
      <c r="D183" s="195">
        <v>1300000</v>
      </c>
      <c r="E183" s="20" t="s">
        <v>358</v>
      </c>
      <c r="F183" s="20" t="s">
        <v>359</v>
      </c>
      <c r="G183" s="8" t="str">
        <f t="shared" si="4"/>
        <v>LEVIN SCOTT</v>
      </c>
      <c r="H183" s="20" t="str">
        <f t="shared" si="5"/>
        <v>4014</v>
      </c>
    </row>
    <row r="184" spans="1:8" x14ac:dyDescent="0.25">
      <c r="A184" s="8">
        <v>43059.756342592591</v>
      </c>
      <c r="B184" s="20" t="s">
        <v>659</v>
      </c>
      <c r="C184" s="20" t="s">
        <v>840</v>
      </c>
      <c r="D184" s="195">
        <v>3220000</v>
      </c>
      <c r="E184" s="20" t="s">
        <v>378</v>
      </c>
      <c r="F184" s="20" t="s">
        <v>379</v>
      </c>
      <c r="G184" s="8" t="str">
        <f t="shared" si="4"/>
        <v>RESPASS AARON</v>
      </c>
      <c r="H184" s="20" t="str">
        <f t="shared" si="5"/>
        <v>4064</v>
      </c>
    </row>
    <row r="185" spans="1:8" x14ac:dyDescent="0.25">
      <c r="A185" s="8">
        <v>43059.759259259263</v>
      </c>
      <c r="B185" s="20" t="s">
        <v>692</v>
      </c>
      <c r="C185" s="20" t="s">
        <v>841</v>
      </c>
      <c r="D185" s="195">
        <v>2630000</v>
      </c>
      <c r="E185" s="20" t="s">
        <v>372</v>
      </c>
      <c r="F185" s="20" t="s">
        <v>373</v>
      </c>
      <c r="G185" s="8" t="str">
        <f t="shared" si="4"/>
        <v>SAFIEF AEIMEN</v>
      </c>
      <c r="H185" s="20" t="str">
        <f t="shared" si="5"/>
        <v>4005</v>
      </c>
    </row>
    <row r="186" spans="1:8" x14ac:dyDescent="0.25">
      <c r="A186" s="8">
        <v>43059.769085648149</v>
      </c>
      <c r="B186" s="20" t="s">
        <v>392</v>
      </c>
      <c r="C186" s="20" t="s">
        <v>842</v>
      </c>
      <c r="D186" s="195">
        <v>3680000</v>
      </c>
      <c r="E186" s="20" t="s">
        <v>843</v>
      </c>
      <c r="F186" s="20" t="s">
        <v>844</v>
      </c>
      <c r="G186" s="8" t="str">
        <f t="shared" si="4"/>
        <v>HAMMOND JUSTYNN</v>
      </c>
      <c r="H186" s="20" t="str">
        <f t="shared" si="5"/>
        <v>4028</v>
      </c>
    </row>
    <row r="187" spans="1:8" x14ac:dyDescent="0.25">
      <c r="A187" s="8">
        <v>43059.77003472222</v>
      </c>
      <c r="B187" s="20" t="s">
        <v>661</v>
      </c>
      <c r="C187" s="20" t="s">
        <v>669</v>
      </c>
      <c r="D187" s="195">
        <v>1300000</v>
      </c>
      <c r="E187" s="20" t="s">
        <v>358</v>
      </c>
      <c r="F187" s="20" t="s">
        <v>359</v>
      </c>
      <c r="G187" s="8" t="str">
        <f t="shared" si="4"/>
        <v>LEVIN SCOTT</v>
      </c>
      <c r="H187" s="20" t="str">
        <f t="shared" si="5"/>
        <v>4013</v>
      </c>
    </row>
    <row r="188" spans="1:8" x14ac:dyDescent="0.25">
      <c r="A188" s="8">
        <v>43059.771817129629</v>
      </c>
      <c r="B188" s="20" t="s">
        <v>362</v>
      </c>
      <c r="C188" s="20" t="s">
        <v>845</v>
      </c>
      <c r="D188" s="195">
        <v>1760000</v>
      </c>
      <c r="E188" s="20" t="s">
        <v>548</v>
      </c>
      <c r="F188" s="20" t="s">
        <v>549</v>
      </c>
      <c r="G188" s="8" t="str">
        <f t="shared" si="4"/>
        <v>STRICKLAND EVAN</v>
      </c>
      <c r="H188" s="20" t="str">
        <f t="shared" si="5"/>
        <v>4017</v>
      </c>
    </row>
    <row r="189" spans="1:8" x14ac:dyDescent="0.25">
      <c r="A189" s="8">
        <v>43059.774502314816</v>
      </c>
      <c r="B189" s="20" t="s">
        <v>384</v>
      </c>
      <c r="C189" s="20" t="s">
        <v>668</v>
      </c>
      <c r="D189" s="195">
        <v>2000000</v>
      </c>
      <c r="E189" s="20" t="s">
        <v>395</v>
      </c>
      <c r="F189" s="20" t="s">
        <v>396</v>
      </c>
      <c r="G189" s="8" t="str">
        <f t="shared" si="4"/>
        <v>STAMBAUGH JAMES</v>
      </c>
      <c r="H189" s="20" t="str">
        <f t="shared" si="5"/>
        <v>4062</v>
      </c>
    </row>
    <row r="190" spans="1:8" x14ac:dyDescent="0.25">
      <c r="A190" s="8">
        <v>43059.777395833335</v>
      </c>
      <c r="B190" s="20" t="s">
        <v>357</v>
      </c>
      <c r="C190" s="20" t="s">
        <v>846</v>
      </c>
      <c r="D190" s="195">
        <v>3700000</v>
      </c>
      <c r="E190" s="20" t="s">
        <v>449</v>
      </c>
      <c r="F190" s="20" t="s">
        <v>369</v>
      </c>
      <c r="G190" s="8" t="str">
        <f t="shared" si="4"/>
        <v>AUSTIN THOMPSON</v>
      </c>
      <c r="H190" s="20" t="str">
        <f t="shared" si="5"/>
        <v>4060</v>
      </c>
    </row>
    <row r="191" spans="1:8" x14ac:dyDescent="0.25">
      <c r="A191" s="8">
        <v>43059.78570601852</v>
      </c>
      <c r="B191" s="20" t="s">
        <v>702</v>
      </c>
      <c r="C191" s="20" t="s">
        <v>847</v>
      </c>
      <c r="D191" s="195">
        <v>3330000</v>
      </c>
      <c r="E191" s="20" t="s">
        <v>777</v>
      </c>
      <c r="F191" s="20" t="s">
        <v>778</v>
      </c>
      <c r="G191" s="8" t="str">
        <f t="shared" si="4"/>
        <v>GONZALEZ ARMANDO</v>
      </c>
      <c r="H191" s="20" t="str">
        <f t="shared" si="5"/>
        <v>4001</v>
      </c>
    </row>
    <row r="192" spans="1:8" x14ac:dyDescent="0.25">
      <c r="A192" s="8">
        <v>43059.786874999998</v>
      </c>
      <c r="B192" s="20" t="s">
        <v>666</v>
      </c>
      <c r="C192" s="20" t="s">
        <v>670</v>
      </c>
      <c r="D192" s="195">
        <v>3340000</v>
      </c>
      <c r="E192" s="20" t="s">
        <v>552</v>
      </c>
      <c r="F192" s="20" t="s">
        <v>553</v>
      </c>
      <c r="G192" s="8" t="str">
        <f t="shared" si="4"/>
        <v>ELBAUM MIKE</v>
      </c>
      <c r="H192" s="20" t="str">
        <f t="shared" si="5"/>
        <v>4026</v>
      </c>
    </row>
    <row r="193" spans="1:8" x14ac:dyDescent="0.25">
      <c r="A193" s="8">
        <v>43059.788229166668</v>
      </c>
      <c r="B193" s="20" t="s">
        <v>386</v>
      </c>
      <c r="C193" s="20" t="s">
        <v>848</v>
      </c>
      <c r="D193" s="195">
        <v>2000000</v>
      </c>
      <c r="E193" s="20" t="s">
        <v>395</v>
      </c>
      <c r="F193" s="20" t="s">
        <v>396</v>
      </c>
      <c r="G193" s="8" t="str">
        <f t="shared" si="4"/>
        <v>STAMBAUGH JAMES</v>
      </c>
      <c r="H193" s="20" t="str">
        <f t="shared" si="5"/>
        <v>4061</v>
      </c>
    </row>
    <row r="194" spans="1:8" x14ac:dyDescent="0.25">
      <c r="A194" s="8">
        <v>43059.791226851848</v>
      </c>
      <c r="B194" s="20" t="s">
        <v>490</v>
      </c>
      <c r="C194" s="20" t="s">
        <v>849</v>
      </c>
      <c r="D194" s="195">
        <v>1300000</v>
      </c>
      <c r="E194" s="20" t="s">
        <v>358</v>
      </c>
      <c r="F194" s="20" t="s">
        <v>359</v>
      </c>
      <c r="G194" s="8" t="str">
        <f t="shared" si="4"/>
        <v>LEVIN SCOTT</v>
      </c>
      <c r="H194" s="20" t="str">
        <f t="shared" si="5"/>
        <v>4014</v>
      </c>
    </row>
    <row r="195" spans="1:8" x14ac:dyDescent="0.25">
      <c r="A195" s="8">
        <v>43059.796261574076</v>
      </c>
      <c r="B195" s="20" t="s">
        <v>673</v>
      </c>
      <c r="C195" s="20" t="s">
        <v>850</v>
      </c>
      <c r="D195" s="195">
        <v>3220000</v>
      </c>
      <c r="E195" s="20" t="s">
        <v>378</v>
      </c>
      <c r="F195" s="20" t="s">
        <v>379</v>
      </c>
      <c r="G195" s="8" t="str">
        <f t="shared" ref="G195:G258" si="6">E195&amp;" "&amp;F195</f>
        <v>RESPASS AARON</v>
      </c>
      <c r="H195" s="20" t="str">
        <f t="shared" ref="H195:H258" si="7">MID(B195,13,4)</f>
        <v>4063</v>
      </c>
    </row>
    <row r="196" spans="1:8" x14ac:dyDescent="0.25">
      <c r="A196" s="8">
        <v>43059.797858796293</v>
      </c>
      <c r="B196" s="20" t="s">
        <v>652</v>
      </c>
      <c r="C196" s="20" t="s">
        <v>851</v>
      </c>
      <c r="D196" s="195">
        <v>2630000</v>
      </c>
      <c r="E196" s="20" t="s">
        <v>372</v>
      </c>
      <c r="F196" s="20" t="s">
        <v>373</v>
      </c>
      <c r="G196" s="8" t="str">
        <f t="shared" si="6"/>
        <v>SAFIEF AEIMEN</v>
      </c>
      <c r="H196" s="20" t="str">
        <f t="shared" si="7"/>
        <v>4006</v>
      </c>
    </row>
    <row r="197" spans="1:8" x14ac:dyDescent="0.25">
      <c r="A197" s="8">
        <v>43059.806597222225</v>
      </c>
      <c r="B197" s="20" t="s">
        <v>574</v>
      </c>
      <c r="C197" s="20" t="s">
        <v>852</v>
      </c>
      <c r="D197" s="195">
        <v>3680000</v>
      </c>
      <c r="E197" s="20" t="s">
        <v>843</v>
      </c>
      <c r="F197" s="20" t="s">
        <v>844</v>
      </c>
      <c r="G197" s="8" t="str">
        <f t="shared" si="6"/>
        <v>HAMMOND JUSTYNN</v>
      </c>
      <c r="H197" s="20" t="str">
        <f t="shared" si="7"/>
        <v>4027</v>
      </c>
    </row>
    <row r="198" spans="1:8" x14ac:dyDescent="0.25">
      <c r="A198" s="8">
        <v>43059.807939814818</v>
      </c>
      <c r="B198" s="20" t="s">
        <v>360</v>
      </c>
      <c r="C198" s="20" t="s">
        <v>853</v>
      </c>
      <c r="D198" s="195">
        <v>1760000</v>
      </c>
      <c r="E198" s="20" t="s">
        <v>548</v>
      </c>
      <c r="F198" s="20" t="s">
        <v>549</v>
      </c>
      <c r="G198" s="8" t="str">
        <f t="shared" si="6"/>
        <v>STRICKLAND EVAN</v>
      </c>
      <c r="H198" s="20" t="str">
        <f t="shared" si="7"/>
        <v>4018</v>
      </c>
    </row>
    <row r="199" spans="1:8" x14ac:dyDescent="0.25">
      <c r="A199" s="8">
        <v>43059.809374999997</v>
      </c>
      <c r="B199" s="20" t="s">
        <v>661</v>
      </c>
      <c r="C199" s="20" t="s">
        <v>854</v>
      </c>
      <c r="D199" s="195">
        <v>1300000</v>
      </c>
      <c r="E199" s="20" t="s">
        <v>358</v>
      </c>
      <c r="F199" s="20" t="s">
        <v>359</v>
      </c>
      <c r="G199" s="8" t="str">
        <f t="shared" si="6"/>
        <v>LEVIN SCOTT</v>
      </c>
      <c r="H199" s="20" t="str">
        <f t="shared" si="7"/>
        <v>4013</v>
      </c>
    </row>
    <row r="200" spans="1:8" x14ac:dyDescent="0.25">
      <c r="A200" s="8">
        <v>43059.81759259259</v>
      </c>
      <c r="B200" s="20" t="s">
        <v>647</v>
      </c>
      <c r="C200" s="20" t="s">
        <v>855</v>
      </c>
      <c r="D200" s="195">
        <v>3340000</v>
      </c>
      <c r="E200" s="20" t="s">
        <v>552</v>
      </c>
      <c r="F200" s="20" t="s">
        <v>553</v>
      </c>
      <c r="G200" s="8" t="str">
        <f t="shared" si="6"/>
        <v>ELBAUM MIKE</v>
      </c>
      <c r="H200" s="20" t="str">
        <f t="shared" si="7"/>
        <v>4025</v>
      </c>
    </row>
    <row r="201" spans="1:8" x14ac:dyDescent="0.25">
      <c r="A201" s="8">
        <v>43059.818761574075</v>
      </c>
      <c r="B201" s="20" t="s">
        <v>709</v>
      </c>
      <c r="C201" s="20" t="s">
        <v>856</v>
      </c>
      <c r="D201" s="195">
        <v>3330000</v>
      </c>
      <c r="E201" s="20" t="s">
        <v>777</v>
      </c>
      <c r="F201" s="20" t="s">
        <v>778</v>
      </c>
      <c r="G201" s="8" t="str">
        <f t="shared" si="6"/>
        <v>GONZALEZ ARMANDO</v>
      </c>
      <c r="H201" s="20" t="str">
        <f t="shared" si="7"/>
        <v>4002</v>
      </c>
    </row>
    <row r="202" spans="1:8" x14ac:dyDescent="0.25">
      <c r="A202" s="26">
        <v>43059.828252314815</v>
      </c>
      <c r="B202" s="20" t="s">
        <v>659</v>
      </c>
      <c r="C202" s="20" t="s">
        <v>671</v>
      </c>
      <c r="D202" s="195">
        <v>3220000</v>
      </c>
      <c r="E202" s="20" t="s">
        <v>378</v>
      </c>
      <c r="F202" s="20" t="s">
        <v>379</v>
      </c>
      <c r="G202" s="8" t="str">
        <f t="shared" si="6"/>
        <v>RESPASS AARON</v>
      </c>
      <c r="H202" s="20" t="str">
        <f t="shared" si="7"/>
        <v>4064</v>
      </c>
    </row>
    <row r="203" spans="1:8" x14ac:dyDescent="0.25">
      <c r="A203" s="8">
        <v>43059.834317129629</v>
      </c>
      <c r="B203" s="20" t="s">
        <v>490</v>
      </c>
      <c r="C203" s="20" t="s">
        <v>857</v>
      </c>
      <c r="D203" s="195">
        <v>1300000</v>
      </c>
      <c r="E203" s="20" t="s">
        <v>358</v>
      </c>
      <c r="F203" s="20" t="s">
        <v>359</v>
      </c>
      <c r="G203" s="8" t="str">
        <f t="shared" si="6"/>
        <v>LEVIN SCOTT</v>
      </c>
      <c r="H203" s="20" t="str">
        <f t="shared" si="7"/>
        <v>4014</v>
      </c>
    </row>
    <row r="204" spans="1:8" x14ac:dyDescent="0.25">
      <c r="A204" s="8">
        <v>43059.840729166666</v>
      </c>
      <c r="B204" s="20" t="s">
        <v>362</v>
      </c>
      <c r="C204" s="20" t="s">
        <v>672</v>
      </c>
      <c r="D204" s="195">
        <v>1760000</v>
      </c>
      <c r="E204" s="20" t="s">
        <v>548</v>
      </c>
      <c r="F204" s="20" t="s">
        <v>549</v>
      </c>
      <c r="G204" s="8" t="str">
        <f t="shared" si="6"/>
        <v>STRICKLAND EVAN</v>
      </c>
      <c r="H204" s="20" t="str">
        <f t="shared" si="7"/>
        <v>4017</v>
      </c>
    </row>
    <row r="205" spans="1:8" x14ac:dyDescent="0.25">
      <c r="A205" s="8">
        <v>43059.851423611108</v>
      </c>
      <c r="B205" s="20" t="s">
        <v>661</v>
      </c>
      <c r="C205" s="20" t="s">
        <v>857</v>
      </c>
      <c r="D205" s="195">
        <v>1300000</v>
      </c>
      <c r="E205" s="20" t="s">
        <v>358</v>
      </c>
      <c r="F205" s="20" t="s">
        <v>359</v>
      </c>
      <c r="G205" s="8" t="str">
        <f t="shared" si="6"/>
        <v>LEVIN SCOTT</v>
      </c>
      <c r="H205" s="20" t="str">
        <f t="shared" si="7"/>
        <v>4013</v>
      </c>
    </row>
    <row r="206" spans="1:8" x14ac:dyDescent="0.25">
      <c r="A206" s="8">
        <v>43059.851840277777</v>
      </c>
      <c r="B206" s="20" t="s">
        <v>392</v>
      </c>
      <c r="C206" s="20" t="s">
        <v>858</v>
      </c>
      <c r="D206" s="195">
        <v>3040000</v>
      </c>
      <c r="E206" s="20" t="s">
        <v>368</v>
      </c>
      <c r="F206" s="20" t="s">
        <v>547</v>
      </c>
      <c r="G206" s="8" t="str">
        <f t="shared" si="6"/>
        <v>WILLIAMS DONTE</v>
      </c>
      <c r="H206" s="20" t="str">
        <f t="shared" si="7"/>
        <v>4028</v>
      </c>
    </row>
    <row r="207" spans="1:8" x14ac:dyDescent="0.25">
      <c r="A207" s="8">
        <v>43059.852129629631</v>
      </c>
      <c r="B207" s="20" t="s">
        <v>661</v>
      </c>
      <c r="C207" s="20" t="s">
        <v>859</v>
      </c>
      <c r="D207" s="195">
        <v>1300000</v>
      </c>
      <c r="E207" s="20" t="s">
        <v>358</v>
      </c>
      <c r="F207" s="20" t="s">
        <v>359</v>
      </c>
      <c r="G207" s="8" t="str">
        <f t="shared" si="6"/>
        <v>LEVIN SCOTT</v>
      </c>
      <c r="H207" s="20" t="str">
        <f t="shared" si="7"/>
        <v>4013</v>
      </c>
    </row>
    <row r="208" spans="1:8" x14ac:dyDescent="0.25">
      <c r="A208" s="8">
        <v>43059.857974537037</v>
      </c>
      <c r="B208" s="20" t="s">
        <v>666</v>
      </c>
      <c r="C208" s="20" t="s">
        <v>860</v>
      </c>
      <c r="D208" s="195">
        <v>3340000</v>
      </c>
      <c r="E208" s="20" t="s">
        <v>552</v>
      </c>
      <c r="F208" s="20" t="s">
        <v>553</v>
      </c>
      <c r="G208" s="8" t="str">
        <f t="shared" si="6"/>
        <v>ELBAUM MIKE</v>
      </c>
      <c r="H208" s="20" t="str">
        <f t="shared" si="7"/>
        <v>4026</v>
      </c>
    </row>
    <row r="209" spans="1:8" x14ac:dyDescent="0.25">
      <c r="A209" s="8">
        <v>43059.867662037039</v>
      </c>
      <c r="B209" s="20" t="s">
        <v>673</v>
      </c>
      <c r="C209" s="20" t="s">
        <v>674</v>
      </c>
      <c r="D209" s="195">
        <v>3220000</v>
      </c>
      <c r="E209" s="20" t="s">
        <v>378</v>
      </c>
      <c r="F209" s="20" t="s">
        <v>379</v>
      </c>
      <c r="G209" s="8" t="str">
        <f t="shared" si="6"/>
        <v>RESPASS AARON</v>
      </c>
      <c r="H209" s="20" t="str">
        <f t="shared" si="7"/>
        <v>4063</v>
      </c>
    </row>
    <row r="210" spans="1:8" x14ac:dyDescent="0.25">
      <c r="A210" s="8">
        <v>43059.878287037034</v>
      </c>
      <c r="B210" s="20" t="s">
        <v>490</v>
      </c>
      <c r="C210" s="20" t="s">
        <v>861</v>
      </c>
      <c r="D210" s="195">
        <v>2000000</v>
      </c>
      <c r="E210" s="20" t="s">
        <v>395</v>
      </c>
      <c r="F210" s="20" t="s">
        <v>396</v>
      </c>
      <c r="G210" s="8" t="str">
        <f t="shared" si="6"/>
        <v>STAMBAUGH JAMES</v>
      </c>
      <c r="H210" s="20" t="str">
        <f t="shared" si="7"/>
        <v>4014</v>
      </c>
    </row>
    <row r="211" spans="1:8" x14ac:dyDescent="0.25">
      <c r="A211" s="8">
        <v>43059.881354166668</v>
      </c>
      <c r="B211" s="20" t="s">
        <v>360</v>
      </c>
      <c r="C211" s="20" t="s">
        <v>676</v>
      </c>
      <c r="D211" s="195">
        <v>1760000</v>
      </c>
      <c r="E211" s="20" t="s">
        <v>548</v>
      </c>
      <c r="F211" s="20" t="s">
        <v>549</v>
      </c>
      <c r="G211" s="8" t="str">
        <f t="shared" si="6"/>
        <v>STRICKLAND EVAN</v>
      </c>
      <c r="H211" s="20" t="str">
        <f t="shared" si="7"/>
        <v>4018</v>
      </c>
    </row>
    <row r="212" spans="1:8" x14ac:dyDescent="0.25">
      <c r="A212" s="8">
        <v>43059.889479166668</v>
      </c>
      <c r="B212" s="20" t="s">
        <v>574</v>
      </c>
      <c r="C212" s="20" t="s">
        <v>862</v>
      </c>
      <c r="D212" s="195">
        <v>3680000</v>
      </c>
      <c r="E212" s="20" t="s">
        <v>843</v>
      </c>
      <c r="F212" s="20" t="s">
        <v>844</v>
      </c>
      <c r="G212" s="8" t="str">
        <f t="shared" si="6"/>
        <v>HAMMOND JUSTYNN</v>
      </c>
      <c r="H212" s="20" t="str">
        <f t="shared" si="7"/>
        <v>4027</v>
      </c>
    </row>
    <row r="213" spans="1:8" x14ac:dyDescent="0.25">
      <c r="A213" s="8">
        <v>43059.892106481479</v>
      </c>
      <c r="B213" s="20" t="s">
        <v>661</v>
      </c>
      <c r="C213" s="20" t="s">
        <v>675</v>
      </c>
      <c r="D213" s="195">
        <v>2000000</v>
      </c>
      <c r="E213" s="20" t="s">
        <v>395</v>
      </c>
      <c r="F213" s="20" t="s">
        <v>396</v>
      </c>
      <c r="G213" s="8" t="str">
        <f t="shared" si="6"/>
        <v>STAMBAUGH JAMES</v>
      </c>
      <c r="H213" s="20" t="str">
        <f t="shared" si="7"/>
        <v>4013</v>
      </c>
    </row>
    <row r="214" spans="1:8" x14ac:dyDescent="0.25">
      <c r="A214" s="8">
        <v>43059.894791666666</v>
      </c>
      <c r="B214" s="20" t="s">
        <v>661</v>
      </c>
      <c r="C214" s="20" t="s">
        <v>675</v>
      </c>
      <c r="D214" s="195">
        <v>2000000</v>
      </c>
      <c r="E214" s="20" t="s">
        <v>395</v>
      </c>
      <c r="F214" s="20" t="s">
        <v>396</v>
      </c>
      <c r="G214" s="8" t="str">
        <f t="shared" si="6"/>
        <v>STAMBAUGH JAMES</v>
      </c>
      <c r="H214" s="20" t="str">
        <f t="shared" si="7"/>
        <v>4013</v>
      </c>
    </row>
    <row r="215" spans="1:8" x14ac:dyDescent="0.25">
      <c r="A215" s="8">
        <v>43059.900081018517</v>
      </c>
      <c r="B215" s="20" t="s">
        <v>673</v>
      </c>
      <c r="C215" s="20" t="s">
        <v>674</v>
      </c>
      <c r="D215" s="195">
        <v>3220000</v>
      </c>
      <c r="E215" s="20" t="s">
        <v>378</v>
      </c>
      <c r="F215" s="20" t="s">
        <v>379</v>
      </c>
      <c r="G215" s="8" t="str">
        <f t="shared" si="6"/>
        <v>RESPASS AARON</v>
      </c>
      <c r="H215" s="20" t="str">
        <f t="shared" si="7"/>
        <v>4063</v>
      </c>
    </row>
    <row r="216" spans="1:8" x14ac:dyDescent="0.25">
      <c r="A216" s="8">
        <v>43059.901377314818</v>
      </c>
      <c r="B216" s="20" t="s">
        <v>647</v>
      </c>
      <c r="C216" s="20" t="s">
        <v>863</v>
      </c>
      <c r="D216" s="195">
        <v>3340000</v>
      </c>
      <c r="E216" s="20" t="s">
        <v>552</v>
      </c>
      <c r="F216" s="20" t="s">
        <v>553</v>
      </c>
      <c r="G216" s="8" t="str">
        <f t="shared" si="6"/>
        <v>ELBAUM MIKE</v>
      </c>
      <c r="H216" s="20" t="str">
        <f t="shared" si="7"/>
        <v>4025</v>
      </c>
    </row>
    <row r="217" spans="1:8" x14ac:dyDescent="0.25">
      <c r="A217" s="8">
        <v>43059.910775462966</v>
      </c>
      <c r="B217" s="20" t="s">
        <v>659</v>
      </c>
      <c r="C217" s="20" t="s">
        <v>864</v>
      </c>
      <c r="D217" s="195">
        <v>3220000</v>
      </c>
      <c r="E217" s="20" t="s">
        <v>378</v>
      </c>
      <c r="F217" s="20" t="s">
        <v>379</v>
      </c>
      <c r="G217" s="8" t="str">
        <f t="shared" si="6"/>
        <v>RESPASS AARON</v>
      </c>
      <c r="H217" s="20" t="str">
        <f t="shared" si="7"/>
        <v>4064</v>
      </c>
    </row>
    <row r="218" spans="1:8" x14ac:dyDescent="0.25">
      <c r="A218" s="8">
        <v>43059.915520833332</v>
      </c>
      <c r="B218" s="20" t="s">
        <v>490</v>
      </c>
      <c r="C218" s="20" t="s">
        <v>865</v>
      </c>
      <c r="D218" s="195">
        <v>2000000</v>
      </c>
      <c r="E218" s="20" t="s">
        <v>395</v>
      </c>
      <c r="F218" s="20" t="s">
        <v>396</v>
      </c>
      <c r="G218" s="8" t="str">
        <f t="shared" si="6"/>
        <v>STAMBAUGH JAMES</v>
      </c>
      <c r="H218" s="20" t="str">
        <f t="shared" si="7"/>
        <v>4014</v>
      </c>
    </row>
    <row r="219" spans="1:8" x14ac:dyDescent="0.25">
      <c r="A219" s="8">
        <v>43059.92423611111</v>
      </c>
      <c r="B219" s="20" t="s">
        <v>362</v>
      </c>
      <c r="C219" s="20" t="s">
        <v>866</v>
      </c>
      <c r="D219" s="195">
        <v>1760000</v>
      </c>
      <c r="E219" s="20" t="s">
        <v>548</v>
      </c>
      <c r="F219" s="20" t="s">
        <v>549</v>
      </c>
      <c r="G219" s="8" t="str">
        <f t="shared" si="6"/>
        <v>STRICKLAND EVAN</v>
      </c>
      <c r="H219" s="20" t="str">
        <f t="shared" si="7"/>
        <v>4017</v>
      </c>
    </row>
    <row r="220" spans="1:8" x14ac:dyDescent="0.25">
      <c r="A220" s="8">
        <v>43059.931967592594</v>
      </c>
      <c r="B220" s="20" t="s">
        <v>392</v>
      </c>
      <c r="C220" s="20" t="s">
        <v>867</v>
      </c>
      <c r="D220" s="195">
        <v>3680000</v>
      </c>
      <c r="E220" s="20" t="s">
        <v>843</v>
      </c>
      <c r="F220" s="20" t="s">
        <v>844</v>
      </c>
      <c r="G220" s="8" t="str">
        <f t="shared" si="6"/>
        <v>HAMMOND JUSTYNN</v>
      </c>
      <c r="H220" s="20" t="str">
        <f t="shared" si="7"/>
        <v>4028</v>
      </c>
    </row>
    <row r="221" spans="1:8" x14ac:dyDescent="0.25">
      <c r="A221" s="8">
        <v>43059.933807870373</v>
      </c>
      <c r="B221" s="20" t="s">
        <v>661</v>
      </c>
      <c r="C221" s="20" t="s">
        <v>868</v>
      </c>
      <c r="D221" s="195">
        <v>2000000</v>
      </c>
      <c r="E221" s="20" t="s">
        <v>395</v>
      </c>
      <c r="F221" s="20" t="s">
        <v>396</v>
      </c>
      <c r="G221" s="8" t="str">
        <f t="shared" si="6"/>
        <v>STAMBAUGH JAMES</v>
      </c>
      <c r="H221" s="20" t="str">
        <f t="shared" si="7"/>
        <v>4013</v>
      </c>
    </row>
    <row r="222" spans="1:8" x14ac:dyDescent="0.25">
      <c r="A222" s="8">
        <v>43059.947777777779</v>
      </c>
      <c r="B222" s="20" t="s">
        <v>666</v>
      </c>
      <c r="C222" s="20" t="s">
        <v>869</v>
      </c>
      <c r="D222" s="195">
        <v>3340000</v>
      </c>
      <c r="E222" s="20" t="s">
        <v>552</v>
      </c>
      <c r="F222" s="20" t="s">
        <v>553</v>
      </c>
      <c r="G222" s="8" t="str">
        <f t="shared" si="6"/>
        <v>ELBAUM MIKE</v>
      </c>
      <c r="H222" s="20" t="str">
        <f t="shared" si="7"/>
        <v>4026</v>
      </c>
    </row>
    <row r="223" spans="1:8" x14ac:dyDescent="0.25">
      <c r="A223" s="8">
        <v>43059.951932870368</v>
      </c>
      <c r="B223" s="20" t="s">
        <v>673</v>
      </c>
      <c r="C223" s="20" t="s">
        <v>870</v>
      </c>
      <c r="D223" s="195">
        <v>3220000</v>
      </c>
      <c r="E223" s="20" t="s">
        <v>378</v>
      </c>
      <c r="F223" s="20" t="s">
        <v>379</v>
      </c>
      <c r="G223" s="8" t="str">
        <f t="shared" si="6"/>
        <v>RESPASS AARON</v>
      </c>
      <c r="H223" s="20" t="str">
        <f t="shared" si="7"/>
        <v>4063</v>
      </c>
    </row>
    <row r="224" spans="1:8" x14ac:dyDescent="0.25">
      <c r="A224" s="8">
        <v>43059.963043981479</v>
      </c>
      <c r="B224" t="s">
        <v>490</v>
      </c>
      <c r="C224" t="s">
        <v>871</v>
      </c>
      <c r="D224" s="195">
        <v>2000000</v>
      </c>
      <c r="E224" t="s">
        <v>395</v>
      </c>
      <c r="F224" s="20" t="s">
        <v>396</v>
      </c>
      <c r="G224" s="8" t="str">
        <f t="shared" si="6"/>
        <v>STAMBAUGH JAMES</v>
      </c>
      <c r="H224" s="20" t="str">
        <f t="shared" si="7"/>
        <v>4014</v>
      </c>
    </row>
    <row r="225" spans="1:8" x14ac:dyDescent="0.25">
      <c r="A225" s="8">
        <v>43059.96597222222</v>
      </c>
      <c r="B225" t="s">
        <v>360</v>
      </c>
      <c r="C225" t="s">
        <v>872</v>
      </c>
      <c r="D225" s="195">
        <v>1760000</v>
      </c>
      <c r="E225" t="s">
        <v>548</v>
      </c>
      <c r="F225" s="20" t="s">
        <v>549</v>
      </c>
      <c r="G225" s="8" t="str">
        <f t="shared" si="6"/>
        <v>STRICKLAND EVAN</v>
      </c>
      <c r="H225" s="20" t="str">
        <f t="shared" si="7"/>
        <v>4018</v>
      </c>
    </row>
    <row r="226" spans="1:8" x14ac:dyDescent="0.25">
      <c r="A226" s="8">
        <v>43059.974479166667</v>
      </c>
      <c r="B226" t="s">
        <v>360</v>
      </c>
      <c r="C226" t="s">
        <v>872</v>
      </c>
      <c r="D226" s="195">
        <v>1760000</v>
      </c>
      <c r="E226" t="s">
        <v>548</v>
      </c>
      <c r="F226" s="20" t="s">
        <v>549</v>
      </c>
      <c r="G226" s="8" t="str">
        <f t="shared" si="6"/>
        <v>STRICKLAND EVAN</v>
      </c>
      <c r="H226" s="20" t="str">
        <f t="shared" si="7"/>
        <v>4018</v>
      </c>
    </row>
    <row r="227" spans="1:8" x14ac:dyDescent="0.25">
      <c r="A227" s="8">
        <v>43059.97457175926</v>
      </c>
      <c r="B227" t="s">
        <v>661</v>
      </c>
      <c r="C227" t="s">
        <v>873</v>
      </c>
      <c r="D227" s="195">
        <v>2000000</v>
      </c>
      <c r="E227" t="s">
        <v>395</v>
      </c>
      <c r="F227" s="20" t="s">
        <v>396</v>
      </c>
      <c r="G227" s="8" t="str">
        <f t="shared" si="6"/>
        <v>STAMBAUGH JAMES</v>
      </c>
      <c r="H227" s="20" t="str">
        <f t="shared" si="7"/>
        <v>4013</v>
      </c>
    </row>
    <row r="228" spans="1:8" x14ac:dyDescent="0.25">
      <c r="A228" s="8">
        <v>43059.974618055552</v>
      </c>
      <c r="B228" t="s">
        <v>574</v>
      </c>
      <c r="C228" t="s">
        <v>874</v>
      </c>
      <c r="D228" s="195">
        <v>3680000</v>
      </c>
      <c r="E228" t="s">
        <v>843</v>
      </c>
      <c r="F228" s="20" t="s">
        <v>844</v>
      </c>
      <c r="G228" s="8" t="str">
        <f t="shared" si="6"/>
        <v>HAMMOND JUSTYNN</v>
      </c>
      <c r="H228" s="20" t="str">
        <f t="shared" si="7"/>
        <v>4027</v>
      </c>
    </row>
    <row r="229" spans="1:8" x14ac:dyDescent="0.25">
      <c r="A229" s="8">
        <v>43059.986875000002</v>
      </c>
      <c r="B229" t="s">
        <v>647</v>
      </c>
      <c r="C229" t="s">
        <v>875</v>
      </c>
      <c r="D229" s="195">
        <v>3340000</v>
      </c>
      <c r="E229" t="s">
        <v>552</v>
      </c>
      <c r="F229" s="20" t="s">
        <v>553</v>
      </c>
      <c r="G229" s="8" t="str">
        <f t="shared" si="6"/>
        <v>ELBAUM MIKE</v>
      </c>
      <c r="H229" s="20" t="str">
        <f t="shared" si="7"/>
        <v>4025</v>
      </c>
    </row>
    <row r="230" spans="1:8" x14ac:dyDescent="0.25">
      <c r="A230" s="8">
        <v>43059.992245370369</v>
      </c>
      <c r="B230" t="s">
        <v>659</v>
      </c>
      <c r="C230" t="s">
        <v>876</v>
      </c>
      <c r="D230" s="195">
        <v>3220000</v>
      </c>
      <c r="E230" t="s">
        <v>378</v>
      </c>
      <c r="F230" s="20" t="s">
        <v>379</v>
      </c>
      <c r="G230" s="8" t="str">
        <f t="shared" si="6"/>
        <v>RESPASS AARON</v>
      </c>
      <c r="H230" s="20" t="str">
        <f t="shared" si="7"/>
        <v>4064</v>
      </c>
    </row>
    <row r="231" spans="1:8" x14ac:dyDescent="0.25">
      <c r="A231" s="8">
        <v>43060.007187499999</v>
      </c>
      <c r="B231" t="s">
        <v>362</v>
      </c>
      <c r="C231" t="s">
        <v>877</v>
      </c>
      <c r="D231" s="195">
        <v>1760000</v>
      </c>
      <c r="E231" t="s">
        <v>548</v>
      </c>
      <c r="F231" s="20" t="s">
        <v>549</v>
      </c>
      <c r="G231" s="8" t="str">
        <f t="shared" si="6"/>
        <v>STRICKLAND EVAN</v>
      </c>
      <c r="H231" s="20" t="str">
        <f t="shared" si="7"/>
        <v>4017</v>
      </c>
    </row>
    <row r="232" spans="1:8" x14ac:dyDescent="0.25">
      <c r="A232" s="8">
        <v>43060.015601851854</v>
      </c>
      <c r="B232" t="s">
        <v>392</v>
      </c>
      <c r="C232" t="s">
        <v>878</v>
      </c>
      <c r="D232" s="195">
        <v>3680000</v>
      </c>
      <c r="E232" t="s">
        <v>843</v>
      </c>
      <c r="F232" s="20" t="s">
        <v>844</v>
      </c>
      <c r="G232" s="8" t="str">
        <f t="shared" si="6"/>
        <v>HAMMOND JUSTYNN</v>
      </c>
      <c r="H232" s="20" t="str">
        <f t="shared" si="7"/>
        <v>4028</v>
      </c>
    </row>
    <row r="233" spans="1:8" x14ac:dyDescent="0.25">
      <c r="A233" s="8">
        <v>43060.026400462964</v>
      </c>
      <c r="B233" t="s">
        <v>666</v>
      </c>
      <c r="C233" t="s">
        <v>879</v>
      </c>
      <c r="D233" s="195">
        <v>3340000</v>
      </c>
      <c r="E233" t="s">
        <v>552</v>
      </c>
      <c r="F233" s="20" t="s">
        <v>553</v>
      </c>
      <c r="G233" s="8" t="str">
        <f t="shared" si="6"/>
        <v>ELBAUM MIKE</v>
      </c>
      <c r="H233" s="20" t="str">
        <f t="shared" si="7"/>
        <v>4026</v>
      </c>
    </row>
    <row r="234" spans="1:8" x14ac:dyDescent="0.25">
      <c r="A234" s="8">
        <v>43060.037291666667</v>
      </c>
      <c r="B234" t="s">
        <v>673</v>
      </c>
      <c r="C234" t="s">
        <v>880</v>
      </c>
      <c r="D234" s="195">
        <v>3220000</v>
      </c>
      <c r="E234" t="s">
        <v>378</v>
      </c>
      <c r="F234" s="20" t="s">
        <v>379</v>
      </c>
      <c r="G234" s="8" t="str">
        <f t="shared" si="6"/>
        <v>RESPASS AARON</v>
      </c>
      <c r="H234" s="20" t="str">
        <f t="shared" si="7"/>
        <v>4063</v>
      </c>
    </row>
    <row r="235" spans="1:8" x14ac:dyDescent="0.25">
      <c r="A235" s="8">
        <v>43060.048993055556</v>
      </c>
      <c r="B235" t="s">
        <v>360</v>
      </c>
      <c r="C235" t="s">
        <v>881</v>
      </c>
      <c r="D235" s="195">
        <v>1760000</v>
      </c>
      <c r="E235" t="s">
        <v>548</v>
      </c>
      <c r="F235" s="20" t="s">
        <v>549</v>
      </c>
      <c r="G235" s="8" t="str">
        <f t="shared" si="6"/>
        <v>STRICKLAND EVAN</v>
      </c>
      <c r="H235" s="20" t="str">
        <f t="shared" si="7"/>
        <v>4018</v>
      </c>
    </row>
    <row r="236" spans="1:8" x14ac:dyDescent="0.25">
      <c r="A236" s="8">
        <v>43060.055439814816</v>
      </c>
      <c r="B236" t="s">
        <v>574</v>
      </c>
      <c r="C236" t="s">
        <v>882</v>
      </c>
      <c r="D236" s="195">
        <v>3680000</v>
      </c>
      <c r="E236" t="s">
        <v>843</v>
      </c>
      <c r="F236" s="20" t="s">
        <v>844</v>
      </c>
      <c r="G236" s="8" t="str">
        <f t="shared" si="6"/>
        <v>HAMMOND JUSTYNN</v>
      </c>
      <c r="H236" s="20" t="str">
        <f t="shared" si="7"/>
        <v>4027</v>
      </c>
    </row>
    <row r="237" spans="1:8" x14ac:dyDescent="0.25">
      <c r="A237" s="8">
        <v>43060.067465277774</v>
      </c>
      <c r="B237" t="s">
        <v>659</v>
      </c>
      <c r="C237" t="s">
        <v>883</v>
      </c>
      <c r="D237" s="195">
        <v>3220000</v>
      </c>
      <c r="E237" t="s">
        <v>378</v>
      </c>
      <c r="F237" s="20" t="s">
        <v>379</v>
      </c>
      <c r="G237" s="8" t="str">
        <f t="shared" si="6"/>
        <v>RESPASS AARON</v>
      </c>
      <c r="H237" s="20" t="str">
        <f t="shared" si="7"/>
        <v>4064</v>
      </c>
    </row>
    <row r="238" spans="1:8" x14ac:dyDescent="0.25">
      <c r="A238" s="8">
        <v>43060.09070601852</v>
      </c>
      <c r="B238" t="s">
        <v>392</v>
      </c>
      <c r="C238" t="s">
        <v>884</v>
      </c>
      <c r="D238" s="195">
        <v>3680000</v>
      </c>
      <c r="E238" t="s">
        <v>843</v>
      </c>
      <c r="F238" s="20" t="s">
        <v>844</v>
      </c>
      <c r="G238" s="8" t="str">
        <f t="shared" si="6"/>
        <v>HAMMOND JUSTYNN</v>
      </c>
      <c r="H238" s="20" t="str">
        <f t="shared" si="7"/>
        <v>4028</v>
      </c>
    </row>
    <row r="239" spans="1:8" x14ac:dyDescent="0.25">
      <c r="A239" s="8">
        <v>43060.113969907405</v>
      </c>
      <c r="B239" t="s">
        <v>543</v>
      </c>
      <c r="C239" t="s">
        <v>885</v>
      </c>
      <c r="D239" s="195">
        <v>1830000</v>
      </c>
      <c r="E239" t="s">
        <v>346</v>
      </c>
      <c r="F239" s="20" t="s">
        <v>347</v>
      </c>
      <c r="G239" s="8" t="str">
        <f t="shared" si="6"/>
        <v>YORK EDGAR</v>
      </c>
      <c r="H239" s="20" t="str">
        <f t="shared" si="7"/>
        <v>4041</v>
      </c>
    </row>
    <row r="240" spans="1:8" x14ac:dyDescent="0.25">
      <c r="A240" s="8">
        <v>43056.091493055559</v>
      </c>
      <c r="B240" t="s">
        <v>360</v>
      </c>
      <c r="C240" t="s">
        <v>554</v>
      </c>
      <c r="D240" s="195">
        <v>3320000</v>
      </c>
      <c r="E240" t="s">
        <v>363</v>
      </c>
      <c r="F240" s="20" t="s">
        <v>364</v>
      </c>
      <c r="G240" s="8" t="str">
        <f t="shared" si="6"/>
        <v>NICHOLSON WESLEY</v>
      </c>
      <c r="H240" s="20" t="str">
        <f t="shared" si="7"/>
        <v>4018</v>
      </c>
    </row>
    <row r="241" spans="1:8" x14ac:dyDescent="0.25">
      <c r="A241" s="8">
        <v>43056.112928240742</v>
      </c>
      <c r="B241" t="s">
        <v>445</v>
      </c>
      <c r="C241" t="s">
        <v>555</v>
      </c>
      <c r="D241" s="195">
        <v>1830000</v>
      </c>
      <c r="E241" t="s">
        <v>346</v>
      </c>
      <c r="F241" s="20" t="s">
        <v>347</v>
      </c>
      <c r="G241" s="8" t="str">
        <f t="shared" si="6"/>
        <v>YORK EDGAR</v>
      </c>
      <c r="H241" s="20" t="str">
        <f t="shared" si="7"/>
        <v>4009</v>
      </c>
    </row>
    <row r="242" spans="1:8" x14ac:dyDescent="0.25">
      <c r="A242" s="8">
        <v>43055.029606481483</v>
      </c>
      <c r="B242" t="s">
        <v>490</v>
      </c>
      <c r="C242" t="s">
        <v>516</v>
      </c>
      <c r="D242" s="195">
        <v>3320000</v>
      </c>
      <c r="E242" t="s">
        <v>363</v>
      </c>
      <c r="F242" s="20" t="s">
        <v>364</v>
      </c>
      <c r="G242" s="8" t="str">
        <f t="shared" si="6"/>
        <v>NICHOLSON WESLEY</v>
      </c>
      <c r="H242" s="20" t="str">
        <f t="shared" si="7"/>
        <v>4014</v>
      </c>
    </row>
    <row r="243" spans="1:8" x14ac:dyDescent="0.25">
      <c r="A243" s="8">
        <v>43055.037569444445</v>
      </c>
      <c r="B243" t="s">
        <v>387</v>
      </c>
      <c r="C243" t="s">
        <v>517</v>
      </c>
      <c r="D243" s="195">
        <v>890000</v>
      </c>
      <c r="E243" t="s">
        <v>344</v>
      </c>
      <c r="F243" s="20" t="s">
        <v>345</v>
      </c>
      <c r="G243" s="8" t="str">
        <f t="shared" si="6"/>
        <v>LOZA FIDEL</v>
      </c>
      <c r="H243" s="20" t="str">
        <f t="shared" si="7"/>
        <v>4029</v>
      </c>
    </row>
    <row r="244" spans="1:8" x14ac:dyDescent="0.25">
      <c r="A244" s="8">
        <v>43055.046736111108</v>
      </c>
      <c r="B244" t="s">
        <v>489</v>
      </c>
      <c r="C244" t="s">
        <v>518</v>
      </c>
      <c r="D244" s="195">
        <v>3220000</v>
      </c>
      <c r="E244" t="s">
        <v>378</v>
      </c>
      <c r="F244" s="20" t="s">
        <v>379</v>
      </c>
      <c r="G244" s="8" t="str">
        <f t="shared" si="6"/>
        <v>RESPASS AARON</v>
      </c>
      <c r="H244" s="20" t="str">
        <f t="shared" si="7"/>
        <v>4040</v>
      </c>
    </row>
    <row r="245" spans="1:8" x14ac:dyDescent="0.25">
      <c r="A245" s="8">
        <v>43055.050555555557</v>
      </c>
      <c r="B245" t="s">
        <v>491</v>
      </c>
      <c r="C245" t="s">
        <v>519</v>
      </c>
      <c r="D245" s="195">
        <v>3310000</v>
      </c>
      <c r="E245" t="s">
        <v>504</v>
      </c>
      <c r="F245" s="20" t="s">
        <v>505</v>
      </c>
      <c r="G245" s="8" t="str">
        <f t="shared" si="6"/>
        <v>ANDERS STEVEN</v>
      </c>
      <c r="H245" s="20" t="str">
        <f t="shared" si="7"/>
        <v>4065</v>
      </c>
    </row>
    <row r="246" spans="1:8" x14ac:dyDescent="0.25">
      <c r="A246" s="8">
        <v>43055.089861111112</v>
      </c>
      <c r="B246" t="s">
        <v>503</v>
      </c>
      <c r="C246" t="s">
        <v>520</v>
      </c>
      <c r="D246" s="195">
        <v>3310000</v>
      </c>
      <c r="E246" t="s">
        <v>504</v>
      </c>
      <c r="F246" s="20" t="s">
        <v>505</v>
      </c>
      <c r="G246" s="8" t="str">
        <f t="shared" si="6"/>
        <v>ANDERS STEVEN</v>
      </c>
      <c r="H246" s="20" t="str">
        <f t="shared" si="7"/>
        <v>4066</v>
      </c>
    </row>
    <row r="247" spans="1:8" x14ac:dyDescent="0.25">
      <c r="A247" s="8">
        <v>43055.090868055559</v>
      </c>
      <c r="B247" t="s">
        <v>503</v>
      </c>
      <c r="C247" t="s">
        <v>520</v>
      </c>
      <c r="D247" s="195">
        <v>3310000</v>
      </c>
      <c r="E247" t="s">
        <v>504</v>
      </c>
      <c r="F247" s="20" t="s">
        <v>505</v>
      </c>
      <c r="G247" s="8" t="str">
        <f t="shared" si="6"/>
        <v>ANDERS STEVEN</v>
      </c>
      <c r="H247" s="20" t="str">
        <f t="shared" si="7"/>
        <v>4066</v>
      </c>
    </row>
    <row r="248" spans="1:8" x14ac:dyDescent="0.25">
      <c r="A248" s="8">
        <v>43055.114317129628</v>
      </c>
      <c r="B248" t="s">
        <v>502</v>
      </c>
      <c r="C248" t="s">
        <v>521</v>
      </c>
      <c r="D248" s="195">
        <v>1830000</v>
      </c>
      <c r="E248" t="s">
        <v>346</v>
      </c>
      <c r="F248" s="20" t="s">
        <v>347</v>
      </c>
      <c r="G248" s="8" t="str">
        <f t="shared" si="6"/>
        <v>YORK EDGAR</v>
      </c>
      <c r="H248" s="20" t="str">
        <f t="shared" si="7"/>
        <v>4003</v>
      </c>
    </row>
    <row r="249" spans="1:8" x14ac:dyDescent="0.25">
      <c r="A249" s="8">
        <v>43047.950833333336</v>
      </c>
      <c r="B249" t="s">
        <v>446</v>
      </c>
      <c r="C249" t="s">
        <v>462</v>
      </c>
      <c r="D249" s="195">
        <v>3320000</v>
      </c>
      <c r="E249" t="s">
        <v>363</v>
      </c>
      <c r="F249" s="20" t="s">
        <v>364</v>
      </c>
      <c r="G249" s="8" t="str">
        <f t="shared" si="6"/>
        <v>NICHOLSON WESLEY</v>
      </c>
      <c r="H249" s="20" t="str">
        <f t="shared" si="7"/>
        <v>4010</v>
      </c>
    </row>
    <row r="250" spans="1:8" x14ac:dyDescent="0.25">
      <c r="A250" s="8">
        <v>43047.952499999999</v>
      </c>
      <c r="B250" t="s">
        <v>459</v>
      </c>
      <c r="C250" t="s">
        <v>463</v>
      </c>
      <c r="D250" s="195">
        <v>890000</v>
      </c>
      <c r="E250" t="s">
        <v>344</v>
      </c>
      <c r="F250" s="20" t="s">
        <v>345</v>
      </c>
      <c r="G250" s="8" t="str">
        <f t="shared" si="6"/>
        <v>LOZA FIDEL</v>
      </c>
      <c r="H250" s="20" t="str">
        <f t="shared" si="7"/>
        <v>4051</v>
      </c>
    </row>
    <row r="251" spans="1:8" x14ac:dyDescent="0.25">
      <c r="A251" s="8">
        <v>43047.962326388886</v>
      </c>
      <c r="B251" t="s">
        <v>456</v>
      </c>
      <c r="C251" t="s">
        <v>464</v>
      </c>
      <c r="D251" s="195">
        <v>2000000</v>
      </c>
      <c r="E251" t="s">
        <v>395</v>
      </c>
      <c r="F251" s="20" t="s">
        <v>396</v>
      </c>
      <c r="G251" s="8" t="str">
        <f t="shared" si="6"/>
        <v>STAMBAUGH JAMES</v>
      </c>
      <c r="H251" s="20" t="str">
        <f t="shared" si="7"/>
        <v>4024</v>
      </c>
    </row>
    <row r="252" spans="1:8" x14ac:dyDescent="0.25">
      <c r="A252" s="8">
        <v>43047.972604166665</v>
      </c>
      <c r="B252" t="s">
        <v>448</v>
      </c>
      <c r="C252" t="s">
        <v>465</v>
      </c>
      <c r="D252" s="195">
        <v>2540000</v>
      </c>
      <c r="E252" t="s">
        <v>466</v>
      </c>
      <c r="F252" s="20" t="s">
        <v>467</v>
      </c>
      <c r="G252" s="8" t="str">
        <f t="shared" si="6"/>
        <v>MCREYNOLDS KYLE</v>
      </c>
      <c r="H252" s="20" t="str">
        <f t="shared" si="7"/>
        <v>4050</v>
      </c>
    </row>
    <row r="253" spans="1:8" x14ac:dyDescent="0.25">
      <c r="A253" s="8">
        <v>43047.974976851852</v>
      </c>
      <c r="B253" t="s">
        <v>391</v>
      </c>
      <c r="C253" t="s">
        <v>468</v>
      </c>
      <c r="D253" s="195">
        <v>3700000</v>
      </c>
      <c r="E253" t="s">
        <v>449</v>
      </c>
      <c r="F253" s="20" t="s">
        <v>369</v>
      </c>
      <c r="G253" s="8" t="str">
        <f t="shared" si="6"/>
        <v>AUSTIN THOMPSON</v>
      </c>
      <c r="H253" s="20" t="str">
        <f t="shared" si="7"/>
        <v>4059</v>
      </c>
    </row>
    <row r="254" spans="1:8" x14ac:dyDescent="0.25">
      <c r="A254" s="8">
        <v>43047.975590277776</v>
      </c>
      <c r="B254" t="s">
        <v>457</v>
      </c>
      <c r="C254" t="s">
        <v>469</v>
      </c>
      <c r="D254" s="195">
        <v>2000000</v>
      </c>
      <c r="E254" t="s">
        <v>395</v>
      </c>
      <c r="F254" s="20" t="s">
        <v>396</v>
      </c>
      <c r="G254" s="8" t="str">
        <f t="shared" si="6"/>
        <v>STAMBAUGH JAMES</v>
      </c>
      <c r="H254" s="20" t="str">
        <f t="shared" si="7"/>
        <v>4023</v>
      </c>
    </row>
    <row r="255" spans="1:8" x14ac:dyDescent="0.25">
      <c r="A255" s="8">
        <v>43047.989583333336</v>
      </c>
      <c r="B255" t="s">
        <v>455</v>
      </c>
      <c r="C255" t="s">
        <v>470</v>
      </c>
      <c r="D255" s="195">
        <v>890000</v>
      </c>
      <c r="E255" t="s">
        <v>344</v>
      </c>
      <c r="F255" s="20" t="s">
        <v>345</v>
      </c>
      <c r="G255" s="8" t="str">
        <f t="shared" si="6"/>
        <v>LOZA FIDEL</v>
      </c>
      <c r="H255" s="20" t="str">
        <f t="shared" si="7"/>
        <v>4052</v>
      </c>
    </row>
    <row r="256" spans="1:8" x14ac:dyDescent="0.25">
      <c r="A256" s="8">
        <v>43047.994467592594</v>
      </c>
      <c r="B256" t="s">
        <v>445</v>
      </c>
      <c r="C256" t="s">
        <v>471</v>
      </c>
      <c r="D256" s="195">
        <v>3320000</v>
      </c>
      <c r="E256" t="s">
        <v>363</v>
      </c>
      <c r="F256" s="20" t="s">
        <v>364</v>
      </c>
      <c r="G256" s="8" t="str">
        <f t="shared" si="6"/>
        <v>NICHOLSON WESLEY</v>
      </c>
      <c r="H256" s="20" t="str">
        <f t="shared" si="7"/>
        <v>4009</v>
      </c>
    </row>
    <row r="257" spans="1:8" x14ac:dyDescent="0.25">
      <c r="A257" s="8">
        <v>43048.013437499998</v>
      </c>
      <c r="B257" t="s">
        <v>447</v>
      </c>
      <c r="C257" t="s">
        <v>472</v>
      </c>
      <c r="D257" s="195">
        <v>2540000</v>
      </c>
      <c r="E257" t="s">
        <v>466</v>
      </c>
      <c r="F257" s="20" t="s">
        <v>467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357</v>
      </c>
      <c r="C258" t="s">
        <v>458</v>
      </c>
      <c r="D258" s="195">
        <v>3700000</v>
      </c>
      <c r="E258" t="s">
        <v>449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446</v>
      </c>
      <c r="C259" t="s">
        <v>473</v>
      </c>
      <c r="D259" s="195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459</v>
      </c>
      <c r="C260" t="s">
        <v>474</v>
      </c>
      <c r="D260" s="195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448</v>
      </c>
      <c r="C261" t="s">
        <v>475</v>
      </c>
      <c r="D261" s="195">
        <v>2440000</v>
      </c>
      <c r="E261" t="s">
        <v>460</v>
      </c>
      <c r="F261" s="20" t="s">
        <v>461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391</v>
      </c>
      <c r="C262" t="s">
        <v>476</v>
      </c>
      <c r="D262" s="195">
        <v>3700000</v>
      </c>
      <c r="E262" t="s">
        <v>449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455</v>
      </c>
      <c r="C263" t="s">
        <v>477</v>
      </c>
      <c r="D263" s="195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357</v>
      </c>
      <c r="C264" t="s">
        <v>478</v>
      </c>
      <c r="D264" s="195">
        <v>3700000</v>
      </c>
      <c r="E264" t="s">
        <v>449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387</v>
      </c>
      <c r="C265" t="s">
        <v>399</v>
      </c>
      <c r="D265" s="195">
        <v>3670000</v>
      </c>
      <c r="E265" t="s">
        <v>383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360</v>
      </c>
      <c r="C266" t="s">
        <v>400</v>
      </c>
      <c r="D266" s="195">
        <v>2000000</v>
      </c>
      <c r="E266" t="s">
        <v>395</v>
      </c>
      <c r="F266" s="20" t="s">
        <v>396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385</v>
      </c>
      <c r="C267" t="s">
        <v>401</v>
      </c>
      <c r="D267" s="195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391</v>
      </c>
      <c r="C268" t="s">
        <v>402</v>
      </c>
      <c r="D268" s="195">
        <v>2230000</v>
      </c>
      <c r="E268" t="s">
        <v>394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362</v>
      </c>
      <c r="C269" t="s">
        <v>403</v>
      </c>
      <c r="D269" s="195">
        <v>2000000</v>
      </c>
      <c r="E269" t="s">
        <v>395</v>
      </c>
      <c r="F269" s="20" t="s">
        <v>396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356</v>
      </c>
      <c r="C270" t="s">
        <v>404</v>
      </c>
      <c r="D270" s="195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371</v>
      </c>
      <c r="C271" t="s">
        <v>405</v>
      </c>
      <c r="D271" s="195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384</v>
      </c>
      <c r="C272" t="s">
        <v>406</v>
      </c>
      <c r="D272" s="195">
        <v>2610000</v>
      </c>
      <c r="E272" t="s">
        <v>381</v>
      </c>
      <c r="F272" s="20" t="s">
        <v>382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392</v>
      </c>
      <c r="C273" t="s">
        <v>407</v>
      </c>
      <c r="D273" s="195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393</v>
      </c>
      <c r="C274" t="s">
        <v>408</v>
      </c>
      <c r="D274" s="195">
        <v>3670000</v>
      </c>
      <c r="E274" t="s">
        <v>383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367</v>
      </c>
      <c r="C275" t="s">
        <v>409</v>
      </c>
      <c r="D275" s="195">
        <v>2040000</v>
      </c>
      <c r="E275" t="s">
        <v>397</v>
      </c>
      <c r="F275" s="20" t="s">
        <v>398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386</v>
      </c>
      <c r="C276" t="s">
        <v>410</v>
      </c>
      <c r="D276" s="195">
        <v>2610000</v>
      </c>
      <c r="E276" t="s">
        <v>381</v>
      </c>
      <c r="F276" s="20" t="s">
        <v>382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357</v>
      </c>
      <c r="C277" t="s">
        <v>411</v>
      </c>
      <c r="D277" s="195">
        <v>2230000</v>
      </c>
      <c r="E277" t="s">
        <v>394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361</v>
      </c>
      <c r="C278" t="s">
        <v>412</v>
      </c>
      <c r="D278" s="195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384</v>
      </c>
      <c r="C279" t="s">
        <v>413</v>
      </c>
      <c r="D279" s="195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370</v>
      </c>
      <c r="C280" t="s">
        <v>414</v>
      </c>
      <c r="D280" s="195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387</v>
      </c>
      <c r="C281" t="s">
        <v>388</v>
      </c>
      <c r="D281" s="195">
        <v>3670000</v>
      </c>
      <c r="E281" t="s">
        <v>383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386</v>
      </c>
      <c r="C282" t="s">
        <v>415</v>
      </c>
      <c r="D282" s="195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366</v>
      </c>
      <c r="C283" t="s">
        <v>416</v>
      </c>
      <c r="D283" s="195">
        <v>2040000</v>
      </c>
      <c r="E283" t="s">
        <v>397</v>
      </c>
      <c r="F283" s="20" t="s">
        <v>398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356</v>
      </c>
      <c r="C284" t="s">
        <v>417</v>
      </c>
      <c r="D284" s="195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371</v>
      </c>
      <c r="C285" t="s">
        <v>418</v>
      </c>
      <c r="D285" s="195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384</v>
      </c>
      <c r="C286" t="s">
        <v>419</v>
      </c>
      <c r="D286" s="195">
        <v>2000000</v>
      </c>
      <c r="E286" t="s">
        <v>395</v>
      </c>
      <c r="F286" s="20" t="s">
        <v>396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384</v>
      </c>
      <c r="C287" t="s">
        <v>419</v>
      </c>
      <c r="D287" s="195">
        <v>2000000</v>
      </c>
      <c r="E287" t="s">
        <v>395</v>
      </c>
      <c r="F287" s="20" t="s">
        <v>396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393</v>
      </c>
      <c r="C288" t="s">
        <v>420</v>
      </c>
      <c r="D288" s="195">
        <v>3670000</v>
      </c>
      <c r="E288" t="s">
        <v>383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367</v>
      </c>
      <c r="C289" t="s">
        <v>421</v>
      </c>
      <c r="D289" s="195">
        <v>2040000</v>
      </c>
      <c r="E289" t="s">
        <v>397</v>
      </c>
      <c r="F289" s="20" t="s">
        <v>398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386</v>
      </c>
      <c r="C290" t="s">
        <v>422</v>
      </c>
      <c r="D290" s="195">
        <v>2000000</v>
      </c>
      <c r="E290" t="s">
        <v>395</v>
      </c>
      <c r="F290" s="20" t="s">
        <v>396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370</v>
      </c>
      <c r="C291" t="s">
        <v>423</v>
      </c>
      <c r="D291" s="195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361</v>
      </c>
      <c r="C292" t="s">
        <v>424</v>
      </c>
      <c r="D292" s="195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384</v>
      </c>
      <c r="C293" t="s">
        <v>425</v>
      </c>
      <c r="D293" s="195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387</v>
      </c>
      <c r="C294" t="s">
        <v>389</v>
      </c>
      <c r="D294" s="195">
        <v>3670000</v>
      </c>
      <c r="E294" t="s">
        <v>383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366</v>
      </c>
      <c r="C295" t="s">
        <v>426</v>
      </c>
      <c r="D295" s="195">
        <v>2040000</v>
      </c>
      <c r="E295" t="s">
        <v>397</v>
      </c>
      <c r="F295" s="20" t="s">
        <v>398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386</v>
      </c>
      <c r="C296" t="s">
        <v>427</v>
      </c>
      <c r="D296" s="195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356</v>
      </c>
      <c r="C297" t="s">
        <v>428</v>
      </c>
      <c r="D297" s="195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371</v>
      </c>
      <c r="C298" t="s">
        <v>429</v>
      </c>
      <c r="D298" s="195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384</v>
      </c>
      <c r="C299" t="s">
        <v>430</v>
      </c>
      <c r="D299" s="195">
        <v>2000000</v>
      </c>
      <c r="E299" t="s">
        <v>395</v>
      </c>
      <c r="F299" s="20" t="s">
        <v>396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393</v>
      </c>
      <c r="C300" t="s">
        <v>431</v>
      </c>
      <c r="D300" s="195">
        <v>3670000</v>
      </c>
      <c r="E300" t="s">
        <v>383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367</v>
      </c>
      <c r="C301" t="s">
        <v>432</v>
      </c>
      <c r="D301" s="195">
        <v>2040000</v>
      </c>
      <c r="E301" t="s">
        <v>397</v>
      </c>
      <c r="F301" s="20" t="s">
        <v>398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386</v>
      </c>
      <c r="C302" t="s">
        <v>433</v>
      </c>
      <c r="D302" s="195">
        <v>2000000</v>
      </c>
      <c r="E302" t="s">
        <v>395</v>
      </c>
      <c r="F302" s="20" t="s">
        <v>396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361</v>
      </c>
      <c r="C303" t="s">
        <v>390</v>
      </c>
      <c r="D303" s="195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370</v>
      </c>
      <c r="C304" t="s">
        <v>434</v>
      </c>
      <c r="D304" s="195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387</v>
      </c>
      <c r="C305" t="s">
        <v>435</v>
      </c>
      <c r="D305" s="195">
        <v>3670000</v>
      </c>
      <c r="E305" t="s">
        <v>383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366</v>
      </c>
      <c r="C306" t="s">
        <v>436</v>
      </c>
      <c r="D306" s="195">
        <v>2040000</v>
      </c>
      <c r="E306" t="s">
        <v>397</v>
      </c>
      <c r="F306" s="20" t="s">
        <v>398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356</v>
      </c>
      <c r="C307" t="s">
        <v>437</v>
      </c>
      <c r="D307" s="195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371</v>
      </c>
      <c r="C308" t="s">
        <v>438</v>
      </c>
      <c r="D308" s="195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393</v>
      </c>
      <c r="C309" t="s">
        <v>439</v>
      </c>
      <c r="D309" s="195">
        <v>3670000</v>
      </c>
      <c r="E309" t="s">
        <v>383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367</v>
      </c>
      <c r="C310" t="s">
        <v>440</v>
      </c>
      <c r="D310" s="195">
        <v>2040000</v>
      </c>
      <c r="E310" t="s">
        <v>397</v>
      </c>
      <c r="F310" s="20" t="s">
        <v>398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370</v>
      </c>
      <c r="C311" t="s">
        <v>441</v>
      </c>
      <c r="D311" s="195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366</v>
      </c>
      <c r="C312" t="s">
        <v>442</v>
      </c>
      <c r="D312" s="195">
        <v>2040000</v>
      </c>
      <c r="E312" t="s">
        <v>397</v>
      </c>
      <c r="F312" s="20" t="s">
        <v>398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351</v>
      </c>
      <c r="C313" t="s">
        <v>365</v>
      </c>
      <c r="D313" s="195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R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7" t="s">
        <v>156</v>
      </c>
      <c r="B1" s="217" t="s">
        <v>159</v>
      </c>
      <c r="C1" s="217" t="s">
        <v>152</v>
      </c>
      <c r="D1" s="136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157</v>
      </c>
      <c r="K1" s="217" t="s">
        <v>155</v>
      </c>
      <c r="L1" s="217" t="s">
        <v>150</v>
      </c>
      <c r="M1" s="217" t="s">
        <v>160</v>
      </c>
      <c r="N1" s="217" t="s">
        <v>334</v>
      </c>
      <c r="O1" s="217" t="s">
        <v>154</v>
      </c>
      <c r="P1" s="217" t="s">
        <v>161</v>
      </c>
      <c r="Q1" s="217" t="s">
        <v>335</v>
      </c>
      <c r="R1" s="217" t="s">
        <v>158</v>
      </c>
      <c r="S1"/>
      <c r="T1"/>
    </row>
    <row r="2" spans="1:20" x14ac:dyDescent="0.25">
      <c r="A2" s="195">
        <v>41.02</v>
      </c>
      <c r="B2" s="195">
        <v>0</v>
      </c>
      <c r="C2" s="195">
        <v>7.02</v>
      </c>
      <c r="D2" s="8">
        <v>43059</v>
      </c>
      <c r="E2" s="195">
        <v>0.24</v>
      </c>
      <c r="F2" s="195" t="s">
        <v>480</v>
      </c>
      <c r="G2" s="195">
        <v>277</v>
      </c>
      <c r="H2" s="195">
        <v>0</v>
      </c>
      <c r="I2" s="195">
        <v>0</v>
      </c>
      <c r="J2" s="195">
        <v>1012.19</v>
      </c>
      <c r="K2" s="195" t="s">
        <v>479</v>
      </c>
      <c r="L2" s="195">
        <v>41.02</v>
      </c>
      <c r="M2" s="195">
        <v>1511161200</v>
      </c>
      <c r="N2" s="195">
        <v>0</v>
      </c>
      <c r="O2" s="195">
        <v>3.13</v>
      </c>
      <c r="P2" s="195">
        <v>196</v>
      </c>
      <c r="Q2" s="195">
        <v>5.9</v>
      </c>
      <c r="R2" s="195">
        <v>2.04</v>
      </c>
      <c r="S2"/>
      <c r="T2"/>
    </row>
    <row r="3" spans="1:20" x14ac:dyDescent="0.25">
      <c r="A3" s="195">
        <v>41.19</v>
      </c>
      <c r="B3" s="195">
        <v>0.01</v>
      </c>
      <c r="C3" s="195">
        <v>5.9</v>
      </c>
      <c r="D3" s="8">
        <v>43059.041666666664</v>
      </c>
      <c r="E3" s="195">
        <v>0.23</v>
      </c>
      <c r="F3" s="195" t="s">
        <v>480</v>
      </c>
      <c r="G3" s="195">
        <v>276.39999999999998</v>
      </c>
      <c r="H3" s="195">
        <v>0</v>
      </c>
      <c r="I3" s="195">
        <v>0</v>
      </c>
      <c r="J3" s="195">
        <v>1012.93</v>
      </c>
      <c r="K3" s="195" t="s">
        <v>479</v>
      </c>
      <c r="L3" s="195">
        <v>41.19</v>
      </c>
      <c r="M3" s="195">
        <v>1511164800</v>
      </c>
      <c r="N3" s="195">
        <v>0</v>
      </c>
      <c r="O3" s="195">
        <v>2.13</v>
      </c>
      <c r="P3" s="195">
        <v>187</v>
      </c>
      <c r="Q3" s="195">
        <v>5.72</v>
      </c>
      <c r="R3" s="195">
        <v>1.37</v>
      </c>
      <c r="S3"/>
      <c r="T3"/>
    </row>
    <row r="4" spans="1:20" x14ac:dyDescent="0.25">
      <c r="A4" s="195">
        <v>41.21</v>
      </c>
      <c r="B4" s="195">
        <v>0.03</v>
      </c>
      <c r="C4" s="195">
        <v>5.55</v>
      </c>
      <c r="D4" s="8">
        <v>43059.083333333336</v>
      </c>
      <c r="E4" s="195">
        <v>0.22</v>
      </c>
      <c r="F4" s="195" t="s">
        <v>480</v>
      </c>
      <c r="G4" s="195">
        <v>275.68</v>
      </c>
      <c r="H4" s="195">
        <v>0</v>
      </c>
      <c r="I4" s="195">
        <v>0</v>
      </c>
      <c r="J4" s="195">
        <v>1013.15</v>
      </c>
      <c r="K4" s="195" t="s">
        <v>479</v>
      </c>
      <c r="L4" s="195">
        <v>41.21</v>
      </c>
      <c r="M4" s="195">
        <v>1511168400</v>
      </c>
      <c r="N4" s="195">
        <v>0</v>
      </c>
      <c r="O4" s="195">
        <v>2.76</v>
      </c>
      <c r="P4" s="195">
        <v>186</v>
      </c>
      <c r="Q4" s="195">
        <v>5.68</v>
      </c>
      <c r="R4" s="195">
        <v>1.68</v>
      </c>
      <c r="S4"/>
      <c r="T4"/>
    </row>
    <row r="5" spans="1:20" x14ac:dyDescent="0.25">
      <c r="A5" s="195">
        <v>40.97</v>
      </c>
      <c r="B5" s="195">
        <v>0.05</v>
      </c>
      <c r="C5" s="195">
        <v>6.51</v>
      </c>
      <c r="D5" s="8">
        <v>43059.125</v>
      </c>
      <c r="E5" s="195">
        <v>0.23</v>
      </c>
      <c r="F5" s="195" t="s">
        <v>480</v>
      </c>
      <c r="G5" s="195">
        <v>274.95999999999998</v>
      </c>
      <c r="H5" s="195">
        <v>0</v>
      </c>
      <c r="I5" s="195">
        <v>0</v>
      </c>
      <c r="J5" s="195">
        <v>1014.35</v>
      </c>
      <c r="K5" s="195" t="s">
        <v>479</v>
      </c>
      <c r="L5" s="195">
        <v>40.97</v>
      </c>
      <c r="M5" s="195">
        <v>1511172000</v>
      </c>
      <c r="N5" s="195">
        <v>0</v>
      </c>
      <c r="O5" s="195">
        <v>2.5299999999999998</v>
      </c>
      <c r="P5" s="195">
        <v>211</v>
      </c>
      <c r="Q5" s="195">
        <v>4.46</v>
      </c>
      <c r="R5" s="195">
        <v>1.19</v>
      </c>
      <c r="S5"/>
      <c r="T5"/>
    </row>
    <row r="6" spans="1:20" x14ac:dyDescent="0.25">
      <c r="A6" s="195">
        <v>40.590000000000003</v>
      </c>
      <c r="B6" s="195">
        <v>0.05</v>
      </c>
      <c r="C6" s="195">
        <v>7.62</v>
      </c>
      <c r="D6" s="8">
        <v>43059.166666666664</v>
      </c>
      <c r="E6" s="195">
        <v>0.25</v>
      </c>
      <c r="F6" s="195" t="s">
        <v>480</v>
      </c>
      <c r="G6" s="195">
        <v>274.24</v>
      </c>
      <c r="H6" s="195">
        <v>0</v>
      </c>
      <c r="I6" s="195">
        <v>0</v>
      </c>
      <c r="J6" s="195">
        <v>1010.43</v>
      </c>
      <c r="K6" s="195" t="s">
        <v>479</v>
      </c>
      <c r="L6" s="195">
        <v>40.590000000000003</v>
      </c>
      <c r="M6" s="195">
        <v>1511175600</v>
      </c>
      <c r="N6" s="195">
        <v>0</v>
      </c>
      <c r="O6" s="195">
        <v>3.17</v>
      </c>
      <c r="P6" s="195">
        <v>197</v>
      </c>
      <c r="Q6" s="195">
        <v>5.26</v>
      </c>
      <c r="R6" s="195">
        <v>1.62</v>
      </c>
      <c r="S6"/>
      <c r="T6"/>
    </row>
    <row r="7" spans="1:20" x14ac:dyDescent="0.25">
      <c r="A7" s="195">
        <v>41.47</v>
      </c>
      <c r="B7" s="195">
        <v>7.0000000000000007E-2</v>
      </c>
      <c r="C7" s="195">
        <v>6.88</v>
      </c>
      <c r="D7" s="8">
        <v>43059.208333333336</v>
      </c>
      <c r="E7" s="195">
        <v>0.23</v>
      </c>
      <c r="F7" s="195" t="s">
        <v>480</v>
      </c>
      <c r="G7" s="195">
        <v>275.45</v>
      </c>
      <c r="H7" s="195">
        <v>0</v>
      </c>
      <c r="I7" s="195">
        <v>0</v>
      </c>
      <c r="J7" s="195">
        <v>1009.57</v>
      </c>
      <c r="K7" s="195" t="s">
        <v>479</v>
      </c>
      <c r="L7" s="195">
        <v>41.47</v>
      </c>
      <c r="M7" s="195">
        <v>1511179200</v>
      </c>
      <c r="N7" s="195">
        <v>0</v>
      </c>
      <c r="O7" s="195">
        <v>3.36</v>
      </c>
      <c r="P7" s="195">
        <v>226</v>
      </c>
      <c r="Q7" s="195">
        <v>7.34</v>
      </c>
      <c r="R7" s="195">
        <v>2.1</v>
      </c>
      <c r="S7"/>
      <c r="T7"/>
    </row>
    <row r="8" spans="1:20" x14ac:dyDescent="0.25">
      <c r="A8" s="195">
        <v>45.28</v>
      </c>
      <c r="B8" s="195">
        <v>0.08</v>
      </c>
      <c r="C8" s="195">
        <v>3.35</v>
      </c>
      <c r="D8" s="8">
        <v>43059.25</v>
      </c>
      <c r="E8" s="195">
        <v>0.17</v>
      </c>
      <c r="F8" s="195" t="s">
        <v>480</v>
      </c>
      <c r="G8" s="195">
        <v>275.44</v>
      </c>
      <c r="H8" s="195">
        <v>0</v>
      </c>
      <c r="I8" s="195">
        <v>0</v>
      </c>
      <c r="J8" s="195">
        <v>1010.26</v>
      </c>
      <c r="K8" s="195" t="s">
        <v>479</v>
      </c>
      <c r="L8" s="195">
        <v>45.28</v>
      </c>
      <c r="M8" s="195">
        <v>1511182800</v>
      </c>
      <c r="N8" s="195">
        <v>0</v>
      </c>
      <c r="O8" s="195">
        <v>6.56</v>
      </c>
      <c r="P8" s="195">
        <v>233</v>
      </c>
      <c r="Q8" s="195">
        <v>7.3</v>
      </c>
      <c r="R8" s="195">
        <v>2.48</v>
      </c>
      <c r="S8"/>
      <c r="T8"/>
    </row>
    <row r="9" spans="1:20" x14ac:dyDescent="0.25">
      <c r="A9" s="195">
        <v>46.59</v>
      </c>
      <c r="B9" s="195">
        <v>0.09</v>
      </c>
      <c r="C9" s="195">
        <v>2.96</v>
      </c>
      <c r="D9" s="8">
        <v>43059.291666666664</v>
      </c>
      <c r="E9" s="195">
        <v>0.16</v>
      </c>
      <c r="F9" s="195" t="s">
        <v>522</v>
      </c>
      <c r="G9" s="195">
        <v>275.44</v>
      </c>
      <c r="H9" s="195">
        <v>0</v>
      </c>
      <c r="I9" s="195">
        <v>0</v>
      </c>
      <c r="J9" s="195">
        <v>1012.11</v>
      </c>
      <c r="K9" s="195" t="s">
        <v>479</v>
      </c>
      <c r="L9" s="195">
        <v>46.59</v>
      </c>
      <c r="M9" s="195">
        <v>1511186400</v>
      </c>
      <c r="N9" s="195">
        <v>0</v>
      </c>
      <c r="O9" s="195">
        <v>4.3899999999999997</v>
      </c>
      <c r="P9" s="195">
        <v>225</v>
      </c>
      <c r="Q9" s="195">
        <v>6.76</v>
      </c>
      <c r="R9" s="195">
        <v>1.31</v>
      </c>
      <c r="S9"/>
      <c r="T9"/>
    </row>
    <row r="10" spans="1:20" x14ac:dyDescent="0.25">
      <c r="A10" s="195">
        <v>48.08</v>
      </c>
      <c r="B10" s="195">
        <v>0.11</v>
      </c>
      <c r="C10" s="195">
        <v>4.0599999999999996</v>
      </c>
      <c r="D10" s="8">
        <v>43059.333333333336</v>
      </c>
      <c r="E10" s="195">
        <v>0.16</v>
      </c>
      <c r="F10" s="195" t="s">
        <v>522</v>
      </c>
      <c r="G10" s="195">
        <v>275.55</v>
      </c>
      <c r="H10" s="195">
        <v>0</v>
      </c>
      <c r="I10" s="195">
        <v>0</v>
      </c>
      <c r="J10" s="195">
        <v>1009.04</v>
      </c>
      <c r="K10" s="195" t="s">
        <v>479</v>
      </c>
      <c r="L10" s="195">
        <v>48.08</v>
      </c>
      <c r="M10" s="195">
        <v>1511190000</v>
      </c>
      <c r="N10" s="195">
        <v>1</v>
      </c>
      <c r="O10" s="195">
        <v>3.04</v>
      </c>
      <c r="P10" s="195">
        <v>182</v>
      </c>
      <c r="Q10" s="195">
        <v>6.45</v>
      </c>
      <c r="R10" s="195">
        <v>1.19</v>
      </c>
      <c r="S10"/>
      <c r="T10"/>
    </row>
    <row r="11" spans="1:20" x14ac:dyDescent="0.25">
      <c r="A11" s="195">
        <v>51.56</v>
      </c>
      <c r="B11" s="195">
        <v>0.08</v>
      </c>
      <c r="C11" s="195">
        <v>6.11</v>
      </c>
      <c r="D11" s="8">
        <v>43059.375</v>
      </c>
      <c r="E11" s="195">
        <v>0.15</v>
      </c>
      <c r="F11" s="195" t="s">
        <v>522</v>
      </c>
      <c r="G11" s="195">
        <v>275.79000000000002</v>
      </c>
      <c r="H11" s="195">
        <v>0</v>
      </c>
      <c r="I11" s="195">
        <v>0</v>
      </c>
      <c r="J11" s="195">
        <v>1008.5</v>
      </c>
      <c r="K11" s="195" t="s">
        <v>479</v>
      </c>
      <c r="L11" s="195">
        <v>51.56</v>
      </c>
      <c r="M11" s="195">
        <v>1511193600</v>
      </c>
      <c r="N11" s="195">
        <v>1</v>
      </c>
      <c r="O11" s="195">
        <v>3.36</v>
      </c>
      <c r="P11" s="195">
        <v>180</v>
      </c>
      <c r="Q11" s="195">
        <v>7.93</v>
      </c>
      <c r="R11" s="195">
        <v>1.96</v>
      </c>
      <c r="S11"/>
      <c r="T11"/>
    </row>
    <row r="12" spans="1:20" x14ac:dyDescent="0.25">
      <c r="A12" s="195">
        <v>56.68</v>
      </c>
      <c r="B12" s="195">
        <v>0.2</v>
      </c>
      <c r="C12" s="195">
        <v>7.47</v>
      </c>
      <c r="D12" s="8">
        <v>43059.416666666664</v>
      </c>
      <c r="E12" s="195">
        <v>0.14000000000000001</v>
      </c>
      <c r="F12" s="195" t="s">
        <v>522</v>
      </c>
      <c r="G12" s="195">
        <v>276.14999999999998</v>
      </c>
      <c r="H12" s="195">
        <v>0</v>
      </c>
      <c r="I12" s="195">
        <v>0</v>
      </c>
      <c r="J12" s="195">
        <v>1007.98</v>
      </c>
      <c r="K12" s="195" t="s">
        <v>479</v>
      </c>
      <c r="L12" s="195">
        <v>56.68</v>
      </c>
      <c r="M12" s="195">
        <v>1511197200</v>
      </c>
      <c r="N12" s="195">
        <v>2</v>
      </c>
      <c r="O12" s="195">
        <v>4.6900000000000004</v>
      </c>
      <c r="P12" s="195">
        <v>224</v>
      </c>
      <c r="Q12" s="195">
        <v>12.25</v>
      </c>
      <c r="R12" s="195">
        <v>3.18</v>
      </c>
      <c r="S12"/>
      <c r="T12"/>
    </row>
    <row r="13" spans="1:20" x14ac:dyDescent="0.25">
      <c r="A13" s="195">
        <v>61.84</v>
      </c>
      <c r="B13" s="195">
        <v>0.17</v>
      </c>
      <c r="C13" s="195">
        <v>6.12</v>
      </c>
      <c r="D13" s="8">
        <v>43059.458333333336</v>
      </c>
      <c r="E13" s="195">
        <v>0.11</v>
      </c>
      <c r="F13" s="195" t="s">
        <v>522</v>
      </c>
      <c r="G13" s="195">
        <v>273.14</v>
      </c>
      <c r="H13" s="195">
        <v>0</v>
      </c>
      <c r="I13" s="195">
        <v>0</v>
      </c>
      <c r="J13" s="195">
        <v>1005.58</v>
      </c>
      <c r="K13" s="195" t="s">
        <v>479</v>
      </c>
      <c r="L13" s="195">
        <v>61.84</v>
      </c>
      <c r="M13" s="195">
        <v>1511200800</v>
      </c>
      <c r="N13" s="195">
        <v>2</v>
      </c>
      <c r="O13" s="195">
        <v>4.79</v>
      </c>
      <c r="P13" s="195">
        <v>251</v>
      </c>
      <c r="Q13" s="195">
        <v>13.79</v>
      </c>
      <c r="R13" s="195">
        <v>4.29</v>
      </c>
      <c r="S13"/>
      <c r="T13"/>
    </row>
    <row r="14" spans="1:20" x14ac:dyDescent="0.25">
      <c r="A14" s="195">
        <v>64.3</v>
      </c>
      <c r="B14" s="195">
        <v>7.0000000000000007E-2</v>
      </c>
      <c r="C14" s="195">
        <v>7.73</v>
      </c>
      <c r="D14" s="8">
        <v>43059.5</v>
      </c>
      <c r="E14" s="195">
        <v>0.11</v>
      </c>
      <c r="F14" s="195" t="s">
        <v>522</v>
      </c>
      <c r="G14" s="195">
        <v>272.52999999999997</v>
      </c>
      <c r="H14" s="195">
        <v>0</v>
      </c>
      <c r="I14" s="195">
        <v>0</v>
      </c>
      <c r="J14" s="195">
        <v>1005.17</v>
      </c>
      <c r="K14" s="195" t="s">
        <v>479</v>
      </c>
      <c r="L14" s="195">
        <v>64.3</v>
      </c>
      <c r="M14" s="195">
        <v>1511204400</v>
      </c>
      <c r="N14" s="195">
        <v>3</v>
      </c>
      <c r="O14" s="195">
        <v>4.79</v>
      </c>
      <c r="P14" s="195">
        <v>248</v>
      </c>
      <c r="Q14" s="195">
        <v>14.32</v>
      </c>
      <c r="R14" s="195">
        <v>4.78</v>
      </c>
      <c r="S14"/>
      <c r="T14"/>
    </row>
    <row r="15" spans="1:20" x14ac:dyDescent="0.25">
      <c r="A15" s="195">
        <v>66.78</v>
      </c>
      <c r="B15" s="195">
        <v>0.13</v>
      </c>
      <c r="C15" s="195">
        <v>9.4700000000000006</v>
      </c>
      <c r="D15" s="8">
        <v>43059.541666666664</v>
      </c>
      <c r="E15" s="195">
        <v>0.1</v>
      </c>
      <c r="F15" s="195" t="s">
        <v>522</v>
      </c>
      <c r="G15" s="195">
        <v>272.16000000000003</v>
      </c>
      <c r="H15" s="195">
        <v>0</v>
      </c>
      <c r="I15" s="195">
        <v>0</v>
      </c>
      <c r="J15" s="195">
        <v>1004.52</v>
      </c>
      <c r="K15" s="195" t="s">
        <v>479</v>
      </c>
      <c r="L15" s="195">
        <v>66.78</v>
      </c>
      <c r="M15" s="195">
        <v>1511208000</v>
      </c>
      <c r="N15" s="195">
        <v>2</v>
      </c>
      <c r="O15" s="195">
        <v>4.79</v>
      </c>
      <c r="P15" s="195">
        <v>256</v>
      </c>
      <c r="Q15" s="195">
        <v>16.170000000000002</v>
      </c>
      <c r="R15" s="195">
        <v>4.84</v>
      </c>
      <c r="S15"/>
      <c r="T15"/>
    </row>
    <row r="16" spans="1:20" x14ac:dyDescent="0.25">
      <c r="A16" s="195">
        <v>67.69</v>
      </c>
      <c r="B16" s="195">
        <v>7.0000000000000007E-2</v>
      </c>
      <c r="C16" s="195">
        <v>11.02</v>
      </c>
      <c r="D16" s="8">
        <v>43059.583333333336</v>
      </c>
      <c r="E16" s="195">
        <v>0.11</v>
      </c>
      <c r="F16" s="195" t="s">
        <v>522</v>
      </c>
      <c r="G16" s="195">
        <v>271.92</v>
      </c>
      <c r="H16" s="195">
        <v>0</v>
      </c>
      <c r="I16" s="195">
        <v>0</v>
      </c>
      <c r="J16" s="195">
        <v>1004.66</v>
      </c>
      <c r="K16" s="195" t="s">
        <v>479</v>
      </c>
      <c r="L16" s="195">
        <v>67.69</v>
      </c>
      <c r="M16" s="195">
        <v>1511211600</v>
      </c>
      <c r="N16" s="195">
        <v>2</v>
      </c>
      <c r="O16" s="195">
        <v>4.79</v>
      </c>
      <c r="P16" s="195">
        <v>300</v>
      </c>
      <c r="Q16" s="195">
        <v>13.49</v>
      </c>
      <c r="R16" s="195">
        <v>3.58</v>
      </c>
      <c r="S16"/>
      <c r="T16"/>
    </row>
    <row r="17" spans="1:20" x14ac:dyDescent="0.25">
      <c r="A17" s="195">
        <v>66.33</v>
      </c>
      <c r="B17" s="195">
        <v>7.0000000000000007E-2</v>
      </c>
      <c r="C17" s="195">
        <v>11.71</v>
      </c>
      <c r="D17" s="8">
        <v>43059.625</v>
      </c>
      <c r="E17" s="195">
        <v>0.12</v>
      </c>
      <c r="F17" s="195" t="s">
        <v>522</v>
      </c>
      <c r="G17" s="195">
        <v>272.16000000000003</v>
      </c>
      <c r="H17" s="195">
        <v>0</v>
      </c>
      <c r="I17" s="195">
        <v>0</v>
      </c>
      <c r="J17" s="195">
        <v>1004.82</v>
      </c>
      <c r="K17" s="195" t="s">
        <v>479</v>
      </c>
      <c r="L17" s="195">
        <v>66.33</v>
      </c>
      <c r="M17" s="195">
        <v>1511215200</v>
      </c>
      <c r="N17" s="195">
        <v>1</v>
      </c>
      <c r="O17" s="195">
        <v>4.79</v>
      </c>
      <c r="P17" s="195">
        <v>307</v>
      </c>
      <c r="Q17" s="195">
        <v>14.92</v>
      </c>
      <c r="R17" s="195">
        <v>4.3899999999999997</v>
      </c>
      <c r="S17"/>
      <c r="T17"/>
    </row>
    <row r="18" spans="1:20" x14ac:dyDescent="0.25">
      <c r="A18" s="195">
        <v>62.98</v>
      </c>
      <c r="B18" s="195">
        <v>0.12</v>
      </c>
      <c r="C18" s="195">
        <v>11.46</v>
      </c>
      <c r="D18" s="8">
        <v>43059.666666666664</v>
      </c>
      <c r="E18" s="195">
        <v>0.13</v>
      </c>
      <c r="F18" s="195" t="s">
        <v>522</v>
      </c>
      <c r="G18" s="195">
        <v>272.52999999999997</v>
      </c>
      <c r="H18" s="195">
        <v>0</v>
      </c>
      <c r="I18" s="195">
        <v>0</v>
      </c>
      <c r="J18" s="195">
        <v>1006.23</v>
      </c>
      <c r="K18" s="195" t="s">
        <v>479</v>
      </c>
      <c r="L18" s="195">
        <v>62.98</v>
      </c>
      <c r="M18" s="195">
        <v>1511218800</v>
      </c>
      <c r="N18" s="195">
        <v>0</v>
      </c>
      <c r="O18" s="195">
        <v>4.79</v>
      </c>
      <c r="P18" s="195">
        <v>304</v>
      </c>
      <c r="Q18" s="195">
        <v>14.24</v>
      </c>
      <c r="R18" s="195">
        <v>4.1500000000000004</v>
      </c>
      <c r="S18"/>
      <c r="T18"/>
    </row>
    <row r="19" spans="1:20" x14ac:dyDescent="0.25">
      <c r="A19" s="195">
        <v>58.98</v>
      </c>
      <c r="B19" s="195">
        <v>0.15</v>
      </c>
      <c r="C19" s="195">
        <v>11.33</v>
      </c>
      <c r="D19" s="8">
        <v>43059.708333333336</v>
      </c>
      <c r="E19" s="195">
        <v>0.15</v>
      </c>
      <c r="F19" s="195" t="s">
        <v>480</v>
      </c>
      <c r="G19" s="195">
        <v>273.26</v>
      </c>
      <c r="H19" s="195">
        <v>0</v>
      </c>
      <c r="I19" s="195">
        <v>0</v>
      </c>
      <c r="J19" s="195">
        <v>1007.33</v>
      </c>
      <c r="K19" s="195" t="s">
        <v>479</v>
      </c>
      <c r="L19" s="195">
        <v>58.98</v>
      </c>
      <c r="M19" s="195">
        <v>1511222400</v>
      </c>
      <c r="N19" s="195">
        <v>0</v>
      </c>
      <c r="O19" s="195">
        <v>4.5</v>
      </c>
      <c r="P19" s="195">
        <v>287</v>
      </c>
      <c r="Q19" s="195">
        <v>12.51</v>
      </c>
      <c r="R19" s="195">
        <v>4.1100000000000003</v>
      </c>
      <c r="S19"/>
      <c r="T19"/>
    </row>
    <row r="20" spans="1:20" x14ac:dyDescent="0.25">
      <c r="A20" s="195">
        <v>57.45</v>
      </c>
      <c r="B20" s="195">
        <v>0.11</v>
      </c>
      <c r="C20" s="195">
        <v>12.52</v>
      </c>
      <c r="D20" s="8">
        <v>43059.75</v>
      </c>
      <c r="E20" s="195">
        <v>0.17</v>
      </c>
      <c r="F20" s="195" t="s">
        <v>480</v>
      </c>
      <c r="G20" s="195">
        <v>272.77</v>
      </c>
      <c r="H20" s="195">
        <v>0</v>
      </c>
      <c r="I20" s="195">
        <v>0</v>
      </c>
      <c r="J20" s="195">
        <v>1007.74</v>
      </c>
      <c r="K20" s="195" t="s">
        <v>479</v>
      </c>
      <c r="L20" s="195">
        <v>57.45</v>
      </c>
      <c r="M20" s="195">
        <v>1511226000</v>
      </c>
      <c r="N20" s="195">
        <v>0</v>
      </c>
      <c r="O20" s="195">
        <v>2.69</v>
      </c>
      <c r="P20" s="195">
        <v>261</v>
      </c>
      <c r="Q20" s="195">
        <v>10.79</v>
      </c>
      <c r="R20" s="195">
        <v>2.92</v>
      </c>
      <c r="S20"/>
      <c r="T20"/>
    </row>
    <row r="21" spans="1:20" x14ac:dyDescent="0.25">
      <c r="A21" s="195">
        <v>56.67</v>
      </c>
      <c r="B21" s="195">
        <v>0.09</v>
      </c>
      <c r="C21" s="195">
        <v>11.68</v>
      </c>
      <c r="D21" s="8">
        <v>43059.791666666664</v>
      </c>
      <c r="E21" s="195">
        <v>0.16</v>
      </c>
      <c r="F21" s="195" t="s">
        <v>480</v>
      </c>
      <c r="G21" s="195">
        <v>271.91000000000003</v>
      </c>
      <c r="H21" s="195">
        <v>0</v>
      </c>
      <c r="I21" s="195">
        <v>0</v>
      </c>
      <c r="J21" s="195">
        <v>1008.33</v>
      </c>
      <c r="K21" s="195" t="s">
        <v>479</v>
      </c>
      <c r="L21" s="195">
        <v>56.67</v>
      </c>
      <c r="M21" s="195">
        <v>1511229600</v>
      </c>
      <c r="N21" s="195">
        <v>0</v>
      </c>
      <c r="O21" s="195">
        <v>2.67</v>
      </c>
      <c r="P21" s="195">
        <v>260</v>
      </c>
      <c r="Q21" s="195">
        <v>11.36</v>
      </c>
      <c r="R21" s="195">
        <v>3.36</v>
      </c>
      <c r="S21"/>
      <c r="T21"/>
    </row>
    <row r="22" spans="1:20" x14ac:dyDescent="0.25">
      <c r="A22" s="195">
        <v>55.54</v>
      </c>
      <c r="B22" s="195">
        <v>0.24</v>
      </c>
      <c r="C22" s="195">
        <v>11.86</v>
      </c>
      <c r="D22" s="8">
        <v>43059.833333333336</v>
      </c>
      <c r="E22" s="195">
        <v>0.17</v>
      </c>
      <c r="F22" s="195" t="s">
        <v>480</v>
      </c>
      <c r="G22" s="195">
        <v>270.93</v>
      </c>
      <c r="H22" s="195">
        <v>0</v>
      </c>
      <c r="I22" s="195">
        <v>0</v>
      </c>
      <c r="J22" s="195">
        <v>1008.63</v>
      </c>
      <c r="K22" s="195" t="s">
        <v>479</v>
      </c>
      <c r="L22" s="195">
        <v>55.54</v>
      </c>
      <c r="M22" s="195">
        <v>1511233200</v>
      </c>
      <c r="N22" s="195">
        <v>0</v>
      </c>
      <c r="O22" s="195">
        <v>3.62</v>
      </c>
      <c r="P22" s="195">
        <v>271</v>
      </c>
      <c r="Q22" s="195">
        <v>13.11</v>
      </c>
      <c r="R22" s="195">
        <v>4.09</v>
      </c>
      <c r="S22"/>
      <c r="T22"/>
    </row>
    <row r="23" spans="1:20" x14ac:dyDescent="0.25">
      <c r="A23" s="195">
        <v>55.7</v>
      </c>
      <c r="B23" s="195">
        <v>0.27</v>
      </c>
      <c r="C23" s="195">
        <v>11.39</v>
      </c>
      <c r="D23" s="8">
        <v>43059.875</v>
      </c>
      <c r="E23" s="195">
        <v>0.17</v>
      </c>
      <c r="F23" s="195" t="s">
        <v>886</v>
      </c>
      <c r="G23" s="195">
        <v>269.83</v>
      </c>
      <c r="H23" s="195">
        <v>0</v>
      </c>
      <c r="I23" s="195">
        <v>0</v>
      </c>
      <c r="J23" s="195">
        <v>1008.61</v>
      </c>
      <c r="K23" s="195" t="s">
        <v>887</v>
      </c>
      <c r="L23" s="195">
        <v>55.7</v>
      </c>
      <c r="M23" s="195">
        <v>1511236800</v>
      </c>
      <c r="N23" s="195">
        <v>0</v>
      </c>
      <c r="O23" s="195">
        <v>3.04</v>
      </c>
      <c r="P23" s="195">
        <v>280</v>
      </c>
      <c r="Q23" s="195">
        <v>9.99</v>
      </c>
      <c r="R23" s="195">
        <v>3.72</v>
      </c>
      <c r="S23"/>
      <c r="T23"/>
    </row>
    <row r="24" spans="1:20" x14ac:dyDescent="0.25">
      <c r="A24" s="195">
        <v>54.37</v>
      </c>
      <c r="B24" s="195">
        <v>0.09</v>
      </c>
      <c r="C24" s="195">
        <v>12.34</v>
      </c>
      <c r="D24" s="8">
        <v>43059.916666666664</v>
      </c>
      <c r="E24" s="195">
        <v>0.18</v>
      </c>
      <c r="F24" s="195" t="s">
        <v>480</v>
      </c>
      <c r="G24" s="195">
        <v>268.45999999999998</v>
      </c>
      <c r="H24" s="195">
        <v>0</v>
      </c>
      <c r="I24" s="195">
        <v>0</v>
      </c>
      <c r="J24" s="195">
        <v>1010.37</v>
      </c>
      <c r="K24" s="195" t="s">
        <v>479</v>
      </c>
      <c r="L24" s="195">
        <v>54.37</v>
      </c>
      <c r="M24" s="195">
        <v>1511240400</v>
      </c>
      <c r="N24" s="195">
        <v>0</v>
      </c>
      <c r="O24" s="195">
        <v>2.9</v>
      </c>
      <c r="P24" s="195">
        <v>253</v>
      </c>
      <c r="Q24" s="195">
        <v>8.01</v>
      </c>
      <c r="R24" s="195">
        <v>2.12</v>
      </c>
      <c r="S24"/>
      <c r="T24"/>
    </row>
    <row r="25" spans="1:20" x14ac:dyDescent="0.25">
      <c r="A25" s="195">
        <v>54.85</v>
      </c>
      <c r="B25" s="195">
        <v>0.05</v>
      </c>
      <c r="C25" s="195">
        <v>14.31</v>
      </c>
      <c r="D25" s="8">
        <v>43059.958333333336</v>
      </c>
      <c r="E25" s="195">
        <v>0.2</v>
      </c>
      <c r="F25" s="195" t="s">
        <v>480</v>
      </c>
      <c r="G25" s="195">
        <v>267.08999999999997</v>
      </c>
      <c r="H25" s="195">
        <v>0</v>
      </c>
      <c r="I25" s="195">
        <v>0</v>
      </c>
      <c r="J25" s="195">
        <v>1008.32</v>
      </c>
      <c r="K25" s="195" t="s">
        <v>479</v>
      </c>
      <c r="L25" s="195">
        <v>54.85</v>
      </c>
      <c r="M25" s="195">
        <v>1511244000</v>
      </c>
      <c r="N25" s="195">
        <v>0</v>
      </c>
      <c r="O25" s="195">
        <v>3.52</v>
      </c>
      <c r="P25" s="195">
        <v>256</v>
      </c>
      <c r="Q25" s="195">
        <v>11.74</v>
      </c>
      <c r="R25" s="195">
        <v>2.36</v>
      </c>
      <c r="S25"/>
      <c r="T25"/>
    </row>
    <row r="26" spans="1:20" x14ac:dyDescent="0.25">
      <c r="A26" s="195">
        <v>54.92</v>
      </c>
      <c r="B26" s="195">
        <v>0.06</v>
      </c>
      <c r="C26" s="195">
        <v>16.010000000000002</v>
      </c>
      <c r="D26" s="8">
        <v>43060</v>
      </c>
      <c r="E26" s="195">
        <v>0.21</v>
      </c>
      <c r="F26" s="195" t="s">
        <v>480</v>
      </c>
      <c r="G26" s="195">
        <v>265.47000000000003</v>
      </c>
      <c r="H26" s="195">
        <v>0</v>
      </c>
      <c r="I26" s="195">
        <v>0</v>
      </c>
      <c r="J26" s="195">
        <v>1008.82</v>
      </c>
      <c r="K26" s="195" t="s">
        <v>479</v>
      </c>
      <c r="L26" s="195">
        <v>54.92</v>
      </c>
      <c r="M26" s="195">
        <v>1511247600</v>
      </c>
      <c r="N26" s="195">
        <v>0</v>
      </c>
      <c r="O26" s="195">
        <v>3.52</v>
      </c>
      <c r="P26" s="195">
        <v>281</v>
      </c>
      <c r="Q26" s="195">
        <v>10.69</v>
      </c>
      <c r="R26" s="195">
        <v>3.37</v>
      </c>
      <c r="S26"/>
      <c r="T26"/>
    </row>
    <row r="27" spans="1:20" x14ac:dyDescent="0.25">
      <c r="A27" s="195">
        <v>54.12</v>
      </c>
      <c r="B27" s="195">
        <v>0.03</v>
      </c>
      <c r="C27" s="195">
        <v>17.170000000000002</v>
      </c>
      <c r="D27" s="8">
        <v>43060.041666666664</v>
      </c>
      <c r="E27" s="195">
        <v>0.23</v>
      </c>
      <c r="F27" s="195" t="s">
        <v>480</v>
      </c>
      <c r="G27" s="195">
        <v>263.83</v>
      </c>
      <c r="H27" s="195">
        <v>0</v>
      </c>
      <c r="I27" s="195">
        <v>0</v>
      </c>
      <c r="J27" s="195">
        <v>1009.14</v>
      </c>
      <c r="K27" s="195" t="s">
        <v>479</v>
      </c>
      <c r="L27" s="195">
        <v>54.12</v>
      </c>
      <c r="M27" s="195">
        <v>1511251200</v>
      </c>
      <c r="N27" s="195">
        <v>0</v>
      </c>
      <c r="O27" s="195">
        <v>4.04</v>
      </c>
      <c r="P27" s="195">
        <v>294</v>
      </c>
      <c r="Q27" s="195">
        <v>12.97</v>
      </c>
      <c r="R27" s="195">
        <v>3.67</v>
      </c>
      <c r="S27"/>
      <c r="T27"/>
    </row>
    <row r="28" spans="1:20" x14ac:dyDescent="0.25">
      <c r="A28" s="195">
        <v>53.63</v>
      </c>
      <c r="B28" s="195">
        <v>0.04</v>
      </c>
      <c r="C28" s="195">
        <v>20.46</v>
      </c>
      <c r="D28" s="8">
        <v>43060.083333333336</v>
      </c>
      <c r="E28" s="195">
        <v>0.27</v>
      </c>
      <c r="F28" s="195" t="s">
        <v>480</v>
      </c>
      <c r="G28" s="195">
        <v>262.18</v>
      </c>
      <c r="H28" s="195">
        <v>0</v>
      </c>
      <c r="I28" s="195">
        <v>0</v>
      </c>
      <c r="J28" s="195">
        <v>1010.32</v>
      </c>
      <c r="K28" s="195" t="s">
        <v>479</v>
      </c>
      <c r="L28" s="195">
        <v>53.63</v>
      </c>
      <c r="M28" s="195">
        <v>1511254800</v>
      </c>
      <c r="N28" s="195">
        <v>0</v>
      </c>
      <c r="O28" s="195">
        <v>4.04</v>
      </c>
      <c r="P28" s="195">
        <v>304</v>
      </c>
      <c r="Q28" s="195">
        <v>12.23</v>
      </c>
      <c r="R28" s="195">
        <v>3.62</v>
      </c>
      <c r="S28"/>
      <c r="T28"/>
    </row>
    <row r="29" spans="1:20" x14ac:dyDescent="0.25">
      <c r="A29" s="195">
        <v>52.26</v>
      </c>
      <c r="B29" s="195">
        <v>0.16</v>
      </c>
      <c r="C29" s="195">
        <v>22.08</v>
      </c>
      <c r="D29" s="8">
        <v>43060.125</v>
      </c>
      <c r="E29" s="195">
        <v>0.3</v>
      </c>
      <c r="F29" s="195" t="s">
        <v>480</v>
      </c>
      <c r="G29" s="195">
        <v>260.39</v>
      </c>
      <c r="H29" s="195">
        <v>0</v>
      </c>
      <c r="I29" s="195">
        <v>0</v>
      </c>
      <c r="J29" s="195">
        <v>1012</v>
      </c>
      <c r="K29" s="195" t="s">
        <v>479</v>
      </c>
      <c r="L29" s="195">
        <v>52.26</v>
      </c>
      <c r="M29" s="195">
        <v>1511258400</v>
      </c>
      <c r="N29" s="195">
        <v>0</v>
      </c>
      <c r="O29" s="195">
        <v>5.78</v>
      </c>
      <c r="P29" s="195">
        <v>319</v>
      </c>
      <c r="Q29" s="195">
        <v>10.67</v>
      </c>
      <c r="R29" s="195">
        <v>4.42</v>
      </c>
      <c r="S29"/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workbookViewId="0">
      <selection activeCell="M4" sqref="M4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7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43059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M2" s="195"/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95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95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95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95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95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95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95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95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95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95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95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95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M15" s="195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7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644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1094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1095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1096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1097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1098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1099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1100</v>
      </c>
      <c r="J25" s="139" t="s">
        <v>144</v>
      </c>
      <c r="M25" s="153" t="b">
        <v>1</v>
      </c>
    </row>
    <row r="26" spans="3:24" x14ac:dyDescent="0.25">
      <c r="C26" t="s">
        <v>1101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%USERPROFILE%\Documents\GitHub\eaglep3-reporting\EC\2017-11-20-refined-times.txt</v>
      </c>
    </row>
    <row r="27" spans="3:24" x14ac:dyDescent="0.25">
      <c r="C27" t="s">
        <v>1102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%USERPROFILE%\Documents\GitHub\eaglep3-reporting\EC\2017-11-20-Enforcements.txt</v>
      </c>
    </row>
    <row r="28" spans="3:24" x14ac:dyDescent="0.25">
      <c r="C28" t="s">
        <v>1103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%USERPROFILE%\Documents\GitHub\eaglep3-reporting\EC\2017-11-20-Runs-refined.txt</v>
      </c>
    </row>
    <row r="29" spans="3:24" x14ac:dyDescent="0.25">
      <c r="C29" t="s">
        <v>1104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%USERPROFILE%\Documents\GitHub\eaglep3-reporting\EC\2017-11-20-Trips.txt</v>
      </c>
    </row>
    <row r="30" spans="3:24" x14ac:dyDescent="0.25">
      <c r="C30" t="s">
        <v>1105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%USERPROFILE%\Documents\GitHub\eaglep3-reporting\EC\2017-11-20-Weather.txt</v>
      </c>
    </row>
    <row r="31" spans="3:24" x14ac:dyDescent="0.25">
      <c r="C31" t="s">
        <v>1106</v>
      </c>
      <c r="J31" s="139" t="s">
        <v>188</v>
      </c>
      <c r="M31" s="153" t="s">
        <v>189</v>
      </c>
    </row>
    <row r="32" spans="3:24" x14ac:dyDescent="0.25">
      <c r="C32" t="s">
        <v>1107</v>
      </c>
    </row>
    <row r="33" spans="3:3" x14ac:dyDescent="0.25">
      <c r="C33" t="s">
        <v>1108</v>
      </c>
    </row>
    <row r="34" spans="3:3" x14ac:dyDescent="0.25">
      <c r="C34" t="s">
        <v>1109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7" bestFit="1" customWidth="1"/>
    <col min="9" max="10" width="9.140625" style="187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25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25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25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228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229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238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239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248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249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258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259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268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269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278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279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288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289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298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299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308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309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318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319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2017-11-21T16:40:09Z</dcterms:modified>
</cp:coreProperties>
</file>