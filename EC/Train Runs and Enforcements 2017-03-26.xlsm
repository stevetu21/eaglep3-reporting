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8" i="3" l="1"/>
  <c r="AC27" i="3"/>
  <c r="X137" i="1"/>
  <c r="X138" i="1"/>
  <c r="X139" i="1"/>
  <c r="X140" i="1"/>
  <c r="X141" i="1"/>
  <c r="X14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G16" i="1"/>
  <c r="AI16" i="1" s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AA32" i="1" s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R27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30" i="3" s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S28" i="3" s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S31" i="3" s="1"/>
  <c r="Y71" i="1"/>
  <c r="Z71" i="1"/>
  <c r="AB71" i="1"/>
  <c r="AC71" i="1"/>
  <c r="AD71" i="1"/>
  <c r="T71" i="1" s="1"/>
  <c r="AE71" i="1"/>
  <c r="R31" i="3" s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R35" i="3" s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R7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32" i="3" s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S33" i="3" s="1"/>
  <c r="Y91" i="1"/>
  <c r="Z91" i="1"/>
  <c r="AB91" i="1"/>
  <c r="AC91" i="1"/>
  <c r="AD91" i="1"/>
  <c r="T91" i="1" s="1"/>
  <c r="AE91" i="1"/>
  <c r="R33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58" i="1"/>
  <c r="L158" i="1"/>
  <c r="M158" i="1"/>
  <c r="N158" i="1"/>
  <c r="V158" i="1"/>
  <c r="Y158" i="1"/>
  <c r="AA158" i="1" s="1"/>
  <c r="Z158" i="1"/>
  <c r="AB158" i="1"/>
  <c r="AC158" i="1"/>
  <c r="AD158" i="1"/>
  <c r="AG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K94" i="1"/>
  <c r="L94" i="1"/>
  <c r="M94" i="1"/>
  <c r="N94" i="1" s="1"/>
  <c r="V94" i="1"/>
  <c r="S36" i="3" s="1"/>
  <c r="Y94" i="1"/>
  <c r="Z94" i="1"/>
  <c r="AB94" i="1"/>
  <c r="AC94" i="1"/>
  <c r="AD94" i="1"/>
  <c r="X94" i="1" s="1"/>
  <c r="AE94" i="1"/>
  <c r="AF94" i="1"/>
  <c r="AH104" i="1"/>
  <c r="AM104" i="1"/>
  <c r="AN104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/>
  <c r="V173" i="1"/>
  <c r="Y173" i="1"/>
  <c r="Z173" i="1"/>
  <c r="AB173" i="1"/>
  <c r="AC173" i="1"/>
  <c r="AD173" i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AA176" i="1" s="1"/>
  <c r="Z176" i="1"/>
  <c r="AB176" i="1"/>
  <c r="AC176" i="1"/>
  <c r="AD176" i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AA179" i="1" s="1"/>
  <c r="Z179" i="1"/>
  <c r="AB179" i="1"/>
  <c r="AC179" i="1"/>
  <c r="AD179" i="1"/>
  <c r="T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AA182" i="1" s="1"/>
  <c r="Z182" i="1"/>
  <c r="AB182" i="1"/>
  <c r="AC182" i="1"/>
  <c r="AD182" i="1"/>
  <c r="AG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X102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AM139" i="1"/>
  <c r="AN139" i="1"/>
  <c r="K105" i="1"/>
  <c r="L105" i="1"/>
  <c r="M105" i="1"/>
  <c r="N105" i="1" s="1"/>
  <c r="V105" i="1"/>
  <c r="S9" i="3" s="1"/>
  <c r="Y105" i="1"/>
  <c r="Z105" i="1"/>
  <c r="AA105" i="1"/>
  <c r="W105" i="1" s="1"/>
  <c r="AB105" i="1"/>
  <c r="AC105" i="1"/>
  <c r="AD105" i="1"/>
  <c r="AG105" i="1" s="1"/>
  <c r="AE105" i="1"/>
  <c r="AF105" i="1"/>
  <c r="AH140" i="1"/>
  <c r="AM140" i="1"/>
  <c r="AN140" i="1"/>
  <c r="K106" i="1"/>
  <c r="L106" i="1"/>
  <c r="M106" i="1"/>
  <c r="N106" i="1" s="1"/>
  <c r="T106" i="1"/>
  <c r="V106" i="1"/>
  <c r="Y106" i="1"/>
  <c r="Z106" i="1"/>
  <c r="AB106" i="1"/>
  <c r="AC106" i="1"/>
  <c r="AD106" i="1"/>
  <c r="X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/>
  <c r="V131" i="1"/>
  <c r="Y131" i="1"/>
  <c r="Z131" i="1"/>
  <c r="AB131" i="1"/>
  <c r="AC131" i="1"/>
  <c r="AD131" i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1" i="1"/>
  <c r="AM171" i="1"/>
  <c r="AN171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S39" i="3" s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85" i="1"/>
  <c r="AM185" i="1"/>
  <c r="AN185" i="1"/>
  <c r="K151" i="1"/>
  <c r="L151" i="1"/>
  <c r="M151" i="1"/>
  <c r="N151" i="1"/>
  <c r="V151" i="1"/>
  <c r="Y151" i="1"/>
  <c r="Z151" i="1"/>
  <c r="AA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S40" i="3" s="1"/>
  <c r="Y156" i="1"/>
  <c r="Z156" i="1"/>
  <c r="AA156" i="1" s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G157" i="1"/>
  <c r="AH192" i="1"/>
  <c r="AM192" i="1"/>
  <c r="AN192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T213" i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M29" i="3"/>
  <c r="R29" i="3"/>
  <c r="S29" i="3"/>
  <c r="U29" i="3"/>
  <c r="T29" i="3" s="1"/>
  <c r="V29" i="3"/>
  <c r="W29" i="3"/>
  <c r="X29" i="3"/>
  <c r="AC29" i="3"/>
  <c r="M21" i="3"/>
  <c r="R21" i="3"/>
  <c r="S21" i="3"/>
  <c r="U21" i="3"/>
  <c r="V21" i="3"/>
  <c r="W21" i="3"/>
  <c r="X21" i="3"/>
  <c r="M27" i="3"/>
  <c r="S27" i="3"/>
  <c r="U27" i="3"/>
  <c r="V27" i="3"/>
  <c r="W27" i="3"/>
  <c r="X27" i="3"/>
  <c r="M14" i="3"/>
  <c r="R14" i="3"/>
  <c r="S14" i="3"/>
  <c r="U14" i="3"/>
  <c r="AC14" i="3" s="1"/>
  <c r="V14" i="3"/>
  <c r="W14" i="3"/>
  <c r="X14" i="3"/>
  <c r="M23" i="3"/>
  <c r="R23" i="3"/>
  <c r="S23" i="3"/>
  <c r="U23" i="3"/>
  <c r="AD23" i="3" s="1"/>
  <c r="V23" i="3"/>
  <c r="W23" i="3"/>
  <c r="X23" i="3"/>
  <c r="AC23" i="3"/>
  <c r="M22" i="3"/>
  <c r="R22" i="3"/>
  <c r="S22" i="3"/>
  <c r="U22" i="3"/>
  <c r="V22" i="3"/>
  <c r="W22" i="3"/>
  <c r="Y22" i="3" s="1"/>
  <c r="X22" i="3"/>
  <c r="M24" i="3"/>
  <c r="R24" i="3"/>
  <c r="S24" i="3"/>
  <c r="U24" i="3"/>
  <c r="AC24" i="3" s="1"/>
  <c r="V24" i="3"/>
  <c r="W24" i="3"/>
  <c r="X24" i="3"/>
  <c r="M25" i="3"/>
  <c r="R25" i="3"/>
  <c r="S25" i="3"/>
  <c r="U25" i="3"/>
  <c r="AC25" i="3" s="1"/>
  <c r="V25" i="3"/>
  <c r="W25" i="3"/>
  <c r="X25" i="3"/>
  <c r="M13" i="3"/>
  <c r="R13" i="3"/>
  <c r="S13" i="3"/>
  <c r="U13" i="3"/>
  <c r="T13" i="3" s="1"/>
  <c r="V13" i="3"/>
  <c r="W13" i="3"/>
  <c r="X13" i="3"/>
  <c r="M11" i="3"/>
  <c r="R11" i="3"/>
  <c r="S11" i="3"/>
  <c r="U11" i="3"/>
  <c r="AD11" i="3" s="1"/>
  <c r="V11" i="3"/>
  <c r="W11" i="3"/>
  <c r="X11" i="3"/>
  <c r="M10" i="3"/>
  <c r="R10" i="3"/>
  <c r="S10" i="3"/>
  <c r="U10" i="3"/>
  <c r="AC10" i="3" s="1"/>
  <c r="V10" i="3"/>
  <c r="W10" i="3"/>
  <c r="X10" i="3"/>
  <c r="M15" i="3"/>
  <c r="R15" i="3"/>
  <c r="S15" i="3"/>
  <c r="U15" i="3"/>
  <c r="AC15" i="3" s="1"/>
  <c r="V15" i="3"/>
  <c r="W15" i="3"/>
  <c r="X15" i="3"/>
  <c r="M26" i="3"/>
  <c r="R26" i="3"/>
  <c r="S26" i="3"/>
  <c r="U26" i="3"/>
  <c r="T26" i="3" s="1"/>
  <c r="V26" i="3"/>
  <c r="W26" i="3"/>
  <c r="X26" i="3"/>
  <c r="AC26" i="3"/>
  <c r="M28" i="3"/>
  <c r="R28" i="3"/>
  <c r="U28" i="3"/>
  <c r="V28" i="3"/>
  <c r="W28" i="3"/>
  <c r="X28" i="3"/>
  <c r="M30" i="3"/>
  <c r="R30" i="3"/>
  <c r="U30" i="3"/>
  <c r="AC30" i="3" s="1"/>
  <c r="V30" i="3"/>
  <c r="W30" i="3"/>
  <c r="Y30" i="3" s="1"/>
  <c r="X30" i="3"/>
  <c r="M35" i="3"/>
  <c r="S35" i="3"/>
  <c r="U35" i="3"/>
  <c r="AC35" i="3" s="1"/>
  <c r="V35" i="3"/>
  <c r="W35" i="3"/>
  <c r="X35" i="3"/>
  <c r="M7" i="3"/>
  <c r="S7" i="3"/>
  <c r="U7" i="3"/>
  <c r="V7" i="3"/>
  <c r="W7" i="3"/>
  <c r="X7" i="3"/>
  <c r="AC7" i="3"/>
  <c r="M31" i="3"/>
  <c r="U31" i="3"/>
  <c r="AD31" i="3" s="1"/>
  <c r="V31" i="3"/>
  <c r="AE31" i="3" s="1"/>
  <c r="W31" i="3"/>
  <c r="Y31" i="3" s="1"/>
  <c r="X31" i="3"/>
  <c r="M8" i="3"/>
  <c r="R8" i="3"/>
  <c r="S8" i="3"/>
  <c r="U8" i="3"/>
  <c r="AC8" i="3" s="1"/>
  <c r="V8" i="3"/>
  <c r="W8" i="3"/>
  <c r="Y8" i="3" s="1"/>
  <c r="X8" i="3"/>
  <c r="M18" i="3"/>
  <c r="R18" i="3"/>
  <c r="S18" i="3"/>
  <c r="U18" i="3"/>
  <c r="AC18" i="3" s="1"/>
  <c r="V18" i="3"/>
  <c r="W18" i="3"/>
  <c r="X18" i="3"/>
  <c r="M32" i="3"/>
  <c r="S32" i="3"/>
  <c r="U32" i="3"/>
  <c r="T32" i="3" s="1"/>
  <c r="V32" i="3"/>
  <c r="AE28" i="3" s="1"/>
  <c r="W32" i="3"/>
  <c r="X32" i="3"/>
  <c r="AC32" i="3"/>
  <c r="AD28" i="3"/>
  <c r="M36" i="3"/>
  <c r="R36" i="3"/>
  <c r="U36" i="3"/>
  <c r="V36" i="3"/>
  <c r="W36" i="3"/>
  <c r="X36" i="3"/>
  <c r="Y36" i="3"/>
  <c r="AC36" i="3"/>
  <c r="M12" i="3"/>
  <c r="R12" i="3"/>
  <c r="S12" i="3"/>
  <c r="U12" i="3"/>
  <c r="AC12" i="3" s="1"/>
  <c r="V12" i="3"/>
  <c r="W12" i="3"/>
  <c r="X12" i="3"/>
  <c r="M33" i="3"/>
  <c r="U33" i="3"/>
  <c r="AC33" i="3" s="1"/>
  <c r="V33" i="3"/>
  <c r="W33" i="3"/>
  <c r="X33" i="3"/>
  <c r="M41" i="3"/>
  <c r="R41" i="3"/>
  <c r="S41" i="3"/>
  <c r="U41" i="3"/>
  <c r="T41" i="3" s="1"/>
  <c r="V41" i="3"/>
  <c r="W41" i="3"/>
  <c r="X41" i="3"/>
  <c r="AC41" i="3"/>
  <c r="M34" i="3"/>
  <c r="R34" i="3"/>
  <c r="S34" i="3"/>
  <c r="U34" i="3"/>
  <c r="AD33" i="3" s="1"/>
  <c r="V34" i="3"/>
  <c r="W34" i="3"/>
  <c r="X34" i="3"/>
  <c r="M42" i="3"/>
  <c r="R42" i="3"/>
  <c r="S42" i="3"/>
  <c r="U42" i="3"/>
  <c r="AC42" i="3" s="1"/>
  <c r="V42" i="3"/>
  <c r="W42" i="3"/>
  <c r="X42" i="3"/>
  <c r="Y42" i="3"/>
  <c r="M19" i="3"/>
  <c r="R19" i="3"/>
  <c r="S19" i="3"/>
  <c r="U19" i="3"/>
  <c r="AC19" i="3" s="1"/>
  <c r="V19" i="3"/>
  <c r="W19" i="3"/>
  <c r="X19" i="3"/>
  <c r="AD35" i="3"/>
  <c r="M9" i="3"/>
  <c r="R9" i="3"/>
  <c r="U9" i="3"/>
  <c r="T9" i="3" s="1"/>
  <c r="V9" i="3"/>
  <c r="W9" i="3"/>
  <c r="X9" i="3"/>
  <c r="AC9" i="3"/>
  <c r="M17" i="3"/>
  <c r="R17" i="3"/>
  <c r="S17" i="3"/>
  <c r="U17" i="3"/>
  <c r="V17" i="3"/>
  <c r="W17" i="3"/>
  <c r="X17" i="3"/>
  <c r="M20" i="3"/>
  <c r="R20" i="3"/>
  <c r="S20" i="3"/>
  <c r="U20" i="3"/>
  <c r="AC20" i="3" s="1"/>
  <c r="V20" i="3"/>
  <c r="W20" i="3"/>
  <c r="Y20" i="3" s="1"/>
  <c r="X20" i="3"/>
  <c r="M16" i="3"/>
  <c r="R16" i="3"/>
  <c r="S16" i="3"/>
  <c r="U16" i="3"/>
  <c r="AC16" i="3" s="1"/>
  <c r="V16" i="3"/>
  <c r="W16" i="3"/>
  <c r="X16" i="3"/>
  <c r="M37" i="3"/>
  <c r="R37" i="3"/>
  <c r="S37" i="3"/>
  <c r="U37" i="3"/>
  <c r="V37" i="3"/>
  <c r="W37" i="3"/>
  <c r="X37" i="3"/>
  <c r="AC37" i="3"/>
  <c r="M38" i="3"/>
  <c r="R38" i="3"/>
  <c r="S38" i="3"/>
  <c r="U38" i="3"/>
  <c r="V38" i="3"/>
  <c r="W38" i="3"/>
  <c r="X38" i="3"/>
  <c r="Y38" i="3"/>
  <c r="M39" i="3"/>
  <c r="R39" i="3"/>
  <c r="U39" i="3"/>
  <c r="AC39" i="3" s="1"/>
  <c r="V39" i="3"/>
  <c r="W39" i="3"/>
  <c r="X39" i="3"/>
  <c r="M40" i="3"/>
  <c r="R40" i="3"/>
  <c r="U40" i="3"/>
  <c r="AC40" i="3" s="1"/>
  <c r="V40" i="3"/>
  <c r="W40" i="3"/>
  <c r="X40" i="3"/>
  <c r="W182" i="1" l="1"/>
  <c r="Y17" i="3"/>
  <c r="AA218" i="1"/>
  <c r="AG156" i="1"/>
  <c r="AI156" i="1" s="1"/>
  <c r="X156" i="1"/>
  <c r="AA149" i="1"/>
  <c r="AA128" i="1"/>
  <c r="AA124" i="1"/>
  <c r="AG118" i="1"/>
  <c r="AA117" i="1"/>
  <c r="X103" i="1"/>
  <c r="AG183" i="1"/>
  <c r="AI183" i="1" s="1"/>
  <c r="X183" i="1"/>
  <c r="AA166" i="1"/>
  <c r="AG163" i="1"/>
  <c r="X163" i="1"/>
  <c r="T67" i="1"/>
  <c r="AA66" i="1"/>
  <c r="AA49" i="1"/>
  <c r="AA40" i="1"/>
  <c r="AG33" i="1"/>
  <c r="X33" i="1"/>
  <c r="X158" i="1"/>
  <c r="X16" i="1"/>
  <c r="X157" i="1"/>
  <c r="AG148" i="1"/>
  <c r="AI148" i="1" s="1"/>
  <c r="AA147" i="1"/>
  <c r="AA125" i="1"/>
  <c r="AA204" i="1"/>
  <c r="AI102" i="1"/>
  <c r="AA102" i="1"/>
  <c r="W102" i="1" s="1"/>
  <c r="AA170" i="1"/>
  <c r="AA162" i="1"/>
  <c r="W162" i="1" s="1"/>
  <c r="AA83" i="1"/>
  <c r="AA67" i="1"/>
  <c r="AA15" i="1"/>
  <c r="W15" i="1" s="1"/>
  <c r="X160" i="1"/>
  <c r="AC13" i="3"/>
  <c r="Y28" i="3"/>
  <c r="Y11" i="3"/>
  <c r="AD13" i="3"/>
  <c r="T149" i="1"/>
  <c r="AA112" i="1"/>
  <c r="AA108" i="1"/>
  <c r="AA98" i="1"/>
  <c r="W98" i="1" s="1"/>
  <c r="AA189" i="1"/>
  <c r="W189" i="1" s="1"/>
  <c r="AA188" i="1"/>
  <c r="AA185" i="1"/>
  <c r="AA181" i="1"/>
  <c r="AA95" i="1"/>
  <c r="X171" i="1"/>
  <c r="AG170" i="1"/>
  <c r="W170" i="1" s="1"/>
  <c r="X170" i="1"/>
  <c r="AG160" i="1"/>
  <c r="AA86" i="1"/>
  <c r="W86" i="1" s="1"/>
  <c r="AA80" i="1"/>
  <c r="AA78" i="1"/>
  <c r="T78" i="1"/>
  <c r="AA77" i="1"/>
  <c r="X59" i="1"/>
  <c r="AA52" i="1"/>
  <c r="AA47" i="1"/>
  <c r="AA36" i="1"/>
  <c r="W36" i="1" s="1"/>
  <c r="AA35" i="1"/>
  <c r="AA31" i="1"/>
  <c r="AA26" i="1"/>
  <c r="AA24" i="1"/>
  <c r="W158" i="1"/>
  <c r="T33" i="3"/>
  <c r="AD29" i="3"/>
  <c r="Y12" i="3"/>
  <c r="AD24" i="3"/>
  <c r="AE23" i="3"/>
  <c r="T23" i="3"/>
  <c r="W156" i="1"/>
  <c r="AG125" i="1"/>
  <c r="W125" i="1" s="1"/>
  <c r="AA121" i="1"/>
  <c r="AD41" i="3"/>
  <c r="AD21" i="3"/>
  <c r="Y10" i="3"/>
  <c r="Y21" i="3"/>
  <c r="Y29" i="3"/>
  <c r="AA203" i="1"/>
  <c r="W203" i="1" s="1"/>
  <c r="AI195" i="1"/>
  <c r="AG134" i="1"/>
  <c r="X134" i="1"/>
  <c r="X110" i="1"/>
  <c r="T103" i="1"/>
  <c r="T74" i="1"/>
  <c r="U74" i="1" s="1"/>
  <c r="S74" i="1" s="1"/>
  <c r="T64" i="1"/>
  <c r="X55" i="1"/>
  <c r="X24" i="1"/>
  <c r="Y37" i="3"/>
  <c r="AD37" i="3"/>
  <c r="AD36" i="3"/>
  <c r="AE36" i="3"/>
  <c r="AD27" i="3"/>
  <c r="Y24" i="3"/>
  <c r="AA213" i="1"/>
  <c r="W213" i="1" s="1"/>
  <c r="X208" i="1"/>
  <c r="AG207" i="1"/>
  <c r="W207" i="1" s="1"/>
  <c r="AA200" i="1"/>
  <c r="W200" i="1" s="1"/>
  <c r="AA196" i="1"/>
  <c r="AA192" i="1"/>
  <c r="AA140" i="1"/>
  <c r="AA132" i="1"/>
  <c r="AA120" i="1"/>
  <c r="X105" i="1"/>
  <c r="AA97" i="1"/>
  <c r="AA96" i="1"/>
  <c r="AA178" i="1"/>
  <c r="AG167" i="1"/>
  <c r="AI167" i="1" s="1"/>
  <c r="AA91" i="1"/>
  <c r="AA81" i="1"/>
  <c r="X78" i="1"/>
  <c r="AA76" i="1"/>
  <c r="AA71" i="1"/>
  <c r="AG65" i="1"/>
  <c r="AI65" i="1" s="1"/>
  <c r="AA64" i="1"/>
  <c r="W64" i="1" s="1"/>
  <c r="AA63" i="1"/>
  <c r="AA59" i="1"/>
  <c r="W59" i="1" s="1"/>
  <c r="AA56" i="1"/>
  <c r="T52" i="1"/>
  <c r="U52" i="1" s="1"/>
  <c r="S52" i="1" s="1"/>
  <c r="AA51" i="1"/>
  <c r="X45" i="1"/>
  <c r="AA43" i="1"/>
  <c r="AA39" i="1"/>
  <c r="X36" i="1"/>
  <c r="AA34" i="1"/>
  <c r="X29" i="1"/>
  <c r="AA27" i="1"/>
  <c r="AA23" i="1"/>
  <c r="T216" i="1"/>
  <c r="U216" i="1" s="1"/>
  <c r="S216" i="1" s="1"/>
  <c r="X217" i="1"/>
  <c r="T217" i="1"/>
  <c r="AG212" i="1"/>
  <c r="W212" i="1" s="1"/>
  <c r="T212" i="1"/>
  <c r="AG199" i="1"/>
  <c r="AI199" i="1" s="1"/>
  <c r="X200" i="1"/>
  <c r="T209" i="1"/>
  <c r="AG209" i="1"/>
  <c r="AA209" i="1"/>
  <c r="W209" i="1" s="1"/>
  <c r="T198" i="1"/>
  <c r="AG198" i="1"/>
  <c r="AA131" i="1"/>
  <c r="AA129" i="1"/>
  <c r="W129" i="1" s="1"/>
  <c r="AA116" i="1"/>
  <c r="AG114" i="1"/>
  <c r="U114" i="1" s="1"/>
  <c r="S114" i="1" s="1"/>
  <c r="AA113" i="1"/>
  <c r="AA110" i="1"/>
  <c r="W110" i="1" s="1"/>
  <c r="AA107" i="1"/>
  <c r="AI98" i="1"/>
  <c r="AA186" i="1"/>
  <c r="X182" i="1"/>
  <c r="X178" i="1"/>
  <c r="AA175" i="1"/>
  <c r="W175" i="1" s="1"/>
  <c r="T175" i="1"/>
  <c r="AA174" i="1"/>
  <c r="AA171" i="1"/>
  <c r="AA169" i="1"/>
  <c r="W169" i="1" s="1"/>
  <c r="AA161" i="1"/>
  <c r="AA93" i="1"/>
  <c r="X90" i="1"/>
  <c r="AG87" i="1"/>
  <c r="U87" i="1" s="1"/>
  <c r="X87" i="1"/>
  <c r="AA82" i="1"/>
  <c r="W82" i="1" s="1"/>
  <c r="AA79" i="1"/>
  <c r="T75" i="1"/>
  <c r="AA74" i="1"/>
  <c r="W74" i="1" s="1"/>
  <c r="X70" i="1"/>
  <c r="AA60" i="1"/>
  <c r="T60" i="1"/>
  <c r="AA58" i="1"/>
  <c r="AA57" i="1"/>
  <c r="T56" i="1"/>
  <c r="AA55" i="1"/>
  <c r="X48" i="1"/>
  <c r="X44" i="1"/>
  <c r="X41" i="1"/>
  <c r="AG40" i="1"/>
  <c r="W40" i="1" s="1"/>
  <c r="X40" i="1"/>
  <c r="X32" i="1"/>
  <c r="T25" i="1"/>
  <c r="AG24" i="1"/>
  <c r="AI24" i="1" s="1"/>
  <c r="AG144" i="1"/>
  <c r="X144" i="1"/>
  <c r="AG141" i="1"/>
  <c r="U141" i="1" s="1"/>
  <c r="AG137" i="1"/>
  <c r="W137" i="1" s="1"/>
  <c r="W166" i="1"/>
  <c r="W52" i="1"/>
  <c r="X28" i="1"/>
  <c r="X20" i="1"/>
  <c r="AA18" i="1"/>
  <c r="AA17" i="1"/>
  <c r="T17" i="1"/>
  <c r="AA216" i="1"/>
  <c r="W216" i="1" s="1"/>
  <c r="AA215" i="1"/>
  <c r="AA211" i="1"/>
  <c r="X202" i="1"/>
  <c r="AG201" i="1"/>
  <c r="W201" i="1" s="1"/>
  <c r="AA197" i="1"/>
  <c r="AG194" i="1"/>
  <c r="AG153" i="1"/>
  <c r="U153" i="1" s="1"/>
  <c r="S153" i="1" s="1"/>
  <c r="X153" i="1"/>
  <c r="AA148" i="1"/>
  <c r="W148" i="1" s="1"/>
  <c r="AA143" i="1"/>
  <c r="AG140" i="1"/>
  <c r="W140" i="1" s="1"/>
  <c r="AG130" i="1"/>
  <c r="AG121" i="1"/>
  <c r="W121" i="1" s="1"/>
  <c r="X121" i="1"/>
  <c r="AA111" i="1"/>
  <c r="AA109" i="1"/>
  <c r="AA104" i="1"/>
  <c r="AG204" i="1"/>
  <c r="W204" i="1" s="1"/>
  <c r="AA101" i="1"/>
  <c r="AG99" i="1"/>
  <c r="X99" i="1"/>
  <c r="X190" i="1"/>
  <c r="AA190" i="1"/>
  <c r="T189" i="1"/>
  <c r="AA184" i="1"/>
  <c r="AA180" i="1"/>
  <c r="X175" i="1"/>
  <c r="AA172" i="1"/>
  <c r="U167" i="1"/>
  <c r="S167" i="1" s="1"/>
  <c r="AA159" i="1"/>
  <c r="AA90" i="1"/>
  <c r="AA85" i="1"/>
  <c r="X82" i="1"/>
  <c r="AA75" i="1"/>
  <c r="W75" i="1" s="1"/>
  <c r="AA70" i="1"/>
  <c r="T70" i="1"/>
  <c r="X60" i="1"/>
  <c r="AA54" i="1"/>
  <c r="AA50" i="1"/>
  <c r="AA29" i="1"/>
  <c r="AG25" i="1"/>
  <c r="AI25" i="1" s="1"/>
  <c r="AA198" i="1"/>
  <c r="AA193" i="1"/>
  <c r="W193" i="1" s="1"/>
  <c r="AA152" i="1"/>
  <c r="AA144" i="1"/>
  <c r="W144" i="1" s="1"/>
  <c r="AA139" i="1"/>
  <c r="AA136" i="1"/>
  <c r="X118" i="1"/>
  <c r="X117" i="1"/>
  <c r="X167" i="1"/>
  <c r="T166" i="1"/>
  <c r="AA20" i="1"/>
  <c r="AA19" i="1"/>
  <c r="W19" i="1" s="1"/>
  <c r="AG17" i="1"/>
  <c r="AI17" i="1" s="1"/>
  <c r="AA16" i="1"/>
  <c r="W16" i="1" s="1"/>
  <c r="AG217" i="1"/>
  <c r="AI217" i="1" s="1"/>
  <c r="X216" i="1"/>
  <c r="AA214" i="1"/>
  <c r="AG211" i="1"/>
  <c r="AI211" i="1" s="1"/>
  <c r="AA208" i="1"/>
  <c r="T208" i="1"/>
  <c r="U208" i="1" s="1"/>
  <c r="S208" i="1" s="1"/>
  <c r="AG203" i="1"/>
  <c r="AI203" i="1" s="1"/>
  <c r="X201" i="1"/>
  <c r="T200" i="1"/>
  <c r="AG197" i="1"/>
  <c r="AI197" i="1" s="1"/>
  <c r="X197" i="1"/>
  <c r="X193" i="1"/>
  <c r="AA154" i="1"/>
  <c r="AG152" i="1"/>
  <c r="X148" i="1"/>
  <c r="AG145" i="1"/>
  <c r="U145" i="1" s="1"/>
  <c r="S145" i="1" s="1"/>
  <c r="X145" i="1"/>
  <c r="AA135" i="1"/>
  <c r="AA134" i="1"/>
  <c r="AG133" i="1"/>
  <c r="W133" i="1" s="1"/>
  <c r="U130" i="1"/>
  <c r="X129" i="1"/>
  <c r="AG126" i="1"/>
  <c r="U126" i="1" s="1"/>
  <c r="X126" i="1"/>
  <c r="X125" i="1"/>
  <c r="AG122" i="1"/>
  <c r="U122" i="1" s="1"/>
  <c r="S122" i="1" s="1"/>
  <c r="X122" i="1"/>
  <c r="T117" i="1"/>
  <c r="AA115" i="1"/>
  <c r="AG113" i="1"/>
  <c r="U113" i="1" s="1"/>
  <c r="S113" i="1" s="1"/>
  <c r="T110" i="1"/>
  <c r="AG109" i="1"/>
  <c r="W109" i="1" s="1"/>
  <c r="AA106" i="1"/>
  <c r="T105" i="1"/>
  <c r="U105" i="1" s="1"/>
  <c r="S105" i="1" s="1"/>
  <c r="AA205" i="1"/>
  <c r="AG103" i="1"/>
  <c r="AI103" i="1" s="1"/>
  <c r="T102" i="1"/>
  <c r="AA100" i="1"/>
  <c r="X189" i="1"/>
  <c r="X186" i="1"/>
  <c r="AG179" i="1"/>
  <c r="X179" i="1"/>
  <c r="T178" i="1"/>
  <c r="U67" i="1"/>
  <c r="S67" i="1" s="1"/>
  <c r="AI67" i="1"/>
  <c r="AI20" i="1"/>
  <c r="AG215" i="1"/>
  <c r="X212" i="1"/>
  <c r="AA210" i="1"/>
  <c r="T203" i="1"/>
  <c r="X198" i="1"/>
  <c r="X194" i="1"/>
  <c r="AA157" i="1"/>
  <c r="W157" i="1" s="1"/>
  <c r="U156" i="1"/>
  <c r="S156" i="1" s="1"/>
  <c r="AA155" i="1"/>
  <c r="X152" i="1"/>
  <c r="U149" i="1"/>
  <c r="S149" i="1" s="1"/>
  <c r="X149" i="1"/>
  <c r="AA142" i="1"/>
  <c r="AA141" i="1"/>
  <c r="W141" i="1" s="1"/>
  <c r="AA138" i="1"/>
  <c r="X133" i="1"/>
  <c r="X130" i="1"/>
  <c r="AA119" i="1"/>
  <c r="AA118" i="1"/>
  <c r="W118" i="1" s="1"/>
  <c r="X113" i="1"/>
  <c r="AG110" i="1"/>
  <c r="X109" i="1"/>
  <c r="AG106" i="1"/>
  <c r="AI106" i="1" s="1"/>
  <c r="W99" i="1"/>
  <c r="T98" i="1"/>
  <c r="AA191" i="1"/>
  <c r="X172" i="1"/>
  <c r="AG172" i="1"/>
  <c r="U172" i="1" s="1"/>
  <c r="S172" i="1" s="1"/>
  <c r="AI59" i="1"/>
  <c r="AI36" i="1"/>
  <c r="AA206" i="1"/>
  <c r="T193" i="1"/>
  <c r="U193" i="1" s="1"/>
  <c r="S193" i="1" s="1"/>
  <c r="AA146" i="1"/>
  <c r="U144" i="1"/>
  <c r="S144" i="1" s="1"/>
  <c r="U134" i="1"/>
  <c r="S134" i="1" s="1"/>
  <c r="T129" i="1"/>
  <c r="U129" i="1" s="1"/>
  <c r="S129" i="1" s="1"/>
  <c r="AA127" i="1"/>
  <c r="AA126" i="1"/>
  <c r="W126" i="1" s="1"/>
  <c r="AA123" i="1"/>
  <c r="W123" i="1" s="1"/>
  <c r="X114" i="1"/>
  <c r="AI144" i="1"/>
  <c r="T190" i="1"/>
  <c r="T186" i="1"/>
  <c r="U186" i="1" s="1"/>
  <c r="S186" i="1" s="1"/>
  <c r="T176" i="1"/>
  <c r="X176" i="1"/>
  <c r="AG176" i="1"/>
  <c r="W176" i="1" s="1"/>
  <c r="U75" i="1"/>
  <c r="S75" i="1" s="1"/>
  <c r="AI75" i="1"/>
  <c r="AA217" i="1"/>
  <c r="W217" i="1" s="1"/>
  <c r="U201" i="1"/>
  <c r="S201" i="1" s="1"/>
  <c r="U157" i="1"/>
  <c r="U118" i="1"/>
  <c r="W117" i="1"/>
  <c r="AA103" i="1"/>
  <c r="W103" i="1" s="1"/>
  <c r="X98" i="1"/>
  <c r="AG190" i="1"/>
  <c r="U190" i="1" s="1"/>
  <c r="S190" i="1" s="1"/>
  <c r="X187" i="1"/>
  <c r="AG187" i="1"/>
  <c r="AI187" i="1" s="1"/>
  <c r="AA187" i="1"/>
  <c r="W20" i="1"/>
  <c r="T90" i="1"/>
  <c r="U90" i="1" s="1"/>
  <c r="S90" i="1" s="1"/>
  <c r="T55" i="1"/>
  <c r="T44" i="1"/>
  <c r="AA42" i="1"/>
  <c r="AA41" i="1"/>
  <c r="T41" i="1"/>
  <c r="T20" i="1"/>
  <c r="U20" i="1" s="1"/>
  <c r="S20" i="1" s="1"/>
  <c r="X15" i="1"/>
  <c r="AA173" i="1"/>
  <c r="T169" i="1"/>
  <c r="AA94" i="1"/>
  <c r="AA165" i="1"/>
  <c r="AA163" i="1"/>
  <c r="W163" i="1" s="1"/>
  <c r="T162" i="1"/>
  <c r="U162" i="1" s="1"/>
  <c r="S162" i="1" s="1"/>
  <c r="T159" i="1"/>
  <c r="AG91" i="1"/>
  <c r="U91" i="1" s="1"/>
  <c r="X91" i="1"/>
  <c r="AA87" i="1"/>
  <c r="T86" i="1"/>
  <c r="AA84" i="1"/>
  <c r="T83" i="1"/>
  <c r="AG79" i="1"/>
  <c r="W79" i="1" s="1"/>
  <c r="AG73" i="1"/>
  <c r="AI73" i="1" s="1"/>
  <c r="AG71" i="1"/>
  <c r="W67" i="1"/>
  <c r="AG63" i="1"/>
  <c r="AA61" i="1"/>
  <c r="W61" i="1" s="1"/>
  <c r="AG57" i="1"/>
  <c r="AI57" i="1" s="1"/>
  <c r="AG55" i="1"/>
  <c r="T48" i="1"/>
  <c r="AA46" i="1"/>
  <c r="AA45" i="1"/>
  <c r="T45" i="1"/>
  <c r="AG44" i="1"/>
  <c r="W44" i="1" s="1"/>
  <c r="AG37" i="1"/>
  <c r="X37" i="1"/>
  <c r="T32" i="1"/>
  <c r="AA30" i="1"/>
  <c r="T29" i="1"/>
  <c r="T24" i="1"/>
  <c r="AA22" i="1"/>
  <c r="AA21" i="1"/>
  <c r="T21" i="1"/>
  <c r="T19" i="1"/>
  <c r="T16" i="1"/>
  <c r="U16" i="1" s="1"/>
  <c r="S16" i="1" s="1"/>
  <c r="T82" i="1"/>
  <c r="X74" i="1"/>
  <c r="X64" i="1"/>
  <c r="AG61" i="1"/>
  <c r="AI61" i="1" s="1"/>
  <c r="T59" i="1"/>
  <c r="U59" i="1" s="1"/>
  <c r="S59" i="1" s="1"/>
  <c r="AA53" i="1"/>
  <c r="AI52" i="1"/>
  <c r="T49" i="1"/>
  <c r="AG48" i="1"/>
  <c r="W48" i="1" s="1"/>
  <c r="AG41" i="1"/>
  <c r="AI40" i="1"/>
  <c r="T36" i="1"/>
  <c r="U36" i="1" s="1"/>
  <c r="S36" i="1" s="1"/>
  <c r="AG32" i="1"/>
  <c r="T28" i="1"/>
  <c r="U24" i="1"/>
  <c r="S24" i="1" s="1"/>
  <c r="T15" i="1"/>
  <c r="AA183" i="1"/>
  <c r="W183" i="1" s="1"/>
  <c r="T182" i="1"/>
  <c r="AA177" i="1"/>
  <c r="W177" i="1" s="1"/>
  <c r="X169" i="1"/>
  <c r="AA167" i="1"/>
  <c r="W167" i="1" s="1"/>
  <c r="AG164" i="1"/>
  <c r="AG159" i="1"/>
  <c r="W159" i="1" s="1"/>
  <c r="T158" i="1"/>
  <c r="U158" i="1" s="1"/>
  <c r="S158" i="1" s="1"/>
  <c r="AA92" i="1"/>
  <c r="X86" i="1"/>
  <c r="AG83" i="1"/>
  <c r="AI83" i="1" s="1"/>
  <c r="AG77" i="1"/>
  <c r="AG69" i="1"/>
  <c r="AA65" i="1"/>
  <c r="W65" i="1" s="1"/>
  <c r="AA62" i="1"/>
  <c r="X56" i="1"/>
  <c r="AG53" i="1"/>
  <c r="AG49" i="1"/>
  <c r="AG45" i="1"/>
  <c r="U45" i="1" s="1"/>
  <c r="S45" i="1" s="1"/>
  <c r="AA38" i="1"/>
  <c r="AA37" i="1"/>
  <c r="AA33" i="1"/>
  <c r="W33" i="1" s="1"/>
  <c r="AG29" i="1"/>
  <c r="W29" i="1" s="1"/>
  <c r="AA25" i="1"/>
  <c r="AG21" i="1"/>
  <c r="AI21" i="1" s="1"/>
  <c r="X19" i="1"/>
  <c r="U211" i="1"/>
  <c r="S211" i="1" s="1"/>
  <c r="W208" i="1"/>
  <c r="AI216" i="1"/>
  <c r="AI208" i="1"/>
  <c r="T123" i="1"/>
  <c r="X123" i="1"/>
  <c r="AG123" i="1"/>
  <c r="T107" i="1"/>
  <c r="X107" i="1"/>
  <c r="AG107" i="1"/>
  <c r="AI107" i="1" s="1"/>
  <c r="AG218" i="1"/>
  <c r="AG214" i="1"/>
  <c r="X213" i="1"/>
  <c r="AG210" i="1"/>
  <c r="X209" i="1"/>
  <c r="AG206" i="1"/>
  <c r="X203" i="1"/>
  <c r="AA202" i="1"/>
  <c r="T199" i="1"/>
  <c r="U199" i="1" s="1"/>
  <c r="S199" i="1" s="1"/>
  <c r="X199" i="1"/>
  <c r="AA145" i="1"/>
  <c r="T142" i="1"/>
  <c r="AG142" i="1"/>
  <c r="AI172" i="1"/>
  <c r="AA130" i="1"/>
  <c r="W130" i="1" s="1"/>
  <c r="T127" i="1"/>
  <c r="X127" i="1"/>
  <c r="AG127" i="1"/>
  <c r="W127" i="1" s="1"/>
  <c r="U125" i="1"/>
  <c r="S125" i="1" s="1"/>
  <c r="AI157" i="1"/>
  <c r="AA114" i="1"/>
  <c r="W114" i="1" s="1"/>
  <c r="T111" i="1"/>
  <c r="X111" i="1"/>
  <c r="AG111" i="1"/>
  <c r="W111" i="1" s="1"/>
  <c r="AI141" i="1"/>
  <c r="T205" i="1"/>
  <c r="X205" i="1"/>
  <c r="AG205" i="1"/>
  <c r="W205" i="1" s="1"/>
  <c r="T184" i="1"/>
  <c r="X184" i="1"/>
  <c r="AG184" i="1"/>
  <c r="AI184" i="1" s="1"/>
  <c r="T177" i="1"/>
  <c r="X177" i="1"/>
  <c r="AG177" i="1"/>
  <c r="U217" i="1"/>
  <c r="S217" i="1" s="1"/>
  <c r="U213" i="1"/>
  <c r="S213" i="1" s="1"/>
  <c r="U209" i="1"/>
  <c r="S209" i="1" s="1"/>
  <c r="U203" i="1"/>
  <c r="S203" i="1" s="1"/>
  <c r="AI125" i="1"/>
  <c r="U187" i="1"/>
  <c r="S187" i="1" s="1"/>
  <c r="X218" i="1"/>
  <c r="X214" i="1"/>
  <c r="AI213" i="1"/>
  <c r="X210" i="1"/>
  <c r="AI209" i="1"/>
  <c r="X206" i="1"/>
  <c r="T202" i="1"/>
  <c r="AI200" i="1"/>
  <c r="W195" i="1"/>
  <c r="T155" i="1"/>
  <c r="X155" i="1"/>
  <c r="AG155" i="1"/>
  <c r="W149" i="1"/>
  <c r="T146" i="1"/>
  <c r="X146" i="1"/>
  <c r="AG146" i="1"/>
  <c r="S141" i="1"/>
  <c r="AI176" i="1"/>
  <c r="W134" i="1"/>
  <c r="T131" i="1"/>
  <c r="X131" i="1"/>
  <c r="AG131" i="1"/>
  <c r="W131" i="1" s="1"/>
  <c r="S126" i="1"/>
  <c r="AI160" i="1"/>
  <c r="T115" i="1"/>
  <c r="X115" i="1"/>
  <c r="AG115" i="1"/>
  <c r="T196" i="1"/>
  <c r="X196" i="1"/>
  <c r="AG196" i="1"/>
  <c r="AI196" i="1" s="1"/>
  <c r="S157" i="1"/>
  <c r="T154" i="1"/>
  <c r="X154" i="1"/>
  <c r="AG154" i="1"/>
  <c r="W154" i="1" s="1"/>
  <c r="W142" i="1"/>
  <c r="T138" i="1"/>
  <c r="AG138" i="1"/>
  <c r="S118" i="1"/>
  <c r="AI153" i="1"/>
  <c r="AI90" i="1"/>
  <c r="X215" i="1"/>
  <c r="X211" i="1"/>
  <c r="X207" i="1"/>
  <c r="AG202" i="1"/>
  <c r="AI202" i="1" s="1"/>
  <c r="U200" i="1"/>
  <c r="S200" i="1" s="1"/>
  <c r="T195" i="1"/>
  <c r="U195" i="1" s="1"/>
  <c r="S195" i="1" s="1"/>
  <c r="X195" i="1"/>
  <c r="AA194" i="1"/>
  <c r="W194" i="1" s="1"/>
  <c r="U194" i="1"/>
  <c r="S194" i="1" s="1"/>
  <c r="T192" i="1"/>
  <c r="X192" i="1"/>
  <c r="AG192" i="1"/>
  <c r="AI192" i="1" s="1"/>
  <c r="AA153" i="1"/>
  <c r="W153" i="1" s="1"/>
  <c r="T150" i="1"/>
  <c r="X150" i="1"/>
  <c r="AG150" i="1"/>
  <c r="W150" i="1" s="1"/>
  <c r="U148" i="1"/>
  <c r="S148" i="1" s="1"/>
  <c r="T135" i="1"/>
  <c r="X135" i="1"/>
  <c r="AG135" i="1"/>
  <c r="U133" i="1"/>
  <c r="S133" i="1" s="1"/>
  <c r="S130" i="1"/>
  <c r="AI164" i="1"/>
  <c r="AA122" i="1"/>
  <c r="W122" i="1" s="1"/>
  <c r="T119" i="1"/>
  <c r="X119" i="1"/>
  <c r="AG119" i="1"/>
  <c r="W119" i="1" s="1"/>
  <c r="U117" i="1"/>
  <c r="S117" i="1" s="1"/>
  <c r="AI149" i="1"/>
  <c r="W107" i="1"/>
  <c r="T100" i="1"/>
  <c r="X100" i="1"/>
  <c r="AG100" i="1"/>
  <c r="AI133" i="1"/>
  <c r="U98" i="1"/>
  <c r="S98" i="1" s="1"/>
  <c r="T191" i="1"/>
  <c r="X191" i="1"/>
  <c r="AG191" i="1"/>
  <c r="AI191" i="1" s="1"/>
  <c r="AI121" i="1"/>
  <c r="U182" i="1"/>
  <c r="S182" i="1" s="1"/>
  <c r="U175" i="1"/>
  <c r="S175" i="1" s="1"/>
  <c r="AI112" i="1"/>
  <c r="T165" i="1"/>
  <c r="X165" i="1"/>
  <c r="AG165" i="1"/>
  <c r="X166" i="1"/>
  <c r="AG151" i="1"/>
  <c r="AG147" i="1"/>
  <c r="AG143" i="1"/>
  <c r="AG139" i="1"/>
  <c r="AG136" i="1"/>
  <c r="AI136" i="1" s="1"/>
  <c r="AG132" i="1"/>
  <c r="AI132" i="1" s="1"/>
  <c r="AG128" i="1"/>
  <c r="AG124" i="1"/>
  <c r="AI124" i="1" s="1"/>
  <c r="AG120" i="1"/>
  <c r="AI120" i="1" s="1"/>
  <c r="AG116" i="1"/>
  <c r="AI116" i="1" s="1"/>
  <c r="AG112" i="1"/>
  <c r="AG108" i="1"/>
  <c r="AG104" i="1"/>
  <c r="U102" i="1"/>
  <c r="S102" i="1" s="1"/>
  <c r="T101" i="1"/>
  <c r="X101" i="1"/>
  <c r="AG101" i="1"/>
  <c r="AI129" i="1"/>
  <c r="U189" i="1"/>
  <c r="S189" i="1" s="1"/>
  <c r="T180" i="1"/>
  <c r="X180" i="1"/>
  <c r="AG180" i="1"/>
  <c r="AI180" i="1" s="1"/>
  <c r="W179" i="1"/>
  <c r="W178" i="1"/>
  <c r="T173" i="1"/>
  <c r="X173" i="1"/>
  <c r="AG173" i="1"/>
  <c r="X162" i="1"/>
  <c r="T161" i="1"/>
  <c r="X161" i="1"/>
  <c r="AG161" i="1"/>
  <c r="W161" i="1" s="1"/>
  <c r="X151" i="1"/>
  <c r="X147" i="1"/>
  <c r="X143" i="1"/>
  <c r="X136" i="1"/>
  <c r="X132" i="1"/>
  <c r="X128" i="1"/>
  <c r="X124" i="1"/>
  <c r="X120" i="1"/>
  <c r="X116" i="1"/>
  <c r="X112" i="1"/>
  <c r="X108" i="1"/>
  <c r="X104" i="1"/>
  <c r="U103" i="1"/>
  <c r="S103" i="1" s="1"/>
  <c r="U99" i="1"/>
  <c r="S99" i="1" s="1"/>
  <c r="T96" i="1"/>
  <c r="X96" i="1"/>
  <c r="AG96" i="1"/>
  <c r="W96" i="1" s="1"/>
  <c r="W187" i="1"/>
  <c r="W186" i="1"/>
  <c r="U183" i="1"/>
  <c r="S183" i="1" s="1"/>
  <c r="AI117" i="1"/>
  <c r="U178" i="1"/>
  <c r="S178" i="1" s="1"/>
  <c r="U176" i="1"/>
  <c r="S176" i="1" s="1"/>
  <c r="AI109" i="1"/>
  <c r="T168" i="1"/>
  <c r="X168" i="1"/>
  <c r="T94" i="1"/>
  <c r="AI96" i="1"/>
  <c r="U86" i="1"/>
  <c r="S86" i="1" s="1"/>
  <c r="AI86" i="1"/>
  <c r="AI74" i="1"/>
  <c r="U73" i="1"/>
  <c r="S73" i="1" s="1"/>
  <c r="AI64" i="1"/>
  <c r="U64" i="1"/>
  <c r="S64" i="1" s="1"/>
  <c r="W56" i="1"/>
  <c r="AG97" i="1"/>
  <c r="AG188" i="1"/>
  <c r="AG185" i="1"/>
  <c r="AG181" i="1"/>
  <c r="AG95" i="1"/>
  <c r="AI95" i="1" s="1"/>
  <c r="AG174" i="1"/>
  <c r="T171" i="1"/>
  <c r="AG168" i="1"/>
  <c r="AI168" i="1" s="1"/>
  <c r="AG94" i="1"/>
  <c r="U164" i="1"/>
  <c r="S164" i="1" s="1"/>
  <c r="U160" i="1"/>
  <c r="S160" i="1" s="1"/>
  <c r="U82" i="1"/>
  <c r="S82" i="1" s="1"/>
  <c r="AI82" i="1"/>
  <c r="W78" i="1"/>
  <c r="W70" i="1"/>
  <c r="W60" i="1"/>
  <c r="S56" i="1"/>
  <c r="AI56" i="1"/>
  <c r="U56" i="1"/>
  <c r="X97" i="1"/>
  <c r="X188" i="1"/>
  <c r="X185" i="1"/>
  <c r="X181" i="1"/>
  <c r="X95" i="1"/>
  <c r="X174" i="1"/>
  <c r="AG171" i="1"/>
  <c r="AI171" i="1" s="1"/>
  <c r="U169" i="1"/>
  <c r="S169" i="1" s="1"/>
  <c r="U166" i="1"/>
  <c r="S166" i="1" s="1"/>
  <c r="W165" i="1"/>
  <c r="AA164" i="1"/>
  <c r="W164" i="1" s="1"/>
  <c r="AA160" i="1"/>
  <c r="W160" i="1" s="1"/>
  <c r="W90" i="1"/>
  <c r="U78" i="1"/>
  <c r="S78" i="1" s="1"/>
  <c r="AI78" i="1"/>
  <c r="U70" i="1"/>
  <c r="S70" i="1" s="1"/>
  <c r="AI70" i="1"/>
  <c r="S60" i="1"/>
  <c r="AI60" i="1"/>
  <c r="U60" i="1"/>
  <c r="AG92" i="1"/>
  <c r="AG88" i="1"/>
  <c r="AG84" i="1"/>
  <c r="AG80" i="1"/>
  <c r="X79" i="1"/>
  <c r="AG76" i="1"/>
  <c r="X75" i="1"/>
  <c r="AG72" i="1"/>
  <c r="W72" i="1" s="1"/>
  <c r="X71" i="1"/>
  <c r="AG68" i="1"/>
  <c r="X67" i="1"/>
  <c r="X63" i="1"/>
  <c r="T51" i="1"/>
  <c r="X51" i="1"/>
  <c r="AG51" i="1"/>
  <c r="W51" i="1" s="1"/>
  <c r="X164" i="1"/>
  <c r="AI99" i="1"/>
  <c r="AG93" i="1"/>
  <c r="X92" i="1"/>
  <c r="AI91" i="1"/>
  <c r="S91" i="1"/>
  <c r="AG89" i="1"/>
  <c r="W89" i="1" s="1"/>
  <c r="X88" i="1"/>
  <c r="AI87" i="1"/>
  <c r="S87" i="1"/>
  <c r="AG85" i="1"/>
  <c r="W85" i="1" s="1"/>
  <c r="X84" i="1"/>
  <c r="AG81" i="1"/>
  <c r="W81" i="1" s="1"/>
  <c r="X80" i="1"/>
  <c r="X76" i="1"/>
  <c r="X72" i="1"/>
  <c r="X68" i="1"/>
  <c r="U65" i="1"/>
  <c r="S65" i="1" s="1"/>
  <c r="U61" i="1"/>
  <c r="S61" i="1" s="1"/>
  <c r="U57" i="1"/>
  <c r="S57" i="1" s="1"/>
  <c r="U19" i="1"/>
  <c r="S19" i="1" s="1"/>
  <c r="AI19" i="1"/>
  <c r="X93" i="1"/>
  <c r="X89" i="1"/>
  <c r="X85" i="1"/>
  <c r="X81" i="1"/>
  <c r="X77" i="1"/>
  <c r="X73" i="1"/>
  <c r="X69" i="1"/>
  <c r="AG66" i="1"/>
  <c r="W66" i="1" s="1"/>
  <c r="X65" i="1"/>
  <c r="AG62" i="1"/>
  <c r="X61" i="1"/>
  <c r="AG58" i="1"/>
  <c r="W58" i="1" s="1"/>
  <c r="X57" i="1"/>
  <c r="AG54" i="1"/>
  <c r="X52" i="1"/>
  <c r="T50" i="1"/>
  <c r="X50" i="1"/>
  <c r="AG50" i="1"/>
  <c r="U28" i="1"/>
  <c r="S28" i="1"/>
  <c r="AI28" i="1"/>
  <c r="U15" i="1"/>
  <c r="S15" i="1" s="1"/>
  <c r="AI15" i="1"/>
  <c r="X66" i="1"/>
  <c r="X62" i="1"/>
  <c r="X58" i="1"/>
  <c r="X54" i="1"/>
  <c r="AI49" i="1"/>
  <c r="U37" i="1"/>
  <c r="S37" i="1" s="1"/>
  <c r="U33" i="1"/>
  <c r="S33" i="1" s="1"/>
  <c r="U29" i="1"/>
  <c r="S29" i="1" s="1"/>
  <c r="AG46" i="1"/>
  <c r="W46" i="1" s="1"/>
  <c r="AG42" i="1"/>
  <c r="AG38" i="1"/>
  <c r="W38" i="1" s="1"/>
  <c r="AG34" i="1"/>
  <c r="AG30" i="1"/>
  <c r="AG26" i="1"/>
  <c r="AG22" i="1"/>
  <c r="AG18" i="1"/>
  <c r="W18" i="1" s="1"/>
  <c r="AG14" i="1"/>
  <c r="AG47" i="1"/>
  <c r="X46" i="1"/>
  <c r="AI45" i="1"/>
  <c r="AG43" i="1"/>
  <c r="X42" i="1"/>
  <c r="AI41" i="1"/>
  <c r="AG39" i="1"/>
  <c r="W39" i="1" s="1"/>
  <c r="X38" i="1"/>
  <c r="AI37" i="1"/>
  <c r="AG35" i="1"/>
  <c r="W35" i="1" s="1"/>
  <c r="X34" i="1"/>
  <c r="AI33" i="1"/>
  <c r="AG31" i="1"/>
  <c r="W31" i="1" s="1"/>
  <c r="X30" i="1"/>
  <c r="AI29" i="1"/>
  <c r="AG27" i="1"/>
  <c r="X26" i="1"/>
  <c r="AG23" i="1"/>
  <c r="W23" i="1" s="1"/>
  <c r="X22" i="1"/>
  <c r="X18" i="1"/>
  <c r="X47" i="1"/>
  <c r="X43" i="1"/>
  <c r="X39" i="1"/>
  <c r="X35" i="1"/>
  <c r="X31" i="1"/>
  <c r="X27" i="1"/>
  <c r="X23" i="1"/>
  <c r="AD19" i="3"/>
  <c r="AD15" i="3"/>
  <c r="AD39" i="3"/>
  <c r="T16" i="3"/>
  <c r="Y39" i="3"/>
  <c r="AD40" i="3"/>
  <c r="Y16" i="3"/>
  <c r="Y19" i="3"/>
  <c r="Y33" i="3"/>
  <c r="Y18" i="3"/>
  <c r="AD25" i="3"/>
  <c r="T35" i="3"/>
  <c r="AD20" i="3"/>
  <c r="AE20" i="3"/>
  <c r="AD17" i="3"/>
  <c r="T25" i="3"/>
  <c r="AD12" i="3"/>
  <c r="AE12" i="3"/>
  <c r="AD9" i="3"/>
  <c r="AE39" i="3"/>
  <c r="AC17" i="3"/>
  <c r="Y34" i="3"/>
  <c r="Y35" i="3"/>
  <c r="Y15" i="3"/>
  <c r="Y25" i="3"/>
  <c r="Y14" i="3"/>
  <c r="Y27" i="3"/>
  <c r="AD8" i="3"/>
  <c r="AE15" i="3"/>
  <c r="AC22" i="3"/>
  <c r="Y41" i="3"/>
  <c r="AC38" i="3"/>
  <c r="T37" i="3"/>
  <c r="T19" i="3"/>
  <c r="AD32" i="3"/>
  <c r="AE32" i="3"/>
  <c r="Y32" i="3"/>
  <c r="AE27" i="3"/>
  <c r="AC31" i="3"/>
  <c r="T7" i="3"/>
  <c r="T15" i="3"/>
  <c r="AD16" i="3"/>
  <c r="AE16" i="3"/>
  <c r="Y23" i="3"/>
  <c r="AE11" i="3"/>
  <c r="AC21" i="3"/>
  <c r="Y7" i="3"/>
  <c r="T40" i="3"/>
  <c r="AE40" i="3"/>
  <c r="Y9" i="3"/>
  <c r="AE35" i="3"/>
  <c r="AC34" i="3"/>
  <c r="T18" i="3"/>
  <c r="AE24" i="3"/>
  <c r="Y26" i="3"/>
  <c r="AE19" i="3"/>
  <c r="AC11" i="3"/>
  <c r="T14" i="3"/>
  <c r="Y40" i="3"/>
  <c r="Y13" i="3"/>
  <c r="AE18" i="3"/>
  <c r="T10" i="3"/>
  <c r="AE14" i="3"/>
  <c r="T24" i="3"/>
  <c r="AE10" i="3"/>
  <c r="T27" i="3"/>
  <c r="AD42" i="3"/>
  <c r="AE41" i="3"/>
  <c r="T38" i="3"/>
  <c r="AD38" i="3"/>
  <c r="AE37" i="3"/>
  <c r="T17" i="3"/>
  <c r="AD34" i="3"/>
  <c r="AE33" i="3"/>
  <c r="T34" i="3"/>
  <c r="AD30" i="3"/>
  <c r="AE29" i="3"/>
  <c r="T36" i="3"/>
  <c r="AD26" i="3"/>
  <c r="AE25" i="3"/>
  <c r="T31" i="3"/>
  <c r="AD22" i="3"/>
  <c r="AE21" i="3"/>
  <c r="T28" i="3"/>
  <c r="AD18" i="3"/>
  <c r="AE17" i="3"/>
  <c r="T11" i="3"/>
  <c r="AD14" i="3"/>
  <c r="AE13" i="3"/>
  <c r="T22" i="3"/>
  <c r="AD10" i="3"/>
  <c r="AE9" i="3"/>
  <c r="T21" i="3"/>
  <c r="AE42" i="3"/>
  <c r="T39" i="3"/>
  <c r="AE38" i="3"/>
  <c r="T20" i="3"/>
  <c r="AE34" i="3"/>
  <c r="T42" i="3"/>
  <c r="AE30" i="3"/>
  <c r="T12" i="3"/>
  <c r="AE26" i="3"/>
  <c r="T8" i="3"/>
  <c r="AE22" i="3"/>
  <c r="T30" i="3"/>
  <c r="AE8" i="3"/>
  <c r="M43" i="3"/>
  <c r="R43" i="3"/>
  <c r="S43" i="3"/>
  <c r="U43" i="3"/>
  <c r="T43" i="3" s="1"/>
  <c r="V43" i="3"/>
  <c r="W43" i="3"/>
  <c r="X43" i="3"/>
  <c r="W27" i="1" l="1"/>
  <c r="U204" i="1"/>
  <c r="S204" i="1" s="1"/>
  <c r="U41" i="1"/>
  <c r="S41" i="1" s="1"/>
  <c r="AI201" i="1"/>
  <c r="U207" i="1"/>
  <c r="S207" i="1" s="1"/>
  <c r="W173" i="1"/>
  <c r="W128" i="1"/>
  <c r="U106" i="1"/>
  <c r="S106" i="1" s="1"/>
  <c r="W184" i="1"/>
  <c r="U163" i="1"/>
  <c r="S163" i="1" s="1"/>
  <c r="AI163" i="1"/>
  <c r="W62" i="1"/>
  <c r="W188" i="1"/>
  <c r="W100" i="1"/>
  <c r="W91" i="1"/>
  <c r="W80" i="1"/>
  <c r="AI100" i="1"/>
  <c r="AI137" i="1"/>
  <c r="AI113" i="1"/>
  <c r="AI140" i="1"/>
  <c r="U212" i="1"/>
  <c r="S212" i="1" s="1"/>
  <c r="U83" i="1"/>
  <c r="S83" i="1" s="1"/>
  <c r="U121" i="1"/>
  <c r="S121" i="1" s="1"/>
  <c r="U137" i="1"/>
  <c r="S137" i="1" s="1"/>
  <c r="U21" i="1"/>
  <c r="S21" i="1" s="1"/>
  <c r="U25" i="1"/>
  <c r="S25" i="1" s="1"/>
  <c r="AI145" i="1"/>
  <c r="U49" i="1"/>
  <c r="S49" i="1" s="1"/>
  <c r="W55" i="1"/>
  <c r="W87" i="1"/>
  <c r="U40" i="1"/>
  <c r="S40" i="1" s="1"/>
  <c r="U170" i="1"/>
  <c r="S170" i="1" s="1"/>
  <c r="W198" i="1"/>
  <c r="U198" i="1"/>
  <c r="S198" i="1" s="1"/>
  <c r="AI207" i="1"/>
  <c r="W34" i="1"/>
  <c r="U17" i="1"/>
  <c r="S17" i="1" s="1"/>
  <c r="U109" i="1"/>
  <c r="S109" i="1" s="1"/>
  <c r="U140" i="1"/>
  <c r="S140" i="1" s="1"/>
  <c r="W145" i="1"/>
  <c r="AI212" i="1"/>
  <c r="W25" i="1"/>
  <c r="AI128" i="1"/>
  <c r="W17" i="1"/>
  <c r="W21" i="1"/>
  <c r="W73" i="1"/>
  <c r="W24" i="1"/>
  <c r="W199" i="1"/>
  <c r="W94" i="1"/>
  <c r="AI94" i="1"/>
  <c r="W168" i="1"/>
  <c r="W191" i="1"/>
  <c r="U77" i="1"/>
  <c r="S77" i="1" s="1"/>
  <c r="AI77" i="1"/>
  <c r="W83" i="1"/>
  <c r="W49" i="1"/>
  <c r="U71" i="1"/>
  <c r="S71" i="1" s="1"/>
  <c r="AI71" i="1"/>
  <c r="W172" i="1"/>
  <c r="U110" i="1"/>
  <c r="S110" i="1" s="1"/>
  <c r="U152" i="1"/>
  <c r="S152" i="1" s="1"/>
  <c r="AI152" i="1"/>
  <c r="U197" i="1"/>
  <c r="S197" i="1" s="1"/>
  <c r="W197" i="1"/>
  <c r="AI205" i="1"/>
  <c r="W53" i="1"/>
  <c r="W45" i="1"/>
  <c r="U55" i="1"/>
  <c r="S55" i="1" s="1"/>
  <c r="AI55" i="1"/>
  <c r="U63" i="1"/>
  <c r="S63" i="1" s="1"/>
  <c r="AI63" i="1"/>
  <c r="W41" i="1"/>
  <c r="U215" i="1"/>
  <c r="S215" i="1" s="1"/>
  <c r="AI215" i="1"/>
  <c r="U179" i="1"/>
  <c r="S179" i="1" s="1"/>
  <c r="AI179" i="1"/>
  <c r="W106" i="1"/>
  <c r="W211" i="1"/>
  <c r="AI188" i="1"/>
  <c r="U159" i="1"/>
  <c r="S159" i="1" s="1"/>
  <c r="AI159" i="1"/>
  <c r="U32" i="1"/>
  <c r="S32" i="1" s="1"/>
  <c r="AI32" i="1"/>
  <c r="U48" i="1"/>
  <c r="S48" i="1" s="1"/>
  <c r="AI48" i="1"/>
  <c r="U79" i="1"/>
  <c r="S79" i="1" s="1"/>
  <c r="AI79" i="1"/>
  <c r="W32" i="1"/>
  <c r="W57" i="1"/>
  <c r="W63" i="1"/>
  <c r="W152" i="1"/>
  <c r="W215" i="1"/>
  <c r="W113" i="1"/>
  <c r="W171" i="1"/>
  <c r="W37" i="1"/>
  <c r="U53" i="1"/>
  <c r="S53" i="1" s="1"/>
  <c r="AI53" i="1"/>
  <c r="U69" i="1"/>
  <c r="S69" i="1" s="1"/>
  <c r="AI69" i="1"/>
  <c r="U44" i="1"/>
  <c r="S44" i="1" s="1"/>
  <c r="AI44" i="1"/>
  <c r="W69" i="1"/>
  <c r="W71" i="1"/>
  <c r="W190" i="1"/>
  <c r="W77" i="1"/>
  <c r="U47" i="1"/>
  <c r="S47" i="1" s="1"/>
  <c r="AI47" i="1"/>
  <c r="AI26" i="1"/>
  <c r="U26" i="1"/>
  <c r="S26" i="1" s="1"/>
  <c r="AI42" i="1"/>
  <c r="U42" i="1"/>
  <c r="AI68" i="1"/>
  <c r="U68" i="1"/>
  <c r="S68" i="1" s="1"/>
  <c r="U27" i="1"/>
  <c r="S27" i="1" s="1"/>
  <c r="AI27" i="1"/>
  <c r="AI14" i="1"/>
  <c r="U14" i="1"/>
  <c r="S14" i="1" s="1"/>
  <c r="AI46" i="1"/>
  <c r="U46" i="1"/>
  <c r="S46" i="1" s="1"/>
  <c r="W42" i="1"/>
  <c r="AI92" i="1"/>
  <c r="U92" i="1"/>
  <c r="S92" i="1" s="1"/>
  <c r="U168" i="1"/>
  <c r="S168" i="1" s="1"/>
  <c r="AI105" i="1"/>
  <c r="U181" i="1"/>
  <c r="S181" i="1" s="1"/>
  <c r="AI119" i="1"/>
  <c r="U101" i="1"/>
  <c r="S101" i="1" s="1"/>
  <c r="AI135" i="1"/>
  <c r="W101" i="1"/>
  <c r="U104" i="1"/>
  <c r="S104" i="1" s="1"/>
  <c r="AI139" i="1"/>
  <c r="U120" i="1"/>
  <c r="S120" i="1" s="1"/>
  <c r="AI155" i="1"/>
  <c r="U136" i="1"/>
  <c r="S136" i="1" s="1"/>
  <c r="AI170" i="1"/>
  <c r="U151" i="1"/>
  <c r="S151" i="1" s="1"/>
  <c r="AI186" i="1"/>
  <c r="S135" i="1"/>
  <c r="AI169" i="1"/>
  <c r="U135" i="1"/>
  <c r="U192" i="1"/>
  <c r="S192" i="1" s="1"/>
  <c r="AI194" i="1"/>
  <c r="U202" i="1"/>
  <c r="S202" i="1" s="1"/>
  <c r="AI204" i="1"/>
  <c r="AI173" i="1"/>
  <c r="U138" i="1"/>
  <c r="S138" i="1" s="1"/>
  <c r="AI181" i="1"/>
  <c r="U146" i="1"/>
  <c r="S146" i="1" s="1"/>
  <c r="W151" i="1"/>
  <c r="AI76" i="1"/>
  <c r="U76" i="1"/>
  <c r="S76" i="1" s="1"/>
  <c r="AI88" i="1"/>
  <c r="U88" i="1"/>
  <c r="S88" i="1" s="1"/>
  <c r="U95" i="1"/>
  <c r="S95" i="1" s="1"/>
  <c r="AI115" i="1"/>
  <c r="W95" i="1"/>
  <c r="U97" i="1"/>
  <c r="S97" i="1" s="1"/>
  <c r="AI131" i="1"/>
  <c r="W97" i="1"/>
  <c r="U43" i="1"/>
  <c r="AI43" i="1"/>
  <c r="AI30" i="1"/>
  <c r="U30" i="1"/>
  <c r="S30" i="1" s="1"/>
  <c r="W14" i="1"/>
  <c r="W30" i="1"/>
  <c r="W47" i="1"/>
  <c r="U39" i="1"/>
  <c r="S39" i="1" s="1"/>
  <c r="AI39" i="1"/>
  <c r="AI18" i="1"/>
  <c r="U18" i="1"/>
  <c r="S18" i="1" s="1"/>
  <c r="AI34" i="1"/>
  <c r="U34" i="1"/>
  <c r="S34" i="1" s="1"/>
  <c r="W26" i="1"/>
  <c r="AI50" i="1"/>
  <c r="U50" i="1"/>
  <c r="S50" i="1" s="1"/>
  <c r="U54" i="1"/>
  <c r="S54" i="1" s="1"/>
  <c r="AI54" i="1"/>
  <c r="U62" i="1"/>
  <c r="S62" i="1" s="1"/>
  <c r="AI62" i="1"/>
  <c r="W50" i="1"/>
  <c r="AI81" i="1"/>
  <c r="U81" i="1"/>
  <c r="S81" i="1" s="1"/>
  <c r="AI85" i="1"/>
  <c r="U85" i="1"/>
  <c r="S85" i="1" s="1"/>
  <c r="AI89" i="1"/>
  <c r="U89" i="1"/>
  <c r="S89" i="1" s="1"/>
  <c r="AI93" i="1"/>
  <c r="U93" i="1"/>
  <c r="S93" i="1" s="1"/>
  <c r="W43" i="1"/>
  <c r="AI72" i="1"/>
  <c r="U72" i="1"/>
  <c r="S72" i="1" s="1"/>
  <c r="AI80" i="1"/>
  <c r="U80" i="1"/>
  <c r="S80" i="1" s="1"/>
  <c r="W92" i="1"/>
  <c r="U171" i="1"/>
  <c r="S171" i="1" s="1"/>
  <c r="AI108" i="1"/>
  <c r="U185" i="1"/>
  <c r="S185" i="1" s="1"/>
  <c r="AI123" i="1"/>
  <c r="W185" i="1"/>
  <c r="AI126" i="1"/>
  <c r="U96" i="1"/>
  <c r="S96" i="1" s="1"/>
  <c r="AI97" i="1"/>
  <c r="U161" i="1"/>
  <c r="S161" i="1" s="1"/>
  <c r="U108" i="1"/>
  <c r="S108" i="1" s="1"/>
  <c r="AI143" i="1"/>
  <c r="W108" i="1"/>
  <c r="U124" i="1"/>
  <c r="S124" i="1" s="1"/>
  <c r="AI158" i="1"/>
  <c r="W124" i="1"/>
  <c r="U139" i="1"/>
  <c r="S139" i="1" s="1"/>
  <c r="W139" i="1"/>
  <c r="AI174" i="1"/>
  <c r="AI130" i="1"/>
  <c r="U191" i="1"/>
  <c r="S191" i="1" s="1"/>
  <c r="W138" i="1"/>
  <c r="AI185" i="1"/>
  <c r="U150" i="1"/>
  <c r="S150" i="1" s="1"/>
  <c r="U196" i="1"/>
  <c r="S196" i="1" s="1"/>
  <c r="AI198" i="1"/>
  <c r="AI165" i="1"/>
  <c r="U131" i="1"/>
  <c r="S131" i="1" s="1"/>
  <c r="W135" i="1"/>
  <c r="U155" i="1"/>
  <c r="S155" i="1" s="1"/>
  <c r="AI190" i="1"/>
  <c r="W68" i="1"/>
  <c r="AI122" i="1"/>
  <c r="U184" i="1"/>
  <c r="S184" i="1" s="1"/>
  <c r="AI138" i="1"/>
  <c r="U205" i="1"/>
  <c r="S205" i="1" s="1"/>
  <c r="AI206" i="1"/>
  <c r="U206" i="1"/>
  <c r="S206" i="1" s="1"/>
  <c r="AI214" i="1"/>
  <c r="U214" i="1"/>
  <c r="S214" i="1" s="1"/>
  <c r="AI142" i="1"/>
  <c r="U107" i="1"/>
  <c r="S107" i="1" s="1"/>
  <c r="U123" i="1"/>
  <c r="S123" i="1" s="1"/>
  <c r="W120" i="1"/>
  <c r="W104" i="1"/>
  <c r="W214" i="1"/>
  <c r="U31" i="1"/>
  <c r="S31" i="1" s="1"/>
  <c r="AI31" i="1"/>
  <c r="U23" i="1"/>
  <c r="S23" i="1" s="1"/>
  <c r="AI23" i="1"/>
  <c r="U35" i="1"/>
  <c r="S35" i="1" s="1"/>
  <c r="AI35" i="1"/>
  <c r="AI22" i="1"/>
  <c r="U22" i="1"/>
  <c r="S22" i="1" s="1"/>
  <c r="AI38" i="1"/>
  <c r="U38" i="1"/>
  <c r="S38" i="1" s="1"/>
  <c r="W22" i="1"/>
  <c r="U51" i="1"/>
  <c r="S51" i="1"/>
  <c r="AI51" i="1"/>
  <c r="AI84" i="1"/>
  <c r="U84" i="1"/>
  <c r="S84" i="1" s="1"/>
  <c r="U174" i="1"/>
  <c r="S174" i="1" s="1"/>
  <c r="W174" i="1"/>
  <c r="AI111" i="1"/>
  <c r="U188" i="1"/>
  <c r="S188" i="1" s="1"/>
  <c r="AI127" i="1"/>
  <c r="W84" i="1"/>
  <c r="AI110" i="1"/>
  <c r="U173" i="1"/>
  <c r="S173" i="1" s="1"/>
  <c r="U112" i="1"/>
  <c r="S112" i="1" s="1"/>
  <c r="AI147" i="1"/>
  <c r="U128" i="1"/>
  <c r="S128" i="1" s="1"/>
  <c r="AI162" i="1"/>
  <c r="U143" i="1"/>
  <c r="S143" i="1" s="1"/>
  <c r="AI178" i="1"/>
  <c r="U165" i="1"/>
  <c r="S165" i="1" s="1"/>
  <c r="AI101" i="1"/>
  <c r="W181" i="1"/>
  <c r="AI189" i="1"/>
  <c r="U154" i="1"/>
  <c r="S154" i="1" s="1"/>
  <c r="AI150" i="1"/>
  <c r="U115" i="1"/>
  <c r="S115" i="1" s="1"/>
  <c r="W88" i="1"/>
  <c r="AI114" i="1"/>
  <c r="U177" i="1"/>
  <c r="S177" i="1" s="1"/>
  <c r="AI146" i="1"/>
  <c r="U111" i="1"/>
  <c r="S111" i="1" s="1"/>
  <c r="W115" i="1"/>
  <c r="AI161" i="1"/>
  <c r="U127" i="1"/>
  <c r="S127" i="1" s="1"/>
  <c r="AI177" i="1"/>
  <c r="U142" i="1"/>
  <c r="S142" i="1" s="1"/>
  <c r="W146" i="1"/>
  <c r="AI218" i="1"/>
  <c r="U218" i="1"/>
  <c r="S218" i="1" s="1"/>
  <c r="W192" i="1"/>
  <c r="W218" i="1"/>
  <c r="W143" i="1"/>
  <c r="W136" i="1"/>
  <c r="W112" i="1"/>
  <c r="U58" i="1"/>
  <c r="S58" i="1" s="1"/>
  <c r="AI58" i="1"/>
  <c r="U66" i="1"/>
  <c r="S66" i="1" s="1"/>
  <c r="AI66" i="1"/>
  <c r="AI104" i="1"/>
  <c r="U94" i="1"/>
  <c r="S94" i="1" s="1"/>
  <c r="AI118" i="1"/>
  <c r="U180" i="1"/>
  <c r="S180" i="1" s="1"/>
  <c r="U116" i="1"/>
  <c r="S116" i="1"/>
  <c r="W116" i="1"/>
  <c r="AI151" i="1"/>
  <c r="U132" i="1"/>
  <c r="S132" i="1" s="1"/>
  <c r="AI166" i="1"/>
  <c r="W132" i="1"/>
  <c r="U147" i="1"/>
  <c r="S147" i="1" s="1"/>
  <c r="W147" i="1"/>
  <c r="AI182" i="1"/>
  <c r="W180" i="1"/>
  <c r="AI134" i="1"/>
  <c r="U100" i="1"/>
  <c r="S100" i="1" s="1"/>
  <c r="AI154" i="1"/>
  <c r="U119" i="1"/>
  <c r="S119" i="1" s="1"/>
  <c r="AI193" i="1"/>
  <c r="W93" i="1"/>
  <c r="W54" i="1"/>
  <c r="W202" i="1"/>
  <c r="AI210" i="1"/>
  <c r="U210" i="1"/>
  <c r="S210" i="1" s="1"/>
  <c r="W76" i="1"/>
  <c r="W206" i="1"/>
  <c r="W210" i="1"/>
  <c r="W155" i="1"/>
  <c r="W196" i="1"/>
  <c r="AC43" i="3"/>
  <c r="AD43" i="3"/>
  <c r="AE43" i="3"/>
  <c r="Y43" i="3"/>
  <c r="S42" i="1" l="1"/>
  <c r="M28" i="5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9" i="3" s="1"/>
  <c r="G30" i="4"/>
  <c r="G31" i="4"/>
  <c r="G32" i="4"/>
  <c r="G33" i="4"/>
  <c r="G34" i="4"/>
  <c r="G35" i="4"/>
  <c r="G36" i="4"/>
  <c r="G37" i="4"/>
  <c r="G38" i="4"/>
  <c r="G39" i="4"/>
  <c r="N43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27" i="3" s="1"/>
  <c r="G61" i="4"/>
  <c r="G62" i="4"/>
  <c r="G63" i="4"/>
  <c r="G64" i="4"/>
  <c r="G65" i="4"/>
  <c r="G66" i="4"/>
  <c r="G67" i="4"/>
  <c r="N22" i="3" s="1"/>
  <c r="G68" i="4"/>
  <c r="G69" i="4"/>
  <c r="G70" i="4"/>
  <c r="G71" i="4"/>
  <c r="G72" i="4"/>
  <c r="G73" i="4"/>
  <c r="G74" i="4"/>
  <c r="G75" i="4"/>
  <c r="G76" i="4"/>
  <c r="N15" i="3" s="1"/>
  <c r="G77" i="4"/>
  <c r="G78" i="4"/>
  <c r="G79" i="4"/>
  <c r="G80" i="4"/>
  <c r="N30" i="3" s="1"/>
  <c r="G81" i="4"/>
  <c r="G82" i="4"/>
  <c r="N28" i="3" s="1"/>
  <c r="G83" i="4"/>
  <c r="N26" i="3" s="1"/>
  <c r="G84" i="4"/>
  <c r="G85" i="4"/>
  <c r="G86" i="4"/>
  <c r="G87" i="4"/>
  <c r="G88" i="4"/>
  <c r="G89" i="4"/>
  <c r="N35" i="3" s="1"/>
  <c r="G90" i="4"/>
  <c r="G91" i="4"/>
  <c r="G92" i="4"/>
  <c r="G93" i="4"/>
  <c r="G94" i="4"/>
  <c r="N31" i="3" s="1"/>
  <c r="G95" i="4"/>
  <c r="G96" i="4"/>
  <c r="G97" i="4"/>
  <c r="G98" i="4"/>
  <c r="G99" i="4"/>
  <c r="N7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33" i="3" s="1"/>
  <c r="G121" i="4"/>
  <c r="N12" i="3" s="1"/>
  <c r="G122" i="4"/>
  <c r="G123" i="4"/>
  <c r="G124" i="4"/>
  <c r="G125" i="4"/>
  <c r="N41" i="3" s="1"/>
  <c r="G126" i="4"/>
  <c r="G127" i="4"/>
  <c r="N34" i="3" s="1"/>
  <c r="G128" i="4"/>
  <c r="G129" i="4"/>
  <c r="G130" i="4"/>
  <c r="G131" i="4"/>
  <c r="G132" i="4"/>
  <c r="G133" i="4"/>
  <c r="G134" i="4"/>
  <c r="G135" i="4"/>
  <c r="G136" i="4"/>
  <c r="N19" i="3" s="1"/>
  <c r="G137" i="4"/>
  <c r="N42" i="3" s="1"/>
  <c r="G138" i="4"/>
  <c r="N9" i="3" s="1"/>
  <c r="G139" i="4"/>
  <c r="G140" i="4"/>
  <c r="G141" i="4"/>
  <c r="G142" i="4"/>
  <c r="G143" i="4"/>
  <c r="G144" i="4"/>
  <c r="G145" i="4"/>
  <c r="G146" i="4"/>
  <c r="G147" i="4"/>
  <c r="N17" i="3" s="1"/>
  <c r="G148" i="4"/>
  <c r="N20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37" i="3" s="1"/>
  <c r="G166" i="4"/>
  <c r="G167" i="4"/>
  <c r="N16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N3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39" i="3" s="1"/>
  <c r="G198" i="4"/>
  <c r="G199" i="4"/>
  <c r="G200" i="4"/>
  <c r="G201" i="4"/>
  <c r="G202" i="4"/>
  <c r="G203" i="4"/>
  <c r="G204" i="4"/>
  <c r="G205" i="4"/>
  <c r="G206" i="4"/>
  <c r="G207" i="4"/>
  <c r="N40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36" i="3"/>
  <c r="N21" i="3"/>
  <c r="N14" i="3"/>
  <c r="N23" i="3"/>
  <c r="N18" i="3"/>
  <c r="N32" i="3"/>
  <c r="N11" i="3"/>
  <c r="N13" i="3"/>
  <c r="N10" i="3"/>
  <c r="N24" i="3"/>
  <c r="N2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<sst xmlns="http://schemas.openxmlformats.org/spreadsheetml/2006/main" count="2873" uniqueCount="1001">
  <si>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</si>
  <si>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</si>
  <si>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</si>
  <si>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</si>
  <si>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</si>
  <si>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</si>
  <si>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</si>
  <si>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</si>
  <si>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</si>
  <si>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</si>
  <si>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</si>
  <si>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</si>
  <si>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</si>
  <si>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</si>
  <si>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</si>
  <si>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</si>
  <si>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</si>
  <si>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</si>
  <si>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</si>
  <si>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</si>
  <si>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</si>
  <si>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</si>
  <si>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</si>
  <si>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</si>
  <si>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</si>
  <si>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</si>
  <si>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</si>
  <si>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</si>
  <si>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</si>
  <si>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</si>
  <si>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</si>
  <si>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</si>
  <si>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</si>
  <si>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</si>
  <si>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</si>
  <si>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</si>
  <si>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</si>
  <si>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</si>
  <si>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</si>
  <si>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</si>
  <si>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</si>
  <si>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</si>
  <si>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</si>
  <si>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</si>
  <si>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</si>
  <si>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</si>
  <si>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</si>
  <si>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</si>
  <si>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</si>
  <si>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</si>
  <si>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</si>
  <si>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</si>
  <si>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</si>
  <si>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</si>
  <si>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</si>
  <si>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</si>
  <si>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</si>
  <si>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</si>
  <si>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</si>
  <si>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</si>
  <si>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</si>
  <si>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</si>
  <si>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</si>
  <si>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</si>
  <si>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</si>
  <si>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</si>
  <si>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</si>
  <si>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</si>
  <si>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</si>
  <si>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</si>
  <si>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</si>
  <si>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</si>
  <si>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</si>
  <si>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</si>
  <si>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</si>
  <si>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</si>
  <si>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</si>
  <si>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</si>
  <si>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</si>
  <si>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</si>
  <si>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</si>
  <si>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</si>
  <si>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</si>
  <si>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</si>
  <si>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</si>
  <si>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</si>
  <si>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</si>
  <si>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</si>
  <si>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</si>
  <si>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</si>
  <si>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</si>
  <si>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</si>
  <si>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</si>
  <si>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</si>
  <si>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</si>
  <si>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</si>
  <si>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</si>
  <si>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</si>
  <si>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</si>
  <si>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</si>
  <si>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</si>
  <si>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</si>
  <si>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</si>
  <si>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</si>
  <si>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</si>
  <si>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</si>
  <si>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</si>
  <si>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</si>
  <si>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</si>
  <si>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</si>
  <si>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</si>
  <si>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</si>
  <si>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</si>
  <si>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</si>
  <si>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</si>
  <si>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</si>
  <si>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</si>
  <si>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</si>
  <si>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</si>
  <si>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</si>
  <si>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</si>
  <si>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</si>
  <si>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</si>
  <si>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</si>
  <si>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</si>
  <si>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</si>
  <si>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</si>
  <si>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</si>
  <si>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</si>
  <si>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</si>
  <si>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</si>
  <si>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</si>
  <si>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</si>
  <si>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</si>
  <si>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</si>
  <si>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</si>
  <si>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</si>
  <si>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</si>
  <si>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</si>
  <si>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</si>
  <si>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</si>
  <si>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</si>
  <si>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</si>
  <si>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</si>
  <si>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</si>
  <si>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</si>
  <si>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</si>
  <si>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</si>
  <si>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</si>
  <si>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</si>
  <si>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</si>
  <si>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</si>
  <si>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</si>
  <si>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</si>
  <si>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</si>
  <si>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</si>
  <si>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</si>
  <si>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</si>
  <si>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</si>
  <si>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</si>
  <si>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</si>
  <si>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</si>
  <si>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</si>
  <si>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</si>
  <si>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</si>
  <si>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</si>
  <si>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</si>
  <si>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</si>
  <si>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</si>
  <si>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</si>
  <si>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</si>
  <si>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</si>
  <si>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</si>
  <si>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</si>
  <si>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</si>
  <si>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</si>
  <si>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</si>
  <si>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</si>
  <si>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</si>
  <si>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</si>
  <si>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</si>
  <si>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</si>
  <si>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</si>
  <si>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</si>
  <si>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</si>
  <si>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</si>
  <si>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</si>
  <si>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</si>
  <si>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</si>
  <si>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</si>
  <si>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</si>
  <si>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</si>
  <si>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</si>
  <si>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</si>
  <si>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</si>
  <si>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</si>
  <si>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</si>
  <si>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</si>
  <si>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</si>
  <si>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</si>
  <si>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</si>
  <si>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</si>
  <si>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</si>
  <si>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</si>
  <si>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</si>
  <si>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</si>
  <si>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</si>
  <si>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</si>
  <si>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</si>
  <si>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</si>
  <si>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</si>
  <si>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</si>
  <si>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</si>
  <si>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</si>
  <si>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</si>
  <si>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</si>
  <si>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</si>
  <si>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</si>
  <si>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</si>
  <si>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</si>
  <si>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</si>
  <si>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</si>
  <si>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</si>
  <si>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</si>
  <si>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</si>
  <si>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</si>
  <si>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</si>
  <si>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</si>
  <si>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</si>
  <si>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</si>
  <si>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</si>
  <si>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</si>
  <si>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</si>
  <si>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</si>
  <si>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</si>
  <si>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</si>
  <si>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</si>
  <si>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</si>
  <si>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</si>
  <si>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</si>
  <si>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</si>
  <si>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</si>
  <si>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</si>
  <si>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</si>
  <si>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</si>
  <si>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</si>
  <si>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</si>
  <si>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</si>
  <si>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</si>
  <si>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</si>
  <si>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</si>
  <si>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</si>
  <si>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</si>
  <si>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</si>
  <si>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</si>
  <si>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</si>
  <si>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</si>
  <si>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</si>
  <si>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</si>
  <si>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</si>
  <si>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</si>
  <si>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</si>
  <si>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</si>
  <si>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</si>
  <si>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</si>
  <si>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</si>
  <si>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</si>
  <si>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</si>
  <si>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</si>
  <si>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</si>
  <si>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</si>
  <si>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</si>
  <si>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</si>
  <si>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</si>
  <si>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</si>
  <si>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</si>
  <si>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</si>
  <si>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</si>
  <si>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</si>
  <si>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</si>
  <si>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</si>
  <si>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</si>
  <si>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</si>
  <si>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</si>
  <si>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</si>
  <si>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</si>
  <si>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</si>
  <si>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</si>
  <si>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</si>
  <si>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</si>
  <si>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</si>
  <si>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</si>
  <si>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</si>
  <si>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</si>
  <si>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</si>
  <si>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</si>
  <si>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</si>
  <si>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</si>
  <si>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</si>
  <si>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</si>
  <si>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</si>
  <si>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</si>
  <si>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</si>
  <si>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</si>
  <si>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</si>
  <si>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</si>
  <si>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</si>
  <si>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</si>
  <si>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</si>
  <si>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</si>
  <si>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</si>
  <si>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</si>
  <si>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</si>
  <si>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</si>
  <si>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</si>
  <si>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</si>
  <si>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</si>
  <si>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</si>
  <si>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</si>
  <si>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</si>
  <si>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</si>
  <si>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</si>
  <si>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</si>
  <si>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</si>
  <si>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</si>
  <si>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</si>
  <si>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</si>
  <si>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</si>
  <si>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</si>
  <si>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</si>
  <si>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</si>
  <si>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</si>
  <si>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</si>
  <si>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</si>
  <si>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</si>
  <si>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</si>
  <si>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</si>
  <si>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</si>
  <si>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</si>
  <si>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</si>
  <si>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</si>
  <si>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</si>
  <si>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</si>
  <si>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</si>
  <si>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</si>
  <si>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</si>
  <si>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</si>
  <si>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</si>
  <si>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</si>
  <si>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</si>
  <si>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</si>
  <si>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</si>
  <si>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</si>
  <si>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</si>
  <si>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</si>
  <si>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</si>
  <si>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</si>
  <si>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</si>
  <si>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</si>
  <si>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</si>
  <si>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</si>
  <si>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</si>
  <si>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</si>
  <si>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</si>
  <si>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</si>
  <si>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</si>
  <si>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</si>
  <si>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</si>
  <si>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</si>
  <si>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</si>
  <si>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</si>
  <si>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</si>
  <si>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</si>
  <si>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</si>
  <si>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</si>
  <si>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</si>
  <si>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</si>
  <si>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</si>
  <si>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</si>
  <si>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</si>
  <si>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</si>
  <si>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</si>
  <si>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</si>
  <si>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</si>
  <si>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</si>
  <si>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</si>
  <si>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</si>
  <si>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</si>
  <si>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</si>
  <si>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</si>
  <si>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</si>
  <si>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</si>
  <si>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</si>
  <si>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</si>
  <si>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</si>
  <si>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</si>
  <si>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</si>
  <si>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</si>
  <si>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</si>
  <si>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</si>
  <si>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</si>
  <si>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</si>
  <si>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</si>
  <si>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</si>
  <si>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</si>
  <si>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</si>
  <si>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</si>
  <si>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</si>
  <si>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</si>
  <si>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</si>
  <si>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</si>
  <si>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300:58615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</si>
  <si>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</si>
  <si>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</si>
  <si>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</si>
  <si>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</si>
  <si>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</si>
  <si>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</si>
  <si>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</si>
  <si>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</si>
  <si>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</si>
  <si>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</si>
  <si>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</si>
  <si>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</si>
  <si>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</si>
  <si>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</si>
  <si>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</si>
  <si>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</si>
  <si>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</si>
  <si>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</si>
  <si>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</si>
  <si>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</si>
  <si>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</si>
  <si>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</si>
  <si>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</si>
  <si>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</si>
  <si>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</si>
  <si>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</si>
  <si>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</si>
  <si>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</si>
  <si>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</si>
  <si>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</si>
  <si>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</si>
  <si>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</si>
  <si>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</si>
  <si>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204:232993</t>
  </si>
  <si>
    <t>204:232996</t>
  </si>
  <si>
    <t>204:232980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</si>
  <si>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</si>
  <si>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</si>
  <si>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</si>
  <si>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</si>
  <si>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</si>
  <si>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</si>
  <si>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</si>
  <si>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</si>
  <si>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</si>
  <si>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</si>
  <si>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</si>
  <si>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</si>
  <si>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</si>
  <si>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</si>
  <si>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</si>
  <si>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</si>
  <si>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</si>
  <si>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</si>
  <si>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204:484</t>
  </si>
  <si>
    <t>204:232969</t>
  </si>
  <si>
    <t>204:464</t>
  </si>
  <si>
    <t>Wi-MAX data drop</t>
  </si>
  <si>
    <t>Early arrival</t>
  </si>
  <si>
    <t>STORY</t>
  </si>
  <si>
    <t>SAMANTHA</t>
  </si>
  <si>
    <t>204:232977</t>
  </si>
  <si>
    <t>204:233300</t>
  </si>
  <si>
    <t>204:232965</t>
  </si>
  <si>
    <t>204:232994</t>
  </si>
  <si>
    <t>rtdc.l.rtdc.4014:itc</t>
  </si>
  <si>
    <t>240-21</t>
  </si>
  <si>
    <t>rtdc.l.rtdc.4013:itc</t>
  </si>
  <si>
    <t>YORK</t>
  </si>
  <si>
    <t>EDGAR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</si>
  <si>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</si>
  <si>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</si>
  <si>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</si>
  <si>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</si>
  <si>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</si>
  <si>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</si>
  <si>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</si>
  <si>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</si>
  <si>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</si>
  <si>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</si>
  <si>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</si>
  <si>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204:233289</t>
  </si>
  <si>
    <t>204:233291</t>
  </si>
  <si>
    <t>204:233298</t>
  </si>
  <si>
    <t>204:233301</t>
  </si>
  <si>
    <t>204:232984</t>
  </si>
  <si>
    <t>204:130</t>
  </si>
  <si>
    <t>300:58939</t>
  </si>
  <si>
    <t>rtdc.l.rtdc.4019:itc</t>
  </si>
  <si>
    <t>rtdc.l.rtdc.4040:itc</t>
  </si>
  <si>
    <t>rtdc.l.rtdc.4039:itc</t>
  </si>
  <si>
    <t>rtdc.l.rtdc.4020:itc</t>
  </si>
  <si>
    <t>SWITCH UNKNOWN</t>
  </si>
  <si>
    <t>Track device (7)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</si>
  <si>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</si>
  <si>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</si>
  <si>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</si>
  <si>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</si>
  <si>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</si>
  <si>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</si>
  <si>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</si>
  <si>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MOSES</t>
  </si>
  <si>
    <t>BRADLEY</t>
  </si>
  <si>
    <t>MCREYNOLDS</t>
  </si>
  <si>
    <t>KYLE</t>
  </si>
  <si>
    <t>239-22</t>
  </si>
  <si>
    <t>236-22</t>
  </si>
  <si>
    <t>238-22</t>
  </si>
  <si>
    <t>241-22</t>
  </si>
  <si>
    <t>240-22</t>
  </si>
  <si>
    <t>243-22</t>
  </si>
  <si>
    <t>315-22</t>
  </si>
  <si>
    <t>242-22</t>
  </si>
  <si>
    <t>309-22</t>
  </si>
  <si>
    <t>244-22</t>
  </si>
  <si>
    <t>311-22</t>
  </si>
  <si>
    <t>313-22</t>
  </si>
  <si>
    <t>302-23</t>
  </si>
  <si>
    <t>204:232982</t>
  </si>
  <si>
    <t>204:233295</t>
  </si>
  <si>
    <t>204:138</t>
  </si>
  <si>
    <t>204:139</t>
  </si>
  <si>
    <t>204:232967</t>
  </si>
  <si>
    <t>204:480</t>
  </si>
  <si>
    <t>204:232986</t>
  </si>
  <si>
    <t>204:232989</t>
  </si>
  <si>
    <t>204:233299</t>
  </si>
  <si>
    <t>204:446</t>
  </si>
  <si>
    <t>204:233013</t>
  </si>
  <si>
    <t>204:233287</t>
  </si>
  <si>
    <t>204:232985</t>
  </si>
  <si>
    <t>204:458</t>
  </si>
  <si>
    <t>204:233318</t>
  </si>
  <si>
    <t>204:233317</t>
  </si>
  <si>
    <t>204:233319</t>
  </si>
  <si>
    <t>300:23301</t>
  </si>
  <si>
    <t>300:23308</t>
  </si>
  <si>
    <t>300:58933</t>
  </si>
  <si>
    <t>300:58617</t>
  </si>
  <si>
    <t>204:748</t>
  </si>
  <si>
    <t>300:58630</t>
  </si>
  <si>
    <t>rtdc.l.rtdc.4001:itc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</si>
  <si>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</si>
  <si>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</si>
  <si>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</si>
  <si>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</si>
  <si>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</si>
  <si>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</si>
  <si>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</si>
  <si>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WHITED</t>
  </si>
  <si>
    <t>DUSTIN</t>
  </si>
  <si>
    <t>BRUDER</t>
  </si>
  <si>
    <t>RICHARD</t>
  </si>
  <si>
    <t>906-23</t>
  </si>
  <si>
    <t>313-23</t>
  </si>
  <si>
    <t>precipType</t>
  </si>
  <si>
    <t>rain</t>
  </si>
  <si>
    <t>204:757</t>
  </si>
  <si>
    <t>204:233268</t>
  </si>
  <si>
    <t>204:232970</t>
  </si>
  <si>
    <t>204:750</t>
  </si>
  <si>
    <t>204:444</t>
  </si>
  <si>
    <t>204:233306</t>
  </si>
  <si>
    <t>204:233316</t>
  </si>
  <si>
    <t>204:447</t>
  </si>
  <si>
    <t>204:232971</t>
  </si>
  <si>
    <t>204:500</t>
  </si>
  <si>
    <t>204:141</t>
  </si>
  <si>
    <t>204:232990</t>
  </si>
  <si>
    <t>204:233310</t>
  </si>
  <si>
    <t>204:233312</t>
  </si>
  <si>
    <t>204:233410</t>
  </si>
  <si>
    <t>204:136</t>
  </si>
  <si>
    <t>204:768</t>
  </si>
  <si>
    <t>204:167</t>
  </si>
  <si>
    <t>204:233305</t>
  </si>
  <si>
    <t>300:23297</t>
  </si>
  <si>
    <t>204:144</t>
  </si>
  <si>
    <t>204:1030</t>
  </si>
  <si>
    <t>300:58935</t>
  </si>
  <si>
    <t>300:58943</t>
  </si>
  <si>
    <t>300:58624</t>
  </si>
  <si>
    <t>300:58931</t>
  </si>
  <si>
    <t>300:58944</t>
  </si>
  <si>
    <t>308-26</t>
  </si>
  <si>
    <t>106-26</t>
  </si>
  <si>
    <t>128-26</t>
  </si>
  <si>
    <t>135-26</t>
  </si>
  <si>
    <t>141-26</t>
  </si>
  <si>
    <t>142-26</t>
  </si>
  <si>
    <t>151-26</t>
  </si>
  <si>
    <t>144-26</t>
  </si>
  <si>
    <t>148-26</t>
  </si>
  <si>
    <t>153-26</t>
  </si>
  <si>
    <t>146-26</t>
  </si>
  <si>
    <t>159-26</t>
  </si>
  <si>
    <t>167-26</t>
  </si>
  <si>
    <t>158-26</t>
  </si>
  <si>
    <t>181-26</t>
  </si>
  <si>
    <t>174-26</t>
  </si>
  <si>
    <t>185-26</t>
  </si>
  <si>
    <t>178-26</t>
  </si>
  <si>
    <t>1818-26</t>
  </si>
  <si>
    <t>184-26</t>
  </si>
  <si>
    <t>1820-26</t>
  </si>
  <si>
    <t>190-26</t>
  </si>
  <si>
    <t>192-26</t>
  </si>
  <si>
    <t>205-26</t>
  </si>
  <si>
    <t>200-26</t>
  </si>
  <si>
    <t>214-26</t>
  </si>
  <si>
    <t>219-26</t>
  </si>
  <si>
    <t>225-26</t>
  </si>
  <si>
    <t>235-26</t>
  </si>
  <si>
    <t>243-26</t>
  </si>
  <si>
    <t>rtdc.l.rtdc.4052:itc</t>
  </si>
  <si>
    <t>242-25</t>
  </si>
  <si>
    <t>245-25</t>
  </si>
  <si>
    <t>244-25</t>
  </si>
  <si>
    <t>rtdc.l.rtdc.4051:itc</t>
  </si>
  <si>
    <t>71-25</t>
  </si>
  <si>
    <t>246-25</t>
  </si>
  <si>
    <t>309-25</t>
  </si>
  <si>
    <t>311-25</t>
  </si>
  <si>
    <t>302-26</t>
  </si>
  <si>
    <t>MAYBERRY</t>
  </si>
  <si>
    <t>BILL</t>
  </si>
  <si>
    <t>62-26</t>
  </si>
  <si>
    <t>101-26</t>
  </si>
  <si>
    <t>304-26</t>
  </si>
  <si>
    <t>MAELZER</t>
  </si>
  <si>
    <t>KURT</t>
  </si>
  <si>
    <t>103-26</t>
  </si>
  <si>
    <t>306-26</t>
  </si>
  <si>
    <t>102-26</t>
  </si>
  <si>
    <t>105-26</t>
  </si>
  <si>
    <t>DAVIS</t>
  </si>
  <si>
    <t>WENDY</t>
  </si>
  <si>
    <t>310-26</t>
  </si>
  <si>
    <t>50-26</t>
  </si>
  <si>
    <t>107-26</t>
  </si>
  <si>
    <t>104-26</t>
  </si>
  <si>
    <t>109-26</t>
  </si>
  <si>
    <t>111-26</t>
  </si>
  <si>
    <t>113-26</t>
  </si>
  <si>
    <t>53-26</t>
  </si>
  <si>
    <t>1901-26</t>
  </si>
  <si>
    <t>108-26</t>
  </si>
  <si>
    <t>1800-26</t>
  </si>
  <si>
    <t>115-26</t>
  </si>
  <si>
    <t>117-26</t>
  </si>
  <si>
    <t>110-26</t>
  </si>
  <si>
    <t>112-26</t>
  </si>
  <si>
    <t>1801-26</t>
  </si>
  <si>
    <t>114-26</t>
  </si>
  <si>
    <t>119-26</t>
  </si>
  <si>
    <t>121-26</t>
  </si>
  <si>
    <t>116-26</t>
  </si>
  <si>
    <t>123-26</t>
  </si>
  <si>
    <t>118-26</t>
  </si>
  <si>
    <t>1802-26</t>
  </si>
  <si>
    <t>125-26</t>
  </si>
  <si>
    <t>120-26</t>
  </si>
  <si>
    <t>1803-26</t>
  </si>
  <si>
    <t>127-26</t>
  </si>
  <si>
    <t>122-26</t>
  </si>
  <si>
    <t>129-26</t>
  </si>
  <si>
    <t>124-26</t>
  </si>
  <si>
    <t>131-26</t>
  </si>
  <si>
    <t>1804-26</t>
  </si>
  <si>
    <t>126-26</t>
  </si>
  <si>
    <t>133-26</t>
  </si>
  <si>
    <t>130-26</t>
  </si>
  <si>
    <t>1805-26</t>
  </si>
  <si>
    <t>137-26</t>
  </si>
  <si>
    <t>132-26</t>
  </si>
  <si>
    <t>139-26</t>
  </si>
  <si>
    <t>134-26</t>
  </si>
  <si>
    <t>1806-26</t>
  </si>
  <si>
    <t>136-26</t>
  </si>
  <si>
    <t>143-26</t>
  </si>
  <si>
    <t>1807-26</t>
  </si>
  <si>
    <t>138-26</t>
  </si>
  <si>
    <t>145-26</t>
  </si>
  <si>
    <t>140-26</t>
  </si>
  <si>
    <t>147-26</t>
  </si>
  <si>
    <t>149-26</t>
  </si>
  <si>
    <t>1808-26</t>
  </si>
  <si>
    <t>1809-26</t>
  </si>
  <si>
    <t>155-26</t>
  </si>
  <si>
    <t>ROMERO</t>
  </si>
  <si>
    <t>CHAD</t>
  </si>
  <si>
    <t>1810-26</t>
  </si>
  <si>
    <t>157-26</t>
  </si>
  <si>
    <t>150-26</t>
  </si>
  <si>
    <t>152-26</t>
  </si>
  <si>
    <t>STEWART</t>
  </si>
  <si>
    <t>1811-26</t>
  </si>
  <si>
    <t>154-26</t>
  </si>
  <si>
    <t>156-26</t>
  </si>
  <si>
    <t>161-26</t>
  </si>
  <si>
    <t>163-26</t>
  </si>
  <si>
    <t>LEVIN</t>
  </si>
  <si>
    <t>SCOTT</t>
  </si>
  <si>
    <t>1812-26</t>
  </si>
  <si>
    <t>165-26</t>
  </si>
  <si>
    <t>160-26</t>
  </si>
  <si>
    <t>1813-26</t>
  </si>
  <si>
    <t>169-26</t>
  </si>
  <si>
    <t>162-26</t>
  </si>
  <si>
    <t>164-26</t>
  </si>
  <si>
    <t>171-26</t>
  </si>
  <si>
    <t>1814-26</t>
  </si>
  <si>
    <t>166-26</t>
  </si>
  <si>
    <t>173-26</t>
  </si>
  <si>
    <t>168-26</t>
  </si>
  <si>
    <t>1815-26</t>
  </si>
  <si>
    <t>175-26</t>
  </si>
  <si>
    <t>170-26</t>
  </si>
  <si>
    <t>177-26</t>
  </si>
  <si>
    <t>172-26</t>
  </si>
  <si>
    <t>179-26</t>
  </si>
  <si>
    <t>1816-26</t>
  </si>
  <si>
    <t>176-26</t>
  </si>
  <si>
    <t>183-26</t>
  </si>
  <si>
    <t>1817-26</t>
  </si>
  <si>
    <t>180-26</t>
  </si>
  <si>
    <t>187-26</t>
  </si>
  <si>
    <t>182-26</t>
  </si>
  <si>
    <t>189-26</t>
  </si>
  <si>
    <t>191-26</t>
  </si>
  <si>
    <t>186-26</t>
  </si>
  <si>
    <t>193-26</t>
  </si>
  <si>
    <t>1819-26</t>
  </si>
  <si>
    <t>195-26</t>
  </si>
  <si>
    <t>188-26</t>
  </si>
  <si>
    <t>197-26</t>
  </si>
  <si>
    <t>199-26</t>
  </si>
  <si>
    <t>194-26</t>
  </si>
  <si>
    <t>201-26</t>
  </si>
  <si>
    <t>1821-26</t>
  </si>
  <si>
    <t>196-26</t>
  </si>
  <si>
    <t>203-26</t>
  </si>
  <si>
    <t>198-26</t>
  </si>
  <si>
    <t>1822-26</t>
  </si>
  <si>
    <t>207-26</t>
  </si>
  <si>
    <t>202-26</t>
  </si>
  <si>
    <t>65-26</t>
  </si>
  <si>
    <t>209-26</t>
  </si>
  <si>
    <t>1823-26</t>
  </si>
  <si>
    <t>211-26</t>
  </si>
  <si>
    <t>204-26</t>
  </si>
  <si>
    <t>1824-26</t>
  </si>
  <si>
    <t>206-26</t>
  </si>
  <si>
    <t>213-26</t>
  </si>
  <si>
    <t>52-26</t>
  </si>
  <si>
    <t>DUNCAN</t>
  </si>
  <si>
    <t>SHEILA</t>
  </si>
  <si>
    <t>208-26</t>
  </si>
  <si>
    <t>215-26</t>
  </si>
  <si>
    <t>210-26</t>
  </si>
  <si>
    <t>217-26</t>
  </si>
  <si>
    <t>1825-26</t>
  </si>
  <si>
    <t>212-26</t>
  </si>
  <si>
    <t>1826-26</t>
  </si>
  <si>
    <t>303-26</t>
  </si>
  <si>
    <t>216-26</t>
  </si>
  <si>
    <t>221-26</t>
  </si>
  <si>
    <t>218-26</t>
  </si>
  <si>
    <t>305-26</t>
  </si>
  <si>
    <t>1827-26</t>
  </si>
  <si>
    <t>220-26</t>
  </si>
  <si>
    <t>223-26</t>
  </si>
  <si>
    <t>1828-26</t>
  </si>
  <si>
    <t>307-26</t>
  </si>
  <si>
    <t>222-26</t>
  </si>
  <si>
    <t>227-26</t>
  </si>
  <si>
    <t>224-26</t>
  </si>
  <si>
    <t>1829-26</t>
  </si>
  <si>
    <t>1830-26</t>
  </si>
  <si>
    <t>226-26</t>
  </si>
  <si>
    <t>229-26</t>
  </si>
  <si>
    <t>231-26</t>
  </si>
  <si>
    <t>1831-26</t>
  </si>
  <si>
    <t>228-26</t>
  </si>
  <si>
    <t>80-26</t>
  </si>
  <si>
    <t>YANG</t>
  </si>
  <si>
    <t>JAN</t>
  </si>
  <si>
    <t>1832-26</t>
  </si>
  <si>
    <t>233-26</t>
  </si>
  <si>
    <t>81-26</t>
  </si>
  <si>
    <t>230-26</t>
  </si>
  <si>
    <t>1833-26</t>
  </si>
  <si>
    <t>232-26</t>
  </si>
  <si>
    <t>1902-26</t>
  </si>
  <si>
    <t>234-26</t>
  </si>
  <si>
    <t>237-26</t>
  </si>
  <si>
    <t>239-26</t>
  </si>
  <si>
    <t>236-26</t>
  </si>
  <si>
    <t>241-26</t>
  </si>
  <si>
    <t>238-26</t>
  </si>
  <si>
    <t>240-26</t>
  </si>
  <si>
    <t>315-26</t>
  </si>
  <si>
    <t>242-26</t>
  </si>
  <si>
    <t>309-26</t>
  </si>
  <si>
    <t>244-26</t>
  </si>
  <si>
    <t>311-26</t>
  </si>
  <si>
    <t>313-26</t>
  </si>
  <si>
    <t>204:478</t>
  </si>
  <si>
    <t>204:754</t>
  </si>
  <si>
    <t>204:232690</t>
  </si>
  <si>
    <t>204:233281</t>
  </si>
  <si>
    <t>204:232645</t>
  </si>
  <si>
    <t>204:1162</t>
  </si>
  <si>
    <t>204:233343</t>
  </si>
  <si>
    <t>204:232992</t>
  </si>
  <si>
    <t>204:170</t>
  </si>
  <si>
    <t>204:232991</t>
  </si>
  <si>
    <t>204:233315</t>
  </si>
  <si>
    <t>204:759</t>
  </si>
  <si>
    <t>204:233326</t>
  </si>
  <si>
    <t>204:233329</t>
  </si>
  <si>
    <t>204:163</t>
  </si>
  <si>
    <t>204:806</t>
  </si>
  <si>
    <t>204:233261</t>
  </si>
  <si>
    <t>204:232948</t>
  </si>
  <si>
    <t>204:469</t>
  </si>
  <si>
    <t>204:233002</t>
  </si>
  <si>
    <t>204:233323</t>
  </si>
  <si>
    <t>204:233004</t>
  </si>
  <si>
    <t>204:134846</t>
  </si>
  <si>
    <t>204:86353</t>
  </si>
  <si>
    <t>204:169</t>
  </si>
  <si>
    <t>204:134</t>
  </si>
  <si>
    <t>204:233225</t>
  </si>
  <si>
    <t>204:232926</t>
  </si>
  <si>
    <t>204:233332</t>
  </si>
  <si>
    <t>204:233017</t>
  </si>
  <si>
    <t>204:471</t>
  </si>
  <si>
    <t>204:477</t>
  </si>
  <si>
    <t>204:233010</t>
  </si>
  <si>
    <t>204:233372</t>
  </si>
  <si>
    <t>204:233071</t>
  </si>
  <si>
    <t>204:127</t>
  </si>
  <si>
    <t>204:233344</t>
  </si>
  <si>
    <t>204:233023</t>
  </si>
  <si>
    <t>204:233341</t>
  </si>
  <si>
    <t>204:233003</t>
  </si>
  <si>
    <t>204:233321</t>
  </si>
  <si>
    <t>204:233389</t>
  </si>
  <si>
    <t>204:233040</t>
  </si>
  <si>
    <t>204:125</t>
  </si>
  <si>
    <t>204:233303</t>
  </si>
  <si>
    <t>204:183</t>
  </si>
  <si>
    <t>204:427</t>
  </si>
  <si>
    <t>204:233309</t>
  </si>
  <si>
    <t>204:232974</t>
  </si>
  <si>
    <t>204:537</t>
  </si>
  <si>
    <t>204:132</t>
  </si>
  <si>
    <t>204:418</t>
  </si>
  <si>
    <t>204:233374</t>
  </si>
  <si>
    <t>204:233074</t>
  </si>
  <si>
    <t>204:191</t>
  </si>
  <si>
    <t>204:1056</t>
  </si>
  <si>
    <t>300:58929</t>
  </si>
  <si>
    <t>204:738</t>
  </si>
  <si>
    <t>204:1018</t>
  </si>
  <si>
    <t>204:1025</t>
  </si>
  <si>
    <t>300:58941</t>
  </si>
  <si>
    <t>300:58628</t>
  </si>
  <si>
    <t>204:743</t>
  </si>
  <si>
    <t>204:1035</t>
  </si>
  <si>
    <t>300:58623</t>
  </si>
  <si>
    <t>204:755</t>
  </si>
  <si>
    <t>204:1039</t>
  </si>
  <si>
    <t>204:233253</t>
  </si>
  <si>
    <t>204:1037</t>
  </si>
  <si>
    <t>204:736</t>
  </si>
  <si>
    <t>204:1032</t>
  </si>
  <si>
    <t>300:58636</t>
  </si>
  <si>
    <t>204:1041</t>
  </si>
  <si>
    <t>300:58626</t>
  </si>
  <si>
    <t>204:1046</t>
  </si>
  <si>
    <t>204:232940</t>
  </si>
  <si>
    <t>204:705</t>
  </si>
  <si>
    <t>204:1006</t>
  </si>
  <si>
    <t>300:58946</t>
  </si>
  <si>
    <t>204:764</t>
  </si>
  <si>
    <t>204:1070</t>
  </si>
  <si>
    <t>204:817</t>
  </si>
  <si>
    <t>204:1102</t>
  </si>
  <si>
    <t>300:58950</t>
  </si>
  <si>
    <t>204:233366</t>
  </si>
  <si>
    <t>204:1049</t>
  </si>
  <si>
    <t>204:838</t>
  </si>
  <si>
    <t>204:1121</t>
  </si>
  <si>
    <t>204:233302</t>
  </si>
  <si>
    <t>204:442</t>
  </si>
  <si>
    <t>204:233280</t>
  </si>
  <si>
    <t>300:30214</t>
  </si>
  <si>
    <t>300:58638</t>
  </si>
  <si>
    <t>300:21736</t>
  </si>
  <si>
    <t>204:497</t>
  </si>
  <si>
    <t>204:233357</t>
  </si>
  <si>
    <t>204:233032</t>
  </si>
  <si>
    <t>204:118</t>
  </si>
  <si>
    <t>204:233320</t>
  </si>
  <si>
    <t>204:233391</t>
  </si>
  <si>
    <t>204:233100</t>
  </si>
  <si>
    <t>204:121</t>
  </si>
  <si>
    <t>204:233311</t>
  </si>
  <si>
    <t>204:429</t>
  </si>
  <si>
    <t>204:233402</t>
  </si>
  <si>
    <t>204:233076</t>
  </si>
  <si>
    <t>204:420</t>
  </si>
  <si>
    <t>204:233336</t>
  </si>
  <si>
    <t>204:233015</t>
  </si>
  <si>
    <t>204:435</t>
  </si>
  <si>
    <t>204:232983</t>
  </si>
  <si>
    <t>204:233427</t>
  </si>
  <si>
    <t>204:233096</t>
  </si>
  <si>
    <t>204:178</t>
  </si>
  <si>
    <t>204:233408</t>
  </si>
  <si>
    <t>204:233069</t>
  </si>
  <si>
    <t>204:486</t>
  </si>
  <si>
    <t>204:172</t>
  </si>
  <si>
    <t>204:233025</t>
  </si>
  <si>
    <t>204:424</t>
  </si>
  <si>
    <t>204:233397</t>
  </si>
  <si>
    <t>204:233089</t>
  </si>
  <si>
    <t>204:233378</t>
  </si>
  <si>
    <t>204:233383</t>
  </si>
  <si>
    <t>204:233072</t>
  </si>
  <si>
    <t>204:232975</t>
  </si>
  <si>
    <t>204:233084</t>
  </si>
  <si>
    <t>204:233104</t>
  </si>
  <si>
    <t>300:23345</t>
  </si>
  <si>
    <t>300:23125</t>
  </si>
  <si>
    <t>300:23136</t>
  </si>
  <si>
    <t>300:22828</t>
  </si>
  <si>
    <t>300:23011</t>
  </si>
  <si>
    <t>300:23294</t>
  </si>
  <si>
    <t>300:22628</t>
  </si>
  <si>
    <t>204:64492</t>
  </si>
  <si>
    <t>204:129200</t>
  </si>
  <si>
    <t>300:23627</t>
  </si>
  <si>
    <t>204:64480</t>
  </si>
  <si>
    <t>204:128822</t>
  </si>
  <si>
    <t>300:23302</t>
  </si>
  <si>
    <t>300:23304</t>
  </si>
  <si>
    <t>300:23336</t>
  </si>
  <si>
    <t>300:22039</t>
  </si>
  <si>
    <t>204:1974</t>
  </si>
  <si>
    <t>204:951</t>
  </si>
  <si>
    <t>204:128451</t>
  </si>
  <si>
    <t>204:1486</t>
  </si>
  <si>
    <t>204:128001</t>
  </si>
  <si>
    <t>204:803</t>
  </si>
  <si>
    <t>204:128010</t>
  </si>
  <si>
    <t>204:1156</t>
  </si>
  <si>
    <t>204:10111</t>
  </si>
  <si>
    <t>300:23610</t>
  </si>
  <si>
    <t>204:10342</t>
  </si>
  <si>
    <t>204:128266</t>
  </si>
  <si>
    <t>204:1090</t>
  </si>
  <si>
    <t>204:1479</t>
  </si>
  <si>
    <t>204:128268</t>
  </si>
  <si>
    <t>204:459</t>
  </si>
  <si>
    <t>204:128272</t>
  </si>
  <si>
    <t>start /low /b %USERPROFILE%\Documents\GitHub\eaglep3\Utilities\DownloadLogsFromS3.py --loco 4028 --day 2017-03-26</t>
  </si>
  <si>
    <t>start /low /b %USERPROFILE%\Documents\GitHub\eaglep3\Utilities\DownloadLogsFromS3.py --loco 4054 --day 2017-03-26</t>
  </si>
  <si>
    <t>start /low /b %USERPROFILE%\Documents\GitHub\eaglep3\Utilities\DownloadLogsFromS3.py --loco 4002 --day 2017-03-26</t>
  </si>
  <si>
    <t>start /low /b %USERPROFILE%\Documents\GitHub\eaglep3\Utilities\DownloadLogsFromS3.py --loco 4045 --day 2017-03-26</t>
  </si>
  <si>
    <t>start /low /b %USERPROFILE%\Documents\GitHub\eaglep3\Utilities\DownloadLogsFromS3.py --loco 4004 --day 2017-03-26</t>
  </si>
  <si>
    <t>start /low /b %USERPROFILE%\Documents\GitHub\eaglep3\Utilities\DownloadLogsFromS3.py --loco 4018 --day 2017-03-26</t>
  </si>
  <si>
    <t>start /low /b %USERPROFILE%\Documents\GitHub\eaglep3\Utilities\DownloadLogsFromS3.py --loco 4027 --day 2017-03-26</t>
  </si>
  <si>
    <t>start /low /b %USERPROFILE%\Documents\GitHub\eaglep3\Utilities\DownloadLogsFromS3.py --loco 4028 --day 2017-03-27</t>
  </si>
  <si>
    <t>start /low /b %USERPROFILE%\Documents\GitHub\eaglep3\Utilities\DownloadLogsFromS3.py --loco 4046 --day 2017-03-26</t>
  </si>
  <si>
    <t>start /low /b %USERPROFILE%\Documents\GitHub\eaglep3\Utilities\DownloadLogsFromS3.py --loco 4026 --day 2017-03-26</t>
  </si>
  <si>
    <t>start /low /b %USERPROFILE%\Documents\GitHub\eaglep3\Utilities\DownloadLogsFromS3.py --loco 4032 --day 2017-03-26</t>
  </si>
  <si>
    <t>start /low /b %USERPROFILE%\Documents\GitHub\eaglep3\Utilities\DownloadLogsFromS3.py --loco 4003 --day 2017-03-26</t>
  </si>
  <si>
    <t>start /low /b %USERPROFILE%\Documents\GitHub\eaglep3\Utilities\DownloadLogsFromS3.py --loco 4019 --day 2017-03-26</t>
  </si>
  <si>
    <t>start /low /b %USERPROFILE%\Documents\GitHub\eaglep3\Utilities\DownloadLogsFromS3.py --loco 4025 --day 2017-03-26</t>
  </si>
  <si>
    <t>start /low /b %USERPROFILE%\Documents\GitHub\eaglep3\Utilities\DownloadLogsFromS3.py --loco 4046 --day 2017-03-27</t>
  </si>
  <si>
    <t>start /low /b %USERPROFILE%\Documents\GitHub\eaglep3\Utilities\DownloadLogsFromS3.py --loco 4031 --day 2017-03-27</t>
  </si>
  <si>
    <t>start /low /b %USERPROFILE%\Documents\GitHub\eaglep3\Utilities\DownloadLogsFromS3.py --loco 4012 --day 2017-03-26</t>
  </si>
  <si>
    <t>http://stevetu21.github.io/eaglep3/load_kml.html?kml=http://rtdc.gmaps-snips.s3.amazonaws.com/53a78c97-7730-421c-8d86-f6f17b782d76.kml</t>
  </si>
  <si>
    <t>Chambers ELXS offline from 10:34:40 - 10:35:17</t>
  </si>
  <si>
    <t>See title - do logs explain why the ELXS went offline for the aforementioned time period?</t>
  </si>
  <si>
    <t>http://stevetu21.github.io/eaglep3/load_kml.html?kml=http://rtdc.gmaps-snips.s3.amazonaws.com/23fb6c4d-a57c-4642-bce7-74e8c7afb190.kml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</si>
</sst>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topLeftCell="B1" workbookViewId="0">
      <selection activeCell="AI13" sqref="AI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42820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143</v>
      </c>
      <c r="K5" s="40"/>
      <c r="L5" s="40"/>
      <c r="M5" s="41">
        <f>AVERAGEIFS($N$13:$N$9333,$AG$13:$AG$9333,I1)</f>
        <v>38.177389278087986</v>
      </c>
      <c r="N5" s="39">
        <f t="array" ref="N5">MIN(IF($AG$13:$AG$9333=I1,IF(ISNUMBER($N$13:$N$9333),IF($N$13:$N$9333&gt;0,$N$13:$N$9333))))</f>
        <v>34.983333328273147</v>
      </c>
      <c r="O5" s="3">
        <f t="array" ref="O5">MAX(IF($AG$13:$AG$9333=I1,IF(ISNUMBER($N$13:$N$9333),IF($N$13:$N$9333&gt;0,$N$13:$N$9333))))</f>
        <v>47.449999996460974</v>
      </c>
      <c r="P5" s="2"/>
      <c r="R5" s="74" t="s">
        <v>17</v>
      </c>
      <c r="S5" s="50">
        <f>COUNTIFS($N$13:$N$9333,"&gt;0",$AG$13:$AG$9333,R1)</f>
        <v>34</v>
      </c>
      <c r="T5" s="40"/>
      <c r="U5" s="177"/>
      <c r="V5" s="174">
        <f>AVERAGEIFS($N$13:$N$9333,$AG$13:$AG$9333,R1)</f>
        <v>13.193137255832827</v>
      </c>
      <c r="W5" s="175">
        <f t="array" ref="W5">MIN(IF($AG$13:$AG$9333=R1,IF(ISNUMBER($N$13:$N$9333),IF($N$13:$N$9333&gt;0,$N$13:$N$9333))))</f>
        <v>11.783333332277834</v>
      </c>
      <c r="X5" s="176">
        <f t="array" ref="X5">MAX(IF($AG$13:$AG$9333=R1,IF(ISNUMBER($N$13:$N$9333),IF($N$13:$N$9333&gt;0,$N$13:$N$9333))))</f>
        <v>16.333333337679505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38.177389278087986</v>
      </c>
      <c r="N8" s="39">
        <f>N5</f>
        <v>34.983333328273147</v>
      </c>
      <c r="O8" s="3">
        <f>O5</f>
        <v>47.449999996460974</v>
      </c>
      <c r="P8" s="2"/>
      <c r="R8" s="74" t="s">
        <v>16</v>
      </c>
      <c r="S8" s="50">
        <f>S5</f>
        <v>34</v>
      </c>
      <c r="T8" s="40"/>
      <c r="U8" s="177"/>
      <c r="V8" s="174">
        <f>V5</f>
        <v>13.193137255832827</v>
      </c>
      <c r="W8" s="175">
        <f>W5</f>
        <v>11.783333332277834</v>
      </c>
      <c r="X8" s="176">
        <f>X5</f>
        <v>16.333333337679505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- 2017-03-26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0.99774774774774766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639</v>
      </c>
      <c r="B13" s="7">
        <v>4003</v>
      </c>
      <c r="C13" s="21" t="s">
        <v>219</v>
      </c>
      <c r="D13" s="21" t="s">
        <v>819</v>
      </c>
      <c r="E13" s="13">
        <v>42820.13553240741</v>
      </c>
      <c r="F13" s="13">
        <v>42820.137511574074</v>
      </c>
      <c r="G13" s="7">
        <v>1</v>
      </c>
      <c r="H13" s="21" t="s">
        <v>531</v>
      </c>
      <c r="I13" s="13">
        <v>42820.167430555557</v>
      </c>
      <c r="J13" s="7">
        <v>0</v>
      </c>
      <c r="K13" s="98" t="str">
        <f t="shared" ref="K13:K76" si="0">IF(ISEVEN(B13),(B13-1)&amp;"/"&amp;B13,B13&amp;"/"&amp;(B13+1))</f>
        <v>4003/4004</v>
      </c>
      <c r="L13" s="21" t="str">
        <f>VLOOKUP(A13,'Trips&amp;Operators'!$C$1:$G$99999,5,FALSE)</f>
        <v>MAYBERRY BILL</v>
      </c>
      <c r="M13" s="6">
        <f t="shared" ref="M13:M76" si="1">I13-F13</f>
        <v>2.9918981483206153E-2</v>
      </c>
      <c r="N13" s="7">
        <f t="shared" ref="N13:N41" si="2">24*60*SUM($M13:$M13)</f>
        <v>43.08333333581686</v>
      </c>
      <c r="O13" s="7"/>
      <c r="P13" s="7"/>
      <c r="Q13" s="22"/>
      <c r="R13" s="22"/>
      <c r="S13" s="31">
        <f t="shared" ref="S13:S41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-26T02:15:10-0600',mode:absolute,to:'2017-03-26T05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4.7800000000000002E-2</v>
      </c>
      <c r="Z13" s="62">
        <f t="shared" ref="Z13:Z76" si="9">RIGHT(H13,LEN(H13)-4)/10000</f>
        <v>23.329499999999999</v>
      </c>
      <c r="AA13" s="62">
        <f t="shared" ref="AA13:AA76" si="10">ABS(Z13-Y13)</f>
        <v>23.281700000000001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/stypes="app*4003*20170326*" /stext=" 10:.+((SYSTEM_STATE.+slice.+state.+changed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4003 --swversion DE.1.0.9.0 --startMP 204:478 --initTime 2017-03-26T03:15:10 --startdatetime 2017-03-26T03:18:01 --delay 1 --endMP 204:233295 --enddatetime 2017-03-26T04:01:06 --enforcementcount 0 &gt;&gt;C:\Users\stu\Documents\GitHub\eaglep3-reporting\EC\2017-03-26-refined-times.txt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{"issue":{"subject":"","project_id":79,"tracker_id":40,"status_id":1,"priority_id":2,"assigned_to_id":23,"start_date":"2017-03-26","description":"","custom_fields":[{"id":1,"name":"Subdivision","value":"EC"},{"id":4,"name":"Milepost","value":"23.3295"},{"id":17,"name":"Train ID","value":"101-26"},{"id":16,"name":"Locomotive ID","value":"4003"},{"id":130,"name":"Impact","value":""},{"id":150,"name":"Time of Event (Mountain Time)","value":"04:01:06"},{"id":151,"name":"Denver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4003 --day 2017-03-26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645</v>
      </c>
      <c r="B14" s="7">
        <v>4004</v>
      </c>
      <c r="C14" s="21" t="s">
        <v>219</v>
      </c>
      <c r="D14" s="21" t="s">
        <v>443</v>
      </c>
      <c r="E14" s="13">
        <v>42820.169803240744</v>
      </c>
      <c r="F14" s="13">
        <v>42820.174444444441</v>
      </c>
      <c r="G14" s="7">
        <v>1</v>
      </c>
      <c r="H14" s="21" t="s">
        <v>191</v>
      </c>
      <c r="I14" s="13">
        <v>42820.20207175926</v>
      </c>
      <c r="J14" s="7">
        <v>0</v>
      </c>
      <c r="K14" s="98" t="str">
        <f t="shared" si="0"/>
        <v>4003/4004</v>
      </c>
      <c r="L14" s="21" t="str">
        <f>VLOOKUP(A14,'Trips&amp;Operators'!$C$1:$G$99999,5,FALSE)</f>
        <v>MAYBERRY BILL</v>
      </c>
      <c r="M14" s="6">
        <f t="shared" si="1"/>
        <v>2.7627314819255844E-2</v>
      </c>
      <c r="N14" s="7">
        <f t="shared" si="2"/>
        <v>39.783333339728415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-26T03:04:31-0600',mode:absolute,to:'2017-03-26T05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23.298100000000002</v>
      </c>
      <c r="Z14" s="62">
        <f t="shared" si="9"/>
        <v>1.4999999999999999E-2</v>
      </c>
      <c r="AA14" s="62">
        <f t="shared" si="10"/>
        <v>23.283100000000001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0102-26</v>
      </c>
      <c r="AE14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4" s="82" t="str">
        <f t="shared" si="13"/>
        <v>"C:\Program Files (x86)\AstroGrep\AstroGrep.exe" /e /r /s /spath="%USERPROFILE%\AppData\Local\Temp\OnboardLogs" /stypes="app*4004*20170326*"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4004 --swversion DE.1.0.9.0 --startMP 204:232981 --initTime 2017-03-26T04:04:31 --startdatetime 2017-03-26T04:11:12 --delay 1 --endMP 204:150 --enddatetime 2017-03-26T04:50:59 --enforcementcount 0 &gt;&gt;C:\Users\stu\Documents\GitHub\eaglep3-reporting\EC\2017-03-26-refined-times.txt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ID","value":"102-26"},{"id":16,"name":"Locomotive ID","value":"4004"},{"id":130,"name":"Impact","value":""},{"id":150,"name":"Time of Event (Mountain Time)","value":"04:50:59"},{"id":151,"name":"Denver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4004 --day 2017-03-26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643</v>
      </c>
      <c r="B15" s="7">
        <v>4027</v>
      </c>
      <c r="C15" s="21" t="s">
        <v>219</v>
      </c>
      <c r="D15" s="21" t="s">
        <v>820</v>
      </c>
      <c r="E15" s="13">
        <v>42820.150902777779</v>
      </c>
      <c r="F15" s="13">
        <v>42820.156527777777</v>
      </c>
      <c r="G15" s="7">
        <v>1</v>
      </c>
      <c r="H15" s="21" t="s">
        <v>545</v>
      </c>
      <c r="I15" s="13">
        <v>42820.181712962964</v>
      </c>
      <c r="J15" s="7">
        <v>0</v>
      </c>
      <c r="K15" s="98" t="str">
        <f t="shared" si="0"/>
        <v>4027/4028</v>
      </c>
      <c r="L15" s="21" t="str">
        <f>VLOOKUP(A15,'Trips&amp;Operators'!$C$1:$G$99999,5,FALSE)</f>
        <v>MAELZER KURT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-26T02:37:18-0600',mode:absolute,to:'2017-03-26T05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7.5399999999999995E-2</v>
      </c>
      <c r="Z15" s="62">
        <f t="shared" si="9"/>
        <v>23.331700000000001</v>
      </c>
      <c r="AA15" s="62">
        <f t="shared" si="10"/>
        <v>23.256300000000003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0103-26</v>
      </c>
      <c r="AE15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5" s="82" t="str">
        <f t="shared" si="13"/>
        <v>"C:\Program Files (x86)\AstroGrep\AstroGrep.exe" /e /r /s /spath="%USERPROFILE%\AppData\Local\Temp\OnboardLogs" /stypes="app*4027*20170326*"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103-26 --locoid 4027 --swversion DE.1.0.9.0 --startMP 204:754 --initTime 2017-03-26T03:37:18 --startdatetime 2017-03-26T03:45:24 --delay 1 --endMP 204:233317 --enddatetime 2017-03-26T04:21:40 --enforcementcount 0 &gt;&gt;C:\Users\stu\Documents\GitHub\eaglep3-reporting\EC\2017-03-26-refined-times.txt</v>
      </c>
      <c r="AI1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{"issue":{"subject":"","project_id":79,"tracker_id":40,"status_id":1,"priority_id":2,"assigned_to_id":23,"start_date":"2017-03-26","description":"","custom_fields":[{"id":1,"name":"Subdivision","value":"EC"},{"id":4,"name":"Milepost","value":"23.3317"},{"id":17,"name":"Train ID","value":"103-26"},{"id":16,"name":"Locomotive ID","value":"4027"},{"id":130,"name":"Impact","value":""},{"id":150,"name":"Time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4027 --day 2017-03-26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652</v>
      </c>
      <c r="B16" s="7">
        <v>4026</v>
      </c>
      <c r="C16" s="21" t="s">
        <v>219</v>
      </c>
      <c r="D16" s="21" t="s">
        <v>821</v>
      </c>
      <c r="E16" s="13">
        <v>42820.191342592596</v>
      </c>
      <c r="F16" s="13">
        <v>42820.195428240739</v>
      </c>
      <c r="G16" s="7">
        <v>1</v>
      </c>
      <c r="H16" s="21" t="s">
        <v>205</v>
      </c>
      <c r="I16" s="13">
        <v>42820.224918981483</v>
      </c>
      <c r="J16" s="7">
        <v>0</v>
      </c>
      <c r="K16" s="98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2.9490740744222421E-2</v>
      </c>
      <c r="N16" s="7">
        <f t="shared" si="2"/>
        <v>42.466666671680287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-26T03:35:32-0600',mode:absolute,to:'2017-03-26T06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23.268999999999998</v>
      </c>
      <c r="Z16" s="62">
        <f t="shared" si="9"/>
        <v>1.54E-2</v>
      </c>
      <c r="AA16" s="62">
        <f t="shared" si="10"/>
        <v>23.253599999999999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0104-26</v>
      </c>
      <c r="AE16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6" s="82" t="str">
        <f t="shared" si="13"/>
        <v>"C:\Program Files (x86)\AstroGrep\AstroGrep.exe" /e /r /s /spath="%USERPROFILE%\AppData\Local\Temp\OnboardLogs" /stypes="app*4026*20170326*"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104-26 --locoid 4026 --swversion DE.1.0.9.0 --startMP 204:232690 --initTime 2017-03-26T04:35:32 --startdatetime 2017-03-26T04:41:25 --delay 1 --endMP 204:154 --enddatetime 2017-03-26T05:23:53 --enforcementcount 0 &gt;&gt;C:\Users\stu\Documents\GitHub\eaglep3-reporting\EC\2017-03-26-refined-times.txt</v>
      </c>
      <c r="AI1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ID","value":"104-26"},{"id":16,"name":"Locomotive ID","value":"4026"},{"id":130,"name":"Impact","value":""},{"id":150,"name":"Time of Event (Mountain Time)","value":"05:23:53"},{"id":151,"name":"Denver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4026 --day 2017-03-26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646</v>
      </c>
      <c r="B17" s="7">
        <v>4031</v>
      </c>
      <c r="C17" s="21" t="s">
        <v>219</v>
      </c>
      <c r="D17" s="21" t="s">
        <v>572</v>
      </c>
      <c r="E17" s="13">
        <v>42820.171909722223</v>
      </c>
      <c r="F17" s="13">
        <v>42820.177442129629</v>
      </c>
      <c r="G17" s="7">
        <v>2</v>
      </c>
      <c r="H17" s="21" t="s">
        <v>822</v>
      </c>
      <c r="I17" s="13">
        <v>42820.205000000002</v>
      </c>
      <c r="J17" s="7">
        <v>0</v>
      </c>
      <c r="K17" s="98" t="str">
        <f t="shared" si="0"/>
        <v>4031/4032</v>
      </c>
      <c r="L17" s="21" t="str">
        <f>VLOOKUP(A17,'Trips&amp;Operators'!$C$1:$G$99999,5,FALSE)</f>
        <v>BADERTSCHER DIANE</v>
      </c>
      <c r="M17" s="6">
        <f t="shared" si="1"/>
        <v>2.7557870373129845E-2</v>
      </c>
      <c r="N17" s="7">
        <f t="shared" si="2"/>
        <v>39.683333337306976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-26T03:07:33-0600',mode:absolute,to:'2017-03-26T05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7.4999999999999997E-2</v>
      </c>
      <c r="Z17" s="62">
        <f t="shared" si="9"/>
        <v>23.328099999999999</v>
      </c>
      <c r="AA17" s="62">
        <f t="shared" si="10"/>
        <v>23.2531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0105-26</v>
      </c>
      <c r="AE17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7" s="82" t="str">
        <f t="shared" si="13"/>
        <v>"C:\Program Files (x86)\AstroGrep\AstroGrep.exe" /e /r /s /spath="%USERPROFILE%\AppData\Local\Temp\OnboardLogs" /stypes="app*4031*20170326*"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105-26 --locoid 4031 --swversion DE.1.0.9.0 --startMP 204:750 --initTime 2017-03-26T04:07:33 --startdatetime 2017-03-26T04:15:31 --delay 2 --endMP 204:233281 --enddatetime 2017-03-26T04:55:12 --enforcementcount 0 &gt;&gt;C:\Users\stu\Documents\GitHub\eaglep3-reporting\EC\2017-03-26-refined-times.txt</v>
      </c>
      <c r="AI1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{"issue":{"subject":"","project_id":79,"tracker_id":40,"status_id":1,"priority_id":2,"assigned_to_id":23,"start_date":"2017-03-26","description":"","custom_fields":[{"id":1,"name":"Subdivision","value":"EC"},{"id":4,"name":"Milepost","value":"23.3281"},{"id":17,"name":"Train ID","value":"105-26"},{"id":16,"name":"Locomotive ID","value":"4031"},{"id":130,"name":"Impact","value":""},{"id":150,"name":"Time of Event (Mountain Time)","value":"04:55:12"},{"id":151,"name":"Denver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4031 --day 2017-03-26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597</v>
      </c>
      <c r="B18" s="7">
        <v>4019</v>
      </c>
      <c r="C18" s="21" t="s">
        <v>219</v>
      </c>
      <c r="D18" s="21" t="s">
        <v>823</v>
      </c>
      <c r="E18" s="13">
        <v>42820.211111111108</v>
      </c>
      <c r="F18" s="13">
        <v>42820.216145833336</v>
      </c>
      <c r="G18" s="7">
        <v>1</v>
      </c>
      <c r="H18" s="21" t="s">
        <v>464</v>
      </c>
      <c r="I18" s="13">
        <v>42820.24596064815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BADERTSCHER DIANE</v>
      </c>
      <c r="M18" s="6">
        <f t="shared" si="1"/>
        <v>2.9814814814017154E-2</v>
      </c>
      <c r="N18" s="7">
        <f t="shared" si="2"/>
        <v>42.933333332184702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-26T04:04:00-0600',mode:absolute,to:'2017-03-26T06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23.264500000000002</v>
      </c>
      <c r="Z18" s="62">
        <f t="shared" si="9"/>
        <v>1.61E-2</v>
      </c>
      <c r="AA18" s="62">
        <f t="shared" si="10"/>
        <v>23.2484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0106-26</v>
      </c>
      <c r="AE18" s="85" t="str">
        <f t="shared" si="12"/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AF18" s="82" t="str">
        <f t="shared" si="13"/>
        <v>"C:\Program Files (x86)\AstroGrep\AstroGrep.exe" /e /r /s /spath="%USERPROFILE%\AppData\Local\Temp\OnboardLogs" /stypes="app*4019*20170326*"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106-26 --locoid 4019 --swversion DE.1.0.9.0 --startMP 204:232645 --initTime 2017-03-26T05:04:00 --startdatetime 2017-03-26T05:11:15 --delay 1 --endMP 204:161 --enddatetime 2017-03-26T05:54:11 --enforcementcount 0 &gt;&gt;C:\Users\stu\Documents\GitHub\eaglep3-reporting\EC\2017-03-26-refined-times.txt</v>
      </c>
      <c r="AI1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ID","value":"106-26"},{"id":16,"name":"Locomotive ID","value":"4019"},{"id":130,"name":"Impact","value":""},{"id":150,"name":"Time of Event (Mountain Time)","value":"05:54:11"},{"id":151,"name":"Denver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4019 --day 2017-03-26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"%USERPROFILE%\AppData\Local\Temp\OnboardLogs"\RTDC4019\*4019*20170326* | grep -SE "(Enforcement Action)|(\[TIMEOUT)|(CHR.+\|PRM\|1\|D.+(SWITCH|SIGNAL).+UNKNOWN)" - &gt;&gt; 2017-03-26-UncaughtWiMAX.txt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651</v>
      </c>
      <c r="B19" s="7">
        <v>4046</v>
      </c>
      <c r="C19" s="21" t="s">
        <v>219</v>
      </c>
      <c r="D19" s="21" t="s">
        <v>824</v>
      </c>
      <c r="E19" s="13">
        <v>42820.188159722224</v>
      </c>
      <c r="F19" s="13">
        <v>42820.191319444442</v>
      </c>
      <c r="G19" s="7">
        <v>1</v>
      </c>
      <c r="H19" s="21" t="s">
        <v>825</v>
      </c>
      <c r="I19" s="13">
        <v>42820.216828703706</v>
      </c>
      <c r="J19" s="7">
        <v>0</v>
      </c>
      <c r="K19" s="98" t="str">
        <f t="shared" si="0"/>
        <v>4045/4046</v>
      </c>
      <c r="L19" s="21" t="str">
        <f>VLOOKUP(A19,'Trips&amp;Operators'!$C$1:$G$99999,5,FALSE)</f>
        <v>MOSES BRADLEY</v>
      </c>
      <c r="M19" s="6">
        <f t="shared" si="1"/>
        <v>2.5509259263344575E-2</v>
      </c>
      <c r="N19" s="7">
        <f t="shared" si="2"/>
        <v>36.733333339216188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-26T03:30:57-0600',mode:absolute,to:'2017-03-26T06:12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0.1162</v>
      </c>
      <c r="Z19" s="62">
        <f t="shared" si="9"/>
        <v>23.334299999999999</v>
      </c>
      <c r="AA19" s="62">
        <f t="shared" si="10"/>
        <v>23.2181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0107-26</v>
      </c>
      <c r="AE19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9" s="82" t="str">
        <f t="shared" si="13"/>
        <v>"C:\Program Files (x86)\AstroGrep\AstroGrep.exe" /e /r /s /spath="%USERPROFILE%\AppData\Local\Temp\OnboardLogs" /stypes="app*4046*20170326*"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107-26 --locoid 4046 --swversion DE.1.0.9.0 --startMP 204:1162 --initTime 2017-03-26T04:30:57 --startdatetime 2017-03-26T04:35:30 --delay 1 --endMP 204:233343 --enddatetime 2017-03-26T05:12:14 --enforcementcount 0 &gt;&gt;C:\Users\stu\Documents\GitHub\eaglep3-reporting\EC\2017-03-26-refined-times.txt</v>
      </c>
      <c r="AI1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{"issue":{"subject":"","project_id":79,"tracker_id":40,"status_id":1,"priority_id":2,"assigned_to_id":23,"start_date":"2017-03-26","description":"","custom_fields":[{"id":1,"name":"Subdivision","value":"EC"},{"id":4,"name":"Milepost","value":"23.3343"},{"id":17,"name":"Train ID","value":"107-26"},{"id":16,"name":"Locomotive ID","value":"4046"},{"id":130,"name":"Impact","value":""},{"id":150,"name":"Time of Event (Mountain Time)","value":"05:12:14"},{"id":151,"name":"Denver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4046 --day 2017-03-26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658</v>
      </c>
      <c r="B20" s="7">
        <v>4045</v>
      </c>
      <c r="C20" s="21" t="s">
        <v>219</v>
      </c>
      <c r="D20" s="21" t="s">
        <v>826</v>
      </c>
      <c r="E20" s="13">
        <v>42820.222824074073</v>
      </c>
      <c r="F20" s="13">
        <v>42820.226631944446</v>
      </c>
      <c r="G20" s="7">
        <v>1</v>
      </c>
      <c r="H20" s="21" t="s">
        <v>827</v>
      </c>
      <c r="I20" s="13">
        <v>42820.253738425927</v>
      </c>
      <c r="J20" s="7">
        <v>0</v>
      </c>
      <c r="K20" s="98" t="str">
        <f t="shared" si="0"/>
        <v>4045/4046</v>
      </c>
      <c r="L20" s="21" t="str">
        <f>VLOOKUP(A20,'Trips&amp;Operators'!$C$1:$G$99999,5,FALSE)</f>
        <v>MOSES BRADLEY</v>
      </c>
      <c r="M20" s="6">
        <f t="shared" si="1"/>
        <v>2.7106481480586808E-2</v>
      </c>
      <c r="N20" s="7">
        <f t="shared" si="2"/>
        <v>39.033333332045004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-26T04:20:52-0600',mode:absolute,to:'2017-03-26T07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23.299199999999999</v>
      </c>
      <c r="Z20" s="62">
        <f t="shared" si="9"/>
        <v>1.7000000000000001E-2</v>
      </c>
      <c r="AA20" s="62">
        <f t="shared" si="10"/>
        <v>23.2822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0108-26</v>
      </c>
      <c r="AE20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20" s="82" t="str">
        <f t="shared" si="13"/>
        <v>"C:\Program Files (x86)\AstroGrep\AstroGrep.exe" /e /r /s /spath="%USERPROFILE%\AppData\Local\Temp\OnboardLogs" /stypes="app*4045*20170326*"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108-26 --locoid 4045 --swversion DE.1.0.9.0 --startMP 204:232992 --initTime 2017-03-26T05:20:52 --startdatetime 2017-03-26T05:26:21 --delay 1 --endMP 204:170 --enddatetime 2017-03-26T06:05:23 --enforcementcount 0 &gt;&gt;C:\Users\stu\Documents\GitHub\eaglep3-reporting\EC\2017-03-26-refined-times.txt</v>
      </c>
      <c r="AI2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{"issue":{"subject":"","project_id":79,"tracker_id":40,"status_id":1,"priority_id":2,"assigned_to_id":23,"start_date":"2017-03-26","description":"","custom_fields":[{"id":1,"name":"Subdivision","value":"EC"},{"id":4,"name":"Milepost","value":"0.017"},{"id":17,"name":"Train ID","value":"108-26"},{"id":16,"name":"Locomotive ID","value":"4045"},{"id":130,"name":"Impact","value":""},{"id":150,"name":"Time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4045 --day 2017-03-26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653</v>
      </c>
      <c r="B21" s="7">
        <v>4018</v>
      </c>
      <c r="C21" s="21" t="s">
        <v>219</v>
      </c>
      <c r="D21" s="21" t="s">
        <v>543</v>
      </c>
      <c r="E21" s="13">
        <v>42820.19940972222</v>
      </c>
      <c r="F21" s="13">
        <v>42820.200694444444</v>
      </c>
      <c r="G21" s="7">
        <v>1</v>
      </c>
      <c r="H21" s="21" t="s">
        <v>574</v>
      </c>
      <c r="I21" s="13">
        <v>42820.226423611108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ROBINSON KADDIBA</v>
      </c>
      <c r="M21" s="6">
        <f t="shared" si="1"/>
        <v>2.5729166663950309E-2</v>
      </c>
      <c r="N21" s="7">
        <f t="shared" si="2"/>
        <v>37.049999996088445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-26T03:47:09-0600',mode:absolute,to:'2017-03-26T06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4.58E-2</v>
      </c>
      <c r="Z21" s="62">
        <f t="shared" si="9"/>
        <v>23.3306</v>
      </c>
      <c r="AA21" s="62">
        <f t="shared" si="10"/>
        <v>23.284800000000001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0109-26</v>
      </c>
      <c r="AE21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21" s="82" t="str">
        <f t="shared" si="13"/>
        <v>"C:\Program Files (x86)\AstroGrep\AstroGrep.exe" /e /r /s /spath="%USERPROFILE%\AppData\Local\Temp\OnboardLogs" /stypes="app*4018*20170326*"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109-26 --locoid 4018 --swversion DE.1.0.9.0 --startMP 204:458 --initTime 2017-03-26T04:47:09 --startdatetime 2017-03-26T04:49:00 --delay 1 --endMP 204:233306 --enddatetime 2017-03-26T05:26:03 --enforcementcount 0 &gt;&gt;C:\Users\stu\Documents\GitHub\eaglep3-reporting\EC\2017-03-26-refined-times.txt</v>
      </c>
      <c r="AI2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{"issue":{"subject":"","project_id":79,"tracker_id":40,"status_id":1,"priority_id":2,"assigned_to_id":23,"start_date":"2017-03-26","description":"","custom_fields":[{"id":1,"name":"Subdivision","value":"EC"},{"id":4,"name":"Milepost","value":"23.3306"},{"id":17,"name":"Train ID","value":"109-26"},{"id":16,"name":"Locomotive ID","value":"4018"},{"id":130,"name":"Impact","value":""},{"id":150,"name":"Time of Event (Mountain Time)","value":"05:26:03"},{"id":151,"name":"Denver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4018 --day 2017-03-26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662</v>
      </c>
      <c r="B22" s="7">
        <v>4017</v>
      </c>
      <c r="C22" s="21" t="s">
        <v>219</v>
      </c>
      <c r="D22" s="21" t="s">
        <v>828</v>
      </c>
      <c r="E22" s="13">
        <v>42820.234293981484</v>
      </c>
      <c r="F22" s="13">
        <v>42820.236979166664</v>
      </c>
      <c r="G22" s="7">
        <v>1</v>
      </c>
      <c r="H22" s="21" t="s">
        <v>215</v>
      </c>
      <c r="I22" s="13">
        <v>42820.2655787037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ROBINSON KADDIBA</v>
      </c>
      <c r="M22" s="6">
        <f t="shared" si="1"/>
        <v>2.8599537035916001E-2</v>
      </c>
      <c r="N22" s="7">
        <f t="shared" si="2"/>
        <v>41.183333331719041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-26T04:37:23-0600',mode:absolute,to:'2017-03-26T07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23.299099999999999</v>
      </c>
      <c r="Z22" s="62">
        <f t="shared" si="9"/>
        <v>1.47E-2</v>
      </c>
      <c r="AA22" s="62">
        <f t="shared" si="10"/>
        <v>23.284399999999998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0110-26</v>
      </c>
      <c r="AE22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22" s="82" t="str">
        <f t="shared" si="13"/>
        <v>"C:\Program Files (x86)\AstroGrep\AstroGrep.exe" /e /r /s /spath="%USERPROFILE%\AppData\Local\Temp\OnboardLogs" /stypes="app*4017*20170326*"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110-26 --locoid 4017 --swversion DE.1.0.9.0 --startMP 204:232991 --initTime 2017-03-26T05:37:23 --startdatetime 2017-03-26T05:41:15 --delay 1 --endMP 204:147 --enddatetime 2017-03-26T06:22:26 --enforcementcount 0 &gt;&gt;C:\Users\stu\Documents\GitHub\eaglep3-reporting\EC\2017-03-26-refined-times.txt</v>
      </c>
      <c r="AI22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ID","value":"110-26"},{"id":16,"name":"Locomotive ID","value":"4017"},{"id":130,"name":"Impact","value":""},{"id":150,"name":"Time of Event (Mountain Time)","value":"06:22:26"},{"id":151,"name":"Denver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4017 --day 2017-03-26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654</v>
      </c>
      <c r="B23" s="7">
        <v>4002</v>
      </c>
      <c r="C23" s="21" t="s">
        <v>219</v>
      </c>
      <c r="D23" s="21" t="s">
        <v>208</v>
      </c>
      <c r="E23" s="13">
        <v>42820.206863425927</v>
      </c>
      <c r="F23" s="13">
        <v>42820.208518518521</v>
      </c>
      <c r="G23" s="7">
        <v>1</v>
      </c>
      <c r="H23" s="21" t="s">
        <v>544</v>
      </c>
      <c r="I23" s="13">
        <v>42820.232951388891</v>
      </c>
      <c r="J23" s="7">
        <v>0</v>
      </c>
      <c r="K23" s="98" t="str">
        <f t="shared" si="0"/>
        <v>4001/4002</v>
      </c>
      <c r="L23" s="21" t="str">
        <f>VLOOKUP(A23,'Trips&amp;Operators'!$C$1:$G$99999,5,FALSE)</f>
        <v>GEBRETEKLE DAGNEW</v>
      </c>
      <c r="M23" s="6">
        <f t="shared" si="1"/>
        <v>2.4432870370219462E-2</v>
      </c>
      <c r="N23" s="7">
        <f t="shared" si="2"/>
        <v>35.183333333116025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-26T03:57:53-0600',mode:absolute,to:'2017-03-26T06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4.5699999999999998E-2</v>
      </c>
      <c r="Z23" s="62">
        <f t="shared" si="9"/>
        <v>23.331800000000001</v>
      </c>
      <c r="AA23" s="62">
        <f t="shared" si="10"/>
        <v>23.286100000000001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0111-26</v>
      </c>
      <c r="AE23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23" s="82" t="str">
        <f t="shared" si="13"/>
        <v>"C:\Program Files (x86)\AstroGrep\AstroGrep.exe" /e /r /s /spath="%USERPROFILE%\AppData\Local\Temp\OnboardLogs" /stypes="app*4002*20170326*"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111-26 --locoid 4002 --swversion DE.1.0.9.0 --startMP 204:457 --initTime 2017-03-26T04:57:53 --startdatetime 2017-03-26T05:00:16 --delay 1 --endMP 204:233318 --enddatetime 2017-03-26T05:35:27 --enforcementcount 0 &gt;&gt;C:\Users\stu\Documents\GitHub\eaglep3-reporting\EC\2017-03-26-refined-times.txt</v>
      </c>
      <c r="AI2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{"issue":{"subject":"","project_id":79,"tracker_id":40,"status_id":1,"priority_id":2,"assigned_to_id":23,"start_date":"2017-03-26","description":"","custom_fields":[{"id":1,"name":"Subdivision","value":"EC"},{"id":4,"name":"Milepost","value":"23.3318"},{"id":17,"name":"Train ID","value":"111-26"},{"id":16,"name":"Locomotive ID","value":"4002"},{"id":130,"name":"Impact","value":""},{"id":150,"name":"Time of Event (Mountain Time)","value":"05:35:27"},{"id":151,"name":"Denver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4002 --day 2017-03-26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663</v>
      </c>
      <c r="B24" s="7">
        <v>4001</v>
      </c>
      <c r="C24" s="21" t="s">
        <v>219</v>
      </c>
      <c r="D24" s="21" t="s">
        <v>536</v>
      </c>
      <c r="E24" s="13">
        <v>42820.244930555556</v>
      </c>
      <c r="F24" s="13">
        <v>42820.247395833336</v>
      </c>
      <c r="G24" s="7">
        <v>1</v>
      </c>
      <c r="H24" s="21" t="s">
        <v>199</v>
      </c>
      <c r="I24" s="13">
        <v>42820.273854166669</v>
      </c>
      <c r="J24" s="7">
        <v>0</v>
      </c>
      <c r="K24" s="98" t="str">
        <f t="shared" si="0"/>
        <v>4001/4002</v>
      </c>
      <c r="L24" s="21" t="str">
        <f>VLOOKUP(A24,'Trips&amp;Operators'!$C$1:$G$99999,5,FALSE)</f>
        <v>GEBRETEKLE DAGNEW</v>
      </c>
      <c r="M24" s="6">
        <f t="shared" si="1"/>
        <v>2.6458333333721384E-2</v>
      </c>
      <c r="N24" s="7">
        <f t="shared" si="2"/>
        <v>38.100000000558794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-26T04:52:42-0600',mode:absolute,to:'2017-03-26T07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23.2986</v>
      </c>
      <c r="Z24" s="62">
        <f t="shared" si="9"/>
        <v>1.52E-2</v>
      </c>
      <c r="AA24" s="62">
        <f t="shared" si="10"/>
        <v>23.2834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0112-26</v>
      </c>
      <c r="AE24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24" s="82" t="str">
        <f t="shared" si="13"/>
        <v>"C:\Program Files (x86)\AstroGrep\AstroGrep.exe" /e /r /s /spath="%USERPROFILE%\AppData\Local\Temp\OnboardLogs" /stypes="app*4001*20170326*"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112-26 --locoid 4001 --swversion DE.1.0.9.0 --startMP 204:232986 --initTime 2017-03-26T05:52:42 --startdatetime 2017-03-26T05:56:15 --delay 1 --endMP 204:152 --enddatetime 2017-03-26T06:34:21 --enforcementcount 0 &gt;&gt;C:\Users\stu\Documents\GitHub\eaglep3-reporting\EC\2017-03-26-refined-times.txt</v>
      </c>
      <c r="AI2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ID","value":"112-26"},{"id":16,"name":"Locomotive ID","value":"4001"},{"id":130,"name":"Impact","value":""},{"id":150,"name":"Time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4001 --day 2017-03-26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655</v>
      </c>
      <c r="B25" s="7">
        <v>4003</v>
      </c>
      <c r="C25" s="21" t="s">
        <v>219</v>
      </c>
      <c r="D25" s="21" t="s">
        <v>539</v>
      </c>
      <c r="E25" s="13">
        <v>42820.208657407406</v>
      </c>
      <c r="F25" s="13">
        <v>42820.219097222223</v>
      </c>
      <c r="G25" s="7">
        <v>1</v>
      </c>
      <c r="H25" s="21" t="s">
        <v>829</v>
      </c>
      <c r="I25" s="13">
        <v>42820.245034722226</v>
      </c>
      <c r="J25" s="7">
        <v>0</v>
      </c>
      <c r="K25" s="98" t="str">
        <f t="shared" si="0"/>
        <v>4003/4004</v>
      </c>
      <c r="L25" s="21" t="str">
        <f>VLOOKUP(A25,'Trips&amp;Operators'!$C$1:$G$99999,5,FALSE)</f>
        <v>MAYBERRY BILL</v>
      </c>
      <c r="M25" s="6">
        <f t="shared" si="1"/>
        <v>2.5937500002328306E-2</v>
      </c>
      <c r="N25" s="7">
        <f t="shared" si="2"/>
        <v>37.350000003352761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-26T04:00:28-0600',mode:absolute,to:'2017-03-26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4.4600000000000001E-2</v>
      </c>
      <c r="Z25" s="62">
        <f t="shared" si="9"/>
        <v>23.331499999999998</v>
      </c>
      <c r="AA25" s="62">
        <f t="shared" si="10"/>
        <v>23.286899999999999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0113-26</v>
      </c>
      <c r="AE25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25" s="82" t="str">
        <f t="shared" si="13"/>
        <v>"C:\Program Files (x86)\AstroGrep\AstroGrep.exe" /e /r /s /spath="%USERPROFILE%\AppData\Local\Temp\OnboardLogs" /stypes="app*4003*20170326*"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113-26 --locoid 4003 --swversion DE.1.0.9.0 --startMP 204:446 --initTime 2017-03-26T05:00:28 --startdatetime 2017-03-26T05:15:30 --delay 1 --endMP 204:233315 --enddatetime 2017-03-26T05:52:51 --enforcementcount 0 &gt;&gt;C:\Users\stu\Documents\GitHub\eaglep3-reporting\EC\2017-03-26-refined-times.txt</v>
      </c>
      <c r="AI2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ID","value":"113-26"},{"id":16,"name":"Locomotive ID","value":"4003"},{"id":130,"name":"Impact","value":""},{"id":150,"name":"Time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4003 --day 2017-03-26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665</v>
      </c>
      <c r="B26" s="7">
        <v>4004</v>
      </c>
      <c r="C26" s="21" t="s">
        <v>219</v>
      </c>
      <c r="D26" s="21" t="s">
        <v>476</v>
      </c>
      <c r="E26" s="13">
        <v>42820.247256944444</v>
      </c>
      <c r="F26" s="13">
        <v>42820.2580787037</v>
      </c>
      <c r="G26" s="7">
        <v>1</v>
      </c>
      <c r="H26" s="21" t="s">
        <v>391</v>
      </c>
      <c r="I26" s="13">
        <v>42820.288784722223</v>
      </c>
      <c r="J26" s="7">
        <v>0</v>
      </c>
      <c r="K26" s="98" t="str">
        <f t="shared" si="0"/>
        <v>4003/4004</v>
      </c>
      <c r="L26" s="21" t="str">
        <f>VLOOKUP(A26,'Trips&amp;Operators'!$C$1:$G$99999,5,FALSE)</f>
        <v>MAYBERRY BILL</v>
      </c>
      <c r="M26" s="6">
        <f t="shared" si="1"/>
        <v>3.0706018522323575E-2</v>
      </c>
      <c r="N26" s="7">
        <f t="shared" si="2"/>
        <v>44.216666672145948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-26T04:56:03-0600',mode:absolute,to:'2017-03-26T07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23.299399999999999</v>
      </c>
      <c r="Z26" s="62">
        <f t="shared" si="9"/>
        <v>1.4500000000000001E-2</v>
      </c>
      <c r="AA26" s="62">
        <f t="shared" si="10"/>
        <v>23.284899999999997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0114-26</v>
      </c>
      <c r="AE26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26" s="82" t="str">
        <f t="shared" si="13"/>
        <v>"C:\Program Files (x86)\AstroGrep\AstroGrep.exe" /e /r /s /spath="%USERPROFILE%\AppData\Local\Temp\OnboardLogs" /stypes="app*4004*20170326*"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114-26 --locoid 4004 --swversion DE.1.0.9.0 --startMP 204:232994 --initTime 2017-03-26T05:56:03 --startdatetime 2017-03-26T06:11:38 --delay 1 --endMP 204:145 --enddatetime 2017-03-26T06:55:51 --enforcementcount 0 &gt;&gt;C:\Users\stu\Documents\GitHub\eaglep3-reporting\EC\2017-03-26-refined-times.txt</v>
      </c>
      <c r="AI2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{"issue":{"subject":"","project_id":79,"tracker_id":40,"status_id":1,"priority_id":2,"assigned_to_id":23,"start_date":"2017-03-26","description":"","custom_fields":[{"id":1,"name":"Subdivision","value":"EC"},{"id":4,"name":"Milepost","value":"0.0145"},{"id":17,"name":"Train ID","value":"114-26"},{"id":16,"name":"Locomotive ID","value":"4004"},{"id":130,"name":"Impact","value":""},{"id":150,"name":"Time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4004 --day 2017-03-26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660</v>
      </c>
      <c r="B27" s="7">
        <v>4027</v>
      </c>
      <c r="C27" s="21" t="s">
        <v>219</v>
      </c>
      <c r="D27" s="21" t="s">
        <v>830</v>
      </c>
      <c r="E27" s="13">
        <v>42820.227881944447</v>
      </c>
      <c r="F27" s="13">
        <v>42820.229375000003</v>
      </c>
      <c r="G27" s="7">
        <v>1</v>
      </c>
      <c r="H27" s="21" t="s">
        <v>831</v>
      </c>
      <c r="I27" s="13">
        <v>42820.254837962966</v>
      </c>
      <c r="J27" s="7">
        <v>0</v>
      </c>
      <c r="K27" s="98" t="str">
        <f t="shared" si="0"/>
        <v>4027/4028</v>
      </c>
      <c r="L27" s="21" t="str">
        <f>VLOOKUP(A27,'Trips&amp;Operators'!$C$1:$G$99999,5,FALSE)</f>
        <v>SHOOK JOHN</v>
      </c>
      <c r="M27" s="6">
        <f t="shared" si="1"/>
        <v>2.5462962963501923E-2</v>
      </c>
      <c r="N27" s="7">
        <f t="shared" si="2"/>
        <v>36.666666667442769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-26T04:28:09-0600',mode:absolute,to:'2017-03-26T07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7.5899999999999995E-2</v>
      </c>
      <c r="Z27" s="62">
        <f t="shared" si="9"/>
        <v>23.332599999999999</v>
      </c>
      <c r="AA27" s="62">
        <f t="shared" si="10"/>
        <v>23.256699999999999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0115-26</v>
      </c>
      <c r="AE27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27" s="82" t="str">
        <f t="shared" si="13"/>
        <v>"C:\Program Files (x86)\AstroGrep\AstroGrep.exe" /e /r /s /spath="%USERPROFILE%\AppData\Local\Temp\OnboardLogs" /stypes="app*4027*20170326*"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115-26 --locoid 4027 --swversion DE.1.0.9.0 --startMP 204:759 --initTime 2017-03-26T05:28:09 --startdatetime 2017-03-26T05:30:18 --delay 1 --endMP 204:233326 --enddatetime 2017-03-26T06:06:58 --enforcementcount 0 &gt;&gt;C:\Users\stu\Documents\GitHub\eaglep3-reporting\EC\2017-03-26-refined-times.txt</v>
      </c>
      <c r="AI2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{"issue":{"subject":"","project_id":79,"tracker_id":40,"status_id":1,"priority_id":2,"assigned_to_id":23,"start_date":"2017-03-26","description":"","custom_fields":[{"id":1,"name":"Subdivision","value":"EC"},{"id":4,"name":"Milepost","value":"23.3326"},{"id":17,"name":"Train ID","value":"115-26"},{"id":16,"name":"Locomotive ID","value":"4027"},{"id":130,"name":"Impact","value":""},{"id":150,"name":"Time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4027 --day 2017-03-26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668</v>
      </c>
      <c r="B28" s="7">
        <v>4028</v>
      </c>
      <c r="C28" s="21" t="s">
        <v>219</v>
      </c>
      <c r="D28" s="21" t="s">
        <v>222</v>
      </c>
      <c r="E28" s="13">
        <v>42820.256782407407</v>
      </c>
      <c r="F28" s="13">
        <v>42820.268217592595</v>
      </c>
      <c r="G28" s="7">
        <v>1</v>
      </c>
      <c r="H28" s="21" t="s">
        <v>200</v>
      </c>
      <c r="I28" s="13">
        <v>42820.295486111114</v>
      </c>
      <c r="J28" s="7">
        <v>0</v>
      </c>
      <c r="K28" s="98" t="str">
        <f t="shared" si="0"/>
        <v>4027/4028</v>
      </c>
      <c r="L28" s="21" t="str">
        <f>VLOOKUP(A28,'Trips&amp;Operators'!$C$1:$G$99999,5,FALSE)</f>
        <v>SHOOK JOHN</v>
      </c>
      <c r="M28" s="6">
        <f t="shared" si="1"/>
        <v>2.7268518519122154E-2</v>
      </c>
      <c r="N28" s="7">
        <f t="shared" si="2"/>
        <v>39.266666667535901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-26T05:09:46-0600',mode:absolute,to:'2017-03-26T08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23.3</v>
      </c>
      <c r="Z28" s="62">
        <f t="shared" si="9"/>
        <v>1.5800000000000002E-2</v>
      </c>
      <c r="AA28" s="62">
        <f t="shared" si="10"/>
        <v>23.284200000000002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0116-26</v>
      </c>
      <c r="AE28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28" s="82" t="str">
        <f t="shared" si="13"/>
        <v>"C:\Program Files (x86)\AstroGrep\AstroGrep.exe" /e /r /s /spath="%USERPROFILE%\AppData\Local\Temp\OnboardLogs" /stypes="app*4028*20170326*"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116-26 --locoid 4028 --swversion DE.1.0.9.0 --startMP 204:233000 --initTime 2017-03-26T06:09:46 --startdatetime 2017-03-26T06:26:14 --delay 1 --endMP 204:158 --enddatetime 2017-03-26T07:05:30 --enforcementcount 0 &gt;&gt;C:\Users\stu\Documents\GitHub\eaglep3-reporting\EC\2017-03-26-refined-times.txt</v>
      </c>
      <c r="AI2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ID","value":"116-26"},{"id":16,"name":"Locomotive ID","value":"4028"},{"id":130,"name":"Impact","value":""},{"id":150,"name":"Time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4028 --day 2017-03-26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661</v>
      </c>
      <c r="B29" s="7">
        <v>4025</v>
      </c>
      <c r="C29" s="21" t="s">
        <v>219</v>
      </c>
      <c r="D29" s="21" t="s">
        <v>543</v>
      </c>
      <c r="E29" s="13">
        <v>42820.228356481479</v>
      </c>
      <c r="F29" s="13">
        <v>42820.239814814813</v>
      </c>
      <c r="G29" s="7">
        <v>1</v>
      </c>
      <c r="H29" s="21" t="s">
        <v>832</v>
      </c>
      <c r="I29" s="13">
        <v>42820.2653125</v>
      </c>
      <c r="J29" s="7">
        <v>0</v>
      </c>
      <c r="K29" s="98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2.5497685186564922E-2</v>
      </c>
      <c r="N29" s="7">
        <f t="shared" si="2"/>
        <v>36.716666668653488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-26T04:28:50-0600',mode:absolute,to:'2017-03-26T07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4.58E-2</v>
      </c>
      <c r="Z29" s="62">
        <f t="shared" si="9"/>
        <v>23.332899999999999</v>
      </c>
      <c r="AA29" s="62">
        <f t="shared" si="10"/>
        <v>23.287099999999999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0117-26</v>
      </c>
      <c r="AE29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29" s="82" t="str">
        <f t="shared" si="13"/>
        <v>"C:\Program Files (x86)\AstroGrep\AstroGrep.exe" /e /r /s /spath="%USERPROFILE%\AppData\Local\Temp\OnboardLogs" /stypes="app*4025*20170326*"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117-26 --locoid 4025 --swversion DE.1.0.9.0 --startMP 204:458 --initTime 2017-03-26T05:28:50 --startdatetime 2017-03-26T05:45:20 --delay 1 --endMP 204:233329 --enddatetime 2017-03-26T06:22:03 --enforcementcount 0 &gt;&gt;C:\Users\stu\Documents\GitHub\eaglep3-reporting\EC\2017-03-26-refined-times.txt</v>
      </c>
      <c r="AI2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{"issue":{"subject":"","project_id":79,"tracker_id":40,"status_id":1,"priority_id":2,"assigned_to_id":23,"start_date":"2017-03-26","description":"","custom_fields":[{"id":1,"name":"Subdivision","value":"EC"},{"id":4,"name":"Milepost","value":"23.3329"},{"id":17,"name":"Train ID","value":"117-26"},{"id":16,"name":"Locomotive ID","value":"4025"},{"id":130,"name":"Impact","value":""},{"id":150,"name":"Time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4025 --day 2017-03-26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670</v>
      </c>
      <c r="B30" s="7">
        <v>4026</v>
      </c>
      <c r="C30" s="21" t="s">
        <v>219</v>
      </c>
      <c r="D30" s="21" t="s">
        <v>222</v>
      </c>
      <c r="E30" s="13">
        <v>42820.2734375</v>
      </c>
      <c r="F30" s="13">
        <v>42820.278749999998</v>
      </c>
      <c r="G30" s="7">
        <v>1</v>
      </c>
      <c r="H30" s="21" t="s">
        <v>833</v>
      </c>
      <c r="I30" s="13">
        <v>42820.306157407409</v>
      </c>
      <c r="J30" s="7">
        <v>0</v>
      </c>
      <c r="K30" s="98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2.7407407411374152E-2</v>
      </c>
      <c r="N30" s="7">
        <f t="shared" si="2"/>
        <v>39.466666672378778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-26T05:33:45-0600',mode:absolute,to:'2017-03-26T08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23.3</v>
      </c>
      <c r="Z30" s="62">
        <f t="shared" si="9"/>
        <v>1.6299999999999999E-2</v>
      </c>
      <c r="AA30" s="62">
        <f t="shared" si="10"/>
        <v>23.2837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0118-26</v>
      </c>
      <c r="AE30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30" s="82" t="str">
        <f t="shared" si="13"/>
        <v>"C:\Program Files (x86)\AstroGrep\AstroGrep.exe" /e /r /s /spath="%USERPROFILE%\AppData\Local\Temp\OnboardLogs" /stypes="app*4026*20170326*"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118-26 --locoid 4026 --swversion DE.1.0.9.0 --startMP 204:233000 --initTime 2017-03-26T06:33:45 --startdatetime 2017-03-26T06:41:24 --delay 1 --endMP 204:163 --enddatetime 2017-03-26T07:20:52 --enforcementcount 0 &gt;&gt;C:\Users\stu\Documents\GitHub\eaglep3-reporting\EC\2017-03-26-refined-times.txt</v>
      </c>
      <c r="AI3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{"issue":{"subject":"","project_id":79,"tracker_id":40,"status_id":1,"priority_id":2,"assigned_to_id":23,"start_date":"2017-03-26","description":"","custom_fields":[{"id":1,"name":"Subdivision","value":"EC"},{"id":4,"name":"Milepost","value":"0.0163"},{"id":17,"name":"Train ID","value":"118-26"},{"id":16,"name":"Locomotive ID","value":"4026"},{"id":130,"name":"Impact","value":""},{"id":150,"name":"Time of Event (Mountain Time)","value":"07:20:52"},{"id":151,"name":"Denver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4026 --day 2017-03-26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666</v>
      </c>
      <c r="B31" s="7">
        <v>4031</v>
      </c>
      <c r="C31" s="21" t="s">
        <v>219</v>
      </c>
      <c r="D31" s="21" t="s">
        <v>834</v>
      </c>
      <c r="E31" s="13">
        <v>42820.253333333334</v>
      </c>
      <c r="F31" s="13">
        <v>42820.254791666666</v>
      </c>
      <c r="G31" s="7">
        <v>1</v>
      </c>
      <c r="H31" s="21" t="s">
        <v>835</v>
      </c>
      <c r="I31" s="13">
        <v>42820.282650462963</v>
      </c>
      <c r="J31" s="7">
        <v>0</v>
      </c>
      <c r="K31" s="98" t="str">
        <f t="shared" si="0"/>
        <v>4031/4032</v>
      </c>
      <c r="L31" s="21" t="str">
        <f>VLOOKUP(A31,'Trips&amp;Operators'!$C$1:$G$99999,5,FALSE)</f>
        <v>BADERTSCHER DIANE</v>
      </c>
      <c r="M31" s="6">
        <f t="shared" si="1"/>
        <v>2.7858796296641231E-2</v>
      </c>
      <c r="N31" s="7">
        <f t="shared" si="2"/>
        <v>40.116666667163372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-26T05:04:48-0600',mode:absolute,to:'2017-03-26T07:47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8.0600000000000005E-2</v>
      </c>
      <c r="Z31" s="62">
        <f t="shared" si="9"/>
        <v>23.3261</v>
      </c>
      <c r="AA31" s="62">
        <f t="shared" si="10"/>
        <v>23.2455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0119-26</v>
      </c>
      <c r="AE31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31" s="82" t="str">
        <f t="shared" si="13"/>
        <v>"C:\Program Files (x86)\AstroGrep\AstroGrep.exe" /e /r /s /spath="%USERPROFILE%\AppData\Local\Temp\OnboardLogs" /stypes="app*4031*20170326*"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119-26 --locoid 4031 --swversion DE.1.0.9.0 --startMP 204:806 --initTime 2017-03-26T06:04:48 --startdatetime 2017-03-26T06:06:54 --delay 1 --endMP 204:233261 --enddatetime 2017-03-26T06:47:01 --enforcementcount 0 &gt;&gt;C:\Users\stu\Documents\GitHub\eaglep3-reporting\EC\2017-03-26-refined-times.txt</v>
      </c>
      <c r="AI3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{"issue":{"subject":"","project_id":79,"tracker_id":40,"status_id":1,"priority_id":2,"assigned_to_id":23,"start_date":"2017-03-26","description":"","custom_fields":[{"id":1,"name":"Subdivision","value":"EC"},{"id":4,"name":"Milepost","value":"23.3261"},{"id":17,"name":"Train ID","value":"119-26"},{"id":16,"name":"Locomotive ID","value":"4031"},{"id":130,"name":"Impact","value":""},{"id":150,"name":"Time of Event (Mountain Time)","value":"06:47:01"},{"id":151,"name":"Denver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4031 --day 2017-03-26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673</v>
      </c>
      <c r="B32" s="7">
        <v>4032</v>
      </c>
      <c r="C32" s="21" t="s">
        <v>219</v>
      </c>
      <c r="D32" s="21" t="s">
        <v>836</v>
      </c>
      <c r="E32" s="13">
        <v>42820.284733796296</v>
      </c>
      <c r="F32" s="13">
        <v>42820.289050925923</v>
      </c>
      <c r="G32" s="7">
        <v>1</v>
      </c>
      <c r="H32" s="21" t="s">
        <v>200</v>
      </c>
      <c r="I32" s="13">
        <v>42820.319479166668</v>
      </c>
      <c r="J32" s="7">
        <v>0</v>
      </c>
      <c r="K32" s="98" t="str">
        <f t="shared" si="0"/>
        <v>4031/4032</v>
      </c>
      <c r="L32" s="21" t="str">
        <f>VLOOKUP(A32,'Trips&amp;Operators'!$C$1:$G$99999,5,FALSE)</f>
        <v>BADERTSCHER DIANE</v>
      </c>
      <c r="M32" s="6">
        <f t="shared" si="1"/>
        <v>3.0428240745095536E-2</v>
      </c>
      <c r="N32" s="7">
        <f t="shared" si="2"/>
        <v>43.816666672937572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-26T05:50:01-0600',mode:absolute,to:'2017-03-26T08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23.294799999999999</v>
      </c>
      <c r="Z32" s="62">
        <f t="shared" si="9"/>
        <v>1.5800000000000002E-2</v>
      </c>
      <c r="AA32" s="62">
        <f t="shared" si="10"/>
        <v>23.279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0120-26</v>
      </c>
      <c r="AE32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32" s="82" t="str">
        <f t="shared" si="13"/>
        <v>"C:\Program Files (x86)\AstroGrep\AstroGrep.exe" /e /r /s /spath="%USERPROFILE%\AppData\Local\Temp\OnboardLogs" /stypes="app*4032*20170326*"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120-26 --locoid 4032 --swversion DE.1.0.9.0 --startMP 204:232948 --initTime 2017-03-26T06:50:01 --startdatetime 2017-03-26T06:56:14 --delay 1 --endMP 204:158 --enddatetime 2017-03-26T07:40:03 --enforcementcount 0 &gt;&gt;C:\Users\stu\Documents\GitHub\eaglep3-reporting\EC\2017-03-26-refined-times.txt</v>
      </c>
      <c r="AI32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ID","value":"120-26"},{"id":16,"name":"Locomotive ID","value":"4032"},{"id":130,"name":"Impact","value":""},{"id":150,"name":"Time of Event (Mountain Time)","value":"07:40:03"},{"id":151,"name":"Denver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4032 --day 2017-03-26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667</v>
      </c>
      <c r="B33" s="7">
        <v>4046</v>
      </c>
      <c r="C33" s="21" t="s">
        <v>219</v>
      </c>
      <c r="D33" s="21" t="s">
        <v>207</v>
      </c>
      <c r="E33" s="13">
        <v>42820.256469907406</v>
      </c>
      <c r="F33" s="13">
        <v>42820.260601851849</v>
      </c>
      <c r="G33" s="7">
        <v>1</v>
      </c>
      <c r="H33" s="21" t="s">
        <v>444</v>
      </c>
      <c r="I33" s="13">
        <v>42820.287199074075</v>
      </c>
      <c r="J33" s="7">
        <v>0</v>
      </c>
      <c r="K33" s="98" t="str">
        <f t="shared" si="0"/>
        <v>4045/4046</v>
      </c>
      <c r="L33" s="21" t="str">
        <f>VLOOKUP(A33,'Trips&amp;Operators'!$C$1:$G$99999,5,FALSE)</f>
        <v>DAVIS WENDY</v>
      </c>
      <c r="M33" s="6">
        <f t="shared" si="1"/>
        <v>2.6597222225973383E-2</v>
      </c>
      <c r="N33" s="7">
        <f t="shared" si="2"/>
        <v>38.300000005401671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-26T05:09:19-0600',mode:absolute,to:'2017-03-26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4.5100000000000001E-2</v>
      </c>
      <c r="Z33" s="62">
        <f t="shared" si="9"/>
        <v>23.331399999999999</v>
      </c>
      <c r="AA33" s="62">
        <f t="shared" si="10"/>
        <v>23.286299999999997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0121-26</v>
      </c>
      <c r="AE33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33" s="82" t="str">
        <f t="shared" si="13"/>
        <v>"C:\Program Files (x86)\AstroGrep\AstroGrep.exe" /e /r /s /spath="%USERPROFILE%\AppData\Local\Temp\OnboardLogs" /stypes="app*4046*20170326*"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121-26 --locoid 4046 --swversion DE.1.0.9.0 --startMP 204:451 --initTime 2017-03-26T06:09:19 --startdatetime 2017-03-26T06:15:16 --delay 1 --endMP 204:233314 --enddatetime 2017-03-26T06:53:34 --enforcementcount 0 &gt;&gt;C:\Users\stu\Documents\GitHub\eaglep3-reporting\EC\2017-03-26-refined-times.txt</v>
      </c>
      <c r="AI3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{"issue":{"subject":"","project_id":79,"tracker_id":40,"status_id":1,"priority_id":2,"assigned_to_id":23,"start_date":"2017-03-26","description":"","custom_fields":[{"id":1,"name":"Subdivision","value":"EC"},{"id":4,"name":"Milepost","value":"23.3314"},{"id":17,"name":"Train ID","value":"121-26"},{"id":16,"name":"Locomotive ID","value":"4046"},{"id":130,"name":"Impact","value":""},{"id":150,"name":"Time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4046 --day 2017-03-26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676</v>
      </c>
      <c r="B34" s="7">
        <v>4045</v>
      </c>
      <c r="C34" s="21" t="s">
        <v>219</v>
      </c>
      <c r="D34" s="21" t="s">
        <v>445</v>
      </c>
      <c r="E34" s="13">
        <v>42820.296666666669</v>
      </c>
      <c r="F34" s="13">
        <v>42820.299826388888</v>
      </c>
      <c r="G34" s="7">
        <v>1</v>
      </c>
      <c r="H34" s="21" t="s">
        <v>191</v>
      </c>
      <c r="I34" s="13">
        <v>42820.328206018516</v>
      </c>
      <c r="J34" s="7">
        <v>0</v>
      </c>
      <c r="K34" s="98" t="str">
        <f t="shared" si="0"/>
        <v>4045/4046</v>
      </c>
      <c r="L34" s="21" t="str">
        <f>VLOOKUP(A34,'Trips&amp;Operators'!$C$1:$G$99999,5,FALSE)</f>
        <v>DAVIS WENDY</v>
      </c>
      <c r="M34" s="6">
        <f t="shared" si="1"/>
        <v>2.8379629628034309E-2</v>
      </c>
      <c r="N34" s="7">
        <f t="shared" si="2"/>
        <v>40.866666664369404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-26T06:07:12-0600',mode:absolute,to:'2017-03-26T08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23.299299999999999</v>
      </c>
      <c r="Z34" s="62">
        <f t="shared" si="9"/>
        <v>1.4999999999999999E-2</v>
      </c>
      <c r="AA34" s="62">
        <f t="shared" si="10"/>
        <v>23.284299999999998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0122-26</v>
      </c>
      <c r="AE34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34" s="82" t="str">
        <f t="shared" si="13"/>
        <v>"C:\Program Files (x86)\AstroGrep\AstroGrep.exe" /e /r /s /spath="%USERPROFILE%\AppData\Local\Temp\OnboardLogs" /stypes="app*4045*20170326*"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122-26 --locoid 4045 --swversion DE.1.0.9.0 --startMP 204:232993 --initTime 2017-03-26T07:07:12 --startdatetime 2017-03-26T07:11:45 --delay 1 --endMP 204:150 --enddatetime 2017-03-26T07:52:37 --enforcementcount 0 &gt;&gt;C:\Users\stu\Documents\GitHub\eaglep3-reporting\EC\2017-03-26-refined-times.txt</v>
      </c>
      <c r="AI3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ID","value":"122-26"},{"id":16,"name":"Locomotive ID","value":"4045"},{"id":130,"name":"Impact","value":""},{"id":150,"name":"Time of Event (Mountain Time)","value":"07:52:37"},{"id":151,"name":"Denver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4045 --day 2017-03-26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669</v>
      </c>
      <c r="B35" s="7">
        <v>4018</v>
      </c>
      <c r="C35" s="21" t="s">
        <v>219</v>
      </c>
      <c r="D35" s="21" t="s">
        <v>209</v>
      </c>
      <c r="E35" s="13">
        <v>42820.267407407409</v>
      </c>
      <c r="F35" s="13">
        <v>42820.270995370367</v>
      </c>
      <c r="G35" s="7">
        <v>1</v>
      </c>
      <c r="H35" s="21" t="s">
        <v>496</v>
      </c>
      <c r="I35" s="13">
        <v>42820.296678240738</v>
      </c>
      <c r="J35" s="7">
        <v>0</v>
      </c>
      <c r="K35" s="98" t="str">
        <f t="shared" si="0"/>
        <v>4017/4018</v>
      </c>
      <c r="L35" s="21" t="str">
        <f>VLOOKUP(A35,'Trips&amp;Operators'!$C$1:$G$99999,5,FALSE)</f>
        <v>ROBINSON KADDIBA</v>
      </c>
      <c r="M35" s="6">
        <f t="shared" si="1"/>
        <v>2.5682870371383615E-2</v>
      </c>
      <c r="N35" s="7">
        <f t="shared" si="2"/>
        <v>36.983333334792405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-26T05:25:04-0600',mode:absolute,to:'2017-03-26T08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4.5999999999999999E-2</v>
      </c>
      <c r="Z35" s="62">
        <f t="shared" si="9"/>
        <v>23.330100000000002</v>
      </c>
      <c r="AA35" s="62">
        <f t="shared" si="10"/>
        <v>23.284100000000002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0123-26</v>
      </c>
      <c r="AE35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35" s="82" t="str">
        <f t="shared" si="13"/>
        <v>"C:\Program Files (x86)\AstroGrep\AstroGrep.exe" /e /r /s /spath="%USERPROFILE%\AppData\Local\Temp\OnboardLogs" /stypes="app*4018*20170326*"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123-26 --locoid 4018 --swversion DE.1.0.9.0 --startMP 204:460 --initTime 2017-03-26T06:25:04 --startdatetime 2017-03-26T06:30:14 --delay 1 --endMP 204:233301 --enddatetime 2017-03-26T07:07:13 --enforcementcount 0 &gt;&gt;C:\Users\stu\Documents\GitHub\eaglep3-reporting\EC\2017-03-26-refined-times.txt</v>
      </c>
      <c r="AI3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{"issue":{"subject":"","project_id":79,"tracker_id":40,"status_id":1,"priority_id":2,"assigned_to_id":23,"start_date":"2017-03-26","description":"","custom_fields":[{"id":1,"name":"Subdivision","value":"EC"},{"id":4,"name":"Milepost","value":"23.3301"},{"id":17,"name":"Train ID","value":"123-26"},{"id":16,"name":"Locomotive ID","value":"4018"},{"id":130,"name":"Impact","value":""},{"id":150,"name":"Time of Event (Mountain Time)","value":"07:07:13"},{"id":151,"name":"Denver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4018 --day 2017-03-26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678</v>
      </c>
      <c r="B36" s="7">
        <v>4017</v>
      </c>
      <c r="C36" s="21" t="s">
        <v>219</v>
      </c>
      <c r="D36" s="21" t="s">
        <v>447</v>
      </c>
      <c r="E36" s="13">
        <v>42820.298807870371</v>
      </c>
      <c r="F36" s="13">
        <v>42820.309895833336</v>
      </c>
      <c r="G36" s="7">
        <v>0</v>
      </c>
      <c r="H36" s="21" t="s">
        <v>191</v>
      </c>
      <c r="I36" s="13">
        <v>42820.337256944447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ROBINSON KADDIBA</v>
      </c>
      <c r="M36" s="6">
        <f t="shared" si="1"/>
        <v>2.73611111115315E-2</v>
      </c>
      <c r="N36" s="7">
        <f t="shared" si="2"/>
        <v>39.40000000060536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-26T06:10:17-0600',mode:absolute,to:'2017-03-26T09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23.297999999999998</v>
      </c>
      <c r="Z36" s="62">
        <f t="shared" si="9"/>
        <v>1.4999999999999999E-2</v>
      </c>
      <c r="AA36" s="62">
        <f t="shared" si="10"/>
        <v>23.282999999999998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0124-26</v>
      </c>
      <c r="AE36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36" s="82" t="str">
        <f t="shared" si="13"/>
        <v>"C:\Program Files (x86)\AstroGrep\AstroGrep.exe" /e /r /s /spath="%USERPROFILE%\AppData\Local\Temp\OnboardLogs" /stypes="app*4017*20170326*"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124-26 --locoid 4017 --swversion DE.1.0.9.0 --startMP 204:232980 --initTime 2017-03-26T07:10:17 --startdatetime 2017-03-26T07:26:15 --delay 0 --endMP 204:150 --enddatetime 2017-03-26T08:05:39 --enforcementcount 0 &gt;&gt;C:\Users\stu\Documents\GitHub\eaglep3-reporting\EC\2017-03-26-refined-times.txt</v>
      </c>
      <c r="AI3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ID","value":"124-26"},{"id":16,"name":"Locomotive ID","value":"4017"},{"id":130,"name":"Impact","value":""},{"id":150,"name":"Time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4017 --day 2017-03-26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672</v>
      </c>
      <c r="B37" s="7">
        <v>4002</v>
      </c>
      <c r="C37" s="21" t="s">
        <v>219</v>
      </c>
      <c r="D37" s="21" t="s">
        <v>837</v>
      </c>
      <c r="E37" s="13">
        <v>42820.276689814818</v>
      </c>
      <c r="F37" s="13">
        <v>42820.281412037039</v>
      </c>
      <c r="G37" s="7">
        <v>1</v>
      </c>
      <c r="H37" s="21" t="s">
        <v>546</v>
      </c>
      <c r="I37" s="13">
        <v>42820.306180555555</v>
      </c>
      <c r="J37" s="7">
        <v>0</v>
      </c>
      <c r="K37" s="98" t="str">
        <f t="shared" si="0"/>
        <v>4001/4002</v>
      </c>
      <c r="L37" s="21" t="str">
        <f>VLOOKUP(A37,'Trips&amp;Operators'!$C$1:$G$99999,5,FALSE)</f>
        <v>GEBRETEKLE DAGNEW</v>
      </c>
      <c r="M37" s="6">
        <f t="shared" si="1"/>
        <v>2.4768518516793847E-2</v>
      </c>
      <c r="N37" s="7">
        <f t="shared" si="2"/>
        <v>35.66666666418314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-26T05:38:26-0600',mode:absolute,to:'2017-03-26T08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4.6899999999999997E-2</v>
      </c>
      <c r="Z37" s="62">
        <f t="shared" si="9"/>
        <v>23.331900000000001</v>
      </c>
      <c r="AA37" s="62">
        <f t="shared" si="10"/>
        <v>23.285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0125-26</v>
      </c>
      <c r="AE37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37" s="82" t="str">
        <f t="shared" si="13"/>
        <v>"C:\Program Files (x86)\AstroGrep\AstroGrep.exe" /e /r /s /spath="%USERPROFILE%\AppData\Local\Temp\OnboardLogs" /stypes="app*4002*20170326*"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125-26 --locoid 4002 --swversion DE.1.0.9.0 --startMP 204:469 --initTime 2017-03-26T06:38:26 --startdatetime 2017-03-26T06:45:14 --delay 1 --endMP 204:233319 --enddatetime 2017-03-26T07:20:54 --enforcementcount 0 &gt;&gt;C:\Users\stu\Documents\GitHub\eaglep3-reporting\EC\2017-03-26-refined-times.txt</v>
      </c>
      <c r="AI3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{"issue":{"subject":"","project_id":79,"tracker_id":40,"status_id":1,"priority_id":2,"assigned_to_id":23,"start_date":"2017-03-26","description":"","custom_fields":[{"id":1,"name":"Subdivision","value":"EC"},{"id":4,"name":"Milepost","value":"23.3319"},{"id":17,"name":"Train ID","value":"125-26"},{"id":16,"name":"Locomotive ID","value":"4002"},{"id":130,"name":"Impact","value":""},{"id":150,"name":"Time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4002 --day 2017-03-26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681</v>
      </c>
      <c r="B38" s="7">
        <v>4001</v>
      </c>
      <c r="C38" s="21" t="s">
        <v>219</v>
      </c>
      <c r="D38" s="21" t="s">
        <v>838</v>
      </c>
      <c r="E38" s="13">
        <v>42820.316377314812</v>
      </c>
      <c r="F38" s="13">
        <v>42820.320324074077</v>
      </c>
      <c r="G38" s="7">
        <v>1</v>
      </c>
      <c r="H38" s="21" t="s">
        <v>464</v>
      </c>
      <c r="I38" s="13">
        <v>42820.346215277779</v>
      </c>
      <c r="J38" s="7">
        <v>0</v>
      </c>
      <c r="K38" s="98" t="str">
        <f t="shared" si="0"/>
        <v>4001/4002</v>
      </c>
      <c r="L38" s="21" t="str">
        <f>VLOOKUP(A38,'Trips&amp;Operators'!$C$1:$G$99999,5,FALSE)</f>
        <v>GEBRETEKLE DAGNEW</v>
      </c>
      <c r="M38" s="6">
        <f t="shared" si="1"/>
        <v>2.5891203702485655E-2</v>
      </c>
      <c r="N38" s="7">
        <f t="shared" si="2"/>
        <v>37.283333331579342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-26T06:35:35-0600',mode:absolute,to:'2017-03-26T09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23.3002</v>
      </c>
      <c r="Z38" s="62">
        <f t="shared" si="9"/>
        <v>1.61E-2</v>
      </c>
      <c r="AA38" s="62">
        <f t="shared" si="10"/>
        <v>23.284099999999999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0126-26</v>
      </c>
      <c r="AE38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38" s="82" t="str">
        <f t="shared" si="13"/>
        <v>"C:\Program Files (x86)\AstroGrep\AstroGrep.exe" /e /r /s /spath="%USERPROFILE%\AppData\Local\Temp\OnboardLogs" /stypes="app*4001*20170326*"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126-26 --locoid 4001 --swversion DE.1.0.9.0 --startMP 204:233002 --initTime 2017-03-26T07:35:35 --startdatetime 2017-03-26T07:41:16 --delay 1 --endMP 204:161 --enddatetime 2017-03-26T08:18:33 --enforcementcount 0 &gt;&gt;C:\Users\stu\Documents\GitHub\eaglep3-reporting\EC\2017-03-26-refined-times.txt</v>
      </c>
      <c r="AI3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ID","value":"126-26"},{"id":16,"name":"Locomotive ID","value":"4001"},{"id":130,"name":"Impact","value":""},{"id":150,"name":"Time of Event (Mountain Time)","value":"08:18:33"},{"id":151,"name":"Denver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4001 --day 2017-03-26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675</v>
      </c>
      <c r="B39" s="7">
        <v>4003</v>
      </c>
      <c r="C39" s="21" t="s">
        <v>219</v>
      </c>
      <c r="D39" s="21" t="s">
        <v>468</v>
      </c>
      <c r="E39" s="13">
        <v>42820.29074074074</v>
      </c>
      <c r="F39" s="13">
        <v>42820.292268518519</v>
      </c>
      <c r="G39" s="7">
        <v>0</v>
      </c>
      <c r="H39" s="21" t="s">
        <v>494</v>
      </c>
      <c r="I39" s="13">
        <v>42820.317453703705</v>
      </c>
      <c r="J39" s="7">
        <v>0</v>
      </c>
      <c r="K39" s="98" t="str">
        <f t="shared" si="0"/>
        <v>4003/4004</v>
      </c>
      <c r="L39" s="21" t="str">
        <f>VLOOKUP(A39,'Trips&amp;Operators'!$C$1:$G$99999,5,FALSE)</f>
        <v>MAYBERRY BILL</v>
      </c>
      <c r="M39" s="6">
        <f t="shared" si="1"/>
        <v>2.5185185186273884E-2</v>
      </c>
      <c r="N39" s="7">
        <f t="shared" si="2"/>
        <v>36.266666668234393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-26T05:58:40-0600',mode:absolute,to:'2017-03-26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4.6399999999999997E-2</v>
      </c>
      <c r="Z39" s="62">
        <f t="shared" si="9"/>
        <v>23.3291</v>
      </c>
      <c r="AA39" s="62">
        <f t="shared" si="10"/>
        <v>23.282700000000002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0127-26</v>
      </c>
      <c r="AE39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39" s="82" t="str">
        <f t="shared" si="13"/>
        <v>"C:\Program Files (x86)\AstroGrep\AstroGrep.exe" /e /r /s /spath="%USERPROFILE%\AppData\Local\Temp\OnboardLogs" /stypes="app*4003*20170326*"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127-26 --locoid 4003 --swversion DE.1.0.9.0 --startMP 204:464 --initTime 2017-03-26T06:58:40 --startdatetime 2017-03-26T07:00:52 --delay 0 --endMP 204:233291 --enddatetime 2017-03-26T07:37:08 --enforcementcount 0 &gt;&gt;C:\Users\stu\Documents\GitHub\eaglep3-reporting\EC\2017-03-26-refined-times.txt</v>
      </c>
      <c r="AI3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ID","value":"127-26"},{"id":16,"name":"Locomotive ID","value":"4003"},{"id":130,"name":"Impact","value":""},{"id":150,"name":"Time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4003 --day 2017-03-26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4004</v>
      </c>
      <c r="C40" s="21" t="s">
        <v>219</v>
      </c>
      <c r="D40" s="21" t="s">
        <v>534</v>
      </c>
      <c r="E40" s="13">
        <v>42820.32540509259</v>
      </c>
      <c r="F40" s="13">
        <v>42820.33079861111</v>
      </c>
      <c r="G40" s="7">
        <v>1</v>
      </c>
      <c r="H40" s="21" t="s">
        <v>184</v>
      </c>
      <c r="I40" s="13">
        <v>42820.359178240738</v>
      </c>
      <c r="J40" s="7">
        <v>0</v>
      </c>
      <c r="K40" s="98" t="str">
        <f t="shared" si="0"/>
        <v>4003/4004</v>
      </c>
      <c r="L40" s="21" t="str">
        <f>VLOOKUP(A40,'Trips&amp;Operators'!$C$1:$G$99999,5,FALSE)</f>
        <v>MAYBERRY BILL</v>
      </c>
      <c r="M40" s="6">
        <f t="shared" si="1"/>
        <v>2.8379629628034309E-2</v>
      </c>
      <c r="N40" s="7">
        <f t="shared" si="2"/>
        <v>40.866666664369404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23.296700000000001</v>
      </c>
      <c r="Z40" s="62">
        <f t="shared" si="9"/>
        <v>1.49E-2</v>
      </c>
      <c r="AA40" s="62">
        <f t="shared" si="10"/>
        <v>23.2818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0128-26</v>
      </c>
      <c r="AE40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40" s="82" t="str">
        <f t="shared" si="13"/>
        <v>"C:\Program Files (x86)\AstroGrep\AstroGrep.exe" /e /r /s /spath="%USERPROFILE%\AppData\Local\Temp\OnboardLogs" /stypes="app*4004*20170326*"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128-26 --locoid 4004 --swversion DE.1.0.9.0 --startMP 204:232967 --initTime 2017-03-26T07:48:35 --startdatetime 2017-03-26T07:56:21 --delay 1 --endMP 204:149 --enddatetime 2017-03-26T08:37:13 --enforcementcount 0 &gt;&gt;C:\Users\stu\Documents\GitHub\eaglep3-reporting\EC\2017-03-26-refined-times.txt</v>
      </c>
      <c r="AI4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ID","value":"128-26"},{"id":16,"name":"Locomotive ID","value":"4004"},{"id":130,"name":"Impact","value":""},{"id":150,"name":"Time of Event (Mountain Time)","value":"08:37:13"},{"id":151,"name":"Denver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4004 --day 2017-03-26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677</v>
      </c>
      <c r="B41" s="7">
        <v>4027</v>
      </c>
      <c r="C41" s="21" t="s">
        <v>219</v>
      </c>
      <c r="D41" s="21" t="s">
        <v>442</v>
      </c>
      <c r="E41" s="13">
        <v>42820.29760416667</v>
      </c>
      <c r="F41" s="13">
        <v>42820.302268518521</v>
      </c>
      <c r="G41" s="7">
        <v>1</v>
      </c>
      <c r="H41" s="21" t="s">
        <v>839</v>
      </c>
      <c r="I41" s="13">
        <v>42820.327962962961</v>
      </c>
      <c r="J41" s="7">
        <v>0</v>
      </c>
      <c r="K41" s="98" t="str">
        <f t="shared" si="0"/>
        <v>4027/4028</v>
      </c>
      <c r="L41" s="21" t="str">
        <f>VLOOKUP(A41,'Trips&amp;Operators'!$C$1:$G$99999,5,FALSE)</f>
        <v>SHOOK JOHN</v>
      </c>
      <c r="M41" s="6">
        <f t="shared" si="1"/>
        <v>2.569444444088731E-2</v>
      </c>
      <c r="N41" s="7">
        <f t="shared" si="2"/>
        <v>36.999999994877726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-26T06:08:33-0600',mode:absolute,to:'2017-03-26T08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4.4900000000000002E-2</v>
      </c>
      <c r="Z41" s="62">
        <f t="shared" si="9"/>
        <v>23.3323</v>
      </c>
      <c r="AA41" s="62">
        <f t="shared" si="10"/>
        <v>23.287400000000002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0129-26</v>
      </c>
      <c r="AE41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41" s="82" t="str">
        <f t="shared" si="13"/>
        <v>"C:\Program Files (x86)\AstroGrep\AstroGrep.exe" /e /r /s /spath="%USERPROFILE%\AppData\Local\Temp\OnboardLogs" /stypes="app*4027*20170326*"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129-26 --locoid 4027 --swversion DE.1.0.9.0 --startMP 204:449 --initTime 2017-03-26T07:08:33 --startdatetime 2017-03-26T07:15:16 --delay 1 --endMP 204:233323 --enddatetime 2017-03-26T07:52:16 --enforcementcount 0 &gt;&gt;C:\Users\stu\Documents\GitHub\eaglep3-reporting\EC\2017-03-26-refined-times.txt</v>
      </c>
      <c r="AI4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{"issue":{"subject":"","project_id":79,"tracker_id":40,"status_id":1,"priority_id":2,"assigned_to_id":23,"start_date":"2017-03-26","description":"","custom_fields":[{"id":1,"name":"Subdivision","value":"EC"},{"id":4,"name":"Milepost","value":"23.3323"},{"id":17,"name":"Train ID","value":"129-26"},{"id":16,"name":"Locomotive ID","value":"4027"},{"id":130,"name":"Impact","value":""},{"id":150,"name":"Time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4027 --day 2017-03-26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683</v>
      </c>
      <c r="B42" s="7">
        <v>4028</v>
      </c>
      <c r="C42" s="21" t="s">
        <v>219</v>
      </c>
      <c r="D42" s="21" t="s">
        <v>840</v>
      </c>
      <c r="E42" s="13">
        <v>42820.329571759263</v>
      </c>
      <c r="F42" s="13">
        <v>42820.356678240743</v>
      </c>
      <c r="G42" s="7">
        <v>1</v>
      </c>
      <c r="H42" s="21" t="s">
        <v>841</v>
      </c>
      <c r="I42" s="13">
        <v>42820.371018518519</v>
      </c>
      <c r="J42" s="7">
        <v>0</v>
      </c>
      <c r="K42" s="98" t="str">
        <f t="shared" si="0"/>
        <v>4027/4028</v>
      </c>
      <c r="L42" s="21" t="str">
        <f>VLOOKUP(A42,'Trips&amp;Operators'!$C$1:$G$99999,5,FALSE)</f>
        <v>SHOOK JOHN</v>
      </c>
      <c r="M42" s="6">
        <f t="shared" si="1"/>
        <v>1.4340277775772847E-2</v>
      </c>
      <c r="N42" s="7"/>
      <c r="O42" s="7"/>
      <c r="P42" s="7">
        <f>24*60*SUM($M42:$M42)</f>
        <v>20.6499999971129</v>
      </c>
      <c r="Q42" s="22"/>
      <c r="R42" s="22" t="s">
        <v>469</v>
      </c>
      <c r="S42" s="31">
        <f>SUM(U42:U43)/IF(AG42="EC",12,1)</f>
        <v>0.83333333333333337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-26T06:54:35-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187" t="str">
        <f t="shared" si="6"/>
        <v>Y</v>
      </c>
      <c r="X42" s="187">
        <f t="shared" si="7"/>
        <v>1</v>
      </c>
      <c r="Y42" s="62">
        <f t="shared" si="8"/>
        <v>23.3004</v>
      </c>
      <c r="Z42" s="62">
        <f t="shared" si="9"/>
        <v>13.4846</v>
      </c>
      <c r="AA42" s="62">
        <f t="shared" si="10"/>
        <v>9.8157999999999994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0130-26</v>
      </c>
      <c r="AE42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42" s="82" t="str">
        <f t="shared" si="13"/>
        <v>"C:\Program Files (x86)\AstroGrep\AstroGrep.exe" /e /r /s /spath="%USERPROFILE%\AppData\Local\Temp\OnboardLogs" /stypes="app*4028*20170326*"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130-26 --locoid 4028 --swversion DE.1.0.9.0 --startMP 204:233004 --initTime 2017-03-26T07:54:35 --startdatetime 2017-03-26T08:33:37 --delay 1 --endMP 204:134846 --enddatetime 2017-03-26T08:54:16 --enforcementcount 0 &gt;&gt;C:\Users\stu\Documents\GitHub\eaglep3-reporting\EC\2017-03-26-refined-times.txt</v>
      </c>
      <c r="AI42" s="108" t="str">
        <f t="shared" si="19"/>
        <v>echo {"issue":{"subject":"Wi-MAX data drop","project_id":79,"tracker_id":40,"status_id":1,"priority_id":2,"assigned_to_id":23,"start_date":"2017-03-26","description":"http://stevetu21.github.io/eaglep3/load_kml.html?kml=http://rtdc.gmaps-snips.s3.amazonaws.com/53a78c97-7730-421c-8d86-f6f17b782d76.kml","custom_fields":[{"id":1,"name":"Subdivision","value":"EC"},{"id":4,"name":"Milepost","value":"13.4846"},{"id":17,"name":"Train ID","value":"130-26"},{"id":16,"name":"Locomotive ID","value":"4028"},{"id":130,"name":"Impact","value":"Enforcement"},{"id":150,"name":"Time of Event (Mountain Time)","value":"08:54:16"},{"id":151,"name":"Denver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42" t="s">
        <v>997</v>
      </c>
      <c r="AK42" s="48" t="s">
        <v>124</v>
      </c>
      <c r="AL42" s="48" t="s">
        <v>137</v>
      </c>
      <c r="AM42" s="154" t="str">
        <f t="shared" si="20"/>
        <v>start /low /b %USERPROFILE%\Documents\GitHub\eaglep3\Utilities\DownloadLogsFromS3.py --loco 4028 --day 2017-03-26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683</v>
      </c>
      <c r="B43" s="7">
        <v>4028</v>
      </c>
      <c r="C43" s="21" t="s">
        <v>219</v>
      </c>
      <c r="D43" s="21" t="s">
        <v>842</v>
      </c>
      <c r="E43" s="13">
        <v>42820.355891203704</v>
      </c>
      <c r="F43" s="13">
        <v>42820.356678240743</v>
      </c>
      <c r="G43" s="7">
        <v>0</v>
      </c>
      <c r="H43" s="21" t="s">
        <v>843</v>
      </c>
      <c r="I43" s="13">
        <v>42820.371018518519</v>
      </c>
      <c r="J43" s="7">
        <v>0</v>
      </c>
      <c r="K43" s="98" t="str">
        <f t="shared" si="0"/>
        <v>4027/4028</v>
      </c>
      <c r="L43" s="21" t="str">
        <f>VLOOKUP(A43,'Trips&amp;Operators'!$C$1:$G$99999,5,FALSE)</f>
        <v>SHOOK JOHN</v>
      </c>
      <c r="M43" s="6">
        <f t="shared" si="1"/>
        <v>1.4340277775772847E-2</v>
      </c>
      <c r="N43" s="7"/>
      <c r="O43" s="7"/>
      <c r="P43" s="7"/>
      <c r="Q43" s="22"/>
      <c r="R43" s="22"/>
      <c r="S43" s="31"/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10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-26T07:32:29-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187" t="str">
        <f t="shared" si="6"/>
        <v>Y</v>
      </c>
      <c r="X43" s="187">
        <f t="shared" si="7"/>
        <v>0</v>
      </c>
      <c r="Y43" s="62">
        <f t="shared" si="8"/>
        <v>8.6353000000000009</v>
      </c>
      <c r="Z43" s="62">
        <f t="shared" si="9"/>
        <v>1.6899999999999998E-2</v>
      </c>
      <c r="AA43" s="62">
        <f t="shared" si="10"/>
        <v>8.6184000000000012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0130-26</v>
      </c>
      <c r="AE43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43" s="82" t="str">
        <f t="shared" si="13"/>
        <v>"C:\Program Files (x86)\AstroGrep\AstroGrep.exe" /e /r /s /spath="%USERPROFILE%\AppData\Local\Temp\OnboardLogs" /stypes="app*4028*20170326*"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130-26 --locoid 4028 --swversion DE.1.0.9.0 --startMP 204:86353 --initTime 2017-03-26T08:32:29 --startdatetime 2017-03-26T08:33:37 --delay 0 --endMP 204:169 --enddatetime 2017-03-26T08:54:16 --enforcementcount 0 &gt;&gt;C:\Users\stu\Documents\GitHub\eaglep3-reporting\EC\2017-03-26-refined-times.txt</v>
      </c>
      <c r="AI4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{"issue":{"subject":"","project_id":79,"tracker_id":40,"status_id":1,"priority_id":2,"assigned_to_id":23,"start_date":"2017-03-26","description":"","custom_fields":[{"id":1,"name":"Subdivision","value":"EC"},{"id":4,"name":"Milepost","value":"0.0169"},{"id":17,"name":"Train ID","value":"130-26"},{"id":16,"name":"Locomotive ID","value":"4028"},{"id":130,"name":"Impact","value":""},{"id":150,"name":"Time of Event (Mountain Time)","value":"08:54:16"},{"id":151,"name":"Denver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4028 --day 2017-03-26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679</v>
      </c>
      <c r="B44" s="7">
        <v>4025</v>
      </c>
      <c r="C44" s="21" t="s">
        <v>219</v>
      </c>
      <c r="D44" s="21" t="s">
        <v>819</v>
      </c>
      <c r="E44" s="13">
        <v>42820.308009259257</v>
      </c>
      <c r="F44" s="13">
        <v>42820.3127662037</v>
      </c>
      <c r="G44" s="7">
        <v>1</v>
      </c>
      <c r="H44" s="21" t="s">
        <v>587</v>
      </c>
      <c r="I44" s="13">
        <v>42820.337164351855</v>
      </c>
      <c r="J44" s="7">
        <v>0</v>
      </c>
      <c r="K44" s="98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2.439814815443242E-2</v>
      </c>
      <c r="N44" s="7">
        <f t="shared" ref="N44:N75" si="21">24*60*SUM($M44:$M44)</f>
        <v>35.133333342382684</v>
      </c>
      <c r="O44" s="7"/>
      <c r="P44" s="7"/>
      <c r="Q44" s="22"/>
      <c r="R44" s="22"/>
      <c r="S44" s="31">
        <f t="shared" ref="S44:S75" si="22">SUM(U44:U44)/IF(AG44="EC",12,1)</f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-26T06:23:32-0600',mode:absolute,to:'2017-03-26T09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4.7800000000000002E-2</v>
      </c>
      <c r="Z44" s="62">
        <f t="shared" si="9"/>
        <v>23.330500000000001</v>
      </c>
      <c r="AA44" s="62">
        <f t="shared" si="10"/>
        <v>23.282700000000002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0131-26</v>
      </c>
      <c r="AE44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44" s="82" t="str">
        <f t="shared" si="13"/>
        <v>"C:\Program Files (x86)\AstroGrep\AstroGrep.exe" /e /r /s /spath="%USERPROFILE%\AppData\Local\Temp\OnboardLogs" /stypes="app*4025*20170326*"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131-26 --locoid 4025 --swversion DE.1.0.9.0 --startMP 204:478 --initTime 2017-03-26T07:23:32 --startdatetime 2017-03-26T07:30:23 --delay 1 --endMP 204:233305 --enddatetime 2017-03-26T08:05:31 --enforcementcount 0 &gt;&gt;C:\Users\stu\Documents\GitHub\eaglep3-reporting\EC\2017-03-26-refined-times.txt</v>
      </c>
      <c r="AI4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{"issue":{"subject":"","project_id":79,"tracker_id":40,"status_id":1,"priority_id":2,"assigned_to_id":23,"start_date":"2017-03-26","description":"","custom_fields":[{"id":1,"name":"Subdivision","value":"EC"},{"id":4,"name":"Milepost","value":"23.3305"},{"id":17,"name":"Train ID","value":"131-26"},{"id":16,"name":"Locomotive ID","value":"4025"},{"id":130,"name":"Impact","value":""},{"id":150,"name":"Time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4025 --day 2017-03-26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686</v>
      </c>
      <c r="B45" s="7">
        <v>4026</v>
      </c>
      <c r="C45" s="21" t="s">
        <v>219</v>
      </c>
      <c r="D45" s="21" t="s">
        <v>536</v>
      </c>
      <c r="E45" s="13">
        <v>42820.344490740739</v>
      </c>
      <c r="F45" s="13">
        <v>42820.351655092592</v>
      </c>
      <c r="G45" s="7">
        <v>1</v>
      </c>
      <c r="H45" s="21" t="s">
        <v>844</v>
      </c>
      <c r="I45" s="13">
        <v>42820.379432870373</v>
      </c>
      <c r="J45" s="7">
        <v>0</v>
      </c>
      <c r="K45" s="98" t="str">
        <f t="shared" si="0"/>
        <v>4025/4026</v>
      </c>
      <c r="L45" s="21" t="str">
        <f>VLOOKUP(A45,'Trips&amp;Operators'!$C$1:$G$99999,5,FALSE)</f>
        <v>MAELZER KURT</v>
      </c>
      <c r="M45" s="6">
        <f t="shared" si="1"/>
        <v>2.7777777781011537E-2</v>
      </c>
      <c r="N45" s="7">
        <f t="shared" si="21"/>
        <v>40.000000004656613</v>
      </c>
      <c r="O45" s="7"/>
      <c r="P45" s="7"/>
      <c r="Q45" s="22"/>
      <c r="R45" s="22"/>
      <c r="S45" s="31">
        <f t="shared" si="22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-26T07:16:04-0600',mode:absolute,to:'2017-03-26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si="8"/>
        <v>23.2986</v>
      </c>
      <c r="Z45" s="62">
        <f t="shared" si="9"/>
        <v>1.34E-2</v>
      </c>
      <c r="AA45" s="62">
        <f t="shared" si="10"/>
        <v>23.2852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0132-26</v>
      </c>
      <c r="AE45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45" s="82" t="str">
        <f t="shared" si="13"/>
        <v>"C:\Program Files (x86)\AstroGrep\AstroGrep.exe" /e /r /s /spath="%USERPROFILE%\AppData\Local\Temp\OnboardLogs" /stypes="app*4026*20170326*"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132-26 --locoid 4026 --swversion DE.1.0.9.0 --startMP 204:232986 --initTime 2017-03-26T08:16:04 --startdatetime 2017-03-26T08:26:23 --delay 1 --endMP 204:134 --enddatetime 2017-03-26T09:06:23 --enforcementcount 0 &gt;&gt;C:\Users\stu\Documents\GitHub\eaglep3-reporting\EC\2017-03-26-refined-times.txt</v>
      </c>
      <c r="AI4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{"issue":{"subject":"","project_id":79,"tracker_id":40,"status_id":1,"priority_id":2,"assigned_to_id":23,"start_date":"2017-03-26","description":"","custom_fields":[{"id":1,"name":"Subdivision","value":"EC"},{"id":4,"name":"Milepost","value":"0.0134"},{"id":17,"name":"Train ID","value":"132-26"},{"id":16,"name":"Locomotive ID","value":"4026"},{"id":130,"name":"Impact","value":""},{"id":150,"name":"Time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4026 --day 2017-03-26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682</v>
      </c>
      <c r="B46" s="7">
        <v>4031</v>
      </c>
      <c r="C46" s="21" t="s">
        <v>219</v>
      </c>
      <c r="D46" s="21" t="s">
        <v>466</v>
      </c>
      <c r="E46" s="13">
        <v>42820.321180555555</v>
      </c>
      <c r="F46" s="13">
        <v>42820.323101851849</v>
      </c>
      <c r="G46" s="7">
        <v>1</v>
      </c>
      <c r="H46" s="21" t="s">
        <v>845</v>
      </c>
      <c r="I46" s="13">
        <v>42820.34915509259</v>
      </c>
      <c r="J46" s="7">
        <v>0</v>
      </c>
      <c r="K46" s="98" t="str">
        <f t="shared" si="0"/>
        <v>4031/4032</v>
      </c>
      <c r="L46" s="21" t="str">
        <f>VLOOKUP(A46,'Trips&amp;Operators'!$C$1:$G$99999,5,FALSE)</f>
        <v>BADERTSCHER DIANE</v>
      </c>
      <c r="M46" s="6">
        <f t="shared" si="1"/>
        <v>2.6053240741021E-2</v>
      </c>
      <c r="N46" s="7">
        <f t="shared" si="21"/>
        <v>37.51666666707024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-26T06:42:30-0600',mode:absolute,to:'2017-03-26T09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7" t="str">
        <f t="shared" si="6"/>
        <v>N</v>
      </c>
      <c r="X46" s="187">
        <f t="shared" si="23"/>
        <v>1</v>
      </c>
      <c r="Y46" s="62">
        <f t="shared" si="8"/>
        <v>4.8399999999999999E-2</v>
      </c>
      <c r="Z46" s="62">
        <f t="shared" si="9"/>
        <v>23.322500000000002</v>
      </c>
      <c r="AA46" s="62">
        <f t="shared" si="10"/>
        <v>23.274100000000001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0133-26</v>
      </c>
      <c r="AE46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46" s="82" t="str">
        <f t="shared" si="13"/>
        <v>"C:\Program Files (x86)\AstroGrep\AstroGrep.exe" /e /r /s /spath="%USERPROFILE%\AppData\Local\Temp\OnboardLogs" /stypes="app*4031*20170326*"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133-26 --locoid 4031 --swversion DE.1.0.9.0 --startMP 204:484 --initTime 2017-03-26T07:42:30 --startdatetime 2017-03-26T07:45:16 --delay 1 --endMP 204:233225 --enddatetime 2017-03-26T08:22:47 --enforcementcount 0 &gt;&gt;C:\Users\stu\Documents\GitHub\eaglep3-reporting\EC\2017-03-26-refined-times.txt</v>
      </c>
      <c r="AI4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{"issue":{"subject":"","project_id":79,"tracker_id":40,"status_id":1,"priority_id":2,"assigned_to_id":23,"start_date":"2017-03-26","description":"","custom_fields":[{"id":1,"name":"Subdivision","value":"EC"},{"id":4,"name":"Milepost","value":"23.3225"},{"id":17,"name":"Train ID","value":"133-26"},{"id":16,"name":"Locomotive ID","value":"4031"},{"id":130,"name":"Impact","value":""},{"id":150,"name":"Time of Event (Mountain Time)","value":"08:22:47"},{"id":151,"name":"Denver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4031 --day 2017-03-26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688</v>
      </c>
      <c r="B47" s="7">
        <v>4032</v>
      </c>
      <c r="C47" s="21" t="s">
        <v>219</v>
      </c>
      <c r="D47" s="21" t="s">
        <v>846</v>
      </c>
      <c r="E47" s="13">
        <v>42820.352951388886</v>
      </c>
      <c r="F47" s="13">
        <v>42820.361990740741</v>
      </c>
      <c r="G47" s="7">
        <v>1</v>
      </c>
      <c r="H47" s="21" t="s">
        <v>395</v>
      </c>
      <c r="I47" s="13">
        <v>42820.389988425923</v>
      </c>
      <c r="J47" s="7">
        <v>0</v>
      </c>
      <c r="K47" s="98" t="str">
        <f t="shared" si="0"/>
        <v>4031/4032</v>
      </c>
      <c r="L47" s="21" t="str">
        <f>VLOOKUP(A47,'Trips&amp;Operators'!$C$1:$G$99999,5,FALSE)</f>
        <v>BADERTSCHER DIANE</v>
      </c>
      <c r="M47" s="6">
        <f t="shared" si="1"/>
        <v>2.7997685181617271E-2</v>
      </c>
      <c r="N47" s="7">
        <f t="shared" si="21"/>
        <v>40.31666666152887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-26T07:28:15-0600',mode:absolute,to:'2017-03-26T10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7" t="str">
        <f t="shared" si="6"/>
        <v>N</v>
      </c>
      <c r="X47" s="187">
        <f t="shared" si="23"/>
        <v>1</v>
      </c>
      <c r="Y47" s="62">
        <f t="shared" si="8"/>
        <v>23.2926</v>
      </c>
      <c r="Z47" s="62">
        <f t="shared" si="9"/>
        <v>1.43E-2</v>
      </c>
      <c r="AA47" s="62">
        <f t="shared" si="10"/>
        <v>23.278300000000002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0134-26</v>
      </c>
      <c r="AE47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47" s="82" t="str">
        <f t="shared" si="13"/>
        <v>"C:\Program Files (x86)\AstroGrep\AstroGrep.exe" /e /r /s /spath="%USERPROFILE%\AppData\Local\Temp\OnboardLogs" /stypes="app*4032*20170326*"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134-26 --locoid 4032 --swversion DE.1.0.9.0 --startMP 204:232926 --initTime 2017-03-26T08:28:15 --startdatetime 2017-03-26T08:41:16 --delay 1 --endMP 204:143 --enddatetime 2017-03-26T09:21:35 --enforcementcount 0 &gt;&gt;C:\Users\stu\Documents\GitHub\eaglep3-reporting\EC\2017-03-26-refined-times.txt</v>
      </c>
      <c r="AI4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ID","value":"134-26"},{"id":16,"name":"Locomotive ID","value":"4032"},{"id":130,"name":"Impact","value":""},{"id":150,"name":"Time of Event (Mountain Time)","value":"09:21:35"},{"id":151,"name":"Denver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4032 --day 2017-03-26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599</v>
      </c>
      <c r="B48" s="7">
        <v>4046</v>
      </c>
      <c r="C48" s="21" t="s">
        <v>219</v>
      </c>
      <c r="D48" s="21" t="s">
        <v>208</v>
      </c>
      <c r="E48" s="13">
        <v>42820.330335648148</v>
      </c>
      <c r="F48" s="13">
        <v>42820.333506944444</v>
      </c>
      <c r="G48" s="7">
        <v>1</v>
      </c>
      <c r="H48" s="21" t="s">
        <v>575</v>
      </c>
      <c r="I48" s="13">
        <v>42820.360127314816</v>
      </c>
      <c r="J48" s="7">
        <v>0</v>
      </c>
      <c r="K48" s="98" t="str">
        <f t="shared" si="0"/>
        <v>4045/4046</v>
      </c>
      <c r="L48" s="21" t="str">
        <f>VLOOKUP(A48,'Trips&amp;Operators'!$C$1:$G$99999,5,FALSE)</f>
        <v>DAVIS WENDY</v>
      </c>
      <c r="M48" s="6">
        <f t="shared" si="1"/>
        <v>2.662037037225673E-2</v>
      </c>
      <c r="N48" s="7">
        <f t="shared" si="21"/>
        <v>38.333333336049691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-26T06:55:41-0600',mode:absolute,to:'2017-03-26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8" s="187" t="str">
        <f t="shared" si="6"/>
        <v>N</v>
      </c>
      <c r="X48" s="187">
        <f t="shared" si="23"/>
        <v>1</v>
      </c>
      <c r="Y48" s="62">
        <f t="shared" si="8"/>
        <v>4.5699999999999998E-2</v>
      </c>
      <c r="Z48" s="62">
        <f t="shared" si="9"/>
        <v>23.331600000000002</v>
      </c>
      <c r="AA48" s="62">
        <f t="shared" si="10"/>
        <v>23.285900000000002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0135-26</v>
      </c>
      <c r="AE48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48" s="82" t="str">
        <f t="shared" si="13"/>
        <v>"C:\Program Files (x86)\AstroGrep\AstroGrep.exe" /e /r /s /spath="%USERPROFILE%\AppData\Local\Temp\OnboardLogs" /stypes="app*4046*20170326*"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135-26 --locoid 4046 --swversion DE.1.0.9.0 --startMP 204:457 --initTime 2017-03-26T07:55:41 --startdatetime 2017-03-26T08:00:15 --delay 1 --endMP 204:233316 --enddatetime 2017-03-26T08:38:35 --enforcementcount 0 &gt;&gt;C:\Users\stu\Documents\GitHub\eaglep3-reporting\EC\2017-03-26-refined-times.txt</v>
      </c>
      <c r="AI4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{"issue":{"subject":"","project_id":79,"tracker_id":40,"status_id":1,"priority_id":2,"assigned_to_id":23,"start_date":"2017-03-26","description":"","custom_fields":[{"id":1,"name":"Subdivision","value":"EC"},{"id":4,"name":"Milepost","value":"23.3316"},{"id":17,"name":"Train ID","value":"135-26"},{"id":16,"name":"Locomotive ID","value":"4046"},{"id":130,"name":"Impact","value":""},{"id":150,"name":"Time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4046 --day 2017-03-26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690</v>
      </c>
      <c r="B49" s="7">
        <v>4045</v>
      </c>
      <c r="C49" s="21" t="s">
        <v>219</v>
      </c>
      <c r="D49" s="21" t="s">
        <v>222</v>
      </c>
      <c r="E49" s="13">
        <v>42820.368506944447</v>
      </c>
      <c r="F49" s="13">
        <v>42820.372384259259</v>
      </c>
      <c r="G49" s="7">
        <v>1</v>
      </c>
      <c r="H49" s="21" t="s">
        <v>191</v>
      </c>
      <c r="I49" s="13">
        <v>42820.400196759256</v>
      </c>
      <c r="J49" s="7">
        <v>0</v>
      </c>
      <c r="K49" s="98" t="str">
        <f t="shared" si="0"/>
        <v>4045/4046</v>
      </c>
      <c r="L49" s="21" t="str">
        <f>VLOOKUP(A49,'Trips&amp;Operators'!$C$1:$G$99999,5,FALSE)</f>
        <v>DAVIS WENDY</v>
      </c>
      <c r="M49" s="6">
        <f t="shared" si="1"/>
        <v>2.7812499996798579E-2</v>
      </c>
      <c r="N49" s="7">
        <f t="shared" si="21"/>
        <v>40.049999995389953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-26T07:50:39-0600',mode:absolute,to:'2017-03-26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9" s="187" t="str">
        <f t="shared" si="6"/>
        <v>N</v>
      </c>
      <c r="X49" s="187">
        <f t="shared" si="23"/>
        <v>1</v>
      </c>
      <c r="Y49" s="62">
        <f t="shared" si="8"/>
        <v>23.3</v>
      </c>
      <c r="Z49" s="62">
        <f t="shared" si="9"/>
        <v>1.4999999999999999E-2</v>
      </c>
      <c r="AA49" s="62">
        <f t="shared" si="10"/>
        <v>23.285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0136-26</v>
      </c>
      <c r="AE49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49" s="82" t="str">
        <f t="shared" si="13"/>
        <v>"C:\Program Files (x86)\AstroGrep\AstroGrep.exe" /e /r /s /spath="%USERPROFILE%\AppData\Local\Temp\OnboardLogs" /stypes="app*4045*20170326*"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136-26 --locoid 4045 --swversion DE.1.0.9.0 --startMP 204:233000 --initTime 2017-03-26T08:50:39 --startdatetime 2017-03-26T08:56:14 --delay 1 --endMP 204:150 --enddatetime 2017-03-26T09:36:17 --enforcementcount 0 &gt;&gt;C:\Users\stu\Documents\GitHub\eaglep3-reporting\EC\2017-03-26-refined-times.txt</v>
      </c>
      <c r="AI4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ID","value":"136-26"},{"id":16,"name":"Locomotive ID","value":"4045"},{"id":130,"name":"Impact","value":""},{"id":150,"name":"Time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4045 --day 2017-03-26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685</v>
      </c>
      <c r="B50" s="7">
        <v>4018</v>
      </c>
      <c r="C50" s="21" t="s">
        <v>219</v>
      </c>
      <c r="D50" s="21" t="s">
        <v>207</v>
      </c>
      <c r="E50" s="13">
        <v>42820.339050925926</v>
      </c>
      <c r="F50" s="13">
        <v>42820.343900462962</v>
      </c>
      <c r="G50" s="7">
        <v>1</v>
      </c>
      <c r="H50" s="21" t="s">
        <v>829</v>
      </c>
      <c r="I50" s="13">
        <v>42820.369108796294</v>
      </c>
      <c r="J50" s="7">
        <v>0</v>
      </c>
      <c r="K50" s="98" t="str">
        <f t="shared" si="0"/>
        <v>4017/4018</v>
      </c>
      <c r="L50" s="21" t="str">
        <f>VLOOKUP(A50,'Trips&amp;Operators'!$C$1:$G$99999,5,FALSE)</f>
        <v>ROBINSON KADDIBA</v>
      </c>
      <c r="M50" s="6">
        <f t="shared" si="1"/>
        <v>2.5208333332557231E-2</v>
      </c>
      <c r="N50" s="7">
        <f t="shared" si="21"/>
        <v>36.299999998882413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-26T07:08:14-0600',mode:absolute,to:'2017-03-26T09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0" s="187" t="str">
        <f t="shared" si="6"/>
        <v>N</v>
      </c>
      <c r="X50" s="187">
        <f t="shared" si="23"/>
        <v>1</v>
      </c>
      <c r="Y50" s="62">
        <f t="shared" si="8"/>
        <v>4.5100000000000001E-2</v>
      </c>
      <c r="Z50" s="62">
        <f t="shared" si="9"/>
        <v>23.331499999999998</v>
      </c>
      <c r="AA50" s="62">
        <f t="shared" si="10"/>
        <v>23.286399999999997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0137-26</v>
      </c>
      <c r="AE50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50" s="82" t="str">
        <f t="shared" si="13"/>
        <v>"C:\Program Files (x86)\AstroGrep\AstroGrep.exe" /e /r /s /spath="%USERPROFILE%\AppData\Local\Temp\OnboardLogs" /stypes="app*4018*20170326*"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137-26 --locoid 4018 --swversion DE.1.0.9.0 --startMP 204:451 --initTime 2017-03-26T08:08:14 --startdatetime 2017-03-26T08:15:13 --delay 1 --endMP 204:233315 --enddatetime 2017-03-26T08:51:31 --enforcementcount 0 &gt;&gt;C:\Users\stu\Documents\GitHub\eaglep3-reporting\EC\2017-03-26-refined-times.txt</v>
      </c>
      <c r="AI5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ID","value":"137-26"},{"id":16,"name":"Locomotive ID","value":"4018"},{"id":130,"name":"Impact","value":""},{"id":150,"name":"Time of Event (Mountain Time)","value":"08:51:31"},{"id":151,"name":"Denver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4018 --day 2017-03-26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693</v>
      </c>
      <c r="B51" s="7">
        <v>4017</v>
      </c>
      <c r="C51" s="21" t="s">
        <v>219</v>
      </c>
      <c r="D51" s="21" t="s">
        <v>838</v>
      </c>
      <c r="E51" s="13">
        <v>42820.377916666665</v>
      </c>
      <c r="F51" s="13">
        <v>42820.3828125</v>
      </c>
      <c r="G51" s="7">
        <v>1</v>
      </c>
      <c r="H51" s="21" t="s">
        <v>214</v>
      </c>
      <c r="I51" s="13">
        <v>42820.409259259257</v>
      </c>
      <c r="J51" s="7">
        <v>0</v>
      </c>
      <c r="K51" s="98" t="str">
        <f t="shared" si="0"/>
        <v>4017/4018</v>
      </c>
      <c r="L51" s="21" t="str">
        <f>VLOOKUP(A51,'Trips&amp;Operators'!$C$1:$G$99999,5,FALSE)</f>
        <v>ROBINSON KADDIBA</v>
      </c>
      <c r="M51" s="6">
        <f t="shared" si="1"/>
        <v>2.6446759256941732E-2</v>
      </c>
      <c r="N51" s="7">
        <f t="shared" si="21"/>
        <v>38.083333329996094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-26T08:04:12-0600',mode:absolute,to:'2017-03-26T10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1" s="187" t="str">
        <f t="shared" si="6"/>
        <v>N</v>
      </c>
      <c r="X51" s="187">
        <f t="shared" si="23"/>
        <v>1</v>
      </c>
      <c r="Y51" s="62">
        <f t="shared" si="8"/>
        <v>23.3002</v>
      </c>
      <c r="Z51" s="62">
        <f t="shared" si="9"/>
        <v>1.5599999999999999E-2</v>
      </c>
      <c r="AA51" s="62">
        <f t="shared" si="10"/>
        <v>23.284600000000001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0138-26</v>
      </c>
      <c r="AE51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51" s="82" t="str">
        <f t="shared" si="13"/>
        <v>"C:\Program Files (x86)\AstroGrep\AstroGrep.exe" /e /r /s /spath="%USERPROFILE%\AppData\Local\Temp\OnboardLogs" /stypes="app*4017*20170326*"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138-26 --locoid 4017 --swversion DE.1.0.9.0 --startMP 204:233002 --initTime 2017-03-26T09:04:12 --startdatetime 2017-03-26T09:11:15 --delay 1 --endMP 204:156 --enddatetime 2017-03-26T09:49:20 --enforcementcount 0 &gt;&gt;C:\Users\stu\Documents\GitHub\eaglep3-reporting\EC\2017-03-26-refined-times.txt</v>
      </c>
      <c r="AI5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ID","value":"138-26"},{"id":16,"name":"Locomotive ID","value":"4017"},{"id":130,"name":"Impact","value":""},{"id":150,"name":"Time of Event (Mountain Time)","value":"09:49:20"},{"id":151,"name":"Denver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4017 --day 2017-03-26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687</v>
      </c>
      <c r="B52" s="7">
        <v>4002</v>
      </c>
      <c r="C52" s="21" t="s">
        <v>219</v>
      </c>
      <c r="D52" s="21" t="s">
        <v>400</v>
      </c>
      <c r="E52" s="13">
        <v>42820.349710648145</v>
      </c>
      <c r="F52" s="13">
        <v>42820.354398148149</v>
      </c>
      <c r="G52" s="7">
        <v>1</v>
      </c>
      <c r="H52" s="21" t="s">
        <v>847</v>
      </c>
      <c r="I52" s="13">
        <v>42820.378692129627</v>
      </c>
      <c r="J52" s="7">
        <v>0</v>
      </c>
      <c r="K52" s="98" t="str">
        <f t="shared" si="0"/>
        <v>4001/4002</v>
      </c>
      <c r="L52" s="21" t="str">
        <f>VLOOKUP(A52,'Trips&amp;Operators'!$C$1:$G$99999,5,FALSE)</f>
        <v>GEBRETEKLE DAGNEW</v>
      </c>
      <c r="M52" s="6">
        <f t="shared" si="1"/>
        <v>2.4293981477967463E-2</v>
      </c>
      <c r="N52" s="7">
        <f t="shared" si="21"/>
        <v>34.983333328273147</v>
      </c>
      <c r="O52" s="7"/>
      <c r="P52" s="7"/>
      <c r="Q52" s="22"/>
      <c r="R52" s="22"/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-26T07:23:35-0600',mode:absolute,to:'2017-03-26T10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2" s="187" t="str">
        <f t="shared" si="6"/>
        <v>N</v>
      </c>
      <c r="X52" s="187">
        <f t="shared" si="23"/>
        <v>1</v>
      </c>
      <c r="Y52" s="62">
        <f t="shared" si="8"/>
        <v>4.7300000000000002E-2</v>
      </c>
      <c r="Z52" s="62">
        <f t="shared" si="9"/>
        <v>23.333200000000001</v>
      </c>
      <c r="AA52" s="62">
        <f t="shared" si="10"/>
        <v>23.285900000000002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0139-26</v>
      </c>
      <c r="AE52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52" s="82" t="str">
        <f t="shared" si="13"/>
        <v>"C:\Program Files (x86)\AstroGrep\AstroGrep.exe" /e /r /s /spath="%USERPROFILE%\AppData\Local\Temp\OnboardLogs" /stypes="app*4002*20170326*"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139-26 --locoid 4002 --swversion DE.1.0.9.0 --startMP 204:473 --initTime 2017-03-26T08:23:35 --startdatetime 2017-03-26T08:30:20 --delay 1 --endMP 204:233332 --enddatetime 2017-03-26T09:05:19 --enforcementcount 0 &gt;&gt;C:\Users\stu\Documents\GitHub\eaglep3-reporting\EC\2017-03-26-refined-times.txt</v>
      </c>
      <c r="AI52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{"issue":{"subject":"","project_id":79,"tracker_id":40,"status_id":1,"priority_id":2,"assigned_to_id":23,"start_date":"2017-03-26","description":"","custom_fields":[{"id":1,"name":"Subdivision","value":"EC"},{"id":4,"name":"Milepost","value":"23.3332"},{"id":17,"name":"Train ID","value":"139-26"},{"id":16,"name":"Locomotive ID","value":"4002"},{"id":130,"name":"Impact","value":""},{"id":150,"name":"Time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4002 --day 2017-03-26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695</v>
      </c>
      <c r="B53" s="7">
        <v>4001</v>
      </c>
      <c r="C53" s="21" t="s">
        <v>219</v>
      </c>
      <c r="D53" s="21" t="s">
        <v>848</v>
      </c>
      <c r="E53" s="13">
        <v>42820.388703703706</v>
      </c>
      <c r="F53" s="13">
        <v>42820.393229166664</v>
      </c>
      <c r="G53" s="7">
        <v>1</v>
      </c>
      <c r="H53" s="21" t="s">
        <v>199</v>
      </c>
      <c r="I53" s="13">
        <v>42820.419548611113</v>
      </c>
      <c r="J53" s="7">
        <v>0</v>
      </c>
      <c r="K53" s="98" t="str">
        <f t="shared" si="0"/>
        <v>4001/4002</v>
      </c>
      <c r="L53" s="21" t="str">
        <f>VLOOKUP(A53,'Trips&amp;Operators'!$C$1:$G$99999,5,FALSE)</f>
        <v>GEBRETEKLE DAGNEW</v>
      </c>
      <c r="M53" s="6">
        <f t="shared" si="1"/>
        <v>2.6319444448745344E-2</v>
      </c>
      <c r="N53" s="7">
        <f t="shared" si="21"/>
        <v>37.900000006193295</v>
      </c>
      <c r="O53" s="7"/>
      <c r="P53" s="7"/>
      <c r="Q53" s="22"/>
      <c r="R53" s="22"/>
      <c r="S53" s="31">
        <f t="shared" si="22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-26T08:19:44-0600',mode:absolute,to:'2017-03-26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3" s="187" t="str">
        <f t="shared" si="6"/>
        <v>N</v>
      </c>
      <c r="X53" s="187">
        <f t="shared" si="23"/>
        <v>1</v>
      </c>
      <c r="Y53" s="62">
        <f t="shared" si="8"/>
        <v>23.3017</v>
      </c>
      <c r="Z53" s="62">
        <f t="shared" si="9"/>
        <v>1.52E-2</v>
      </c>
      <c r="AA53" s="62">
        <f t="shared" si="10"/>
        <v>23.2865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0140-26</v>
      </c>
      <c r="AE53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53" s="82" t="str">
        <f t="shared" si="13"/>
        <v>"C:\Program Files (x86)\AstroGrep\AstroGrep.exe" /e /r /s /spath="%USERPROFILE%\AppData\Local\Temp\OnboardLogs" /stypes="app*4001*20170326*"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140-26 --locoid 4001 --swversion DE.1.0.9.0 --startMP 204:233017 --initTime 2017-03-26T09:19:44 --startdatetime 2017-03-26T09:26:15 --delay 1 --endMP 204:152 --enddatetime 2017-03-26T10:04:09 --enforcementcount 0 &gt;&gt;C:\Users\stu\Documents\GitHub\eaglep3-reporting\EC\2017-03-26-refined-times.txt</v>
      </c>
      <c r="AI5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ID","value":"140-26"},{"id":16,"name":"Locomotive ID","value":"4001"},{"id":130,"name":"Impact","value":""},{"id":150,"name":"Time of Event (Mountain Time)","value":"10:04:09"},{"id":151,"name":"Denver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4001 --day 2017-03-26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600</v>
      </c>
      <c r="B54" s="7">
        <v>4003</v>
      </c>
      <c r="C54" s="21" t="s">
        <v>219</v>
      </c>
      <c r="D54" s="21" t="s">
        <v>849</v>
      </c>
      <c r="E54" s="13">
        <v>42820.362164351849</v>
      </c>
      <c r="F54" s="13">
        <v>42820.364837962959</v>
      </c>
      <c r="G54" s="7">
        <v>1</v>
      </c>
      <c r="H54" s="21" t="s">
        <v>531</v>
      </c>
      <c r="I54" s="13">
        <v>42820.390185185184</v>
      </c>
      <c r="J54" s="7">
        <v>0</v>
      </c>
      <c r="K54" s="98" t="str">
        <f t="shared" si="0"/>
        <v>4003/4004</v>
      </c>
      <c r="L54" s="21" t="str">
        <f>VLOOKUP(A54,'Trips&amp;Operators'!$C$1:$G$99999,5,FALSE)</f>
        <v>MAYBERRY BILL</v>
      </c>
      <c r="M54" s="6">
        <f t="shared" si="1"/>
        <v>2.5347222224809229E-2</v>
      </c>
      <c r="N54" s="7">
        <f t="shared" si="21"/>
        <v>36.50000000372529</v>
      </c>
      <c r="O54" s="7"/>
      <c r="P54" s="7"/>
      <c r="Q54" s="22"/>
      <c r="R54" s="22"/>
      <c r="S54" s="31">
        <f t="shared" si="22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-26T07:41:31-0600',mode:absolute,to:'2017-03-26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87" t="str">
        <f t="shared" si="6"/>
        <v>N</v>
      </c>
      <c r="X54" s="187">
        <f t="shared" si="23"/>
        <v>1</v>
      </c>
      <c r="Y54" s="62">
        <f t="shared" si="8"/>
        <v>4.7100000000000003E-2</v>
      </c>
      <c r="Z54" s="62">
        <f t="shared" si="9"/>
        <v>23.329499999999999</v>
      </c>
      <c r="AA54" s="62">
        <f t="shared" si="10"/>
        <v>23.282399999999999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0141-26</v>
      </c>
      <c r="AE54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54" s="82" t="str">
        <f t="shared" si="13"/>
        <v>"C:\Program Files (x86)\AstroGrep\AstroGrep.exe" /e /r /s /spath="%USERPROFILE%\AppData\Local\Temp\OnboardLogs" /stypes="app*4003*20170326*"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141-26 --locoid 4003 --swversion DE.1.0.9.0 --startMP 204:471 --initTime 2017-03-26T08:41:31 --startdatetime 2017-03-26T08:45:22 --delay 1 --endMP 204:233295 --enddatetime 2017-03-26T09:21:52 --enforcementcount 0 &gt;&gt;C:\Users\stu\Documents\GitHub\eaglep3-reporting\EC\2017-03-26-refined-times.txt</v>
      </c>
      <c r="AI5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{"issue":{"subject":"","project_id":79,"tracker_id":40,"status_id":1,"priority_id":2,"assigned_to_id":23,"start_date":"2017-03-26","description":"","custom_fields":[{"id":1,"name":"Subdivision","value":"EC"},{"id":4,"name":"Milepost","value":"23.3295"},{"id":17,"name":"Train ID","value":"141-26"},{"id":16,"name":"Locomotive ID","value":"4003"},{"id":130,"name":"Impact","value":""},{"id":150,"name":"Time of Event (Mountain Time)","value":"09:21:52"},{"id":151,"name":"Denver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4003 --day 2017-03-26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601</v>
      </c>
      <c r="B55" s="7">
        <v>4004</v>
      </c>
      <c r="C55" s="21" t="s">
        <v>219</v>
      </c>
      <c r="D55" s="21" t="s">
        <v>537</v>
      </c>
      <c r="E55" s="13">
        <v>42820.394479166665</v>
      </c>
      <c r="F55" s="13">
        <v>42820.404074074075</v>
      </c>
      <c r="G55" s="7">
        <v>1</v>
      </c>
      <c r="H55" s="21" t="s">
        <v>184</v>
      </c>
      <c r="I55" s="13">
        <v>42820.43209490741</v>
      </c>
      <c r="J55" s="7">
        <v>0</v>
      </c>
      <c r="K55" s="98" t="str">
        <f t="shared" si="0"/>
        <v>4003/4004</v>
      </c>
      <c r="L55" s="21" t="str">
        <f>VLOOKUP(A55,'Trips&amp;Operators'!$C$1:$G$99999,5,FALSE)</f>
        <v>MAYBERRY BILL</v>
      </c>
      <c r="M55" s="6">
        <f t="shared" si="1"/>
        <v>2.8020833335176576E-2</v>
      </c>
      <c r="N55" s="7">
        <f t="shared" si="21"/>
        <v>40.350000002654269</v>
      </c>
      <c r="O55" s="7"/>
      <c r="P55" s="7"/>
      <c r="Q55" s="22"/>
      <c r="R55" s="22"/>
      <c r="S55" s="31">
        <f t="shared" si="22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7" t="str">
        <f t="shared" si="6"/>
        <v>N</v>
      </c>
      <c r="X55" s="187">
        <f t="shared" si="23"/>
        <v>1</v>
      </c>
      <c r="Y55" s="62">
        <f t="shared" si="8"/>
        <v>23.2989</v>
      </c>
      <c r="Z55" s="62">
        <f t="shared" si="9"/>
        <v>1.49E-2</v>
      </c>
      <c r="AA55" s="62">
        <f t="shared" si="10"/>
        <v>23.283999999999999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11"/>
        <v>0142-26</v>
      </c>
      <c r="AE55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55" s="82" t="str">
        <f t="shared" si="13"/>
        <v>"C:\Program Files (x86)\AstroGrep\AstroGrep.exe" /e /r /s /spath="%USERPROFILE%\AppData\Local\Temp\OnboardLogs" /stypes="app*4004*20170326*"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142-26 --locoid 4004 --swversion DE.1.0.9.0 --startMP 204:232989 --initTime 2017-03-26T09:28:03 --startdatetime 2017-03-26T09:41:52 --delay 1 --endMP 204:149 --enddatetime 2017-03-26T10:22:13 --enforcementcount 0 &gt;&gt;C:\Users\stu\Documents\GitHub\eaglep3-reporting\EC\2017-03-26-refined-times.txt</v>
      </c>
      <c r="AI5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ID","value":"142-26"},{"id":16,"name":"Locomotive ID","value":"4004"},{"id":130,"name":"Impact","value":""},{"id":150,"name":"Time of Event (Mountain Time)","value":"10:22:13"},{"id":151,"name":"Denver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4004 --day 2017-03-26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691</v>
      </c>
      <c r="B56" s="7">
        <v>4027</v>
      </c>
      <c r="C56" s="21" t="s">
        <v>219</v>
      </c>
      <c r="D56" s="21" t="s">
        <v>208</v>
      </c>
      <c r="E56" s="13">
        <v>42820.372314814813</v>
      </c>
      <c r="F56" s="13">
        <v>42820.375173611108</v>
      </c>
      <c r="G56" s="7">
        <v>1</v>
      </c>
      <c r="H56" s="21" t="s">
        <v>444</v>
      </c>
      <c r="I56" s="13">
        <v>42820.400219907409</v>
      </c>
      <c r="J56" s="7">
        <v>0</v>
      </c>
      <c r="K56" s="98" t="str">
        <f t="shared" si="0"/>
        <v>4027/4028</v>
      </c>
      <c r="L56" s="21" t="str">
        <f>VLOOKUP(A56,'Trips&amp;Operators'!$C$1:$G$99999,5,FALSE)</f>
        <v>SHOOK JOHN</v>
      </c>
      <c r="M56" s="6">
        <f t="shared" si="1"/>
        <v>2.5046296301297843E-2</v>
      </c>
      <c r="N56" s="7">
        <f t="shared" si="21"/>
        <v>36.066666673868895</v>
      </c>
      <c r="O56" s="7"/>
      <c r="P56" s="7"/>
      <c r="Q56" s="22"/>
      <c r="R56" s="22"/>
      <c r="S56" s="31">
        <f t="shared" si="22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-26T07:56:08-0600',mode:absolute,to:'2017-03-26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187" t="str">
        <f t="shared" si="6"/>
        <v>N</v>
      </c>
      <c r="X56" s="187">
        <f t="shared" si="23"/>
        <v>1</v>
      </c>
      <c r="Y56" s="62">
        <f t="shared" si="8"/>
        <v>4.5699999999999998E-2</v>
      </c>
      <c r="Z56" s="62">
        <f t="shared" si="9"/>
        <v>23.331399999999999</v>
      </c>
      <c r="AA56" s="62">
        <f t="shared" si="10"/>
        <v>23.285699999999999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0143-26</v>
      </c>
      <c r="AE56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56" s="82" t="str">
        <f t="shared" si="13"/>
        <v>"C:\Program Files (x86)\AstroGrep\AstroGrep.exe" /e /r /s /spath="%USERPROFILE%\AppData\Local\Temp\OnboardLogs" /stypes="app*4027*20170326*"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143-26 --locoid 4027 --swversion DE.1.0.9.0 --startMP 204:457 --initTime 2017-03-26T08:56:08 --startdatetime 2017-03-26T09:00:15 --delay 1 --endMP 204:233314 --enddatetime 2017-03-26T09:36:19 --enforcementcount 0 &gt;&gt;C:\Users\stu\Documents\GitHub\eaglep3-reporting\EC\2017-03-26-refined-times.txt</v>
      </c>
      <c r="AI5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{"issue":{"subject":"","project_id":79,"tracker_id":40,"status_id":1,"priority_id":2,"assigned_to_id":23,"start_date":"2017-03-26","description":"","custom_fields":[{"id":1,"name":"Subdivision","value":"EC"},{"id":4,"name":"Milepost","value":"23.3314"},{"id":17,"name":"Train ID","value":"143-26"},{"id":16,"name":"Locomotive ID","value":"4027"},{"id":130,"name":"Impact","value":""},{"id":150,"name":"Time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4027 --day 2017-03-26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603</v>
      </c>
      <c r="B57" s="7">
        <v>4028</v>
      </c>
      <c r="C57" s="21" t="s">
        <v>219</v>
      </c>
      <c r="D57" s="21" t="s">
        <v>826</v>
      </c>
      <c r="E57" s="13">
        <v>42820.401932870373</v>
      </c>
      <c r="F57" s="13">
        <v>42820.4140625</v>
      </c>
      <c r="G57" s="7">
        <v>1</v>
      </c>
      <c r="H57" s="21" t="s">
        <v>579</v>
      </c>
      <c r="I57" s="13">
        <v>42820.442395833335</v>
      </c>
      <c r="J57" s="7">
        <v>0</v>
      </c>
      <c r="K57" s="98" t="str">
        <f t="shared" si="0"/>
        <v>4027/4028</v>
      </c>
      <c r="L57" s="21" t="str">
        <f>VLOOKUP(A57,'Trips&amp;Operators'!$C$1:$G$99999,5,FALSE)</f>
        <v>SHOOK JOHN</v>
      </c>
      <c r="M57" s="6">
        <f t="shared" si="1"/>
        <v>2.8333333335467614E-2</v>
      </c>
      <c r="N57" s="7">
        <f t="shared" si="21"/>
        <v>40.800000003073364</v>
      </c>
      <c r="O57" s="7"/>
      <c r="P57" s="7"/>
      <c r="Q57" s="22"/>
      <c r="R57" s="22"/>
      <c r="S57" s="31">
        <f t="shared" si="22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187" t="str">
        <f t="shared" si="6"/>
        <v>N</v>
      </c>
      <c r="X57" s="187">
        <f t="shared" si="23"/>
        <v>1</v>
      </c>
      <c r="Y57" s="62">
        <f t="shared" si="8"/>
        <v>23.299199999999999</v>
      </c>
      <c r="Z57" s="62">
        <f t="shared" si="9"/>
        <v>1.41E-2</v>
      </c>
      <c r="AA57" s="62">
        <f t="shared" si="10"/>
        <v>23.2851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0144-26</v>
      </c>
      <c r="AE57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57" s="82" t="str">
        <f t="shared" si="13"/>
        <v>"C:\Program Files (x86)\AstroGrep\AstroGrep.exe" /e /r /s /spath="%USERPROFILE%\AppData\Local\Temp\OnboardLogs" /stypes="app*4028*20170326*"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144-26 --locoid 4028 --swversion DE.1.0.9.0 --startMP 204:232992 --initTime 2017-03-26T09:38:47 --startdatetime 2017-03-26T09:56:15 --delay 1 --endMP 204:141 --enddatetime 2017-03-26T10:37:03 --enforcementcount 0 &gt;&gt;C:\Users\stu\Documents\GitHub\eaglep3-reporting\EC\2017-03-26-refined-times.txt</v>
      </c>
      <c r="AI5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{"issue":{"subject":"","project_id":79,"tracker_id":40,"status_id":1,"priority_id":2,"assigned_to_id":23,"start_date":"2017-03-26","description":"","custom_fields":[{"id":1,"name":"Subdivision","value":"EC"},{"id":4,"name":"Milepost","value":"0.0141"},{"id":17,"name":"Train ID","value":"144-26"},{"id":16,"name":"Locomotive ID","value":"4028"},{"id":130,"name":"Impact","value":""},{"id":150,"name":"Time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4028 --day 2017-03-26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694</v>
      </c>
      <c r="B58" s="7">
        <v>4025</v>
      </c>
      <c r="C58" s="21" t="s">
        <v>219</v>
      </c>
      <c r="D58" s="21" t="s">
        <v>442</v>
      </c>
      <c r="E58" s="13">
        <v>42820.38318287037</v>
      </c>
      <c r="F58" s="13">
        <v>42820.385648148149</v>
      </c>
      <c r="G58" s="7">
        <v>1</v>
      </c>
      <c r="H58" s="21" t="s">
        <v>582</v>
      </c>
      <c r="I58" s="13">
        <v>42820.410624999997</v>
      </c>
      <c r="J58" s="7">
        <v>0</v>
      </c>
      <c r="K58" s="98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2.4976851847895887E-2</v>
      </c>
      <c r="N58" s="7">
        <f t="shared" si="21"/>
        <v>35.966666660970077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-26T08:11:47-0600',mode:absolute,to:'2017-03-26T10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87" t="str">
        <f t="shared" si="6"/>
        <v>N</v>
      </c>
      <c r="X58" s="187">
        <f t="shared" si="23"/>
        <v>1</v>
      </c>
      <c r="Y58" s="62">
        <f t="shared" si="8"/>
        <v>4.4900000000000002E-2</v>
      </c>
      <c r="Z58" s="62">
        <f t="shared" si="9"/>
        <v>23.331199999999999</v>
      </c>
      <c r="AA58" s="62">
        <f t="shared" si="10"/>
        <v>23.286300000000001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0145-26</v>
      </c>
      <c r="AE58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58" s="82" t="str">
        <f t="shared" si="13"/>
        <v>"C:\Program Files (x86)\AstroGrep\AstroGrep.exe" /e /r /s /spath="%USERPROFILE%\AppData\Local\Temp\OnboardLogs" /stypes="app*4025*20170326*"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145-26 --locoid 4025 --swversion DE.1.0.9.0 --startMP 204:449 --initTime 2017-03-26T09:11:47 --startdatetime 2017-03-26T09:15:20 --delay 1 --endMP 204:233312 --enddatetime 2017-03-26T09:51:18 --enforcementcount 0 &gt;&gt;C:\Users\stu\Documents\GitHub\eaglep3-reporting\EC\2017-03-26-refined-times.txt</v>
      </c>
      <c r="AI5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{"issue":{"subject":"","project_id":79,"tracker_id":40,"status_id":1,"priority_id":2,"assigned_to_id":23,"start_date":"2017-03-26","description":"","custom_fields":[{"id":1,"name":"Subdivision","value":"EC"},{"id":4,"name":"Milepost","value":"23.3312"},{"id":17,"name":"Train ID","value":"145-26"},{"id":16,"name":"Locomotive ID","value":"4025"},{"id":130,"name":"Impact","value":""},{"id":150,"name":"Time of Event (Mountain Time)","value":"09:51:18"},{"id":151,"name":"Denver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4025 --day 2017-03-26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606</v>
      </c>
      <c r="B59" s="7">
        <v>4026</v>
      </c>
      <c r="C59" s="21" t="s">
        <v>219</v>
      </c>
      <c r="D59" s="21" t="s">
        <v>222</v>
      </c>
      <c r="E59" s="13">
        <v>42820.415266203701</v>
      </c>
      <c r="F59" s="13">
        <v>42820.424560185187</v>
      </c>
      <c r="G59" s="7">
        <v>0</v>
      </c>
      <c r="H59" s="21" t="s">
        <v>200</v>
      </c>
      <c r="I59" s="13">
        <v>42820.451504629629</v>
      </c>
      <c r="J59" s="7">
        <v>0</v>
      </c>
      <c r="K59" s="98" t="str">
        <f t="shared" si="0"/>
        <v>4025/4026</v>
      </c>
      <c r="L59" s="21" t="str">
        <f>VLOOKUP(A59,'Trips&amp;Operators'!$C$1:$G$99999,5,FALSE)</f>
        <v>MAELZER KURT</v>
      </c>
      <c r="M59" s="6">
        <f t="shared" si="1"/>
        <v>2.6944444442051463E-2</v>
      </c>
      <c r="N59" s="7">
        <f t="shared" si="21"/>
        <v>38.799999996554106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87" t="str">
        <f t="shared" si="6"/>
        <v>N</v>
      </c>
      <c r="X59" s="187">
        <f t="shared" si="23"/>
        <v>1</v>
      </c>
      <c r="Y59" s="62">
        <f t="shared" si="8"/>
        <v>23.3</v>
      </c>
      <c r="Z59" s="62">
        <f t="shared" si="9"/>
        <v>1.5800000000000002E-2</v>
      </c>
      <c r="AA59" s="62">
        <f t="shared" si="10"/>
        <v>23.284200000000002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0146-26</v>
      </c>
      <c r="AE59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59" s="82" t="str">
        <f t="shared" si="13"/>
        <v>"C:\Program Files (x86)\AstroGrep\AstroGrep.exe" /e /r /s /spath="%USERPROFILE%\AppData\Local\Temp\OnboardLogs" /stypes="app*4026*20170326*"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146-26 --locoid 4026 --swversion DE.1.0.9.0 --startMP 204:233000 --initTime 2017-03-26T09:57:59 --startdatetime 2017-03-26T10:11:22 --delay 0 --endMP 204:158 --enddatetime 2017-03-26T10:50:10 --enforcementcount 0 &gt;&gt;C:\Users\stu\Documents\GitHub\eaglep3-reporting\EC\2017-03-26-refined-times.txt</v>
      </c>
      <c r="AI5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ID","value":"146-26"},{"id":16,"name":"Locomotive ID","value":"4026"},{"id":130,"name":"Impact","value":""},{"id":150,"name":"Time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4026 --day 2017-03-26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696</v>
      </c>
      <c r="B60" s="7">
        <v>4031</v>
      </c>
      <c r="C60" s="21" t="s">
        <v>219</v>
      </c>
      <c r="D60" s="21" t="s">
        <v>221</v>
      </c>
      <c r="E60" s="13">
        <v>42820.392812500002</v>
      </c>
      <c r="F60" s="13">
        <v>42820.396458333336</v>
      </c>
      <c r="G60" s="7">
        <v>1</v>
      </c>
      <c r="H60" s="21" t="s">
        <v>538</v>
      </c>
      <c r="I60" s="13">
        <v>42820.422268518516</v>
      </c>
      <c r="J60" s="7">
        <v>0</v>
      </c>
      <c r="K60" s="98" t="str">
        <f t="shared" si="0"/>
        <v>4031/4032</v>
      </c>
      <c r="L60" s="21" t="str">
        <f>VLOOKUP(A60,'Trips&amp;Operators'!$C$1:$G$99999,5,FALSE)</f>
        <v>BADERTSCHER DIANE</v>
      </c>
      <c r="M60" s="6">
        <f t="shared" si="1"/>
        <v>2.5810185179580003E-2</v>
      </c>
      <c r="N60" s="7">
        <f t="shared" si="21"/>
        <v>37.166666658595204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-26T08:25:39-0600',mode:absolute,to:'2017-03-26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7" t="str">
        <f t="shared" si="6"/>
        <v>N</v>
      </c>
      <c r="X60" s="187">
        <f t="shared" si="23"/>
        <v>1</v>
      </c>
      <c r="Y60" s="62">
        <f t="shared" si="8"/>
        <v>4.6699999999999998E-2</v>
      </c>
      <c r="Z60" s="62">
        <f t="shared" si="9"/>
        <v>23.329899999999999</v>
      </c>
      <c r="AA60" s="62">
        <f t="shared" si="10"/>
        <v>23.283199999999997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0147-26</v>
      </c>
      <c r="AE60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60" s="82" t="str">
        <f t="shared" si="13"/>
        <v>"C:\Program Files (x86)\AstroGrep\AstroGrep.exe" /e /r /s /spath="%USERPROFILE%\AppData\Local\Temp\OnboardLogs" /stypes="app*4031*20170326*"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147-26 --locoid 4031 --swversion DE.1.0.9.0 --startMP 204:467 --initTime 2017-03-26T09:25:39 --startdatetime 2017-03-26T09:30:54 --delay 1 --endMP 204:233299 --enddatetime 2017-03-26T10:08:04 --enforcementcount 0 &gt;&gt;C:\Users\stu\Documents\GitHub\eaglep3-reporting\EC\2017-03-26-refined-times.txt</v>
      </c>
      <c r="AI6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{"issue":{"subject":"","project_id":79,"tracker_id":40,"status_id":1,"priority_id":2,"assigned_to_id":23,"start_date":"2017-03-26","description":"","custom_fields":[{"id":1,"name":"Subdivision","value":"EC"},{"id":4,"name":"Milepost","value":"23.3299"},{"id":17,"name":"Train ID","value":"147-26"},{"id":16,"name":"Locomotive ID","value":"4031"},{"id":130,"name":"Impact","value":""},{"id":150,"name":"Time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4031 --day 2017-03-26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604</v>
      </c>
      <c r="B61" s="7">
        <v>4032</v>
      </c>
      <c r="C61" s="21" t="s">
        <v>219</v>
      </c>
      <c r="D61" s="21" t="s">
        <v>530</v>
      </c>
      <c r="E61" s="13">
        <v>42820.428298611114</v>
      </c>
      <c r="F61" s="13">
        <v>42820.435034722221</v>
      </c>
      <c r="G61" s="7">
        <v>1</v>
      </c>
      <c r="H61" s="21" t="s">
        <v>214</v>
      </c>
      <c r="I61" s="13">
        <v>42820.463622685187</v>
      </c>
      <c r="J61" s="7">
        <v>0</v>
      </c>
      <c r="K61" s="98" t="str">
        <f t="shared" si="0"/>
        <v>4031/4032</v>
      </c>
      <c r="L61" s="21" t="str">
        <f>VLOOKUP(A61,'Trips&amp;Operators'!$C$1:$G$99999,5,FALSE)</f>
        <v>BADERTSCHER DIANE</v>
      </c>
      <c r="M61" s="6">
        <f t="shared" si="1"/>
        <v>2.8587962966412306E-2</v>
      </c>
      <c r="N61" s="7">
        <f t="shared" si="21"/>
        <v>41.16666667163372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7" t="str">
        <f t="shared" si="6"/>
        <v>N</v>
      </c>
      <c r="X61" s="187">
        <f t="shared" si="23"/>
        <v>1</v>
      </c>
      <c r="Y61" s="62">
        <f t="shared" si="8"/>
        <v>23.298200000000001</v>
      </c>
      <c r="Z61" s="62">
        <f t="shared" si="9"/>
        <v>1.5599999999999999E-2</v>
      </c>
      <c r="AA61" s="62">
        <f t="shared" si="10"/>
        <v>23.282600000000002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0148-26</v>
      </c>
      <c r="AE61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61" s="82" t="str">
        <f t="shared" si="13"/>
        <v>"C:\Program Files (x86)\AstroGrep\AstroGrep.exe" /e /r /s /spath="%USERPROFILE%\AppData\Local\Temp\OnboardLogs" /stypes="app*4032*20170326*"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148-26 --locoid 4032 --swversion DE.1.0.9.0 --startMP 204:232982 --initTime 2017-03-26T10:16:45 --startdatetime 2017-03-26T10:26:27 --delay 1 --endMP 204:156 --enddatetime 2017-03-26T11:07:37 --enforcementcount 0 &gt;&gt;C:\Users\stu\Documents\GitHub\eaglep3-reporting\EC\2017-03-26-refined-times.txt</v>
      </c>
      <c r="AI6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ID","value":"148-26"},{"id":16,"name":"Locomotive ID","value":"4032"},{"id":130,"name":"Impact","value":""},{"id":150,"name":"Time of Event (Mountain Time)","value":"11:07:37"},{"id":151,"name":"Denver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4032 --day 2017-03-26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697</v>
      </c>
      <c r="B62" s="7">
        <v>4046</v>
      </c>
      <c r="C62" s="21" t="s">
        <v>219</v>
      </c>
      <c r="D62" s="21" t="s">
        <v>850</v>
      </c>
      <c r="E62" s="13">
        <v>42820.402118055557</v>
      </c>
      <c r="F62" s="13">
        <v>42820.406435185185</v>
      </c>
      <c r="G62" s="7">
        <v>1</v>
      </c>
      <c r="H62" s="21" t="s">
        <v>839</v>
      </c>
      <c r="I62" s="13">
        <v>42820.433182870373</v>
      </c>
      <c r="J62" s="7">
        <v>0</v>
      </c>
      <c r="K62" s="98" t="str">
        <f t="shared" si="0"/>
        <v>4045/4046</v>
      </c>
      <c r="L62" s="21" t="str">
        <f>VLOOKUP(A62,'Trips&amp;Operators'!$C$1:$G$99999,5,FALSE)</f>
        <v>DAVIS WENDY</v>
      </c>
      <c r="M62" s="6">
        <f t="shared" si="1"/>
        <v>2.6747685187729076E-2</v>
      </c>
      <c r="N62" s="7">
        <f t="shared" si="21"/>
        <v>38.516666670329869</v>
      </c>
      <c r="O62" s="7"/>
      <c r="P62" s="7"/>
      <c r="Q62" s="22"/>
      <c r="R62" s="22"/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-26T08:39:03-0600',mode:absolute,to:'2017-03-26T11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2" s="187" t="str">
        <f t="shared" si="6"/>
        <v>N</v>
      </c>
      <c r="X62" s="187">
        <f t="shared" si="23"/>
        <v>1</v>
      </c>
      <c r="Y62" s="62">
        <f t="shared" si="8"/>
        <v>4.7699999999999999E-2</v>
      </c>
      <c r="Z62" s="62">
        <f t="shared" si="9"/>
        <v>23.3323</v>
      </c>
      <c r="AA62" s="62">
        <f t="shared" si="10"/>
        <v>23.284600000000001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0149-26</v>
      </c>
      <c r="AE62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62" s="82" t="str">
        <f t="shared" si="13"/>
        <v>"C:\Program Files (x86)\AstroGrep\AstroGrep.exe" /e /r /s /spath="%USERPROFILE%\AppData\Local\Temp\OnboardLogs" /stypes="app*4046*20170326*"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149-26 --locoid 4046 --swversion DE.1.0.9.0 --startMP 204:477 --initTime 2017-03-26T09:39:03 --startdatetime 2017-03-26T09:45:16 --delay 1 --endMP 204:233323 --enddatetime 2017-03-26T10:23:47 --enforcementcount 0 &gt;&gt;C:\Users\stu\Documents\GitHub\eaglep3-reporting\EC\2017-03-26-refined-times.txt</v>
      </c>
      <c r="AI62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{"issue":{"subject":"","project_id":79,"tracker_id":40,"status_id":1,"priority_id":2,"assigned_to_id":23,"start_date":"2017-03-26","description":"","custom_fields":[{"id":1,"name":"Subdivision","value":"EC"},{"id":4,"name":"Milepost","value":"23.3323"},{"id":17,"name":"Train ID","value":"149-26"},{"id":16,"name":"Locomotive ID","value":"4046"},{"id":130,"name":"Impact","value":""},{"id":150,"name":"Time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4046 --day 2017-03-26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705</v>
      </c>
      <c r="B63" s="7">
        <v>4045</v>
      </c>
      <c r="C63" s="21" t="s">
        <v>219</v>
      </c>
      <c r="D63" s="21" t="s">
        <v>828</v>
      </c>
      <c r="E63" s="13">
        <v>42820.444166666668</v>
      </c>
      <c r="F63" s="13">
        <v>42820.445381944446</v>
      </c>
      <c r="G63" s="7">
        <v>1</v>
      </c>
      <c r="H63" s="21" t="s">
        <v>205</v>
      </c>
      <c r="I63" s="13">
        <v>42820.473449074074</v>
      </c>
      <c r="J63" s="7">
        <v>0</v>
      </c>
      <c r="K63" s="98" t="str">
        <f t="shared" si="0"/>
        <v>4045/4046</v>
      </c>
      <c r="L63" s="21" t="str">
        <f>VLOOKUP(A63,'Trips&amp;Operators'!$C$1:$G$99999,5,FALSE)</f>
        <v>DAVIS WENDY</v>
      </c>
      <c r="M63" s="6">
        <f t="shared" si="1"/>
        <v>2.806712962774327E-2</v>
      </c>
      <c r="N63" s="7">
        <f t="shared" si="21"/>
        <v>40.416666663950309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-26T09:39:36-0600',mode:absolute,to:'2017-03-26T12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3" s="187" t="str">
        <f t="shared" si="6"/>
        <v>N</v>
      </c>
      <c r="X63" s="187">
        <f t="shared" si="23"/>
        <v>1</v>
      </c>
      <c r="Y63" s="62">
        <f t="shared" si="8"/>
        <v>23.299099999999999</v>
      </c>
      <c r="Z63" s="62">
        <f t="shared" si="9"/>
        <v>1.54E-2</v>
      </c>
      <c r="AA63" s="62">
        <f t="shared" si="10"/>
        <v>23.2837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0150-26</v>
      </c>
      <c r="AE63" s="85" t="str">
        <f t="shared" si="12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63" s="82" t="str">
        <f t="shared" si="13"/>
        <v>"C:\Program Files (x86)\AstroGrep\AstroGrep.exe" /e /r /s /spath="%USERPROFILE%\AppData\Local\Temp\OnboardLogs" /stypes="app*4045*20170326*"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150-26 --locoid 4045 --swversion DE.1.0.9.0 --startMP 204:232991 --initTime 2017-03-26T10:39:36 --startdatetime 2017-03-26T10:41:21 --delay 1 --endMP 204:154 --enddatetime 2017-03-26T11:21:46 --enforcementcount 0 &gt;&gt;C:\Users\stu\Documents\GitHub\eaglep3-reporting\EC\2017-03-26-refined-times.txt</v>
      </c>
      <c r="AI6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ID","value":"150-26"},{"id":16,"name":"Locomotive ID","value":"4045"},{"id":130,"name":"Impact","value":""},{"id":150,"name":"Time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4045 --day 2017-03-26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602</v>
      </c>
      <c r="B64" s="7">
        <v>4018</v>
      </c>
      <c r="C64" s="21" t="s">
        <v>219</v>
      </c>
      <c r="D64" s="21" t="s">
        <v>468</v>
      </c>
      <c r="E64" s="13">
        <v>42820.410636574074</v>
      </c>
      <c r="F64" s="13">
        <v>42820.416828703703</v>
      </c>
      <c r="G64" s="7">
        <v>1</v>
      </c>
      <c r="H64" s="21" t="s">
        <v>494</v>
      </c>
      <c r="I64" s="13">
        <v>42820.442499999997</v>
      </c>
      <c r="J64" s="7">
        <v>0</v>
      </c>
      <c r="K64" s="98" t="str">
        <f t="shared" si="0"/>
        <v>4017/4018</v>
      </c>
      <c r="L64" s="21" t="str">
        <f>VLOOKUP(A64,'Trips&amp;Operators'!$C$1:$G$99999,5,FALSE)</f>
        <v>ROBINSON KADDIBA</v>
      </c>
      <c r="M64" s="6">
        <f t="shared" si="1"/>
        <v>2.5671296294603962E-2</v>
      </c>
      <c r="N64" s="7">
        <f t="shared" si="21"/>
        <v>36.966666664229706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87" t="str">
        <f t="shared" si="6"/>
        <v>N</v>
      </c>
      <c r="X64" s="187">
        <f t="shared" si="23"/>
        <v>1</v>
      </c>
      <c r="Y64" s="62">
        <f t="shared" si="8"/>
        <v>4.6399999999999997E-2</v>
      </c>
      <c r="Z64" s="62">
        <f t="shared" si="9"/>
        <v>23.3291</v>
      </c>
      <c r="AA64" s="62">
        <f t="shared" si="10"/>
        <v>23.282700000000002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11"/>
        <v>0151-26</v>
      </c>
      <c r="AE64" s="85" t="str">
        <f t="shared" si="12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64" s="82" t="str">
        <f t="shared" si="13"/>
        <v>"C:\Program Files (x86)\AstroGrep\AstroGrep.exe" /e /r /s /spath="%USERPROFILE%\AppData\Local\Temp\OnboardLogs" /stypes="app*4018*20170326*"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151-26 --locoid 4018 --swversion DE.1.0.9.0 --startMP 204:464 --initTime 2017-03-26T09:51:19 --startdatetime 2017-03-26T10:00:14 --delay 1 --endMP 204:233291 --enddatetime 2017-03-26T10:37:12 --enforcementcount 0 &gt;&gt;C:\Users\stu\Documents\GitHub\eaglep3-reporting\EC\2017-03-26-refined-times.txt</v>
      </c>
      <c r="AI6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ID","value":"151-26"},{"id":16,"name":"Locomotive ID","value":"4018"},{"id":130,"name":"Impact","value":""},{"id":150,"name":"Time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4018 --day 2017-03-26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706</v>
      </c>
      <c r="B65" s="7">
        <v>4017</v>
      </c>
      <c r="C65" s="21" t="s">
        <v>219</v>
      </c>
      <c r="D65" s="21" t="s">
        <v>577</v>
      </c>
      <c r="E65" s="13">
        <v>42820.450115740743</v>
      </c>
      <c r="F65" s="13">
        <v>42820.45579861111</v>
      </c>
      <c r="G65" s="7">
        <v>1</v>
      </c>
      <c r="H65" s="21" t="s">
        <v>200</v>
      </c>
      <c r="I65" s="13">
        <v>42820.483206018522</v>
      </c>
      <c r="J65" s="7">
        <v>0</v>
      </c>
      <c r="K65" s="98" t="str">
        <f t="shared" si="0"/>
        <v>4017/4018</v>
      </c>
      <c r="L65" s="21" t="str">
        <f>VLOOKUP(A65,'Trips&amp;Operators'!$C$1:$G$99999,5,FALSE)</f>
        <v>ROBINSON KADDIBA</v>
      </c>
      <c r="M65" s="6">
        <f t="shared" si="1"/>
        <v>2.7407407411374152E-2</v>
      </c>
      <c r="N65" s="7">
        <f t="shared" si="21"/>
        <v>39.466666672378778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-26T09:48:10-0600',mode:absolute,to:'2017-03-26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87" t="str">
        <f t="shared" si="6"/>
        <v>N</v>
      </c>
      <c r="X65" s="187">
        <f t="shared" si="23"/>
        <v>1</v>
      </c>
      <c r="Y65" s="62">
        <f t="shared" si="8"/>
        <v>23.2971</v>
      </c>
      <c r="Z65" s="62">
        <f t="shared" si="9"/>
        <v>1.5800000000000002E-2</v>
      </c>
      <c r="AA65" s="62">
        <f t="shared" si="10"/>
        <v>23.281300000000002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0152-26</v>
      </c>
      <c r="AE65" s="85" t="str">
        <f t="shared" si="12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65" s="82" t="str">
        <f t="shared" si="13"/>
        <v>"C:\Program Files (x86)\AstroGrep\AstroGrep.exe" /e /r /s /spath="%USERPROFILE%\AppData\Local\Temp\OnboardLogs" /stypes="app*4017*20170326*"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152-26 --locoid 4017 --swversion DE.1.0.9.0 --startMP 204:232971 --initTime 2017-03-26T10:48:10 --startdatetime 2017-03-26T10:56:21 --delay 1 --endMP 204:158 --enddatetime 2017-03-26T11:35:49 --enforcementcount 0 &gt;&gt;C:\Users\stu\Documents\GitHub\eaglep3-reporting\EC\2017-03-26-refined-times.txt</v>
      </c>
      <c r="AI6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ID","value":"152-26"},{"id":16,"name":"Locomotive ID","value":"4017"},{"id":130,"name":"Impact","value":""},{"id":150,"name":"Time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4017 --day 2017-03-26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605</v>
      </c>
      <c r="B66" s="7">
        <v>4002</v>
      </c>
      <c r="C66" s="21" t="s">
        <v>219</v>
      </c>
      <c r="D66" s="21" t="s">
        <v>213</v>
      </c>
      <c r="E66" s="13">
        <v>42820.422256944446</v>
      </c>
      <c r="F66" s="13">
        <v>42820.427245370367</v>
      </c>
      <c r="G66" s="7">
        <v>1</v>
      </c>
      <c r="H66" s="21" t="s">
        <v>829</v>
      </c>
      <c r="I66" s="13">
        <v>42820.452615740738</v>
      </c>
      <c r="J66" s="7">
        <v>0</v>
      </c>
      <c r="K66" s="98" t="str">
        <f t="shared" si="0"/>
        <v>4001/4002</v>
      </c>
      <c r="L66" s="21" t="str">
        <f>VLOOKUP(A66,'Trips&amp;Operators'!$C$1:$G$99999,5,FALSE)</f>
        <v>GEBRETEKLE DAGNEW</v>
      </c>
      <c r="M66" s="6">
        <f t="shared" si="1"/>
        <v>2.5370370371092577E-2</v>
      </c>
      <c r="N66" s="7">
        <f t="shared" si="21"/>
        <v>36.53333333437331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-26T09:08:03-0600',mode:absolute,to:'2017-03-26T11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87" t="str">
        <f t="shared" si="6"/>
        <v>N</v>
      </c>
      <c r="X66" s="187">
        <f t="shared" si="23"/>
        <v>1</v>
      </c>
      <c r="Y66" s="62">
        <f t="shared" si="8"/>
        <v>4.5499999999999999E-2</v>
      </c>
      <c r="Z66" s="62">
        <f t="shared" si="9"/>
        <v>23.331499999999998</v>
      </c>
      <c r="AA66" s="62">
        <f t="shared" si="10"/>
        <v>23.285999999999998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0153-26</v>
      </c>
      <c r="AE66" s="85" t="str">
        <f t="shared" si="12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66" s="82" t="str">
        <f t="shared" si="13"/>
        <v>"C:\Program Files (x86)\AstroGrep\AstroGrep.exe" /e /r /s /spath="%USERPROFILE%\AppData\Local\Temp\OnboardLogs" /stypes="app*4002*20170326*"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153-26 --locoid 4002 --swversion DE.1.0.9.0 --startMP 204:455 --initTime 2017-03-26T10:08:03 --startdatetime 2017-03-26T10:15:14 --delay 1 --endMP 204:233315 --enddatetime 2017-03-26T10:51:46 --enforcementcount 0 &gt;&gt;C:\Users\stu\Documents\GitHub\eaglep3-reporting\EC\2017-03-26-refined-times.txt</v>
      </c>
      <c r="AI6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ID","value":"153-26"},{"id":16,"name":"Locomotive ID","value":"4002"},{"id":130,"name":"Impact","value":""},{"id":150,"name":"Time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4002 --day 2017-03-26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709</v>
      </c>
      <c r="B67" s="7">
        <v>4001</v>
      </c>
      <c r="C67" s="21" t="s">
        <v>219</v>
      </c>
      <c r="D67" s="21" t="s">
        <v>851</v>
      </c>
      <c r="E67" s="13">
        <v>42820.462824074071</v>
      </c>
      <c r="F67" s="13">
        <v>42820.466157407405</v>
      </c>
      <c r="G67" s="7">
        <v>1</v>
      </c>
      <c r="H67" s="21" t="s">
        <v>205</v>
      </c>
      <c r="I67" s="13">
        <v>42820.492650462962</v>
      </c>
      <c r="J67" s="7">
        <v>0</v>
      </c>
      <c r="K67" s="98" t="str">
        <f t="shared" si="0"/>
        <v>4001/4002</v>
      </c>
      <c r="L67" s="21" t="str">
        <f>VLOOKUP(A67,'Trips&amp;Operators'!$C$1:$G$99999,5,FALSE)</f>
        <v>GEBRETEKLE DAGNEW</v>
      </c>
      <c r="M67" s="6">
        <f t="shared" si="1"/>
        <v>2.6493055556784384E-2</v>
      </c>
      <c r="N67" s="7">
        <f t="shared" si="21"/>
        <v>38.150000001769513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-26T10:06:28-0600',mode:absolute,to:'2017-03-26T12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87" t="str">
        <f t="shared" si="6"/>
        <v>N</v>
      </c>
      <c r="X67" s="187">
        <f t="shared" si="23"/>
        <v>1</v>
      </c>
      <c r="Y67" s="62">
        <f t="shared" si="8"/>
        <v>23.300999999999998</v>
      </c>
      <c r="Z67" s="62">
        <f t="shared" si="9"/>
        <v>1.54E-2</v>
      </c>
      <c r="AA67" s="62">
        <f t="shared" si="10"/>
        <v>23.285599999999999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0154-26</v>
      </c>
      <c r="AE67" s="85" t="str">
        <f t="shared" si="12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67" s="82" t="str">
        <f t="shared" si="13"/>
        <v>"C:\Program Files (x86)\AstroGrep\AstroGrep.exe" /e /r /s /spath="%USERPROFILE%\AppData\Local\Temp\OnboardLogs" /stypes="app*4001*20170326*"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154-26 --locoid 4001 --swversion DE.1.0.9.0 --startMP 204:233010 --initTime 2017-03-26T11:06:28 --startdatetime 2017-03-26T11:11:16 --delay 1 --endMP 204:154 --enddatetime 2017-03-26T11:49:25 --enforcementcount 0 &gt;&gt;C:\Users\stu\Documents\GitHub\eaglep3-reporting\EC\2017-03-26-refined-times.txt</v>
      </c>
      <c r="AI6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ID","value":"154-26"},{"id":16,"name":"Locomotive ID","value":"4001"},{"id":130,"name":"Impact","value":""},{"id":150,"name":"Time of Event (Mountain Time)","value":"11:49:25"},{"id":151,"name":"Denver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4001 --day 2017-03-26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700</v>
      </c>
      <c r="B68" s="7">
        <v>4003</v>
      </c>
      <c r="C68" s="21" t="s">
        <v>219</v>
      </c>
      <c r="D68" s="21" t="s">
        <v>543</v>
      </c>
      <c r="E68" s="13">
        <v>42820.435219907406</v>
      </c>
      <c r="F68" s="13">
        <v>42820.437650462962</v>
      </c>
      <c r="G68" s="7">
        <v>1</v>
      </c>
      <c r="H68" s="21" t="s">
        <v>852</v>
      </c>
      <c r="I68" s="13">
        <v>42820.462326388886</v>
      </c>
      <c r="J68" s="7">
        <v>0</v>
      </c>
      <c r="K68" s="98" t="str">
        <f t="shared" si="0"/>
        <v>4003/4004</v>
      </c>
      <c r="L68" s="21" t="str">
        <f>VLOOKUP(A68,'Trips&amp;Operators'!$C$1:$G$99999,5,FALSE)</f>
        <v>ROMERO CHAD</v>
      </c>
      <c r="M68" s="6">
        <f t="shared" si="1"/>
        <v>2.4675925924384501E-2</v>
      </c>
      <c r="N68" s="7">
        <f t="shared" si="21"/>
        <v>35.533333331113681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-26T09:26:43-0600',mode:absolute,to:'2017-03-26T12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87" t="str">
        <f t="shared" si="6"/>
        <v>N</v>
      </c>
      <c r="X68" s="187">
        <f t="shared" si="23"/>
        <v>1</v>
      </c>
      <c r="Y68" s="62">
        <f t="shared" si="8"/>
        <v>4.58E-2</v>
      </c>
      <c r="Z68" s="62">
        <f t="shared" si="9"/>
        <v>23.337199999999999</v>
      </c>
      <c r="AA68" s="62">
        <f t="shared" si="10"/>
        <v>23.291399999999999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0155-26</v>
      </c>
      <c r="AE68" s="85" t="str">
        <f t="shared" si="12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68" s="82" t="str">
        <f t="shared" si="13"/>
        <v>"C:\Program Files (x86)\AstroGrep\AstroGrep.exe" /e /r /s /spath="%USERPROFILE%\AppData\Local\Temp\OnboardLogs" /stypes="app*4003*20170326*"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155-26 --locoid 4003 --swversion DE.1.0.9.0 --startMP 204:458 --initTime 2017-03-26T10:26:43 --startdatetime 2017-03-26T10:30:13 --delay 1 --endMP 204:233372 --enddatetime 2017-03-26T11:05:45 --enforcementcount 0 &gt;&gt;C:\Users\stu\Documents\GitHub\eaglep3-reporting\EC\2017-03-26-refined-times.txt</v>
      </c>
      <c r="AI68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{"issue":{"subject":"","project_id":79,"tracker_id":40,"status_id":1,"priority_id":2,"assigned_to_id":23,"start_date":"2017-03-26","description":"","custom_fields":[{"id":1,"name":"Subdivision","value":"EC"},{"id":4,"name":"Milepost","value":"23.3372"},{"id":17,"name":"Train ID","value":"155-26"},{"id":16,"name":"Locomotive ID","value":"4003"},{"id":130,"name":"Impact","value":""},{"id":150,"name":"Time of Event (Mountain Time)","value":"11:05:45"},{"id":151,"name":"Denver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4003 --day 2017-03-26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710</v>
      </c>
      <c r="B69" s="7">
        <v>4004</v>
      </c>
      <c r="C69" s="21" t="s">
        <v>219</v>
      </c>
      <c r="D69" s="21" t="s">
        <v>853</v>
      </c>
      <c r="E69" s="13">
        <v>42820.463923611111</v>
      </c>
      <c r="F69" s="13">
        <v>42820.476574074077</v>
      </c>
      <c r="G69" s="7">
        <v>3</v>
      </c>
      <c r="H69" s="21" t="s">
        <v>854</v>
      </c>
      <c r="I69" s="13">
        <v>42820.502997685187</v>
      </c>
      <c r="J69" s="7">
        <v>0</v>
      </c>
      <c r="K69" s="98" t="str">
        <f t="shared" si="0"/>
        <v>4003/4004</v>
      </c>
      <c r="L69" s="21" t="str">
        <f>VLOOKUP(A69,'Trips&amp;Operators'!$C$1:$G$99999,5,FALSE)</f>
        <v>ROMERO CHAD</v>
      </c>
      <c r="M69" s="6">
        <f t="shared" si="1"/>
        <v>2.6423611110658385E-2</v>
      </c>
      <c r="N69" s="7">
        <f t="shared" si="21"/>
        <v>38.049999999348074</v>
      </c>
      <c r="O69" s="7"/>
      <c r="P69" s="7"/>
      <c r="Q69" s="22"/>
      <c r="R69" s="22"/>
      <c r="S69" s="31">
        <f t="shared" si="22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-26T10:08:03-0600',mode:absolute,to:'2017-03-26T13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87" t="str">
        <f t="shared" si="6"/>
        <v>N</v>
      </c>
      <c r="X69" s="187">
        <f t="shared" si="23"/>
        <v>1</v>
      </c>
      <c r="Y69" s="62">
        <f t="shared" si="8"/>
        <v>23.307099999999998</v>
      </c>
      <c r="Z69" s="62">
        <f t="shared" si="9"/>
        <v>1.2699999999999999E-2</v>
      </c>
      <c r="AA69" s="62">
        <f t="shared" si="10"/>
        <v>23.2944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0156-26</v>
      </c>
      <c r="AE69" s="85" t="str">
        <f t="shared" si="12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69" s="82" t="str">
        <f t="shared" si="13"/>
        <v>"C:\Program Files (x86)\AstroGrep\AstroGrep.exe" /e /r /s /spath="%USERPROFILE%\AppData\Local\Temp\OnboardLogs" /stypes="app*4004*20170326*"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156-26 --locoid 4004 --swversion DE.1.0.9.0 --startMP 204:233071 --initTime 2017-03-26T11:08:03 --startdatetime 2017-03-26T11:26:16 --delay 3 --endMP 204:127 --enddatetime 2017-03-26T12:04:19 --enforcementcount 0 &gt;&gt;C:\Users\stu\Documents\GitHub\eaglep3-reporting\EC\2017-03-26-refined-times.txt</v>
      </c>
      <c r="AI69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{"issue":{"subject":"","project_id":79,"tracker_id":40,"status_id":1,"priority_id":2,"assigned_to_id":23,"start_date":"2017-03-26","description":"","custom_fields":[{"id":1,"name":"Subdivision","value":"EC"},{"id":4,"name":"Milepost","value":"0.0127"},{"id":17,"name":"Train ID","value":"156-26"},{"id":16,"name":"Locomotive ID","value":"4004"},{"id":130,"name":"Impact","value":""},{"id":150,"name":"Time of Event (Mountain Time)","value":"12:04:19"},{"id":151,"name":"Denver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4004 --day 2017-03-26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704</v>
      </c>
      <c r="B70" s="7">
        <v>4027</v>
      </c>
      <c r="C70" s="21" t="s">
        <v>219</v>
      </c>
      <c r="D70" s="21" t="s">
        <v>573</v>
      </c>
      <c r="E70" s="13">
        <v>42820.444016203706</v>
      </c>
      <c r="F70" s="13">
        <v>42820.448101851849</v>
      </c>
      <c r="G70" s="7">
        <v>1</v>
      </c>
      <c r="H70" s="21" t="s">
        <v>855</v>
      </c>
      <c r="I70" s="13">
        <v>42820.473796296297</v>
      </c>
      <c r="J70" s="7">
        <v>0</v>
      </c>
      <c r="K70" s="98" t="str">
        <f t="shared" si="0"/>
        <v>4027/4028</v>
      </c>
      <c r="L70" s="21" t="str">
        <f>VLOOKUP(A70,'Trips&amp;Operators'!$C$1:$G$99999,5,FALSE)</f>
        <v>SHOOK JOHN</v>
      </c>
      <c r="M70" s="6">
        <f t="shared" si="1"/>
        <v>2.5694444448163267E-2</v>
      </c>
      <c r="N70" s="7">
        <f t="shared" si="21"/>
        <v>37.000000005355105</v>
      </c>
      <c r="O70" s="7"/>
      <c r="P70" s="7"/>
      <c r="Q70" s="22"/>
      <c r="R70" s="22"/>
      <c r="S70" s="31">
        <f t="shared" si="22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-26T09:39:23-0600',mode:absolute,to:'2017-03-26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187" t="str">
        <f t="shared" si="6"/>
        <v>N</v>
      </c>
      <c r="X70" s="187">
        <f t="shared" si="23"/>
        <v>1</v>
      </c>
      <c r="Y70" s="62">
        <f t="shared" si="8"/>
        <v>4.4400000000000002E-2</v>
      </c>
      <c r="Z70" s="62">
        <f t="shared" si="9"/>
        <v>23.334399999999999</v>
      </c>
      <c r="AA70" s="62">
        <f t="shared" si="10"/>
        <v>23.29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0157-26</v>
      </c>
      <c r="AE70" s="85" t="str">
        <f t="shared" si="12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70" s="82" t="str">
        <f t="shared" si="13"/>
        <v>"C:\Program Files (x86)\AstroGrep\AstroGrep.exe" /e /r /s /spath="%USERPROFILE%\AppData\Local\Temp\OnboardLogs" /stypes="app*4027*20170326*"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157-26 --locoid 4027 --swversion DE.1.0.9.0 --startMP 204:444 --initTime 2017-03-26T10:39:23 --startdatetime 2017-03-26T10:45:16 --delay 1 --endMP 204:233344 --enddatetime 2017-03-26T11:22:16 --enforcementcount 0 &gt;&gt;C:\Users\stu\Documents\GitHub\eaglep3-reporting\EC\2017-03-26-refined-times.txt</v>
      </c>
      <c r="AI70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{"issue":{"subject":"","project_id":79,"tracker_id":40,"status_id":1,"priority_id":2,"assigned_to_id":23,"start_date":"2017-03-26","description":"","custom_fields":[{"id":1,"name":"Subdivision","value":"EC"},{"id":4,"name":"Milepost","value":"23.3344"},{"id":17,"name":"Train ID","value":"157-26"},{"id":16,"name":"Locomotive ID","value":"4027"},{"id":130,"name":"Impact","value":""},{"id":150,"name":"Time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4027 --day 2017-03-26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609</v>
      </c>
      <c r="B71" s="7">
        <v>4028</v>
      </c>
      <c r="C71" s="21" t="s">
        <v>219</v>
      </c>
      <c r="D71" s="21" t="s">
        <v>856</v>
      </c>
      <c r="E71" s="13">
        <v>42820.475289351853</v>
      </c>
      <c r="F71" s="13">
        <v>42820.486979166664</v>
      </c>
      <c r="G71" s="7">
        <v>0</v>
      </c>
      <c r="H71" s="21" t="s">
        <v>533</v>
      </c>
      <c r="I71" s="13">
        <v>42820.514780092592</v>
      </c>
      <c r="J71" s="7">
        <v>0</v>
      </c>
      <c r="K71" s="98" t="str">
        <f t="shared" si="0"/>
        <v>4027/4028</v>
      </c>
      <c r="L71" s="21" t="str">
        <f>VLOOKUP(A71,'Trips&amp;Operators'!$C$1:$G$99999,5,FALSE)</f>
        <v>SHOOK JOHN</v>
      </c>
      <c r="M71" s="6">
        <f t="shared" si="1"/>
        <v>2.7800925927294884E-2</v>
      </c>
      <c r="N71" s="7">
        <f t="shared" si="21"/>
        <v>40.033333335304633</v>
      </c>
      <c r="O71" s="7"/>
      <c r="P71" s="7"/>
      <c r="Q71" s="22"/>
      <c r="R71" s="22"/>
      <c r="S71" s="31">
        <f t="shared" si="22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-26T10:24:25-0600',mode:absolute,to:'2017-03-26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187" t="str">
        <f t="shared" si="6"/>
        <v>N</v>
      </c>
      <c r="X71" s="187">
        <f t="shared" si="23"/>
        <v>1</v>
      </c>
      <c r="Y71" s="62">
        <f t="shared" si="8"/>
        <v>23.302299999999999</v>
      </c>
      <c r="Z71" s="62">
        <f t="shared" si="9"/>
        <v>1.3899999999999999E-2</v>
      </c>
      <c r="AA71" s="62">
        <f t="shared" si="10"/>
        <v>23.288399999999999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0158-26</v>
      </c>
      <c r="AE71" s="85" t="str">
        <f t="shared" si="12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71" s="82" t="str">
        <f t="shared" si="13"/>
        <v>"C:\Program Files (x86)\AstroGrep\AstroGrep.exe" /e /r /s /spath="%USERPROFILE%\AppData\Local\Temp\OnboardLogs" /stypes="app*4028*20170326*"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158-26 --locoid 4028 --swversion DE.1.0.9.0 --startMP 204:233023 --initTime 2017-03-26T11:24:25 --startdatetime 2017-03-26T11:41:15 --delay 0 --endMP 204:139 --enddatetime 2017-03-26T12:21:17 --enforcementcount 0 &gt;&gt;C:\Users\stu\Documents\GitHub\eaglep3-reporting\EC\2017-03-26-refined-times.txt</v>
      </c>
      <c r="AI71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ID","value":"158-26"},{"id":16,"name":"Locomotive ID","value":"4028"},{"id":130,"name":"Impact","value":""},{"id":150,"name":"Time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4028 --day 2017-03-26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607</v>
      </c>
      <c r="B72" s="7">
        <v>4025</v>
      </c>
      <c r="C72" s="21" t="s">
        <v>219</v>
      </c>
      <c r="D72" s="21" t="s">
        <v>221</v>
      </c>
      <c r="E72" s="13">
        <v>42820.453692129631</v>
      </c>
      <c r="F72" s="13">
        <v>42820.458634259259</v>
      </c>
      <c r="G72" s="7">
        <v>2</v>
      </c>
      <c r="H72" s="21" t="s">
        <v>857</v>
      </c>
      <c r="I72" s="13">
        <v>42820.484467592592</v>
      </c>
      <c r="J72" s="7">
        <v>0</v>
      </c>
      <c r="K72" s="98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2.5833333333139308E-2</v>
      </c>
      <c r="N72" s="7">
        <f t="shared" si="21"/>
        <v>37.199999999720603</v>
      </c>
      <c r="O72" s="7"/>
      <c r="P72" s="7"/>
      <c r="Q72" s="22"/>
      <c r="R72" s="22"/>
      <c r="S72" s="31">
        <f t="shared" si="22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-26T09:53:19-0600',mode:absolute,to:'2017-03-26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87" t="str">
        <f t="shared" si="6"/>
        <v>N</v>
      </c>
      <c r="X72" s="187">
        <f t="shared" si="23"/>
        <v>1</v>
      </c>
      <c r="Y72" s="62">
        <f t="shared" si="8"/>
        <v>4.6699999999999998E-2</v>
      </c>
      <c r="Z72" s="62">
        <f t="shared" si="9"/>
        <v>23.334099999999999</v>
      </c>
      <c r="AA72" s="62">
        <f t="shared" si="10"/>
        <v>23.287399999999998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0159-26</v>
      </c>
      <c r="AE72" s="85" t="str">
        <f t="shared" si="12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72" s="82" t="str">
        <f t="shared" si="13"/>
        <v>"C:\Program Files (x86)\AstroGrep\AstroGrep.exe" /e /r /s /spath="%USERPROFILE%\AppData\Local\Temp\OnboardLogs" /stypes="app*4025*20170326*"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159-26 --locoid 4025 --swversion DE.1.0.9.0 --startMP 204:467 --initTime 2017-03-26T10:53:19 --startdatetime 2017-03-26T11:00:26 --delay 2 --endMP 204:233341 --enddatetime 2017-03-26T11:37:38 --enforcementcount 0 &gt;&gt;C:\Users\stu\Documents\GitHub\eaglep3-reporting\EC\2017-03-26-refined-times.txt</v>
      </c>
      <c r="AI72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{"issue":{"subject":"","project_id":79,"tracker_id":40,"status_id":1,"priority_id":2,"assigned_to_id":23,"start_date":"2017-03-26","description":"","custom_fields":[{"id":1,"name":"Subdivision","value":"EC"},{"id":4,"name":"Milepost","value":"23.3341"},{"id":17,"name":"Train ID","value":"159-26"},{"id":16,"name":"Locomotive ID","value":"4025"},{"id":130,"name":"Impact","value":""},{"id":150,"name":"Time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4025 --day 2017-03-26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717</v>
      </c>
      <c r="B73" s="7">
        <v>4026</v>
      </c>
      <c r="C73" s="21" t="s">
        <v>219</v>
      </c>
      <c r="D73" s="21" t="s">
        <v>858</v>
      </c>
      <c r="E73" s="13">
        <v>42820.494120370371</v>
      </c>
      <c r="F73" s="13">
        <v>42820.497430555559</v>
      </c>
      <c r="G73" s="7">
        <v>2</v>
      </c>
      <c r="H73" s="21" t="s">
        <v>200</v>
      </c>
      <c r="I73" s="13">
        <v>42820.524363425924</v>
      </c>
      <c r="J73" s="7">
        <v>0</v>
      </c>
      <c r="K73" s="98" t="str">
        <f t="shared" si="0"/>
        <v>4025/4026</v>
      </c>
      <c r="L73" s="21" t="str">
        <f>VLOOKUP(A73,'Trips&amp;Operators'!$C$1:$G$99999,5,FALSE)</f>
        <v>STEWART MICHAEL</v>
      </c>
      <c r="M73" s="6">
        <f t="shared" si="1"/>
        <v>2.693287036527181E-2</v>
      </c>
      <c r="N73" s="7">
        <f t="shared" si="21"/>
        <v>38.783333325991407</v>
      </c>
      <c r="O73" s="7"/>
      <c r="P73" s="7"/>
      <c r="Q73" s="22"/>
      <c r="R73" s="22"/>
      <c r="S73" s="31">
        <f t="shared" si="22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-26T10:51:32-0600',mode:absolute,to:'2017-03-26T13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187" t="str">
        <f t="shared" si="6"/>
        <v>N</v>
      </c>
      <c r="X73" s="187">
        <f t="shared" si="23"/>
        <v>1</v>
      </c>
      <c r="Y73" s="62">
        <f t="shared" si="8"/>
        <v>23.3003</v>
      </c>
      <c r="Z73" s="62">
        <f t="shared" si="9"/>
        <v>1.5800000000000002E-2</v>
      </c>
      <c r="AA73" s="62">
        <f t="shared" si="10"/>
        <v>23.284500000000001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0160-26</v>
      </c>
      <c r="AE73" s="85" t="str">
        <f t="shared" si="12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73" s="82" t="str">
        <f t="shared" si="13"/>
        <v>"C:\Program Files (x86)\AstroGrep\AstroGrep.exe" /e /r /s /spath="%USERPROFILE%\AppData\Local\Temp\OnboardLogs" /stypes="app*4026*20170326*"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160-26 --locoid 4026 --swversion DE.1.0.9.0 --startMP 204:233003 --initTime 2017-03-26T11:51:32 --startdatetime 2017-03-26T11:56:18 --delay 2 --endMP 204:158 --enddatetime 2017-03-26T12:35:05 --enforcementcount 0 &gt;&gt;C:\Users\stu\Documents\GitHub\eaglep3-reporting\EC\2017-03-26-refined-times.txt</v>
      </c>
      <c r="AI73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{"issue":{"subject":"","project_id":79,"tracker_id":40,"status_id":1,"priority_id":2,"assigned_to_id":23,"start_date":"2017-03-26","description":"","custom_fields":[{"id":1,"name":"Subdivision","value":"EC"},{"id":4,"name":"Milepost","value":"0.0158"},{"id":17,"name":"Train ID","value":"160-26"},{"id":16,"name":"Locomotive ID","value":"4026"},{"id":130,"name":"Impact","value":""},{"id":150,"name":"Time of Event (Mountain Time)","value":"12:35:05"},{"id":151,"name":"Denver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4026 --day 2017-03-26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711</v>
      </c>
      <c r="B74" s="7">
        <v>4031</v>
      </c>
      <c r="C74" s="21" t="s">
        <v>219</v>
      </c>
      <c r="D74" s="21" t="s">
        <v>543</v>
      </c>
      <c r="E74" s="13">
        <v>42820.466168981482</v>
      </c>
      <c r="F74" s="13">
        <v>42820.469236111108</v>
      </c>
      <c r="G74" s="7">
        <v>2</v>
      </c>
      <c r="H74" s="21" t="s">
        <v>859</v>
      </c>
      <c r="I74" s="13">
        <v>42820.495416666665</v>
      </c>
      <c r="J74" s="7">
        <v>0</v>
      </c>
      <c r="K74" s="98" t="str">
        <f t="shared" si="0"/>
        <v>4031/4032</v>
      </c>
      <c r="L74" s="21" t="str">
        <f>VLOOKUP(A74,'Trips&amp;Operators'!$C$1:$G$99999,5,FALSE)</f>
        <v>DAVIS MICHAEL</v>
      </c>
      <c r="M74" s="6">
        <f t="shared" si="1"/>
        <v>2.6180555556493346E-2</v>
      </c>
      <c r="N74" s="7">
        <f t="shared" si="21"/>
        <v>37.700000001350418</v>
      </c>
      <c r="O74" s="7"/>
      <c r="P74" s="7"/>
      <c r="Q74" s="22"/>
      <c r="R74" s="22"/>
      <c r="S74" s="31">
        <f t="shared" si="22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-26T10:11:17-0600',mode:absolute,to:'2017-03-26T12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7" t="str">
        <f t="shared" si="6"/>
        <v>N</v>
      </c>
      <c r="X74" s="187">
        <f t="shared" si="23"/>
        <v>1</v>
      </c>
      <c r="Y74" s="62">
        <f t="shared" si="8"/>
        <v>4.58E-2</v>
      </c>
      <c r="Z74" s="62">
        <f t="shared" si="9"/>
        <v>23.332100000000001</v>
      </c>
      <c r="AA74" s="62">
        <f t="shared" si="10"/>
        <v>23.286300000000001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0161-26</v>
      </c>
      <c r="AE74" s="85" t="str">
        <f t="shared" si="12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74" s="82" t="str">
        <f t="shared" si="13"/>
        <v>"C:\Program Files (x86)\AstroGrep\AstroGrep.exe" /e /r /s /spath="%USERPROFILE%\AppData\Local\Temp\OnboardLogs" /stypes="app*4031*20170326*"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161-26 --locoid 4031 --swversion DE.1.0.9.0 --startMP 204:458 --initTime 2017-03-26T11:11:17 --startdatetime 2017-03-26T11:15:42 --delay 2 --endMP 204:233321 --enddatetime 2017-03-26T11:53:24 --enforcementcount 0 &gt;&gt;C:\Users\stu\Documents\GitHub\eaglep3-reporting\EC\2017-03-26-refined-times.txt</v>
      </c>
      <c r="AI74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{"issue":{"subject":"","project_id":79,"tracker_id":40,"status_id":1,"priority_id":2,"assigned_to_id":23,"start_date":"2017-03-26","description":"","custom_fields":[{"id":1,"name":"Subdivision","value":"EC"},{"id":4,"name":"Milepost","value":"23.3321"},{"id":17,"name":"Train ID","value":"161-26"},{"id":16,"name":"Locomotive ID","value":"4031"},{"id":130,"name":"Impact","value":""},{"id":150,"name":"Time of Event (Mountain Time)","value":"11:53:24"},{"id":151,"name":"Denver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4031 --day 2017-03-26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720</v>
      </c>
      <c r="B75" s="7">
        <v>4032</v>
      </c>
      <c r="C75" s="21" t="s">
        <v>219</v>
      </c>
      <c r="D75" s="21" t="s">
        <v>840</v>
      </c>
      <c r="E75" s="13">
        <v>42820.505833333336</v>
      </c>
      <c r="F75" s="13">
        <v>42820.508090277777</v>
      </c>
      <c r="G75" s="7">
        <v>2</v>
      </c>
      <c r="H75" s="21" t="s">
        <v>191</v>
      </c>
      <c r="I75" s="13">
        <v>42820.535717592589</v>
      </c>
      <c r="J75" s="7">
        <v>0</v>
      </c>
      <c r="K75" s="98" t="str">
        <f t="shared" si="0"/>
        <v>4031/4032</v>
      </c>
      <c r="L75" s="21" t="str">
        <f>VLOOKUP(A75,'Trips&amp;Operators'!$C$1:$G$99999,5,FALSE)</f>
        <v>DAVIS MICHAEL</v>
      </c>
      <c r="M75" s="6">
        <f t="shared" si="1"/>
        <v>2.7627314811979886E-2</v>
      </c>
      <c r="N75" s="7">
        <f t="shared" si="21"/>
        <v>39.783333329251036</v>
      </c>
      <c r="O75" s="7"/>
      <c r="P75" s="7"/>
      <c r="Q75" s="22"/>
      <c r="R75" s="22"/>
      <c r="S75" s="31">
        <f t="shared" si="22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-26T11:08:24-0600',mode:absolute,to:'2017-03-26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7" t="str">
        <f t="shared" si="6"/>
        <v>N</v>
      </c>
      <c r="X75" s="187">
        <f t="shared" si="23"/>
        <v>1</v>
      </c>
      <c r="Y75" s="62">
        <f t="shared" si="8"/>
        <v>23.3004</v>
      </c>
      <c r="Z75" s="62">
        <f t="shared" si="9"/>
        <v>1.4999999999999999E-2</v>
      </c>
      <c r="AA75" s="62">
        <f t="shared" si="10"/>
        <v>23.285399999999999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0162-26</v>
      </c>
      <c r="AE75" s="85" t="str">
        <f t="shared" si="12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75" s="82" t="str">
        <f t="shared" si="13"/>
        <v>"C:\Program Files (x86)\AstroGrep\AstroGrep.exe" /e /r /s /spath="%USERPROFILE%\AppData\Local\Temp\OnboardLogs" /stypes="app*4032*20170326*"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162-26 --locoid 4032 --swversion DE.1.0.9.0 --startMP 204:233004 --initTime 2017-03-26T12:08:24 --startdatetime 2017-03-26T12:11:39 --delay 2 --endMP 204:150 --enddatetime 2017-03-26T12:51:26 --enforcementcount 0 &gt;&gt;C:\Users\stu\Documents\GitHub\eaglep3-reporting\EC\2017-03-26-refined-times.txt</v>
      </c>
      <c r="AI75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ID","value":"162-26"},{"id":16,"name":"Locomotive ID","value":"4032"},{"id":130,"name":"Impact","value":""},{"id":150,"name":"Time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4032 --day 2017-03-26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712</v>
      </c>
      <c r="B76" s="7">
        <v>4046</v>
      </c>
      <c r="C76" s="21" t="s">
        <v>219</v>
      </c>
      <c r="D76" s="21" t="s">
        <v>837</v>
      </c>
      <c r="E76" s="13">
        <v>42820.475624999999</v>
      </c>
      <c r="F76" s="13">
        <v>42820.479328703703</v>
      </c>
      <c r="G76" s="7">
        <v>2</v>
      </c>
      <c r="H76" s="21" t="s">
        <v>860</v>
      </c>
      <c r="I76" s="13">
        <v>42820.504108796296</v>
      </c>
      <c r="J76" s="7">
        <v>0</v>
      </c>
      <c r="K76" s="98" t="str">
        <f t="shared" si="0"/>
        <v>4045/4046</v>
      </c>
      <c r="L76" s="21" t="str">
        <f>VLOOKUP(A76,'Trips&amp;Operators'!$C$1:$G$99999,5,FALSE)</f>
        <v>LEVIN SCOTT</v>
      </c>
      <c r="M76" s="6">
        <f t="shared" si="1"/>
        <v>2.4780092593573499E-2</v>
      </c>
      <c r="N76" s="7">
        <f t="shared" ref="N76:N107" si="24">24*60*SUM($M76:$M76)</f>
        <v>35.683333334745839</v>
      </c>
      <c r="O76" s="7"/>
      <c r="P76" s="7"/>
      <c r="Q76" s="22"/>
      <c r="R76" s="22"/>
      <c r="S76" s="31">
        <f t="shared" ref="S76:S107" si="25">SUM(U76:U76)/IF(AG76="EC",12,1)</f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-26T10:24:54-0600',mode:absolute,to:'2017-03-26T13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7" t="str">
        <f t="shared" si="6"/>
        <v>N</v>
      </c>
      <c r="X76" s="187">
        <f t="shared" si="23"/>
        <v>1</v>
      </c>
      <c r="Y76" s="62">
        <f t="shared" si="8"/>
        <v>4.6899999999999997E-2</v>
      </c>
      <c r="Z76" s="62">
        <f t="shared" si="9"/>
        <v>23.338899999999999</v>
      </c>
      <c r="AA76" s="62">
        <f t="shared" si="10"/>
        <v>23.291999999999998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0163-26</v>
      </c>
      <c r="AE76" s="85" t="str">
        <f t="shared" si="12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76" s="82" t="str">
        <f t="shared" si="13"/>
        <v>"C:\Program Files (x86)\AstroGrep\AstroGrep.exe" /e /r /s /spath="%USERPROFILE%\AppData\Local\Temp\OnboardLogs" /stypes="app*4046*20170326*"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163-26 --locoid 4046 --swversion DE.1.0.9.0 --startMP 204:469 --initTime 2017-03-26T11:24:54 --startdatetime 2017-03-26T11:30:14 --delay 2 --endMP 204:233389 --enddatetime 2017-03-26T12:05:55 --enforcementcount 0 &gt;&gt;C:\Users\stu\Documents\GitHub\eaglep3-reporting\EC\2017-03-26-refined-times.txt</v>
      </c>
      <c r="AI76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{"issue":{"subject":"","project_id":79,"tracker_id":40,"status_id":1,"priority_id":2,"assigned_to_id":23,"start_date":"2017-03-26","description":"","custom_fields":[{"id":1,"name":"Subdivision","value":"EC"},{"id":4,"name":"Milepost","value":"23.3389"},{"id":17,"name":"Train ID","value":"163-26"},{"id":16,"name":"Locomotive ID","value":"4046"},{"id":130,"name":"Impact","value":""},{"id":150,"name":"Time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4046 --day 2017-03-26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721</v>
      </c>
      <c r="B77" s="7">
        <v>4045</v>
      </c>
      <c r="C77" s="21" t="s">
        <v>219</v>
      </c>
      <c r="D77" s="21" t="s">
        <v>861</v>
      </c>
      <c r="E77" s="13">
        <v>42820.514120370368</v>
      </c>
      <c r="F77" s="13">
        <v>42820.518252314818</v>
      </c>
      <c r="G77" s="7">
        <v>1</v>
      </c>
      <c r="H77" s="21" t="s">
        <v>862</v>
      </c>
      <c r="I77" s="13">
        <v>42820.544317129628</v>
      </c>
      <c r="J77" s="7">
        <v>0</v>
      </c>
      <c r="K77" s="98" t="str">
        <f t="shared" ref="K77:K140" si="26">IF(ISEVEN(B77),(B77-1)&amp;"/"&amp;B77,B77&amp;"/"&amp;(B77+1))</f>
        <v>4045/4046</v>
      </c>
      <c r="L77" s="21" t="str">
        <f>VLOOKUP(A77,'Trips&amp;Operators'!$C$1:$G$99999,5,FALSE)</f>
        <v>LEVIN SCOTT</v>
      </c>
      <c r="M77" s="6">
        <f t="shared" ref="M77:M140" si="27">I77-F77</f>
        <v>2.6064814810524695E-2</v>
      </c>
      <c r="N77" s="7">
        <f t="shared" si="24"/>
        <v>37.53333332715556</v>
      </c>
      <c r="O77" s="7"/>
      <c r="P77" s="7"/>
      <c r="Q77" s="22"/>
      <c r="R77" s="22"/>
      <c r="S77" s="31">
        <f t="shared" si="25"/>
        <v>1</v>
      </c>
      <c r="T77" s="46" t="str">
        <f t="shared" ref="T77:T140" si="28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-26T11:20:20-0600',mode:absolute,to:'2017-03-26T14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7" t="str">
        <f t="shared" ref="W77:W140" si="30">IF(AA77&lt;IF(AG77="EC",23,5.65),"Y","N")</f>
        <v>N</v>
      </c>
      <c r="X77" s="187">
        <f t="shared" ref="X77:X108" si="31">VALUE(LEFT(AD77,4))-VALUE(LEFT(AD76,4))</f>
        <v>1</v>
      </c>
      <c r="Y77" s="62">
        <f t="shared" ref="Y77:Y140" si="32">RIGHT(D77,LEN(D77)-4)/10000</f>
        <v>23.303999999999998</v>
      </c>
      <c r="Z77" s="62">
        <f t="shared" ref="Z77:Z140" si="33">RIGHT(H77,LEN(H77)-4)/10000</f>
        <v>1.2500000000000001E-2</v>
      </c>
      <c r="AA77" s="62">
        <f t="shared" ref="AA77:AA140" si="34">ABS(Z77-Y77)</f>
        <v>23.291499999999999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5">IF(LEN(A77)=6,"0"&amp;A77,A77)</f>
        <v>0164-26</v>
      </c>
      <c r="AE77" s="8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77" s="82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/stypes="app*4045*20170326*" /stext=" 19:.+((SYSTEM_STATE.+slice.+state.+changed )|(ment ac)|(multiple cpu faults)|(system.+state.+changed )|(\[timeout)|(PRM\|1\|D)|(kpr)|(kdp)|(\|lc)|(penalty))"</v>
      </c>
      <c r="AG77" s="1" t="str">
        <f t="shared" ref="AG77:AG140" si="38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164-26 --locoid 4045 --swversion DE.1.0.9.0 --startMP 204:233040 --initTime 2017-03-26T12:20:20 --startdatetime 2017-03-26T12:26:17 --delay 1 --endMP 204:125 --enddatetime 2017-03-26T13:03:49 --enforcementcount 0 &gt;&gt;C:\Users\stu\Documents\GitHub\eaglep3-reporting\EC\2017-03-26-refined-times.txt</v>
      </c>
      <c r="AI77" s="108" t="str">
        <f t="shared" si="19"/>
        <v>echo {"issue":{"subject":"","project_id":79,"tracker_id":40,"status_id":1,"priority_id":2,"assigned_to_id":23,"start_date":"2017-03-26","description":"","custom_fields":[{"id":1,"name":"Subdivision","value":"EC"},{"id":4,"name":"Milepost","value":"0.0125"},{"id":17,"name":"Train ID","value":"164-26"},{"id":16,"name":"Locomotive ID","value":"4045"},{"id":130,"name":"Impact","value":""},{"id":150,"name":"Time of Event (Mountain Time)","value":"13:03:49"},{"id":151,"name":"Denver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4045 --day 2017-03-26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716</v>
      </c>
      <c r="B78" s="7">
        <v>4018</v>
      </c>
      <c r="C78" s="21" t="s">
        <v>219</v>
      </c>
      <c r="D78" s="21" t="s">
        <v>212</v>
      </c>
      <c r="E78" s="13">
        <v>42820.485879629632</v>
      </c>
      <c r="F78" s="13">
        <v>42820.489756944444</v>
      </c>
      <c r="G78" s="7">
        <v>2</v>
      </c>
      <c r="H78" s="21" t="s">
        <v>396</v>
      </c>
      <c r="I78" s="13">
        <v>42820.51457175926</v>
      </c>
      <c r="J78" s="7">
        <v>0</v>
      </c>
      <c r="K78" s="98" t="str">
        <f t="shared" si="26"/>
        <v>4017/4018</v>
      </c>
      <c r="L78" s="21" t="str">
        <f>VLOOKUP(A78,'Trips&amp;Operators'!$C$1:$G$99999,5,FALSE)</f>
        <v>BRUDER RICHARD</v>
      </c>
      <c r="M78" s="6">
        <f t="shared" si="27"/>
        <v>2.4814814816636499E-2</v>
      </c>
      <c r="N78" s="7">
        <f t="shared" si="24"/>
        <v>35.733333335956559</v>
      </c>
      <c r="O78" s="7"/>
      <c r="P78" s="7"/>
      <c r="Q78" s="22"/>
      <c r="R78" s="22"/>
      <c r="S78" s="31">
        <f t="shared" si="25"/>
        <v>1</v>
      </c>
      <c r="T78" s="46" t="str">
        <f t="shared" si="28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9"/>
        <v>https://d0f6bd738d7f1b3e5a7ca70fe4ff75f0.us-east-1.aws.found.io/app/kibana#/discover/Steve-Slow-Train-Analysis-(2080s-and-2083s)?_g=(refreshInterval:(display:Off,pause:!f,section:0,value:0),time:(from:'2017-03-26T10:39:40-0600',mode:absolute,to:'2017-03-26T13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187" t="str">
        <f t="shared" si="30"/>
        <v>N</v>
      </c>
      <c r="X78" s="187">
        <f t="shared" si="31"/>
        <v>1</v>
      </c>
      <c r="Y78" s="62">
        <f t="shared" si="32"/>
        <v>4.53E-2</v>
      </c>
      <c r="Z78" s="62">
        <f t="shared" si="33"/>
        <v>23.3308</v>
      </c>
      <c r="AA78" s="62">
        <f t="shared" si="34"/>
        <v>23.285499999999999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5"/>
        <v>0165-26</v>
      </c>
      <c r="AE78" s="85" t="str">
        <f t="shared" si="36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78" s="82" t="str">
        <f t="shared" si="37"/>
        <v>"C:\Program Files (x86)\AstroGrep\AstroGrep.exe" /e /r /s /spath="%USERPROFILE%\AppData\Local\Temp\OnboardLogs" /stypes="app*4018*20170326*" /stext=" 18:.+((SYSTEM_STATE.+slice.+state.+changed )|(ment ac)|(multiple cpu faults)|(system.+state.+changed )|(\[timeout)|(PRM\|1\|D)|(kpr)|(kdp)|(\|lc)|(penalty))"</v>
      </c>
      <c r="AG78" s="1" t="str">
        <f t="shared" si="38"/>
        <v>EC</v>
      </c>
      <c r="AH78" s="86" t="str">
        <f t="shared" ref="AH78:AH140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165-26 --locoid 4018 --swversion DE.1.0.9.0 --startMP 204:453 --initTime 2017-03-26T11:39:40 --startdatetime 2017-03-26T11:45:15 --delay 2 --endMP 204:233308 --enddatetime 2017-03-26T12:20:59 --enforcementcount 0 &gt;&gt;C:\Users\stu\Documents\GitHub\eaglep3-reporting\EC\2017-03-26-refined-times.txt</v>
      </c>
      <c r="AI78" s="108" t="str">
        <f t="shared" ref="AI78:AI140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ID","value":"165-26"},{"id":16,"name":"Locomotive ID","value":"4018"},{"id":130,"name":"Impact","value":""},{"id":150,"name":"Time of Event (Mountain Time)","value":"12:20:59"},{"id":151,"name":"Denver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41">"start /low /b "&amp;dls3logs&amp;" --loco "&amp;B78&amp;" --day "&amp;TEXT(F78,"YYYY-MM-DD")</f>
        <v>start /low /b %USERPROFILE%\Documents\GitHub\eaglep3\Utilities\DownloadLogsFromS3.py --loco 4018 --day 2017-03-26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724</v>
      </c>
      <c r="B79" s="7">
        <v>4017</v>
      </c>
      <c r="C79" s="21" t="s">
        <v>219</v>
      </c>
      <c r="D79" s="21" t="s">
        <v>840</v>
      </c>
      <c r="E79" s="13">
        <v>42820.524351851855</v>
      </c>
      <c r="F79" s="13">
        <v>42820.528726851851</v>
      </c>
      <c r="G79" s="7">
        <v>1</v>
      </c>
      <c r="H79" s="21" t="s">
        <v>199</v>
      </c>
      <c r="I79" s="13">
        <v>42820.555601851855</v>
      </c>
      <c r="J79" s="7">
        <v>0</v>
      </c>
      <c r="K79" s="98" t="str">
        <f t="shared" si="26"/>
        <v>4017/4018</v>
      </c>
      <c r="L79" s="21" t="str">
        <f>VLOOKUP(A79,'Trips&amp;Operators'!$C$1:$G$99999,5,FALSE)</f>
        <v>BRUDER RICHARD</v>
      </c>
      <c r="M79" s="6">
        <f t="shared" si="27"/>
        <v>2.6875000003201421E-2</v>
      </c>
      <c r="N79" s="7">
        <f t="shared" si="24"/>
        <v>38.700000004610047</v>
      </c>
      <c r="O79" s="7"/>
      <c r="P79" s="7"/>
      <c r="Q79" s="22"/>
      <c r="R79" s="22"/>
      <c r="S79" s="31">
        <f t="shared" si="25"/>
        <v>1</v>
      </c>
      <c r="T79" s="46" t="str">
        <f t="shared" si="28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9"/>
        <v>https://d0f6bd738d7f1b3e5a7ca70fe4ff75f0.us-east-1.aws.found.io/app/kibana#/discover/Steve-Slow-Train-Analysis-(2080s-and-2083s)?_g=(refreshInterval:(display:Off,pause:!f,section:0,value:0),time:(from:'2017-03-26T11:35:04-0600',mode:absolute,to:'2017-03-26T14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187" t="str">
        <f t="shared" si="30"/>
        <v>N</v>
      </c>
      <c r="X79" s="187">
        <f t="shared" si="31"/>
        <v>1</v>
      </c>
      <c r="Y79" s="62">
        <f t="shared" si="32"/>
        <v>23.3004</v>
      </c>
      <c r="Z79" s="62">
        <f t="shared" si="33"/>
        <v>1.52E-2</v>
      </c>
      <c r="AA79" s="62">
        <f t="shared" si="34"/>
        <v>23.2852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5"/>
        <v>0166-26</v>
      </c>
      <c r="AE79" s="85" t="str">
        <f t="shared" si="36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79" s="82" t="str">
        <f t="shared" si="37"/>
        <v>"C:\Program Files (x86)\AstroGrep\AstroGrep.exe" /e /r /s /spath="%USERPROFILE%\AppData\Local\Temp\OnboardLogs" /stypes="app*4017*20170326*" /stext=" 19:.+((SYSTEM_STATE.+slice.+state.+changed )|(ment ac)|(multiple cpu faults)|(system.+state.+changed )|(\[timeout)|(PRM\|1\|D)|(kpr)|(kdp)|(\|lc)|(penalty))"</v>
      </c>
      <c r="AG79" s="1" t="str">
        <f t="shared" si="38"/>
        <v>EC</v>
      </c>
      <c r="AH79" s="86" t="str">
        <f t="shared" si="39"/>
        <v>"%USERPROFILE%\Documents\GitHub\eaglep3\Utilities\RefineRTDCRunTimes.py" --tripid 166-26 --locoid 4017 --swversion DE.1.0.9.0 --startMP 204:233004 --initTime 2017-03-26T12:35:04 --startdatetime 2017-03-26T12:41:22 --delay 1 --endMP 204:152 --enddatetime 2017-03-26T13:20:04 --enforcementcount 0 &gt;&gt;C:\Users\stu\Documents\GitHub\eaglep3-reporting\EC\2017-03-26-refined-times.txt</v>
      </c>
      <c r="AI7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ID","value":"166-26"},{"id":16,"name":"Locomotive ID","value":"4017"},{"id":130,"name":"Impact","value":""},{"id":150,"name":"Time of Event (Mountain Time)","value":"13:20:04"},{"id":151,"name":"Denver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1"/>
        <v>start /low /b %USERPROFILE%\Documents\GitHub\eaglep3\Utilities\DownloadLogsFromS3.py --loco 4017 --day 2017-03-26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608</v>
      </c>
      <c r="B80" s="7">
        <v>4002</v>
      </c>
      <c r="C80" s="21" t="s">
        <v>219</v>
      </c>
      <c r="D80" s="21" t="s">
        <v>849</v>
      </c>
      <c r="E80" s="13">
        <v>42820.494444444441</v>
      </c>
      <c r="F80" s="13">
        <v>42820.500162037039</v>
      </c>
      <c r="G80" s="7">
        <v>2</v>
      </c>
      <c r="H80" s="21" t="s">
        <v>863</v>
      </c>
      <c r="I80" s="13">
        <v>42820.525868055556</v>
      </c>
      <c r="J80" s="7">
        <v>0</v>
      </c>
      <c r="K80" s="98" t="str">
        <f t="shared" si="26"/>
        <v>4001/4002</v>
      </c>
      <c r="L80" s="21" t="str">
        <f>VLOOKUP(A80,'Trips&amp;Operators'!$C$1:$G$99999,5,FALSE)</f>
        <v>LOCKLEAR TRAVIS</v>
      </c>
      <c r="M80" s="6">
        <f t="shared" si="27"/>
        <v>2.5706018517666962E-2</v>
      </c>
      <c r="N80" s="7">
        <f t="shared" si="24"/>
        <v>37.016666665440425</v>
      </c>
      <c r="O80" s="7"/>
      <c r="P80" s="7"/>
      <c r="Q80" s="22"/>
      <c r="R80" s="22"/>
      <c r="S80" s="31">
        <f t="shared" si="25"/>
        <v>1</v>
      </c>
      <c r="T80" s="46" t="str">
        <f t="shared" si="28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9"/>
        <v>https://d0f6bd738d7f1b3e5a7ca70fe4ff75f0.us-east-1.aws.found.io/app/kibana#/discover/Steve-Slow-Train-Analysis-(2080s-and-2083s)?_g=(refreshInterval:(display:Off,pause:!f,section:0,value:0),time:(from:'2017-03-26T10:52:00-0600',mode:absolute,to:'2017-03-26T13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87" t="str">
        <f t="shared" si="30"/>
        <v>N</v>
      </c>
      <c r="X80" s="187">
        <f t="shared" si="31"/>
        <v>1</v>
      </c>
      <c r="Y80" s="62">
        <f t="shared" si="32"/>
        <v>4.7100000000000003E-2</v>
      </c>
      <c r="Z80" s="62">
        <f t="shared" si="33"/>
        <v>23.330300000000001</v>
      </c>
      <c r="AA80" s="62">
        <f t="shared" si="34"/>
        <v>23.283200000000001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5"/>
        <v>0167-26</v>
      </c>
      <c r="AE80" s="85" t="str">
        <f t="shared" si="36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80" s="82" t="str">
        <f t="shared" si="37"/>
        <v>"C:\Program Files (x86)\AstroGrep\AstroGrep.exe" /e /r /s /spath="%USERPROFILE%\AppData\Local\Temp\OnboardLogs" /stypes="app*4002*20170326*" /stext=" 18:.+((SYSTEM_STATE.+slice.+state.+changed )|(ment ac)|(multiple cpu faults)|(system.+state.+changed )|(\[timeout)|(PRM\|1\|D)|(kpr)|(kdp)|(\|lc)|(penalty))"</v>
      </c>
      <c r="AG80" s="1" t="str">
        <f t="shared" si="38"/>
        <v>EC</v>
      </c>
      <c r="AH80" s="86" t="str">
        <f t="shared" si="39"/>
        <v>"%USERPROFILE%\Documents\GitHub\eaglep3\Utilities\RefineRTDCRunTimes.py" --tripid 167-26 --locoid 4002 --swversion DE.1.0.9.0 --startMP 204:471 --initTime 2017-03-26T11:52:00 --startdatetime 2017-03-26T12:00:14 --delay 2 --endMP 204:233303 --enddatetime 2017-03-26T12:37:15 --enforcementcount 0 &gt;&gt;C:\Users\stu\Documents\GitHub\eaglep3-reporting\EC\2017-03-26-refined-times.txt</v>
      </c>
      <c r="AI8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{"issue":{"subject":"","project_id":79,"tracker_id":40,"status_id":1,"priority_id":2,"assigned_to_id":23,"start_date":"2017-03-26","description":"","custom_fields":[{"id":1,"name":"Subdivision","value":"EC"},{"id":4,"name":"Milepost","value":"23.3303"},{"id":17,"name":"Train ID","value":"167-26"},{"id":16,"name":"Locomotive ID","value":"4002"},{"id":130,"name":"Impact","value":""},{"id":150,"name":"Time of Event (Mountain Time)","value":"12:37:15"},{"id":151,"name":"Denver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1"/>
        <v>start /low /b %USERPROFILE%\Documents\GitHub\eaglep3\Utilities\DownloadLogsFromS3.py --loco 4002 --day 2017-03-26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726</v>
      </c>
      <c r="B81" s="7">
        <v>4001</v>
      </c>
      <c r="C81" s="21" t="s">
        <v>219</v>
      </c>
      <c r="D81" s="21" t="s">
        <v>467</v>
      </c>
      <c r="E81" s="13">
        <v>42820.534016203703</v>
      </c>
      <c r="F81" s="13">
        <v>42820.539050925923</v>
      </c>
      <c r="G81" s="7">
        <v>1</v>
      </c>
      <c r="H81" s="21" t="s">
        <v>864</v>
      </c>
      <c r="I81" s="13">
        <v>42820.56622685185</v>
      </c>
      <c r="J81" s="7">
        <v>0</v>
      </c>
      <c r="K81" s="98" t="str">
        <f t="shared" si="26"/>
        <v>4001/4002</v>
      </c>
      <c r="L81" s="21" t="str">
        <f>VLOOKUP(A81,'Trips&amp;Operators'!$C$1:$G$99999,5,FALSE)</f>
        <v>LOCKLEAR TRAVIS</v>
      </c>
      <c r="M81" s="6">
        <f t="shared" si="27"/>
        <v>2.7175925926712807E-2</v>
      </c>
      <c r="N81" s="7">
        <f t="shared" si="24"/>
        <v>39.133333334466442</v>
      </c>
      <c r="O81" s="7"/>
      <c r="P81" s="7"/>
      <c r="Q81" s="22"/>
      <c r="R81" s="22"/>
      <c r="S81" s="31">
        <f t="shared" si="25"/>
        <v>1</v>
      </c>
      <c r="T81" s="46" t="str">
        <f t="shared" si="28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9"/>
        <v>https://d0f6bd738d7f1b3e5a7ca70fe4ff75f0.us-east-1.aws.found.io/app/kibana#/discover/Steve-Slow-Train-Analysis-(2080s-and-2083s)?_g=(refreshInterval:(display:Off,pause:!f,section:0,value:0),time:(from:'2017-03-26T11:48:59-0600',mode:absolute,to:'2017-03-26T14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87" t="str">
        <f t="shared" si="30"/>
        <v>N</v>
      </c>
      <c r="X81" s="187">
        <f t="shared" si="31"/>
        <v>1</v>
      </c>
      <c r="Y81" s="62">
        <f t="shared" si="32"/>
        <v>23.296900000000001</v>
      </c>
      <c r="Z81" s="62">
        <f t="shared" si="33"/>
        <v>1.83E-2</v>
      </c>
      <c r="AA81" s="62">
        <f t="shared" si="34"/>
        <v>23.278600000000001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5"/>
        <v>0168-26</v>
      </c>
      <c r="AE81" s="85" t="str">
        <f t="shared" si="3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81" s="82" t="str">
        <f t="shared" si="37"/>
        <v>"C:\Program Files (x86)\AstroGrep\AstroGrep.exe" /e /r /s /spath="%USERPROFILE%\AppData\Local\Temp\OnboardLogs" /stypes="app*4001*20170326*" /stext=" 19:.+((SYSTEM_STATE.+slice.+state.+changed )|(ment ac)|(multiple cpu faults)|(system.+state.+changed )|(\[timeout)|(PRM\|1\|D)|(kpr)|(kdp)|(\|lc)|(penalty))"</v>
      </c>
      <c r="AG81" s="1" t="str">
        <f t="shared" si="38"/>
        <v>EC</v>
      </c>
      <c r="AH81" s="86" t="str">
        <f t="shared" si="39"/>
        <v>"%USERPROFILE%\Documents\GitHub\eaglep3\Utilities\RefineRTDCRunTimes.py" --tripid 168-26 --locoid 4001 --swversion DE.1.0.9.0 --startMP 204:232969 --initTime 2017-03-26T12:48:59 --startdatetime 2017-03-26T12:56:14 --delay 1 --endMP 204:183 --enddatetime 2017-03-26T13:35:22 --enforcementcount 0 &gt;&gt;C:\Users\stu\Documents\GitHub\eaglep3-reporting\EC\2017-03-26-refined-times.txt</v>
      </c>
      <c r="AI8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{"issue":{"subject":"","project_id":79,"tracker_id":40,"status_id":1,"priority_id":2,"assigned_to_id":23,"start_date":"2017-03-26","description":"","custom_fields":[{"id":1,"name":"Subdivision","value":"EC"},{"id":4,"name":"Milepost","value":"0.0183"},{"id":17,"name":"Train ID","value":"168-26"},{"id":16,"name":"Locomotive ID","value":"4001"},{"id":130,"name":"Impact","value":""},{"id":150,"name":"Time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1"/>
        <v>start /low /b %USERPROFILE%\Documents\GitHub\eaglep3\Utilities\DownloadLogsFromS3.py --loco 4001 --day 2017-03-26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719</v>
      </c>
      <c r="B82" s="7">
        <v>4003</v>
      </c>
      <c r="C82" s="21" t="s">
        <v>219</v>
      </c>
      <c r="D82" s="21" t="s">
        <v>865</v>
      </c>
      <c r="E82" s="13">
        <v>42820.505844907406</v>
      </c>
      <c r="F82" s="13">
        <v>42820.510717592595</v>
      </c>
      <c r="G82" s="7">
        <v>1</v>
      </c>
      <c r="H82" s="21" t="s">
        <v>494</v>
      </c>
      <c r="I82" s="13">
        <v>42820.536446759259</v>
      </c>
      <c r="J82" s="7">
        <v>0</v>
      </c>
      <c r="K82" s="98" t="str">
        <f t="shared" si="26"/>
        <v>4003/4004</v>
      </c>
      <c r="L82" s="21" t="str">
        <f>VLOOKUP(A82,'Trips&amp;Operators'!$C$1:$G$99999,5,FALSE)</f>
        <v>MACDONALD THOMAS</v>
      </c>
      <c r="M82" s="6">
        <f t="shared" si="27"/>
        <v>2.5729166663950309E-2</v>
      </c>
      <c r="N82" s="7">
        <f t="shared" si="24"/>
        <v>37.049999996088445</v>
      </c>
      <c r="O82" s="7"/>
      <c r="P82" s="7"/>
      <c r="Q82" s="22"/>
      <c r="R82" s="22"/>
      <c r="S82" s="31">
        <f t="shared" si="25"/>
        <v>1</v>
      </c>
      <c r="T82" s="46" t="str">
        <f t="shared" si="28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9"/>
        <v>https://d0f6bd738d7f1b3e5a7ca70fe4ff75f0.us-east-1.aws.found.io/app/kibana#/discover/Steve-Slow-Train-Analysis-(2080s-and-2083s)?_g=(refreshInterval:(display:Off,pause:!f,section:0,value:0),time:(from:'2017-03-26T11:08:25-0600',mode:absolute,to:'2017-03-26T13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87" t="str">
        <f t="shared" si="30"/>
        <v>N</v>
      </c>
      <c r="X82" s="187">
        <f t="shared" si="31"/>
        <v>1</v>
      </c>
      <c r="Y82" s="62">
        <f t="shared" si="32"/>
        <v>4.2700000000000002E-2</v>
      </c>
      <c r="Z82" s="62">
        <f t="shared" si="33"/>
        <v>23.3291</v>
      </c>
      <c r="AA82" s="62">
        <f t="shared" si="34"/>
        <v>23.2864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5"/>
        <v>0169-26</v>
      </c>
      <c r="AE82" s="85" t="str">
        <f t="shared" si="36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82" s="82" t="str">
        <f t="shared" si="37"/>
        <v>"C:\Program Files (x86)\AstroGrep\AstroGrep.exe" /e /r /s /spath="%USERPROFILE%\AppData\Local\Temp\OnboardLogs" /stypes="app*4003*20170326*" /stext=" 18:.+((SYSTEM_STATE.+slice.+state.+changed )|(ment ac)|(multiple cpu faults)|(system.+state.+changed )|(\[timeout)|(PRM\|1\|D)|(kpr)|(kdp)|(\|lc)|(penalty))"</v>
      </c>
      <c r="AG82" s="1" t="str">
        <f t="shared" si="38"/>
        <v>EC</v>
      </c>
      <c r="AH82" s="86" t="str">
        <f t="shared" si="39"/>
        <v>"%USERPROFILE%\Documents\GitHub\eaglep3\Utilities\RefineRTDCRunTimes.py" --tripid 169-26 --locoid 4003 --swversion DE.1.0.9.0 --startMP 204:427 --initTime 2017-03-26T12:08:25 --startdatetime 2017-03-26T12:15:26 --delay 1 --endMP 204:233291 --enddatetime 2017-03-26T12:52:29 --enforcementcount 0 &gt;&gt;C:\Users\stu\Documents\GitHub\eaglep3-reporting\EC\2017-03-26-refined-times.txt</v>
      </c>
      <c r="AI8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ID","value":"169-26"},{"id":16,"name":"Locomotive ID","value":"4003"},{"id":130,"name":"Impact","value":""},{"id":150,"name":"Time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1"/>
        <v>start /low /b %USERPROFILE%\Documents\GitHub\eaglep3\Utilities\DownloadLogsFromS3.py --loco 4003 --day 2017-03-26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729</v>
      </c>
      <c r="B83" s="7">
        <v>4004</v>
      </c>
      <c r="C83" s="21" t="s">
        <v>219</v>
      </c>
      <c r="D83" s="21" t="s">
        <v>473</v>
      </c>
      <c r="E83" s="13">
        <v>42820.546423611115</v>
      </c>
      <c r="F83" s="13">
        <v>42820.549710648149</v>
      </c>
      <c r="G83" s="7">
        <v>1</v>
      </c>
      <c r="H83" s="21" t="s">
        <v>464</v>
      </c>
      <c r="I83" s="13">
        <v>42820.578136574077</v>
      </c>
      <c r="J83" s="7">
        <v>0</v>
      </c>
      <c r="K83" s="98" t="str">
        <f t="shared" si="26"/>
        <v>4003/4004</v>
      </c>
      <c r="L83" s="21" t="str">
        <f>VLOOKUP(A83,'Trips&amp;Operators'!$C$1:$G$99999,5,FALSE)</f>
        <v>MACDONALD THOMAS</v>
      </c>
      <c r="M83" s="6">
        <f t="shared" si="27"/>
        <v>2.842592592787696E-2</v>
      </c>
      <c r="N83" s="7">
        <f t="shared" si="24"/>
        <v>40.933333336142823</v>
      </c>
      <c r="O83" s="7"/>
      <c r="P83" s="7"/>
      <c r="Q83" s="22"/>
      <c r="R83" s="22"/>
      <c r="S83" s="31">
        <f t="shared" si="25"/>
        <v>1</v>
      </c>
      <c r="T83" s="46" t="str">
        <f t="shared" si="28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9"/>
        <v>https://d0f6bd738d7f1b3e5a7ca70fe4ff75f0.us-east-1.aws.found.io/app/kibana#/discover/Steve-Slow-Train-Analysis-(2080s-and-2083s)?_g=(refreshInterval:(display:Off,pause:!f,section:0,value:0),time:(from:'2017-03-26T12:06:51-0600',mode:absolute,to:'2017-03-26T14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87" t="str">
        <f t="shared" si="30"/>
        <v>N</v>
      </c>
      <c r="X83" s="187">
        <f t="shared" si="31"/>
        <v>1</v>
      </c>
      <c r="Y83" s="62">
        <f t="shared" si="32"/>
        <v>23.297699999999999</v>
      </c>
      <c r="Z83" s="62">
        <f t="shared" si="33"/>
        <v>1.61E-2</v>
      </c>
      <c r="AA83" s="62">
        <f t="shared" si="34"/>
        <v>23.281599999999997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5"/>
        <v>0170-26</v>
      </c>
      <c r="AE83" s="85" t="str">
        <f t="shared" si="36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83" s="82" t="str">
        <f t="shared" si="37"/>
        <v>"C:\Program Files (x86)\AstroGrep\AstroGrep.exe" /e /r /s /spath="%USERPROFILE%\AppData\Local\Temp\OnboardLogs" /stypes="app*4004*20170326*" /stext=" 19:.+((SYSTEM_STATE.+slice.+state.+changed )|(ment ac)|(multiple cpu faults)|(system.+state.+changed )|(\[timeout)|(PRM\|1\|D)|(kpr)|(kdp)|(\|lc)|(penalty))"</v>
      </c>
      <c r="AG83" s="1" t="str">
        <f t="shared" si="38"/>
        <v>EC</v>
      </c>
      <c r="AH83" s="86" t="str">
        <f t="shared" si="39"/>
        <v>"%USERPROFILE%\Documents\GitHub\eaglep3\Utilities\RefineRTDCRunTimes.py" --tripid 170-26 --locoid 4004 --swversion DE.1.0.9.0 --startMP 204:232977 --initTime 2017-03-26T13:06:51 --startdatetime 2017-03-26T13:11:35 --delay 1 --endMP 204:161 --enddatetime 2017-03-26T13:52:31 --enforcementcount 0 &gt;&gt;C:\Users\stu\Documents\GitHub\eaglep3-reporting\EC\2017-03-26-refined-times.txt</v>
      </c>
      <c r="AI8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ID","value":"170-26"},{"id":16,"name":"Locomotive ID","value":"4004"},{"id":130,"name":"Impact","value":""},{"id":150,"name":"Time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1"/>
        <v>start /low /b %USERPROFILE%\Documents\GitHub\eaglep3\Utilities\DownloadLogsFromS3.py --loco 4004 --day 2017-03-26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722</v>
      </c>
      <c r="B84" s="7">
        <v>4027</v>
      </c>
      <c r="C84" s="21" t="s">
        <v>219</v>
      </c>
      <c r="D84" s="21" t="s">
        <v>212</v>
      </c>
      <c r="E84" s="13">
        <v>42820.517650462964</v>
      </c>
      <c r="F84" s="13">
        <v>42820.521099537036</v>
      </c>
      <c r="G84" s="7">
        <v>2</v>
      </c>
      <c r="H84" s="21" t="s">
        <v>866</v>
      </c>
      <c r="I84" s="13">
        <v>42820.546597222223</v>
      </c>
      <c r="J84" s="7">
        <v>0</v>
      </c>
      <c r="K84" s="98" t="str">
        <f t="shared" si="26"/>
        <v>4027/4028</v>
      </c>
      <c r="L84" s="21" t="str">
        <f>VLOOKUP(A84,'Trips&amp;Operators'!$C$1:$G$99999,5,FALSE)</f>
        <v>BRANDNER MELINDA</v>
      </c>
      <c r="M84" s="6">
        <f t="shared" si="27"/>
        <v>2.5497685186564922E-2</v>
      </c>
      <c r="N84" s="7">
        <f t="shared" si="24"/>
        <v>36.716666668653488</v>
      </c>
      <c r="O84" s="7"/>
      <c r="P84" s="7"/>
      <c r="Q84" s="22"/>
      <c r="R84" s="22"/>
      <c r="S84" s="31">
        <f t="shared" si="25"/>
        <v>1</v>
      </c>
      <c r="T84" s="46" t="str">
        <f t="shared" si="28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9"/>
        <v>https://d0f6bd738d7f1b3e5a7ca70fe4ff75f0.us-east-1.aws.found.io/app/kibana#/discover/Steve-Slow-Train-Analysis-(2080s-and-2083s)?_g=(refreshInterval:(display:Off,pause:!f,section:0,value:0),time:(from:'2017-03-26T11:25:25-0600',mode:absolute,to:'2017-03-26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187" t="str">
        <f t="shared" si="30"/>
        <v>N</v>
      </c>
      <c r="X84" s="187">
        <f t="shared" si="31"/>
        <v>1</v>
      </c>
      <c r="Y84" s="62">
        <f t="shared" si="32"/>
        <v>4.53E-2</v>
      </c>
      <c r="Z84" s="62">
        <f t="shared" si="33"/>
        <v>23.3309</v>
      </c>
      <c r="AA84" s="62">
        <f t="shared" si="34"/>
        <v>23.285599999999999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5"/>
        <v>0171-26</v>
      </c>
      <c r="AE84" s="85" t="str">
        <f t="shared" si="36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84" s="82" t="str">
        <f t="shared" si="37"/>
        <v>"C:\Program Files (x86)\AstroGrep\AstroGrep.exe" /e /r /s /spath="%USERPROFILE%\AppData\Local\Temp\OnboardLogs" /stypes="app*4027*20170326*" /stext=" 19:.+((SYSTEM_STATE.+slice.+state.+changed )|(ment ac)|(multiple cpu faults)|(system.+state.+changed )|(\[timeout)|(PRM\|1\|D)|(kpr)|(kdp)|(\|lc)|(penalty))"</v>
      </c>
      <c r="AG84" s="1" t="str">
        <f t="shared" si="38"/>
        <v>EC</v>
      </c>
      <c r="AH84" s="86" t="str">
        <f t="shared" si="39"/>
        <v>"%USERPROFILE%\Documents\GitHub\eaglep3\Utilities\RefineRTDCRunTimes.py" --tripid 171-26 --locoid 4027 --swversion DE.1.0.9.0 --startMP 204:453 --initTime 2017-03-26T12:25:25 --startdatetime 2017-03-26T12:30:23 --delay 2 --endMP 204:233309 --enddatetime 2017-03-26T13:07:06 --enforcementcount 0 &gt;&gt;C:\Users\stu\Documents\GitHub\eaglep3-reporting\EC\2017-03-26-refined-times.txt</v>
      </c>
      <c r="AI8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{"issue":{"subject":"","project_id":79,"tracker_id":40,"status_id":1,"priority_id":2,"assigned_to_id":23,"start_date":"2017-03-26","description":"","custom_fields":[{"id":1,"name":"Subdivision","value":"EC"},{"id":4,"name":"Milepost","value":"23.3309"},{"id":17,"name":"Train ID","value":"171-26"},{"id":16,"name":"Locomotive ID","value":"4027"},{"id":130,"name":"Impact","value":""},{"id":150,"name":"Time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1"/>
        <v>start /low /b %USERPROFILE%\Documents\GitHub\eaglep3\Utilities\DownloadLogsFromS3.py --loco 4027 --day 2017-03-26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731</v>
      </c>
      <c r="B85" s="7">
        <v>4028</v>
      </c>
      <c r="C85" s="21" t="s">
        <v>219</v>
      </c>
      <c r="D85" s="21" t="s">
        <v>447</v>
      </c>
      <c r="E85" s="13">
        <v>42820.554351851853</v>
      </c>
      <c r="F85" s="13">
        <v>42820.559884259259</v>
      </c>
      <c r="G85" s="7">
        <v>1</v>
      </c>
      <c r="H85" s="21" t="s">
        <v>586</v>
      </c>
      <c r="I85" s="13">
        <v>42820.588240740741</v>
      </c>
      <c r="J85" s="7">
        <v>0</v>
      </c>
      <c r="K85" s="98" t="str">
        <f t="shared" si="26"/>
        <v>4027/4028</v>
      </c>
      <c r="L85" s="21" t="str">
        <f>VLOOKUP(A85,'Trips&amp;Operators'!$C$1:$G$99999,5,FALSE)</f>
        <v>BRANDNER MELINDA</v>
      </c>
      <c r="M85" s="6">
        <f t="shared" si="27"/>
        <v>2.8356481481750961E-2</v>
      </c>
      <c r="N85" s="7">
        <f t="shared" si="24"/>
        <v>40.833333333721384</v>
      </c>
      <c r="O85" s="7"/>
      <c r="P85" s="7"/>
      <c r="Q85" s="22"/>
      <c r="R85" s="22"/>
      <c r="S85" s="31">
        <f t="shared" si="25"/>
        <v>1</v>
      </c>
      <c r="T85" s="46" t="str">
        <f t="shared" si="28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9"/>
        <v>https://d0f6bd738d7f1b3e5a7ca70fe4ff75f0.us-east-1.aws.found.io/app/kibana#/discover/Steve-Slow-Train-Analysis-(2080s-and-2083s)?_g=(refreshInterval:(display:Off,pause:!f,section:0,value:0),time:(from:'2017-03-26T12:18:16-0600',mode:absolute,to:'2017-03-26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187" t="str">
        <f t="shared" si="30"/>
        <v>N</v>
      </c>
      <c r="X85" s="187">
        <f t="shared" si="31"/>
        <v>1</v>
      </c>
      <c r="Y85" s="62">
        <f t="shared" si="32"/>
        <v>23.297999999999998</v>
      </c>
      <c r="Z85" s="62">
        <f t="shared" si="33"/>
        <v>1.67E-2</v>
      </c>
      <c r="AA85" s="62">
        <f t="shared" si="34"/>
        <v>23.281299999999998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5"/>
        <v>0172-26</v>
      </c>
      <c r="AE85" s="85" t="str">
        <f t="shared" si="36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85" s="82" t="str">
        <f t="shared" si="37"/>
        <v>"C:\Program Files (x86)\AstroGrep\AstroGrep.exe" /e /r /s /spath="%USERPROFILE%\AppData\Local\Temp\OnboardLogs" /stypes="app*4028*20170326*" /stext=" 20:.+((SYSTEM_STATE.+slice.+state.+changed )|(ment ac)|(multiple cpu faults)|(system.+state.+changed )|(\[timeout)|(PRM\|1\|D)|(kpr)|(kdp)|(\|lc)|(penalty))"</v>
      </c>
      <c r="AG85" s="1" t="str">
        <f t="shared" si="38"/>
        <v>EC</v>
      </c>
      <c r="AH85" s="86" t="str">
        <f t="shared" si="39"/>
        <v>"%USERPROFILE%\Documents\GitHub\eaglep3\Utilities\RefineRTDCRunTimes.py" --tripid 172-26 --locoid 4028 --swversion DE.1.0.9.0 --startMP 204:232980 --initTime 2017-03-26T13:18:16 --startdatetime 2017-03-26T13:26:14 --delay 1 --endMP 204:167 --enddatetime 2017-03-26T14:07:04 --enforcementcount 0 &gt;&gt;C:\Users\stu\Documents\GitHub\eaglep3-reporting\EC\2017-03-26-refined-times.txt</v>
      </c>
      <c r="AI8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{"issue":{"subject":"","project_id":79,"tracker_id":40,"status_id":1,"priority_id":2,"assigned_to_id":23,"start_date":"2017-03-26","description":"","custom_fields":[{"id":1,"name":"Subdivision","value":"EC"},{"id":4,"name":"Milepost","value":"0.0167"},{"id":17,"name":"Train ID","value":"172-26"},{"id":16,"name":"Locomotive ID","value":"4028"},{"id":130,"name":"Impact","value":""},{"id":150,"name":"Time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1"/>
        <v>start /low /b %USERPROFILE%\Documents\GitHub\eaglep3\Utilities\DownloadLogsFromS3.py --loco 4028 --day 2017-03-26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</row>
    <row r="86" spans="1:91" s="20" customFormat="1" x14ac:dyDescent="0.25">
      <c r="A86" s="33" t="s">
        <v>725</v>
      </c>
      <c r="B86" s="7">
        <v>4025</v>
      </c>
      <c r="C86" s="21" t="s">
        <v>219</v>
      </c>
      <c r="D86" s="21" t="s">
        <v>543</v>
      </c>
      <c r="E86" s="13">
        <v>42820.526469907411</v>
      </c>
      <c r="F86" s="13">
        <v>42820.531469907408</v>
      </c>
      <c r="G86" s="7">
        <v>1</v>
      </c>
      <c r="H86" s="21" t="s">
        <v>220</v>
      </c>
      <c r="I86" s="13">
        <v>42820.557314814818</v>
      </c>
      <c r="J86" s="7">
        <v>0</v>
      </c>
      <c r="K86" s="98" t="str">
        <f t="shared" si="26"/>
        <v>4025/4026</v>
      </c>
      <c r="L86" s="21" t="str">
        <f>VLOOKUP(A86,'Trips&amp;Operators'!$C$1:$G$99999,5,FALSE)</f>
        <v>STEWART MICHAEL</v>
      </c>
      <c r="M86" s="6">
        <f t="shared" si="27"/>
        <v>2.584490740991896E-2</v>
      </c>
      <c r="N86" s="7">
        <f t="shared" si="24"/>
        <v>37.216666670283303</v>
      </c>
      <c r="O86" s="7"/>
      <c r="P86" s="7"/>
      <c r="Q86" s="22"/>
      <c r="R86" s="22"/>
      <c r="S86" s="31">
        <f t="shared" si="25"/>
        <v>1</v>
      </c>
      <c r="T86" s="46" t="str">
        <f t="shared" si="28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9"/>
        <v>https://d0f6bd738d7f1b3e5a7ca70fe4ff75f0.us-east-1.aws.found.io/app/kibana#/discover/Steve-Slow-Train-Analysis-(2080s-and-2083s)?_g=(refreshInterval:(display:Off,pause:!f,section:0,value:0),time:(from:'2017-03-26T11:38:07-0600',mode:absolute,to:'2017-03-26T14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87" t="str">
        <f t="shared" si="30"/>
        <v>N</v>
      </c>
      <c r="X86" s="187">
        <f t="shared" si="31"/>
        <v>1</v>
      </c>
      <c r="Y86" s="62">
        <f t="shared" si="32"/>
        <v>4.58E-2</v>
      </c>
      <c r="Z86" s="62">
        <f t="shared" si="33"/>
        <v>23.329699999999999</v>
      </c>
      <c r="AA86" s="62">
        <f t="shared" si="34"/>
        <v>23.283899999999999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5"/>
        <v>0173-26</v>
      </c>
      <c r="AE86" s="85" t="str">
        <f t="shared" si="36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86" s="82" t="str">
        <f t="shared" si="37"/>
        <v>"C:\Program Files (x86)\AstroGrep\AstroGrep.exe" /e /r /s /spath="%USERPROFILE%\AppData\Local\Temp\OnboardLogs" /stypes="app*4025*20170326*" /stext=" 19:.+((SYSTEM_STATE.+slice.+state.+changed )|(ment ac)|(multiple cpu faults)|(system.+state.+changed )|(\[timeout)|(PRM\|1\|D)|(kpr)|(kdp)|(\|lc)|(penalty))"</v>
      </c>
      <c r="AG86" s="1" t="str">
        <f t="shared" si="38"/>
        <v>EC</v>
      </c>
      <c r="AH86" s="86" t="str">
        <f t="shared" si="39"/>
        <v>"%USERPROFILE%\Documents\GitHub\eaglep3\Utilities\RefineRTDCRunTimes.py" --tripid 173-26 --locoid 4025 --swversion DE.1.0.9.0 --startMP 204:458 --initTime 2017-03-26T12:38:07 --startdatetime 2017-03-26T12:45:19 --delay 1 --endMP 204:233297 --enddatetime 2017-03-26T13:22:32 --enforcementcount 0 &gt;&gt;C:\Users\stu\Documents\GitHub\eaglep3-reporting\EC\2017-03-26-refined-times.txt</v>
      </c>
      <c r="AI8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{"issue":{"subject":"","project_id":79,"tracker_id":40,"status_id":1,"priority_id":2,"assigned_to_id":23,"start_date":"2017-03-26","description":"","custom_fields":[{"id":1,"name":"Subdivision","value":"EC"},{"id":4,"name":"Milepost","value":"23.3297"},{"id":17,"name":"Train ID","value":"173-26"},{"id":16,"name":"Locomotive ID","value":"4025"},{"id":130,"name":"Impact","value":""},{"id":150,"name":"Time of Event (Mountain Time)","value":"13:22:32"},{"id":151,"name":"Denver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1"/>
        <v>start /low /b %USERPROFILE%\Documents\GitHub\eaglep3\Utilities\DownloadLogsFromS3.py --loco 4025 --day 2017-03-26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611</v>
      </c>
      <c r="B87" s="7">
        <v>4026</v>
      </c>
      <c r="C87" s="21" t="s">
        <v>219</v>
      </c>
      <c r="D87" s="21" t="s">
        <v>867</v>
      </c>
      <c r="E87" s="13">
        <v>42820.566678240742</v>
      </c>
      <c r="F87" s="13">
        <v>42820.570393518516</v>
      </c>
      <c r="G87" s="7">
        <v>1</v>
      </c>
      <c r="H87" s="21" t="s">
        <v>868</v>
      </c>
      <c r="I87" s="13">
        <v>42820.597430555557</v>
      </c>
      <c r="J87" s="7">
        <v>0</v>
      </c>
      <c r="K87" s="98" t="str">
        <f t="shared" si="26"/>
        <v>4025/4026</v>
      </c>
      <c r="L87" s="21" t="str">
        <f>VLOOKUP(A87,'Trips&amp;Operators'!$C$1:$G$99999,5,FALSE)</f>
        <v>STEWART MICHAEL</v>
      </c>
      <c r="M87" s="6">
        <f t="shared" si="27"/>
        <v>2.7037037041736767E-2</v>
      </c>
      <c r="N87" s="7">
        <f t="shared" si="24"/>
        <v>38.933333340100944</v>
      </c>
      <c r="O87" s="7"/>
      <c r="P87" s="7"/>
      <c r="Q87" s="22"/>
      <c r="R87" s="22"/>
      <c r="S87" s="31">
        <f t="shared" si="25"/>
        <v>1</v>
      </c>
      <c r="T87" s="46" t="str">
        <f t="shared" si="28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9"/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187" t="str">
        <f t="shared" si="30"/>
        <v>N</v>
      </c>
      <c r="X87" s="187">
        <f t="shared" si="31"/>
        <v>1</v>
      </c>
      <c r="Y87" s="62">
        <f t="shared" si="32"/>
        <v>23.2974</v>
      </c>
      <c r="Z87" s="62">
        <f t="shared" si="33"/>
        <v>5.3699999999999998E-2</v>
      </c>
      <c r="AA87" s="62">
        <f t="shared" si="34"/>
        <v>23.2437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5"/>
        <v>0174-26</v>
      </c>
      <c r="AE87" s="85" t="str">
        <f t="shared" si="36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87" s="82" t="str">
        <f t="shared" si="37"/>
        <v>"C:\Program Files (x86)\AstroGrep\AstroGrep.exe" /e /r /s /spath="%USERPROFILE%\AppData\Local\Temp\OnboardLogs" /stypes="app*4026*20170326*" /stext=" 20:.+((SYSTEM_STATE.+slice.+state.+changed )|(ment ac)|(multiple cpu faults)|(system.+state.+changed )|(\[timeout)|(PRM\|1\|D)|(kpr)|(kdp)|(\|lc)|(penalty))"</v>
      </c>
      <c r="AG87" s="1" t="str">
        <f t="shared" si="38"/>
        <v>EC</v>
      </c>
      <c r="AH87" s="86" t="str">
        <f t="shared" si="39"/>
        <v>"%USERPROFILE%\Documents\GitHub\eaglep3\Utilities\RefineRTDCRunTimes.py" --tripid 174-26 --locoid 4026 --swversion DE.1.0.9.0 --startMP 204:232974 --initTime 2017-03-26T13:36:01 --startdatetime 2017-03-26T13:41:22 --delay 1 --endMP 204:537 --enddatetime 2017-03-26T14:20:18 --enforcementcount 0 &gt;&gt;C:\Users\stu\Documents\GitHub\eaglep3-reporting\EC\2017-03-26-refined-times.txt</v>
      </c>
      <c r="AI8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{"issue":{"subject":"","project_id":79,"tracker_id":40,"status_id":1,"priority_id":2,"assigned_to_id":23,"start_date":"2017-03-26","description":"","custom_fields":[{"id":1,"name":"Subdivision","value":"EC"},{"id":4,"name":"Milepost","value":"0.0537"},{"id":17,"name":"Train ID","value":"174-26"},{"id":16,"name":"Locomotive ID","value":"4026"},{"id":130,"name":"Impact","value":""},{"id":150,"name":"Time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1"/>
        <v>start /low /b %USERPROFILE%\Documents\GitHub\eaglep3\Utilities\DownloadLogsFromS3.py --loco 4026 --day 2017-03-26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728</v>
      </c>
      <c r="B88" s="7">
        <v>4031</v>
      </c>
      <c r="C88" s="21" t="s">
        <v>219</v>
      </c>
      <c r="D88" s="21" t="s">
        <v>543</v>
      </c>
      <c r="E88" s="13">
        <v>42820.538912037038</v>
      </c>
      <c r="F88" s="13">
        <v>42820.541967592595</v>
      </c>
      <c r="G88" s="7">
        <v>1</v>
      </c>
      <c r="H88" s="21" t="s">
        <v>570</v>
      </c>
      <c r="I88" s="13">
        <v>42820.568229166667</v>
      </c>
      <c r="J88" s="7">
        <v>0</v>
      </c>
      <c r="K88" s="98" t="str">
        <f t="shared" si="26"/>
        <v>4031/4032</v>
      </c>
      <c r="L88" s="21" t="str">
        <f>VLOOKUP(A88,'Trips&amp;Operators'!$C$1:$G$99999,5,FALSE)</f>
        <v>DAVIS MICHAEL</v>
      </c>
      <c r="M88" s="6">
        <f t="shared" si="27"/>
        <v>2.626157407212304E-2</v>
      </c>
      <c r="N88" s="7">
        <f t="shared" si="24"/>
        <v>37.816666663857177</v>
      </c>
      <c r="O88" s="7"/>
      <c r="P88" s="7"/>
      <c r="Q88" s="22"/>
      <c r="R88" s="22"/>
      <c r="S88" s="31">
        <f t="shared" si="25"/>
        <v>1</v>
      </c>
      <c r="T88" s="46" t="str">
        <f t="shared" si="28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9"/>
        <v>https://d0f6bd738d7f1b3e5a7ca70fe4ff75f0.us-east-1.aws.found.io/app/kibana#/discover/Steve-Slow-Train-Analysis-(2080s-and-2083s)?_g=(refreshInterval:(display:Off,pause:!f,section:0,value:0),time:(from:'2017-03-26T11:56:02-0600',mode:absolute,to:'2017-03-26T14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7" t="str">
        <f t="shared" si="30"/>
        <v>N</v>
      </c>
      <c r="X88" s="187">
        <f t="shared" si="31"/>
        <v>1</v>
      </c>
      <c r="Y88" s="62">
        <f t="shared" si="32"/>
        <v>4.58E-2</v>
      </c>
      <c r="Z88" s="62">
        <f t="shared" si="33"/>
        <v>23.326799999999999</v>
      </c>
      <c r="AA88" s="62">
        <f t="shared" si="34"/>
        <v>23.280999999999999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5"/>
        <v>0175-26</v>
      </c>
      <c r="AE88" s="85" t="str">
        <f t="shared" si="36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88" s="82" t="str">
        <f t="shared" si="37"/>
        <v>"C:\Program Files (x86)\AstroGrep\AstroGrep.exe" /e /r /s /spath="%USERPROFILE%\AppData\Local\Temp\OnboardLogs" /stypes="app*4031*20170326*" /stext=" 19:.+((SYSTEM_STATE.+slice.+state.+changed )|(ment ac)|(multiple cpu faults)|(system.+state.+changed )|(\[timeout)|(PRM\|1\|D)|(kpr)|(kdp)|(\|lc)|(penalty))"</v>
      </c>
      <c r="AG88" s="1" t="str">
        <f t="shared" si="38"/>
        <v>EC</v>
      </c>
      <c r="AH88" s="86" t="str">
        <f t="shared" si="39"/>
        <v>"%USERPROFILE%\Documents\GitHub\eaglep3\Utilities\RefineRTDCRunTimes.py" --tripid 175-26 --locoid 4031 --swversion DE.1.0.9.0 --startMP 204:458 --initTime 2017-03-26T12:56:02 --startdatetime 2017-03-26T13:00:26 --delay 1 --endMP 204:233268 --enddatetime 2017-03-26T13:38:15 --enforcementcount 0 &gt;&gt;C:\Users\stu\Documents\GitHub\eaglep3-reporting\EC\2017-03-26-refined-times.txt</v>
      </c>
      <c r="AI8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{"issue":{"subject":"","project_id":79,"tracker_id":40,"status_id":1,"priority_id":2,"assigned_to_id":23,"start_date":"2017-03-26","description":"","custom_fields":[{"id":1,"name":"Subdivision","value":"EC"},{"id":4,"name":"Milepost","value":"23.3268"},{"id":17,"name":"Train ID","value":"175-26"},{"id":16,"name":"Locomotive ID","value":"4031"},{"id":130,"name":"Impact","value":""},{"id":150,"name":"Time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1"/>
        <v>start /low /b %USERPROFILE%\Documents\GitHub\eaglep3\Utilities\DownloadLogsFromS3.py --loco 4031 --day 2017-03-26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734</v>
      </c>
      <c r="B89" s="7">
        <v>4032</v>
      </c>
      <c r="C89" s="21" t="s">
        <v>219</v>
      </c>
      <c r="D89" s="21" t="s">
        <v>580</v>
      </c>
      <c r="E89" s="13">
        <v>42820.57613425926</v>
      </c>
      <c r="F89" s="13">
        <v>42820.580810185187</v>
      </c>
      <c r="G89" s="7">
        <v>1</v>
      </c>
      <c r="H89" s="21" t="s">
        <v>869</v>
      </c>
      <c r="I89" s="13">
        <v>42820.609074074076</v>
      </c>
      <c r="J89" s="7">
        <v>0</v>
      </c>
      <c r="K89" s="98" t="str">
        <f t="shared" si="26"/>
        <v>4031/4032</v>
      </c>
      <c r="L89" s="21" t="str">
        <f>VLOOKUP(A89,'Trips&amp;Operators'!$C$1:$G$99999,5,FALSE)</f>
        <v>DAVIS MICHAEL</v>
      </c>
      <c r="M89" s="6">
        <f t="shared" si="27"/>
        <v>2.8263888889341615E-2</v>
      </c>
      <c r="N89" s="7">
        <f t="shared" si="24"/>
        <v>40.700000000651926</v>
      </c>
      <c r="O89" s="7"/>
      <c r="P89" s="7"/>
      <c r="Q89" s="22"/>
      <c r="R89" s="22"/>
      <c r="S89" s="31">
        <f t="shared" si="25"/>
        <v>1</v>
      </c>
      <c r="T89" s="46" t="str">
        <f t="shared" si="28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9"/>
        <v>https://d0f6bd738d7f1b3e5a7ca70fe4ff75f0.us-east-1.aws.found.io/app/kibana#/discover/Steve-Slow-Train-Analysis-(2080s-and-2083s)?_g=(refreshInterval:(display:Off,pause:!f,section:0,value:0),time:(from:'2017-03-26T12:49:38-0600',mode:absolute,to:'2017-03-26T15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7" t="str">
        <f t="shared" si="30"/>
        <v>N</v>
      </c>
      <c r="X89" s="187">
        <f t="shared" si="31"/>
        <v>1</v>
      </c>
      <c r="Y89" s="62">
        <f t="shared" si="32"/>
        <v>23.298999999999999</v>
      </c>
      <c r="Z89" s="62">
        <f t="shared" si="33"/>
        <v>1.32E-2</v>
      </c>
      <c r="AA89" s="62">
        <f t="shared" si="34"/>
        <v>23.285799999999998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5"/>
        <v>0176-26</v>
      </c>
      <c r="AE89" s="85" t="str">
        <f t="shared" si="36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89" s="82" t="str">
        <f t="shared" si="37"/>
        <v>"C:\Program Files (x86)\AstroGrep\AstroGrep.exe" /e /r /s /spath="%USERPROFILE%\AppData\Local\Temp\OnboardLogs" /stypes="app*4032*20170326*" /stext=" 20:.+((SYSTEM_STATE.+slice.+state.+changed )|(ment ac)|(multiple cpu faults)|(system.+state.+changed )|(\[timeout)|(PRM\|1\|D)|(kpr)|(kdp)|(\|lc)|(penalty))"</v>
      </c>
      <c r="AG89" s="1" t="str">
        <f t="shared" si="38"/>
        <v>EC</v>
      </c>
      <c r="AH89" s="86" t="str">
        <f t="shared" si="39"/>
        <v>"%USERPROFILE%\Documents\GitHub\eaglep3\Utilities\RefineRTDCRunTimes.py" --tripid 176-26 --locoid 4032 --swversion DE.1.0.9.0 --startMP 204:232990 --initTime 2017-03-26T13:49:38 --startdatetime 2017-03-26T13:56:22 --delay 1 --endMP 204:132 --enddatetime 2017-03-26T14:37:04 --enforcementcount 0 &gt;&gt;C:\Users\stu\Documents\GitHub\eaglep3-reporting\EC\2017-03-26-refined-times.txt</v>
      </c>
      <c r="AI8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{"issue":{"subject":"","project_id":79,"tracker_id":40,"status_id":1,"priority_id":2,"assigned_to_id":23,"start_date":"2017-03-26","description":"","custom_fields":[{"id":1,"name":"Subdivision","value":"EC"},{"id":4,"name":"Milepost","value":"0.0132"},{"id":17,"name":"Train ID","value":"176-26"},{"id":16,"name":"Locomotive ID","value":"4032"},{"id":130,"name":"Impact","value":""},{"id":150,"name":"Time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1"/>
        <v>start /low /b %USERPROFILE%\Documents\GitHub\eaglep3\Utilities\DownloadLogsFromS3.py --loco 4032 --day 2017-03-26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</row>
    <row r="90" spans="1:91" s="20" customFormat="1" x14ac:dyDescent="0.25">
      <c r="A90" s="33" t="s">
        <v>730</v>
      </c>
      <c r="B90" s="7">
        <v>4046</v>
      </c>
      <c r="C90" s="21" t="s">
        <v>219</v>
      </c>
      <c r="D90" s="21" t="s">
        <v>870</v>
      </c>
      <c r="E90" s="13">
        <v>42820.54755787037</v>
      </c>
      <c r="F90" s="13">
        <v>42820.552245370367</v>
      </c>
      <c r="G90" s="7">
        <v>1</v>
      </c>
      <c r="H90" s="21" t="s">
        <v>871</v>
      </c>
      <c r="I90" s="13">
        <v>42820.577152777776</v>
      </c>
      <c r="J90" s="7">
        <v>0</v>
      </c>
      <c r="K90" s="98" t="str">
        <f t="shared" si="26"/>
        <v>4045/4046</v>
      </c>
      <c r="L90" s="21" t="str">
        <f>VLOOKUP(A90,'Trips&amp;Operators'!$C$1:$G$99999,5,FALSE)</f>
        <v>LEVIN SCOTT</v>
      </c>
      <c r="M90" s="6">
        <f t="shared" si="27"/>
        <v>2.4907407409045845E-2</v>
      </c>
      <c r="N90" s="7">
        <f t="shared" si="24"/>
        <v>35.866666669026017</v>
      </c>
      <c r="O90" s="7"/>
      <c r="P90" s="7"/>
      <c r="Q90" s="22"/>
      <c r="R90" s="22"/>
      <c r="S90" s="31">
        <f t="shared" si="25"/>
        <v>1</v>
      </c>
      <c r="T90" s="46" t="str">
        <f t="shared" si="28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9"/>
        <v>https://d0f6bd738d7f1b3e5a7ca70fe4ff75f0.us-east-1.aws.found.io/app/kibana#/discover/Steve-Slow-Train-Analysis-(2080s-and-2083s)?_g=(refreshInterval:(display:Off,pause:!f,section:0,value:0),time:(from:'2017-03-26T12:08:29-0600',mode:absolute,to:'2017-03-26T14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7" t="str">
        <f t="shared" si="30"/>
        <v>N</v>
      </c>
      <c r="X90" s="187">
        <f t="shared" si="31"/>
        <v>1</v>
      </c>
      <c r="Y90" s="62">
        <f t="shared" si="32"/>
        <v>4.1799999999999997E-2</v>
      </c>
      <c r="Z90" s="62">
        <f t="shared" si="33"/>
        <v>23.337399999999999</v>
      </c>
      <c r="AA90" s="62">
        <f t="shared" si="34"/>
        <v>23.2956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5"/>
        <v>0177-26</v>
      </c>
      <c r="AE90" s="85" t="str">
        <f t="shared" si="36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90" s="82" t="str">
        <f t="shared" si="37"/>
        <v>"C:\Program Files (x86)\AstroGrep\AstroGrep.exe" /e /r /s /spath="%USERPROFILE%\AppData\Local\Temp\OnboardLogs" /stypes="app*4046*20170326*" /stext=" 19:.+((SYSTEM_STATE.+slice.+state.+changed )|(ment ac)|(multiple cpu faults)|(system.+state.+changed )|(\[timeout)|(PRM\|1\|D)|(kpr)|(kdp)|(\|lc)|(penalty))"</v>
      </c>
      <c r="AG90" s="1" t="str">
        <f t="shared" si="38"/>
        <v>EC</v>
      </c>
      <c r="AH90" s="86" t="str">
        <f t="shared" si="39"/>
        <v>"%USERPROFILE%\Documents\GitHub\eaglep3\Utilities\RefineRTDCRunTimes.py" --tripid 177-26 --locoid 4046 --swversion DE.1.0.9.0 --startMP 204:418 --initTime 2017-03-26T13:08:29 --startdatetime 2017-03-26T13:15:14 --delay 1 --endMP 204:233374 --enddatetime 2017-03-26T13:51:06 --enforcementcount 0 &gt;&gt;C:\Users\stu\Documents\GitHub\eaglep3-reporting\EC\2017-03-26-refined-times.txt</v>
      </c>
      <c r="AI9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{"issue":{"subject":"","project_id":79,"tracker_id":40,"status_id":1,"priority_id":2,"assigned_to_id":23,"start_date":"2017-03-26","description":"","custom_fields":[{"id":1,"name":"Subdivision","value":"EC"},{"id":4,"name":"Milepost","value":"23.3374"},{"id":17,"name":"Train ID","value":"177-26"},{"id":16,"name":"Locomotive ID","value":"4046"},{"id":130,"name":"Impact","value":""},{"id":150,"name":"Time of Event (Mountain Time)","value":"13:51:06"},{"id":151,"name":"Denver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1"/>
        <v>start /low /b %USERPROFILE%\Documents\GitHub\eaglep3\Utilities\DownloadLogsFromS3.py --loco 4046 --day 2017-03-26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613</v>
      </c>
      <c r="B91" s="7">
        <v>4045</v>
      </c>
      <c r="C91" s="21" t="s">
        <v>219</v>
      </c>
      <c r="D91" s="21" t="s">
        <v>872</v>
      </c>
      <c r="E91" s="13">
        <v>42820.586689814816</v>
      </c>
      <c r="F91" s="13">
        <v>42820.591157407405</v>
      </c>
      <c r="G91" s="7">
        <v>1</v>
      </c>
      <c r="H91" s="21" t="s">
        <v>873</v>
      </c>
      <c r="I91" s="13">
        <v>42820.616909722223</v>
      </c>
      <c r="J91" s="7">
        <v>0</v>
      </c>
      <c r="K91" s="98" t="str">
        <f t="shared" si="26"/>
        <v>4045/4046</v>
      </c>
      <c r="L91" s="21" t="str">
        <f>VLOOKUP(A91,'Trips&amp;Operators'!$C$1:$G$99999,5,FALSE)</f>
        <v>LEVIN SCOTT</v>
      </c>
      <c r="M91" s="6">
        <f t="shared" si="27"/>
        <v>2.5752314817509614E-2</v>
      </c>
      <c r="N91" s="7">
        <f t="shared" si="24"/>
        <v>37.083333337213844</v>
      </c>
      <c r="O91" s="7"/>
      <c r="P91" s="7"/>
      <c r="Q91" s="22"/>
      <c r="R91" s="22"/>
      <c r="S91" s="31">
        <f t="shared" si="25"/>
        <v>1</v>
      </c>
      <c r="T91" s="46" t="str">
        <f t="shared" si="28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9"/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7" t="str">
        <f t="shared" si="30"/>
        <v>N</v>
      </c>
      <c r="X91" s="187">
        <f t="shared" si="31"/>
        <v>1</v>
      </c>
      <c r="Y91" s="62">
        <f t="shared" si="32"/>
        <v>23.307400000000001</v>
      </c>
      <c r="Z91" s="62">
        <f t="shared" si="33"/>
        <v>1.9099999999999999E-2</v>
      </c>
      <c r="AA91" s="62">
        <f t="shared" si="34"/>
        <v>23.2883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5"/>
        <v>0178-26</v>
      </c>
      <c r="AE91" s="85" t="str">
        <f t="shared" si="36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91" s="82" t="str">
        <f t="shared" si="37"/>
        <v>"C:\Program Files (x86)\AstroGrep\AstroGrep.exe" /e /r /s /spath="%USERPROFILE%\AppData\Local\Temp\OnboardLogs" /stypes="app*4045*20170326*" /stext=" 20:.+((SYSTEM_STATE.+slice.+state.+changed )|(ment ac)|(multiple cpu faults)|(system.+state.+changed )|(\[timeout)|(PRM\|1\|D)|(kpr)|(kdp)|(\|lc)|(penalty))"</v>
      </c>
      <c r="AG91" s="1" t="str">
        <f t="shared" si="38"/>
        <v>EC</v>
      </c>
      <c r="AH91" s="86" t="str">
        <f t="shared" si="39"/>
        <v>"%USERPROFILE%\Documents\GitHub\eaglep3\Utilities\RefineRTDCRunTimes.py" --tripid 178-26 --locoid 4045 --swversion DE.1.0.9.0 --startMP 204:233074 --initTime 2017-03-26T14:04:50 --startdatetime 2017-03-26T14:11:16 --delay 1 --endMP 204:191 --enddatetime 2017-03-26T14:48:21 --enforcementcount 0 &gt;&gt;C:\Users\stu\Documents\GitHub\eaglep3-reporting\EC\2017-03-26-refined-times.txt</v>
      </c>
      <c r="AI9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{"issue":{"subject":"","project_id":79,"tracker_id":40,"status_id":1,"priority_id":2,"assigned_to_id":23,"start_date":"2017-03-26","description":"","custom_fields":[{"id":1,"name":"Subdivision","value":"EC"},{"id":4,"name":"Milepost","value":"0.0191"},{"id":17,"name":"Train ID","value":"178-26"},{"id":16,"name":"Locomotive ID","value":"4045"},{"id":130,"name":"Impact","value":""},{"id":150,"name":"Time of Event (Mountain Time)","value":"14:48:21"},{"id":151,"name":"Denver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1"/>
        <v>start /low /b %USERPROFILE%\Documents\GitHub\eaglep3\Utilities\DownloadLogsFromS3.py --loco 4045 --day 2017-03-26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732</v>
      </c>
      <c r="B92" s="7">
        <v>4018</v>
      </c>
      <c r="C92" s="21" t="s">
        <v>219</v>
      </c>
      <c r="D92" s="21" t="s">
        <v>213</v>
      </c>
      <c r="E92" s="13">
        <v>42820.557743055557</v>
      </c>
      <c r="F92" s="13">
        <v>42820.562673611108</v>
      </c>
      <c r="G92" s="7">
        <v>1</v>
      </c>
      <c r="H92" s="21" t="s">
        <v>531</v>
      </c>
      <c r="I92" s="13">
        <v>42820.587083333332</v>
      </c>
      <c r="J92" s="7">
        <v>0</v>
      </c>
      <c r="K92" s="98" t="str">
        <f t="shared" si="26"/>
        <v>4017/4018</v>
      </c>
      <c r="L92" s="21" t="str">
        <f>VLOOKUP(A92,'Trips&amp;Operators'!$C$1:$G$99999,5,FALSE)</f>
        <v>BRUDER RICHARD</v>
      </c>
      <c r="M92" s="6">
        <f t="shared" si="27"/>
        <v>2.4409722223936114E-2</v>
      </c>
      <c r="N92" s="7">
        <f t="shared" si="24"/>
        <v>35.150000002468005</v>
      </c>
      <c r="O92" s="7"/>
      <c r="P92" s="7"/>
      <c r="Q92" s="22"/>
      <c r="R92" s="22"/>
      <c r="S92" s="31">
        <f t="shared" si="25"/>
        <v>1</v>
      </c>
      <c r="T92" s="46" t="str">
        <f t="shared" si="28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9"/>
        <v>https://d0f6bd738d7f1b3e5a7ca70fe4ff75f0.us-east-1.aws.found.io/app/kibana#/discover/Steve-Slow-Train-Analysis-(2080s-and-2083s)?_g=(refreshInterval:(display:Off,pause:!f,section:0,value:0),time:(from:'2017-03-26T12:23:09-0600',mode:absolute,to:'2017-03-26T15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87" t="str">
        <f t="shared" si="30"/>
        <v>N</v>
      </c>
      <c r="X92" s="187">
        <f t="shared" si="31"/>
        <v>1</v>
      </c>
      <c r="Y92" s="62">
        <f t="shared" si="32"/>
        <v>4.5499999999999999E-2</v>
      </c>
      <c r="Z92" s="62">
        <f t="shared" si="33"/>
        <v>23.329499999999999</v>
      </c>
      <c r="AA92" s="62">
        <f t="shared" si="34"/>
        <v>23.283999999999999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5"/>
        <v>0179-26</v>
      </c>
      <c r="AE92" s="85" t="str">
        <f t="shared" si="36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92" s="82" t="str">
        <f t="shared" si="37"/>
        <v>"C:\Program Files (x86)\AstroGrep\AstroGrep.exe" /e /r /s /spath="%USERPROFILE%\AppData\Local\Temp\OnboardLogs" /stypes="app*4018*20170326*" /stext=" 20:.+((SYSTEM_STATE.+slice.+state.+changed )|(ment ac)|(multiple cpu faults)|(system.+state.+changed )|(\[timeout)|(PRM\|1\|D)|(kpr)|(kdp)|(\|lc)|(penalty))"</v>
      </c>
      <c r="AG92" s="1" t="str">
        <f t="shared" si="38"/>
        <v>EC</v>
      </c>
      <c r="AH92" s="86" t="str">
        <f t="shared" si="39"/>
        <v>"%USERPROFILE%\Documents\GitHub\eaglep3\Utilities\RefineRTDCRunTimes.py" --tripid 179-26 --locoid 4018 --swversion DE.1.0.9.0 --startMP 204:455 --initTime 2017-03-26T13:23:09 --startdatetime 2017-03-26T13:30:15 --delay 1 --endMP 204:233295 --enddatetime 2017-03-26T14:05:24 --enforcementcount 0 &gt;&gt;C:\Users\stu\Documents\GitHub\eaglep3-reporting\EC\2017-03-26-refined-times.txt</v>
      </c>
      <c r="AI9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{"issue":{"subject":"","project_id":79,"tracker_id":40,"status_id":1,"priority_id":2,"assigned_to_id":23,"start_date":"2017-03-26","description":"","custom_fields":[{"id":1,"name":"Subdivision","value":"EC"},{"id":4,"name":"Milepost","value":"23.3295"},{"id":17,"name":"Train ID","value":"179-26"},{"id":16,"name":"Locomotive ID","value":"4018"},{"id":130,"name":"Impact","value":""},{"id":150,"name":"Time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1"/>
        <v>start /low /b %USERPROFILE%\Documents\GitHub\eaglep3\Utilities\DownloadLogsFromS3.py --loco 4018 --day 2017-03-26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737</v>
      </c>
      <c r="B93" s="7">
        <v>4017</v>
      </c>
      <c r="C93" s="21" t="s">
        <v>219</v>
      </c>
      <c r="D93" s="21" t="s">
        <v>475</v>
      </c>
      <c r="E93" s="13">
        <v>42820.597384259258</v>
      </c>
      <c r="F93" s="13">
        <v>42820.6015625</v>
      </c>
      <c r="G93" s="7">
        <v>1</v>
      </c>
      <c r="H93" s="21" t="s">
        <v>579</v>
      </c>
      <c r="I93" s="13">
        <v>42820.628344907411</v>
      </c>
      <c r="J93" s="7">
        <v>0</v>
      </c>
      <c r="K93" s="98" t="str">
        <f t="shared" si="26"/>
        <v>4017/4018</v>
      </c>
      <c r="L93" s="21" t="str">
        <f>VLOOKUP(A93,'Trips&amp;Operators'!$C$1:$G$99999,5,FALSE)</f>
        <v>BRUDER RICHARD</v>
      </c>
      <c r="M93" s="6">
        <f t="shared" si="27"/>
        <v>2.6782407410792075E-2</v>
      </c>
      <c r="N93" s="7">
        <f t="shared" si="24"/>
        <v>38.566666671540588</v>
      </c>
      <c r="O93" s="7"/>
      <c r="P93" s="7"/>
      <c r="Q93" s="22"/>
      <c r="R93" s="22"/>
      <c r="S93" s="31">
        <f t="shared" si="25"/>
        <v>1</v>
      </c>
      <c r="T93" s="46" t="str">
        <f t="shared" si="28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9"/>
        <v>https://d0f6bd738d7f1b3e5a7ca70fe4ff75f0.us-east-1.aws.found.io/app/kibana#/discover/Steve-Slow-Train-Analysis-(2080s-and-2083s)?_g=(refreshInterval:(display:Off,pause:!f,section:0,value:0),time:(from:'2017-03-26T13:20:14-0600',mode:absolute,to:'2017-03-26T16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187" t="str">
        <f t="shared" si="30"/>
        <v>N</v>
      </c>
      <c r="X93" s="187">
        <f t="shared" si="31"/>
        <v>1</v>
      </c>
      <c r="Y93" s="62">
        <f t="shared" si="32"/>
        <v>23.296500000000002</v>
      </c>
      <c r="Z93" s="62">
        <f t="shared" si="33"/>
        <v>1.41E-2</v>
      </c>
      <c r="AA93" s="62">
        <f t="shared" si="34"/>
        <v>23.282400000000003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5"/>
        <v>0180-26</v>
      </c>
      <c r="AE93" s="85" t="str">
        <f t="shared" si="36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93" s="82" t="str">
        <f t="shared" si="37"/>
        <v>"C:\Program Files (x86)\AstroGrep\AstroGrep.exe" /e /r /s /spath="%USERPROFILE%\AppData\Local\Temp\OnboardLogs" /stypes="app*4017*20170326*" /stext=" 21:.+((SYSTEM_STATE.+slice.+state.+changed )|(ment ac)|(multiple cpu faults)|(system.+state.+changed )|(\[timeout)|(PRM\|1\|D)|(kpr)|(kdp)|(\|lc)|(penalty))"</v>
      </c>
      <c r="AG93" s="1" t="str">
        <f t="shared" si="38"/>
        <v>EC</v>
      </c>
      <c r="AH93" s="86" t="str">
        <f t="shared" si="39"/>
        <v>"%USERPROFILE%\Documents\GitHub\eaglep3\Utilities\RefineRTDCRunTimes.py" --tripid 180-26 --locoid 4017 --swversion DE.1.0.9.0 --startMP 204:232965 --initTime 2017-03-26T14:20:14 --startdatetime 2017-03-26T14:26:15 --delay 1 --endMP 204:141 --enddatetime 2017-03-26T15:04:49 --enforcementcount 0 &gt;&gt;C:\Users\stu\Documents\GitHub\eaglep3-reporting\EC\2017-03-26-refined-times.txt</v>
      </c>
      <c r="AI9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{"issue":{"subject":"","project_id":79,"tracker_id":40,"status_id":1,"priority_id":2,"assigned_to_id":23,"start_date":"2017-03-26","description":"","custom_fields":[{"id":1,"name":"Subdivision","value":"EC"},{"id":4,"name":"Milepost","value":"0.0141"},{"id":17,"name":"Train ID","value":"180-26"},{"id":16,"name":"Locomotive ID","value":"4017"},{"id":130,"name":"Impact","value":""},{"id":150,"name":"Time of Event (Mountain Time)","value":"15:04:49"},{"id":151,"name":"Denver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1"/>
        <v>start /low /b %USERPROFILE%\Documents\GitHub\eaglep3\Utilities\DownloadLogsFromS3.py --loco 4017 --day 2017-03-26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610</v>
      </c>
      <c r="B94" s="7">
        <v>4002</v>
      </c>
      <c r="C94" s="21" t="s">
        <v>219</v>
      </c>
      <c r="D94" s="21" t="s">
        <v>578</v>
      </c>
      <c r="E94" s="13">
        <v>42820.569907407407</v>
      </c>
      <c r="F94" s="13">
        <v>42820.573182870372</v>
      </c>
      <c r="G94" s="7">
        <v>1</v>
      </c>
      <c r="H94" s="21" t="s">
        <v>886</v>
      </c>
      <c r="I94" s="13">
        <v>42820.598622685182</v>
      </c>
      <c r="J94" s="7">
        <v>0</v>
      </c>
      <c r="K94" s="98" t="str">
        <f t="shared" si="26"/>
        <v>4001/4002</v>
      </c>
      <c r="L94" s="21" t="str">
        <f>VLOOKUP(A94,'Trips&amp;Operators'!$C$1:$G$99999,5,FALSE)</f>
        <v>LOCKLEAR TRAVIS</v>
      </c>
      <c r="M94" s="6">
        <f t="shared" si="27"/>
        <v>2.5439814809942618E-2</v>
      </c>
      <c r="N94" s="7">
        <f t="shared" si="24"/>
        <v>36.63333332631737</v>
      </c>
      <c r="O94" s="7"/>
      <c r="P94" s="7"/>
      <c r="Q94" s="22"/>
      <c r="R94" s="22"/>
      <c r="S94" s="31">
        <f t="shared" si="25"/>
        <v>1</v>
      </c>
      <c r="T94" s="46" t="str">
        <f t="shared" si="28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9"/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87" t="str">
        <f t="shared" si="30"/>
        <v>N</v>
      </c>
      <c r="X94" s="187">
        <f t="shared" si="31"/>
        <v>1</v>
      </c>
      <c r="Y94" s="62">
        <f t="shared" si="32"/>
        <v>0.05</v>
      </c>
      <c r="Z94" s="62">
        <f t="shared" si="33"/>
        <v>23.325299999999999</v>
      </c>
      <c r="AA94" s="62">
        <f t="shared" si="34"/>
        <v>23.275299999999998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5"/>
        <v>0181-26</v>
      </c>
      <c r="AE94" s="85" t="str">
        <f t="shared" si="36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94" s="82" t="str">
        <f t="shared" si="37"/>
        <v>"C:\Program Files (x86)\AstroGrep\AstroGrep.exe" /e /r /s /spath="%USERPROFILE%\AppData\Local\Temp\OnboardLogs" /stypes="app*4002*20170326*" /stext=" 20:.+((SYSTEM_STATE.+slice.+state.+changed )|(ment ac)|(multiple cpu faults)|(system.+state.+changed )|(\[timeout)|(PRM\|1\|D)|(kpr)|(kdp)|(\|lc)|(penalty))"</v>
      </c>
      <c r="AG94" s="1" t="str">
        <f t="shared" si="38"/>
        <v>EC</v>
      </c>
      <c r="AH94" s="86" t="str">
        <f t="shared" si="39"/>
        <v>"%USERPROFILE%\Documents\GitHub\eaglep3\Utilities\RefineRTDCRunTimes.py" --tripid 181-26 --locoid 4002 --swversion DE.1.0.9.0 --startMP 204:500 --initTime 2017-03-26T13:40:40 --startdatetime 2017-03-26T13:45:23 --delay 1 --endMP 204:233253 --enddatetime 2017-03-26T14:22:01 --enforcementcount 0 &gt;&gt;C:\Users\stu\Documents\GitHub\eaglep3-reporting\EC\2017-03-26-refined-times.txt</v>
      </c>
      <c r="AI9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{"issue":{"subject":"","project_id":79,"tracker_id":40,"status_id":1,"priority_id":2,"assigned_to_id":23,"start_date":"2017-03-26","description":"","custom_fields":[{"id":1,"name":"Subdivision","value":"EC"},{"id":4,"name":"Milepost","value":"23.3253"},{"id":17,"name":"Train ID","value":"181-26"},{"id":16,"name":"Locomotive ID","value":"4002"},{"id":130,"name":"Impact","value":""},{"id":150,"name":"Time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1"/>
        <v>start /low /b %USERPROFILE%\Documents\GitHub\eaglep3\Utilities\DownloadLogsFromS3.py --loco 4002 --day 2017-03-26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739</v>
      </c>
      <c r="B95" s="7">
        <v>4001</v>
      </c>
      <c r="C95" s="21" t="s">
        <v>219</v>
      </c>
      <c r="D95" s="21" t="s">
        <v>894</v>
      </c>
      <c r="E95" s="13">
        <v>42820.609953703701</v>
      </c>
      <c r="F95" s="13">
        <v>42820.612187500003</v>
      </c>
      <c r="G95" s="7">
        <v>1</v>
      </c>
      <c r="H95" s="21" t="s">
        <v>395</v>
      </c>
      <c r="I95" s="13">
        <v>42820.63863425926</v>
      </c>
      <c r="J95" s="7">
        <v>0</v>
      </c>
      <c r="K95" s="98" t="str">
        <f t="shared" si="26"/>
        <v>4001/4002</v>
      </c>
      <c r="L95" s="21" t="str">
        <f>VLOOKUP(A95,'Trips&amp;Operators'!$C$1:$G$99999,5,FALSE)</f>
        <v>LOCKLEAR TRAVIS</v>
      </c>
      <c r="M95" s="6">
        <f t="shared" si="27"/>
        <v>2.6446759256941732E-2</v>
      </c>
      <c r="N95" s="7">
        <f t="shared" si="24"/>
        <v>38.083333329996094</v>
      </c>
      <c r="O95" s="7"/>
      <c r="P95" s="7"/>
      <c r="Q95" s="22"/>
      <c r="R95" s="22"/>
      <c r="S95" s="31">
        <f t="shared" si="25"/>
        <v>1</v>
      </c>
      <c r="T95" s="46" t="str">
        <f t="shared" si="28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9"/>
        <v>https://d0f6bd738d7f1b3e5a7ca70fe4ff75f0.us-east-1.aws.found.io/app/kibana#/discover/Steve-Slow-Train-Analysis-(2080s-and-2083s)?_g=(refreshInterval:(display:Off,pause:!f,section:0,value:0),time:(from:'2017-03-26T13:38:20-0600',mode:absolute,to:'2017-03-26T16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87" t="str">
        <f t="shared" si="30"/>
        <v>N</v>
      </c>
      <c r="X95" s="187">
        <f t="shared" si="31"/>
        <v>1</v>
      </c>
      <c r="Y95" s="62">
        <f t="shared" si="32"/>
        <v>23.294</v>
      </c>
      <c r="Z95" s="62">
        <f t="shared" si="33"/>
        <v>1.43E-2</v>
      </c>
      <c r="AA95" s="62">
        <f t="shared" si="34"/>
        <v>23.279700000000002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5"/>
        <v>0182-26</v>
      </c>
      <c r="AE95" s="85" t="str">
        <f t="shared" si="3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95" s="82" t="str">
        <f t="shared" si="37"/>
        <v>"C:\Program Files (x86)\AstroGrep\AstroGrep.exe" /e /r /s /spath="%USERPROFILE%\AppData\Local\Temp\OnboardLogs" /stypes="app*4001*20170326*" /stext=" 21:.+((SYSTEM_STATE.+slice.+state.+changed )|(ment ac)|(multiple cpu faults)|(system.+state.+changed )|(\[timeout)|(PRM\|1\|D)|(kpr)|(kdp)|(\|lc)|(penalty))"</v>
      </c>
      <c r="AG95" s="1" t="str">
        <f t="shared" si="38"/>
        <v>EC</v>
      </c>
      <c r="AH95" s="86" t="str">
        <f t="shared" si="39"/>
        <v>"%USERPROFILE%\Documents\GitHub\eaglep3\Utilities\RefineRTDCRunTimes.py" --tripid 182-26 --locoid 4001 --swversion DE.1.0.9.0 --startMP 204:232940 --initTime 2017-03-26T14:38:20 --startdatetime 2017-03-26T14:41:33 --delay 1 --endMP 204:143 --enddatetime 2017-03-26T15:19:38 --enforcementcount 0 &gt;&gt;C:\Users\stu\Documents\GitHub\eaglep3-reporting\EC\2017-03-26-refined-times.txt</v>
      </c>
      <c r="AI9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ID","value":"182-26"},{"id":16,"name":"Locomotive ID","value":"4001"},{"id":130,"name":"Impact","value":""},{"id":150,"name":"Time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1"/>
        <v>start /low /b %USERPROFILE%\Documents\GitHub\eaglep3\Utilities\DownloadLogsFromS3.py --loco 4001 --day 2017-03-26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735</v>
      </c>
      <c r="B96" s="7">
        <v>4003</v>
      </c>
      <c r="C96" s="21" t="s">
        <v>219</v>
      </c>
      <c r="D96" s="21" t="s">
        <v>212</v>
      </c>
      <c r="E96" s="13">
        <v>42820.58048611111</v>
      </c>
      <c r="F96" s="13">
        <v>42820.583483796298</v>
      </c>
      <c r="G96" s="7">
        <v>1</v>
      </c>
      <c r="H96" s="21" t="s">
        <v>903</v>
      </c>
      <c r="I96" s="13">
        <v>42820.608553240738</v>
      </c>
      <c r="J96" s="7">
        <v>0</v>
      </c>
      <c r="K96" s="98" t="str">
        <f t="shared" si="26"/>
        <v>4003/4004</v>
      </c>
      <c r="L96" s="21" t="str">
        <f>VLOOKUP(A96,'Trips&amp;Operators'!$C$1:$G$99999,5,FALSE)</f>
        <v>ROMERO CHAD</v>
      </c>
      <c r="M96" s="6">
        <f t="shared" si="27"/>
        <v>2.5069444440305233E-2</v>
      </c>
      <c r="N96" s="7">
        <f t="shared" si="24"/>
        <v>36.099999994039536</v>
      </c>
      <c r="O96" s="7"/>
      <c r="P96" s="7"/>
      <c r="Q96" s="22"/>
      <c r="R96" s="22"/>
      <c r="S96" s="31">
        <f t="shared" si="25"/>
        <v>1</v>
      </c>
      <c r="T96" s="46" t="str">
        <f t="shared" si="28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9"/>
        <v>https://d0f6bd738d7f1b3e5a7ca70fe4ff75f0.us-east-1.aws.found.io/app/kibana#/discover/Steve-Slow-Train-Analysis-(2080s-and-2083s)?_g=(refreshInterval:(display:Off,pause:!f,section:0,value:0),time:(from:'2017-03-26T12:55:54-0600',mode:absolute,to:'2017-03-26T15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87" t="str">
        <f t="shared" si="30"/>
        <v>N</v>
      </c>
      <c r="X96" s="187">
        <f t="shared" si="31"/>
        <v>1</v>
      </c>
      <c r="Y96" s="62">
        <f t="shared" si="32"/>
        <v>4.53E-2</v>
      </c>
      <c r="Z96" s="62">
        <f t="shared" si="33"/>
        <v>23.336600000000001</v>
      </c>
      <c r="AA96" s="62">
        <f t="shared" si="34"/>
        <v>23.2913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5"/>
        <v>0183-26</v>
      </c>
      <c r="AE96" s="85" t="str">
        <f t="shared" si="36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96" s="82" t="str">
        <f t="shared" si="37"/>
        <v>"C:\Program Files (x86)\AstroGrep\AstroGrep.exe" /e /r /s /spath="%USERPROFILE%\AppData\Local\Temp\OnboardLogs" /stypes="app*4003*20170326*" /stext=" 20:.+((SYSTEM_STATE.+slice.+state.+changed )|(ment ac)|(multiple cpu faults)|(system.+state.+changed )|(\[timeout)|(PRM\|1\|D)|(kpr)|(kdp)|(\|lc)|(penalty))"</v>
      </c>
      <c r="AG96" s="1" t="str">
        <f t="shared" si="38"/>
        <v>EC</v>
      </c>
      <c r="AH96" s="86" t="str">
        <f t="shared" si="39"/>
        <v>"%USERPROFILE%\Documents\GitHub\eaglep3\Utilities\RefineRTDCRunTimes.py" --tripid 183-26 --locoid 4003 --swversion DE.1.0.9.0 --startMP 204:453 --initTime 2017-03-26T13:55:54 --startdatetime 2017-03-26T14:00:13 --delay 1 --endMP 204:233366 --enddatetime 2017-03-26T14:36:19 --enforcementcount 0 &gt;&gt;C:\Users\stu\Documents\GitHub\eaglep3-reporting\EC\2017-03-26-refined-times.txt</v>
      </c>
      <c r="AI9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{"issue":{"subject":"","project_id":79,"tracker_id":40,"status_id":1,"priority_id":2,"assigned_to_id":23,"start_date":"2017-03-26","description":"","custom_fields":[{"id":1,"name":"Subdivision","value":"EC"},{"id":4,"name":"Milepost","value":"23.3366"},{"id":17,"name":"Train ID","value":"183-26"},{"id":16,"name":"Locomotive ID","value":"4003"},{"id":130,"name":"Impact","value":""},{"id":150,"name":"Time of Event (Mountain Time)","value":"14:36:19"},{"id":151,"name":"Denver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1"/>
        <v>start /low /b %USERPROFILE%\Documents\GitHub\eaglep3\Utilities\DownloadLogsFromS3.py --loco 4003 --day 2017-03-26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615</v>
      </c>
      <c r="B97" s="7">
        <v>4004</v>
      </c>
      <c r="C97" s="21" t="s">
        <v>219</v>
      </c>
      <c r="D97" s="21" t="s">
        <v>856</v>
      </c>
      <c r="E97" s="13">
        <v>42820.611585648148</v>
      </c>
      <c r="F97" s="13">
        <v>42820.622523148151</v>
      </c>
      <c r="G97" s="7">
        <v>1</v>
      </c>
      <c r="H97" s="21" t="s">
        <v>498</v>
      </c>
      <c r="I97" s="13">
        <v>42820.648159722223</v>
      </c>
      <c r="J97" s="7">
        <v>0</v>
      </c>
      <c r="K97" s="98" t="str">
        <f t="shared" si="26"/>
        <v>4003/4004</v>
      </c>
      <c r="L97" s="21" t="str">
        <f>VLOOKUP(A97,'Trips&amp;Operators'!$C$1:$G$99999,5,FALSE)</f>
        <v>ROMERO CHAD</v>
      </c>
      <c r="M97" s="6">
        <f t="shared" si="27"/>
        <v>2.5636574071540963E-2</v>
      </c>
      <c r="N97" s="7">
        <f t="shared" si="24"/>
        <v>36.916666663018987</v>
      </c>
      <c r="O97" s="7"/>
      <c r="P97" s="7"/>
      <c r="Q97" s="22"/>
      <c r="R97" s="22"/>
      <c r="S97" s="31">
        <f t="shared" si="25"/>
        <v>1</v>
      </c>
      <c r="T97" s="46" t="str">
        <f t="shared" si="28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9"/>
        <v>https://d0f6bd738d7f1b3e5a7ca70fe4ff75f0.us-east-1.aws.found.io/app/kibana#/discover/Steve-Slow-Train-Analysis-(2080s-and-2083s)?_g=(refreshInterval:(display:Off,pause:!f,section:0,value:0),time:(from:'2017-03-26T13:40:41-0600',mode:absolute,to:'2017-03-26T16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87" t="str">
        <f t="shared" si="30"/>
        <v>N</v>
      </c>
      <c r="X97" s="187">
        <f t="shared" si="31"/>
        <v>1</v>
      </c>
      <c r="Y97" s="62">
        <f t="shared" si="32"/>
        <v>23.302299999999999</v>
      </c>
      <c r="Z97" s="62">
        <f t="shared" si="33"/>
        <v>1.2999999999999999E-2</v>
      </c>
      <c r="AA97" s="62">
        <f t="shared" si="34"/>
        <v>23.289299999999997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5"/>
        <v>0184-26</v>
      </c>
      <c r="AE97" s="85" t="str">
        <f t="shared" si="36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97" s="82" t="str">
        <f t="shared" si="37"/>
        <v>"C:\Program Files (x86)\AstroGrep\AstroGrep.exe" /e /r /s /spath="%USERPROFILE%\AppData\Local\Temp\OnboardLogs" /stypes="app*4004*20170326*" /stext=" 21:.+((SYSTEM_STATE.+slice.+state.+changed )|(ment ac)|(multiple cpu faults)|(system.+state.+changed )|(\[timeout)|(PRM\|1\|D)|(kpr)|(kdp)|(\|lc)|(penalty))"</v>
      </c>
      <c r="AG97" s="1" t="str">
        <f t="shared" si="38"/>
        <v>EC</v>
      </c>
      <c r="AH97" s="86" t="str">
        <f t="shared" si="39"/>
        <v>"%USERPROFILE%\Documents\GitHub\eaglep3\Utilities\RefineRTDCRunTimes.py" --tripid 184-26 --locoid 4004 --swversion DE.1.0.9.0 --startMP 204:233023 --initTime 2017-03-26T14:40:41 --startdatetime 2017-03-26T14:56:26 --delay 1 --endMP 204:130 --enddatetime 2017-03-26T15:33:21 --enforcementcount 0 &gt;&gt;C:\Users\stu\Documents\GitHub\eaglep3-reporting\EC\2017-03-26-refined-times.txt</v>
      </c>
      <c r="AI9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{"issue":{"subject":"","project_id":79,"tracker_id":40,"status_id":1,"priority_id":2,"assigned_to_id":23,"start_date":"2017-03-26","description":"","custom_fields":[{"id":1,"name":"Subdivision","value":"EC"},{"id":4,"name":"Milepost","value":"0.013"},{"id":17,"name":"Train ID","value":"184-26"},{"id":16,"name":"Locomotive ID","value":"4004"},{"id":130,"name":"Impact","value":""},{"id":150,"name":"Time of Event (Mountain Time)","value":"15:33:21"},{"id":151,"name":"Denver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1"/>
        <v>start /low /b %USERPROFILE%\Documents\GitHub\eaglep3\Utilities\DownloadLogsFromS3.py --loco 4004 --day 2017-03-26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</row>
    <row r="98" spans="1:91" s="20" customFormat="1" x14ac:dyDescent="0.25">
      <c r="A98" s="33" t="s">
        <v>612</v>
      </c>
      <c r="B98" s="7">
        <v>4027</v>
      </c>
      <c r="C98" s="21" t="s">
        <v>219</v>
      </c>
      <c r="D98" s="21" t="s">
        <v>212</v>
      </c>
      <c r="E98" s="13">
        <v>42820.590439814812</v>
      </c>
      <c r="F98" s="13">
        <v>42820.593888888892</v>
      </c>
      <c r="G98" s="7">
        <v>1</v>
      </c>
      <c r="H98" s="21" t="s">
        <v>907</v>
      </c>
      <c r="I98" s="13">
        <v>42820.619675925926</v>
      </c>
      <c r="J98" s="7">
        <v>0</v>
      </c>
      <c r="K98" s="98" t="str">
        <f t="shared" si="26"/>
        <v>4027/4028</v>
      </c>
      <c r="L98" s="21" t="str">
        <f>VLOOKUP(A98,'Trips&amp;Operators'!$C$1:$G$99999,5,FALSE)</f>
        <v>BRANDNER MELINDA</v>
      </c>
      <c r="M98" s="6">
        <f t="shared" si="27"/>
        <v>2.5787037033296656E-2</v>
      </c>
      <c r="N98" s="7">
        <f t="shared" si="24"/>
        <v>37.133333327947184</v>
      </c>
      <c r="O98" s="7"/>
      <c r="P98" s="7"/>
      <c r="Q98" s="22"/>
      <c r="R98" s="22"/>
      <c r="S98" s="31">
        <f t="shared" si="25"/>
        <v>1</v>
      </c>
      <c r="T98" s="46" t="str">
        <f t="shared" si="28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9"/>
        <v>https://d0f6bd738d7f1b3e5a7ca70fe4ff75f0.us-east-1.aws.found.io/app/kibana#/discover/Steve-Slow-Train-Analysis-(2080s-and-2083s)?_g=(refreshInterval:(display:Off,pause:!f,section:0,value:0),time:(from:'2017-03-26T13:10:14-0600',mode:absolute,to:'2017-03-26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87" t="str">
        <f t="shared" si="30"/>
        <v>N</v>
      </c>
      <c r="X98" s="187">
        <f t="shared" si="31"/>
        <v>1</v>
      </c>
      <c r="Y98" s="62">
        <f t="shared" si="32"/>
        <v>4.53E-2</v>
      </c>
      <c r="Z98" s="62">
        <f t="shared" si="33"/>
        <v>23.330200000000001</v>
      </c>
      <c r="AA98" s="62">
        <f t="shared" si="34"/>
        <v>23.2849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5"/>
        <v>0185-26</v>
      </c>
      <c r="AE98" s="85" t="str">
        <f t="shared" si="36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98" s="82" t="str">
        <f t="shared" si="37"/>
        <v>"C:\Program Files (x86)\AstroGrep\AstroGrep.exe" /e /r /s /spath="%USERPROFILE%\AppData\Local\Temp\OnboardLogs" /stypes="app*4027*20170326*" /stext=" 20:.+((SYSTEM_STATE.+slice.+state.+changed )|(ment ac)|(multiple cpu faults)|(system.+state.+changed )|(\[timeout)|(PRM\|1\|D)|(kpr)|(kdp)|(\|lc)|(penalty))"</v>
      </c>
      <c r="AG98" s="1" t="str">
        <f t="shared" si="38"/>
        <v>EC</v>
      </c>
      <c r="AH98" s="86" t="str">
        <f t="shared" si="39"/>
        <v>"%USERPROFILE%\Documents\GitHub\eaglep3\Utilities\RefineRTDCRunTimes.py" --tripid 185-26 --locoid 4027 --swversion DE.1.0.9.0 --startMP 204:453 --initTime 2017-03-26T14:10:14 --startdatetime 2017-03-26T14:15:12 --delay 1 --endMP 204:233302 --enddatetime 2017-03-26T14:52:20 --enforcementcount 0 &gt;&gt;C:\Users\stu\Documents\GitHub\eaglep3-reporting\EC\2017-03-26-refined-times.txt</v>
      </c>
      <c r="AI9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{"issue":{"subject":"","project_id":79,"tracker_id":40,"status_id":1,"priority_id":2,"assigned_to_id":23,"start_date":"2017-03-26","description":"","custom_fields":[{"id":1,"name":"Subdivision","value":"EC"},{"id":4,"name":"Milepost","value":"23.3302"},{"id":17,"name":"Train ID","value":"185-26"},{"id":16,"name":"Locomotive ID","value":"4027"},{"id":130,"name":"Impact","value":""},{"id":150,"name":"Time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1"/>
        <v>start /low /b %USERPROFILE%\Documents\GitHub\eaglep3\Utilities\DownloadLogsFromS3.py --loco 4027 --day 2017-03-26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742</v>
      </c>
      <c r="B99" s="7">
        <v>4028</v>
      </c>
      <c r="C99" s="21" t="s">
        <v>219</v>
      </c>
      <c r="D99" s="21" t="s">
        <v>476</v>
      </c>
      <c r="E99" s="13">
        <v>42820.628217592595</v>
      </c>
      <c r="F99" s="13">
        <v>42820.632777777777</v>
      </c>
      <c r="G99" s="7">
        <v>1</v>
      </c>
      <c r="H99" s="21" t="s">
        <v>214</v>
      </c>
      <c r="I99" s="13">
        <v>42820.661215277774</v>
      </c>
      <c r="J99" s="7">
        <v>0</v>
      </c>
      <c r="K99" s="98" t="str">
        <f t="shared" si="26"/>
        <v>4027/4028</v>
      </c>
      <c r="L99" s="21" t="str">
        <f>VLOOKUP(A99,'Trips&amp;Operators'!$C$1:$G$99999,5,FALSE)</f>
        <v>BRANDNER MELINDA</v>
      </c>
      <c r="M99" s="6">
        <f t="shared" si="27"/>
        <v>2.8437499997380655E-2</v>
      </c>
      <c r="N99" s="7">
        <f t="shared" si="24"/>
        <v>40.949999996228144</v>
      </c>
      <c r="O99" s="7"/>
      <c r="P99" s="7"/>
      <c r="Q99" s="22"/>
      <c r="R99" s="22"/>
      <c r="S99" s="31">
        <f t="shared" si="25"/>
        <v>1</v>
      </c>
      <c r="T99" s="46" t="str">
        <f t="shared" si="28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9"/>
        <v>https://d0f6bd738d7f1b3e5a7ca70fe4ff75f0.us-east-1.aws.found.io/app/kibana#/discover/Steve-Slow-Train-Analysis-(2080s-and-2083s)?_g=(refreshInterval:(display:Off,pause:!f,section:0,value:0),time:(from:'2017-03-26T14:04:38-0600',mode:absolute,to:'2017-03-26T16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187" t="str">
        <f t="shared" si="30"/>
        <v>N</v>
      </c>
      <c r="X99" s="187">
        <f t="shared" si="31"/>
        <v>1</v>
      </c>
      <c r="Y99" s="62">
        <f t="shared" si="32"/>
        <v>23.299399999999999</v>
      </c>
      <c r="Z99" s="62">
        <f t="shared" si="33"/>
        <v>1.5599999999999999E-2</v>
      </c>
      <c r="AA99" s="62">
        <f t="shared" si="34"/>
        <v>23.283799999999999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5"/>
        <v>0186-26</v>
      </c>
      <c r="AE99" s="85" t="str">
        <f t="shared" si="36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99" s="82" t="str">
        <f t="shared" si="37"/>
        <v>"C:\Program Files (x86)\AstroGrep\AstroGrep.exe" /e /r /s /spath="%USERPROFILE%\AppData\Local\Temp\OnboardLogs" /stypes="app*4028*20170326*" /stext=" 21:.+((SYSTEM_STATE.+slice.+state.+changed )|(ment ac)|(multiple cpu faults)|(system.+state.+changed )|(\[timeout)|(PRM\|1\|D)|(kpr)|(kdp)|(\|lc)|(penalty))"</v>
      </c>
      <c r="AG99" s="1" t="str">
        <f t="shared" si="38"/>
        <v>EC</v>
      </c>
      <c r="AH99" s="86" t="str">
        <f t="shared" si="39"/>
        <v>"%USERPROFILE%\Documents\GitHub\eaglep3\Utilities\RefineRTDCRunTimes.py" --tripid 186-26 --locoid 4028 --swversion DE.1.0.9.0 --startMP 204:232994 --initTime 2017-03-26T15:04:38 --startdatetime 2017-03-26T15:11:12 --delay 1 --endMP 204:156 --enddatetime 2017-03-26T15:52:09 --enforcementcount 0 &gt;&gt;C:\Users\stu\Documents\GitHub\eaglep3-reporting\EC\2017-03-26-refined-times.txt</v>
      </c>
      <c r="AI9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ID","value":"186-26"},{"id":16,"name":"Locomotive ID","value":"4028"},{"id":130,"name":"Impact","value":""},{"id":150,"name":"Time of Event (Mountain Time)","value":"15:52:09"},{"id":151,"name":"Denver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1"/>
        <v>start /low /b %USERPROFILE%\Documents\GitHub\eaglep3\Utilities\DownloadLogsFromS3.py --loco 4028 --day 2017-03-26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738</v>
      </c>
      <c r="B100" s="7">
        <v>4025</v>
      </c>
      <c r="C100" s="21" t="s">
        <v>219</v>
      </c>
      <c r="D100" s="21" t="s">
        <v>207</v>
      </c>
      <c r="E100" s="13">
        <v>42820.600717592592</v>
      </c>
      <c r="F100" s="13">
        <v>42820.604421296295</v>
      </c>
      <c r="G100" s="7">
        <v>1</v>
      </c>
      <c r="H100" s="21" t="s">
        <v>409</v>
      </c>
      <c r="I100" s="13">
        <v>42820.629756944443</v>
      </c>
      <c r="J100" s="7">
        <v>0</v>
      </c>
      <c r="K100" s="98" t="str">
        <f t="shared" si="26"/>
        <v>4025/4026</v>
      </c>
      <c r="L100" s="21" t="str">
        <f>VLOOKUP(A100,'Trips&amp;Operators'!$C$1:$G$99999,5,FALSE)</f>
        <v>STEWART MICHAEL</v>
      </c>
      <c r="M100" s="6">
        <f t="shared" si="27"/>
        <v>2.5335648148029577E-2</v>
      </c>
      <c r="N100" s="7">
        <f t="shared" si="24"/>
        <v>36.483333333162591</v>
      </c>
      <c r="O100" s="7"/>
      <c r="P100" s="7"/>
      <c r="Q100" s="22"/>
      <c r="R100" s="22"/>
      <c r="S100" s="31">
        <f t="shared" si="25"/>
        <v>1</v>
      </c>
      <c r="T100" s="46" t="str">
        <f t="shared" si="28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9"/>
        <v>https://d0f6bd738d7f1b3e5a7ca70fe4ff75f0.us-east-1.aws.found.io/app/kibana#/discover/Steve-Slow-Train-Analysis-(2080s-and-2083s)?_g=(refreshInterval:(display:Off,pause:!f,section:0,value:0),time:(from:'2017-03-26T13:25:02-0600',mode:absolute,to:'2017-03-26T16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87" t="str">
        <f t="shared" si="30"/>
        <v>N</v>
      </c>
      <c r="X100" s="187">
        <f t="shared" si="31"/>
        <v>1</v>
      </c>
      <c r="Y100" s="62">
        <f t="shared" si="32"/>
        <v>4.5100000000000001E-2</v>
      </c>
      <c r="Z100" s="62">
        <f t="shared" si="33"/>
        <v>23.3278</v>
      </c>
      <c r="AA100" s="62">
        <f t="shared" si="34"/>
        <v>23.282699999999998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5"/>
        <v>0187-26</v>
      </c>
      <c r="AE100" s="85" t="str">
        <f t="shared" si="36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00" s="82" t="str">
        <f t="shared" si="37"/>
        <v>"C:\Program Files (x86)\AstroGrep\AstroGrep.exe" /e /r /s /spath="%USERPROFILE%\AppData\Local\Temp\OnboardLogs" /stypes="app*4025*20170326*" /stext=" 21:.+((SYSTEM_STATE.+slice.+state.+changed )|(ment ac)|(multiple cpu faults)|(system.+state.+changed )|(\[timeout)|(PRM\|1\|D)|(kpr)|(kdp)|(\|lc)|(penalty))"</v>
      </c>
      <c r="AG100" s="1" t="str">
        <f t="shared" si="38"/>
        <v>EC</v>
      </c>
      <c r="AH100" s="86" t="str">
        <f t="shared" si="39"/>
        <v>"%USERPROFILE%\Documents\GitHub\eaglep3\Utilities\RefineRTDCRunTimes.py" --tripid 187-26 --locoid 4025 --swversion DE.1.0.9.0 --startMP 204:451 --initTime 2017-03-26T14:25:02 --startdatetime 2017-03-26T14:30:22 --delay 1 --endMP 204:233278 --enddatetime 2017-03-26T15:06:51 --enforcementcount 0 &gt;&gt;C:\Users\stu\Documents\GitHub\eaglep3-reporting\EC\2017-03-26-refined-times.txt</v>
      </c>
      <c r="AI10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{"issue":{"subject":"","project_id":79,"tracker_id":40,"status_id":1,"priority_id":2,"assigned_to_id":23,"start_date":"2017-03-26","description":"","custom_fields":[{"id":1,"name":"Subdivision","value":"EC"},{"id":4,"name":"Milepost","value":"23.3278"},{"id":17,"name":"Train ID","value":"187-26"},{"id":16,"name":"Locomotive ID","value":"4025"},{"id":130,"name":"Impact","value":""},{"id":150,"name":"Time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1"/>
        <v>start /low /b %USERPROFILE%\Documents\GitHub\eaglep3\Utilities\DownloadLogsFromS3.py --loco 4025 --day 2017-03-26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746</v>
      </c>
      <c r="B101" s="7">
        <v>4026</v>
      </c>
      <c r="C101" s="21" t="s">
        <v>219</v>
      </c>
      <c r="D101" s="21" t="s">
        <v>467</v>
      </c>
      <c r="E101" s="13">
        <v>42820.641180555554</v>
      </c>
      <c r="F101" s="13">
        <v>42820.643599537034</v>
      </c>
      <c r="G101" s="7">
        <v>1</v>
      </c>
      <c r="H101" s="21" t="s">
        <v>184</v>
      </c>
      <c r="I101" s="13">
        <v>42820.670451388891</v>
      </c>
      <c r="J101" s="7">
        <v>0</v>
      </c>
      <c r="K101" s="98" t="str">
        <f t="shared" si="26"/>
        <v>4025/4026</v>
      </c>
      <c r="L101" s="21" t="str">
        <f>VLOOKUP(A101,'Trips&amp;Operators'!$C$1:$G$99999,5,FALSE)</f>
        <v>STEWART MICHAEL</v>
      </c>
      <c r="M101" s="6">
        <f t="shared" si="27"/>
        <v>2.6851851856918074E-2</v>
      </c>
      <c r="N101" s="7">
        <f t="shared" si="24"/>
        <v>38.666666673962027</v>
      </c>
      <c r="O101" s="7"/>
      <c r="P101" s="7"/>
      <c r="Q101" s="22"/>
      <c r="R101" s="22"/>
      <c r="S101" s="31">
        <f t="shared" si="25"/>
        <v>1</v>
      </c>
      <c r="T101" s="46" t="str">
        <f t="shared" si="28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9"/>
        <v>https://d0f6bd738d7f1b3e5a7ca70fe4ff75f0.us-east-1.aws.found.io/app/kibana#/discover/Steve-Slow-Train-Analysis-(2080s-and-2083s)?_g=(refreshInterval:(display:Off,pause:!f,section:0,value:0),time:(from:'2017-03-26T14:23:18-0600',mode:absolute,to:'2017-03-26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87" t="str">
        <f t="shared" si="30"/>
        <v>N</v>
      </c>
      <c r="X101" s="187">
        <f t="shared" si="31"/>
        <v>1</v>
      </c>
      <c r="Y101" s="62">
        <f t="shared" si="32"/>
        <v>23.296900000000001</v>
      </c>
      <c r="Z101" s="62">
        <f t="shared" si="33"/>
        <v>1.49E-2</v>
      </c>
      <c r="AA101" s="62">
        <f t="shared" si="34"/>
        <v>23.282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5"/>
        <v>0188-26</v>
      </c>
      <c r="AE101" s="85" t="str">
        <f t="shared" si="36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01" s="82" t="str">
        <f t="shared" si="37"/>
        <v>"C:\Program Files (x86)\AstroGrep\AstroGrep.exe" /e /r /s /spath="%USERPROFILE%\AppData\Local\Temp\OnboardLogs" /stypes="app*4026*20170326*" /stext=" 22:.+((SYSTEM_STATE.+slice.+state.+changed )|(ment ac)|(multiple cpu faults)|(system.+state.+changed )|(\[timeout)|(PRM\|1\|D)|(kpr)|(kdp)|(\|lc)|(penalty))"</v>
      </c>
      <c r="AG101" s="1" t="str">
        <f t="shared" si="38"/>
        <v>EC</v>
      </c>
      <c r="AH101" s="86" t="str">
        <f t="shared" si="39"/>
        <v>"%USERPROFILE%\Documents\GitHub\eaglep3\Utilities\RefineRTDCRunTimes.py" --tripid 188-26 --locoid 4026 --swversion DE.1.0.9.0 --startMP 204:232969 --initTime 2017-03-26T15:23:18 --startdatetime 2017-03-26T15:26:47 --delay 1 --endMP 204:149 --enddatetime 2017-03-26T16:05:27 --enforcementcount 0 &gt;&gt;C:\Users\stu\Documents\GitHub\eaglep3-reporting\EC\2017-03-26-refined-times.txt</v>
      </c>
      <c r="AI10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ID","value":"188-26"},{"id":16,"name":"Locomotive ID","value":"4026"},{"id":130,"name":"Impact","value":""},{"id":150,"name":"Time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1"/>
        <v>start /low /b %USERPROFILE%\Documents\GitHub\eaglep3\Utilities\DownloadLogsFromS3.py --loco 4026 --day 2017-03-26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740</v>
      </c>
      <c r="B102" s="7">
        <v>4031</v>
      </c>
      <c r="C102" s="21" t="s">
        <v>219</v>
      </c>
      <c r="D102" s="21" t="s">
        <v>908</v>
      </c>
      <c r="E102" s="13">
        <v>42820.613506944443</v>
      </c>
      <c r="F102" s="13">
        <v>42820.615185185183</v>
      </c>
      <c r="G102" s="7">
        <v>1</v>
      </c>
      <c r="H102" s="21" t="s">
        <v>909</v>
      </c>
      <c r="I102" s="13">
        <v>42820.641377314816</v>
      </c>
      <c r="J102" s="7">
        <v>0</v>
      </c>
      <c r="K102" s="98" t="str">
        <f t="shared" si="26"/>
        <v>4031/4032</v>
      </c>
      <c r="L102" s="21" t="str">
        <f>VLOOKUP(A102,'Trips&amp;Operators'!$C$1:$G$99999,5,FALSE)</f>
        <v>DAVIS MICHAEL</v>
      </c>
      <c r="M102" s="6">
        <f t="shared" si="27"/>
        <v>2.6192129633272998E-2</v>
      </c>
      <c r="N102" s="7">
        <f t="shared" si="24"/>
        <v>37.716666671913117</v>
      </c>
      <c r="O102" s="7"/>
      <c r="P102" s="7"/>
      <c r="Q102" s="22"/>
      <c r="R102" s="22"/>
      <c r="S102" s="31">
        <f t="shared" si="25"/>
        <v>1</v>
      </c>
      <c r="T102" s="46" t="str">
        <f t="shared" si="28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9"/>
        <v>https://d0f6bd738d7f1b3e5a7ca70fe4ff75f0.us-east-1.aws.found.io/app/kibana#/discover/Steve-Slow-Train-Analysis-(2080s-and-2083s)?_g=(refreshInterval:(display:Off,pause:!f,section:0,value:0),time:(from:'2017-03-26T13:43:27-0600',mode:absolute,to:'2017-03-26T16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7" t="str">
        <f t="shared" si="30"/>
        <v>N</v>
      </c>
      <c r="X102" s="187">
        <f t="shared" si="31"/>
        <v>1</v>
      </c>
      <c r="Y102" s="62">
        <f t="shared" si="32"/>
        <v>4.4200000000000003E-2</v>
      </c>
      <c r="Z102" s="62">
        <f t="shared" si="33"/>
        <v>23.327999999999999</v>
      </c>
      <c r="AA102" s="62">
        <f t="shared" si="34"/>
        <v>23.283799999999999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5"/>
        <v>0189-26</v>
      </c>
      <c r="AE102" s="85" t="str">
        <f t="shared" si="36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02" s="82" t="str">
        <f t="shared" si="37"/>
        <v>"C:\Program Files (x86)\AstroGrep\AstroGrep.exe" /e /r /s /spath="%USERPROFILE%\AppData\Local\Temp\OnboardLogs" /stypes="app*4031*20170326*" /stext=" 21:.+((SYSTEM_STATE.+slice.+state.+changed )|(ment ac)|(multiple cpu faults)|(system.+state.+changed )|(\[timeout)|(PRM\|1\|D)|(kpr)|(kdp)|(\|lc)|(penalty))"</v>
      </c>
      <c r="AG102" s="1" t="str">
        <f t="shared" si="38"/>
        <v>EC</v>
      </c>
      <c r="AH102" s="86" t="str">
        <f t="shared" si="39"/>
        <v>"%USERPROFILE%\Documents\GitHub\eaglep3\Utilities\RefineRTDCRunTimes.py" --tripid 189-26 --locoid 4031 --swversion DE.1.0.9.0 --startMP 204:442 --initTime 2017-03-26T14:43:27 --startdatetime 2017-03-26T14:45:52 --delay 1 --endMP 204:233280 --enddatetime 2017-03-26T15:23:35 --enforcementcount 0 &gt;&gt;C:\Users\stu\Documents\GitHub\eaglep3-reporting\EC\2017-03-26-refined-times.txt</v>
      </c>
      <c r="AI10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{"issue":{"subject":"","project_id":79,"tracker_id":40,"status_id":1,"priority_id":2,"assigned_to_id":23,"start_date":"2017-03-26","description":"","custom_fields":[{"id":1,"name":"Subdivision","value":"EC"},{"id":4,"name":"Milepost","value":"23.328"},{"id":17,"name":"Train ID","value":"189-26"},{"id":16,"name":"Locomotive ID","value":"4031"},{"id":130,"name":"Impact","value":""},{"id":150,"name":"Time of Event (Mountain Time)","value":"15:23:35"},{"id":151,"name":"Denver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1"/>
        <v>start /low /b %USERPROFILE%\Documents\GitHub\eaglep3\Utilities\DownloadLogsFromS3.py --loco 4031 --day 2017-03-26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617</v>
      </c>
      <c r="B103" s="7">
        <v>4032</v>
      </c>
      <c r="C103" s="21" t="s">
        <v>219</v>
      </c>
      <c r="D103" s="21" t="s">
        <v>838</v>
      </c>
      <c r="E103" s="13">
        <v>42820.650821759256</v>
      </c>
      <c r="F103" s="13">
        <v>42820.653958333336</v>
      </c>
      <c r="G103" s="7">
        <v>1</v>
      </c>
      <c r="H103" s="21" t="s">
        <v>844</v>
      </c>
      <c r="I103" s="13">
        <v>42820.682395833333</v>
      </c>
      <c r="J103" s="7">
        <v>0</v>
      </c>
      <c r="K103" s="98" t="str">
        <f t="shared" si="26"/>
        <v>4031/4032</v>
      </c>
      <c r="L103" s="21" t="str">
        <f>VLOOKUP(A103,'Trips&amp;Operators'!$C$1:$G$99999,5,FALSE)</f>
        <v>DAVIS MICHAEL</v>
      </c>
      <c r="M103" s="6">
        <f t="shared" si="27"/>
        <v>2.8437499997380655E-2</v>
      </c>
      <c r="N103" s="7">
        <f t="shared" si="24"/>
        <v>40.949999996228144</v>
      </c>
      <c r="O103" s="7"/>
      <c r="P103" s="7"/>
      <c r="Q103" s="22"/>
      <c r="R103" s="22"/>
      <c r="S103" s="31">
        <f t="shared" si="25"/>
        <v>1</v>
      </c>
      <c r="T103" s="46" t="str">
        <f t="shared" si="28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9"/>
        <v>https://d0f6bd738d7f1b3e5a7ca70fe4ff75f0.us-east-1.aws.found.io/app/kibana#/discover/Steve-Slow-Train-Analysis-(2080s-and-2083s)?_g=(refreshInterval:(display:Off,pause:!f,section:0,value:0),time:(from:'2017-03-26T14:37:11-0600',mode:absolute,to:'2017-03-26T17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7" t="str">
        <f t="shared" si="30"/>
        <v>N</v>
      </c>
      <c r="X103" s="187">
        <f t="shared" si="31"/>
        <v>1</v>
      </c>
      <c r="Y103" s="62">
        <f t="shared" si="32"/>
        <v>23.3002</v>
      </c>
      <c r="Z103" s="62">
        <f t="shared" si="33"/>
        <v>1.34E-2</v>
      </c>
      <c r="AA103" s="62">
        <f t="shared" si="34"/>
        <v>23.286799999999999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5"/>
        <v>0190-26</v>
      </c>
      <c r="AE103" s="85" t="str">
        <f t="shared" si="36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03" s="82" t="str">
        <f t="shared" si="37"/>
        <v>"C:\Program Files (x86)\AstroGrep\AstroGrep.exe" /e /r /s /spath="%USERPROFILE%\AppData\Local\Temp\OnboardLogs" /stypes="app*4032*20170326*" /stext=" 22:.+((SYSTEM_STATE.+slice.+state.+changed )|(ment ac)|(multiple cpu faults)|(system.+state.+changed )|(\[timeout)|(PRM\|1\|D)|(kpr)|(kdp)|(\|lc)|(penalty))"</v>
      </c>
      <c r="AG103" s="1" t="str">
        <f t="shared" si="38"/>
        <v>EC</v>
      </c>
      <c r="AH103" s="86" t="str">
        <f t="shared" si="39"/>
        <v>"%USERPROFILE%\Documents\GitHub\eaglep3\Utilities\RefineRTDCRunTimes.py" --tripid 190-26 --locoid 4032 --swversion DE.1.0.9.0 --startMP 204:233002 --initTime 2017-03-26T15:37:11 --startdatetime 2017-03-26T15:41:42 --delay 1 --endMP 204:134 --enddatetime 2017-03-26T16:22:39 --enforcementcount 0 &gt;&gt;C:\Users\stu\Documents\GitHub\eaglep3-reporting\EC\2017-03-26-refined-times.txt</v>
      </c>
      <c r="AI10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{"issue":{"subject":"","project_id":79,"tracker_id":40,"status_id":1,"priority_id":2,"assigned_to_id":23,"start_date":"2017-03-26","description":"","custom_fields":[{"id":1,"name":"Subdivision","value":"EC"},{"id":4,"name":"Milepost","value":"0.0134"},{"id":17,"name":"Train ID","value":"190-26"},{"id":16,"name":"Locomotive ID","value":"4032"},{"id":130,"name":"Impact","value":""},{"id":150,"name":"Time of Event (Mountain Time)","value":"16:22:39"},{"id":151,"name":"Denver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1"/>
        <v>start /low /b %USERPROFILE%\Documents\GitHub\eaglep3\Utilities\DownloadLogsFromS3.py --loco 4032 --day 2017-03-26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741</v>
      </c>
      <c r="B104" s="7">
        <v>4046</v>
      </c>
      <c r="C104" s="21" t="s">
        <v>219</v>
      </c>
      <c r="D104" s="21" t="s">
        <v>913</v>
      </c>
      <c r="E104" s="13">
        <v>42820.621527777781</v>
      </c>
      <c r="F104" s="13">
        <v>42820.625162037039</v>
      </c>
      <c r="G104" s="7">
        <v>1</v>
      </c>
      <c r="H104" s="21" t="s">
        <v>914</v>
      </c>
      <c r="I104" s="13">
        <v>42820.650208333333</v>
      </c>
      <c r="J104" s="7">
        <v>0</v>
      </c>
      <c r="K104" s="98" t="str">
        <f t="shared" si="26"/>
        <v>4045/4046</v>
      </c>
      <c r="L104" s="21" t="str">
        <f>VLOOKUP(A104,'Trips&amp;Operators'!$C$1:$G$99999,5,FALSE)</f>
        <v>LEVIN SCOTT</v>
      </c>
      <c r="M104" s="6">
        <f t="shared" si="27"/>
        <v>2.5046296294021886E-2</v>
      </c>
      <c r="N104" s="7">
        <f t="shared" si="24"/>
        <v>36.066666663391516</v>
      </c>
      <c r="O104" s="7"/>
      <c r="P104" s="7"/>
      <c r="Q104" s="22"/>
      <c r="R104" s="22"/>
      <c r="S104" s="31">
        <f t="shared" si="25"/>
        <v>1</v>
      </c>
      <c r="T104" s="46" t="str">
        <f t="shared" si="28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9"/>
        <v>https://d0f6bd738d7f1b3e5a7ca70fe4ff75f0.us-east-1.aws.found.io/app/kibana#/discover/Steve-Slow-Train-Analysis-(2080s-and-2083s)?_g=(refreshInterval:(display:Off,pause:!f,section:0,value:0),time:(from:'2017-03-26T13:55:00-0600',mode:absolute,to:'2017-03-26T16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7" t="str">
        <f t="shared" si="30"/>
        <v>N</v>
      </c>
      <c r="X104" s="187">
        <f t="shared" si="31"/>
        <v>1</v>
      </c>
      <c r="Y104" s="62">
        <f t="shared" si="32"/>
        <v>4.9700000000000001E-2</v>
      </c>
      <c r="Z104" s="62">
        <f t="shared" si="33"/>
        <v>23.335699999999999</v>
      </c>
      <c r="AA104" s="62">
        <f t="shared" si="34"/>
        <v>23.285999999999998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5"/>
        <v>0191-26</v>
      </c>
      <c r="AE104" s="85" t="str">
        <f t="shared" si="36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04" s="82" t="str">
        <f t="shared" si="37"/>
        <v>"C:\Program Files (x86)\AstroGrep\AstroGrep.exe" /e /r /s /spath="%USERPROFILE%\AppData\Local\Temp\OnboardLogs" /stypes="app*4046*20170326*" /stext=" 21:.+((SYSTEM_STATE.+slice.+state.+changed )|(ment ac)|(multiple cpu faults)|(system.+state.+changed )|(\[timeout)|(PRM\|1\|D)|(kpr)|(kdp)|(\|lc)|(penalty))"</v>
      </c>
      <c r="AG104" s="1" t="str">
        <f t="shared" si="38"/>
        <v>EC</v>
      </c>
      <c r="AH104" s="86" t="str">
        <f t="shared" si="39"/>
        <v>"%USERPROFILE%\Documents\GitHub\eaglep3\Utilities\RefineRTDCRunTimes.py" --tripid 191-26 --locoid 4046 --swversion DE.1.0.9.0 --startMP 204:497 --initTime 2017-03-26T14:55:00 --startdatetime 2017-03-26T15:00:14 --delay 1 --endMP 204:233357 --enddatetime 2017-03-26T15:36:18 --enforcementcount 0 &gt;&gt;C:\Users\stu\Documents\GitHub\eaglep3-reporting\EC\2017-03-26-refined-times.txt</v>
      </c>
      <c r="AI10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{"issue":{"subject":"","project_id":79,"tracker_id":40,"status_id":1,"priority_id":2,"assigned_to_id":23,"start_date":"2017-03-26","description":"","custom_fields":[{"id":1,"name":"Subdivision","value":"EC"},{"id":4,"name":"Milepost","value":"23.3357"},{"id":17,"name":"Train ID","value":"191-26"},{"id":16,"name":"Locomotive ID","value":"4046"},{"id":130,"name":"Impact","value":""},{"id":150,"name":"Time of Event (Mountain Time)","value":"15:36:18"},{"id":151,"name":"Denver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1"/>
        <v>start /low /b %USERPROFILE%\Documents\GitHub\eaglep3\Utilities\DownloadLogsFromS3.py --loco 4046 --day 2017-03-26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618</v>
      </c>
      <c r="B105" s="7">
        <v>4045</v>
      </c>
      <c r="C105" s="21" t="s">
        <v>219</v>
      </c>
      <c r="D105" s="21" t="s">
        <v>915</v>
      </c>
      <c r="E105" s="13">
        <v>42820.659224537034</v>
      </c>
      <c r="F105" s="13">
        <v>42820.664074074077</v>
      </c>
      <c r="G105" s="7">
        <v>1</v>
      </c>
      <c r="H105" s="21" t="s">
        <v>916</v>
      </c>
      <c r="I105" s="13">
        <v>42820.690509259257</v>
      </c>
      <c r="J105" s="7">
        <v>0</v>
      </c>
      <c r="K105" s="98" t="str">
        <f t="shared" si="26"/>
        <v>4045/4046</v>
      </c>
      <c r="L105" s="21" t="str">
        <f>VLOOKUP(A105,'Trips&amp;Operators'!$C$1:$G$99999,5,FALSE)</f>
        <v>LEVIN SCOTT</v>
      </c>
      <c r="M105" s="6">
        <f t="shared" si="27"/>
        <v>2.643518518016208E-2</v>
      </c>
      <c r="N105" s="7">
        <f t="shared" si="24"/>
        <v>38.066666659433395</v>
      </c>
      <c r="O105" s="7"/>
      <c r="P105" s="7"/>
      <c r="Q105" s="22"/>
      <c r="R105" s="22"/>
      <c r="S105" s="31">
        <f t="shared" si="25"/>
        <v>1</v>
      </c>
      <c r="T105" s="46" t="str">
        <f t="shared" si="28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9"/>
        <v>https://d0f6bd738d7f1b3e5a7ca70fe4ff75f0.us-east-1.aws.found.io/app/kibana#/discover/Steve-Slow-Train-Analysis-(2080s-and-2083s)?_g=(refreshInterval:(display:Off,pause:!f,section:0,value:0),time:(from:'2017-03-26T14:49:17-0600',mode:absolute,to:'2017-03-26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7" t="str">
        <f t="shared" si="30"/>
        <v>N</v>
      </c>
      <c r="X105" s="187">
        <f t="shared" si="31"/>
        <v>1</v>
      </c>
      <c r="Y105" s="62">
        <f t="shared" si="32"/>
        <v>23.3032</v>
      </c>
      <c r="Z105" s="62">
        <f t="shared" si="33"/>
        <v>1.18E-2</v>
      </c>
      <c r="AA105" s="62">
        <f t="shared" si="34"/>
        <v>23.291399999999999</v>
      </c>
      <c r="AB105" s="59" t="str">
        <f>VLOOKUP(A105,Enforcements!$C$7:$K$13,8,0)</f>
        <v>Bulletin (2)</v>
      </c>
      <c r="AC105" s="55" t="str">
        <f>VLOOKUP(A105,Enforcements!$C$7:$E$13,3,0)</f>
        <v>GRADE CROSSING</v>
      </c>
      <c r="AD105" s="56" t="str">
        <f t="shared" si="35"/>
        <v>0192-26</v>
      </c>
      <c r="AE105" s="85" t="str">
        <f t="shared" si="36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05" s="82" t="str">
        <f t="shared" si="37"/>
        <v>"C:\Program Files (x86)\AstroGrep\AstroGrep.exe" /e /r /s /spath="%USERPROFILE%\AppData\Local\Temp\OnboardLogs" /stypes="app*4045*20170326*" /stext=" 22:.+((SYSTEM_STATE.+slice.+state.+changed )|(ment ac)|(multiple cpu faults)|(system.+state.+changed )|(\[timeout)|(PRM\|1\|D)|(kpr)|(kdp)|(\|lc)|(penalty))"</v>
      </c>
      <c r="AG105" s="1" t="str">
        <f t="shared" si="38"/>
        <v>EC</v>
      </c>
      <c r="AH105" s="86" t="str">
        <f t="shared" si="39"/>
        <v>"%USERPROFILE%\Documents\GitHub\eaglep3\Utilities\RefineRTDCRunTimes.py" --tripid 192-26 --locoid 4045 --swversion DE.1.0.9.0 --startMP 204:233032 --initTime 2017-03-26T15:49:17 --startdatetime 2017-03-26T15:56:16 --delay 1 --endMP 204:118 --enddatetime 2017-03-26T16:34:20 --enforcementcount 0 &gt;&gt;C:\Users\stu\Documents\GitHub\eaglep3-reporting\EC\2017-03-26-refined-times.txt</v>
      </c>
      <c r="AI10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{"issue":{"subject":"","project_id":79,"tracker_id":40,"status_id":1,"priority_id":2,"assigned_to_id":23,"start_date":"2017-03-26","description":"","custom_fields":[{"id":1,"name":"Subdivision","value":"EC"},{"id":4,"name":"Milepost","value":"0.0118"},{"id":17,"name":"Train ID","value":"192-26"},{"id":16,"name":"Locomotive ID","value":"4045"},{"id":130,"name":"Impact","value":""},{"id":150,"name":"Time of Event (Mountain Time)","value":"16:34:20"},{"id":151,"name":"Denver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1"/>
        <v>start /low /b %USERPROFILE%\Documents\GitHub\eaglep3\Utilities\DownloadLogsFromS3.py --loco 4045 --day 2017-03-26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743</v>
      </c>
      <c r="B106" s="7">
        <v>4018</v>
      </c>
      <c r="C106" s="21" t="s">
        <v>219</v>
      </c>
      <c r="D106" s="21" t="s">
        <v>209</v>
      </c>
      <c r="E106" s="13">
        <v>42820.630439814813</v>
      </c>
      <c r="F106" s="13">
        <v>42820.635601851849</v>
      </c>
      <c r="G106" s="7">
        <v>3</v>
      </c>
      <c r="H106" s="21" t="s">
        <v>396</v>
      </c>
      <c r="I106" s="13">
        <v>42820.660254629627</v>
      </c>
      <c r="J106" s="7">
        <v>0</v>
      </c>
      <c r="K106" s="98" t="str">
        <f t="shared" si="26"/>
        <v>4017/4018</v>
      </c>
      <c r="L106" s="21" t="str">
        <f>VLOOKUP(A106,'Trips&amp;Operators'!$C$1:$G$99999,5,FALSE)</f>
        <v>BRUDER RICHARD</v>
      </c>
      <c r="M106" s="6">
        <f t="shared" si="27"/>
        <v>2.4652777778101154E-2</v>
      </c>
      <c r="N106" s="7">
        <f t="shared" si="24"/>
        <v>35.500000000465661</v>
      </c>
      <c r="O106" s="7"/>
      <c r="P106" s="7"/>
      <c r="Q106" s="22"/>
      <c r="R106" s="22"/>
      <c r="S106" s="31">
        <f t="shared" si="25"/>
        <v>1</v>
      </c>
      <c r="T106" s="46" t="str">
        <f t="shared" si="28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9"/>
        <v>https://d0f6bd738d7f1b3e5a7ca70fe4ff75f0.us-east-1.aws.found.io/app/kibana#/discover/Steve-Slow-Train-Analysis-(2080s-and-2083s)?_g=(refreshInterval:(display:Off,pause:!f,section:0,value:0),time:(from:'2017-03-26T14:07:50-0600',mode:absolute,to:'2017-03-26T16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87" t="str">
        <f t="shared" si="30"/>
        <v>N</v>
      </c>
      <c r="X106" s="187">
        <f t="shared" si="31"/>
        <v>1</v>
      </c>
      <c r="Y106" s="62">
        <f t="shared" si="32"/>
        <v>4.5999999999999999E-2</v>
      </c>
      <c r="Z106" s="62">
        <f t="shared" si="33"/>
        <v>23.3308</v>
      </c>
      <c r="AA106" s="62">
        <f t="shared" si="34"/>
        <v>23.284800000000001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5"/>
        <v>0193-26</v>
      </c>
      <c r="AE106" s="85" t="str">
        <f t="shared" si="36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106" s="82" t="str">
        <f t="shared" si="37"/>
        <v>"C:\Program Files (x86)\AstroGrep\AstroGrep.exe" /e /r /s /spath="%USERPROFILE%\AppData\Local\Temp\OnboardLogs" /stypes="app*4018*20170326*" /stext=" 21:.+((SYSTEM_STATE.+slice.+state.+changed )|(ment ac)|(multiple cpu faults)|(system.+state.+changed )|(\[timeout)|(PRM\|1\|D)|(kpr)|(kdp)|(\|lc)|(penalty))"</v>
      </c>
      <c r="AG106" s="1" t="str">
        <f t="shared" si="38"/>
        <v>EC</v>
      </c>
      <c r="AH106" s="86" t="str">
        <f t="shared" si="39"/>
        <v>"%USERPROFILE%\Documents\GitHub\eaglep3\Utilities\RefineRTDCRunTimes.py" --tripid 193-26 --locoid 4018 --swversion DE.1.0.9.0 --startMP 204:460 --initTime 2017-03-26T15:07:50 --startdatetime 2017-03-26T15:15:16 --delay 3 --endMP 204:233308 --enddatetime 2017-03-26T15:50:46 --enforcementcount 0 &gt;&gt;C:\Users\stu\Documents\GitHub\eaglep3-reporting\EC\2017-03-26-refined-times.txt</v>
      </c>
      <c r="AI10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ID","value":"193-26"},{"id":16,"name":"Locomotive ID","value":"4018"},{"id":130,"name":"Impact","value":""},{"id":150,"name":"Time of Event (Mountain Time)","value":"15:50:46"},{"id":151,"name":"Denver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1"/>
        <v>start /low /b %USERPROFILE%\Documents\GitHub\eaglep3\Utilities\DownloadLogsFromS3.py --loco 4018 --day 2017-03-26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749</v>
      </c>
      <c r="B107" s="7">
        <v>4017</v>
      </c>
      <c r="C107" s="21" t="s">
        <v>219</v>
      </c>
      <c r="D107" s="21" t="s">
        <v>476</v>
      </c>
      <c r="E107" s="13">
        <v>42820.670729166668</v>
      </c>
      <c r="F107" s="13">
        <v>42820.674571759257</v>
      </c>
      <c r="G107" s="7">
        <v>1</v>
      </c>
      <c r="H107" s="21" t="s">
        <v>191</v>
      </c>
      <c r="I107" s="13">
        <v>42820.701226851852</v>
      </c>
      <c r="J107" s="7">
        <v>0</v>
      </c>
      <c r="K107" s="98" t="str">
        <f t="shared" si="26"/>
        <v>4017/4018</v>
      </c>
      <c r="L107" s="21" t="str">
        <f>VLOOKUP(A107,'Trips&amp;Operators'!$C$1:$G$99999,5,FALSE)</f>
        <v>BRUDER RICHARD</v>
      </c>
      <c r="M107" s="6">
        <f t="shared" si="27"/>
        <v>2.6655092595319729E-2</v>
      </c>
      <c r="N107" s="7">
        <f t="shared" si="24"/>
        <v>38.38333333726041</v>
      </c>
      <c r="O107" s="7"/>
      <c r="P107" s="7"/>
      <c r="Q107" s="22"/>
      <c r="R107" s="22"/>
      <c r="S107" s="31">
        <f t="shared" si="25"/>
        <v>1</v>
      </c>
      <c r="T107" s="46" t="str">
        <f t="shared" si="28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9"/>
        <v>https://d0f6bd738d7f1b3e5a7ca70fe4ff75f0.us-east-1.aws.found.io/app/kibana#/discover/Steve-Slow-Train-Analysis-(2080s-and-2083s)?_g=(refreshInterval:(display:Off,pause:!f,section:0,value:0),time:(from:'2017-03-26T15:05:51-0600',mode:absolute,to:'2017-03-26T17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87" t="str">
        <f t="shared" si="30"/>
        <v>N</v>
      </c>
      <c r="X107" s="187">
        <f t="shared" si="31"/>
        <v>1</v>
      </c>
      <c r="Y107" s="62">
        <f t="shared" si="32"/>
        <v>23.299399999999999</v>
      </c>
      <c r="Z107" s="62">
        <f t="shared" si="33"/>
        <v>1.4999999999999999E-2</v>
      </c>
      <c r="AA107" s="62">
        <f t="shared" si="34"/>
        <v>23.284399999999998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5"/>
        <v>0194-26</v>
      </c>
      <c r="AE107" s="85" t="str">
        <f t="shared" si="36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107" s="82" t="str">
        <f t="shared" si="37"/>
        <v>"C:\Program Files (x86)\AstroGrep\AstroGrep.exe" /e /r /s /spath="%USERPROFILE%\AppData\Local\Temp\OnboardLogs" /stypes="app*4017*20170326*" /stext=" 22:.+((SYSTEM_STATE.+slice.+state.+changed )|(ment ac)|(multiple cpu faults)|(system.+state.+changed )|(\[timeout)|(PRM\|1\|D)|(kpr)|(kdp)|(\|lc)|(penalty))"</v>
      </c>
      <c r="AG107" s="1" t="str">
        <f t="shared" si="38"/>
        <v>EC</v>
      </c>
      <c r="AH107" s="86" t="str">
        <f t="shared" si="39"/>
        <v>"%USERPROFILE%\Documents\GitHub\eaglep3\Utilities\RefineRTDCRunTimes.py" --tripid 194-26 --locoid 4017 --swversion DE.1.0.9.0 --startMP 204:232994 --initTime 2017-03-26T16:05:51 --startdatetime 2017-03-26T16:11:23 --delay 1 --endMP 204:150 --enddatetime 2017-03-26T16:49:46 --enforcementcount 0 &gt;&gt;C:\Users\stu\Documents\GitHub\eaglep3-reporting\EC\2017-03-26-refined-times.txt</v>
      </c>
      <c r="AI10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{"issue":{"subject":"","project_id":79,"tracker_id":40,"status_id":1,"priority_id":2,"assigned_to_id":23,"start_date":"2017-03-26","description":"","custom_fields":[{"id":1,"name":"Subdivision","value":"EC"},{"id":4,"name":"Milepost","value":"0.015"},{"id":17,"name":"Train ID","value":"194-26"},{"id":16,"name":"Locomotive ID","value":"4017"},{"id":130,"name":"Impact","value":""},{"id":150,"name":"Time of Event (Mountain Time)","value":"16:49:46"},{"id":151,"name":"Denver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1"/>
        <v>start /low /b %USERPROFILE%\Documents\GitHub\eaglep3\Utilities\DownloadLogsFromS3.py --loco 4017 --day 2017-03-26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745</v>
      </c>
      <c r="B108" s="7">
        <v>4002</v>
      </c>
      <c r="C108" s="21" t="s">
        <v>219</v>
      </c>
      <c r="D108" s="21" t="s">
        <v>543</v>
      </c>
      <c r="E108" s="13">
        <v>42820.639999999999</v>
      </c>
      <c r="F108" s="13">
        <v>42820.646192129629</v>
      </c>
      <c r="G108" s="7">
        <v>1</v>
      </c>
      <c r="H108" s="21" t="s">
        <v>917</v>
      </c>
      <c r="I108" s="13">
        <v>42820.671770833331</v>
      </c>
      <c r="J108" s="7">
        <v>0</v>
      </c>
      <c r="K108" s="98" t="str">
        <f t="shared" si="26"/>
        <v>4001/4002</v>
      </c>
      <c r="L108" s="21" t="str">
        <f>VLOOKUP(A108,'Trips&amp;Operators'!$C$1:$G$99999,5,FALSE)</f>
        <v>LOCKLEAR TRAVIS</v>
      </c>
      <c r="M108" s="6">
        <f t="shared" si="27"/>
        <v>2.5578703702194616E-2</v>
      </c>
      <c r="N108" s="7">
        <f t="shared" ref="N108:N139" si="42">24*60*SUM($M108:$M108)</f>
        <v>36.833333331160247</v>
      </c>
      <c r="O108" s="7"/>
      <c r="P108" s="7"/>
      <c r="Q108" s="22"/>
      <c r="R108" s="22"/>
      <c r="S108" s="31">
        <f t="shared" ref="S108:S139" si="43">SUM(U108:U108)/IF(AG108="EC",12,1)</f>
        <v>1</v>
      </c>
      <c r="T108" s="46" t="str">
        <f t="shared" si="28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9"/>
        <v>https://d0f6bd738d7f1b3e5a7ca70fe4ff75f0.us-east-1.aws.found.io/app/kibana#/discover/Steve-Slow-Train-Analysis-(2080s-and-2083s)?_g=(refreshInterval:(display:Off,pause:!f,section:0,value:0),time:(from:'2017-03-26T14:21:36-0600',mode:absolute,to:'2017-03-26T17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87" t="str">
        <f t="shared" si="30"/>
        <v>N</v>
      </c>
      <c r="X108" s="187">
        <f t="shared" si="31"/>
        <v>1</v>
      </c>
      <c r="Y108" s="62">
        <f t="shared" si="32"/>
        <v>4.58E-2</v>
      </c>
      <c r="Z108" s="62">
        <f t="shared" si="33"/>
        <v>23.332000000000001</v>
      </c>
      <c r="AA108" s="62">
        <f t="shared" si="34"/>
        <v>23.286200000000001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5"/>
        <v>0195-26</v>
      </c>
      <c r="AE108" s="85" t="str">
        <f t="shared" si="36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08" s="82" t="str">
        <f t="shared" si="37"/>
        <v>"C:\Program Files (x86)\AstroGrep\AstroGrep.exe" /e /r /s /spath="%USERPROFILE%\AppData\Local\Temp\OnboardLogs" /stypes="app*4002*20170326*" /stext=" 22:.+((SYSTEM_STATE.+slice.+state.+changed )|(ment ac)|(multiple cpu faults)|(system.+state.+changed )|(\[timeout)|(PRM\|1\|D)|(kpr)|(kdp)|(\|lc)|(penalty))"</v>
      </c>
      <c r="AG108" s="1" t="str">
        <f t="shared" si="38"/>
        <v>EC</v>
      </c>
      <c r="AH108" s="86" t="str">
        <f t="shared" si="39"/>
        <v>"%USERPROFILE%\Documents\GitHub\eaglep3\Utilities\RefineRTDCRunTimes.py" --tripid 195-26 --locoid 4002 --swversion DE.1.0.9.0 --startMP 204:458 --initTime 2017-03-26T15:21:36 --startdatetime 2017-03-26T15:30:31 --delay 1 --endMP 204:233320 --enddatetime 2017-03-26T16:07:21 --enforcementcount 0 &gt;&gt;C:\Users\stu\Documents\GitHub\eaglep3-reporting\EC\2017-03-26-refined-times.txt</v>
      </c>
      <c r="AI10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{"issue":{"subject":"","project_id":79,"tracker_id":40,"status_id":1,"priority_id":2,"assigned_to_id":23,"start_date":"2017-03-26","description":"","custom_fields":[{"id":1,"name":"Subdivision","value":"EC"},{"id":4,"name":"Milepost","value":"23.332"},{"id":17,"name":"Train ID","value":"195-26"},{"id":16,"name":"Locomotive ID","value":"4002"},{"id":130,"name":"Impact","value":""},{"id":150,"name":"Time of Event (Mountain Time)","value":"16:07:21"},{"id":151,"name":"Denver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1"/>
        <v>start /low /b %USERPROFILE%\Documents\GitHub\eaglep3\Utilities\DownloadLogsFromS3.py --loco 4002 --day 2017-03-26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752</v>
      </c>
      <c r="B109" s="7">
        <v>4001</v>
      </c>
      <c r="C109" s="21" t="s">
        <v>219</v>
      </c>
      <c r="D109" s="21" t="s">
        <v>540</v>
      </c>
      <c r="E109" s="13">
        <v>42820.683379629627</v>
      </c>
      <c r="F109" s="13">
        <v>42820.684895833336</v>
      </c>
      <c r="G109" s="7">
        <v>1</v>
      </c>
      <c r="H109" s="21" t="s">
        <v>464</v>
      </c>
      <c r="I109" s="13">
        <v>42820.711770833332</v>
      </c>
      <c r="J109" s="7">
        <v>0</v>
      </c>
      <c r="K109" s="98" t="str">
        <f t="shared" si="26"/>
        <v>4001/4002</v>
      </c>
      <c r="L109" s="21" t="str">
        <f>VLOOKUP(A109,'Trips&amp;Operators'!$C$1:$G$99999,5,FALSE)</f>
        <v>LOCKLEAR TRAVIS</v>
      </c>
      <c r="M109" s="6">
        <f t="shared" si="27"/>
        <v>2.6874999995925464E-2</v>
      </c>
      <c r="N109" s="7">
        <f t="shared" si="42"/>
        <v>38.699999994132668</v>
      </c>
      <c r="O109" s="7"/>
      <c r="P109" s="7"/>
      <c r="Q109" s="22"/>
      <c r="R109" s="22"/>
      <c r="S109" s="31">
        <f t="shared" si="43"/>
        <v>1</v>
      </c>
      <c r="T109" s="46" t="str">
        <f t="shared" si="28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9"/>
        <v>https://d0f6bd738d7f1b3e5a7ca70fe4ff75f0.us-east-1.aws.found.io/app/kibana#/discover/Steve-Slow-Train-Analysis-(2080s-and-2083s)?_g=(refreshInterval:(display:Off,pause:!f,section:0,value:0),time:(from:'2017-03-26T15:24:04-0600',mode:absolute,to:'2017-03-26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87" t="str">
        <f t="shared" si="30"/>
        <v>N</v>
      </c>
      <c r="X109" s="187">
        <f t="shared" ref="X109:X136" si="44">VALUE(LEFT(AD109,4))-VALUE(LEFT(AD108,4))</f>
        <v>1</v>
      </c>
      <c r="Y109" s="62">
        <f t="shared" si="32"/>
        <v>23.301300000000001</v>
      </c>
      <c r="Z109" s="62">
        <f t="shared" si="33"/>
        <v>1.61E-2</v>
      </c>
      <c r="AA109" s="62">
        <f t="shared" si="34"/>
        <v>23.2852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5"/>
        <v>0196-26</v>
      </c>
      <c r="AE109" s="85" t="str">
        <f t="shared" si="3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09" s="82" t="str">
        <f t="shared" si="37"/>
        <v>"C:\Program Files (x86)\AstroGrep\AstroGrep.exe" /e /r /s /spath="%USERPROFILE%\AppData\Local\Temp\OnboardLogs" /stypes="app*4001*20170326*" /stext=" 23:.+((SYSTEM_STATE.+slice.+state.+changed )|(ment ac)|(multiple cpu faults)|(system.+state.+changed )|(\[timeout)|(PRM\|1\|D)|(kpr)|(kdp)|(\|lc)|(penalty))"</v>
      </c>
      <c r="AG109" s="1" t="str">
        <f t="shared" si="38"/>
        <v>EC</v>
      </c>
      <c r="AH109" s="86" t="str">
        <f t="shared" si="39"/>
        <v>"%USERPROFILE%\Documents\GitHub\eaglep3\Utilities\RefineRTDCRunTimes.py" --tripid 196-26 --locoid 4001 --swversion DE.1.0.9.0 --startMP 204:233013 --initTime 2017-03-26T16:24:04 --startdatetime 2017-03-26T16:26:15 --delay 1 --endMP 204:161 --enddatetime 2017-03-26T17:04:57 --enforcementcount 0 &gt;&gt;C:\Users\stu\Documents\GitHub\eaglep3-reporting\EC\2017-03-26-refined-times.txt</v>
      </c>
      <c r="AI10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{"issue":{"subject":"","project_id":79,"tracker_id":40,"status_id":1,"priority_id":2,"assigned_to_id":23,"start_date":"2017-03-26","description":"","custom_fields":[{"id":1,"name":"Subdivision","value":"EC"},{"id":4,"name":"Milepost","value":"0.0161"},{"id":17,"name":"Train ID","value":"196-26"},{"id":16,"name":"Locomotive ID","value":"4001"},{"id":130,"name":"Impact","value":""},{"id":150,"name":"Time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1"/>
        <v>start /low /b %USERPROFILE%\Documents\GitHub\eaglep3\Utilities\DownloadLogsFromS3.py --loco 4001 --day 2017-03-26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747</v>
      </c>
      <c r="B110" s="7">
        <v>4003</v>
      </c>
      <c r="C110" s="21" t="s">
        <v>219</v>
      </c>
      <c r="D110" s="21" t="s">
        <v>212</v>
      </c>
      <c r="E110" s="13">
        <v>42820.650393518517</v>
      </c>
      <c r="F110" s="13">
        <v>42820.656400462962</v>
      </c>
      <c r="G110" s="7">
        <v>1</v>
      </c>
      <c r="H110" s="21" t="s">
        <v>918</v>
      </c>
      <c r="I110" s="13">
        <v>42820.680694444447</v>
      </c>
      <c r="J110" s="7">
        <v>0</v>
      </c>
      <c r="K110" s="98" t="str">
        <f t="shared" si="26"/>
        <v>4003/4004</v>
      </c>
      <c r="L110" s="21" t="str">
        <f>VLOOKUP(A110,'Trips&amp;Operators'!$C$1:$G$99999,5,FALSE)</f>
        <v>ROMERO CHAD</v>
      </c>
      <c r="M110" s="6">
        <f t="shared" si="27"/>
        <v>2.4293981485243421E-2</v>
      </c>
      <c r="N110" s="7">
        <f t="shared" si="42"/>
        <v>34.983333338750526</v>
      </c>
      <c r="O110" s="7"/>
      <c r="P110" s="7"/>
      <c r="Q110" s="22"/>
      <c r="R110" s="22"/>
      <c r="S110" s="31">
        <f t="shared" si="43"/>
        <v>1</v>
      </c>
      <c r="T110" s="46" t="str">
        <f t="shared" si="28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9"/>
        <v>https://d0f6bd738d7f1b3e5a7ca70fe4ff75f0.us-east-1.aws.found.io/app/kibana#/discover/Steve-Slow-Train-Analysis-(2080s-and-2083s)?_g=(refreshInterval:(display:Off,pause:!f,section:0,value:0),time:(from:'2017-03-26T14:36:34-0600',mode:absolute,to:'2017-03-26T17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87" t="str">
        <f t="shared" si="30"/>
        <v>N</v>
      </c>
      <c r="X110" s="187">
        <f t="shared" si="44"/>
        <v>1</v>
      </c>
      <c r="Y110" s="62">
        <f t="shared" si="32"/>
        <v>4.53E-2</v>
      </c>
      <c r="Z110" s="62">
        <f t="shared" si="33"/>
        <v>23.339099999999998</v>
      </c>
      <c r="AA110" s="62">
        <f t="shared" si="34"/>
        <v>23.293799999999997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5"/>
        <v>0197-26</v>
      </c>
      <c r="AE110" s="85" t="str">
        <f t="shared" si="36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10" s="82" t="str">
        <f t="shared" si="37"/>
        <v>"C:\Program Files (x86)\AstroGrep\AstroGrep.exe" /e /r /s /spath="%USERPROFILE%\AppData\Local\Temp\OnboardLogs" /stypes="app*4003*20170326*" /stext=" 22:.+((SYSTEM_STATE.+slice.+state.+changed )|(ment ac)|(multiple cpu faults)|(system.+state.+changed )|(\[timeout)|(PRM\|1\|D)|(kpr)|(kdp)|(\|lc)|(penalty))"</v>
      </c>
      <c r="AG110" s="1" t="str">
        <f t="shared" si="38"/>
        <v>EC</v>
      </c>
      <c r="AH110" s="86" t="str">
        <f t="shared" si="39"/>
        <v>"%USERPROFILE%\Documents\GitHub\eaglep3\Utilities\RefineRTDCRunTimes.py" --tripid 197-26 --locoid 4003 --swversion DE.1.0.9.0 --startMP 204:453 --initTime 2017-03-26T15:36:34 --startdatetime 2017-03-26T15:45:13 --delay 1 --endMP 204:233391 --enddatetime 2017-03-26T16:20:12 --enforcementcount 0 &gt;&gt;C:\Users\stu\Documents\GitHub\eaglep3-reporting\EC\2017-03-26-refined-times.txt</v>
      </c>
      <c r="AI11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{"issue":{"subject":"","project_id":79,"tracker_id":40,"status_id":1,"priority_id":2,"assigned_to_id":23,"start_date":"2017-03-26","description":"","custom_fields":[{"id":1,"name":"Subdivision","value":"EC"},{"id":4,"name":"Milepost","value":"23.3391"},{"id":17,"name":"Train ID","value":"197-26"},{"id":16,"name":"Locomotive ID","value":"4003"},{"id":130,"name":"Impact","value":""},{"id":150,"name":"Time of Event (Mountain Time)","value":"16:20:12"},{"id":151,"name":"Denver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1"/>
        <v>start /low /b %USERPROFILE%\Documents\GitHub\eaglep3\Utilities\DownloadLogsFromS3.py --loco 4003 --day 2017-03-26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754</v>
      </c>
      <c r="B111" s="7">
        <v>4004</v>
      </c>
      <c r="C111" s="21" t="s">
        <v>219</v>
      </c>
      <c r="D111" s="21" t="s">
        <v>919</v>
      </c>
      <c r="E111" s="13">
        <v>42820.691377314812</v>
      </c>
      <c r="F111" s="13">
        <v>42820.6953125</v>
      </c>
      <c r="G111" s="7">
        <v>1</v>
      </c>
      <c r="H111" s="21" t="s">
        <v>920</v>
      </c>
      <c r="I111" s="13">
        <v>42820.721099537041</v>
      </c>
      <c r="J111" s="7">
        <v>0</v>
      </c>
      <c r="K111" s="98" t="str">
        <f t="shared" si="26"/>
        <v>4003/4004</v>
      </c>
      <c r="L111" s="21" t="str">
        <f>VLOOKUP(A111,'Trips&amp;Operators'!$C$1:$G$99999,5,FALSE)</f>
        <v>ROMERO CHAD</v>
      </c>
      <c r="M111" s="6">
        <f t="shared" si="27"/>
        <v>2.5787037040572613E-2</v>
      </c>
      <c r="N111" s="7">
        <f t="shared" si="42"/>
        <v>37.133333338424563</v>
      </c>
      <c r="O111" s="7"/>
      <c r="P111" s="7"/>
      <c r="Q111" s="22"/>
      <c r="R111" s="22"/>
      <c r="S111" s="31">
        <f t="shared" si="43"/>
        <v>1</v>
      </c>
      <c r="T111" s="46" t="str">
        <f t="shared" si="28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9"/>
        <v>https://d0f6bd738d7f1b3e5a7ca70fe4ff75f0.us-east-1.aws.found.io/app/kibana#/discover/Steve-Slow-Train-Analysis-(2080s-and-2083s)?_g=(refreshInterval:(display:Off,pause:!f,section:0,value:0),time:(from:'2017-03-26T15:35:35-0600',mode:absolute,to:'2017-03-26T18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87" t="str">
        <f t="shared" si="30"/>
        <v>N</v>
      </c>
      <c r="X111" s="187">
        <f t="shared" si="44"/>
        <v>1</v>
      </c>
      <c r="Y111" s="62">
        <f t="shared" si="32"/>
        <v>23.31</v>
      </c>
      <c r="Z111" s="62">
        <f t="shared" si="33"/>
        <v>1.21E-2</v>
      </c>
      <c r="AA111" s="62">
        <f t="shared" si="34"/>
        <v>23.297899999999998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5"/>
        <v>0198-26</v>
      </c>
      <c r="AE111" s="85" t="str">
        <f t="shared" si="36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11" s="82" t="str">
        <f t="shared" si="37"/>
        <v>"C:\Program Files (x86)\AstroGrep\AstroGrep.exe" /e /r /s /spath="%USERPROFILE%\AppData\Local\Temp\OnboardLogs" /stypes="app*4004*20170326*" /stext=" 23:.+((SYSTEM_STATE.+slice.+state.+changed )|(ment ac)|(multiple cpu faults)|(system.+state.+changed )|(\[timeout)|(PRM\|1\|D)|(kpr)|(kdp)|(\|lc)|(penalty))"</v>
      </c>
      <c r="AG111" s="1" t="str">
        <f t="shared" si="38"/>
        <v>EC</v>
      </c>
      <c r="AH111" s="86" t="str">
        <f t="shared" si="39"/>
        <v>"%USERPROFILE%\Documents\GitHub\eaglep3\Utilities\RefineRTDCRunTimes.py" --tripid 198-26 --locoid 4004 --swversion DE.1.0.9.0 --startMP 204:233100 --initTime 2017-03-26T16:35:35 --startdatetime 2017-03-26T16:41:15 --delay 1 --endMP 204:121 --enddatetime 2017-03-26T17:18:23 --enforcementcount 0 &gt;&gt;C:\Users\stu\Documents\GitHub\eaglep3-reporting\EC\2017-03-26-refined-times.txt</v>
      </c>
      <c r="AI11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{"issue":{"subject":"","project_id":79,"tracker_id":40,"status_id":1,"priority_id":2,"assigned_to_id":23,"start_date":"2017-03-26","description":"","custom_fields":[{"id":1,"name":"Subdivision","value":"EC"},{"id":4,"name":"Milepost","value":"0.0121"},{"id":17,"name":"Train ID","value":"198-26"},{"id":16,"name":"Locomotive ID","value":"4004"},{"id":130,"name":"Impact","value":""},{"id":150,"name":"Time of Event (Mountain Time)","value":"17:18:23"},{"id":151,"name":"Denver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1"/>
        <v>start /low /b %USERPROFILE%\Documents\GitHub\eaglep3\Utilities\DownloadLogsFromS3.py --loco 4004 --day 2017-03-26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748</v>
      </c>
      <c r="B112" s="7">
        <v>4027</v>
      </c>
      <c r="C112" s="21" t="s">
        <v>219</v>
      </c>
      <c r="D112" s="21" t="s">
        <v>908</v>
      </c>
      <c r="E112" s="13">
        <v>42820.663993055554</v>
      </c>
      <c r="F112" s="13">
        <v>42820.666817129626</v>
      </c>
      <c r="G112" s="7">
        <v>1</v>
      </c>
      <c r="H112" s="21" t="s">
        <v>921</v>
      </c>
      <c r="I112" s="13">
        <v>42820.693553240744</v>
      </c>
      <c r="J112" s="7">
        <v>0</v>
      </c>
      <c r="K112" s="98" t="str">
        <f t="shared" si="26"/>
        <v>4027/4028</v>
      </c>
      <c r="L112" s="21" t="str">
        <f>VLOOKUP(A112,'Trips&amp;Operators'!$C$1:$G$99999,5,FALSE)</f>
        <v>BRANDNER MELINDA</v>
      </c>
      <c r="M112" s="6">
        <f t="shared" si="27"/>
        <v>2.6736111118225381E-2</v>
      </c>
      <c r="N112" s="7">
        <f t="shared" si="42"/>
        <v>38.500000010244548</v>
      </c>
      <c r="O112" s="7"/>
      <c r="P112" s="7"/>
      <c r="Q112" s="22"/>
      <c r="R112" s="22"/>
      <c r="S112" s="31">
        <f t="shared" si="43"/>
        <v>1</v>
      </c>
      <c r="T112" s="46" t="str">
        <f t="shared" si="28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9"/>
        <v>https://d0f6bd738d7f1b3e5a7ca70fe4ff75f0.us-east-1.aws.found.io/app/kibana#/discover/Steve-Slow-Train-Analysis-(2080s-and-2083s)?_g=(refreshInterval:(display:Off,pause:!f,section:0,value:0),time:(from:'2017-03-26T14:56:09-0600',mode:absolute,to:'2017-03-26T17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87" t="str">
        <f t="shared" si="30"/>
        <v>N</v>
      </c>
      <c r="X112" s="187">
        <f t="shared" si="44"/>
        <v>1</v>
      </c>
      <c r="Y112" s="62">
        <f t="shared" si="32"/>
        <v>4.4200000000000003E-2</v>
      </c>
      <c r="Z112" s="62">
        <f t="shared" si="33"/>
        <v>23.331099999999999</v>
      </c>
      <c r="AA112" s="62">
        <f t="shared" si="34"/>
        <v>23.286899999999999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5"/>
        <v>0199-26</v>
      </c>
      <c r="AE112" s="85" t="str">
        <f t="shared" si="36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12" s="82" t="str">
        <f t="shared" si="37"/>
        <v>"C:\Program Files (x86)\AstroGrep\AstroGrep.exe" /e /r /s /spath="%USERPROFILE%\AppData\Local\Temp\OnboardLogs" /stypes="app*4027*20170326*" /stext=" 22:.+((SYSTEM_STATE.+slice.+state.+changed )|(ment ac)|(multiple cpu faults)|(system.+state.+changed )|(\[timeout)|(PRM\|1\|D)|(kpr)|(kdp)|(\|lc)|(penalty))"</v>
      </c>
      <c r="AG112" s="1" t="str">
        <f t="shared" si="38"/>
        <v>EC</v>
      </c>
      <c r="AH112" s="86" t="str">
        <f t="shared" si="39"/>
        <v>"%USERPROFILE%\Documents\GitHub\eaglep3\Utilities\RefineRTDCRunTimes.py" --tripid 199-26 --locoid 4027 --swversion DE.1.0.9.0 --startMP 204:442 --initTime 2017-03-26T15:56:09 --startdatetime 2017-03-26T16:00:13 --delay 1 --endMP 204:233311 --enddatetime 2017-03-26T16:38:43 --enforcementcount 0 &gt;&gt;C:\Users\stu\Documents\GitHub\eaglep3-reporting\EC\2017-03-26-refined-times.txt</v>
      </c>
      <c r="AI11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{"issue":{"subject":"","project_id":79,"tracker_id":40,"status_id":1,"priority_id":2,"assigned_to_id":23,"start_date":"2017-03-26","description":"","custom_fields":[{"id":1,"name":"Subdivision","value":"EC"},{"id":4,"name":"Milepost","value":"23.3311"},{"id":17,"name":"Train ID","value":"199-26"},{"id":16,"name":"Locomotive ID","value":"4027"},{"id":130,"name":"Impact","value":""},{"id":150,"name":"Time of Event (Mountain Time)","value":"16:38:43"},{"id":151,"name":"Denver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1"/>
        <v>start /low /b %USERPROFILE%\Documents\GitHub\eaglep3\Utilities\DownloadLogsFromS3.py --loco 4027 --day 2017-03-26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"%USERPROFILE%\AppData\Local\Temp\OnboardLogs"\RTDC4027\*4027*20170326* | grep -SE "(Enforcement Action)|(\[TIMEOUT)|(CHR.+\|PRM\|1\|D.+(SWITCH|SIGNAL).+UNKNOWN)" - &gt;&gt; 2017-03-26-UncaughtWiMAX.txt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620</v>
      </c>
      <c r="B113" s="7">
        <v>4028</v>
      </c>
      <c r="C113" s="21" t="s">
        <v>219</v>
      </c>
      <c r="D113" s="21" t="s">
        <v>473</v>
      </c>
      <c r="E113" s="13">
        <v>42820.701527777775</v>
      </c>
      <c r="F113" s="13">
        <v>42820.705752314818</v>
      </c>
      <c r="G113" s="7">
        <v>1</v>
      </c>
      <c r="H113" s="21" t="s">
        <v>533</v>
      </c>
      <c r="I113" s="13">
        <v>42820.734918981485</v>
      </c>
      <c r="J113" s="7">
        <v>0</v>
      </c>
      <c r="K113" s="98" t="str">
        <f t="shared" si="26"/>
        <v>4027/4028</v>
      </c>
      <c r="L113" s="21" t="str">
        <f>VLOOKUP(A113,'Trips&amp;Operators'!$C$1:$G$99999,5,FALSE)</f>
        <v>BRANDNER MELINDA</v>
      </c>
      <c r="M113" s="6">
        <f t="shared" si="27"/>
        <v>2.9166666667151731E-2</v>
      </c>
      <c r="N113" s="7">
        <f t="shared" si="42"/>
        <v>42.000000000698492</v>
      </c>
      <c r="O113" s="7"/>
      <c r="P113" s="7"/>
      <c r="Q113" s="22"/>
      <c r="R113" s="22"/>
      <c r="S113" s="31">
        <f t="shared" si="43"/>
        <v>1</v>
      </c>
      <c r="T113" s="46" t="str">
        <f t="shared" si="28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9"/>
        <v>https://d0f6bd738d7f1b3e5a7ca70fe4ff75f0.us-east-1.aws.found.io/app/kibana#/discover/Steve-Slow-Train-Analysis-(2080s-and-2083s)?_g=(refreshInterval:(display:Off,pause:!f,section:0,value:0),time:(from:'2017-03-26T15:50:12-0600',mode:absolute,to:'2017-03-26T18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187" t="str">
        <f t="shared" si="30"/>
        <v>N</v>
      </c>
      <c r="X113" s="187">
        <f t="shared" si="44"/>
        <v>1</v>
      </c>
      <c r="Y113" s="62">
        <f t="shared" si="32"/>
        <v>23.297699999999999</v>
      </c>
      <c r="Z113" s="62">
        <f t="shared" si="33"/>
        <v>1.3899999999999999E-2</v>
      </c>
      <c r="AA113" s="62">
        <f t="shared" si="34"/>
        <v>23.283799999999999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5"/>
        <v>0200-26</v>
      </c>
      <c r="AE113" s="85" t="str">
        <f t="shared" si="36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13" s="82" t="str">
        <f t="shared" si="37"/>
        <v>"C:\Program Files (x86)\AstroGrep\AstroGrep.exe" /e /r /s /spath="%USERPROFILE%\AppData\Local\Temp\OnboardLogs" /stypes="app*4028*20170326*" /stext=" 23:.+((SYSTEM_STATE.+slice.+state.+changed )|(ment ac)|(multiple cpu faults)|(system.+state.+changed )|(\[timeout)|(PRM\|1\|D)|(kpr)|(kdp)|(\|lc)|(penalty))"</v>
      </c>
      <c r="AG113" s="1" t="str">
        <f t="shared" si="38"/>
        <v>EC</v>
      </c>
      <c r="AH113" s="86" t="str">
        <f t="shared" si="39"/>
        <v>"%USERPROFILE%\Documents\GitHub\eaglep3\Utilities\RefineRTDCRunTimes.py" --tripid 200-26 --locoid 4028 --swversion DE.1.0.9.0 --startMP 204:232977 --initTime 2017-03-26T16:50:12 --startdatetime 2017-03-26T16:56:17 --delay 1 --endMP 204:139 --enddatetime 2017-03-26T17:38:17 --enforcementcount 0 &gt;&gt;C:\Users\stu\Documents\GitHub\eaglep3-reporting\EC\2017-03-26-refined-times.txt</v>
      </c>
      <c r="AI11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ID","value":"200-26"},{"id":16,"name":"Locomotive ID","value":"4028"},{"id":130,"name":"Impact","value":""},{"id":150,"name":"Time of Event (Mountain Time)","value":"17:38:17"},{"id":151,"name":"Denver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1"/>
        <v>start /low /b %USERPROFILE%\Documents\GitHub\eaglep3\Utilities\DownloadLogsFromS3.py --loco 4028 --day 2017-03-26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"%USERPROFILE%\AppData\Local\Temp\OnboardLogs"\RTDC4028\*4028*20170326* | grep -SE "(Enforcement Action)|(\[TIMEOUT)|(CHR.+\|PRM\|1\|D.+(SWITCH|SIGNAL).+UNKNOWN)" - &gt;&gt; 2017-03-26-UncaughtWiMAX.txt</v>
      </c>
    </row>
    <row r="114" spans="1:91" s="20" customFormat="1" x14ac:dyDescent="0.25">
      <c r="A114" s="33" t="s">
        <v>750</v>
      </c>
      <c r="B114" s="7">
        <v>4025</v>
      </c>
      <c r="C114" s="21" t="s">
        <v>219</v>
      </c>
      <c r="D114" s="21" t="s">
        <v>442</v>
      </c>
      <c r="E114" s="13">
        <v>42820.672581018516</v>
      </c>
      <c r="F114" s="13">
        <v>42820.677268518521</v>
      </c>
      <c r="G114" s="7">
        <v>1</v>
      </c>
      <c r="H114" s="21" t="s">
        <v>541</v>
      </c>
      <c r="I114" s="13">
        <v>42820.702199074076</v>
      </c>
      <c r="J114" s="7">
        <v>0</v>
      </c>
      <c r="K114" s="98" t="str">
        <f t="shared" si="26"/>
        <v>4025/4026</v>
      </c>
      <c r="L114" s="21" t="str">
        <f>VLOOKUP(A114,'Trips&amp;Operators'!$C$1:$G$99999,5,FALSE)</f>
        <v>STEWART MICHAEL</v>
      </c>
      <c r="M114" s="6">
        <f t="shared" si="27"/>
        <v>2.4930555555329192E-2</v>
      </c>
      <c r="N114" s="7">
        <f t="shared" si="42"/>
        <v>35.899999999674037</v>
      </c>
      <c r="O114" s="7"/>
      <c r="P114" s="7"/>
      <c r="Q114" s="22"/>
      <c r="R114" s="22"/>
      <c r="S114" s="31">
        <f t="shared" si="43"/>
        <v>1</v>
      </c>
      <c r="T114" s="46" t="str">
        <f t="shared" si="28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9"/>
        <v>https://d0f6bd738d7f1b3e5a7ca70fe4ff75f0.us-east-1.aws.found.io/app/kibana#/discover/Steve-Slow-Train-Analysis-(2080s-and-2083s)?_g=(refreshInterval:(display:Off,pause:!f,section:0,value:0),time:(from:'2017-03-26T15:08:31-0600',mode:absolute,to:'2017-03-26T17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7" t="str">
        <f t="shared" si="30"/>
        <v>N</v>
      </c>
      <c r="X114" s="187">
        <f t="shared" si="44"/>
        <v>1</v>
      </c>
      <c r="Y114" s="62">
        <f t="shared" si="32"/>
        <v>4.4900000000000002E-2</v>
      </c>
      <c r="Z114" s="62">
        <f t="shared" si="33"/>
        <v>23.328700000000001</v>
      </c>
      <c r="AA114" s="62">
        <f t="shared" si="34"/>
        <v>23.283800000000003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5"/>
        <v>0201-26</v>
      </c>
      <c r="AE114" s="85" t="str">
        <f t="shared" si="36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14" s="82" t="str">
        <f t="shared" si="37"/>
        <v>"C:\Program Files (x86)\AstroGrep\AstroGrep.exe" /e /r /s /spath="%USERPROFILE%\AppData\Local\Temp\OnboardLogs" /stypes="app*4025*20170326*" /stext=" 22:.+((SYSTEM_STATE.+slice.+state.+changed )|(ment ac)|(multiple cpu faults)|(system.+state.+changed )|(\[timeout)|(PRM\|1\|D)|(kpr)|(kdp)|(\|lc)|(penalty))"</v>
      </c>
      <c r="AG114" s="1" t="str">
        <f t="shared" si="38"/>
        <v>EC</v>
      </c>
      <c r="AH114" s="86" t="str">
        <f t="shared" si="39"/>
        <v>"%USERPROFILE%\Documents\GitHub\eaglep3\Utilities\RefineRTDCRunTimes.py" --tripid 201-26 --locoid 4025 --swversion DE.1.0.9.0 --startMP 204:449 --initTime 2017-03-26T16:08:31 --startdatetime 2017-03-26T16:15:16 --delay 1 --endMP 204:233287 --enddatetime 2017-03-26T16:51:10 --enforcementcount 0 &gt;&gt;C:\Users\stu\Documents\GitHub\eaglep3-reporting\EC\2017-03-26-refined-times.txt</v>
      </c>
      <c r="AI11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{"issue":{"subject":"","project_id":79,"tracker_id":40,"status_id":1,"priority_id":2,"assigned_to_id":23,"start_date":"2017-03-26","description":"","custom_fields":[{"id":1,"name":"Subdivision","value":"EC"},{"id":4,"name":"Milepost","value":"23.3287"},{"id":17,"name":"Train ID","value":"201-26"},{"id":16,"name":"Locomotive ID","value":"4025"},{"id":130,"name":"Impact","value":""},{"id":150,"name":"Time of Event (Mountain Time)","value":"16:51:10"},{"id":151,"name":"Denver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1"/>
        <v>start /low /b %USERPROFILE%\Documents\GitHub\eaglep3\Utilities\DownloadLogsFromS3.py --loco 4025 --day 2017-03-26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"%USERPROFILE%\AppData\Local\Temp\OnboardLogs"\RTDC4025\*4025*20170326* | grep -SE "(Enforcement Action)|(\[TIMEOUT)|(CHR.+\|PRM\|1\|D.+(SWITCH|SIGNAL).+UNKNOWN)" - &gt;&gt; 2017-03-26-UncaughtWiMAX.txt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757</v>
      </c>
      <c r="B115" s="7">
        <v>4026</v>
      </c>
      <c r="C115" s="21" t="s">
        <v>219</v>
      </c>
      <c r="D115" s="21" t="s">
        <v>473</v>
      </c>
      <c r="E115" s="13">
        <v>42820.713020833333</v>
      </c>
      <c r="F115" s="13">
        <v>42820.716273148151</v>
      </c>
      <c r="G115" s="7">
        <v>1</v>
      </c>
      <c r="H115" s="21" t="s">
        <v>184</v>
      </c>
      <c r="I115" s="13">
        <v>42820.743055555555</v>
      </c>
      <c r="J115" s="7">
        <v>0</v>
      </c>
      <c r="K115" s="98" t="str">
        <f t="shared" si="26"/>
        <v>4025/4026</v>
      </c>
      <c r="L115" s="21" t="str">
        <f>VLOOKUP(A115,'Trips&amp;Operators'!$C$1:$G$99999,5,FALSE)</f>
        <v>STEWART MICHAEL</v>
      </c>
      <c r="M115" s="6">
        <f t="shared" si="27"/>
        <v>2.6782407403516117E-2</v>
      </c>
      <c r="N115" s="7">
        <f t="shared" si="42"/>
        <v>38.566666661063209</v>
      </c>
      <c r="O115" s="7"/>
      <c r="P115" s="7"/>
      <c r="Q115" s="22"/>
      <c r="R115" s="22"/>
      <c r="S115" s="31">
        <f t="shared" si="43"/>
        <v>1</v>
      </c>
      <c r="T115" s="46" t="str">
        <f t="shared" si="28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9"/>
        <v>https://d0f6bd738d7f1b3e5a7ca70fe4ff75f0.us-east-1.aws.found.io/app/kibana#/discover/Steve-Slow-Train-Analysis-(2080s-and-2083s)?_g=(refreshInterval:(display:Off,pause:!f,section:0,value:0),time:(from:'2017-03-26T16:06:45-0600',mode:absolute,to:'2017-03-26T18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187" t="str">
        <f t="shared" si="30"/>
        <v>N</v>
      </c>
      <c r="X115" s="187">
        <f t="shared" si="44"/>
        <v>1</v>
      </c>
      <c r="Y115" s="62">
        <f t="shared" si="32"/>
        <v>23.297699999999999</v>
      </c>
      <c r="Z115" s="62">
        <f t="shared" si="33"/>
        <v>1.49E-2</v>
      </c>
      <c r="AA115" s="62">
        <f t="shared" si="34"/>
        <v>23.282799999999998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5"/>
        <v>0202-26</v>
      </c>
      <c r="AE115" s="85" t="str">
        <f t="shared" si="36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15" s="82" t="str">
        <f t="shared" si="37"/>
        <v>"C:\Program Files (x86)\AstroGrep\AstroGrep.exe" /e /r /s /spath="%USERPROFILE%\AppData\Local\Temp\OnboardLogs" /stypes="app*4026*20170326*" /stext=" 23:.+((SYSTEM_STATE.+slice.+state.+changed )|(ment ac)|(multiple cpu faults)|(system.+state.+changed )|(\[timeout)|(PRM\|1\|D)|(kpr)|(kdp)|(\|lc)|(penalty))"</v>
      </c>
      <c r="AG115" s="1" t="str">
        <f t="shared" si="38"/>
        <v>EC</v>
      </c>
      <c r="AH115" s="86" t="str">
        <f t="shared" si="39"/>
        <v>"%USERPROFILE%\Documents\GitHub\eaglep3\Utilities\RefineRTDCRunTimes.py" --tripid 202-26 --locoid 4026 --swversion DE.1.0.9.0 --startMP 204:232977 --initTime 2017-03-26T17:06:45 --startdatetime 2017-03-26T17:11:26 --delay 1 --endMP 204:149 --enddatetime 2017-03-26T17:50:00 --enforcementcount 0 &gt;&gt;C:\Users\stu\Documents\GitHub\eaglep3-reporting\EC\2017-03-26-refined-times.txt</v>
      </c>
      <c r="AI11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ID","value":"202-26"},{"id":16,"name":"Locomotive ID","value":"4026"},{"id":130,"name":"Impact","value":""},{"id":150,"name":"Time of Event (Mountain Time)","value":"17:50:00"},{"id":151,"name":"Denver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1"/>
        <v>start /low /b %USERPROFILE%\Documents\GitHub\eaglep3\Utilities\DownloadLogsFromS3.py --loco 4026 --day 2017-03-26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</row>
    <row r="116" spans="1:91" s="20" customFormat="1" x14ac:dyDescent="0.25">
      <c r="A116" s="33" t="s">
        <v>753</v>
      </c>
      <c r="B116" s="7">
        <v>4031</v>
      </c>
      <c r="C116" s="21" t="s">
        <v>219</v>
      </c>
      <c r="D116" s="21" t="s">
        <v>213</v>
      </c>
      <c r="E116" s="13">
        <v>42820.685682870368</v>
      </c>
      <c r="F116" s="13">
        <v>42820.687777777777</v>
      </c>
      <c r="G116" s="7">
        <v>1</v>
      </c>
      <c r="H116" s="21" t="s">
        <v>385</v>
      </c>
      <c r="I116" s="13">
        <v>42820.714375000003</v>
      </c>
      <c r="J116" s="7">
        <v>0</v>
      </c>
      <c r="K116" s="98" t="str">
        <f t="shared" si="26"/>
        <v>4031/4032</v>
      </c>
      <c r="L116" s="21" t="str">
        <f>VLOOKUP(A116,'Trips&amp;Operators'!$C$1:$G$99999,5,FALSE)</f>
        <v>DAVIS MICHAEL</v>
      </c>
      <c r="M116" s="6">
        <f t="shared" si="27"/>
        <v>2.6597222225973383E-2</v>
      </c>
      <c r="N116" s="7">
        <f t="shared" si="42"/>
        <v>38.300000005401671</v>
      </c>
      <c r="O116" s="7"/>
      <c r="P116" s="7"/>
      <c r="Q116" s="22"/>
      <c r="R116" s="22"/>
      <c r="S116" s="31">
        <f t="shared" si="43"/>
        <v>1</v>
      </c>
      <c r="T116" s="46" t="str">
        <f t="shared" si="28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9"/>
        <v>https://d0f6bd738d7f1b3e5a7ca70fe4ff75f0.us-east-1.aws.found.io/app/kibana#/discover/Steve-Slow-Train-Analysis-(2080s-and-2083s)?_g=(refreshInterval:(display:Off,pause:!f,section:0,value:0),time:(from:'2017-03-26T15:27:23-0600',mode:absolute,to:'2017-03-26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7" t="str">
        <f t="shared" si="30"/>
        <v>N</v>
      </c>
      <c r="X116" s="187">
        <f t="shared" si="44"/>
        <v>1</v>
      </c>
      <c r="Y116" s="62">
        <f t="shared" si="32"/>
        <v>4.5499999999999999E-2</v>
      </c>
      <c r="Z116" s="62">
        <f t="shared" si="33"/>
        <v>23.3293</v>
      </c>
      <c r="AA116" s="62">
        <f t="shared" si="34"/>
        <v>23.283799999999999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5"/>
        <v>0203-26</v>
      </c>
      <c r="AE116" s="85" t="str">
        <f t="shared" si="36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16" s="82" t="str">
        <f t="shared" si="37"/>
        <v>"C:\Program Files (x86)\AstroGrep\AstroGrep.exe" /e /r /s /spath="%USERPROFILE%\AppData\Local\Temp\OnboardLogs" /stypes="app*4031*20170326*" /stext=" 23:.+((SYSTEM_STATE.+slice.+state.+changed )|(ment ac)|(multiple cpu faults)|(system.+state.+changed )|(\[timeout)|(PRM\|1\|D)|(kpr)|(kdp)|(\|lc)|(penalty))"</v>
      </c>
      <c r="AG116" s="1" t="str">
        <f t="shared" si="38"/>
        <v>EC</v>
      </c>
      <c r="AH116" s="86" t="str">
        <f t="shared" si="39"/>
        <v>"%USERPROFILE%\Documents\GitHub\eaglep3\Utilities\RefineRTDCRunTimes.py" --tripid 203-26 --locoid 4031 --swversion DE.1.0.9.0 --startMP 204:455 --initTime 2017-03-26T16:27:23 --startdatetime 2017-03-26T16:30:24 --delay 1 --endMP 204:233293 --enddatetime 2017-03-26T17:08:42 --enforcementcount 0 &gt;&gt;C:\Users\stu\Documents\GitHub\eaglep3-reporting\EC\2017-03-26-refined-times.txt</v>
      </c>
      <c r="AI11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{"issue":{"subject":"","project_id":79,"tracker_id":40,"status_id":1,"priority_id":2,"assigned_to_id":23,"start_date":"2017-03-26","description":"","custom_fields":[{"id":1,"name":"Subdivision","value":"EC"},{"id":4,"name":"Milepost","value":"23.3293"},{"id":17,"name":"Train ID","value":"203-26"},{"id":16,"name":"Locomotive ID","value":"4031"},{"id":130,"name":"Impact","value":""},{"id":150,"name":"Time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1"/>
        <v>start /low /b %USERPROFILE%\Documents\GitHub\eaglep3\Utilities\DownloadLogsFromS3.py --loco 4031 --day 2017-03-26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762</v>
      </c>
      <c r="B117" s="7">
        <v>4032</v>
      </c>
      <c r="C117" s="21" t="s">
        <v>219</v>
      </c>
      <c r="D117" s="21" t="s">
        <v>447</v>
      </c>
      <c r="E117" s="13">
        <v>42820.724641203706</v>
      </c>
      <c r="F117" s="13">
        <v>42820.726620370369</v>
      </c>
      <c r="G117" s="7">
        <v>1</v>
      </c>
      <c r="H117" s="21" t="s">
        <v>215</v>
      </c>
      <c r="I117" s="13">
        <v>42820.754305555558</v>
      </c>
      <c r="J117" s="7">
        <v>0</v>
      </c>
      <c r="K117" s="98" t="str">
        <f t="shared" si="26"/>
        <v>4031/4032</v>
      </c>
      <c r="L117" s="21" t="str">
        <f>VLOOKUP(A117,'Trips&amp;Operators'!$C$1:$G$99999,5,FALSE)</f>
        <v>DAVIS MICHAEL</v>
      </c>
      <c r="M117" s="6">
        <f t="shared" si="27"/>
        <v>2.768518518860219E-2</v>
      </c>
      <c r="N117" s="7">
        <f t="shared" si="42"/>
        <v>39.866666671587154</v>
      </c>
      <c r="O117" s="7"/>
      <c r="P117" s="7"/>
      <c r="Q117" s="22"/>
      <c r="R117" s="22"/>
      <c r="S117" s="31">
        <f t="shared" si="43"/>
        <v>1</v>
      </c>
      <c r="T117" s="46" t="str">
        <f t="shared" si="28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9"/>
        <v>https://d0f6bd738d7f1b3e5a7ca70fe4ff75f0.us-east-1.aws.found.io/app/kibana#/discover/Steve-Slow-Train-Analysis-(2080s-and-2083s)?_g=(refreshInterval:(display:Off,pause:!f,section:0,value:0),time:(from:'2017-03-26T16:23:29-0600',mode:absolute,to:'2017-03-26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7" t="str">
        <f t="shared" si="30"/>
        <v>N</v>
      </c>
      <c r="X117" s="187">
        <f t="shared" si="44"/>
        <v>1</v>
      </c>
      <c r="Y117" s="62">
        <f t="shared" si="32"/>
        <v>23.297999999999998</v>
      </c>
      <c r="Z117" s="62">
        <f t="shared" si="33"/>
        <v>1.47E-2</v>
      </c>
      <c r="AA117" s="62">
        <f t="shared" si="34"/>
        <v>23.283299999999997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5"/>
        <v>0204-26</v>
      </c>
      <c r="AE117" s="85" t="str">
        <f t="shared" si="36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17" s="82" t="str">
        <f t="shared" si="37"/>
        <v>"C:\Program Files (x86)\AstroGrep\AstroGrep.exe" /e /r /s /spath="%USERPROFILE%\AppData\Local\Temp\OnboardLogs" /stypes="app*4032*20170327*" /stext=" 00:.+((SYSTEM_STATE.+slice.+state.+changed )|(ment ac)|(multiple cpu faults)|(system.+state.+changed )|(\[timeout)|(PRM\|1\|D)|(kpr)|(kdp)|(\|lc)|(penalty))"</v>
      </c>
      <c r="AG117" s="1" t="str">
        <f t="shared" si="38"/>
        <v>EC</v>
      </c>
      <c r="AH117" s="86" t="str">
        <f t="shared" si="39"/>
        <v>"%USERPROFILE%\Documents\GitHub\eaglep3\Utilities\RefineRTDCRunTimes.py" --tripid 204-26 --locoid 4032 --swversion DE.1.0.9.0 --startMP 204:232980 --initTime 2017-03-26T17:23:29 --startdatetime 2017-03-26T17:26:20 --delay 1 --endMP 204:147 --enddatetime 2017-03-26T18:06:12 --enforcementcount 0 &gt;&gt;C:\Users\stu\Documents\GitHub\eaglep3-reporting\EC\2017-03-26-refined-times.txt</v>
      </c>
      <c r="AI11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ID","value":"204-26"},{"id":16,"name":"Locomotive ID","value":"4032"},{"id":130,"name":"Impact","value":""},{"id":150,"name":"Time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1"/>
        <v>start /low /b %USERPROFILE%\Documents\GitHub\eaglep3\Utilities\DownloadLogsFromS3.py --loco 4032 --day 2017-03-26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619</v>
      </c>
      <c r="B118" s="7">
        <v>4046</v>
      </c>
      <c r="C118" s="21" t="s">
        <v>219</v>
      </c>
      <c r="D118" s="21" t="s">
        <v>922</v>
      </c>
      <c r="E118" s="13">
        <v>42820.695844907408</v>
      </c>
      <c r="F118" s="13">
        <v>42820.698101851849</v>
      </c>
      <c r="G118" s="7">
        <v>1</v>
      </c>
      <c r="H118" s="21" t="s">
        <v>923</v>
      </c>
      <c r="I118" s="13">
        <v>42820.722766203704</v>
      </c>
      <c r="J118" s="7">
        <v>0</v>
      </c>
      <c r="K118" s="98" t="str">
        <f t="shared" si="26"/>
        <v>4045/4046</v>
      </c>
      <c r="L118" s="21" t="str">
        <f>VLOOKUP(A118,'Trips&amp;Operators'!$C$1:$G$99999,5,FALSE)</f>
        <v>LEVIN SCOTT</v>
      </c>
      <c r="M118" s="6">
        <f t="shared" si="27"/>
        <v>2.4664351854880806E-2</v>
      </c>
      <c r="N118" s="7">
        <f t="shared" si="42"/>
        <v>35.516666671028361</v>
      </c>
      <c r="O118" s="7"/>
      <c r="P118" s="7"/>
      <c r="Q118" s="22"/>
      <c r="R118" s="22"/>
      <c r="S118" s="31">
        <f t="shared" si="43"/>
        <v>1</v>
      </c>
      <c r="T118" s="46" t="str">
        <f t="shared" si="28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9"/>
        <v>https://d0f6bd738d7f1b3e5a7ca70fe4ff75f0.us-east-1.aws.found.io/app/kibana#/discover/Steve-Slow-Train-Analysis-(2080s-and-2083s)?_g=(refreshInterval:(display:Off,pause:!f,section:0,value:0),time:(from:'2017-03-26T15:42:01-0600',mode:absolute,to:'2017-03-26T18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7" t="str">
        <f t="shared" si="30"/>
        <v>N</v>
      </c>
      <c r="X118" s="187">
        <f t="shared" si="44"/>
        <v>1</v>
      </c>
      <c r="Y118" s="62">
        <f t="shared" si="32"/>
        <v>4.2900000000000001E-2</v>
      </c>
      <c r="Z118" s="62">
        <f t="shared" si="33"/>
        <v>23.340199999999999</v>
      </c>
      <c r="AA118" s="62">
        <f t="shared" si="34"/>
        <v>23.2973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5"/>
        <v>0205-26</v>
      </c>
      <c r="AE118" s="85" t="str">
        <f t="shared" si="36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18" s="82" t="str">
        <f t="shared" si="37"/>
        <v>"C:\Program Files (x86)\AstroGrep\AstroGrep.exe" /e /r /s /spath="%USERPROFILE%\AppData\Local\Temp\OnboardLogs" /stypes="app*4046*20170326*" /stext=" 23:.+((SYSTEM_STATE.+slice.+state.+changed )|(ment ac)|(multiple cpu faults)|(system.+state.+changed )|(\[timeout)|(PRM\|1\|D)|(kpr)|(kdp)|(\|lc)|(penalty))"</v>
      </c>
      <c r="AG118" s="1" t="str">
        <f t="shared" si="38"/>
        <v>EC</v>
      </c>
      <c r="AH118" s="86" t="str">
        <f t="shared" si="39"/>
        <v>"%USERPROFILE%\Documents\GitHub\eaglep3\Utilities\RefineRTDCRunTimes.py" --tripid 205-26 --locoid 4046 --swversion DE.1.0.9.0 --startMP 204:429 --initTime 2017-03-26T16:42:01 --startdatetime 2017-03-26T16:45:16 --delay 1 --endMP 204:233402 --enddatetime 2017-03-26T17:20:47 --enforcementcount 0 &gt;&gt;C:\Users\stu\Documents\GitHub\eaglep3-reporting\EC\2017-03-26-refined-times.txt</v>
      </c>
      <c r="AI11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{"issue":{"subject":"","project_id":79,"tracker_id":40,"status_id":1,"priority_id":2,"assigned_to_id":23,"start_date":"2017-03-26","description":"","custom_fields":[{"id":1,"name":"Subdivision","value":"EC"},{"id":4,"name":"Milepost","value":"23.3402"},{"id":17,"name":"Train ID","value":"205-26"},{"id":16,"name":"Locomotive ID","value":"4046"},{"id":130,"name":"Impact","value":""},{"id":150,"name":"Time of Event (Mountain Time)","value":"17:20:47"},{"id":151,"name":"Denver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1"/>
        <v>start /low /b %USERPROFILE%\Documents\GitHub\eaglep3\Utilities\DownloadLogsFromS3.py --loco 4046 --day 2017-03-26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"%USERPROFILE%\AppData\Local\Temp\OnboardLogs"\RTDC4046\*4046*20170326* | grep -SE "(Enforcement Action)|(\[TIMEOUT)|(CHR.+\|PRM\|1\|D.+(SWITCH|SIGNAL).+UNKNOWN)" - &gt;&gt; 2017-03-26-UncaughtWiMAX.txt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764</v>
      </c>
      <c r="B119" s="7">
        <v>4045</v>
      </c>
      <c r="C119" s="21" t="s">
        <v>219</v>
      </c>
      <c r="D119" s="21" t="s">
        <v>924</v>
      </c>
      <c r="E119" s="13">
        <v>42820.733344907407</v>
      </c>
      <c r="F119" s="13">
        <v>42820.737060185187</v>
      </c>
      <c r="G119" s="7">
        <v>1</v>
      </c>
      <c r="H119" s="21" t="s">
        <v>533</v>
      </c>
      <c r="I119" s="13">
        <v>42820.763148148151</v>
      </c>
      <c r="J119" s="7">
        <v>0</v>
      </c>
      <c r="K119" s="98" t="str">
        <f t="shared" si="26"/>
        <v>4045/4046</v>
      </c>
      <c r="L119" s="21" t="str">
        <f>VLOOKUP(A119,'Trips&amp;Operators'!$C$1:$G$99999,5,FALSE)</f>
        <v>LEVIN SCOTT</v>
      </c>
      <c r="M119" s="6">
        <f t="shared" si="27"/>
        <v>2.6087962964083999E-2</v>
      </c>
      <c r="N119" s="7">
        <f t="shared" si="42"/>
        <v>37.566666668280959</v>
      </c>
      <c r="O119" s="7"/>
      <c r="P119" s="7"/>
      <c r="Q119" s="22"/>
      <c r="R119" s="22"/>
      <c r="S119" s="31">
        <f t="shared" si="43"/>
        <v>1</v>
      </c>
      <c r="T119" s="46" t="str">
        <f t="shared" si="28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9"/>
        <v>https://d0f6bd738d7f1b3e5a7ca70fe4ff75f0.us-east-1.aws.found.io/app/kibana#/discover/Steve-Slow-Train-Analysis-(2080s-and-2083s)?_g=(refreshInterval:(display:Off,pause:!f,section:0,value:0),time:(from:'2017-03-26T16:36:01-0600',mode:absolute,to:'2017-03-26T19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7" t="str">
        <f t="shared" si="30"/>
        <v>N</v>
      </c>
      <c r="X119" s="187">
        <f t="shared" si="44"/>
        <v>1</v>
      </c>
      <c r="Y119" s="62">
        <f t="shared" si="32"/>
        <v>23.307600000000001</v>
      </c>
      <c r="Z119" s="62">
        <f t="shared" si="33"/>
        <v>1.3899999999999999E-2</v>
      </c>
      <c r="AA119" s="62">
        <f t="shared" si="34"/>
        <v>23.293700000000001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5"/>
        <v>0206-26</v>
      </c>
      <c r="AE119" s="85" t="str">
        <f t="shared" si="36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19" s="82" t="str">
        <f t="shared" si="37"/>
        <v>"C:\Program Files (x86)\AstroGrep\AstroGrep.exe" /e /r /s /spath="%USERPROFILE%\AppData\Local\Temp\OnboardLogs" /stypes="app*4045*20170327*" /stext=" 00:.+((SYSTEM_STATE.+slice.+state.+changed )|(ment ac)|(multiple cpu faults)|(system.+state.+changed )|(\[timeout)|(PRM\|1\|D)|(kpr)|(kdp)|(\|lc)|(penalty))"</v>
      </c>
      <c r="AG119" s="1" t="str">
        <f t="shared" si="38"/>
        <v>EC</v>
      </c>
      <c r="AH119" s="86" t="str">
        <f t="shared" si="39"/>
        <v>"%USERPROFILE%\Documents\GitHub\eaglep3\Utilities\RefineRTDCRunTimes.py" --tripid 206-26 --locoid 4045 --swversion DE.1.0.9.0 --startMP 204:233076 --initTime 2017-03-26T17:36:01 --startdatetime 2017-03-26T17:41:22 --delay 1 --endMP 204:139 --enddatetime 2017-03-26T18:18:56 --enforcementcount 0 &gt;&gt;C:\Users\stu\Documents\GitHub\eaglep3-reporting\EC\2017-03-26-refined-times.txt</v>
      </c>
      <c r="AI11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{"issue":{"subject":"","project_id":79,"tracker_id":40,"status_id":1,"priority_id":2,"assigned_to_id":23,"start_date":"2017-03-26","description":"","custom_fields":[{"id":1,"name":"Subdivision","value":"EC"},{"id":4,"name":"Milepost","value":"0.0139"},{"id":17,"name":"Train ID","value":"206-26"},{"id":16,"name":"Locomotive ID","value":"4045"},{"id":130,"name":"Impact","value":""},{"id":150,"name":"Time of Event (Mountain Time)","value":"18:18:56"},{"id":151,"name":"Denver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1"/>
        <v>start /low /b %USERPROFILE%\Documents\GitHub\eaglep3\Utilities\DownloadLogsFromS3.py --loco 4045 --day 2017-03-26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"%USERPROFILE%\AppData\Local\Temp\OnboardLogs"\RTDC4045\*4045*20170327* | grep -SE "(Enforcement Action)|(\[TIMEOUT)|(CHR.+\|PRM\|1\|D.+(SWITCH|SIGNAL).+UNKNOWN)" - &gt;&gt; 2017-03-26-UncaughtWiMAX.txt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756</v>
      </c>
      <c r="B120" s="7">
        <v>4018</v>
      </c>
      <c r="C120" s="21" t="s">
        <v>219</v>
      </c>
      <c r="D120" s="21" t="s">
        <v>213</v>
      </c>
      <c r="E120" s="13">
        <v>42820.704062500001</v>
      </c>
      <c r="F120" s="13">
        <v>42820.708483796298</v>
      </c>
      <c r="G120" s="7">
        <v>1</v>
      </c>
      <c r="H120" s="21" t="s">
        <v>493</v>
      </c>
      <c r="I120" s="13">
        <v>42820.733773148146</v>
      </c>
      <c r="J120" s="7">
        <v>0</v>
      </c>
      <c r="K120" s="98" t="str">
        <f t="shared" si="26"/>
        <v>4017/4018</v>
      </c>
      <c r="L120" s="21" t="str">
        <f>VLOOKUP(A120,'Trips&amp;Operators'!$C$1:$G$99999,5,FALSE)</f>
        <v>BRUDER RICHARD</v>
      </c>
      <c r="M120" s="6">
        <f t="shared" si="27"/>
        <v>2.5289351848186925E-2</v>
      </c>
      <c r="N120" s="7">
        <f t="shared" si="42"/>
        <v>36.416666661389172</v>
      </c>
      <c r="O120" s="7"/>
      <c r="P120" s="7"/>
      <c r="Q120" s="22"/>
      <c r="R120" s="22"/>
      <c r="S120" s="31">
        <f t="shared" si="43"/>
        <v>1</v>
      </c>
      <c r="T120" s="46" t="str">
        <f t="shared" si="28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9"/>
        <v>https://d0f6bd738d7f1b3e5a7ca70fe4ff75f0.us-east-1.aws.found.io/app/kibana#/discover/Steve-Slow-Train-Analysis-(2080s-and-2083s)?_g=(refreshInterval:(display:Off,pause:!f,section:0,value:0),time:(from:'2017-03-26T15:53:51-0600',mode:absolute,to:'2017-03-26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187" t="str">
        <f t="shared" si="30"/>
        <v>N</v>
      </c>
      <c r="X120" s="187">
        <f t="shared" si="44"/>
        <v>1</v>
      </c>
      <c r="Y120" s="62">
        <f t="shared" si="32"/>
        <v>4.5499999999999999E-2</v>
      </c>
      <c r="Z120" s="62">
        <f t="shared" si="33"/>
        <v>23.328900000000001</v>
      </c>
      <c r="AA120" s="62">
        <f t="shared" si="34"/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5"/>
        <v>0207-26</v>
      </c>
      <c r="AE120" s="85" t="str">
        <f t="shared" si="36"/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AF120" s="82" t="str">
        <f t="shared" si="37"/>
        <v>"C:\Program Files (x86)\AstroGrep\AstroGrep.exe" /e /r /s /spath="%USERPROFILE%\AppData\Local\Temp\OnboardLogs" /stypes="app*4018*20170326*" /stext=" 23:.+((SYSTEM_STATE.+slice.+state.+changed )|(ment ac)|(multiple cpu faults)|(system.+state.+changed )|(\[timeout)|(PRM\|1\|D)|(kpr)|(kdp)|(\|lc)|(penalty))"</v>
      </c>
      <c r="AG120" s="1" t="str">
        <f t="shared" si="38"/>
        <v>EC</v>
      </c>
      <c r="AH120" s="86" t="str">
        <f t="shared" si="39"/>
        <v>"%USERPROFILE%\Documents\GitHub\eaglep3\Utilities\RefineRTDCRunTimes.py" --tripid 207-26 --locoid 4018 --swversion DE.1.0.9.0 --startMP 204:455 --initTime 2017-03-26T16:53:51 --startdatetime 2017-03-26T17:00:13 --delay 1 --endMP 204:233289 --enddatetime 2017-03-26T17:36:38 --enforcementcount 0 &gt;&gt;C:\Users\stu\Documents\GitHub\eaglep3-reporting\EC\2017-03-26-refined-times.txt</v>
      </c>
      <c r="AI12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{"issue":{"subject":"","project_id":79,"tracker_id":40,"status_id":1,"priority_id":2,"assigned_to_id":23,"start_date":"2017-03-26","description":"","custom_fields":[{"id":1,"name":"Subdivision","value":"EC"},{"id":4,"name":"Milepost","value":"23.3289"},{"id":17,"name":"Train ID","value":"207-26"},{"id":16,"name":"Locomotive ID","value":"4018"},{"id":130,"name":"Impact","value":""},{"id":150,"name":"Time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1"/>
        <v>start /low /b %USERPROFILE%\Documents\GitHub\eaglep3\Utilities\DownloadLogsFromS3.py --loco 4018 --day 2017-03-26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769</v>
      </c>
      <c r="B121" s="7">
        <v>4017</v>
      </c>
      <c r="C121" s="21" t="s">
        <v>219</v>
      </c>
      <c r="D121" s="21" t="s">
        <v>473</v>
      </c>
      <c r="E121" s="13">
        <v>42820.744016203702</v>
      </c>
      <c r="F121" s="13">
        <v>42820.747407407405</v>
      </c>
      <c r="G121" s="7">
        <v>1</v>
      </c>
      <c r="H121" s="21" t="s">
        <v>199</v>
      </c>
      <c r="I121" s="13">
        <v>42820.773865740739</v>
      </c>
      <c r="J121" s="7">
        <v>0</v>
      </c>
      <c r="K121" s="98" t="str">
        <f t="shared" si="26"/>
        <v>4017/4018</v>
      </c>
      <c r="L121" s="21" t="str">
        <f>VLOOKUP(A121,'Trips&amp;Operators'!$C$1:$G$99999,5,FALSE)</f>
        <v>BRUDER RICHARD</v>
      </c>
      <c r="M121" s="6">
        <f t="shared" si="27"/>
        <v>2.6458333333721384E-2</v>
      </c>
      <c r="N121" s="7">
        <f t="shared" si="42"/>
        <v>38.100000000558794</v>
      </c>
      <c r="O121" s="7"/>
      <c r="P121" s="7"/>
      <c r="Q121" s="22"/>
      <c r="R121" s="22"/>
      <c r="S121" s="31">
        <f t="shared" si="43"/>
        <v>1</v>
      </c>
      <c r="T121" s="46" t="str">
        <f t="shared" si="28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9"/>
        <v>https://d0f6bd738d7f1b3e5a7ca70fe4ff75f0.us-east-1.aws.found.io/app/kibana#/discover/Steve-Slow-Train-Analysis-(2080s-and-2083s)?_g=(refreshInterval:(display:Off,pause:!f,section:0,value:0),time:(from:'2017-03-26T16:51:23-0600',mode:absolute,to:'2017-03-26T19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187" t="str">
        <f t="shared" si="30"/>
        <v>N</v>
      </c>
      <c r="X121" s="187">
        <f t="shared" si="44"/>
        <v>1</v>
      </c>
      <c r="Y121" s="62">
        <f t="shared" si="32"/>
        <v>23.297699999999999</v>
      </c>
      <c r="Z121" s="62">
        <f t="shared" si="33"/>
        <v>1.52E-2</v>
      </c>
      <c r="AA121" s="62">
        <f t="shared" si="34"/>
        <v>23.282499999999999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5"/>
        <v>0208-26</v>
      </c>
      <c r="AE121" s="85" t="str">
        <f t="shared" si="36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121" s="82" t="str">
        <f t="shared" si="37"/>
        <v>"C:\Program Files (x86)\AstroGrep\AstroGrep.exe" /e /r /s /spath="%USERPROFILE%\AppData\Local\Temp\OnboardLogs" /stypes="app*4017*20170327*" /stext=" 00:.+((SYSTEM_STATE.+slice.+state.+changed )|(ment ac)|(multiple cpu faults)|(system.+state.+changed )|(\[timeout)|(PRM\|1\|D)|(kpr)|(kdp)|(\|lc)|(penalty))"</v>
      </c>
      <c r="AG121" s="1" t="str">
        <f t="shared" si="38"/>
        <v>EC</v>
      </c>
      <c r="AH121" s="86" t="str">
        <f t="shared" si="39"/>
        <v>"%USERPROFILE%\Documents\GitHub\eaglep3\Utilities\RefineRTDCRunTimes.py" --tripid 208-26 --locoid 4017 --swversion DE.1.0.9.0 --startMP 204:232977 --initTime 2017-03-26T17:51:23 --startdatetime 2017-03-26T17:56:16 --delay 1 --endMP 204:152 --enddatetime 2017-03-26T18:34:22 --enforcementcount 0 &gt;&gt;C:\Users\stu\Documents\GitHub\eaglep3-reporting\EC\2017-03-26-refined-times.txt</v>
      </c>
      <c r="AI12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ID","value":"208-26"},{"id":16,"name":"Locomotive ID","value":"4017"},{"id":130,"name":"Impact","value":""},{"id":150,"name":"Time of Event (Mountain Time)","value":"18:34:22"},{"id":151,"name":"Denver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1"/>
        <v>start /low /b %USERPROFILE%\Documents\GitHub\eaglep3\Utilities\DownloadLogsFromS3.py --loco 4017 --day 2017-03-26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"%USERPROFILE%\AppData\Local\Temp\OnboardLogs"\RTDC4017\*4017*20170327* | grep -SE "(Enforcement Action)|(\[TIMEOUT)|(CHR.+\|PRM\|1\|D.+(SWITCH|SIGNAL).+UNKNOWN)" - &gt;&gt; 2017-03-26-UncaughtWiMAX.txt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759</v>
      </c>
      <c r="B122" s="7">
        <v>4002</v>
      </c>
      <c r="C122" s="21" t="s">
        <v>219</v>
      </c>
      <c r="D122" s="21" t="s">
        <v>213</v>
      </c>
      <c r="E122" s="13">
        <v>42820.716874999998</v>
      </c>
      <c r="F122" s="13">
        <v>42820.719178240739</v>
      </c>
      <c r="G122" s="7">
        <v>1</v>
      </c>
      <c r="H122" s="21" t="s">
        <v>396</v>
      </c>
      <c r="I122" s="13">
        <v>42820.745057870372</v>
      </c>
      <c r="J122" s="7">
        <v>0</v>
      </c>
      <c r="K122" s="98" t="str">
        <f t="shared" si="26"/>
        <v>4001/4002</v>
      </c>
      <c r="L122" s="21" t="str">
        <f>VLOOKUP(A122,'Trips&amp;Operators'!$C$1:$G$99999,5,FALSE)</f>
        <v>CHANDLER KELVIN</v>
      </c>
      <c r="M122" s="6">
        <f t="shared" si="27"/>
        <v>2.587962963298196E-2</v>
      </c>
      <c r="N122" s="7">
        <f t="shared" si="42"/>
        <v>37.266666671494022</v>
      </c>
      <c r="O122" s="7"/>
      <c r="P122" s="7"/>
      <c r="Q122" s="22"/>
      <c r="R122" s="22"/>
      <c r="S122" s="31">
        <f t="shared" si="43"/>
        <v>1</v>
      </c>
      <c r="T122" s="46" t="str">
        <f t="shared" si="28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9"/>
        <v>https://d0f6bd738d7f1b3e5a7ca70fe4ff75f0.us-east-1.aws.found.io/app/kibana#/discover/Steve-Slow-Train-Analysis-(2080s-and-2083s)?_g=(refreshInterval:(display:Off,pause:!f,section:0,value:0),time:(from:'2017-03-26T16:12:18-0600',mode:absolute,to:'2017-03-26T18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87" t="str">
        <f t="shared" si="30"/>
        <v>N</v>
      </c>
      <c r="X122" s="187">
        <f t="shared" si="44"/>
        <v>1</v>
      </c>
      <c r="Y122" s="62">
        <f t="shared" si="32"/>
        <v>4.5499999999999999E-2</v>
      </c>
      <c r="Z122" s="62">
        <f t="shared" si="33"/>
        <v>23.3308</v>
      </c>
      <c r="AA122" s="62">
        <f t="shared" si="34"/>
        <v>23.285299999999999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5"/>
        <v>0209-26</v>
      </c>
      <c r="AE122" s="85" t="str">
        <f t="shared" si="36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22" s="82" t="str">
        <f t="shared" si="37"/>
        <v>"C:\Program Files (x86)\AstroGrep\AstroGrep.exe" /e /r /s /spath="%USERPROFILE%\AppData\Local\Temp\OnboardLogs" /stypes="app*4002*20170326*" /stext=" 23:.+((SYSTEM_STATE.+slice.+state.+changed )|(ment ac)|(multiple cpu faults)|(system.+state.+changed )|(\[timeout)|(PRM\|1\|D)|(kpr)|(kdp)|(\|lc)|(penalty))"</v>
      </c>
      <c r="AG122" s="1" t="str">
        <f t="shared" si="38"/>
        <v>EC</v>
      </c>
      <c r="AH122" s="86" t="str">
        <f t="shared" si="39"/>
        <v>"%USERPROFILE%\Documents\GitHub\eaglep3\Utilities\RefineRTDCRunTimes.py" --tripid 209-26 --locoid 4002 --swversion DE.1.0.9.0 --startMP 204:455 --initTime 2017-03-26T17:12:18 --startdatetime 2017-03-26T17:15:37 --delay 1 --endMP 204:233308 --enddatetime 2017-03-26T17:52:53 --enforcementcount 0 &gt;&gt;C:\Users\stu\Documents\GitHub\eaglep3-reporting\EC\2017-03-26-refined-times.txt</v>
      </c>
      <c r="AI12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{"issue":{"subject":"","project_id":79,"tracker_id":40,"status_id":1,"priority_id":2,"assigned_to_id":23,"start_date":"2017-03-26","description":"","custom_fields":[{"id":1,"name":"Subdivision","value":"EC"},{"id":4,"name":"Milepost","value":"23.3308"},{"id":17,"name":"Train ID","value":"209-26"},{"id":16,"name":"Locomotive ID","value":"4002"},{"id":130,"name":"Impact","value":""},{"id":150,"name":"Time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1"/>
        <v>start /low /b %USERPROFILE%\Documents\GitHub\eaglep3\Utilities\DownloadLogsFromS3.py --loco 4002 --day 2017-03-26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"%USERPROFILE%\AppData\Local\Temp\OnboardLogs"\RTDC4002\*4002*20170326* | grep -SE "(Enforcement Action)|(\[TIMEOUT)|(CHR.+\|PRM\|1\|D.+(SWITCH|SIGNAL).+UNKNOWN)" - &gt;&gt; 2017-03-26-UncaughtWiMAX.txt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771</v>
      </c>
      <c r="B123" s="7">
        <v>4001</v>
      </c>
      <c r="C123" s="21" t="s">
        <v>219</v>
      </c>
      <c r="D123" s="21" t="s">
        <v>222</v>
      </c>
      <c r="E123" s="13">
        <v>42820.756365740737</v>
      </c>
      <c r="F123" s="13">
        <v>42820.757962962962</v>
      </c>
      <c r="G123" s="7">
        <v>1</v>
      </c>
      <c r="H123" s="21" t="s">
        <v>410</v>
      </c>
      <c r="I123" s="13">
        <v>42820.785879629628</v>
      </c>
      <c r="J123" s="7">
        <v>0</v>
      </c>
      <c r="K123" s="98" t="str">
        <f t="shared" si="26"/>
        <v>4001/4002</v>
      </c>
      <c r="L123" s="21" t="str">
        <f>VLOOKUP(A123,'Trips&amp;Operators'!$C$1:$G$99999,5,FALSE)</f>
        <v>CHANDLER KELVIN</v>
      </c>
      <c r="M123" s="6">
        <f t="shared" si="27"/>
        <v>2.7916666665987577E-2</v>
      </c>
      <c r="N123" s="7">
        <f t="shared" si="42"/>
        <v>40.199999999022111</v>
      </c>
      <c r="O123" s="7"/>
      <c r="P123" s="7"/>
      <c r="Q123" s="22"/>
      <c r="R123" s="22"/>
      <c r="S123" s="31">
        <f t="shared" si="43"/>
        <v>1</v>
      </c>
      <c r="T123" s="46" t="str">
        <f t="shared" si="28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9"/>
        <v>https://d0f6bd738d7f1b3e5a7ca70fe4ff75f0.us-east-1.aws.found.io/app/kibana#/discover/Steve-Slow-Train-Analysis-(2080s-and-2083s)?_g=(refreshInterval:(display:Off,pause:!f,section:0,value:0),time:(from:'2017-03-26T17:09:10-0600',mode:absolute,to:'2017-03-26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87" t="str">
        <f t="shared" si="30"/>
        <v>N</v>
      </c>
      <c r="X123" s="187">
        <f t="shared" si="44"/>
        <v>1</v>
      </c>
      <c r="Y123" s="62">
        <f t="shared" si="32"/>
        <v>23.3</v>
      </c>
      <c r="Z123" s="62">
        <f t="shared" si="33"/>
        <v>1.6E-2</v>
      </c>
      <c r="AA123" s="62">
        <f t="shared" si="34"/>
        <v>23.284000000000002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5"/>
        <v>0210-26</v>
      </c>
      <c r="AE123" s="85" t="str">
        <f t="shared" si="3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23" s="82" t="str">
        <f t="shared" si="37"/>
        <v>"C:\Program Files (x86)\AstroGrep\AstroGrep.exe" /e /r /s /spath="%USERPROFILE%\AppData\Local\Temp\OnboardLogs" /stypes="app*4001*20170327*" /stext=" 00:.+((SYSTEM_STATE.+slice.+state.+changed )|(ment ac)|(multiple cpu faults)|(system.+state.+changed )|(\[timeout)|(PRM\|1\|D)|(kpr)|(kdp)|(\|lc)|(penalty))"</v>
      </c>
      <c r="AG123" s="1" t="str">
        <f t="shared" si="38"/>
        <v>EC</v>
      </c>
      <c r="AH123" s="86" t="str">
        <f t="shared" si="39"/>
        <v>"%USERPROFILE%\Documents\GitHub\eaglep3\Utilities\RefineRTDCRunTimes.py" --tripid 210-26 --locoid 4001 --swversion DE.1.0.9.0 --startMP 204:233000 --initTime 2017-03-26T18:09:10 --startdatetime 2017-03-26T18:11:28 --delay 1 --endMP 204:160 --enddatetime 2017-03-26T18:51:40 --enforcementcount 0 &gt;&gt;C:\Users\stu\Documents\GitHub\eaglep3-reporting\EC\2017-03-26-refined-times.txt</v>
      </c>
      <c r="AI12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{"issue":{"subject":"","project_id":79,"tracker_id":40,"status_id":1,"priority_id":2,"assigned_to_id":23,"start_date":"2017-03-26","description":"","custom_fields":[{"id":1,"name":"Subdivision","value":"EC"},{"id":4,"name":"Milepost","value":"0.016"},{"id":17,"name":"Train ID","value":"210-26"},{"id":16,"name":"Locomotive ID","value":"4001"},{"id":130,"name":"Impact","value":""},{"id":150,"name":"Time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1"/>
        <v>start /low /b %USERPROFILE%\Documents\GitHub\eaglep3\Utilities\DownloadLogsFromS3.py --loco 4001 --day 2017-03-26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"%USERPROFILE%\AppData\Local\Temp\OnboardLogs"\RTDC4001\*4001*20170327* | grep -SE "(Enforcement Action)|(\[TIMEOUT)|(CHR.+\|PRM\|1\|D.+(SWITCH|SIGNAL).+UNKNOWN)" - &gt;&gt; 2017-03-26-UncaughtWiMAX.txt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761</v>
      </c>
      <c r="B124" s="7">
        <v>4003</v>
      </c>
      <c r="C124" s="21" t="s">
        <v>219</v>
      </c>
      <c r="D124" s="21" t="s">
        <v>925</v>
      </c>
      <c r="E124" s="13">
        <v>42820.722986111112</v>
      </c>
      <c r="F124" s="13">
        <v>42820.729537037034</v>
      </c>
      <c r="G124" s="7">
        <v>1</v>
      </c>
      <c r="H124" s="21" t="s">
        <v>926</v>
      </c>
      <c r="I124" s="13">
        <v>42820.755057870374</v>
      </c>
      <c r="J124" s="7">
        <v>0</v>
      </c>
      <c r="K124" s="98" t="str">
        <f t="shared" si="26"/>
        <v>4003/4004</v>
      </c>
      <c r="L124" s="21" t="str">
        <f>VLOOKUP(A124,'Trips&amp;Operators'!$C$1:$G$99999,5,FALSE)</f>
        <v>LOCKLEAR TRAVIS</v>
      </c>
      <c r="M124" s="6">
        <f t="shared" si="27"/>
        <v>2.5520833340124227E-2</v>
      </c>
      <c r="N124" s="7">
        <f t="shared" si="42"/>
        <v>36.750000009778887</v>
      </c>
      <c r="O124" s="7"/>
      <c r="P124" s="7"/>
      <c r="Q124" s="22"/>
      <c r="R124" s="22"/>
      <c r="S124" s="31">
        <f t="shared" si="43"/>
        <v>1</v>
      </c>
      <c r="T124" s="46" t="str">
        <f t="shared" si="28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9"/>
        <v>https://d0f6bd738d7f1b3e5a7ca70fe4ff75f0.us-east-1.aws.found.io/app/kibana#/discover/Steve-Slow-Train-Analysis-(2080s-and-2083s)?_g=(refreshInterval:(display:Off,pause:!f,section:0,value:0),time:(from:'2017-03-26T16:21:06-0600',mode:absolute,to:'2017-03-26T19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87" t="str">
        <f t="shared" si="30"/>
        <v>N</v>
      </c>
      <c r="X124" s="187">
        <f t="shared" si="44"/>
        <v>1</v>
      </c>
      <c r="Y124" s="62">
        <f t="shared" si="32"/>
        <v>4.2000000000000003E-2</v>
      </c>
      <c r="Z124" s="62">
        <f t="shared" si="33"/>
        <v>23.333600000000001</v>
      </c>
      <c r="AA124" s="62">
        <f t="shared" si="34"/>
        <v>23.291599999999999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5"/>
        <v>0211-26</v>
      </c>
      <c r="AE124" s="85" t="str">
        <f t="shared" si="36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24" s="82" t="str">
        <f t="shared" si="37"/>
        <v>"C:\Program Files (x86)\AstroGrep\AstroGrep.exe" /e /r /s /spath="%USERPROFILE%\AppData\Local\Temp\OnboardLogs" /stypes="app*4003*20170327*" /stext=" 00:.+((SYSTEM_STATE.+slice.+state.+changed )|(ment ac)|(multiple cpu faults)|(system.+state.+changed )|(\[timeout)|(PRM\|1\|D)|(kpr)|(kdp)|(\|lc)|(penalty))"</v>
      </c>
      <c r="AG124" s="1" t="str">
        <f t="shared" si="38"/>
        <v>EC</v>
      </c>
      <c r="AH124" s="86" t="str">
        <f t="shared" si="39"/>
        <v>"%USERPROFILE%\Documents\GitHub\eaglep3\Utilities\RefineRTDCRunTimes.py" --tripid 211-26 --locoid 4003 --swversion DE.1.0.9.0 --startMP 204:420 --initTime 2017-03-26T17:21:06 --startdatetime 2017-03-26T17:30:32 --delay 1 --endMP 204:233336 --enddatetime 2017-03-26T18:07:17 --enforcementcount 0 &gt;&gt;C:\Users\stu\Documents\GitHub\eaglep3-reporting\EC\2017-03-26-refined-times.txt</v>
      </c>
      <c r="AI12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{"issue":{"subject":"","project_id":79,"tracker_id":40,"status_id":1,"priority_id":2,"assigned_to_id":23,"start_date":"2017-03-26","description":"","custom_fields":[{"id":1,"name":"Subdivision","value":"EC"},{"id":4,"name":"Milepost","value":"23.3336"},{"id":17,"name":"Train ID","value":"211-26"},{"id":16,"name":"Locomotive ID","value":"4003"},{"id":130,"name":"Impact","value":""},{"id":150,"name":"Time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1"/>
        <v>start /low /b %USERPROFILE%\Documents\GitHub\eaglep3\Utilities\DownloadLogsFromS3.py --loco 4003 --day 2017-03-26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"%USERPROFILE%\AppData\Local\Temp\OnboardLogs"\RTDC4003\*4003*20170326* | grep -SE "(Enforcement Action)|(\[TIMEOUT)|(CHR.+\|PRM\|1\|D.+(SWITCH|SIGNAL).+UNKNOWN)" - &gt;&gt; 2017-03-26-UncaughtWiMAX.txt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774</v>
      </c>
      <c r="B125" s="7">
        <v>4004</v>
      </c>
      <c r="C125" s="21" t="s">
        <v>219</v>
      </c>
      <c r="D125" s="21" t="s">
        <v>927</v>
      </c>
      <c r="E125" s="13">
        <v>42820.766562500001</v>
      </c>
      <c r="F125" s="13">
        <v>42820.768263888887</v>
      </c>
      <c r="G125" s="7">
        <v>1</v>
      </c>
      <c r="H125" s="21" t="s">
        <v>410</v>
      </c>
      <c r="I125" s="13">
        <v>42820.796134259261</v>
      </c>
      <c r="J125" s="7">
        <v>0</v>
      </c>
      <c r="K125" s="98" t="str">
        <f t="shared" si="26"/>
        <v>4003/4004</v>
      </c>
      <c r="L125" s="21" t="str">
        <f>VLOOKUP(A125,'Trips&amp;Operators'!$C$1:$G$99999,5,FALSE)</f>
        <v>LOCKLEAR TRAVIS</v>
      </c>
      <c r="M125" s="6">
        <f t="shared" si="27"/>
        <v>2.7870370373420883E-2</v>
      </c>
      <c r="N125" s="7">
        <f t="shared" si="42"/>
        <v>40.133333337726071</v>
      </c>
      <c r="O125" s="7"/>
      <c r="P125" s="7"/>
      <c r="Q125" s="22"/>
      <c r="R125" s="22"/>
      <c r="S125" s="31">
        <f t="shared" si="43"/>
        <v>1</v>
      </c>
      <c r="T125" s="46" t="str">
        <f t="shared" si="28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9"/>
        <v>https://d0f6bd738d7f1b3e5a7ca70fe4ff75f0.us-east-1.aws.found.io/app/kibana#/discover/Steve-Slow-Train-Analysis-(2080s-and-2083s)?_g=(refreshInterval:(display:Off,pause:!f,section:0,value:0),time:(from:'2017-03-26T17:23:51-0600',mode:absolute,to:'2017-03-26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87" t="str">
        <f t="shared" si="30"/>
        <v>N</v>
      </c>
      <c r="X125" s="187">
        <f t="shared" si="44"/>
        <v>1</v>
      </c>
      <c r="Y125" s="62">
        <f t="shared" si="32"/>
        <v>23.301500000000001</v>
      </c>
      <c r="Z125" s="62">
        <f t="shared" si="33"/>
        <v>1.6E-2</v>
      </c>
      <c r="AA125" s="62">
        <f t="shared" si="34"/>
        <v>23.285500000000003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5"/>
        <v>0212-26</v>
      </c>
      <c r="AE125" s="85" t="str">
        <f t="shared" si="36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25" s="82" t="str">
        <f t="shared" si="37"/>
        <v>"C:\Program Files (x86)\AstroGrep\AstroGrep.exe" /e /r /s /spath="%USERPROFILE%\AppData\Local\Temp\OnboardLogs" /stypes="app*4004*20170327*" /stext=" 01:.+((SYSTEM_STATE.+slice.+state.+changed )|(ment ac)|(multiple cpu faults)|(system.+state.+changed )|(\[timeout)|(PRM\|1\|D)|(kpr)|(kdp)|(\|lc)|(penalty))"</v>
      </c>
      <c r="AG125" s="1" t="str">
        <f t="shared" si="38"/>
        <v>EC</v>
      </c>
      <c r="AH125" s="86" t="str">
        <f t="shared" si="39"/>
        <v>"%USERPROFILE%\Documents\GitHub\eaglep3\Utilities\RefineRTDCRunTimes.py" --tripid 212-26 --locoid 4004 --swversion DE.1.0.9.0 --startMP 204:233015 --initTime 2017-03-26T18:23:51 --startdatetime 2017-03-26T18:26:18 --delay 1 --endMP 204:160 --enddatetime 2017-03-26T19:06:26 --enforcementcount 0 &gt;&gt;C:\Users\stu\Documents\GitHub\eaglep3-reporting\EC\2017-03-26-refined-times.txt</v>
      </c>
      <c r="AI12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{"issue":{"subject":"","project_id":79,"tracker_id":40,"status_id":1,"priority_id":2,"assigned_to_id":23,"start_date":"2017-03-26","description":"","custom_fields":[{"id":1,"name":"Subdivision","value":"EC"},{"id":4,"name":"Milepost","value":"0.016"},{"id":17,"name":"Train ID","value":"212-26"},{"id":16,"name":"Locomotive ID","value":"4004"},{"id":130,"name":"Impact","value":""},{"id":150,"name":"Time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1"/>
        <v>start /low /b %USERPROFILE%\Documents\GitHub\eaglep3\Utilities\DownloadLogsFromS3.py --loco 4004 --day 2017-03-26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"%USERPROFILE%\AppData\Local\Temp\OnboardLogs"\RTDC4004\*4004*20170327* | grep -SE "(Enforcement Action)|(\[TIMEOUT)|(CHR.+\|PRM\|1\|D.+(SWITCH|SIGNAL).+UNKNOWN)" - &gt;&gt; 2017-03-26-UncaughtWiMAX.txt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765</v>
      </c>
      <c r="B126" s="7">
        <v>4027</v>
      </c>
      <c r="C126" s="21" t="s">
        <v>219</v>
      </c>
      <c r="D126" s="21" t="s">
        <v>928</v>
      </c>
      <c r="E126" s="13">
        <v>42820.736643518518</v>
      </c>
      <c r="F126" s="13">
        <v>42820.739733796298</v>
      </c>
      <c r="G126" s="7">
        <v>1</v>
      </c>
      <c r="H126" s="21" t="s">
        <v>474</v>
      </c>
      <c r="I126" s="13">
        <v>42820.764247685183</v>
      </c>
      <c r="J126" s="7">
        <v>0</v>
      </c>
      <c r="K126" s="98" t="str">
        <f t="shared" si="26"/>
        <v>4027/4028</v>
      </c>
      <c r="L126" s="21" t="str">
        <f>VLOOKUP(A126,'Trips&amp;Operators'!$C$1:$G$99999,5,FALSE)</f>
        <v>NEWELL JAMES</v>
      </c>
      <c r="M126" s="6">
        <f t="shared" si="27"/>
        <v>2.4513888885849155E-2</v>
      </c>
      <c r="N126" s="7">
        <f t="shared" si="42"/>
        <v>35.299999995622784</v>
      </c>
      <c r="O126" s="7"/>
      <c r="P126" s="7"/>
      <c r="Q126" s="22"/>
      <c r="R126" s="22"/>
      <c r="S126" s="31">
        <f t="shared" si="43"/>
        <v>1</v>
      </c>
      <c r="T126" s="46" t="str">
        <f t="shared" si="28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9"/>
        <v>https://d0f6bd738d7f1b3e5a7ca70fe4ff75f0.us-east-1.aws.found.io/app/kibana#/discover/Steve-Slow-Train-Analysis-(2080s-and-2083s)?_g=(refreshInterval:(display:Off,pause:!f,section:0,value:0),time:(from:'2017-03-26T16:40:46-0600',mode:absolute,to:'2017-03-26T19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87" t="str">
        <f t="shared" si="30"/>
        <v>N</v>
      </c>
      <c r="X126" s="187">
        <f t="shared" si="44"/>
        <v>1</v>
      </c>
      <c r="Y126" s="62">
        <f t="shared" si="32"/>
        <v>4.3499999999999997E-2</v>
      </c>
      <c r="Z126" s="62">
        <f t="shared" si="33"/>
        <v>23.33</v>
      </c>
      <c r="AA126" s="62">
        <f t="shared" si="34"/>
        <v>23.286499999999997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5"/>
        <v>0213-26</v>
      </c>
      <c r="AE126" s="85" t="str">
        <f t="shared" si="36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26" s="82" t="str">
        <f t="shared" si="37"/>
        <v>"C:\Program Files (x86)\AstroGrep\AstroGrep.exe" /e /r /s /spath="%USERPROFILE%\AppData\Local\Temp\OnboardLogs" /stypes="app*4027*20170327*" /stext=" 00:.+((SYSTEM_STATE.+slice.+state.+changed )|(ment ac)|(multiple cpu faults)|(system.+state.+changed )|(\[timeout)|(PRM\|1\|D)|(kpr)|(kdp)|(\|lc)|(penalty))"</v>
      </c>
      <c r="AG126" s="1" t="str">
        <f t="shared" si="38"/>
        <v>EC</v>
      </c>
      <c r="AH126" s="86" t="str">
        <f t="shared" si="39"/>
        <v>"%USERPROFILE%\Documents\GitHub\eaglep3\Utilities\RefineRTDCRunTimes.py" --tripid 213-26 --locoid 4027 --swversion DE.1.0.9.0 --startMP 204:435 --initTime 2017-03-26T17:40:46 --startdatetime 2017-03-26T17:45:13 --delay 1 --endMP 204:233300 --enddatetime 2017-03-26T18:20:31 --enforcementcount 0 &gt;&gt;C:\Users\stu\Documents\GitHub\eaglep3-reporting\EC\2017-03-26-refined-times.txt</v>
      </c>
      <c r="AI12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{"issue":{"subject":"","project_id":79,"tracker_id":40,"status_id":1,"priority_id":2,"assigned_to_id":23,"start_date":"2017-03-26","description":"","custom_fields":[{"id":1,"name":"Subdivision","value":"EC"},{"id":4,"name":"Milepost","value":"23.33"},{"id":17,"name":"Train ID","value":"213-26"},{"id":16,"name":"Locomotive ID","value":"4027"},{"id":130,"name":"Impact","value":""},{"id":150,"name":"Time of Event (Mountain Time)","value":"18:20:31"},{"id":151,"name":"Denver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1"/>
        <v>start /low /b %USERPROFILE%\Documents\GitHub\eaglep3\Utilities\DownloadLogsFromS3.py --loco 4027 --day 2017-03-26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"%USERPROFILE%\AppData\Local\Temp\OnboardLogs"\RTDC4027\*4027*20170327* | grep -SE "(Enforcement Action)|(\[TIMEOUT)|(CHR.+\|PRM\|1\|D.+(SWITCH|SIGNAL).+UNKNOWN)" - &gt;&gt; 2017-03-26-UncaughtWiMAX.txt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621</v>
      </c>
      <c r="B127" s="7">
        <v>4028</v>
      </c>
      <c r="C127" s="21" t="s">
        <v>219</v>
      </c>
      <c r="D127" s="21" t="s">
        <v>929</v>
      </c>
      <c r="E127" s="13">
        <v>42820.768796296295</v>
      </c>
      <c r="F127" s="13">
        <v>42820.778622685182</v>
      </c>
      <c r="G127" s="7">
        <v>1</v>
      </c>
      <c r="H127" s="21" t="s">
        <v>214</v>
      </c>
      <c r="I127" s="13">
        <v>42820.805347222224</v>
      </c>
      <c r="J127" s="7">
        <v>0</v>
      </c>
      <c r="K127" s="98" t="str">
        <f t="shared" si="26"/>
        <v>4027/4028</v>
      </c>
      <c r="L127" s="21" t="str">
        <f>VLOOKUP(A127,'Trips&amp;Operators'!$C$1:$G$99999,5,FALSE)</f>
        <v>NEWELL JAMES</v>
      </c>
      <c r="M127" s="6">
        <f t="shared" si="27"/>
        <v>2.6724537041445728E-2</v>
      </c>
      <c r="N127" s="7">
        <f t="shared" si="42"/>
        <v>38.483333339681849</v>
      </c>
      <c r="O127" s="7"/>
      <c r="P127" s="7"/>
      <c r="Q127" s="22"/>
      <c r="R127" s="22"/>
      <c r="S127" s="31">
        <f t="shared" si="43"/>
        <v>1</v>
      </c>
      <c r="T127" s="46" t="str">
        <f t="shared" si="28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9"/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187" t="str">
        <f t="shared" si="30"/>
        <v>N</v>
      </c>
      <c r="X127" s="187">
        <f t="shared" si="44"/>
        <v>1</v>
      </c>
      <c r="Y127" s="62">
        <f t="shared" si="32"/>
        <v>23.298300000000001</v>
      </c>
      <c r="Z127" s="62">
        <f t="shared" si="33"/>
        <v>1.5599999999999999E-2</v>
      </c>
      <c r="AA127" s="62">
        <f t="shared" si="34"/>
        <v>23.282700000000002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5"/>
        <v>0214-26</v>
      </c>
      <c r="AE127" s="85" t="str">
        <f t="shared" si="36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27" s="82" t="str">
        <f t="shared" si="37"/>
        <v>"C:\Program Files (x86)\AstroGrep\AstroGrep.exe" /e /r /s /spath="%USERPROFILE%\AppData\Local\Temp\OnboardLogs" /stypes="app*4028*20170327*" /stext=" 01:.+((SYSTEM_STATE.+slice.+state.+changed )|(ment ac)|(multiple cpu faults)|(system.+state.+changed )|(\[timeout)|(PRM\|1\|D)|(kpr)|(kdp)|(\|lc)|(penalty))"</v>
      </c>
      <c r="AG127" s="1" t="str">
        <f t="shared" si="38"/>
        <v>EC</v>
      </c>
      <c r="AH127" s="86" t="str">
        <f t="shared" si="39"/>
        <v>"%USERPROFILE%\Documents\GitHub\eaglep3\Utilities\RefineRTDCRunTimes.py" --tripid 214-26 --locoid 4028 --swversion DE.1.0.9.0 --startMP 204:232983 --initTime 2017-03-26T18:27:04 --startdatetime 2017-03-26T18:41:13 --delay 1 --endMP 204:156 --enddatetime 2017-03-26T19:19:42 --enforcementcount 0 &gt;&gt;C:\Users\stu\Documents\GitHub\eaglep3-reporting\EC\2017-03-26-refined-times.txt</v>
      </c>
      <c r="AI12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ID","value":"214-26"},{"id":16,"name":"Locomotive ID","value":"4028"},{"id":130,"name":"Impact","value":""},{"id":150,"name":"Time of Event (Mountain Time)","value":"19:19:42"},{"id":151,"name":"Denver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1"/>
        <v>start /low /b %USERPROFILE%\Documents\GitHub\eaglep3\Utilities\DownloadLogsFromS3.py --loco 4028 --day 2017-03-26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"%USERPROFILE%\AppData\Local\Temp\OnboardLogs"\RTDC4028\*4028*20170327* | grep -SE "(Enforcement Action)|(\[TIMEOUT)|(CHR.+\|PRM\|1\|D.+(SWITCH|SIGNAL).+UNKNOWN)" - &gt;&gt; 2017-03-26-UncaughtWiMAX.txt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770</v>
      </c>
      <c r="B128" s="7">
        <v>4025</v>
      </c>
      <c r="C128" s="21" t="s">
        <v>219</v>
      </c>
      <c r="D128" s="21" t="s">
        <v>209</v>
      </c>
      <c r="E128" s="13">
        <v>42820.745185185187</v>
      </c>
      <c r="F128" s="13">
        <v>42820.750173611108</v>
      </c>
      <c r="G128" s="7">
        <v>2</v>
      </c>
      <c r="H128" s="21" t="s">
        <v>385</v>
      </c>
      <c r="I128" s="13">
        <v>42820.777175925927</v>
      </c>
      <c r="J128" s="7">
        <v>0</v>
      </c>
      <c r="K128" s="98" t="str">
        <f t="shared" si="26"/>
        <v>4025/4026</v>
      </c>
      <c r="L128" s="21" t="str">
        <f>VLOOKUP(A128,'Trips&amp;Operators'!$C$1:$G$99999,5,FALSE)</f>
        <v>BRANDNER MELINDA</v>
      </c>
      <c r="M128" s="6">
        <f t="shared" si="27"/>
        <v>2.7002314818673767E-2</v>
      </c>
      <c r="N128" s="7">
        <f t="shared" si="42"/>
        <v>38.883333338890225</v>
      </c>
      <c r="O128" s="7"/>
      <c r="P128" s="7"/>
      <c r="Q128" s="22"/>
      <c r="R128" s="22"/>
      <c r="S128" s="31">
        <f t="shared" si="43"/>
        <v>1</v>
      </c>
      <c r="T128" s="46" t="str">
        <f t="shared" si="28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9"/>
        <v>https://d0f6bd738d7f1b3e5a7ca70fe4ff75f0.us-east-1.aws.found.io/app/kibana#/discover/Steve-Slow-Train-Analysis-(2080s-and-2083s)?_g=(refreshInterval:(display:Off,pause:!f,section:0,value:0),time:(from:'2017-03-26T16:53:04-0600',mode:absolute,to:'2017-03-26T19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7" t="str">
        <f t="shared" si="30"/>
        <v>N</v>
      </c>
      <c r="X128" s="187">
        <f t="shared" si="44"/>
        <v>1</v>
      </c>
      <c r="Y128" s="62">
        <f t="shared" si="32"/>
        <v>4.5999999999999999E-2</v>
      </c>
      <c r="Z128" s="62">
        <f t="shared" si="33"/>
        <v>23.3293</v>
      </c>
      <c r="AA128" s="62">
        <f t="shared" si="34"/>
        <v>23.283300000000001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5"/>
        <v>0215-26</v>
      </c>
      <c r="AE128" s="85" t="str">
        <f t="shared" si="36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28" s="82" t="str">
        <f t="shared" si="37"/>
        <v>"C:\Program Files (x86)\AstroGrep\AstroGrep.exe" /e /r /s /spath="%USERPROFILE%\AppData\Local\Temp\OnboardLogs" /stypes="app*4025*20170327*" /stext=" 00:.+((SYSTEM_STATE.+slice.+state.+changed )|(ment ac)|(multiple cpu faults)|(system.+state.+changed )|(\[timeout)|(PRM\|1\|D)|(kpr)|(kdp)|(\|lc)|(penalty))"</v>
      </c>
      <c r="AG128" s="1" t="str">
        <f t="shared" si="38"/>
        <v>EC</v>
      </c>
      <c r="AH128" s="86" t="str">
        <f t="shared" si="39"/>
        <v>"%USERPROFILE%\Documents\GitHub\eaglep3\Utilities\RefineRTDCRunTimes.py" --tripid 215-26 --locoid 4025 --swversion DE.1.0.9.0 --startMP 204:460 --initTime 2017-03-26T17:53:04 --startdatetime 2017-03-26T18:00:15 --delay 2 --endMP 204:233293 --enddatetime 2017-03-26T18:39:08 --enforcementcount 0 &gt;&gt;C:\Users\stu\Documents\GitHub\eaglep3-reporting\EC\2017-03-26-refined-times.txt</v>
      </c>
      <c r="AI12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{"issue":{"subject":"","project_id":79,"tracker_id":40,"status_id":1,"priority_id":2,"assigned_to_id":23,"start_date":"2017-03-26","description":"","custom_fields":[{"id":1,"name":"Subdivision","value":"EC"},{"id":4,"name":"Milepost","value":"23.3293"},{"id":17,"name":"Train ID","value":"215-26"},{"id":16,"name":"Locomotive ID","value":"4025"},{"id":130,"name":"Impact","value":""},{"id":150,"name":"Time of Event (Mountain Time)","value":"18:39:08"},{"id":151,"name":"Denver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1"/>
        <v>start /low /b %USERPROFILE%\Documents\GitHub\eaglep3\Utilities\DownloadLogsFromS3.py --loco 4025 --day 2017-03-26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"%USERPROFILE%\AppData\Local\Temp\OnboardLogs"\RTDC4025\*4025*20170327* | grep -SE "(Enforcement Action)|(\[TIMEOUT)|(CHR.+\|PRM\|1\|D.+(SWITCH|SIGNAL).+UNKNOWN)" - &gt;&gt; 2017-03-26-UncaughtWiMAX.txt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777</v>
      </c>
      <c r="B129" s="7">
        <v>4026</v>
      </c>
      <c r="C129" s="21" t="s">
        <v>219</v>
      </c>
      <c r="D129" s="21" t="s">
        <v>497</v>
      </c>
      <c r="E129" s="13">
        <v>42820.783761574072</v>
      </c>
      <c r="F129" s="13">
        <v>42820.789201388892</v>
      </c>
      <c r="G129" s="7">
        <v>1</v>
      </c>
      <c r="H129" s="21" t="s">
        <v>391</v>
      </c>
      <c r="I129" s="13">
        <v>42820.817118055558</v>
      </c>
      <c r="J129" s="7">
        <v>0</v>
      </c>
      <c r="K129" s="98" t="str">
        <f t="shared" si="26"/>
        <v>4025/4026</v>
      </c>
      <c r="L129" s="21" t="str">
        <f>VLOOKUP(A129,'Trips&amp;Operators'!$C$1:$G$99999,5,FALSE)</f>
        <v>BRANDNER MELINDA</v>
      </c>
      <c r="M129" s="6">
        <f t="shared" si="27"/>
        <v>2.7916666665987577E-2</v>
      </c>
      <c r="N129" s="7">
        <f t="shared" si="42"/>
        <v>40.199999999022111</v>
      </c>
      <c r="O129" s="7"/>
      <c r="P129" s="7"/>
      <c r="Q129" s="22"/>
      <c r="R129" s="22"/>
      <c r="S129" s="31">
        <f t="shared" si="43"/>
        <v>1</v>
      </c>
      <c r="T129" s="46" t="str">
        <f t="shared" si="28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9"/>
        <v>https://d0f6bd738d7f1b3e5a7ca70fe4ff75f0.us-east-1.aws.found.io/app/kibana#/discover/Steve-Slow-Train-Analysis-(2080s-and-2083s)?_g=(refreshInterval:(display:Off,pause:!f,section:0,value:0),time:(from:'2017-03-26T17:48:37-0600',mode:absolute,to:'2017-03-26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7" t="str">
        <f t="shared" si="30"/>
        <v>N</v>
      </c>
      <c r="X129" s="187">
        <f t="shared" si="44"/>
        <v>1</v>
      </c>
      <c r="Y129" s="62">
        <f t="shared" si="32"/>
        <v>23.298400000000001</v>
      </c>
      <c r="Z129" s="62">
        <f t="shared" si="33"/>
        <v>1.4500000000000001E-2</v>
      </c>
      <c r="AA129" s="62">
        <f t="shared" si="34"/>
        <v>23.283899999999999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5"/>
        <v>0216-26</v>
      </c>
      <c r="AE129" s="85" t="str">
        <f t="shared" si="36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29" s="82" t="str">
        <f t="shared" si="37"/>
        <v>"C:\Program Files (x86)\AstroGrep\AstroGrep.exe" /e /r /s /spath="%USERPROFILE%\AppData\Local\Temp\OnboardLogs" /stypes="app*4026*20170327*" /stext=" 01:.+((SYSTEM_STATE.+slice.+state.+changed )|(ment ac)|(multiple cpu faults)|(system.+state.+changed )|(\[timeout)|(PRM\|1\|D)|(kpr)|(kdp)|(\|lc)|(penalty))"</v>
      </c>
      <c r="AG129" s="1" t="str">
        <f t="shared" si="38"/>
        <v>EC</v>
      </c>
      <c r="AH129" s="86" t="str">
        <f t="shared" si="39"/>
        <v>"%USERPROFILE%\Documents\GitHub\eaglep3\Utilities\RefineRTDCRunTimes.py" --tripid 216-26 --locoid 4026 --swversion DE.1.0.9.0 --startMP 204:232984 --initTime 2017-03-26T18:48:37 --startdatetime 2017-03-26T18:56:27 --delay 1 --endMP 204:145 --enddatetime 2017-03-26T19:36:39 --enforcementcount 0 &gt;&gt;C:\Users\stu\Documents\GitHub\eaglep3-reporting\EC\2017-03-26-refined-times.txt</v>
      </c>
      <c r="AI12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{"issue":{"subject":"","project_id":79,"tracker_id":40,"status_id":1,"priority_id":2,"assigned_to_id":23,"start_date":"2017-03-26","description":"","custom_fields":[{"id":1,"name":"Subdivision","value":"EC"},{"id":4,"name":"Milepost","value":"0.0145"},{"id":17,"name":"Train ID","value":"216-26"},{"id":16,"name":"Locomotive ID","value":"4026"},{"id":130,"name":"Impact","value":""},{"id":150,"name":"Time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1"/>
        <v>start /low /b %USERPROFILE%\Documents\GitHub\eaglep3\Utilities\DownloadLogsFromS3.py --loco 4026 --day 2017-03-26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"%USERPROFILE%\AppData\Local\Temp\OnboardLogs"\RTDC4026\*4026*20170327* | grep -SE "(Enforcement Action)|(\[TIMEOUT)|(CHR.+\|PRM\|1\|D.+(SWITCH|SIGNAL).+UNKNOWN)" - &gt;&gt; 2017-03-26-UncaughtWiMAX.txt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772</v>
      </c>
      <c r="B130" s="7">
        <v>4031</v>
      </c>
      <c r="C130" s="21" t="s">
        <v>219</v>
      </c>
      <c r="D130" s="21" t="s">
        <v>216</v>
      </c>
      <c r="E130" s="13">
        <v>42820.756909722222</v>
      </c>
      <c r="F130" s="13">
        <v>42820.760775462964</v>
      </c>
      <c r="G130" s="7">
        <v>1</v>
      </c>
      <c r="H130" s="21" t="s">
        <v>930</v>
      </c>
      <c r="I130" s="13">
        <v>42820.785682870373</v>
      </c>
      <c r="J130" s="7">
        <v>0</v>
      </c>
      <c r="K130" s="98" t="str">
        <f t="shared" si="26"/>
        <v>4031/4032</v>
      </c>
      <c r="L130" s="21" t="str">
        <f>VLOOKUP(A130,'Trips&amp;Operators'!$C$1:$G$99999,5,FALSE)</f>
        <v>SMITH MICHAEL</v>
      </c>
      <c r="M130" s="6">
        <f t="shared" si="27"/>
        <v>2.4907407409045845E-2</v>
      </c>
      <c r="N130" s="7">
        <f t="shared" si="42"/>
        <v>35.866666669026017</v>
      </c>
      <c r="O130" s="7"/>
      <c r="P130" s="7"/>
      <c r="Q130" s="22"/>
      <c r="R130" s="22"/>
      <c r="S130" s="31">
        <f t="shared" si="43"/>
        <v>1</v>
      </c>
      <c r="T130" s="46" t="str">
        <f t="shared" si="28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9"/>
        <v>https://d0f6bd738d7f1b3e5a7ca70fe4ff75f0.us-east-1.aws.found.io/app/kibana#/discover/Steve-Slow-Train-Analysis-(2080s-and-2083s)?_g=(refreshInterval:(display:Off,pause:!f,section:0,value:0),time:(from:'2017-03-26T17:09:57-0600',mode:absolute,to:'2017-03-26T19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87" t="str">
        <f t="shared" si="30"/>
        <v>N</v>
      </c>
      <c r="X130" s="187">
        <f t="shared" si="44"/>
        <v>1</v>
      </c>
      <c r="Y130" s="62">
        <f t="shared" si="32"/>
        <v>4.6600000000000003E-2</v>
      </c>
      <c r="Z130" s="62">
        <f t="shared" si="33"/>
        <v>23.342700000000001</v>
      </c>
      <c r="AA130" s="62">
        <f t="shared" si="34"/>
        <v>23.296099999999999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5"/>
        <v>0217-26</v>
      </c>
      <c r="AE130" s="85" t="str">
        <f t="shared" si="36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30" s="82" t="str">
        <f t="shared" si="37"/>
        <v>"C:\Program Files (x86)\AstroGrep\AstroGrep.exe" /e /r /s /spath="%USERPROFILE%\AppData\Local\Temp\OnboardLogs" /stypes="app*4031*20170327*" /stext=" 00:.+((SYSTEM_STATE.+slice.+state.+changed )|(ment ac)|(multiple cpu faults)|(system.+state.+changed )|(\[timeout)|(PRM\|1\|D)|(kpr)|(kdp)|(\|lc)|(penalty))"</v>
      </c>
      <c r="AG130" s="1" t="str">
        <f t="shared" si="38"/>
        <v>EC</v>
      </c>
      <c r="AH130" s="86" t="str">
        <f t="shared" si="39"/>
        <v>"%USERPROFILE%\Documents\GitHub\eaglep3\Utilities\RefineRTDCRunTimes.py" --tripid 217-26 --locoid 4031 --swversion DE.1.0.9.0 --startMP 204:466 --initTime 2017-03-26T18:09:57 --startdatetime 2017-03-26T18:15:31 --delay 1 --endMP 204:233427 --enddatetime 2017-03-26T18:51:23 --enforcementcount 0 &gt;&gt;C:\Users\stu\Documents\GitHub\eaglep3-reporting\EC\2017-03-26-refined-times.txt</v>
      </c>
      <c r="AI13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{"issue":{"subject":"","project_id":79,"tracker_id":40,"status_id":1,"priority_id":2,"assigned_to_id":23,"start_date":"2017-03-26","description":"","custom_fields":[{"id":1,"name":"Subdivision","value":"EC"},{"id":4,"name":"Milepost","value":"23.3427"},{"id":17,"name":"Train ID","value":"217-26"},{"id":16,"name":"Locomotive ID","value":"4031"},{"id":130,"name":"Impact","value":""},{"id":150,"name":"Time of Event (Mountain Time)","value":"18:51:23"},{"id":151,"name":"Denver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1"/>
        <v>start /low /b %USERPROFILE%\Documents\GitHub\eaglep3\Utilities\DownloadLogsFromS3.py --loco 4031 --day 2017-03-26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"%USERPROFILE%\AppData\Local\Temp\OnboardLogs"\RTDC4031\*4031*20170327* | grep -SE "(Enforcement Action)|(\[TIMEOUT)|(CHR.+\|PRM\|1\|D.+(SWITCH|SIGNAL).+UNKNOWN)" - &gt;&gt; 2017-03-26-UncaughtWiMAX.txt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779</v>
      </c>
      <c r="B131" s="7">
        <v>4032</v>
      </c>
      <c r="C131" s="21" t="s">
        <v>219</v>
      </c>
      <c r="D131" s="21" t="s">
        <v>931</v>
      </c>
      <c r="E131" s="13">
        <v>42820.790370370371</v>
      </c>
      <c r="F131" s="13">
        <v>42820.799664351849</v>
      </c>
      <c r="G131" s="7">
        <v>1</v>
      </c>
      <c r="H131" s="21" t="s">
        <v>932</v>
      </c>
      <c r="I131" s="13">
        <v>42820.826770833337</v>
      </c>
      <c r="J131" s="7">
        <v>0</v>
      </c>
      <c r="K131" s="98" t="str">
        <f t="shared" si="26"/>
        <v>4031/4032</v>
      </c>
      <c r="L131" s="21" t="str">
        <f>VLOOKUP(A131,'Trips&amp;Operators'!$C$1:$G$99999,5,FALSE)</f>
        <v>SMITH MICHAEL</v>
      </c>
      <c r="M131" s="6">
        <f t="shared" si="27"/>
        <v>2.7106481487862766E-2</v>
      </c>
      <c r="N131" s="7">
        <f t="shared" si="42"/>
        <v>39.033333342522383</v>
      </c>
      <c r="O131" s="7"/>
      <c r="P131" s="7"/>
      <c r="Q131" s="22"/>
      <c r="R131" s="22"/>
      <c r="S131" s="31">
        <f t="shared" si="43"/>
        <v>1</v>
      </c>
      <c r="T131" s="46" t="str">
        <f t="shared" si="28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9"/>
        <v>https://d0f6bd738d7f1b3e5a7ca70fe4ff75f0.us-east-1.aws.found.io/app/kibana#/discover/Steve-Slow-Train-Analysis-(2080s-and-2083s)?_g=(refreshInterval:(display:Off,pause:!f,section:0,value:0),time:(from:'2017-03-26T17:58:08-0600',mode:absolute,to:'2017-03-26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7" t="str">
        <f t="shared" si="30"/>
        <v>N</v>
      </c>
      <c r="X131" s="187">
        <f t="shared" si="44"/>
        <v>1</v>
      </c>
      <c r="Y131" s="62">
        <f t="shared" si="32"/>
        <v>23.3096</v>
      </c>
      <c r="Z131" s="62">
        <f t="shared" si="33"/>
        <v>1.78E-2</v>
      </c>
      <c r="AA131" s="62">
        <f t="shared" si="34"/>
        <v>23.291799999999999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5"/>
        <v>0218-26</v>
      </c>
      <c r="AE131" s="85" t="str">
        <f t="shared" si="36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31" s="82" t="str">
        <f t="shared" si="37"/>
        <v>"C:\Program Files (x86)\AstroGrep\AstroGrep.exe" /e /r /s /spath="%USERPROFILE%\AppData\Local\Temp\OnboardLogs" /stypes="app*4032*20170327*" /stext=" 01:.+((SYSTEM_STATE.+slice.+state.+changed )|(ment ac)|(multiple cpu faults)|(system.+state.+changed )|(\[timeout)|(PRM\|1\|D)|(kpr)|(kdp)|(\|lc)|(penalty))"</v>
      </c>
      <c r="AG131" s="1" t="str">
        <f t="shared" si="38"/>
        <v>EC</v>
      </c>
      <c r="AH131" s="86" t="str">
        <f t="shared" si="39"/>
        <v>"%USERPROFILE%\Documents\GitHub\eaglep3\Utilities\RefineRTDCRunTimes.py" --tripid 218-26 --locoid 4032 --swversion DE.1.0.9.0 --startMP 204:233096 --initTime 2017-03-26T18:58:08 --startdatetime 2017-03-26T19:11:31 --delay 1 --endMP 204:178 --enddatetime 2017-03-26T19:50:33 --enforcementcount 0 &gt;&gt;C:\Users\stu\Documents\GitHub\eaglep3-reporting\EC\2017-03-26-refined-times.txt</v>
      </c>
      <c r="AI131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{"issue":{"subject":"","project_id":79,"tracker_id":40,"status_id":1,"priority_id":2,"assigned_to_id":23,"start_date":"2017-03-26","description":"","custom_fields":[{"id":1,"name":"Subdivision","value":"EC"},{"id":4,"name":"Milepost","value":"0.0178"},{"id":17,"name":"Train ID","value":"218-26"},{"id":16,"name":"Locomotive ID","value":"4032"},{"id":130,"name":"Impact","value":""},{"id":150,"name":"Time of Event (Mountain Time)","value":"19:50:33"},{"id":151,"name":"Denver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1"/>
        <v>start /low /b %USERPROFILE%\Documents\GitHub\eaglep3\Utilities\DownloadLogsFromS3.py --loco 4032 --day 2017-03-26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"%USERPROFILE%\AppData\Local\Temp\OnboardLogs"\RTDC4032\*4032*20170327* | grep -SE "(Enforcement Action)|(\[TIMEOUT)|(CHR.+\|PRM\|1\|D.+(SWITCH|SIGNAL).+UNKNOWN)" - &gt;&gt; 2017-03-26-UncaughtWiMAX.txt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622</v>
      </c>
      <c r="B132" s="7">
        <v>4046</v>
      </c>
      <c r="C132" s="21" t="s">
        <v>219</v>
      </c>
      <c r="D132" s="21" t="s">
        <v>212</v>
      </c>
      <c r="E132" s="13">
        <v>42820.765115740738</v>
      </c>
      <c r="F132" s="13">
        <v>42820.771481481483</v>
      </c>
      <c r="G132" s="7">
        <v>1</v>
      </c>
      <c r="H132" s="21" t="s">
        <v>933</v>
      </c>
      <c r="I132" s="13">
        <v>42820.796481481484</v>
      </c>
      <c r="J132" s="7">
        <v>0</v>
      </c>
      <c r="K132" s="98" t="str">
        <f t="shared" si="26"/>
        <v>4045/4046</v>
      </c>
      <c r="L132" s="21" t="str">
        <f>VLOOKUP(A132,'Trips&amp;Operators'!$C$1:$G$99999,5,FALSE)</f>
        <v>STAMBAUGH JAMES</v>
      </c>
      <c r="M132" s="6">
        <f t="shared" si="27"/>
        <v>2.5000000001455192E-2</v>
      </c>
      <c r="N132" s="7">
        <f t="shared" si="42"/>
        <v>36.000000002095476</v>
      </c>
      <c r="O132" s="7"/>
      <c r="P132" s="7"/>
      <c r="Q132" s="22"/>
      <c r="R132" s="22"/>
      <c r="S132" s="31">
        <f t="shared" si="43"/>
        <v>1</v>
      </c>
      <c r="T132" s="46" t="str">
        <f t="shared" si="28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9"/>
        <v>https://d0f6bd738d7f1b3e5a7ca70fe4ff75f0.us-east-1.aws.found.io/app/kibana#/discover/Steve-Slow-Train-Analysis-(2080s-and-2083s)?_g=(refreshInterval:(display:Off,pause:!f,section:0,value:0),time:(from:'2017-03-26T17:21:46-0600',mode:absolute,to:'2017-03-26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7" t="str">
        <f t="shared" si="30"/>
        <v>N</v>
      </c>
      <c r="X132" s="187">
        <f t="shared" si="44"/>
        <v>1</v>
      </c>
      <c r="Y132" s="62">
        <f t="shared" si="32"/>
        <v>4.53E-2</v>
      </c>
      <c r="Z132" s="62">
        <f t="shared" si="33"/>
        <v>23.340800000000002</v>
      </c>
      <c r="AA132" s="62">
        <f t="shared" si="34"/>
        <v>23.295500000000001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5"/>
        <v>0219-26</v>
      </c>
      <c r="AE132" s="85" t="str">
        <f t="shared" si="36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32" s="82" t="str">
        <f t="shared" si="37"/>
        <v>"C:\Program Files (x86)\AstroGrep\AstroGrep.exe" /e /r /s /spath="%USERPROFILE%\AppData\Local\Temp\OnboardLogs" /stypes="app*4046*20170327*" /stext=" 01:.+((SYSTEM_STATE.+slice.+state.+changed )|(ment ac)|(multiple cpu faults)|(system.+state.+changed )|(\[timeout)|(PRM\|1\|D)|(kpr)|(kdp)|(\|lc)|(penalty))"</v>
      </c>
      <c r="AG132" s="1" t="str">
        <f t="shared" si="38"/>
        <v>EC</v>
      </c>
      <c r="AH132" s="86" t="str">
        <f t="shared" si="39"/>
        <v>"%USERPROFILE%\Documents\GitHub\eaglep3\Utilities\RefineRTDCRunTimes.py" --tripid 219-26 --locoid 4046 --swversion DE.1.0.9.0 --startMP 204:453 --initTime 2017-03-26T18:21:46 --startdatetime 2017-03-26T18:30:56 --delay 1 --endMP 204:233408 --enddatetime 2017-03-26T19:06:56 --enforcementcount 0 &gt;&gt;C:\Users\stu\Documents\GitHub\eaglep3-reporting\EC\2017-03-26-refined-times.txt</v>
      </c>
      <c r="AI132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{"issue":{"subject":"","project_id":79,"tracker_id":40,"status_id":1,"priority_id":2,"assigned_to_id":23,"start_date":"2017-03-26","description":"","custom_fields":[{"id":1,"name":"Subdivision","value":"EC"},{"id":4,"name":"Milepost","value":"23.3408"},{"id":17,"name":"Train ID","value":"219-26"},{"id":16,"name":"Locomotive ID","value":"4046"},{"id":130,"name":"Impact","value":""},{"id":150,"name":"Time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1"/>
        <v>start /low /b %USERPROFILE%\Documents\GitHub\eaglep3\Utilities\DownloadLogsFromS3.py --loco 4046 --day 2017-03-26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"%USERPROFILE%\AppData\Local\Temp\OnboardLogs"\RTDC4046\*4046*20170327* | grep -SE "(Enforcement Action)|(\[TIMEOUT)|(CHR.+\|PRM\|1\|D.+(SWITCH|SIGNAL).+UNKNOWN)" - &gt;&gt; 2017-03-26-UncaughtWiMAX.txt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782</v>
      </c>
      <c r="B133" s="7">
        <v>4045</v>
      </c>
      <c r="C133" s="21" t="s">
        <v>219</v>
      </c>
      <c r="D133" s="21" t="s">
        <v>934</v>
      </c>
      <c r="E133" s="13">
        <v>42820.806967592594</v>
      </c>
      <c r="F133" s="13">
        <v>42820.810277777775</v>
      </c>
      <c r="G133" s="7">
        <v>1</v>
      </c>
      <c r="H133" s="21" t="s">
        <v>584</v>
      </c>
      <c r="I133" s="13">
        <v>42820.836053240739</v>
      </c>
      <c r="J133" s="7">
        <v>0</v>
      </c>
      <c r="K133" s="98" t="str">
        <f t="shared" si="26"/>
        <v>4045/4046</v>
      </c>
      <c r="L133" s="21" t="str">
        <f>VLOOKUP(A133,'Trips&amp;Operators'!$C$1:$G$99999,5,FALSE)</f>
        <v>STAMBAUGH JAMES</v>
      </c>
      <c r="M133" s="6">
        <f t="shared" si="27"/>
        <v>2.5775462963792961E-2</v>
      </c>
      <c r="N133" s="7">
        <f t="shared" si="42"/>
        <v>37.116666667861864</v>
      </c>
      <c r="O133" s="7"/>
      <c r="P133" s="7"/>
      <c r="Q133" s="22"/>
      <c r="R133" s="22"/>
      <c r="S133" s="31">
        <f t="shared" si="43"/>
        <v>1</v>
      </c>
      <c r="T133" s="46" t="str">
        <f t="shared" si="28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9"/>
        <v>https://d0f6bd738d7f1b3e5a7ca70fe4ff75f0.us-east-1.aws.found.io/app/kibana#/discover/Steve-Slow-Train-Analysis-(2080s-and-2083s)?_g=(refreshInterval:(display:Off,pause:!f,section:0,value:0),time:(from:'2017-03-26T18:22:02-0600',mode:absolute,to:'2017-03-26T21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7" t="str">
        <f t="shared" si="30"/>
        <v>N</v>
      </c>
      <c r="X133" s="187">
        <f t="shared" si="44"/>
        <v>1</v>
      </c>
      <c r="Y133" s="62">
        <f t="shared" si="32"/>
        <v>23.306899999999999</v>
      </c>
      <c r="Z133" s="62">
        <f t="shared" si="33"/>
        <v>1.3599999999999999E-2</v>
      </c>
      <c r="AA133" s="62">
        <f t="shared" si="34"/>
        <v>23.293299999999999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5"/>
        <v>0220-26</v>
      </c>
      <c r="AE133" s="85" t="str">
        <f t="shared" si="36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33" s="82" t="str">
        <f t="shared" si="37"/>
        <v>"C:\Program Files (x86)\AstroGrep\AstroGrep.exe" /e /r /s /spath="%USERPROFILE%\AppData\Local\Temp\OnboardLogs" /stypes="app*4045*20170327*" /stext=" 02:.+((SYSTEM_STATE.+slice.+state.+changed )|(ment ac)|(multiple cpu faults)|(system.+state.+changed )|(\[timeout)|(PRM\|1\|D)|(kpr)|(kdp)|(\|lc)|(penalty))"</v>
      </c>
      <c r="AG133" s="1" t="str">
        <f t="shared" si="38"/>
        <v>EC</v>
      </c>
      <c r="AH133" s="86" t="str">
        <f t="shared" si="39"/>
        <v>"%USERPROFILE%\Documents\GitHub\eaglep3\Utilities\RefineRTDCRunTimes.py" --tripid 220-26 --locoid 4045 --swversion DE.1.0.9.0 --startMP 204:233069 --initTime 2017-03-26T19:22:02 --startdatetime 2017-03-26T19:26:48 --delay 1 --endMP 204:136 --enddatetime 2017-03-26T20:03:55 --enforcementcount 0 &gt;&gt;C:\Users\stu\Documents\GitHub\eaglep3-reporting\EC\2017-03-26-refined-times.txt</v>
      </c>
      <c r="AI133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{"issue":{"subject":"","project_id":79,"tracker_id":40,"status_id":1,"priority_id":2,"assigned_to_id":23,"start_date":"2017-03-26","description":"","custom_fields":[{"id":1,"name":"Subdivision","value":"EC"},{"id":4,"name":"Milepost","value":"0.0136"},{"id":17,"name":"Train ID","value":"220-26"},{"id":16,"name":"Locomotive ID","value":"4045"},{"id":130,"name":"Impact","value":""},{"id":150,"name":"Time of Event (Mountain Time)","value":"20:03:55"},{"id":151,"name":"Denver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1"/>
        <v>start /low /b %USERPROFILE%\Documents\GitHub\eaglep3\Utilities\DownloadLogsFromS3.py --loco 4045 --day 2017-03-26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"%USERPROFILE%\AppData\Local\Temp\OnboardLogs"\RTDC4045\*4045*20170327* | grep -SE "(Enforcement Action)|(\[TIMEOUT)|(CHR.+\|PRM\|1\|D.+(SWITCH|SIGNAL).+UNKNOWN)" - &gt;&gt; 2017-03-26-UncaughtWiMAX.txt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778</v>
      </c>
      <c r="B134" s="7">
        <v>4002</v>
      </c>
      <c r="C134" s="21" t="s">
        <v>219</v>
      </c>
      <c r="D134" s="21" t="s">
        <v>935</v>
      </c>
      <c r="E134" s="13">
        <v>42820.7891087963</v>
      </c>
      <c r="F134" s="13">
        <v>42820.791979166665</v>
      </c>
      <c r="G134" s="7">
        <v>1</v>
      </c>
      <c r="H134" s="21" t="s">
        <v>494</v>
      </c>
      <c r="I134" s="13">
        <v>42820.817615740743</v>
      </c>
      <c r="J134" s="7">
        <v>0</v>
      </c>
      <c r="K134" s="98" t="str">
        <f t="shared" si="26"/>
        <v>4001/4002</v>
      </c>
      <c r="L134" s="21" t="str">
        <f>VLOOKUP(A134,'Trips&amp;Operators'!$C$1:$G$99999,5,FALSE)</f>
        <v>CHANDLER KELVIN</v>
      </c>
      <c r="M134" s="6">
        <f t="shared" si="27"/>
        <v>2.5636574078816921E-2</v>
      </c>
      <c r="N134" s="7">
        <f t="shared" si="42"/>
        <v>36.916666673496366</v>
      </c>
      <c r="O134" s="7"/>
      <c r="P134" s="7"/>
      <c r="Q134" s="22"/>
      <c r="R134" s="22"/>
      <c r="S134" s="31">
        <f t="shared" si="43"/>
        <v>1</v>
      </c>
      <c r="T134" s="46" t="str">
        <f t="shared" si="28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9"/>
        <v>https://d0f6bd738d7f1b3e5a7ca70fe4ff75f0.us-east-1.aws.found.io/app/kibana#/discover/Steve-Slow-Train-Analysis-(2080s-and-2083s)?_g=(refreshInterval:(display:Off,pause:!f,section:0,value:0),time:(from:'2017-03-26T17:56:19-0600',mode:absolute,to:'2017-03-26T20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87" t="str">
        <f t="shared" si="30"/>
        <v>N</v>
      </c>
      <c r="X134" s="187">
        <f t="shared" si="44"/>
        <v>1</v>
      </c>
      <c r="Y134" s="62">
        <f t="shared" si="32"/>
        <v>4.8599999999999997E-2</v>
      </c>
      <c r="Z134" s="62">
        <f t="shared" si="33"/>
        <v>23.3291</v>
      </c>
      <c r="AA134" s="62">
        <f t="shared" si="34"/>
        <v>23.2805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5"/>
        <v>0221-26</v>
      </c>
      <c r="AE134" s="85" t="str">
        <f t="shared" si="36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34" s="82" t="str">
        <f t="shared" si="37"/>
        <v>"C:\Program Files (x86)\AstroGrep\AstroGrep.exe" /e /r /s /spath="%USERPROFILE%\AppData\Local\Temp\OnboardLogs" /stypes="app*4002*20170327*" /stext=" 01:.+((SYSTEM_STATE.+slice.+state.+changed )|(ment ac)|(multiple cpu faults)|(system.+state.+changed )|(\[timeout)|(PRM\|1\|D)|(kpr)|(kdp)|(\|lc)|(penalty))"</v>
      </c>
      <c r="AG134" s="1" t="str">
        <f t="shared" si="38"/>
        <v>EC</v>
      </c>
      <c r="AH134" s="86" t="str">
        <f t="shared" si="39"/>
        <v>"%USERPROFILE%\Documents\GitHub\eaglep3\Utilities\RefineRTDCRunTimes.py" --tripid 221-26 --locoid 4002 --swversion DE.1.0.9.0 --startMP 204:486 --initTime 2017-03-26T18:56:19 --startdatetime 2017-03-26T19:00:27 --delay 1 --endMP 204:233291 --enddatetime 2017-03-26T19:37:22 --enforcementcount 0 &gt;&gt;C:\Users\stu\Documents\GitHub\eaglep3-reporting\EC\2017-03-26-refined-times.txt</v>
      </c>
      <c r="AI134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{"issue":{"subject":"","project_id":79,"tracker_id":40,"status_id":1,"priority_id":2,"assigned_to_id":23,"start_date":"2017-03-26","description":"","custom_fields":[{"id":1,"name":"Subdivision","value":"EC"},{"id":4,"name":"Milepost","value":"23.3291"},{"id":17,"name":"Train ID","value":"221-26"},{"id":16,"name":"Locomotive ID","value":"4002"},{"id":130,"name":"Impact","value":""},{"id":150,"name":"Time of Event (Mountain Time)","value":"19:37:22"},{"id":151,"name":"Denver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1"/>
        <v>start /low /b %USERPROFILE%\Documents\GitHub\eaglep3\Utilities\DownloadLogsFromS3.py --loco 4002 --day 2017-03-26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"%USERPROFILE%\AppData\Local\Temp\OnboardLogs"\RTDC4002\*4002*20170327* | grep -SE "(Enforcement Action)|(\[TIMEOUT)|(CHR.+\|PRM\|1\|D.+(SWITCH|SIGNAL).+UNKNOWN)" - &gt;&gt; 2017-03-26-UncaughtWiMAX.txt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786</v>
      </c>
      <c r="B135" s="7">
        <v>4001</v>
      </c>
      <c r="C135" s="21" t="s">
        <v>219</v>
      </c>
      <c r="D135" s="21" t="s">
        <v>542</v>
      </c>
      <c r="E135" s="13">
        <v>42820.829398148147</v>
      </c>
      <c r="F135" s="13">
        <v>42820.830891203703</v>
      </c>
      <c r="G135" s="7">
        <v>1</v>
      </c>
      <c r="H135" s="21" t="s">
        <v>936</v>
      </c>
      <c r="I135" s="13">
        <v>42820.863842592589</v>
      </c>
      <c r="J135" s="7">
        <v>0</v>
      </c>
      <c r="K135" s="98" t="str">
        <f t="shared" si="26"/>
        <v>4001/4002</v>
      </c>
      <c r="L135" s="21" t="str">
        <f>VLOOKUP(A135,'Trips&amp;Operators'!$C$1:$G$99999,5,FALSE)</f>
        <v>CHANDLER KELVIN</v>
      </c>
      <c r="M135" s="6">
        <f t="shared" si="27"/>
        <v>3.2951388886431232E-2</v>
      </c>
      <c r="N135" s="7">
        <f t="shared" si="42"/>
        <v>47.449999996460974</v>
      </c>
      <c r="O135" s="7"/>
      <c r="P135" s="7"/>
      <c r="Q135" s="22"/>
      <c r="R135" s="22"/>
      <c r="S135" s="31">
        <f t="shared" si="43"/>
        <v>1</v>
      </c>
      <c r="T135" s="46" t="str">
        <f t="shared" si="28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9"/>
        <v>https://d0f6bd738d7f1b3e5a7ca70fe4ff75f0.us-east-1.aws.found.io/app/kibana#/discover/Steve-Slow-Train-Analysis-(2080s-and-2083s)?_g=(refreshInterval:(display:Off,pause:!f,section:0,value:0),time:(from:'2017-03-26T18:54:20-0600',mode:absolute,to:'2017-03-26T21:43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87" t="str">
        <f t="shared" si="30"/>
        <v>N</v>
      </c>
      <c r="X135" s="187">
        <f t="shared" si="44"/>
        <v>1</v>
      </c>
      <c r="Y135" s="62">
        <f t="shared" si="32"/>
        <v>23.298500000000001</v>
      </c>
      <c r="Z135" s="62">
        <f t="shared" si="33"/>
        <v>1.72E-2</v>
      </c>
      <c r="AA135" s="62">
        <f t="shared" si="34"/>
        <v>23.281300000000002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5"/>
        <v>0222-26</v>
      </c>
      <c r="AE135" s="85" t="str">
        <f t="shared" si="36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35" s="82" t="str">
        <f t="shared" si="37"/>
        <v>"C:\Program Files (x86)\AstroGrep\AstroGrep.exe" /e /r /s /spath="%USERPROFILE%\AppData\Local\Temp\OnboardLogs" /stypes="app*4001*20170327*" /stext=" 02:.+((SYSTEM_STATE.+slice.+state.+changed )|(ment ac)|(multiple cpu faults)|(system.+state.+changed )|(\[timeout)|(PRM\|1\|D)|(kpr)|(kdp)|(\|lc)|(penalty))"</v>
      </c>
      <c r="AG135" s="1" t="str">
        <f t="shared" si="38"/>
        <v>EC</v>
      </c>
      <c r="AH135" s="86" t="str">
        <f t="shared" si="39"/>
        <v>"%USERPROFILE%\Documents\GitHub\eaglep3\Utilities\RefineRTDCRunTimes.py" --tripid 222-26 --locoid 4001 --swversion DE.1.0.9.0 --startMP 204:232985 --initTime 2017-03-26T19:54:20 --startdatetime 2017-03-26T19:56:29 --delay 1 --endMP 204:172 --enddatetime 2017-03-26T20:43:56 --enforcementcount 0 &gt;&gt;C:\Users\stu\Documents\GitHub\eaglep3-reporting\EC\2017-03-26-refined-times.txt</v>
      </c>
      <c r="AI135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{"issue":{"subject":"","project_id":79,"tracker_id":40,"status_id":1,"priority_id":2,"assigned_to_id":23,"start_date":"2017-03-26","description":"","custom_fields":[{"id":1,"name":"Subdivision","value":"EC"},{"id":4,"name":"Milepost","value":"0.0172"},{"id":17,"name":"Train ID","value":"222-26"},{"id":16,"name":"Locomotive ID","value":"4001"},{"id":130,"name":"Impact","value":""},{"id":150,"name":"Time of Event (Mountain Time)","value":"20:43:56"},{"id":151,"name":"Denver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1"/>
        <v>start /low /b %USERPROFILE%\Documents\GitHub\eaglep3\Utilities\DownloadLogsFromS3.py --loco 4001 --day 2017-03-26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"%USERPROFILE%\AppData\Local\Temp\OnboardLogs"\RTDC4001\*4001*20170327* | grep -SE "(Enforcement Action)|(\[TIMEOUT)|(CHR.+\|PRM\|1\|D.+(SWITCH|SIGNAL).+UNKNOWN)" - &gt;&gt; 2017-03-26-UncaughtWiMAX.txt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783</v>
      </c>
      <c r="B136" s="7">
        <v>4027</v>
      </c>
      <c r="C136" s="21" t="s">
        <v>219</v>
      </c>
      <c r="D136" s="21" t="s">
        <v>539</v>
      </c>
      <c r="E136" s="13">
        <v>42820.810393518521</v>
      </c>
      <c r="F136" s="13">
        <v>42820.812789351854</v>
      </c>
      <c r="G136" s="7">
        <v>1</v>
      </c>
      <c r="H136" s="21" t="s">
        <v>495</v>
      </c>
      <c r="I136" s="13">
        <v>42820.839398148149</v>
      </c>
      <c r="J136" s="7">
        <v>0</v>
      </c>
      <c r="K136" s="98" t="str">
        <f t="shared" si="26"/>
        <v>4027/4028</v>
      </c>
      <c r="L136" s="21" t="str">
        <f>VLOOKUP(A136,'Trips&amp;Operators'!$C$1:$G$99999,5,FALSE)</f>
        <v>DUNCAN SHEILA</v>
      </c>
      <c r="M136" s="6">
        <f t="shared" si="27"/>
        <v>2.6608796295477077E-2</v>
      </c>
      <c r="N136" s="7">
        <f t="shared" si="42"/>
        <v>38.316666665486991</v>
      </c>
      <c r="O136" s="7"/>
      <c r="P136" s="7"/>
      <c r="Q136" s="22"/>
      <c r="R136" s="22"/>
      <c r="S136" s="31">
        <f t="shared" si="43"/>
        <v>1</v>
      </c>
      <c r="T136" s="46" t="str">
        <f t="shared" si="28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9"/>
        <v>https://d0f6bd738d7f1b3e5a7ca70fe4ff75f0.us-east-1.aws.found.io/app/kibana#/discover/Steve-Slow-Train-Analysis-(2080s-and-2083s)?_g=(refreshInterval:(display:Off,pause:!f,section:0,value:0),time:(from:'2017-03-26T18:26:58-0600',mode:absolute,to:'2017-03-26T21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87" t="str">
        <f t="shared" si="30"/>
        <v>N</v>
      </c>
      <c r="X136" s="187">
        <f t="shared" si="44"/>
        <v>1</v>
      </c>
      <c r="Y136" s="62">
        <f t="shared" si="32"/>
        <v>4.4600000000000001E-2</v>
      </c>
      <c r="Z136" s="62">
        <f t="shared" si="33"/>
        <v>23.329799999999999</v>
      </c>
      <c r="AA136" s="62">
        <f t="shared" si="34"/>
        <v>23.2852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5"/>
        <v>0223-26</v>
      </c>
      <c r="AE136" s="85" t="str">
        <f t="shared" si="36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36" s="82" t="str">
        <f t="shared" si="37"/>
        <v>"C:\Program Files (x86)\AstroGrep\AstroGrep.exe" /e /r /s /spath="%USERPROFILE%\AppData\Local\Temp\OnboardLogs" /stypes="app*4027*20170327*" /stext=" 02:.+((SYSTEM_STATE.+slice.+state.+changed )|(ment ac)|(multiple cpu faults)|(system.+state.+changed )|(\[timeout)|(PRM\|1\|D)|(kpr)|(kdp)|(\|lc)|(penalty))"</v>
      </c>
      <c r="AG136" s="1" t="str">
        <f t="shared" si="38"/>
        <v>EC</v>
      </c>
      <c r="AH136" s="86" t="str">
        <f t="shared" si="39"/>
        <v>"%USERPROFILE%\Documents\GitHub\eaglep3\Utilities\RefineRTDCRunTimes.py" --tripid 223-26 --locoid 4027 --swversion DE.1.0.9.0 --startMP 204:446 --initTime 2017-03-26T19:26:58 --startdatetime 2017-03-26T19:30:25 --delay 1 --endMP 204:233298 --enddatetime 2017-03-26T20:08:44 --enforcementcount 0 &gt;&gt;C:\Users\stu\Documents\GitHub\eaglep3-reporting\EC\2017-03-26-refined-times.txt</v>
      </c>
      <c r="AI136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{"issue":{"subject":"","project_id":79,"tracker_id":40,"status_id":1,"priority_id":2,"assigned_to_id":23,"start_date":"2017-03-26","description":"","custom_fields":[{"id":1,"name":"Subdivision","value":"EC"},{"id":4,"name":"Milepost","value":"23.3298"},{"id":17,"name":"Train ID","value":"223-26"},{"id":16,"name":"Locomotive ID","value":"4027"},{"id":130,"name":"Impact","value":""},{"id":150,"name":"Time of Event (Mountain Time)","value":"20:08:44"},{"id":151,"name":"Denver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1"/>
        <v>start /low /b %USERPROFILE%\Documents\GitHub\eaglep3\Utilities\DownloadLogsFromS3.py --loco 4027 --day 2017-03-26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"%USERPROFILE%\AppData\Local\Temp\OnboardLogs"\RTDC4027\*4027*20170327* | grep -SE "(Enforcement Action)|(\[TIMEOUT)|(CHR.+\|PRM\|1\|D.+(SWITCH|SIGNAL).+UNKNOWN)" - &gt;&gt; 2017-03-26-UncaughtWiMAX.txt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788</v>
      </c>
      <c r="B137" s="7">
        <v>4028</v>
      </c>
      <c r="C137" s="21" t="s">
        <v>219</v>
      </c>
      <c r="D137" s="21" t="s">
        <v>571</v>
      </c>
      <c r="E137" s="13">
        <v>42820.845254629632</v>
      </c>
      <c r="F137" s="13">
        <v>42820.851550925923</v>
      </c>
      <c r="G137" s="7">
        <v>4</v>
      </c>
      <c r="H137" s="21" t="s">
        <v>205</v>
      </c>
      <c r="I137" s="13">
        <v>42820.879236111112</v>
      </c>
      <c r="J137" s="7">
        <v>0</v>
      </c>
      <c r="K137" s="98" t="str">
        <f t="shared" si="26"/>
        <v>4027/4028</v>
      </c>
      <c r="L137" s="21" t="str">
        <f>VLOOKUP(A137,'Trips&amp;Operators'!$C$1:$G$99999,5,FALSE)</f>
        <v>DUNCAN SHEILA</v>
      </c>
      <c r="M137" s="6">
        <f t="shared" si="27"/>
        <v>2.768518518860219E-2</v>
      </c>
      <c r="N137" s="7">
        <f t="shared" si="42"/>
        <v>39.866666671587154</v>
      </c>
      <c r="O137" s="7"/>
      <c r="P137" s="7"/>
      <c r="Q137" s="22"/>
      <c r="R137" s="22"/>
      <c r="S137" s="31">
        <f t="shared" si="43"/>
        <v>1</v>
      </c>
      <c r="T137" s="46" t="str">
        <f t="shared" si="28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9"/>
        <v>https://d0f6bd738d7f1b3e5a7ca70fe4ff75f0.us-east-1.aws.found.io/app/kibana#/discover/Steve-Slow-Train-Analysis-(2080s-and-2083s)?_g=(refreshInterval:(display:Off,pause:!f,section:0,value:0),time:(from:'2017-03-26T19:17:10-0600',mode:absolute,to:'2017-03-26T22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87" t="str">
        <f t="shared" si="30"/>
        <v>N</v>
      </c>
      <c r="X137" s="187">
        <f t="shared" ref="X137:X142" si="45">VALUE(LEFT(AD137,4))-VALUE(LEFT(AD136,4))</f>
        <v>1</v>
      </c>
      <c r="Y137" s="62">
        <f t="shared" si="32"/>
        <v>23.297000000000001</v>
      </c>
      <c r="Z137" s="62">
        <f t="shared" si="33"/>
        <v>1.54E-2</v>
      </c>
      <c r="AA137" s="62">
        <f t="shared" si="34"/>
        <v>23.281600000000001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5"/>
        <v>0224-26</v>
      </c>
      <c r="AE137" s="85" t="str">
        <f t="shared" si="36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37" s="82" t="str">
        <f t="shared" si="37"/>
        <v>"C:\Program Files (x86)\AstroGrep\AstroGrep.exe" /e /r /s /spath="%USERPROFILE%\AppData\Local\Temp\OnboardLogs" /stypes="app*4028*20170327*" /stext=" 03:.+((SYSTEM_STATE.+slice.+state.+changed )|(ment ac)|(multiple cpu faults)|(system.+state.+changed )|(\[timeout)|(PRM\|1\|D)|(kpr)|(kdp)|(\|lc)|(penalty))"</v>
      </c>
      <c r="AG137" s="1" t="str">
        <f t="shared" si="38"/>
        <v>EC</v>
      </c>
      <c r="AH137" s="86" t="str">
        <f t="shared" si="39"/>
        <v>"%USERPROFILE%\Documents\GitHub\eaglep3\Utilities\RefineRTDCRunTimes.py" --tripid 224-26 --locoid 4028 --swversion DE.1.0.9.0 --startMP 204:232970 --initTime 2017-03-26T20:17:10 --startdatetime 2017-03-26T20:26:14 --delay 4 --endMP 204:154 --enddatetime 2017-03-26T21:06:06 --enforcementcount 0 &gt;&gt;C:\Users\stu\Documents\GitHub\eaglep3-reporting\EC\2017-03-26-refined-times.txt</v>
      </c>
      <c r="AI137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{"issue":{"subject":"","project_id":79,"tracker_id":40,"status_id":1,"priority_id":2,"assigned_to_id":23,"start_date":"2017-03-26","description":"","custom_fields":[{"id":1,"name":"Subdivision","value":"EC"},{"id":4,"name":"Milepost","value":"0.0154"},{"id":17,"name":"Train ID","value":"224-26"},{"id":16,"name":"Locomotive ID","value":"4028"},{"id":130,"name":"Impact","value":""},{"id":150,"name":"Time of Event (Mountain Time)","value":"21:06:06"},{"id":151,"name":"Denver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1"/>
        <v>start /low /b %USERPROFILE%\Documents\GitHub\eaglep3\Utilities\DownloadLogsFromS3.py --loco 4028 --day 2017-03-26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"%USERPROFILE%\AppData\Local\Temp\OnboardLogs"\RTDC4028\*4028*20170327* | grep -SE "(Enforcement Action)|(\[TIMEOUT)|(CHR.+\|PRM\|1\|D.+(SWITCH|SIGNAL).+UNKNOWN)" - &gt;&gt; 2017-03-26-UncaughtWiMAX.txt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623</v>
      </c>
      <c r="B138" s="7">
        <v>4031</v>
      </c>
      <c r="C138" s="21" t="s">
        <v>219</v>
      </c>
      <c r="D138" s="21" t="s">
        <v>213</v>
      </c>
      <c r="E138" s="13">
        <v>42820.828958333332</v>
      </c>
      <c r="F138" s="13">
        <v>42820.833553240744</v>
      </c>
      <c r="G138" s="7">
        <v>1</v>
      </c>
      <c r="H138" s="21" t="s">
        <v>926</v>
      </c>
      <c r="I138" s="13">
        <v>42820.858495370368</v>
      </c>
      <c r="J138" s="7">
        <v>0</v>
      </c>
      <c r="K138" s="98" t="str">
        <f t="shared" si="26"/>
        <v>4031/4032</v>
      </c>
      <c r="L138" s="21" t="str">
        <f>VLOOKUP(A138,'Trips&amp;Operators'!$C$1:$G$99999,5,FALSE)</f>
        <v>SMITH MICHAEL</v>
      </c>
      <c r="M138" s="6">
        <f t="shared" si="27"/>
        <v>2.4942129624832887E-2</v>
      </c>
      <c r="N138" s="7">
        <f t="shared" si="42"/>
        <v>35.916666659759358</v>
      </c>
      <c r="O138" s="7"/>
      <c r="P138" s="7"/>
      <c r="Q138" s="22"/>
      <c r="R138" s="22"/>
      <c r="S138" s="31">
        <f t="shared" si="43"/>
        <v>1</v>
      </c>
      <c r="T138" s="46" t="str">
        <f t="shared" si="28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9"/>
        <v>https://d0f6bd738d7f1b3e5a7ca70fe4ff75f0.us-east-1.aws.found.io/app/kibana#/discover/Steve-Slow-Train-Analysis-(2080s-and-2083s)?_g=(refreshInterval:(display:Off,pause:!f,section:0,value:0),time:(from:'2017-03-26T18:53:42-0600',mode:absolute,to:'2017-03-26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87" t="str">
        <f t="shared" si="30"/>
        <v>N</v>
      </c>
      <c r="X138" s="187">
        <f t="shared" si="45"/>
        <v>1</v>
      </c>
      <c r="Y138" s="62">
        <f t="shared" si="32"/>
        <v>4.5499999999999999E-2</v>
      </c>
      <c r="Z138" s="62">
        <f t="shared" si="33"/>
        <v>23.333600000000001</v>
      </c>
      <c r="AA138" s="62">
        <f t="shared" si="34"/>
        <v>23.2881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5"/>
        <v>0225-26</v>
      </c>
      <c r="AE138" s="85" t="str">
        <f t="shared" si="36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38" s="82" t="str">
        <f t="shared" si="37"/>
        <v>"C:\Program Files (x86)\AstroGrep\AstroGrep.exe" /e /r /s /spath="%USERPROFILE%\AppData\Local\Temp\OnboardLogs" /stypes="app*4031*20170327*" /stext=" 02:.+((SYSTEM_STATE.+slice.+state.+changed )|(ment ac)|(multiple cpu faults)|(system.+state.+changed )|(\[timeout)|(PRM\|1\|D)|(kpr)|(kdp)|(\|lc)|(penalty))"</v>
      </c>
      <c r="AG138" s="1" t="str">
        <f t="shared" si="38"/>
        <v>EC</v>
      </c>
      <c r="AH138" s="86" t="str">
        <f t="shared" si="39"/>
        <v>"%USERPROFILE%\Documents\GitHub\eaglep3\Utilities\RefineRTDCRunTimes.py" --tripid 225-26 --locoid 4031 --swversion DE.1.0.9.0 --startMP 204:455 --initTime 2017-03-26T19:53:42 --startdatetime 2017-03-26T20:00:19 --delay 1 --endMP 204:233336 --enddatetime 2017-03-26T20:36:14 --enforcementcount 0 &gt;&gt;C:\Users\stu\Documents\GitHub\eaglep3-reporting\EC\2017-03-26-refined-times.txt</v>
      </c>
      <c r="AI138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{"issue":{"subject":"","project_id":79,"tracker_id":40,"status_id":1,"priority_id":2,"assigned_to_id":23,"start_date":"2017-03-26","description":"","custom_fields":[{"id":1,"name":"Subdivision","value":"EC"},{"id":4,"name":"Milepost","value":"23.3336"},{"id":17,"name":"Train ID","value":"225-26"},{"id":16,"name":"Locomotive ID","value":"4031"},{"id":130,"name":"Impact","value":""},{"id":150,"name":"Time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1"/>
        <v>start /low /b %USERPROFILE%\Documents\GitHub\eaglep3\Utilities\DownloadLogsFromS3.py --loco 4031 --day 2017-03-26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"%USERPROFILE%\AppData\Local\Temp\OnboardLogs"\RTDC4031\*4031*20170327* | grep -SE "(Enforcement Action)|(\[TIMEOUT)|(CHR.+\|PRM\|1\|D.+(SWITCH|SIGNAL).+UNKNOWN)" - &gt;&gt; 2017-03-26-UncaughtWiMAX.txt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791</v>
      </c>
      <c r="B139" s="7">
        <v>4032</v>
      </c>
      <c r="C139" s="21" t="s">
        <v>219</v>
      </c>
      <c r="D139" s="21" t="s">
        <v>937</v>
      </c>
      <c r="E139" s="13">
        <v>42820.863113425927</v>
      </c>
      <c r="F139" s="13">
        <v>42820.872557870367</v>
      </c>
      <c r="G139" s="7">
        <v>1</v>
      </c>
      <c r="H139" s="21" t="s">
        <v>395</v>
      </c>
      <c r="I139" s="13">
        <v>42820.899259259262</v>
      </c>
      <c r="J139" s="7">
        <v>0</v>
      </c>
      <c r="K139" s="98" t="str">
        <f t="shared" si="26"/>
        <v>4031/4032</v>
      </c>
      <c r="L139" s="21" t="str">
        <f>VLOOKUP(A139,'Trips&amp;Operators'!$C$1:$G$99999,5,FALSE)</f>
        <v>SMITH MICHAEL</v>
      </c>
      <c r="M139" s="6">
        <f t="shared" si="27"/>
        <v>2.6701388895162381E-2</v>
      </c>
      <c r="N139" s="7">
        <f t="shared" si="42"/>
        <v>38.450000009033829</v>
      </c>
      <c r="O139" s="7"/>
      <c r="P139" s="7"/>
      <c r="Q139" s="22"/>
      <c r="R139" s="22"/>
      <c r="S139" s="31">
        <f t="shared" si="43"/>
        <v>1</v>
      </c>
      <c r="T139" s="46" t="str">
        <f t="shared" si="28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9"/>
        <v>https://d0f6bd738d7f1b3e5a7ca70fe4ff75f0.us-east-1.aws.found.io/app/kibana#/discover/Steve-Slow-Train-Analysis-(2080s-and-2083s)?_g=(refreshInterval:(display:Off,pause:!f,section:0,value:0),time:(from:'2017-03-26T19:42:53-0600',mode:absolute,to:'2017-03-26T22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7" t="str">
        <f t="shared" si="30"/>
        <v>N</v>
      </c>
      <c r="X139" s="187">
        <f t="shared" si="45"/>
        <v>1</v>
      </c>
      <c r="Y139" s="62">
        <f t="shared" si="32"/>
        <v>23.302499999999998</v>
      </c>
      <c r="Z139" s="62">
        <f t="shared" si="33"/>
        <v>1.43E-2</v>
      </c>
      <c r="AA139" s="62">
        <f t="shared" si="34"/>
        <v>23.2882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5"/>
        <v>0226-26</v>
      </c>
      <c r="AE139" s="85" t="str">
        <f t="shared" si="36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39" s="82" t="str">
        <f t="shared" si="37"/>
        <v>"C:\Program Files (x86)\AstroGrep\AstroGrep.exe" /e /r /s /spath="%USERPROFILE%\AppData\Local\Temp\OnboardLogs" /stypes="app*4032*20170327*" /stext=" 03:.+((SYSTEM_STATE.+slice.+state.+changed )|(ment ac)|(multiple cpu faults)|(system.+state.+changed )|(\[timeout)|(PRM\|1\|D)|(kpr)|(kdp)|(\|lc)|(penalty))"</v>
      </c>
      <c r="AG139" s="1" t="str">
        <f t="shared" si="38"/>
        <v>EC</v>
      </c>
      <c r="AH139" s="86" t="str">
        <f t="shared" si="39"/>
        <v>"%USERPROFILE%\Documents\GitHub\eaglep3\Utilities\RefineRTDCRunTimes.py" --tripid 226-26 --locoid 4032 --swversion DE.1.0.9.0 --startMP 204:233025 --initTime 2017-03-26T20:42:53 --startdatetime 2017-03-26T20:56:29 --delay 1 --endMP 204:143 --enddatetime 2017-03-26T21:34:56 --enforcementcount 0 &gt;&gt;C:\Users\stu\Documents\GitHub\eaglep3-reporting\EC\2017-03-26-refined-times.txt</v>
      </c>
      <c r="AI139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{"issue":{"subject":"","project_id":79,"tracker_id":40,"status_id":1,"priority_id":2,"assigned_to_id":23,"start_date":"2017-03-26","description":"","custom_fields":[{"id":1,"name":"Subdivision","value":"EC"},{"id":4,"name":"Milepost","value":"0.0143"},{"id":17,"name":"Train ID","value":"226-26"},{"id":16,"name":"Locomotive ID","value":"4032"},{"id":130,"name":"Impact","value":""},{"id":150,"name":"Time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1"/>
        <v>start /low /b %USERPROFILE%\Documents\GitHub\eaglep3\Utilities\DownloadLogsFromS3.py --loco 4032 --day 2017-03-26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"%USERPROFILE%\AppData\Local\Temp\OnboardLogs"\RTDC4032\*4032*20170327* | grep -SE "(Enforcement Action)|(\[TIMEOUT)|(CHR.+\|PRM\|1\|D.+(SWITCH|SIGNAL).+UNKNOWN)" - &gt;&gt; 2017-03-26-UncaughtWiMAX.txt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787</v>
      </c>
      <c r="B140" s="7">
        <v>4046</v>
      </c>
      <c r="C140" s="21" t="s">
        <v>219</v>
      </c>
      <c r="D140" s="21" t="s">
        <v>938</v>
      </c>
      <c r="E140" s="13">
        <v>42820.837071759262</v>
      </c>
      <c r="F140" s="13">
        <v>42820.854513888888</v>
      </c>
      <c r="G140" s="7">
        <v>1</v>
      </c>
      <c r="H140" s="21" t="s">
        <v>939</v>
      </c>
      <c r="I140" s="13">
        <v>42820.879050925927</v>
      </c>
      <c r="J140" s="7">
        <v>0</v>
      </c>
      <c r="K140" s="98" t="str">
        <f t="shared" si="26"/>
        <v>4045/4046</v>
      </c>
      <c r="L140" s="21" t="str">
        <f>VLOOKUP(A140,'Trips&amp;Operators'!$C$1:$G$99999,5,FALSE)</f>
        <v>STAMBAUGH JAMES</v>
      </c>
      <c r="M140" s="6">
        <f t="shared" si="27"/>
        <v>2.453703703940846E-2</v>
      </c>
      <c r="N140" s="7">
        <f t="shared" ref="N140:N171" si="46">24*60*SUM($M140:$M140)</f>
        <v>35.333333336748183</v>
      </c>
      <c r="O140" s="7"/>
      <c r="P140" s="7"/>
      <c r="Q140" s="22"/>
      <c r="R140" s="22"/>
      <c r="S140" s="31">
        <f t="shared" ref="S140:S171" si="47">SUM(U140:U140)/IF(AG140="EC",12,1)</f>
        <v>1</v>
      </c>
      <c r="T140" s="46" t="str">
        <f t="shared" si="28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9"/>
        <v>https://d0f6bd738d7f1b3e5a7ca70fe4ff75f0.us-east-1.aws.found.io/app/kibana#/discover/Steve-Slow-Train-Analysis-(2080s-and-2083s)?_g=(refreshInterval:(display:Off,pause:!f,section:0,value:0),time:(from:'2017-03-26T19:05:23-0600',mode:absolute,to:'2017-03-26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7" t="str">
        <f t="shared" si="30"/>
        <v>N</v>
      </c>
      <c r="X140" s="187">
        <f t="shared" si="45"/>
        <v>1</v>
      </c>
      <c r="Y140" s="62">
        <f t="shared" si="32"/>
        <v>4.24E-2</v>
      </c>
      <c r="Z140" s="62">
        <f t="shared" si="33"/>
        <v>23.339700000000001</v>
      </c>
      <c r="AA140" s="62">
        <f t="shared" si="34"/>
        <v>23.2973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5"/>
        <v>0227-26</v>
      </c>
      <c r="AE140" s="85" t="str">
        <f t="shared" si="36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40" s="82" t="str">
        <f t="shared" si="37"/>
        <v>"C:\Program Files (x86)\AstroGrep\AstroGrep.exe" /e /r /s /spath="%USERPROFILE%\AppData\Local\Temp\OnboardLogs" /stypes="app*4046*20170327*" /stext=" 03:.+((SYSTEM_STATE.+slice.+state.+changed )|(ment ac)|(multiple cpu faults)|(system.+state.+changed )|(\[timeout)|(PRM\|1\|D)|(kpr)|(kdp)|(\|lc)|(penalty))"</v>
      </c>
      <c r="AG140" s="1" t="str">
        <f t="shared" si="38"/>
        <v>EC</v>
      </c>
      <c r="AH140" s="86" t="str">
        <f t="shared" si="39"/>
        <v>"%USERPROFILE%\Documents\GitHub\eaglep3\Utilities\RefineRTDCRunTimes.py" --tripid 227-26 --locoid 4046 --swversion DE.1.0.9.0 --startMP 204:424 --initTime 2017-03-26T20:05:23 --startdatetime 2017-03-26T20:30:30 --delay 1 --endMP 204:233397 --enddatetime 2017-03-26T21:05:50 --enforcementcount 0 &gt;&gt;C:\Users\stu\Documents\GitHub\eaglep3-reporting\EC\2017-03-26-refined-times.txt</v>
      </c>
      <c r="AI140" s="108" t="str">
        <f t="shared" si="40"/>
        <v>echo {"issue":{"subject":"","project_id":79,"tracker_id":40,"status_id":1,"priority_id":2,"assigned_to_id":23,"start_date":"2017-03-26","description":"","custom_fields":[{"id":1,"name":"Subdivision","value":"EC"},{"id":4,"name":"Milepost","value":"23.3397"},{"id":17,"name":"Train ID","value":"227-26"},{"id":16,"name":"Locomotive ID","value":"4046"},{"id":130,"name":"Impact","value":""},{"id":150,"name":"Time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1"/>
        <v>start /low /b %USERPROFILE%\Documents\GitHub\eaglep3\Utilities\DownloadLogsFromS3.py --loco 4046 --day 2017-03-26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"%USERPROFILE%\AppData\Local\Temp\OnboardLogs"\RTDC4046\*4046*20170327* | grep -SE "(Enforcement Action)|(\[TIMEOUT)|(CHR.+\|PRM\|1\|D.+(SWITCH|SIGNAL).+UNKNOWN)" - &gt;&gt; 2017-03-26-UncaughtWiMAX.txt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795</v>
      </c>
      <c r="B141" s="7">
        <v>4045</v>
      </c>
      <c r="C141" s="21" t="s">
        <v>219</v>
      </c>
      <c r="D141" s="21" t="s">
        <v>940</v>
      </c>
      <c r="E141" s="13">
        <v>42820.890682870369</v>
      </c>
      <c r="F141" s="13">
        <v>42820.893923611111</v>
      </c>
      <c r="G141" s="7">
        <v>1</v>
      </c>
      <c r="H141" s="21" t="s">
        <v>199</v>
      </c>
      <c r="I141" s="13">
        <v>42820.919942129629</v>
      </c>
      <c r="J141" s="7">
        <v>0</v>
      </c>
      <c r="K141" s="98" t="str">
        <f t="shared" ref="K141:K204" si="48">IF(ISEVEN(B141),(B141-1)&amp;"/"&amp;B141,B141&amp;"/"&amp;(B141+1))</f>
        <v>4045/4046</v>
      </c>
      <c r="L141" s="21" t="str">
        <f>VLOOKUP(A141,'Trips&amp;Operators'!$C$1:$G$99999,5,FALSE)</f>
        <v>STAMBAUGH JAMES</v>
      </c>
      <c r="M141" s="6">
        <f t="shared" ref="M141:M204" si="49">I141-F141</f>
        <v>2.6018518517958E-2</v>
      </c>
      <c r="N141" s="7">
        <f t="shared" si="46"/>
        <v>37.46666666585952</v>
      </c>
      <c r="O141" s="7"/>
      <c r="P141" s="7"/>
      <c r="Q141" s="22"/>
      <c r="R141" s="22"/>
      <c r="S141" s="31">
        <f t="shared" si="47"/>
        <v>1</v>
      </c>
      <c r="T141" s="46" t="str">
        <f t="shared" ref="T141:T204" si="50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-26T20:22:35-0600',mode:absolute,to:'2017-03-26T23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7" t="str">
        <f t="shared" ref="W141:W204" si="52">IF(AA141&lt;IF(AG141="EC",23,5.65),"Y","N")</f>
        <v>N</v>
      </c>
      <c r="X141" s="187">
        <f t="shared" si="45"/>
        <v>1</v>
      </c>
      <c r="Y141" s="62">
        <f t="shared" ref="Y141:Y204" si="53">RIGHT(D141,LEN(D141)-4)/10000</f>
        <v>23.308900000000001</v>
      </c>
      <c r="Z141" s="62">
        <f t="shared" ref="Z141:Z204" si="54">RIGHT(H141,LEN(H141)-4)/10000</f>
        <v>1.52E-2</v>
      </c>
      <c r="AA141" s="62">
        <f t="shared" ref="AA141:AA204" si="55">ABS(Z141-Y141)</f>
        <v>23.293700000000001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6">IF(LEN(A141)=6,"0"&amp;A141,A141)</f>
        <v>0228-26</v>
      </c>
      <c r="AE141" s="8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41" s="82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/stypes="app*4045*20170327*" /stext=" 04:.+((SYSTEM_STATE.+slice.+state.+changed )|(ment ac)|(multiple cpu faults)|(system.+state.+changed )|(\[timeout)|(PRM\|1\|D)|(kpr)|(kdp)|(\|lc)|(penalty))"</v>
      </c>
      <c r="AG141" s="1" t="str">
        <f t="shared" ref="AG141:AG204" si="59">IFERROR(IF(VALUE(LEFT(AD141,2))&lt;=2,"EC",IF(OR(VALUE(LEFT(AD141,2))=8,VALUE(LEFT(AD141,2))=18),"NW","Other")),"Other")</f>
        <v>EC</v>
      </c>
      <c r="AH141" s="86" t="str">
        <f t="shared" ref="AH141:AH203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228-26 --locoid 4045 --swversion DE.1.0.9.0 --startMP 204:233089 --initTime 2017-03-26T21:22:35 --startdatetime 2017-03-26T21:27:15 --delay 1 --endMP 204:152 --enddatetime 2017-03-26T22:04:43 --enforcementcount 0 &gt;&gt;C:\Users\stu\Documents\GitHub\eaglep3-reporting\EC\2017-03-26-refined-times.txt</v>
      </c>
      <c r="AI141" s="108" t="str">
        <f t="shared" ref="AI141:AI203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{"issue":{"subject":"","project_id":79,"tracker_id":40,"status_id":1,"priority_id":2,"assigned_to_id":23,"start_date":"2017-03-26","description":"","custom_fields":[{"id":1,"name":"Subdivision","value":"EC"},{"id":4,"name":"Milepost","value":"0.0152"},{"id":17,"name":"Train ID","value":"228-26"},{"id":16,"name":"Locomotive ID","value":"4045"},{"id":130,"name":"Impact","value":""},{"id":150,"name":"Time of Event (Mountain Time)","value":"22:04:43"},{"id":151,"name":"Denver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3" si="62">"start /low /b "&amp;dls3logs&amp;" --loco "&amp;B141&amp;" --day "&amp;TEXT(F141,"YYYY-MM-DD")</f>
        <v>start /low /b %USERPROFILE%\Documents\GitHub\eaglep3\Utilities\DownloadLogsFromS3.py --loco 4045 --day 2017-03-26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"%USERPROFILE%\AppData\Local\Temp\OnboardLogs"\RTDC4045\*4045*20170327* | grep -SE "(Enforcement Action)|(\[TIMEOUT)|(CHR.+\|PRM\|1\|D.+(SWITCH|SIGNAL).+UNKNOWN)" - &gt;&gt; 2017-03-26-UncaughtWiMAX.txt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792</v>
      </c>
      <c r="B142" s="7">
        <v>4002</v>
      </c>
      <c r="C142" s="21" t="s">
        <v>219</v>
      </c>
      <c r="D142" s="21" t="s">
        <v>837</v>
      </c>
      <c r="E142" s="13">
        <v>42820.87462962963</v>
      </c>
      <c r="F142" s="13">
        <v>42820.875937500001</v>
      </c>
      <c r="G142" s="7">
        <v>1</v>
      </c>
      <c r="H142" s="21" t="s">
        <v>409</v>
      </c>
      <c r="I142" s="13">
        <v>42820.90185185185</v>
      </c>
      <c r="J142" s="7">
        <v>0</v>
      </c>
      <c r="K142" s="98" t="str">
        <f t="shared" si="48"/>
        <v>4001/4002</v>
      </c>
      <c r="L142" s="21" t="str">
        <f>VLOOKUP(A142,'Trips&amp;Operators'!$C$1:$G$99999,5,FALSE)</f>
        <v>CHANDLER KELVIN</v>
      </c>
      <c r="M142" s="6">
        <f t="shared" si="49"/>
        <v>2.5914351848769002E-2</v>
      </c>
      <c r="N142" s="7">
        <f t="shared" si="46"/>
        <v>37.316666662227362</v>
      </c>
      <c r="O142" s="7"/>
      <c r="P142" s="7"/>
      <c r="Q142" s="22"/>
      <c r="R142" s="22"/>
      <c r="S142" s="31">
        <f t="shared" si="47"/>
        <v>1</v>
      </c>
      <c r="T142" s="46" t="str">
        <f t="shared" si="50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1"/>
        <v>https://d0f6bd738d7f1b3e5a7ca70fe4ff75f0.us-east-1.aws.found.io/app/kibana#/discover/Steve-Slow-Train-Analysis-(2080s-and-2083s)?_g=(refreshInterval:(display:Off,pause:!f,section:0,value:0),time:(from:'2017-03-26T19:59:28-0600',mode:absolute,to:'2017-03-26T22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87" t="str">
        <f t="shared" si="52"/>
        <v>N</v>
      </c>
      <c r="X142" s="187">
        <f t="shared" si="45"/>
        <v>1</v>
      </c>
      <c r="Y142" s="62">
        <f t="shared" si="53"/>
        <v>4.6899999999999997E-2</v>
      </c>
      <c r="Z142" s="62">
        <f t="shared" si="54"/>
        <v>23.3278</v>
      </c>
      <c r="AA142" s="62">
        <f t="shared" si="55"/>
        <v>23.280899999999999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6"/>
        <v>0229-26</v>
      </c>
      <c r="AE142" s="85" t="str">
        <f t="shared" si="5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42" s="82" t="str">
        <f t="shared" si="58"/>
        <v>"C:\Program Files (x86)\AstroGrep\AstroGrep.exe" /e /r /s /spath="%USERPROFILE%\AppData\Local\Temp\OnboardLogs" /stypes="app*4002*20170327*" /stext=" 03:.+((SYSTEM_STATE.+slice.+state.+changed )|(ment ac)|(multiple cpu faults)|(system.+state.+changed )|(\[timeout)|(PRM\|1\|D)|(kpr)|(kdp)|(\|lc)|(penalty))"</v>
      </c>
      <c r="AG142" s="1" t="str">
        <f t="shared" si="59"/>
        <v>EC</v>
      </c>
      <c r="AH142" s="86" t="str">
        <f t="shared" si="60"/>
        <v>"%USERPROFILE%\Documents\GitHub\eaglep3\Utilities\RefineRTDCRunTimes.py" --tripid 229-26 --locoid 4002 --swversion DE.1.0.9.0 --startMP 204:469 --initTime 2017-03-26T20:59:28 --startdatetime 2017-03-26T21:01:21 --delay 1 --endMP 204:233278 --enddatetime 2017-03-26T21:38:40 --enforcementcount 0 &gt;&gt;C:\Users\stu\Documents\GitHub\eaglep3-reporting\EC\2017-03-26-refined-times.txt</v>
      </c>
      <c r="AI142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{"issue":{"subject":"","project_id":79,"tracker_id":40,"status_id":1,"priority_id":2,"assigned_to_id":23,"start_date":"2017-03-26","description":"","custom_fields":[{"id":1,"name":"Subdivision","value":"EC"},{"id":4,"name":"Milepost","value":"23.3278"},{"id":17,"name":"Train ID","value":"229-26"},{"id":16,"name":"Locomotive ID","value":"4002"},{"id":130,"name":"Impact","value":""},{"id":150,"name":"Time of Event (Mountain Time)","value":"21:38:40"},{"id":151,"name":"Denver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2"/>
        <v>start /low /b %USERPROFILE%\Documents\GitHub\eaglep3\Utilities\DownloadLogsFromS3.py --loco 4002 --day 2017-03-26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"%USERPROFILE%\AppData\Local\Temp\OnboardLogs"\RTDC4002\*4002*20170327* | grep -SE "(Enforcement Action)|(\[TIMEOUT)|(CHR.+\|PRM\|1\|D.+(SWITCH|SIGNAL).+UNKNOWN)" - &gt;&gt; 2017-03-26-UncaughtWiMAX.txt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802</v>
      </c>
      <c r="B143" s="7">
        <v>4001</v>
      </c>
      <c r="C143" s="21" t="s">
        <v>219</v>
      </c>
      <c r="D143" s="21" t="s">
        <v>473</v>
      </c>
      <c r="E143" s="13">
        <v>42820.911851851852</v>
      </c>
      <c r="F143" s="13">
        <v>42820.914178240739</v>
      </c>
      <c r="G143" s="7">
        <v>0</v>
      </c>
      <c r="H143" s="21" t="s">
        <v>214</v>
      </c>
      <c r="I143" s="13">
        <v>42820.94222222222</v>
      </c>
      <c r="J143" s="7">
        <v>0</v>
      </c>
      <c r="K143" s="98" t="str">
        <f t="shared" si="48"/>
        <v>4001/4002</v>
      </c>
      <c r="L143" s="21" t="str">
        <f>VLOOKUP(A143,'Trips&amp;Operators'!$C$1:$G$99999,5,FALSE)</f>
        <v>CHANDLER KELVIN</v>
      </c>
      <c r="M143" s="6">
        <f t="shared" si="49"/>
        <v>2.8043981481459923E-2</v>
      </c>
      <c r="N143" s="7">
        <f t="shared" si="46"/>
        <v>40.383333333302289</v>
      </c>
      <c r="O143" s="7"/>
      <c r="P143" s="7"/>
      <c r="Q143" s="22"/>
      <c r="R143" s="22"/>
      <c r="S143" s="31">
        <f t="shared" si="47"/>
        <v>1</v>
      </c>
      <c r="T143" s="46" t="str">
        <f t="shared" si="50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1"/>
        <v>https://d0f6bd738d7f1b3e5a7ca70fe4ff75f0.us-east-1.aws.found.io/app/kibana#/discover/Steve-Slow-Train-Analysis-(2080s-and-2083s)?_g=(refreshInterval:(display:Off,pause:!f,section:0,value:0),time:(from:'2017-03-26T20:53:04-0600',mode:absolute,to:'2017-03-26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87" t="str">
        <f t="shared" si="52"/>
        <v>N</v>
      </c>
      <c r="X143" s="187">
        <f t="shared" ref="X143:X156" si="63">VALUE(LEFT(AD143,4))-VALUE(LEFT(AD142,4))</f>
        <v>1</v>
      </c>
      <c r="Y143" s="62">
        <f t="shared" si="53"/>
        <v>23.297699999999999</v>
      </c>
      <c r="Z143" s="62">
        <f t="shared" si="54"/>
        <v>1.5599999999999999E-2</v>
      </c>
      <c r="AA143" s="62">
        <f t="shared" si="55"/>
        <v>23.2821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6"/>
        <v>0230-26</v>
      </c>
      <c r="AE143" s="85" t="str">
        <f t="shared" si="5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43" s="82" t="str">
        <f t="shared" si="58"/>
        <v>"C:\Program Files (x86)\AstroGrep\AstroGrep.exe" /e /r /s /spath="%USERPROFILE%\AppData\Local\Temp\OnboardLogs" /stypes="app*4001*20170327*" /stext=" 04:.+((SYSTEM_STATE.+slice.+state.+changed )|(ment ac)|(multiple cpu faults)|(system.+state.+changed )|(\[timeout)|(PRM\|1\|D)|(kpr)|(kdp)|(\|lc)|(penalty))"</v>
      </c>
      <c r="AG143" s="1" t="str">
        <f t="shared" si="59"/>
        <v>EC</v>
      </c>
      <c r="AH143" s="86" t="str">
        <f t="shared" si="60"/>
        <v>"%USERPROFILE%\Documents\GitHub\eaglep3\Utilities\RefineRTDCRunTimes.py" --tripid 230-26 --locoid 4001 --swversion DE.1.0.9.0 --startMP 204:232977 --initTime 2017-03-26T21:53:04 --startdatetime 2017-03-26T21:56:25 --delay 0 --endMP 204:156 --enddatetime 2017-03-26T22:36:48 --enforcementcount 0 &gt;&gt;C:\Users\stu\Documents\GitHub\eaglep3-reporting\EC\2017-03-26-refined-times.txt</v>
      </c>
      <c r="AI143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{"issue":{"subject":"","project_id":79,"tracker_id":40,"status_id":1,"priority_id":2,"assigned_to_id":23,"start_date":"2017-03-26","description":"","custom_fields":[{"id":1,"name":"Subdivision","value":"EC"},{"id":4,"name":"Milepost","value":"0.0156"},{"id":17,"name":"Train ID","value":"230-26"},{"id":16,"name":"Locomotive ID","value":"4001"},{"id":130,"name":"Impact","value":""},{"id":150,"name":"Time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2"/>
        <v>start /low /b %USERPROFILE%\Documents\GitHub\eaglep3\Utilities\DownloadLogsFromS3.py --loco 4001 --day 2017-03-26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"%USERPROFILE%\AppData\Local\Temp\OnboardLogs"\RTDC4001\*4001*20170327* | grep -SE "(Enforcement Action)|(\[TIMEOUT)|(CHR.+\|PRM\|1\|D.+(SWITCH|SIGNAL).+UNKNOWN)" - &gt;&gt; 2017-03-26-UncaughtWiMAX.txt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793</v>
      </c>
      <c r="B144" s="7">
        <v>4027</v>
      </c>
      <c r="C144" s="21" t="s">
        <v>219</v>
      </c>
      <c r="D144" s="21" t="s">
        <v>442</v>
      </c>
      <c r="E144" s="13">
        <v>42820.883229166669</v>
      </c>
      <c r="F144" s="13">
        <v>42820.895983796298</v>
      </c>
      <c r="G144" s="7">
        <v>1</v>
      </c>
      <c r="H144" s="21" t="s">
        <v>829</v>
      </c>
      <c r="I144" s="13">
        <v>42820.92050925926</v>
      </c>
      <c r="J144" s="7">
        <v>0</v>
      </c>
      <c r="K144" s="98" t="str">
        <f t="shared" si="48"/>
        <v>4027/4028</v>
      </c>
      <c r="L144" s="21" t="str">
        <f>VLOOKUP(A144,'Trips&amp;Operators'!$C$1:$G$99999,5,FALSE)</f>
        <v>NEWELL JAMES</v>
      </c>
      <c r="M144" s="6">
        <f t="shared" si="49"/>
        <v>2.4525462962628808E-2</v>
      </c>
      <c r="N144" s="7">
        <f t="shared" si="46"/>
        <v>35.316666666185483</v>
      </c>
      <c r="O144" s="7"/>
      <c r="P144" s="7"/>
      <c r="Q144" s="22"/>
      <c r="R144" s="22"/>
      <c r="S144" s="31">
        <f t="shared" si="47"/>
        <v>1</v>
      </c>
      <c r="T144" s="46" t="str">
        <f t="shared" si="50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1"/>
        <v>https://d0f6bd738d7f1b3e5a7ca70fe4ff75f0.us-east-1.aws.found.io/app/kibana#/discover/Steve-Slow-Train-Analysis-(2080s-and-2083s)?_g=(refreshInterval:(display:Off,pause:!f,section:0,value:0),time:(from:'2017-03-26T20:11:51-0600',mode:absolute,to:'2017-03-26T23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87" t="str">
        <f t="shared" si="52"/>
        <v>N</v>
      </c>
      <c r="X144" s="187">
        <f t="shared" si="63"/>
        <v>1</v>
      </c>
      <c r="Y144" s="62">
        <f t="shared" si="53"/>
        <v>4.4900000000000002E-2</v>
      </c>
      <c r="Z144" s="62">
        <f t="shared" si="54"/>
        <v>23.331499999999998</v>
      </c>
      <c r="AA144" s="62">
        <f t="shared" si="55"/>
        <v>23.2866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6"/>
        <v>0231-26</v>
      </c>
      <c r="AE144" s="85" t="str">
        <f t="shared" si="5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44" s="82" t="str">
        <f t="shared" si="58"/>
        <v>"C:\Program Files (x86)\AstroGrep\AstroGrep.exe" /e /r /s /spath="%USERPROFILE%\AppData\Local\Temp\OnboardLogs" /stypes="app*4027*20170327*" /stext=" 04:.+((SYSTEM_STATE.+slice.+state.+changed )|(ment ac)|(multiple cpu faults)|(system.+state.+changed )|(\[timeout)|(PRM\|1\|D)|(kpr)|(kdp)|(\|lc)|(penalty))"</v>
      </c>
      <c r="AG144" s="1" t="str">
        <f t="shared" si="59"/>
        <v>EC</v>
      </c>
      <c r="AH144" s="86" t="str">
        <f t="shared" si="60"/>
        <v>"%USERPROFILE%\Documents\GitHub\eaglep3\Utilities\RefineRTDCRunTimes.py" --tripid 231-26 --locoid 4027 --swversion DE.1.0.9.0 --startMP 204:449 --initTime 2017-03-26T21:11:51 --startdatetime 2017-03-26T21:30:13 --delay 1 --endMP 204:233315 --enddatetime 2017-03-26T22:05:32 --enforcementcount 0 &gt;&gt;C:\Users\stu\Documents\GitHub\eaglep3-reporting\EC\2017-03-26-refined-times.txt</v>
      </c>
      <c r="AI144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{"issue":{"subject":"","project_id":79,"tracker_id":40,"status_id":1,"priority_id":2,"assigned_to_id":23,"start_date":"2017-03-26","description":"","custom_fields":[{"id":1,"name":"Subdivision","value":"EC"},{"id":4,"name":"Milepost","value":"23.3315"},{"id":17,"name":"Train ID","value":"231-26"},{"id":16,"name":"Locomotive ID","value":"4027"},{"id":130,"name":"Impact","value":""},{"id":150,"name":"Time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2"/>
        <v>start /low /b %USERPROFILE%\Documents\GitHub\eaglep3\Utilities\DownloadLogsFromS3.py --loco 4027 --day 2017-03-26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"%USERPROFILE%\AppData\Local\Temp\OnboardLogs"\RTDC4027\*4027*20170327* | grep -SE "(Enforcement Action)|(\[TIMEOUT)|(CHR.+\|PRM\|1\|D.+(SWITCH|SIGNAL).+UNKNOWN)" - &gt;&gt; 2017-03-26-UncaughtWiMAX.txt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804</v>
      </c>
      <c r="B145" s="7">
        <v>4028</v>
      </c>
      <c r="C145" s="21" t="s">
        <v>219</v>
      </c>
      <c r="D145" s="21" t="s">
        <v>445</v>
      </c>
      <c r="E145" s="13">
        <v>42820.932060185187</v>
      </c>
      <c r="F145" s="13">
        <v>42820.934976851851</v>
      </c>
      <c r="G145" s="7">
        <v>1</v>
      </c>
      <c r="H145" s="21" t="s">
        <v>184</v>
      </c>
      <c r="I145" s="13">
        <v>42820.962199074071</v>
      </c>
      <c r="J145" s="7">
        <v>0</v>
      </c>
      <c r="K145" s="98" t="str">
        <f t="shared" si="48"/>
        <v>4027/4028</v>
      </c>
      <c r="L145" s="21" t="str">
        <f>VLOOKUP(A145,'Trips&amp;Operators'!$C$1:$G$99999,5,FALSE)</f>
        <v>NEWELL JAMES</v>
      </c>
      <c r="M145" s="6">
        <f t="shared" si="49"/>
        <v>2.7222222219279502E-2</v>
      </c>
      <c r="N145" s="7">
        <f t="shared" si="46"/>
        <v>39.199999995762482</v>
      </c>
      <c r="O145" s="7"/>
      <c r="P145" s="7"/>
      <c r="Q145" s="22"/>
      <c r="R145" s="22"/>
      <c r="S145" s="31">
        <f t="shared" si="47"/>
        <v>1</v>
      </c>
      <c r="T145" s="46" t="str">
        <f t="shared" si="50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1"/>
        <v>https://d0f6bd738d7f1b3e5a7ca70fe4ff75f0.us-east-1.aws.found.io/app/kibana#/discover/Steve-Slow-Train-Analysis-(2080s-and-2083s)?_g=(refreshInterval:(display:Off,pause:!f,section:0,value:0),time:(from:'2017-03-26T21:22:10-0600',mode:absolute,to:'2017-03-27T00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87" t="str">
        <f t="shared" si="52"/>
        <v>N</v>
      </c>
      <c r="X145" s="187">
        <f t="shared" si="63"/>
        <v>1</v>
      </c>
      <c r="Y145" s="62">
        <f t="shared" si="53"/>
        <v>23.299299999999999</v>
      </c>
      <c r="Z145" s="62">
        <f t="shared" si="54"/>
        <v>1.49E-2</v>
      </c>
      <c r="AA145" s="62">
        <f t="shared" si="55"/>
        <v>23.284399999999998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6"/>
        <v>0232-26</v>
      </c>
      <c r="AE145" s="85" t="str">
        <f t="shared" si="57"/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AF145" s="82" t="str">
        <f t="shared" si="58"/>
        <v>"C:\Program Files (x86)\AstroGrep\AstroGrep.exe" /e /r /s /spath="%USERPROFILE%\AppData\Local\Temp\OnboardLogs" /stypes="app*4028*20170327*" /stext=" 05:.+((SYSTEM_STATE.+slice.+state.+changed )|(ment ac)|(multiple cpu faults)|(system.+state.+changed )|(\[timeout)|(PRM\|1\|D)|(kpr)|(kdp)|(\|lc)|(penalty))"</v>
      </c>
      <c r="AG145" s="1" t="str">
        <f t="shared" si="59"/>
        <v>EC</v>
      </c>
      <c r="AH145" s="86" t="str">
        <f t="shared" si="60"/>
        <v>"%USERPROFILE%\Documents\GitHub\eaglep3\Utilities\RefineRTDCRunTimes.py" --tripid 232-26 --locoid 4028 --swversion DE.1.0.9.0 --startMP 204:232993 --initTime 2017-03-26T22:22:10 --startdatetime 2017-03-26T22:26:22 --delay 1 --endMP 204:149 --enddatetime 2017-03-26T23:05:34 --enforcementcount 0 &gt;&gt;C:\Users\stu\Documents\GitHub\eaglep3-reporting\EC\2017-03-26-refined-times.txt</v>
      </c>
      <c r="AI145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{"issue":{"subject":"","project_id":79,"tracker_id":40,"status_id":1,"priority_id":2,"assigned_to_id":23,"start_date":"2017-03-26","description":"","custom_fields":[{"id":1,"name":"Subdivision","value":"EC"},{"id":4,"name":"Milepost","value":"0.0149"},{"id":17,"name":"Train ID","value":"232-26"},{"id":16,"name":"Locomotive ID","value":"4028"},{"id":130,"name":"Impact","value":""},{"id":150,"name":"Time of Event (Mountain Time)","value":"23:05:34"},{"id":151,"name":"Denver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2"/>
        <v>start /low /b %USERPROFILE%\Documents\GitHub\eaglep3\Utilities\DownloadLogsFromS3.py --loco 4028 --day 2017-03-26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"%USERPROFILE%\AppData\Local\Temp\OnboardLogs"\RTDC4028\*4028*20170327* | grep -SE "(Enforcement Action)|(\[TIMEOUT)|(CHR.+\|PRM\|1\|D.+(SWITCH|SIGNAL).+UNKNOWN)" - &gt;&gt; 2017-03-26-UncaughtWiMAX.txt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800</v>
      </c>
      <c r="B146" s="7">
        <v>4031</v>
      </c>
      <c r="C146" s="21" t="s">
        <v>219</v>
      </c>
      <c r="D146" s="21" t="s">
        <v>209</v>
      </c>
      <c r="E146" s="13">
        <v>42820.905497685184</v>
      </c>
      <c r="F146" s="13">
        <v>42820.916875000003</v>
      </c>
      <c r="G146" s="7">
        <v>1</v>
      </c>
      <c r="H146" s="21" t="s">
        <v>941</v>
      </c>
      <c r="I146" s="13">
        <v>42820.941701388889</v>
      </c>
      <c r="J146" s="7">
        <v>0</v>
      </c>
      <c r="K146" s="98" t="str">
        <f t="shared" si="48"/>
        <v>4031/4032</v>
      </c>
      <c r="L146" s="21" t="str">
        <f>VLOOKUP(A146,'Trips&amp;Operators'!$C$1:$G$99999,5,FALSE)</f>
        <v>SMITH MICHAEL</v>
      </c>
      <c r="M146" s="6">
        <f t="shared" si="49"/>
        <v>2.4826388886140194E-2</v>
      </c>
      <c r="N146" s="7">
        <f t="shared" si="46"/>
        <v>35.749999996041879</v>
      </c>
      <c r="O146" s="7"/>
      <c r="P146" s="7"/>
      <c r="Q146" s="22"/>
      <c r="R146" s="22"/>
      <c r="S146" s="31">
        <f t="shared" si="47"/>
        <v>1</v>
      </c>
      <c r="T146" s="46" t="str">
        <f t="shared" si="50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1"/>
        <v>https://d0f6bd738d7f1b3e5a7ca70fe4ff75f0.us-east-1.aws.found.io/app/kibana#/discover/Steve-Slow-Train-Analysis-(2080s-and-2083s)?_g=(refreshInterval:(display:Off,pause:!f,section:0,value:0),time:(from:'2017-03-26T20:43:55-0600',mode:absolute,to:'2017-03-26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87" t="str">
        <f t="shared" si="52"/>
        <v>N</v>
      </c>
      <c r="X146" s="187">
        <f t="shared" si="63"/>
        <v>1</v>
      </c>
      <c r="Y146" s="62">
        <f t="shared" si="53"/>
        <v>4.5999999999999999E-2</v>
      </c>
      <c r="Z146" s="62">
        <f t="shared" si="54"/>
        <v>23.337800000000001</v>
      </c>
      <c r="AA146" s="62">
        <f t="shared" si="55"/>
        <v>23.291800000000002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6"/>
        <v>0233-26</v>
      </c>
      <c r="AE146" s="85" t="str">
        <f t="shared" si="57"/>
        <v>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 &amp; 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</v>
      </c>
      <c r="AF146" s="82" t="str">
        <f t="shared" si="58"/>
        <v>"C:\Program Files (x86)\AstroGrep\AstroGrep.exe" /e /r /s /spath="%USERPROFILE%\AppData\Local\Temp\OnboardLogs" /stypes="app*4031*20170327*" /stext=" 04:.+((SYSTEM_STATE.+slice.+state.+changed )|(ment ac)|(multiple cpu faults)|(system.+state.+changed )|(\[timeout)|(PRM\|1\|D)|(kpr)|(kdp)|(\|lc)|(penalty))"</v>
      </c>
      <c r="AG146" s="1" t="str">
        <f t="shared" si="59"/>
        <v>EC</v>
      </c>
      <c r="AH146" s="86" t="str">
        <f t="shared" si="60"/>
        <v>"%USERPROFILE%\Documents\GitHub\eaglep3\Utilities\RefineRTDCRunTimes.py" --tripid 233-26 --locoid 4031 --swversion DE.1.0.9.0 --startMP 204:460 --initTime 2017-03-26T21:43:55 --startdatetime 2017-03-26T22:00:18 --delay 1 --endMP 204:233378 --enddatetime 2017-03-26T22:36:03 --enforcementcount 0 &gt;&gt;C:\Users\stu\Documents\GitHub\eaglep3-reporting\EC\2017-03-26-refined-times.txt</v>
      </c>
      <c r="AI146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{"issue":{"subject":"","project_id":79,"tracker_id":40,"status_id":1,"priority_id":2,"assigned_to_id":23,"start_date":"2017-03-26","description":"","custom_fields":[{"id":1,"name":"Subdivision","value":"EC"},{"id":4,"name":"Milepost","value":"23.3378"},{"id":17,"name":"Train ID","value":"233-26"},{"id":16,"name":"Locomotive ID","value":"4031"},{"id":130,"name":"Impact","value":""},{"id":150,"name":"Time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2"/>
        <v>start /low /b %USERPROFILE%\Documents\GitHub\eaglep3\Utilities\DownloadLogsFromS3.py --loco 4031 --day 2017-03-26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"%USERPROFILE%\AppData\Local\Temp\OnboardLogs"\RTDC4031\*4031*20170327* | grep -SE "(Enforcement Action)|(\[TIMEOUT)|(CHR.+\|PRM\|1\|D.+(SWITCH|SIGNAL).+UNKNOWN)" - &gt;&gt; 2017-03-26-UncaughtWiMAX.txt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806</v>
      </c>
      <c r="B147" s="7">
        <v>4032</v>
      </c>
      <c r="C147" s="21" t="s">
        <v>219</v>
      </c>
      <c r="D147" s="21" t="s">
        <v>924</v>
      </c>
      <c r="E147" s="13">
        <v>42820.943981481483</v>
      </c>
      <c r="F147" s="13">
        <v>42820.95579861111</v>
      </c>
      <c r="G147" s="7">
        <v>1</v>
      </c>
      <c r="H147" s="21" t="s">
        <v>215</v>
      </c>
      <c r="I147" s="13">
        <v>42820.982916666668</v>
      </c>
      <c r="J147" s="7">
        <v>0</v>
      </c>
      <c r="K147" s="98" t="str">
        <f t="shared" si="48"/>
        <v>4031/4032</v>
      </c>
      <c r="L147" s="21" t="str">
        <f>VLOOKUP(A147,'Trips&amp;Operators'!$C$1:$G$99999,5,FALSE)</f>
        <v>SMITH MICHAEL</v>
      </c>
      <c r="M147" s="6">
        <f t="shared" si="49"/>
        <v>2.7118055557366461E-2</v>
      </c>
      <c r="N147" s="7">
        <f t="shared" si="46"/>
        <v>39.050000002607703</v>
      </c>
      <c r="O147" s="7"/>
      <c r="P147" s="7"/>
      <c r="Q147" s="22"/>
      <c r="R147" s="22"/>
      <c r="S147" s="31">
        <f t="shared" si="47"/>
        <v>1</v>
      </c>
      <c r="T147" s="46" t="str">
        <f t="shared" si="50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1"/>
        <v>https://d0f6bd738d7f1b3e5a7ca70fe4ff75f0.us-east-1.aws.found.io/app/kibana#/discover/Steve-Slow-Train-Analysis-(2080s-and-2083s)?_g=(refreshInterval:(display:Off,pause:!f,section:0,value:0),time:(from:'2017-03-26T21:39:20-0600',mode:absolute,to:'2017-03-27T00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7" t="str">
        <f t="shared" si="52"/>
        <v>N</v>
      </c>
      <c r="X147" s="187">
        <f t="shared" si="63"/>
        <v>1</v>
      </c>
      <c r="Y147" s="62">
        <f t="shared" si="53"/>
        <v>23.307600000000001</v>
      </c>
      <c r="Z147" s="62">
        <f t="shared" si="54"/>
        <v>1.47E-2</v>
      </c>
      <c r="AA147" s="62">
        <f t="shared" si="55"/>
        <v>23.292899999999999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6"/>
        <v>0234-26</v>
      </c>
      <c r="AE147" s="85" t="str">
        <f t="shared" si="57"/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AF147" s="82" t="str">
        <f t="shared" si="58"/>
        <v>"C:\Program Files (x86)\AstroGrep\AstroGrep.exe" /e /r /s /spath="%USERPROFILE%\AppData\Local\Temp\OnboardLogs" /stypes="app*4032*20170327*" /stext=" 05:.+((SYSTEM_STATE.+slice.+state.+changed )|(ment ac)|(multiple cpu faults)|(system.+state.+changed )|(\[timeout)|(PRM\|1\|D)|(kpr)|(kdp)|(\|lc)|(penalty))"</v>
      </c>
      <c r="AG147" s="1" t="str">
        <f t="shared" si="59"/>
        <v>EC</v>
      </c>
      <c r="AH147" s="86" t="str">
        <f t="shared" si="60"/>
        <v>"%USERPROFILE%\Documents\GitHub\eaglep3\Utilities\RefineRTDCRunTimes.py" --tripid 234-26 --locoid 4032 --swversion DE.1.0.9.0 --startMP 204:233076 --initTime 2017-03-26T22:39:20 --startdatetime 2017-03-26T22:56:21 --delay 1 --endMP 204:147 --enddatetime 2017-03-26T23:35:24 --enforcementcount 0 &gt;&gt;C:\Users\stu\Documents\GitHub\eaglep3-reporting\EC\2017-03-26-refined-times.txt</v>
      </c>
      <c r="AI147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{"issue":{"subject":"","project_id":79,"tracker_id":40,"status_id":1,"priority_id":2,"assigned_to_id":23,"start_date":"2017-03-26","description":"","custom_fields":[{"id":1,"name":"Subdivision","value":"EC"},{"id":4,"name":"Milepost","value":"0.0147"},{"id":17,"name":"Train ID","value":"234-26"},{"id":16,"name":"Locomotive ID","value":"4032"},{"id":130,"name":"Impact","value":""},{"id":150,"name":"Time of Event (Mountain Time)","value":"23:35:24"},{"id":151,"name":"Denver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2"/>
        <v>start /low /b %USERPROFILE%\Documents\GitHub\eaglep3\Utilities\DownloadLogsFromS3.py --loco 4032 --day 2017-03-26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"%USERPROFILE%\AppData\Local\Temp\OnboardLogs"\RTDC4032\*4032*20170327* | grep -SE "(Enforcement Action)|(\[TIMEOUT)|(CHR.+\|PRM\|1\|D.+(SWITCH|SIGNAL).+UNKNOWN)" - &gt;&gt; 2017-03-26-UncaughtWiMAX.txt</v>
      </c>
    </row>
    <row r="148" spans="1:91" s="20" customFormat="1" x14ac:dyDescent="0.25">
      <c r="A148" s="33" t="s">
        <v>624</v>
      </c>
      <c r="B148" s="7">
        <v>4046</v>
      </c>
      <c r="C148" s="21" t="s">
        <v>219</v>
      </c>
      <c r="D148" s="21" t="s">
        <v>209</v>
      </c>
      <c r="E148" s="13">
        <v>42820.935879629629</v>
      </c>
      <c r="F148" s="13">
        <v>42820.937835648147</v>
      </c>
      <c r="G148" s="7">
        <v>1</v>
      </c>
      <c r="H148" s="21" t="s">
        <v>942</v>
      </c>
      <c r="I148" s="13">
        <v>42820.964363425926</v>
      </c>
      <c r="J148" s="7">
        <v>0</v>
      </c>
      <c r="K148" s="98" t="str">
        <f t="shared" si="48"/>
        <v>4045/4046</v>
      </c>
      <c r="L148" s="21" t="str">
        <f>VLOOKUP(A148,'Trips&amp;Operators'!$C$1:$G$99999,5,FALSE)</f>
        <v>STAMBAUGH JAMES</v>
      </c>
      <c r="M148" s="6">
        <f t="shared" si="49"/>
        <v>2.6527777779847383E-2</v>
      </c>
      <c r="N148" s="7">
        <f t="shared" si="46"/>
        <v>38.200000002980232</v>
      </c>
      <c r="O148" s="7"/>
      <c r="P148" s="7"/>
      <c r="Q148" s="22"/>
      <c r="R148" s="22"/>
      <c r="S148" s="31">
        <f t="shared" si="47"/>
        <v>1</v>
      </c>
      <c r="T148" s="46" t="str">
        <f t="shared" si="50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1"/>
        <v>https://d0f6bd738d7f1b3e5a7ca70fe4ff75f0.us-east-1.aws.found.io/app/kibana#/discover/Steve-Slow-Train-Analysis-(2080s-and-2083s)?_g=(refreshInterval:(display:Off,pause:!f,section:0,value:0),time:(from:'2017-03-26T21:27:40-0600',mode:absolute,to:'2017-03-27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7" t="str">
        <f t="shared" si="52"/>
        <v>N</v>
      </c>
      <c r="X148" s="187">
        <f t="shared" si="63"/>
        <v>1</v>
      </c>
      <c r="Y148" s="62">
        <f t="shared" si="53"/>
        <v>4.5999999999999999E-2</v>
      </c>
      <c r="Z148" s="62">
        <f t="shared" si="54"/>
        <v>23.3383</v>
      </c>
      <c r="AA148" s="62">
        <f t="shared" si="55"/>
        <v>23.292300000000001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6"/>
        <v>0235-26</v>
      </c>
      <c r="AE148" s="85" t="str">
        <f t="shared" si="57"/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AF148" s="82" t="str">
        <f t="shared" si="58"/>
        <v>"C:\Program Files (x86)\AstroGrep\AstroGrep.exe" /e /r /s /spath="%USERPROFILE%\AppData\Local\Temp\OnboardLogs" /stypes="app*4046*20170327*" /stext=" 05:.+((SYSTEM_STATE.+slice.+state.+changed )|(ment ac)|(multiple cpu faults)|(system.+state.+changed )|(\[timeout)|(PRM\|1\|D)|(kpr)|(kdp)|(\|lc)|(penalty))"</v>
      </c>
      <c r="AG148" s="1" t="str">
        <f t="shared" si="59"/>
        <v>EC</v>
      </c>
      <c r="AH148" s="86" t="str">
        <f t="shared" si="60"/>
        <v>"%USERPROFILE%\Documents\GitHub\eaglep3\Utilities\RefineRTDCRunTimes.py" --tripid 235-26 --locoid 4046 --swversion DE.1.0.9.0 --startMP 204:460 --initTime 2017-03-26T22:27:40 --startdatetime 2017-03-26T22:30:29 --delay 1 --endMP 204:233383 --enddatetime 2017-03-26T23:08:41 --enforcementcount 0 &gt;&gt;C:\Users\stu\Documents\GitHub\eaglep3-reporting\EC\2017-03-26-refined-times.txt</v>
      </c>
      <c r="AI148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{"issue":{"subject":"","project_id":79,"tracker_id":40,"status_id":1,"priority_id":2,"assigned_to_id":23,"start_date":"2017-03-26","description":"","custom_fields":[{"id":1,"name":"Subdivision","value":"EC"},{"id":4,"name":"Milepost","value":"23.3383"},{"id":17,"name":"Train ID","value":"235-26"},{"id":16,"name":"Locomotive ID","value":"4046"},{"id":130,"name":"Impact","value":""},{"id":150,"name":"Time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2"/>
        <v>start /low /b %USERPROFILE%\Documents\GitHub\eaglep3\Utilities\DownloadLogsFromS3.py --loco 4046 --day 2017-03-26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"%USERPROFILE%\AppData\Local\Temp\OnboardLogs"\RTDC4046\*4046*20170327* | grep -SE "(Enforcement Action)|(\[TIMEOUT)|(CHR.+\|PRM\|1\|D.+(SWITCH|SIGNAL).+UNKNOWN)" - &gt;&gt; 2017-03-26-UncaughtWiMAX.txt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809</v>
      </c>
      <c r="B149" s="7">
        <v>4045</v>
      </c>
      <c r="C149" s="21" t="s">
        <v>219</v>
      </c>
      <c r="D149" s="21" t="s">
        <v>943</v>
      </c>
      <c r="E149" s="13">
        <v>42820.974953703706</v>
      </c>
      <c r="F149" s="13">
        <v>42820.976689814815</v>
      </c>
      <c r="G149" s="7">
        <v>0</v>
      </c>
      <c r="H149" s="21" t="s">
        <v>395</v>
      </c>
      <c r="I149" s="13">
        <v>42821.002881944441</v>
      </c>
      <c r="J149" s="7">
        <v>0</v>
      </c>
      <c r="K149" s="98" t="str">
        <f t="shared" si="48"/>
        <v>4045/4046</v>
      </c>
      <c r="L149" s="21" t="str">
        <f>VLOOKUP(A149,'Trips&amp;Operators'!$C$1:$G$99999,5,FALSE)</f>
        <v>STAMBAUGH JAMES</v>
      </c>
      <c r="M149" s="6">
        <f t="shared" si="49"/>
        <v>2.619212962599704E-2</v>
      </c>
      <c r="N149" s="7">
        <f t="shared" si="46"/>
        <v>37.716666661435738</v>
      </c>
      <c r="O149" s="7"/>
      <c r="P149" s="7"/>
      <c r="Q149" s="22"/>
      <c r="R149" s="22"/>
      <c r="S149" s="31">
        <f t="shared" si="47"/>
        <v>1</v>
      </c>
      <c r="T149" s="46" t="str">
        <f t="shared" si="50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1"/>
        <v>https://d0f6bd738d7f1b3e5a7ca70fe4ff75f0.us-east-1.aws.found.io/app/kibana#/discover/Steve-Slow-Train-Analysis-(2080s-and-2083s)?_g=(refreshInterval:(display:Off,pause:!f,section:0,value:0),time:(from:'2017-03-26T22:23:56-0600',mode:absolute,to:'2017-03-27T01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7" t="str">
        <f t="shared" si="52"/>
        <v>N</v>
      </c>
      <c r="X149" s="187">
        <f t="shared" si="63"/>
        <v>1</v>
      </c>
      <c r="Y149" s="62">
        <f t="shared" si="53"/>
        <v>23.307200000000002</v>
      </c>
      <c r="Z149" s="62">
        <f t="shared" si="54"/>
        <v>1.43E-2</v>
      </c>
      <c r="AA149" s="62">
        <f t="shared" si="55"/>
        <v>23.292900000000003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6"/>
        <v>0236-26</v>
      </c>
      <c r="AE149" s="85" t="str">
        <f t="shared" si="57"/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AF149" s="82" t="str">
        <f t="shared" si="58"/>
        <v>"C:\Program Files (x86)\AstroGrep\AstroGrep.exe" /e /r /s /spath="%USERPROFILE%\AppData\Local\Temp\OnboardLogs" /stypes="app*4045*20170327*" /stext=" 06:.+((SYSTEM_STATE.+slice.+state.+changed )|(ment ac)|(multiple cpu faults)|(system.+state.+changed )|(\[timeout)|(PRM\|1\|D)|(kpr)|(kdp)|(\|lc)|(penalty))"</v>
      </c>
      <c r="AG149" s="1" t="str">
        <f t="shared" si="59"/>
        <v>EC</v>
      </c>
      <c r="AH149" s="86" t="str">
        <f t="shared" si="60"/>
        <v>"%USERPROFILE%\Documents\GitHub\eaglep3\Utilities\RefineRTDCRunTimes.py" --tripid 236-26 --locoid 4045 --swversion DE.1.0.9.0 --startMP 204:233072 --initTime 2017-03-26T23:23:56 --startdatetime 2017-03-26T23:26:26 --delay 0 --endMP 204:143 --enddatetime 2017-03-27T00:04:09 --enforcementcount 0 &gt;&gt;C:\Users\stu\Documents\GitHub\eaglep3-reporting\EC\2017-03-26-refined-times.txt</v>
      </c>
      <c r="AI149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{"issue":{"subject":"","project_id":79,"tracker_id":40,"status_id":1,"priority_id":2,"assigned_to_id":23,"start_date":"2017-03-27","description":"","custom_fields":[{"id":1,"name":"Subdivision","value":"EC"},{"id":4,"name":"Milepost","value":"0.0143"},{"id":17,"name":"Train ID","value":"236-26"},{"id":16,"name":"Locomotive ID","value":"4045"},{"id":130,"name":"Impact","value":""},{"id":150,"name":"Time of Event (Mountain Time)","value":"00:04:09"},{"id":151,"name":"Denver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2"/>
        <v>start /low /b %USERPROFILE%\Documents\GitHub\eaglep3\Utilities\DownloadLogsFromS3.py --loco 4045 --day 2017-03-26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"%USERPROFILE%\AppData\Local\Temp\OnboardLogs"\RTDC4045\*4045*20170327* | grep -SE "(Enforcement Action)|(\[TIMEOUT)|(CHR.+\|PRM\|1\|D.+(SWITCH|SIGNAL).+UNKNOWN)" - &gt;&gt; 2017-03-26-UncaughtWiMAX.txt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807</v>
      </c>
      <c r="B150" s="7">
        <v>4002</v>
      </c>
      <c r="C150" s="21" t="s">
        <v>219</v>
      </c>
      <c r="D150" s="21" t="s">
        <v>908</v>
      </c>
      <c r="E150" s="13">
        <v>42820.95585648148</v>
      </c>
      <c r="F150" s="13">
        <v>42820.958657407406</v>
      </c>
      <c r="G150" s="7">
        <v>1</v>
      </c>
      <c r="H150" s="21" t="s">
        <v>538</v>
      </c>
      <c r="I150" s="13">
        <v>42820.985995370371</v>
      </c>
      <c r="J150" s="7">
        <v>0</v>
      </c>
      <c r="K150" s="98" t="str">
        <f t="shared" si="48"/>
        <v>4001/4002</v>
      </c>
      <c r="L150" s="21" t="str">
        <f>VLOOKUP(A150,'Trips&amp;Operators'!$C$1:$G$99999,5,FALSE)</f>
        <v>CHANDLER KELVIN</v>
      </c>
      <c r="M150" s="6">
        <f t="shared" si="49"/>
        <v>2.7337962965248153E-2</v>
      </c>
      <c r="N150" s="7">
        <f t="shared" si="46"/>
        <v>39.36666666995734</v>
      </c>
      <c r="O150" s="7"/>
      <c r="P150" s="7"/>
      <c r="Q150" s="22"/>
      <c r="R150" s="22"/>
      <c r="S150" s="31">
        <f t="shared" si="47"/>
        <v>1</v>
      </c>
      <c r="T150" s="46" t="str">
        <f t="shared" si="50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1"/>
        <v>https://d0f6bd738d7f1b3e5a7ca70fe4ff75f0.us-east-1.aws.found.io/app/kibana#/discover/Steve-Slow-Train-Analysis-(2080s-and-2083s)?_g=(refreshInterval:(display:Off,pause:!f,section:0,value:0),time:(from:'2017-03-26T21:56:26-0600',mode:absolute,to:'2017-03-27T00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87" t="str">
        <f t="shared" si="52"/>
        <v>N</v>
      </c>
      <c r="X150" s="187">
        <f t="shared" si="63"/>
        <v>1</v>
      </c>
      <c r="Y150" s="62">
        <f t="shared" si="53"/>
        <v>4.4200000000000003E-2</v>
      </c>
      <c r="Z150" s="62">
        <f t="shared" si="54"/>
        <v>23.329899999999999</v>
      </c>
      <c r="AA150" s="62">
        <f t="shared" si="55"/>
        <v>23.285699999999999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6"/>
        <v>0237-26</v>
      </c>
      <c r="AE150" s="85" t="str">
        <f t="shared" si="57"/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AF150" s="82" t="str">
        <f t="shared" si="58"/>
        <v>"C:\Program Files (x86)\AstroGrep\AstroGrep.exe" /e /r /s /spath="%USERPROFILE%\AppData\Local\Temp\OnboardLogs" /stypes="app*4002*20170327*" /stext=" 05:.+((SYSTEM_STATE.+slice.+state.+changed )|(ment ac)|(multiple cpu faults)|(system.+state.+changed )|(\[timeout)|(PRM\|1\|D)|(kpr)|(kdp)|(\|lc)|(penalty))"</v>
      </c>
      <c r="AG150" s="1" t="str">
        <f t="shared" si="59"/>
        <v>EC</v>
      </c>
      <c r="AH150" s="86" t="str">
        <f t="shared" si="60"/>
        <v>"%USERPROFILE%\Documents\GitHub\eaglep3\Utilities\RefineRTDCRunTimes.py" --tripid 237-26 --locoid 4002 --swversion DE.1.0.9.0 --startMP 204:442 --initTime 2017-03-26T22:56:26 --startdatetime 2017-03-26T23:00:28 --delay 1 --endMP 204:233299 --enddatetime 2017-03-26T23:39:50 --enforcementcount 0 &gt;&gt;C:\Users\stu\Documents\GitHub\eaglep3-reporting\EC\2017-03-26-refined-times.txt</v>
      </c>
      <c r="AI150" s="108" t="str">
        <f t="shared" si="61"/>
        <v>echo {"issue":{"subject":"","project_id":79,"tracker_id":40,"status_id":1,"priority_id":2,"assigned_to_id":23,"start_date":"2017-03-26","description":"","custom_fields":[{"id":1,"name":"Subdivision","value":"EC"},{"id":4,"name":"Milepost","value":"23.3299"},{"id":17,"name":"Train ID","value":"237-26"},{"id":16,"name":"Locomotive ID","value":"4002"},{"id":130,"name":"Impact","value":""},{"id":150,"name":"Time of Event (Mountain Time)","value":"23:39:50"},{"id":151,"name":"Denver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2"/>
        <v>start /low /b %USERPROFILE%\Documents\GitHub\eaglep3\Utilities\DownloadLogsFromS3.py --loco 4002 --day 2017-03-26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"%USERPROFILE%\AppData\Local\Temp\OnboardLogs"\RTDC4002\*4002*20170327* | grep -SE "(Enforcement Action)|(\[TIMEOUT)|(CHR.+\|PRM\|1\|D.+(SWITCH|SIGNAL).+UNKNOWN)" - &gt;&gt; 2017-03-26-UncaughtWiMAX.txt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811</v>
      </c>
      <c r="B151" s="7">
        <v>4001</v>
      </c>
      <c r="C151" s="21" t="s">
        <v>219</v>
      </c>
      <c r="D151" s="21" t="s">
        <v>944</v>
      </c>
      <c r="E151" s="13">
        <v>42820.996064814812</v>
      </c>
      <c r="F151" s="13">
        <v>42820.99759259259</v>
      </c>
      <c r="G151" s="7">
        <v>0</v>
      </c>
      <c r="H151" s="21" t="s">
        <v>410</v>
      </c>
      <c r="I151" s="13">
        <v>42821.025405092594</v>
      </c>
      <c r="J151" s="7">
        <v>0</v>
      </c>
      <c r="K151" s="98" t="str">
        <f t="shared" si="48"/>
        <v>4001/4002</v>
      </c>
      <c r="L151" s="21" t="str">
        <f>VLOOKUP(A151,'Trips&amp;Operators'!$C$1:$G$99999,5,FALSE)</f>
        <v>CHANDLER KELVIN</v>
      </c>
      <c r="M151" s="6">
        <f t="shared" si="49"/>
        <v>2.7812500004074536E-2</v>
      </c>
      <c r="N151" s="7">
        <f t="shared" si="46"/>
        <v>40.050000005867332</v>
      </c>
      <c r="O151" s="7"/>
      <c r="P151" s="7"/>
      <c r="Q151" s="22"/>
      <c r="R151" s="22"/>
      <c r="S151" s="31">
        <f t="shared" si="47"/>
        <v>1</v>
      </c>
      <c r="T151" s="46" t="str">
        <f t="shared" si="50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1"/>
        <v>https://d0f6bd738d7f1b3e5a7ca70fe4ff75f0.us-east-1.aws.found.io/app/kibana#/discover/Steve-Slow-Train-Analysis-(2080s-and-2083s)?_g=(refreshInterval:(display:Off,pause:!f,section:0,value:0),time:(from:'2017-03-26T22:54:20-0600',mode:absolute,to:'2017-03-27T01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87" t="str">
        <f t="shared" si="52"/>
        <v>N</v>
      </c>
      <c r="X151" s="187">
        <f t="shared" si="63"/>
        <v>1</v>
      </c>
      <c r="Y151" s="62">
        <f t="shared" si="53"/>
        <v>23.297499999999999</v>
      </c>
      <c r="Z151" s="62">
        <f t="shared" si="54"/>
        <v>1.6E-2</v>
      </c>
      <c r="AA151" s="62">
        <f t="shared" si="55"/>
        <v>23.281500000000001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6"/>
        <v>0238-26</v>
      </c>
      <c r="AE151" s="85" t="str">
        <f t="shared" si="57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151" s="82" t="str">
        <f t="shared" si="58"/>
        <v>"C:\Program Files (x86)\AstroGrep\AstroGrep.exe" /e /r /s /spath="%USERPROFILE%\AppData\Local\Temp\OnboardLogs" /stypes="app*4001*20170327*" /stext=" 06:.+((SYSTEM_STATE.+slice.+state.+changed )|(ment ac)|(multiple cpu faults)|(system.+state.+changed )|(\[timeout)|(PRM\|1\|D)|(kpr)|(kdp)|(\|lc)|(penalty))"</v>
      </c>
      <c r="AG151" s="1" t="str">
        <f t="shared" si="59"/>
        <v>EC</v>
      </c>
      <c r="AH151" s="86" t="str">
        <f t="shared" si="60"/>
        <v>"%USERPROFILE%\Documents\GitHub\eaglep3\Utilities\RefineRTDCRunTimes.py" --tripid 238-26 --locoid 4001 --swversion DE.1.0.9.0 --startMP 204:232975 --initTime 2017-03-26T23:54:20 --startdatetime 2017-03-26T23:56:32 --delay 0 --endMP 204:160 --enddatetime 2017-03-27T00:36:35 --enforcementcount 0 &gt;&gt;C:\Users\stu\Documents\GitHub\eaglep3-reporting\EC\2017-03-26-refined-times.txt</v>
      </c>
      <c r="AI151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{"issue":{"subject":"","project_id":79,"tracker_id":40,"status_id":1,"priority_id":2,"assigned_to_id":23,"start_date":"2017-03-27","description":"","custom_fields":[{"id":1,"name":"Subdivision","value":"EC"},{"id":4,"name":"Milepost","value":"0.016"},{"id":17,"name":"Train ID","value":"238-26"},{"id":16,"name":"Locomotive ID","value":"4001"},{"id":130,"name":"Impact","value":""},{"id":150,"name":"Time of Event (Mountain Time)","value":"00:36:35"},{"id":151,"name":"Denver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2"/>
        <v>start /low /b %USERPROFILE%\Documents\GitHub\eaglep3\Utilities\DownloadLogsFromS3.py --loco 4001 --day 2017-03-26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"%USERPROFILE%\AppData\Local\Temp\OnboardLogs"\RTDC4001\*4001*20170327* | grep -SE "(Enforcement Action)|(\[TIMEOUT)|(CHR.+\|PRM\|1\|D.+(SWITCH|SIGNAL).+UNKNOWN)" - &gt;&gt; 2017-03-26-UncaughtWiMAX.txt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808</v>
      </c>
      <c r="B152" s="7">
        <v>4027</v>
      </c>
      <c r="C152" s="21" t="s">
        <v>219</v>
      </c>
      <c r="D152" s="21" t="s">
        <v>576</v>
      </c>
      <c r="E152" s="13">
        <v>42820.965428240743</v>
      </c>
      <c r="F152" s="13">
        <v>42820.979317129626</v>
      </c>
      <c r="G152" s="7">
        <v>1</v>
      </c>
      <c r="H152" s="21" t="s">
        <v>581</v>
      </c>
      <c r="I152" s="13">
        <v>42821.006435185183</v>
      </c>
      <c r="J152" s="7">
        <v>0</v>
      </c>
      <c r="K152" s="98" t="str">
        <f t="shared" si="48"/>
        <v>4027/4028</v>
      </c>
      <c r="L152" s="21" t="str">
        <f>VLOOKUP(A152,'Trips&amp;Operators'!$C$1:$G$99999,5,FALSE)</f>
        <v>NEWELL JAMES</v>
      </c>
      <c r="M152" s="6">
        <f t="shared" si="49"/>
        <v>2.7118055557366461E-2</v>
      </c>
      <c r="N152" s="7">
        <f t="shared" si="46"/>
        <v>39.050000002607703</v>
      </c>
      <c r="O152" s="7"/>
      <c r="P152" s="7"/>
      <c r="Q152" s="22"/>
      <c r="R152" s="22"/>
      <c r="S152" s="31">
        <f t="shared" si="47"/>
        <v>1</v>
      </c>
      <c r="T152" s="46" t="str">
        <f t="shared" si="50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1"/>
        <v>https://d0f6bd738d7f1b3e5a7ca70fe4ff75f0.us-east-1.aws.found.io/app/kibana#/discover/Steve-Slow-Train-Analysis-(2080s-and-2083s)?_g=(refreshInterval:(display:Off,pause:!f,section:0,value:0),time:(from:'2017-03-26T22:10:13-0600',mode:absolute,to:'2017-03-27T01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87" t="str">
        <f t="shared" si="52"/>
        <v>N</v>
      </c>
      <c r="X152" s="187">
        <f t="shared" si="63"/>
        <v>1</v>
      </c>
      <c r="Y152" s="62">
        <f t="shared" si="53"/>
        <v>4.4699999999999997E-2</v>
      </c>
      <c r="Z152" s="62">
        <f t="shared" si="54"/>
        <v>23.331</v>
      </c>
      <c r="AA152" s="62">
        <f t="shared" si="55"/>
        <v>23.286300000000001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6"/>
        <v>0239-26</v>
      </c>
      <c r="AE152" s="85" t="str">
        <f t="shared" si="57"/>
        <v>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 &amp; 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</v>
      </c>
      <c r="AF152" s="82" t="str">
        <f t="shared" si="58"/>
        <v>"C:\Program Files (x86)\AstroGrep\AstroGrep.exe" /e /r /s /spath="%USERPROFILE%\AppData\Local\Temp\OnboardLogs" /stypes="app*4027*20170327*" /stext=" 06:.+((SYSTEM_STATE.+slice.+state.+changed )|(ment ac)|(multiple cpu faults)|(system.+state.+changed )|(\[timeout)|(PRM\|1\|D)|(kpr)|(kdp)|(\|lc)|(penalty))"</v>
      </c>
      <c r="AG152" s="1" t="str">
        <f t="shared" si="59"/>
        <v>EC</v>
      </c>
      <c r="AH152" s="86" t="str">
        <f t="shared" si="60"/>
        <v>"%USERPROFILE%\Documents\GitHub\eaglep3\Utilities\RefineRTDCRunTimes.py" --tripid 239-26 --locoid 4027 --swversion DE.1.0.9.0 --startMP 204:447 --initTime 2017-03-26T23:10:13 --startdatetime 2017-03-26T23:30:13 --delay 1 --endMP 204:233310 --enddatetime 2017-03-27T00:09:16 --enforcementcount 0 &gt;&gt;C:\Users\stu\Documents\GitHub\eaglep3-reporting\EC\2017-03-26-refined-times.txt</v>
      </c>
      <c r="AI152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{"issue":{"subject":"","project_id":79,"tracker_id":40,"status_id":1,"priority_id":2,"assigned_to_id":23,"start_date":"2017-03-27","description":"","custom_fields":[{"id":1,"name":"Subdivision","value":"EC"},{"id":4,"name":"Milepost","value":"23.331"},{"id":17,"name":"Train ID","value":"239-26"},{"id":16,"name":"Locomotive ID","value":"4027"},{"id":130,"name":"Impact","value":""},{"id":150,"name":"Time of Event (Mountain Time)","value":"00:09:16"},{"id":151,"name":"Denver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2"/>
        <v>start /low /b %USERPROFILE%\Documents\GitHub\eaglep3\Utilities\DownloadLogsFromS3.py --loco 4027 --day 2017-03-26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"%USERPROFILE%\AppData\Local\Temp\OnboardLogs"\RTDC4027\*4027*20170327* | grep -SE "(Enforcement Action)|(\[TIMEOUT)|(CHR.+\|PRM\|1\|D.+(SWITCH|SIGNAL).+UNKNOWN)" - &gt;&gt; 2017-03-26-UncaughtWiMAX.txt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812</v>
      </c>
      <c r="B153" s="7">
        <v>4028</v>
      </c>
      <c r="C153" s="21" t="s">
        <v>219</v>
      </c>
      <c r="D153" s="21" t="s">
        <v>446</v>
      </c>
      <c r="E153" s="13">
        <v>42821.015208333331</v>
      </c>
      <c r="F153" s="13">
        <v>42821.018425925926</v>
      </c>
      <c r="G153" s="7">
        <v>1</v>
      </c>
      <c r="H153" s="21" t="s">
        <v>579</v>
      </c>
      <c r="I153" s="13">
        <v>42821.044421296298</v>
      </c>
      <c r="J153" s="7">
        <v>0</v>
      </c>
      <c r="K153" s="98" t="str">
        <f t="shared" si="48"/>
        <v>4027/4028</v>
      </c>
      <c r="L153" s="21" t="str">
        <f>VLOOKUP(A153,'Trips&amp;Operators'!$C$1:$G$99999,5,FALSE)</f>
        <v>NEWELL JAMES</v>
      </c>
      <c r="M153" s="6">
        <f t="shared" si="49"/>
        <v>2.5995370371674653E-2</v>
      </c>
      <c r="N153" s="7">
        <f t="shared" si="46"/>
        <v>37.433333335211501</v>
      </c>
      <c r="O153" s="7"/>
      <c r="P153" s="7"/>
      <c r="Q153" s="22"/>
      <c r="R153" s="22"/>
      <c r="S153" s="31">
        <f t="shared" si="47"/>
        <v>1</v>
      </c>
      <c r="T153" s="46" t="str">
        <f t="shared" si="50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1"/>
        <v>https://d0f6bd738d7f1b3e5a7ca70fe4ff75f0.us-east-1.aws.found.io/app/kibana#/discover/Steve-Slow-Train-Analysis-(2080s-and-2083s)?_g=(refreshInterval:(display:Off,pause:!f,section:0,value:0),time:(from:'2017-03-26T23:21:54-0600',mode:absolute,to:'2017-03-27T02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87" t="str">
        <f t="shared" si="52"/>
        <v>N</v>
      </c>
      <c r="X153" s="187">
        <f t="shared" si="63"/>
        <v>1</v>
      </c>
      <c r="Y153" s="62">
        <f t="shared" si="53"/>
        <v>23.299600000000002</v>
      </c>
      <c r="Z153" s="62">
        <f t="shared" si="54"/>
        <v>1.41E-2</v>
      </c>
      <c r="AA153" s="62">
        <f t="shared" si="55"/>
        <v>23.285500000000003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6"/>
        <v>0240-26</v>
      </c>
      <c r="AE153" s="85" t="str">
        <f t="shared" si="57"/>
        <v>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 &amp; aws s3 cp s3://rtdc.mdm.uploadarchive.raw/RTDC4028/ "%USERPROFILE%\AppData\Local\Temp\OnboardLogs"\RTDC4028\2017-03-28 --exclude "*" --recursive --include "*20170328*" &amp; "%USERPROFILE%\Documents\GitHub\mrs-test-scripts\Headless Mode &amp; Sideloading\WalkAndUnGZ.bat" "%USERPROFILE%\AppData\Local\Temp\OnboardLogs"\RTDC4028\2017-03-28</v>
      </c>
      <c r="AF153" s="82" t="str">
        <f t="shared" si="58"/>
        <v>"C:\Program Files (x86)\AstroGrep\AstroGrep.exe" /e /r /s /spath="%USERPROFILE%\AppData\Local\Temp\OnboardLogs" /stypes="app*4028*20170327*" /stext=" 07:.+((SYSTEM_STATE.+slice.+state.+changed )|(ment ac)|(multiple cpu faults)|(system.+state.+changed )|(\[timeout)|(PRM\|1\|D)|(kpr)|(kdp)|(\|lc)|(penalty))"</v>
      </c>
      <c r="AG153" s="1" t="str">
        <f t="shared" si="59"/>
        <v>EC</v>
      </c>
      <c r="AH153" s="86" t="str">
        <f t="shared" si="60"/>
        <v>"%USERPROFILE%\Documents\GitHub\eaglep3\Utilities\RefineRTDCRunTimes.py" --tripid 240-26 --locoid 4028 --swversion DE.1.0.9.0 --startMP 204:232996 --initTime 2017-03-27T00:21:54 --startdatetime 2017-03-27T00:26:32 --delay 1 --endMP 204:141 --enddatetime 2017-03-27T01:03:58 --enforcementcount 0 &gt;&gt;C:\Users\stu\Documents\GitHub\eaglep3-reporting\EC\2017-03-26-refined-times.txt</v>
      </c>
      <c r="AI153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{"issue":{"subject":"","project_id":79,"tracker_id":40,"status_id":1,"priority_id":2,"assigned_to_id":23,"start_date":"2017-03-27","description":"","custom_fields":[{"id":1,"name":"Subdivision","value":"EC"},{"id":4,"name":"Milepost","value":"0.0141"},{"id":17,"name":"Train ID","value":"240-26"},{"id":16,"name":"Locomotive ID","value":"4028"},{"id":130,"name":"Impact","value":""},{"id":150,"name":"Time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2"/>
        <v>start /low /b %USERPROFILE%\Documents\GitHub\eaglep3\Utilities\DownloadLogsFromS3.py --loco 4028 --day 2017-03-27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"%USERPROFILE%\AppData\Local\Temp\OnboardLogs"\RTDC4028\*4028*20170327* | grep -SE "(Enforcement Action)|(\[TIMEOUT)|(CHR.+\|PRM\|1\|D.+(SWITCH|SIGNAL).+UNKNOWN)" - &gt;&gt; 2017-03-26-UncaughtWiMAX.txt</v>
      </c>
    </row>
    <row r="154" spans="1:91" s="20" customFormat="1" x14ac:dyDescent="0.25">
      <c r="A154" s="33" t="s">
        <v>810</v>
      </c>
      <c r="B154" s="7">
        <v>4031</v>
      </c>
      <c r="C154" s="21" t="s">
        <v>219</v>
      </c>
      <c r="D154" s="21" t="s">
        <v>213</v>
      </c>
      <c r="E154" s="13">
        <v>42820.985856481479</v>
      </c>
      <c r="F154" s="13">
        <v>42821.000219907408</v>
      </c>
      <c r="G154" s="7">
        <v>1</v>
      </c>
      <c r="H154" s="21" t="s">
        <v>583</v>
      </c>
      <c r="I154" s="13">
        <v>42821.025138888886</v>
      </c>
      <c r="J154" s="7">
        <v>0</v>
      </c>
      <c r="K154" s="98" t="str">
        <f t="shared" si="48"/>
        <v>4031/4032</v>
      </c>
      <c r="L154" s="21" t="str">
        <f>VLOOKUP(A154,'Trips&amp;Operators'!$C$1:$G$99999,5,FALSE)</f>
        <v>SMITH MICHAEL</v>
      </c>
      <c r="M154" s="6">
        <f t="shared" si="49"/>
        <v>2.491898147854954E-2</v>
      </c>
      <c r="N154" s="7">
        <f t="shared" si="46"/>
        <v>35.883333329111338</v>
      </c>
      <c r="O154" s="7"/>
      <c r="P154" s="7"/>
      <c r="Q154" s="22"/>
      <c r="R154" s="22"/>
      <c r="S154" s="31">
        <f t="shared" si="47"/>
        <v>1</v>
      </c>
      <c r="T154" s="46" t="str">
        <f t="shared" si="50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1"/>
        <v>https://d0f6bd738d7f1b3e5a7ca70fe4ff75f0.us-east-1.aws.found.io/app/kibana#/discover/Steve-Slow-Train-Analysis-(2080s-and-2083s)?_g=(refreshInterval:(display:Off,pause:!f,section:0,value:0),time:(from:'2017-03-26T22:39:38-0600',mode:absolute,to:'2017-03-27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87" t="str">
        <f t="shared" si="52"/>
        <v>N</v>
      </c>
      <c r="X154" s="187">
        <f t="shared" si="63"/>
        <v>1</v>
      </c>
      <c r="Y154" s="62">
        <f t="shared" si="53"/>
        <v>4.5499999999999999E-2</v>
      </c>
      <c r="Z154" s="62">
        <f t="shared" si="54"/>
        <v>23.341000000000001</v>
      </c>
      <c r="AA154" s="62">
        <f t="shared" si="55"/>
        <v>23.295500000000001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6"/>
        <v>0241-26</v>
      </c>
      <c r="AE154" s="85" t="str">
        <f t="shared" si="57"/>
        <v>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 &amp; 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</v>
      </c>
      <c r="AF154" s="82" t="str">
        <f t="shared" si="58"/>
        <v>"C:\Program Files (x86)\AstroGrep\AstroGrep.exe" /e /r /s /spath="%USERPROFILE%\AppData\Local\Temp\OnboardLogs" /stypes="app*4031*20170327*" /stext=" 06:.+((SYSTEM_STATE.+slice.+state.+changed )|(ment ac)|(multiple cpu faults)|(system.+state.+changed )|(\[timeout)|(PRM\|1\|D)|(kpr)|(kdp)|(\|lc)|(penalty))"</v>
      </c>
      <c r="AG154" s="1" t="str">
        <f t="shared" si="59"/>
        <v>EC</v>
      </c>
      <c r="AH154" s="86" t="str">
        <f t="shared" si="60"/>
        <v>"%USERPROFILE%\Documents\GitHub\eaglep3\Utilities\RefineRTDCRunTimes.py" --tripid 241-26 --locoid 4031 --swversion DE.1.0.9.0 --startMP 204:455 --initTime 2017-03-26T23:39:38 --startdatetime 2017-03-27T00:00:19 --delay 1 --endMP 204:233410 --enddatetime 2017-03-27T00:36:12 --enforcementcount 0 &gt;&gt;C:\Users\stu\Documents\GitHub\eaglep3-reporting\EC\2017-03-26-refined-times.txt</v>
      </c>
      <c r="AI154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{"issue":{"subject":"","project_id":79,"tracker_id":40,"status_id":1,"priority_id":2,"assigned_to_id":23,"start_date":"2017-03-27","description":"","custom_fields":[{"id":1,"name":"Subdivision","value":"EC"},{"id":4,"name":"Milepost","value":"23.341"},{"id":17,"name":"Train ID","value":"241-26"},{"id":16,"name":"Locomotive ID","value":"4031"},{"id":130,"name":"Impact","value":""},{"id":150,"name":"Time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2"/>
        <v>start /low /b %USERPROFILE%\Documents\GitHub\eaglep3\Utilities\DownloadLogsFromS3.py --loco 4031 --day 2017-03-27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"%USERPROFILE%\AppData\Local\Temp\OnboardLogs"\RTDC4031\*4031*20170327* | grep -SE "(Enforcement Action)|(\[TIMEOUT)|(CHR.+\|PRM\|1\|D.+(SWITCH|SIGNAL).+UNKNOWN)" - &gt;&gt; 2017-03-26-UncaughtWiMAX.txt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814</v>
      </c>
      <c r="B155" s="7">
        <v>4032</v>
      </c>
      <c r="C155" s="21" t="s">
        <v>219</v>
      </c>
      <c r="D155" s="21" t="s">
        <v>945</v>
      </c>
      <c r="E155" s="13">
        <v>42821.028680555559</v>
      </c>
      <c r="F155" s="13">
        <v>42821.039131944446</v>
      </c>
      <c r="G155" s="7">
        <v>1</v>
      </c>
      <c r="H155" s="21" t="s">
        <v>395</v>
      </c>
      <c r="I155" s="13">
        <v>42821.066192129627</v>
      </c>
      <c r="J155" s="7">
        <v>0</v>
      </c>
      <c r="K155" s="98" t="str">
        <f t="shared" si="48"/>
        <v>4031/4032</v>
      </c>
      <c r="L155" s="21" t="str">
        <f>VLOOKUP(A155,'Trips&amp;Operators'!$C$1:$G$99999,5,FALSE)</f>
        <v>SMITH MICHAEL</v>
      </c>
      <c r="M155" s="6">
        <f t="shared" si="49"/>
        <v>2.7060185180744156E-2</v>
      </c>
      <c r="N155" s="7">
        <f t="shared" si="46"/>
        <v>38.966666660271585</v>
      </c>
      <c r="O155" s="7"/>
      <c r="P155" s="7"/>
      <c r="Q155" s="22"/>
      <c r="R155" s="22"/>
      <c r="S155" s="31">
        <f t="shared" si="47"/>
        <v>1</v>
      </c>
      <c r="T155" s="46" t="str">
        <f t="shared" si="50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1"/>
        <v>https://d0f6bd738d7f1b3e5a7ca70fe4ff75f0.us-east-1.aws.found.io/app/kibana#/discover/Steve-Slow-Train-Analysis-(2080s-and-2083s)?_g=(refreshInterval:(display:Off,pause:!f,section:0,value:0),time:(from:'2017-03-26T23:41:18-0600',mode:absolute,to:'2017-03-27T02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187" t="str">
        <f t="shared" si="52"/>
        <v>N</v>
      </c>
      <c r="X155" s="187">
        <f t="shared" si="63"/>
        <v>1</v>
      </c>
      <c r="Y155" s="62">
        <f t="shared" si="53"/>
        <v>23.308399999999999</v>
      </c>
      <c r="Z155" s="62">
        <f t="shared" si="54"/>
        <v>1.43E-2</v>
      </c>
      <c r="AA155" s="62">
        <f t="shared" si="55"/>
        <v>23.2941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6"/>
        <v>0242-26</v>
      </c>
      <c r="AE155" s="85" t="str">
        <f t="shared" si="57"/>
        <v>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 &amp; 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</v>
      </c>
      <c r="AF155" s="82" t="str">
        <f t="shared" si="58"/>
        <v>"C:\Program Files (x86)\AstroGrep\AstroGrep.exe" /e /r /s /spath="%USERPROFILE%\AppData\Local\Temp\OnboardLogs" /stypes="app*4032*20170327*" /stext=" 07:.+((SYSTEM_STATE.+slice.+state.+changed )|(ment ac)|(multiple cpu faults)|(system.+state.+changed )|(\[timeout)|(PRM\|1\|D)|(kpr)|(kdp)|(\|lc)|(penalty))"</v>
      </c>
      <c r="AG155" s="1" t="str">
        <f t="shared" si="59"/>
        <v>EC</v>
      </c>
      <c r="AH155" s="86" t="str">
        <f t="shared" si="60"/>
        <v>"%USERPROFILE%\Documents\GitHub\eaglep3\Utilities\RefineRTDCRunTimes.py" --tripid 242-26 --locoid 4032 --swversion DE.1.0.9.0 --startMP 204:233084 --initTime 2017-03-27T00:41:18 --startdatetime 2017-03-27T00:56:21 --delay 1 --endMP 204:143 --enddatetime 2017-03-27T01:35:19 --enforcementcount 0 &gt;&gt;C:\Users\stu\Documents\GitHub\eaglep3-reporting\EC\2017-03-26-refined-times.txt</v>
      </c>
      <c r="AI155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{"issue":{"subject":"","project_id":79,"tracker_id":40,"status_id":1,"priority_id":2,"assigned_to_id":23,"start_date":"2017-03-27","description":"","custom_fields":[{"id":1,"name":"Subdivision","value":"EC"},{"id":4,"name":"Milepost","value":"0.0143"},{"id":17,"name":"Train ID","value":"242-26"},{"id":16,"name":"Locomotive ID","value":"4032"},{"id":130,"name":"Impact","value":""},{"id":150,"name":"Time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2"/>
        <v>start /low /b %USERPROFILE%\Documents\GitHub\eaglep3\Utilities\DownloadLogsFromS3.py --loco 4032 --day 2017-03-27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"%USERPROFILE%\AppData\Local\Temp\OnboardLogs"\RTDC4032\*4032*20170327* | grep -SE "(Enforcement Action)|(\[TIMEOUT)|(CHR.+\|PRM\|1\|D.+(SWITCH|SIGNAL).+UNKNOWN)" - &gt;&gt; 2017-03-26-UncaughtWiMAX.txt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625</v>
      </c>
      <c r="B156" s="7">
        <v>4046</v>
      </c>
      <c r="C156" s="21" t="s">
        <v>219</v>
      </c>
      <c r="D156" s="21" t="s">
        <v>216</v>
      </c>
      <c r="E156" s="13">
        <v>42821.003923611112</v>
      </c>
      <c r="F156" s="13">
        <v>42821.02138888889</v>
      </c>
      <c r="G156" s="7">
        <v>1</v>
      </c>
      <c r="H156" s="21" t="s">
        <v>583</v>
      </c>
      <c r="I156" s="13">
        <v>42821.045787037037</v>
      </c>
      <c r="J156" s="7">
        <v>0</v>
      </c>
      <c r="K156" s="98" t="str">
        <f t="shared" si="48"/>
        <v>4045/4046</v>
      </c>
      <c r="L156" s="21" t="str">
        <f>VLOOKUP(A156,'Trips&amp;Operators'!$C$1:$G$99999,5,FALSE)</f>
        <v>STAMBAUGH JAMES</v>
      </c>
      <c r="M156" s="6">
        <f t="shared" si="49"/>
        <v>2.4398148147156462E-2</v>
      </c>
      <c r="N156" s="7">
        <f t="shared" si="46"/>
        <v>35.133333331905305</v>
      </c>
      <c r="O156" s="7"/>
      <c r="P156" s="7"/>
      <c r="Q156" s="22"/>
      <c r="R156" s="22"/>
      <c r="S156" s="31">
        <f t="shared" si="47"/>
        <v>1</v>
      </c>
      <c r="T156" s="46" t="str">
        <f t="shared" si="50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1"/>
        <v>https://d0f6bd738d7f1b3e5a7ca70fe4ff75f0.us-east-1.aws.found.io/app/kibana#/discover/Steve-Slow-Train-Analysis-(2080s-and-2083s)?_g=(refreshInterval:(display:Off,pause:!f,section:0,value:0),time:(from:'2017-03-26T23:05:39-0600',mode:absolute,to:'2017-03-27T02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7" t="str">
        <f t="shared" si="52"/>
        <v>N</v>
      </c>
      <c r="X156" s="187">
        <f t="shared" si="63"/>
        <v>1</v>
      </c>
      <c r="Y156" s="62">
        <f t="shared" si="53"/>
        <v>4.6600000000000003E-2</v>
      </c>
      <c r="Z156" s="62">
        <f t="shared" si="54"/>
        <v>23.341000000000001</v>
      </c>
      <c r="AA156" s="62">
        <f t="shared" si="55"/>
        <v>23.2944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6"/>
        <v>0243-26</v>
      </c>
      <c r="AE156" s="85" t="str">
        <f t="shared" si="57"/>
        <v>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 &amp; 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</v>
      </c>
      <c r="AF156" s="82" t="str">
        <f t="shared" si="58"/>
        <v>"C:\Program Files (x86)\AstroGrep\AstroGrep.exe" /e /r /s /spath="%USERPROFILE%\AppData\Local\Temp\OnboardLogs" /stypes="app*4046*20170327*" /stext=" 07:.+((SYSTEM_STATE.+slice.+state.+changed )|(ment ac)|(multiple cpu faults)|(system.+state.+changed )|(\[timeout)|(PRM\|1\|D)|(kpr)|(kdp)|(\|lc)|(penalty))"</v>
      </c>
      <c r="AG156" s="1" t="str">
        <f t="shared" si="59"/>
        <v>EC</v>
      </c>
      <c r="AH156" s="86" t="str">
        <f t="shared" si="60"/>
        <v>"%USERPROFILE%\Documents\GitHub\eaglep3\Utilities\RefineRTDCRunTimes.py" --tripid 243-26 --locoid 4046 --swversion DE.1.0.9.0 --startMP 204:466 --initTime 2017-03-27T00:05:39 --startdatetime 2017-03-27T00:30:48 --delay 1 --endMP 204:233410 --enddatetime 2017-03-27T01:05:56 --enforcementcount 0 &gt;&gt;C:\Users\stu\Documents\GitHub\eaglep3-reporting\EC\2017-03-26-refined-times.txt</v>
      </c>
      <c r="AI156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{"issue":{"subject":"","project_id":79,"tracker_id":40,"status_id":1,"priority_id":2,"assigned_to_id":23,"start_date":"2017-03-27","description":"","custom_fields":[{"id":1,"name":"Subdivision","value":"EC"},{"id":4,"name":"Milepost","value":"23.341"},{"id":17,"name":"Train ID","value":"243-26"},{"id":16,"name":"Locomotive ID","value":"4046"},{"id":130,"name":"Impact","value":""},{"id":150,"name":"Time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2"/>
        <v>start /low /b %USERPROFILE%\Documents\GitHub\eaglep3\Utilities\DownloadLogsFromS3.py --loco 4046 --day 2017-03-27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"%USERPROFILE%\AppData\Local\Temp\OnboardLogs"\RTDC4046\*4046*20170327* | grep -SE "(Enforcement Action)|(\[TIMEOUT)|(CHR.+\|PRM\|1\|D.+(SWITCH|SIGNAL).+UNKNOWN)" - &gt;&gt; 2017-03-26-UncaughtWiMAX.txt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816</v>
      </c>
      <c r="B157" s="7">
        <v>4045</v>
      </c>
      <c r="C157" s="21" t="s">
        <v>219</v>
      </c>
      <c r="D157" s="21" t="s">
        <v>946</v>
      </c>
      <c r="E157" s="13">
        <v>42821.058078703703</v>
      </c>
      <c r="F157" s="13">
        <v>42821.06013888889</v>
      </c>
      <c r="G157" s="7">
        <v>1</v>
      </c>
      <c r="H157" s="21" t="s">
        <v>589</v>
      </c>
      <c r="I157" s="13">
        <v>42821.086238425924</v>
      </c>
      <c r="J157" s="7">
        <v>0</v>
      </c>
      <c r="K157" s="98" t="str">
        <f t="shared" si="48"/>
        <v>4045/4046</v>
      </c>
      <c r="L157" s="21" t="str">
        <f>VLOOKUP(A157,'Trips&amp;Operators'!$C$1:$G$99999,5,FALSE)</f>
        <v>STAMBAUGH JAMES</v>
      </c>
      <c r="M157" s="6">
        <f t="shared" si="49"/>
        <v>2.6099537033587694E-2</v>
      </c>
      <c r="N157" s="7">
        <f t="shared" si="46"/>
        <v>37.58333332836628</v>
      </c>
      <c r="O157" s="7"/>
      <c r="P157" s="7"/>
      <c r="Q157" s="22"/>
      <c r="R157" s="22"/>
      <c r="S157" s="31">
        <f t="shared" si="47"/>
        <v>1</v>
      </c>
      <c r="T157" s="46" t="str">
        <f t="shared" si="50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1"/>
        <v>https://d0f6bd738d7f1b3e5a7ca70fe4ff75f0.us-east-1.aws.found.io/app/kibana#/discover/Steve-Slow-Train-Analysis-(2080s-and-2083s)?_g=(refreshInterval:(display:Off,pause:!f,section:0,value:0),time:(from:'2017-03-27T00:23:38-0600',mode:absolute,to:'2017-03-27T03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7" t="str">
        <f t="shared" si="52"/>
        <v>N</v>
      </c>
      <c r="X157" s="187">
        <f t="shared" ref="X157:X160" si="64">VALUE(LEFT(AD157,4))-VALUE(LEFT(AD156,4))</f>
        <v>1</v>
      </c>
      <c r="Y157" s="62">
        <f t="shared" si="53"/>
        <v>23.310400000000001</v>
      </c>
      <c r="Z157" s="62">
        <f t="shared" si="54"/>
        <v>1.44E-2</v>
      </c>
      <c r="AA157" s="62">
        <f t="shared" si="55"/>
        <v>23.296000000000003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6"/>
        <v>0244-26</v>
      </c>
      <c r="AE157" s="85" t="str">
        <f t="shared" si="57"/>
        <v>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 &amp; 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</v>
      </c>
      <c r="AF157" s="82" t="str">
        <f t="shared" si="58"/>
        <v>"C:\Program Files (x86)\AstroGrep\AstroGrep.exe" /e /r /s /spath="%USERPROFILE%\AppData\Local\Temp\OnboardLogs" /stypes="app*4045*20170327*" /stext=" 08:.+((SYSTEM_STATE.+slice.+state.+changed )|(ment ac)|(multiple cpu faults)|(system.+state.+changed )|(\[timeout)|(PRM\|1\|D)|(kpr)|(kdp)|(\|lc)|(penalty))"</v>
      </c>
      <c r="AG157" s="1" t="str">
        <f t="shared" si="59"/>
        <v>EC</v>
      </c>
      <c r="AH157" s="86" t="str">
        <f t="shared" si="60"/>
        <v>"%USERPROFILE%\Documents\GitHub\eaglep3\Utilities\RefineRTDCRunTimes.py" --tripid 244-26 --locoid 4045 --swversion DE.1.0.9.0 --startMP 204:233104 --initTime 2017-03-27T01:23:38 --startdatetime 2017-03-27T01:26:36 --delay 1 --endMP 204:144 --enddatetime 2017-03-27T02:04:11 --enforcementcount 0 &gt;&gt;C:\Users\stu\Documents\GitHub\eaglep3-reporting\EC\2017-03-26-refined-times.txt</v>
      </c>
      <c r="AI157" s="108" t="str">
        <f t="shared" si="61"/>
        <v>echo {"issue":{"subject":"","project_id":79,"tracker_id":40,"status_id":1,"priority_id":2,"assigned_to_id":23,"start_date":"2017-03-27","description":"","custom_fields":[{"id":1,"name":"Subdivision","value":"EC"},{"id":4,"name":"Milepost","value":"0.0144"},{"id":17,"name":"Train ID","value":"244-26"},{"id":16,"name":"Locomotive ID","value":"4045"},{"id":130,"name":"Impact","value":""},{"id":150,"name":"Time of Event (Mountain Time)","value":"02:04:11"},{"id":151,"name":"Denver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2"/>
        <v>start /low /b %USERPROFILE%\Documents\GitHub\eaglep3\Utilities\DownloadLogsFromS3.py --loco 4045 --day 2017-03-27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"%USERPROFILE%\AppData\Local\Temp\OnboardLogs"\RTDC4045\*4045*20170327* | grep -SE "(Enforcement Action)|(\[TIMEOUT)|(CHR.+\|PRM\|1\|D.+(SWITCH|SIGNAL).+UNKNOWN)" - &gt;&gt; 2017-03-26-UncaughtWiMAX.txt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659</v>
      </c>
      <c r="B158" s="7">
        <v>4012</v>
      </c>
      <c r="C158" s="21" t="s">
        <v>219</v>
      </c>
      <c r="D158" s="21" t="s">
        <v>465</v>
      </c>
      <c r="E158" s="13">
        <v>42820.223749999997</v>
      </c>
      <c r="F158" s="13">
        <v>42820.236539351848</v>
      </c>
      <c r="G158" s="7">
        <v>1</v>
      </c>
      <c r="H158" s="21" t="s">
        <v>820</v>
      </c>
      <c r="I158" s="13">
        <v>42820.246053240742</v>
      </c>
      <c r="J158" s="7">
        <v>0</v>
      </c>
      <c r="K158" s="98" t="str">
        <f t="shared" si="48"/>
        <v>4011/4012</v>
      </c>
      <c r="L158" s="21" t="str">
        <f>VLOOKUP(A158,'Trips&amp;Operators'!$C$1:$G$99999,5,FALSE)</f>
        <v>YORK EDGAR</v>
      </c>
      <c r="M158" s="6">
        <f t="shared" si="49"/>
        <v>9.5138888937071897E-3</v>
      </c>
      <c r="N158" s="7">
        <f t="shared" si="46"/>
        <v>13.700000006938353</v>
      </c>
      <c r="O158" s="7"/>
      <c r="P158" s="7"/>
      <c r="Q158" s="22"/>
      <c r="R158" s="22"/>
      <c r="S158" s="31">
        <f t="shared" si="47"/>
        <v>1</v>
      </c>
      <c r="T158" s="46" t="str">
        <f t="shared" si="5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1"/>
        <v>https://d0f6bd738d7f1b3e5a7ca70fe4ff75f0.us-east-1.aws.found.io/app/kibana#/discover/Steve-Slow-Train-Analysis-(2080s-and-2083s)?_g=(refreshInterval:(display:Off,pause:!f,section:0,value:0),time:(from:'2017-03-26T04:22:12-0600',mode:absolute,to:'2017-03-26T06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187" t="str">
        <f t="shared" si="52"/>
        <v>N</v>
      </c>
      <c r="X158" s="187">
        <f t="shared" si="64"/>
        <v>1556</v>
      </c>
      <c r="Y158" s="62">
        <f t="shared" si="53"/>
        <v>5.8611000000000004</v>
      </c>
      <c r="Z158" s="62">
        <f t="shared" si="54"/>
        <v>7.5399999999999995E-2</v>
      </c>
      <c r="AA158" s="62">
        <f t="shared" si="55"/>
        <v>5.7857000000000003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6"/>
        <v>1800-26</v>
      </c>
      <c r="AE158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58" s="82" t="str">
        <f t="shared" si="58"/>
        <v>"C:\Program Files (x86)\AstroGrep\AstroGrep.exe" /e /r /s /spath="%USERPROFILE%\AppData\Local\Temp\OnboardLogs" /stypes="app*4012*20170326*" /stext=" 11:.+((SYSTEM_STATE.+slice.+state.+changed )|(ment ac)|(multiple cpu faults)|(system.+state.+changed )|(\[timeout)|(PRM\|1\|D)|(kpr)|(kdp)|(\|lc)|(penalty))"</v>
      </c>
      <c r="AG158" s="1" t="str">
        <f t="shared" si="59"/>
        <v>NW</v>
      </c>
      <c r="AH158" s="86" t="str">
        <f t="shared" si="60"/>
        <v>"%USERPROFILE%\Documents\GitHub\eaglep3\Utilities\RefineRTDCRunTimes.py" --tripid 1800-26 --locoid 4012 --swversion DE.1.0.9.0 --startMP 300:58611 --initTime 2017-03-26T05:22:12 --startdatetime 2017-03-26T05:40:37 --delay 1 --endMP 204:754 --enddatetime 2017-03-26T05:54:19 --enforcementcount 0 &gt;&gt;C:\Users\stu\Documents\GitHub\eaglep3-reporting\EC\2017-03-26-refined-times.txt</v>
      </c>
      <c r="AI158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{"issue":{"subject":"","project_id":79,"tracker_id":40,"status_id":1,"priority_id":2,"assigned_to_id":23,"start_date":"2017-03-26","description":"","custom_fields":[{"id":1,"name":"Subdivision","value":"NW"},{"id":4,"name":"Milepost","value":"0.0754"},{"id":17,"name":"Train ID","value":"1800-26"},{"id":16,"name":"Locomotive ID","value":"4012"},{"id":130,"name":"Impact","value":""},{"id":150,"name":"Time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2"/>
        <v>start /low /b %USERPROFILE%\Documents\GitHub\eaglep3\Utilities\DownloadLogsFromS3.py --loco 4012 --day 2017-03-26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664</v>
      </c>
      <c r="B159" s="7">
        <v>4011</v>
      </c>
      <c r="C159" s="21" t="s">
        <v>219</v>
      </c>
      <c r="D159" s="21" t="s">
        <v>874</v>
      </c>
      <c r="E159" s="13">
        <v>42820.246990740743</v>
      </c>
      <c r="F159" s="13">
        <v>42820.264965277776</v>
      </c>
      <c r="G159" s="7">
        <v>0</v>
      </c>
      <c r="H159" s="21" t="s">
        <v>875</v>
      </c>
      <c r="I159" s="13">
        <v>42820.273495370369</v>
      </c>
      <c r="J159" s="7">
        <v>0</v>
      </c>
      <c r="K159" s="98" t="str">
        <f t="shared" si="48"/>
        <v>4011/4012</v>
      </c>
      <c r="L159" s="21" t="str">
        <f>VLOOKUP(A159,'Trips&amp;Operators'!$C$1:$G$99999,5,FALSE)</f>
        <v>YORK EDGAR</v>
      </c>
      <c r="M159" s="6">
        <f t="shared" si="49"/>
        <v>8.5300925929914229E-3</v>
      </c>
      <c r="N159" s="7">
        <f t="shared" si="46"/>
        <v>12.283333333907649</v>
      </c>
      <c r="O159" s="7"/>
      <c r="P159" s="7"/>
      <c r="Q159" s="22"/>
      <c r="R159" s="22"/>
      <c r="S159" s="31">
        <f t="shared" si="47"/>
        <v>1</v>
      </c>
      <c r="T159" s="46" t="str">
        <f t="shared" si="5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1"/>
        <v>https://d0f6bd738d7f1b3e5a7ca70fe4ff75f0.us-east-1.aws.found.io/app/kibana#/discover/Steve-Slow-Train-Analysis-(2080s-and-2083s)?_g=(refreshInterval:(display:Off,pause:!f,section:0,value:0),time:(from:'2017-03-26T04:55:40-0600',mode:absolute,to:'2017-03-26T07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7" t="str">
        <f t="shared" si="52"/>
        <v>N</v>
      </c>
      <c r="X159" s="187">
        <f t="shared" si="64"/>
        <v>1</v>
      </c>
      <c r="Y159" s="62">
        <f t="shared" si="53"/>
        <v>0.1056</v>
      </c>
      <c r="Z159" s="62">
        <f t="shared" si="54"/>
        <v>5.8929</v>
      </c>
      <c r="AA159" s="62">
        <f t="shared" si="55"/>
        <v>5.7873000000000001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6"/>
        <v>1801-26</v>
      </c>
      <c r="AE159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59" s="82" t="str">
        <f t="shared" si="58"/>
        <v>"C:\Program Files (x86)\AstroGrep\AstroGrep.exe" /e /r /s /spath="%USERPROFILE%\AppData\Local\Temp\OnboardLogs" /stypes="app*4011*20170326*" /stext=" 12:.+((SYSTEM_STATE.+slice.+state.+changed )|(ment ac)|(multiple cpu faults)|(system.+state.+changed )|(\[timeout)|(PRM\|1\|D)|(kpr)|(kdp)|(\|lc)|(penalty))"</v>
      </c>
      <c r="AG159" s="1" t="str">
        <f t="shared" si="59"/>
        <v>NW</v>
      </c>
      <c r="AH159" s="86" t="str">
        <f t="shared" si="60"/>
        <v>"%USERPROFILE%\Documents\GitHub\eaglep3\Utilities\RefineRTDCRunTimes.py" --tripid 1801-26 --locoid 4011 --swversion DE.1.0.9.0 --startMP 204:1056 --initTime 2017-03-26T05:55:40 --startdatetime 2017-03-26T06:21:33 --delay 0 --endMP 300:58929 --enddatetime 2017-03-26T06:33:50 --enforcementcount 0 &gt;&gt;C:\Users\stu\Documents\GitHub\eaglep3-reporting\EC\2017-03-26-refined-times.txt</v>
      </c>
      <c r="AI159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{"issue":{"subject":"","project_id":79,"tracker_id":40,"status_id":1,"priority_id":2,"assigned_to_id":23,"start_date":"2017-03-26","description":"","custom_fields":[{"id":1,"name":"Subdivision","value":"NW"},{"id":4,"name":"Milepost","value":"5.8929"},{"id":17,"name":"Train ID","value":"1801-26"},{"id":16,"name":"Locomotive ID","value":"4011"},{"id":130,"name":"Impact","value":""},{"id":150,"name":"Time of Event (Mountain Time)","value":"06:33:50"},{"id":151,"name":"Denver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2"/>
        <v>start /low /b %USERPROFILE%\Documents\GitHub\eaglep3\Utilities\DownloadLogsFromS3.py --loco 4011 --day 2017-03-26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60" spans="1:91" x14ac:dyDescent="0.25">
      <c r="A160" s="33" t="s">
        <v>671</v>
      </c>
      <c r="B160" s="7">
        <v>4012</v>
      </c>
      <c r="C160" s="21" t="s">
        <v>219</v>
      </c>
      <c r="D160" s="21" t="s">
        <v>550</v>
      </c>
      <c r="E160" s="13">
        <v>42820.274942129632</v>
      </c>
      <c r="F160" s="13">
        <v>42820.27847222222</v>
      </c>
      <c r="G160" s="7">
        <v>0</v>
      </c>
      <c r="H160" s="21" t="s">
        <v>876</v>
      </c>
      <c r="I160" s="13">
        <v>42820.287534722222</v>
      </c>
      <c r="J160" s="7">
        <v>0</v>
      </c>
      <c r="K160" s="98" t="str">
        <f t="shared" si="48"/>
        <v>4011/4012</v>
      </c>
      <c r="L160" s="21" t="str">
        <f>VLOOKUP(A160,'Trips&amp;Operators'!$C$1:$G$99999,5,FALSE)</f>
        <v>YORK EDGAR</v>
      </c>
      <c r="M160" s="6">
        <f t="shared" si="49"/>
        <v>9.0625000011641532E-3</v>
      </c>
      <c r="N160" s="7">
        <f t="shared" si="46"/>
        <v>13.050000001676381</v>
      </c>
      <c r="O160" s="7"/>
      <c r="P160" s="7"/>
      <c r="Q160" s="22"/>
      <c r="R160" s="22"/>
      <c r="S160" s="31">
        <f t="shared" si="47"/>
        <v>1</v>
      </c>
      <c r="T160" s="46" t="str">
        <f t="shared" si="5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1"/>
        <v>https://d0f6bd738d7f1b3e5a7ca70fe4ff75f0.us-east-1.aws.found.io/app/kibana#/discover/Steve-Slow-Train-Analysis-(2080s-and-2083s)?_g=(refreshInterval:(display:Off,pause:!f,section:0,value:0),time:(from:'2017-03-26T05:35:55-0600',mode:absolute,to:'2017-03-26T07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7" t="str">
        <f t="shared" si="52"/>
        <v>N</v>
      </c>
      <c r="X160" s="187">
        <f t="shared" si="64"/>
        <v>1</v>
      </c>
      <c r="Y160" s="62">
        <f t="shared" si="53"/>
        <v>5.8616999999999999</v>
      </c>
      <c r="Z160" s="62">
        <f t="shared" si="54"/>
        <v>7.3800000000000004E-2</v>
      </c>
      <c r="AA160" s="62">
        <f t="shared" si="55"/>
        <v>5.7878999999999996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6"/>
        <v>1802-26</v>
      </c>
      <c r="AE160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0" s="82" t="str">
        <f t="shared" si="58"/>
        <v>"C:\Program Files (x86)\AstroGrep\AstroGrep.exe" /e /r /s /spath="%USERPROFILE%\AppData\Local\Temp\OnboardLogs" /stypes="app*4012*20170326*" /stext=" 12:.+((SYSTEM_STATE.+slice.+state.+changed )|(ment ac)|(multiple cpu faults)|(system.+state.+changed )|(\[timeout)|(PRM\|1\|D)|(kpr)|(kdp)|(\|lc)|(penalty))"</v>
      </c>
      <c r="AG160" s="1" t="str">
        <f t="shared" si="59"/>
        <v>NW</v>
      </c>
      <c r="AH160" s="86" t="str">
        <f t="shared" si="60"/>
        <v>"%USERPROFILE%\Documents\GitHub\eaglep3\Utilities\RefineRTDCRunTimes.py" --tripid 1802-26 --locoid 4012 --swversion DE.1.0.9.0 --startMP 300:58617 --initTime 2017-03-26T06:35:55 --startdatetime 2017-03-26T06:41:00 --delay 0 --endMP 204:738 --enddatetime 2017-03-26T06:54:03 --enforcementcount 0 &gt;&gt;C:\Users\stu\Documents\GitHub\eaglep3-reporting\EC\2017-03-26-refined-times.txt</v>
      </c>
      <c r="AI160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{"issue":{"subject":"","project_id":79,"tracker_id":40,"status_id":1,"priority_id":2,"assigned_to_id":23,"start_date":"2017-03-26","description":"","custom_fields":[{"id":1,"name":"Subdivision","value":"NW"},{"id":4,"name":"Milepost","value":"0.0738"},{"id":17,"name":"Train ID","value":"1802-26"},{"id":16,"name":"Locomotive ID","value":"4012"},{"id":130,"name":"Impact","value":""},{"id":150,"name":"Time of Event (Mountain Time)","value":"06:54:03"},{"id":151,"name":"Denver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2"/>
        <v>start /low /b %USERPROFILE%\Documents\GitHub\eaglep3\Utilities\DownloadLogsFromS3.py --loco 4012 --day 2017-03-26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61" spans="1:91" x14ac:dyDescent="0.25">
      <c r="A161" s="33" t="s">
        <v>674</v>
      </c>
      <c r="B161" s="7">
        <v>4011</v>
      </c>
      <c r="C161" s="21" t="s">
        <v>219</v>
      </c>
      <c r="D161" s="21" t="s">
        <v>877</v>
      </c>
      <c r="E161" s="13">
        <v>42820.288888888892</v>
      </c>
      <c r="F161" s="13">
        <v>42820.306458333333</v>
      </c>
      <c r="G161" s="7">
        <v>1</v>
      </c>
      <c r="H161" s="21" t="s">
        <v>594</v>
      </c>
      <c r="I161" s="13">
        <v>42820.31490740741</v>
      </c>
      <c r="J161" s="7">
        <v>0</v>
      </c>
      <c r="K161" s="98" t="str">
        <f t="shared" si="48"/>
        <v>4011/4012</v>
      </c>
      <c r="L161" s="21" t="str">
        <f>VLOOKUP(A161,'Trips&amp;Operators'!$C$1:$G$99999,5,FALSE)</f>
        <v>YORK EDGAR</v>
      </c>
      <c r="M161" s="6">
        <f t="shared" si="49"/>
        <v>8.449074077361729E-3</v>
      </c>
      <c r="N161" s="7">
        <f t="shared" si="46"/>
        <v>12.16666667140089</v>
      </c>
      <c r="O161" s="7"/>
      <c r="P161" s="7"/>
      <c r="Q161" s="22"/>
      <c r="R161" s="22"/>
      <c r="S161" s="31">
        <f t="shared" si="47"/>
        <v>1</v>
      </c>
      <c r="T161" s="46" t="str">
        <f t="shared" si="50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1"/>
        <v>https://d0f6bd738d7f1b3e5a7ca70fe4ff75f0.us-east-1.aws.found.io/app/kibana#/discover/Steve-Slow-Train-Analysis-(2080s-and-2083s)?_g=(refreshInterval:(display:Off,pause:!f,section:0,value:0),time:(from:'2017-03-26T05:56:00-0600',mode:absolute,to:'2017-03-26T08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87" t="str">
        <f t="shared" si="52"/>
        <v>N</v>
      </c>
      <c r="X161" s="187">
        <f t="shared" ref="X161:X192" si="65">VALUE(LEFT(AD161,4))-VALUE(LEFT(AD160,4))</f>
        <v>1</v>
      </c>
      <c r="Y161" s="62">
        <f t="shared" si="53"/>
        <v>0.1018</v>
      </c>
      <c r="Z161" s="62">
        <f t="shared" si="54"/>
        <v>5.8930999999999996</v>
      </c>
      <c r="AA161" s="62">
        <f t="shared" si="55"/>
        <v>5.7912999999999997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6"/>
        <v>1803-26</v>
      </c>
      <c r="AE161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1" s="82" t="str">
        <f t="shared" si="58"/>
        <v>"C:\Program Files (x86)\AstroGrep\AstroGrep.exe" /e /r /s /spath="%USERPROFILE%\AppData\Local\Temp\OnboardLogs" /stypes="app*4011*20170326*" /stext=" 13:.+((SYSTEM_STATE.+slice.+state.+changed )|(ment ac)|(multiple cpu faults)|(system.+state.+changed )|(\[timeout)|(PRM\|1\|D)|(kpr)|(kdp)|(\|lc)|(penalty))"</v>
      </c>
      <c r="AG161" s="1" t="str">
        <f t="shared" si="59"/>
        <v>NW</v>
      </c>
      <c r="AH161" s="86" t="str">
        <f t="shared" si="60"/>
        <v>"%USERPROFILE%\Documents\GitHub\eaglep3\Utilities\RefineRTDCRunTimes.py" --tripid 1803-26 --locoid 4011 --swversion DE.1.0.9.0 --startMP 204:1018 --initTime 2017-03-26T06:56:00 --startdatetime 2017-03-26T07:21:18 --delay 1 --endMP 300:58931 --enddatetime 2017-03-26T07:33:28 --enforcementcount 0 &gt;&gt;C:\Users\stu\Documents\GitHub\eaglep3-reporting\EC\2017-03-26-refined-times.txt</v>
      </c>
      <c r="AI161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{"issue":{"subject":"","project_id":79,"tracker_id":40,"status_id":1,"priority_id":2,"assigned_to_id":23,"start_date":"2017-03-26","description":"","custom_fields":[{"id":1,"name":"Subdivision","value":"NW"},{"id":4,"name":"Milepost","value":"5.8931"},{"id":17,"name":"Train ID","value":"1803-26"},{"id":16,"name":"Locomotive ID","value":"4011"},{"id":130,"name":"Impact","value":""},{"id":150,"name":"Time of Event (Mountain Time)","value":"07:33:28"},{"id":151,"name":"Denver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2"/>
        <v>start /low /b %USERPROFILE%\Documents\GitHub\eaglep3\Utilities\DownloadLogsFromS3.py --loco 4011 --day 2017-03-26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62" spans="1:91" x14ac:dyDescent="0.25">
      <c r="A162" s="33" t="s">
        <v>680</v>
      </c>
      <c r="B162" s="7">
        <v>4012</v>
      </c>
      <c r="C162" s="21" t="s">
        <v>219</v>
      </c>
      <c r="D162" s="21" t="s">
        <v>550</v>
      </c>
      <c r="E162" s="13">
        <v>42820.31585648148</v>
      </c>
      <c r="F162" s="13">
        <v>42820.320150462961</v>
      </c>
      <c r="G162" s="7">
        <v>0</v>
      </c>
      <c r="H162" s="21" t="s">
        <v>820</v>
      </c>
      <c r="I162" s="13">
        <v>42820.32916666667</v>
      </c>
      <c r="J162" s="7">
        <v>0</v>
      </c>
      <c r="K162" s="98" t="str">
        <f t="shared" si="48"/>
        <v>4011/4012</v>
      </c>
      <c r="L162" s="21" t="str">
        <f>VLOOKUP(A162,'Trips&amp;Operators'!$C$1:$G$99999,5,FALSE)</f>
        <v>YORK EDGAR</v>
      </c>
      <c r="M162" s="6">
        <f t="shared" si="49"/>
        <v>9.0162037085974589E-3</v>
      </c>
      <c r="N162" s="7">
        <f t="shared" si="46"/>
        <v>12.983333340380341</v>
      </c>
      <c r="O162" s="7"/>
      <c r="P162" s="7"/>
      <c r="Q162" s="22"/>
      <c r="R162" s="22"/>
      <c r="S162" s="31">
        <f t="shared" si="47"/>
        <v>1</v>
      </c>
      <c r="T162" s="46" t="str">
        <f t="shared" si="50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1"/>
        <v>https://d0f6bd738d7f1b3e5a7ca70fe4ff75f0.us-east-1.aws.found.io/app/kibana#/discover/Steve-Slow-Train-Analysis-(2080s-and-2083s)?_g=(refreshInterval:(display:Off,pause:!f,section:0,value:0),time:(from:'2017-03-26T06:34:50-0600',mode:absolute,to:'2017-03-26T08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187" t="str">
        <f t="shared" si="52"/>
        <v>N</v>
      </c>
      <c r="X162" s="187">
        <f t="shared" si="65"/>
        <v>1</v>
      </c>
      <c r="Y162" s="62">
        <f t="shared" si="53"/>
        <v>5.8616999999999999</v>
      </c>
      <c r="Z162" s="62">
        <f t="shared" si="54"/>
        <v>7.5399999999999995E-2</v>
      </c>
      <c r="AA162" s="62">
        <f t="shared" si="55"/>
        <v>5.7862999999999998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6"/>
        <v>1804-26</v>
      </c>
      <c r="AE162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2" s="82" t="str">
        <f t="shared" si="58"/>
        <v>"C:\Program Files (x86)\AstroGrep\AstroGrep.exe" /e /r /s /spath="%USERPROFILE%\AppData\Local\Temp\OnboardLogs" /stypes="app*4012*20170326*" /stext=" 13:.+((SYSTEM_STATE.+slice.+state.+changed )|(ment ac)|(multiple cpu faults)|(system.+state.+changed )|(\[timeout)|(PRM\|1\|D)|(kpr)|(kdp)|(\|lc)|(penalty))"</v>
      </c>
      <c r="AG162" s="1" t="str">
        <f t="shared" si="59"/>
        <v>NW</v>
      </c>
      <c r="AH162" s="86" t="str">
        <f t="shared" si="60"/>
        <v>"%USERPROFILE%\Documents\GitHub\eaglep3\Utilities\RefineRTDCRunTimes.py" --tripid 1804-26 --locoid 4012 --swversion DE.1.0.9.0 --startMP 300:58617 --initTime 2017-03-26T07:34:50 --startdatetime 2017-03-26T07:41:01 --delay 0 --endMP 204:754 --enddatetime 2017-03-26T07:54:00 --enforcementcount 0 &gt;&gt;C:\Users\stu\Documents\GitHub\eaglep3-reporting\EC\2017-03-26-refined-times.txt</v>
      </c>
      <c r="AI162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{"issue":{"subject":"","project_id":79,"tracker_id":40,"status_id":1,"priority_id":2,"assigned_to_id":23,"start_date":"2017-03-26","description":"","custom_fields":[{"id":1,"name":"Subdivision","value":"NW"},{"id":4,"name":"Milepost","value":"0.0754"},{"id":17,"name":"Train ID","value":"1804-26"},{"id":16,"name":"Locomotive ID","value":"4012"},{"id":130,"name":"Impact","value":""},{"id":150,"name":"Time of Event (Mountain Time)","value":"07:54:00"},{"id":151,"name":"Denver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2"/>
        <v>start /low /b %USERPROFILE%\Documents\GitHub\eaglep3\Utilities\DownloadLogsFromS3.py --loco 4012 --day 2017-03-26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63" spans="1:91" x14ac:dyDescent="0.25">
      <c r="A163" s="33" t="s">
        <v>684</v>
      </c>
      <c r="B163" s="7">
        <v>4011</v>
      </c>
      <c r="C163" s="21" t="s">
        <v>219</v>
      </c>
      <c r="D163" s="21" t="s">
        <v>878</v>
      </c>
      <c r="E163" s="13">
        <v>42820.330057870371</v>
      </c>
      <c r="F163" s="13">
        <v>42820.348391203705</v>
      </c>
      <c r="G163" s="7">
        <v>1</v>
      </c>
      <c r="H163" s="21" t="s">
        <v>879</v>
      </c>
      <c r="I163" s="13">
        <v>42820.35696759259</v>
      </c>
      <c r="J163" s="7">
        <v>0</v>
      </c>
      <c r="K163" s="98" t="str">
        <f t="shared" si="48"/>
        <v>4011/4012</v>
      </c>
      <c r="L163" s="21" t="str">
        <f>VLOOKUP(A163,'Trips&amp;Operators'!$C$1:$G$99999,5,FALSE)</f>
        <v>YORK EDGAR</v>
      </c>
      <c r="M163" s="6">
        <f t="shared" si="49"/>
        <v>8.5763888855581172E-3</v>
      </c>
      <c r="N163" s="7">
        <f t="shared" si="46"/>
        <v>12.349999995203689</v>
      </c>
      <c r="O163" s="7"/>
      <c r="P163" s="7"/>
      <c r="Q163" s="22"/>
      <c r="R163" s="22"/>
      <c r="S163" s="31">
        <f t="shared" si="47"/>
        <v>1</v>
      </c>
      <c r="T163" s="46" t="str">
        <f t="shared" si="50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1"/>
        <v>https://d0f6bd738d7f1b3e5a7ca70fe4ff75f0.us-east-1.aws.found.io/app/kibana#/discover/Steve-Slow-Train-Analysis-(2080s-and-2083s)?_g=(refreshInterval:(display:Off,pause:!f,section:0,value:0),time:(from:'2017-03-26T06:55:17-0600',mode:absolute,to:'2017-03-26T09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187" t="str">
        <f t="shared" si="52"/>
        <v>N</v>
      </c>
      <c r="X163" s="187">
        <f t="shared" si="65"/>
        <v>1</v>
      </c>
      <c r="Y163" s="62">
        <f t="shared" si="53"/>
        <v>0.10249999999999999</v>
      </c>
      <c r="Z163" s="62">
        <f t="shared" si="54"/>
        <v>5.8940999999999999</v>
      </c>
      <c r="AA163" s="62">
        <f t="shared" si="55"/>
        <v>5.7915999999999999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6"/>
        <v>1805-26</v>
      </c>
      <c r="AE163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3" s="82" t="str">
        <f t="shared" si="58"/>
        <v>"C:\Program Files (x86)\AstroGrep\AstroGrep.exe" /e /r /s /spath="%USERPROFILE%\AppData\Local\Temp\OnboardLogs" /stypes="app*4011*20170326*" /stext=" 14:.+((SYSTEM_STATE.+slice.+state.+changed )|(ment ac)|(multiple cpu faults)|(system.+state.+changed )|(\[timeout)|(PRM\|1\|D)|(kpr)|(kdp)|(\|lc)|(penalty))"</v>
      </c>
      <c r="AG163" s="1" t="str">
        <f t="shared" si="59"/>
        <v>NW</v>
      </c>
      <c r="AH163" s="86" t="str">
        <f t="shared" si="60"/>
        <v>"%USERPROFILE%\Documents\GitHub\eaglep3\Utilities\RefineRTDCRunTimes.py" --tripid 1805-26 --locoid 4011 --swversion DE.1.0.9.0 --startMP 204:1025 --initTime 2017-03-26T07:55:17 --startdatetime 2017-03-26T08:21:41 --delay 1 --endMP 300:58941 --enddatetime 2017-03-26T08:34:02 --enforcementcount 0 &gt;&gt;C:\Users\stu\Documents\GitHub\eaglep3-reporting\EC\2017-03-26-refined-times.txt</v>
      </c>
      <c r="AI163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{"issue":{"subject":"","project_id":79,"tracker_id":40,"status_id":1,"priority_id":2,"assigned_to_id":23,"start_date":"2017-03-26","description":"","custom_fields":[{"id":1,"name":"Subdivision","value":"NW"},{"id":4,"name":"Milepost","value":"5.8941"},{"id":17,"name":"Train ID","value":"1805-26"},{"id":16,"name":"Locomotive ID","value":"4011"},{"id":130,"name":"Impact","value":""},{"id":150,"name":"Time of Event (Mountain Time)","value":"08:34:02"},{"id":151,"name":"Denver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2"/>
        <v>start /low /b %USERPROFILE%\Documents\GitHub\eaglep3\Utilities\DownloadLogsFromS3.py --loco 4011 --day 2017-03-26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64" spans="1:91" x14ac:dyDescent="0.25">
      <c r="A164" s="33" t="s">
        <v>689</v>
      </c>
      <c r="B164" s="7">
        <v>4012</v>
      </c>
      <c r="C164" s="21" t="s">
        <v>219</v>
      </c>
      <c r="D164" s="21" t="s">
        <v>880</v>
      </c>
      <c r="E164" s="13">
        <v>42820.361574074072</v>
      </c>
      <c r="F164" s="13">
        <v>42820.362534722219</v>
      </c>
      <c r="G164" s="7">
        <v>0</v>
      </c>
      <c r="H164" s="21" t="s">
        <v>881</v>
      </c>
      <c r="I164" s="13">
        <v>42820.370810185188</v>
      </c>
      <c r="J164" s="7">
        <v>0</v>
      </c>
      <c r="K164" s="98" t="str">
        <f t="shared" si="48"/>
        <v>4011/4012</v>
      </c>
      <c r="L164" s="21" t="str">
        <f>VLOOKUP(A164,'Trips&amp;Operators'!$C$1:$G$99999,5,FALSE)</f>
        <v>YORK EDGAR</v>
      </c>
      <c r="M164" s="6">
        <f t="shared" si="49"/>
        <v>8.2754629693226889E-3</v>
      </c>
      <c r="N164" s="7">
        <f t="shared" si="46"/>
        <v>11.916666675824672</v>
      </c>
      <c r="O164" s="7"/>
      <c r="P164" s="7"/>
      <c r="Q164" s="22"/>
      <c r="R164" s="22"/>
      <c r="S164" s="31">
        <f t="shared" si="47"/>
        <v>1</v>
      </c>
      <c r="T164" s="46" t="str">
        <f t="shared" si="50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1"/>
        <v>https://d0f6bd738d7f1b3e5a7ca70fe4ff75f0.us-east-1.aws.found.io/app/kibana#/discover/Steve-Slow-Train-Analysis-(2080s-and-2083s)?_g=(refreshInterval:(display:Off,pause:!f,section:0,value:0),time:(from:'2017-03-26T07:40:40-0600',mode:absolute,to:'2017-03-26T09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87" t="str">
        <f t="shared" si="52"/>
        <v>N</v>
      </c>
      <c r="X164" s="187">
        <f t="shared" si="65"/>
        <v>1</v>
      </c>
      <c r="Y164" s="62">
        <f t="shared" si="53"/>
        <v>5.8628</v>
      </c>
      <c r="Z164" s="62">
        <f t="shared" si="54"/>
        <v>7.4300000000000005E-2</v>
      </c>
      <c r="AA164" s="62">
        <f t="shared" si="55"/>
        <v>5.7885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6"/>
        <v>1806-26</v>
      </c>
      <c r="AE164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4" s="82" t="str">
        <f t="shared" si="58"/>
        <v>"C:\Program Files (x86)\AstroGrep\AstroGrep.exe" /e /r /s /spath="%USERPROFILE%\AppData\Local\Temp\OnboardLogs" /stypes="app*4012*20170326*" /stext=" 14:.+((SYSTEM_STATE.+slice.+state.+changed )|(ment ac)|(multiple cpu faults)|(system.+state.+changed )|(\[timeout)|(PRM\|1\|D)|(kpr)|(kdp)|(\|lc)|(penalty))"</v>
      </c>
      <c r="AG164" s="1" t="str">
        <f t="shared" si="59"/>
        <v>NW</v>
      </c>
      <c r="AH164" s="86" t="str">
        <f t="shared" si="60"/>
        <v>"%USERPROFILE%\Documents\GitHub\eaglep3\Utilities\RefineRTDCRunTimes.py" --tripid 1806-26 --locoid 4012 --swversion DE.1.0.9.0 --startMP 300:58628 --initTime 2017-03-26T08:40:40 --startdatetime 2017-03-26T08:42:03 --delay 0 --endMP 204:743 --enddatetime 2017-03-26T08:53:58 --enforcementcount 0 &gt;&gt;C:\Users\stu\Documents\GitHub\eaglep3-reporting\EC\2017-03-26-refined-times.txt</v>
      </c>
      <c r="AI164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{"issue":{"subject":"","project_id":79,"tracker_id":40,"status_id":1,"priority_id":2,"assigned_to_id":23,"start_date":"2017-03-26","description":"","custom_fields":[{"id":1,"name":"Subdivision","value":"NW"},{"id":4,"name":"Milepost","value":"0.0743"},{"id":17,"name":"Train ID","value":"1806-26"},{"id":16,"name":"Locomotive ID","value":"4012"},{"id":130,"name":"Impact","value":""},{"id":150,"name":"Time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2"/>
        <v>start /low /b %USERPROFILE%\Documents\GitHub\eaglep3\Utilities\DownloadLogsFromS3.py --loco 4012 --day 2017-03-26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65" spans="1:91" x14ac:dyDescent="0.25">
      <c r="A165" s="33" t="s">
        <v>692</v>
      </c>
      <c r="B165" s="7">
        <v>4011</v>
      </c>
      <c r="C165" s="21" t="s">
        <v>219</v>
      </c>
      <c r="D165" s="21" t="s">
        <v>882</v>
      </c>
      <c r="E165" s="13">
        <v>42820.372430555559</v>
      </c>
      <c r="F165" s="13">
        <v>42820.389756944445</v>
      </c>
      <c r="G165" s="7">
        <v>1</v>
      </c>
      <c r="H165" s="21" t="s">
        <v>592</v>
      </c>
      <c r="I165" s="13">
        <v>42820.398090277777</v>
      </c>
      <c r="J165" s="7">
        <v>0</v>
      </c>
      <c r="K165" s="98" t="str">
        <f t="shared" si="48"/>
        <v>4011/4012</v>
      </c>
      <c r="L165" s="21" t="str">
        <f>VLOOKUP(A165,'Trips&amp;Operators'!$C$1:$G$99999,5,FALSE)</f>
        <v>YORK EDGAR</v>
      </c>
      <c r="M165" s="6">
        <f t="shared" si="49"/>
        <v>8.333333331393078E-3</v>
      </c>
      <c r="N165" s="7">
        <f t="shared" si="46"/>
        <v>11.999999997206032</v>
      </c>
      <c r="O165" s="7"/>
      <c r="P165" s="7"/>
      <c r="Q165" s="22"/>
      <c r="R165" s="22"/>
      <c r="S165" s="31">
        <f t="shared" si="47"/>
        <v>1</v>
      </c>
      <c r="T165" s="46" t="str">
        <f t="shared" si="50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1"/>
        <v>https://d0f6bd738d7f1b3e5a7ca70fe4ff75f0.us-east-1.aws.found.io/app/kibana#/discover/Steve-Slow-Train-Analysis-(2080s-and-2083s)?_g=(refreshInterval:(display:Off,pause:!f,section:0,value:0),time:(from:'2017-03-26T07:56:18-0600',mode:absolute,to:'2017-03-26T10:33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87" t="str">
        <f t="shared" si="52"/>
        <v>N</v>
      </c>
      <c r="X165" s="187">
        <f t="shared" si="65"/>
        <v>1</v>
      </c>
      <c r="Y165" s="62">
        <f t="shared" si="53"/>
        <v>0.10349999999999999</v>
      </c>
      <c r="Z165" s="62">
        <f t="shared" si="54"/>
        <v>5.8943000000000003</v>
      </c>
      <c r="AA165" s="62">
        <f t="shared" si="55"/>
        <v>5.7907999999999999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6"/>
        <v>1807-26</v>
      </c>
      <c r="AE165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5" s="82" t="str">
        <f t="shared" si="58"/>
        <v>"C:\Program Files (x86)\AstroGrep\AstroGrep.exe" /e /r /s /spath="%USERPROFILE%\AppData\Local\Temp\OnboardLogs" /stypes="app*4011*20170326*" /stext=" 15:.+((SYSTEM_STATE.+slice.+state.+changed )|(ment ac)|(multiple cpu faults)|(system.+state.+changed )|(\[timeout)|(PRM\|1\|D)|(kpr)|(kdp)|(\|lc)|(penalty))"</v>
      </c>
      <c r="AG165" s="1" t="str">
        <f t="shared" si="59"/>
        <v>NW</v>
      </c>
      <c r="AH165" s="86" t="str">
        <f t="shared" si="60"/>
        <v>"%USERPROFILE%\Documents\GitHub\eaglep3\Utilities\RefineRTDCRunTimes.py" --tripid 1807-26 --locoid 4011 --swversion DE.1.0.9.0 --startMP 204:1035 --initTime 2017-03-26T08:56:18 --startdatetime 2017-03-26T09:21:15 --delay 1 --endMP 300:58943 --enddatetime 2017-03-26T09:33:15 --enforcementcount 0 &gt;&gt;C:\Users\stu\Documents\GitHub\eaglep3-reporting\EC\2017-03-26-refined-times.txt</v>
      </c>
      <c r="AI165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{"issue":{"subject":"","project_id":79,"tracker_id":40,"status_id":1,"priority_id":2,"assigned_to_id":23,"start_date":"2017-03-26","description":"","custom_fields":[{"id":1,"name":"Subdivision","value":"NW"},{"id":4,"name":"Milepost","value":"5.8943"},{"id":17,"name":"Train ID","value":"1807-26"},{"id":16,"name":"Locomotive ID","value":"4011"},{"id":130,"name":"Impact","value":""},{"id":150,"name":"Time of Event (Mountain Time)","value":"09:33:15"},{"id":151,"name":"Denver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2"/>
        <v>start /low /b %USERPROFILE%\Documents\GitHub\eaglep3\Utilities\DownloadLogsFromS3.py --loco 4011 --day 2017-03-26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66" spans="1:91" s="20" customFormat="1" x14ac:dyDescent="0.25">
      <c r="A166" s="33" t="s">
        <v>698</v>
      </c>
      <c r="B166" s="7">
        <v>4012</v>
      </c>
      <c r="C166" s="21" t="s">
        <v>219</v>
      </c>
      <c r="D166" s="21" t="s">
        <v>883</v>
      </c>
      <c r="E166" s="13">
        <v>42820.403101851851</v>
      </c>
      <c r="F166" s="13">
        <v>42820.404282407406</v>
      </c>
      <c r="G166" s="7">
        <v>0</v>
      </c>
      <c r="H166" s="21" t="s">
        <v>884</v>
      </c>
      <c r="I166" s="13">
        <v>42820.412465277775</v>
      </c>
      <c r="J166" s="7">
        <v>0</v>
      </c>
      <c r="K166" s="98" t="str">
        <f t="shared" si="48"/>
        <v>4011/4012</v>
      </c>
      <c r="L166" s="21" t="str">
        <f>VLOOKUP(A166,'Trips&amp;Operators'!$C$1:$G$99999,5,FALSE)</f>
        <v>YORK EDGAR</v>
      </c>
      <c r="M166" s="6">
        <f t="shared" si="49"/>
        <v>8.182870369637385E-3</v>
      </c>
      <c r="N166" s="7">
        <f t="shared" si="46"/>
        <v>11.783333332277834</v>
      </c>
      <c r="O166" s="7"/>
      <c r="P166" s="7"/>
      <c r="Q166" s="22"/>
      <c r="R166" s="22"/>
      <c r="S166" s="31">
        <f t="shared" si="47"/>
        <v>1</v>
      </c>
      <c r="T166" s="46" t="str">
        <f t="shared" si="50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1"/>
        <v>https://d0f6bd738d7f1b3e5a7ca70fe4ff75f0.us-east-1.aws.found.io/app/kibana#/discover/Steve-Slow-Train-Analysis-(2080s-and-2083s)?_g=(refreshInterval:(display:Off,pause:!f,section:0,value:0),time:(from:'2017-03-26T08:40:28-0600',mode:absolute,to:'2017-03-26T10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187" t="str">
        <f t="shared" si="52"/>
        <v>N</v>
      </c>
      <c r="X166" s="187">
        <f t="shared" si="65"/>
        <v>1</v>
      </c>
      <c r="Y166" s="62">
        <f t="shared" si="53"/>
        <v>5.8623000000000003</v>
      </c>
      <c r="Z166" s="62">
        <f t="shared" si="54"/>
        <v>7.5499999999999998E-2</v>
      </c>
      <c r="AA166" s="62">
        <f t="shared" si="55"/>
        <v>5.7868000000000004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6"/>
        <v>1808-26</v>
      </c>
      <c r="AE166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6" s="82" t="str">
        <f t="shared" si="58"/>
        <v>"C:\Program Files (x86)\AstroGrep\AstroGrep.exe" /e /r /s /spath="%USERPROFILE%\AppData\Local\Temp\OnboardLogs" /stypes="app*4012*20170326*" /stext=" 15:.+((SYSTEM_STATE.+slice.+state.+changed )|(ment ac)|(multiple cpu faults)|(system.+state.+changed )|(\[timeout)|(PRM\|1\|D)|(kpr)|(kdp)|(\|lc)|(penalty))"</v>
      </c>
      <c r="AG166" s="1" t="str">
        <f t="shared" si="59"/>
        <v>NW</v>
      </c>
      <c r="AH166" s="86" t="str">
        <f t="shared" si="60"/>
        <v>"%USERPROFILE%\Documents\GitHub\eaglep3\Utilities\RefineRTDCRunTimes.py" --tripid 1808-26 --locoid 4012 --swversion DE.1.0.9.0 --startMP 300:58623 --initTime 2017-03-26T09:40:28 --startdatetime 2017-03-26T09:42:10 --delay 0 --endMP 204:755 --enddatetime 2017-03-26T09:53:57 --enforcementcount 0 &gt;&gt;C:\Users\stu\Documents\GitHub\eaglep3-reporting\EC\2017-03-26-refined-times.txt</v>
      </c>
      <c r="AI166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{"issue":{"subject":"","project_id":79,"tracker_id":40,"status_id":1,"priority_id":2,"assigned_to_id":23,"start_date":"2017-03-26","description":"","custom_fields":[{"id":1,"name":"Subdivision","value":"NW"},{"id":4,"name":"Milepost","value":"0.0755"},{"id":17,"name":"Train ID","value":"1808-26"},{"id":16,"name":"Locomotive ID","value":"4012"},{"id":130,"name":"Impact","value":""},{"id":150,"name":"Time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2"/>
        <v>start /low /b %USERPROFILE%\Documents\GitHub\eaglep3\Utilities\DownloadLogsFromS3.py --loco 4012 --day 2017-03-26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699</v>
      </c>
      <c r="B167" s="7">
        <v>4011</v>
      </c>
      <c r="C167" s="21" t="s">
        <v>219</v>
      </c>
      <c r="D167" s="21" t="s">
        <v>885</v>
      </c>
      <c r="E167" s="13">
        <v>42820.415300925924</v>
      </c>
      <c r="F167" s="13">
        <v>42820.43141203704</v>
      </c>
      <c r="G167" s="7">
        <v>1</v>
      </c>
      <c r="H167" s="21" t="s">
        <v>591</v>
      </c>
      <c r="I167" s="13">
        <v>42820.43986111111</v>
      </c>
      <c r="J167" s="7">
        <v>0</v>
      </c>
      <c r="K167" s="98" t="str">
        <f t="shared" si="48"/>
        <v>4011/4012</v>
      </c>
      <c r="L167" s="21" t="str">
        <f>VLOOKUP(A167,'Trips&amp;Operators'!$C$1:$G$99999,5,FALSE)</f>
        <v>YORK EDGAR</v>
      </c>
      <c r="M167" s="6">
        <f t="shared" si="49"/>
        <v>8.4490740700857714E-3</v>
      </c>
      <c r="N167" s="7">
        <f t="shared" si="46"/>
        <v>12.166666660923511</v>
      </c>
      <c r="O167" s="7"/>
      <c r="P167" s="7"/>
      <c r="Q167" s="22"/>
      <c r="R167" s="22"/>
      <c r="S167" s="31">
        <f t="shared" si="47"/>
        <v>1</v>
      </c>
      <c r="T167" s="46" t="str">
        <f t="shared" si="50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1"/>
        <v>https://d0f6bd738d7f1b3e5a7ca70fe4ff75f0.us-east-1.aws.found.io/app/kibana#/discover/Steve-Slow-Train-Analysis-(2080s-and-2083s)?_g=(refreshInterval:(display:Off,pause:!f,section:0,value:0),time:(from:'2017-03-26T08:58:02-0600',mode:absolute,to:'2017-03-26T11:33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187" t="str">
        <f t="shared" si="52"/>
        <v>N</v>
      </c>
      <c r="X167" s="187">
        <f t="shared" si="65"/>
        <v>1</v>
      </c>
      <c r="Y167" s="62">
        <f t="shared" si="53"/>
        <v>0.10390000000000001</v>
      </c>
      <c r="Z167" s="62">
        <f t="shared" si="54"/>
        <v>5.8935000000000004</v>
      </c>
      <c r="AA167" s="62">
        <f t="shared" si="55"/>
        <v>5.7896000000000001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6"/>
        <v>1809-26</v>
      </c>
      <c r="AE167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7" s="82" t="str">
        <f t="shared" si="58"/>
        <v>"C:\Program Files (x86)\AstroGrep\AstroGrep.exe" /e /r /s /spath="%USERPROFILE%\AppData\Local\Temp\OnboardLogs" /stypes="app*4011*20170326*" /stext=" 16:.+((SYSTEM_STATE.+slice.+state.+changed )|(ment ac)|(multiple cpu faults)|(system.+state.+changed )|(\[timeout)|(PRM\|1\|D)|(kpr)|(kdp)|(\|lc)|(penalty))"</v>
      </c>
      <c r="AG167" s="1" t="str">
        <f t="shared" si="59"/>
        <v>NW</v>
      </c>
      <c r="AH167" s="86" t="str">
        <f t="shared" si="60"/>
        <v>"%USERPROFILE%\Documents\GitHub\eaglep3\Utilities\RefineRTDCRunTimes.py" --tripid 1809-26 --locoid 4011 --swversion DE.1.0.9.0 --startMP 204:1039 --initTime 2017-03-26T09:58:02 --startdatetime 2017-03-26T10:21:14 --delay 1 --endMP 300:58935 --enddatetime 2017-03-26T10:33:24 --enforcementcount 0 &gt;&gt;C:\Users\stu\Documents\GitHub\eaglep3-reporting\EC\2017-03-26-refined-times.txt</v>
      </c>
      <c r="AI167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{"issue":{"subject":"","project_id":79,"tracker_id":40,"status_id":1,"priority_id":2,"assigned_to_id":23,"start_date":"2017-03-26","description":"","custom_fields":[{"id":1,"name":"Subdivision","value":"NW"},{"id":4,"name":"Milepost","value":"5.8935"},{"id":17,"name":"Train ID","value":"1809-26"},{"id":16,"name":"Locomotive ID","value":"4011"},{"id":130,"name":"Impact","value":""},{"id":150,"name":"Time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2"/>
        <v>start /low /b %USERPROFILE%\Documents\GitHub\eaglep3\Utilities\DownloadLogsFromS3.py --loco 4011 --day 2017-03-26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68" spans="1:91" x14ac:dyDescent="0.25">
      <c r="A168" s="33" t="s">
        <v>703</v>
      </c>
      <c r="B168" s="7">
        <v>4012</v>
      </c>
      <c r="C168" s="21" t="s">
        <v>219</v>
      </c>
      <c r="D168" s="21" t="s">
        <v>411</v>
      </c>
      <c r="E168" s="13">
        <v>42820.441863425927</v>
      </c>
      <c r="F168" s="13">
        <v>42820.445393518516</v>
      </c>
      <c r="G168" s="7">
        <v>1</v>
      </c>
      <c r="H168" s="21" t="s">
        <v>551</v>
      </c>
      <c r="I168" s="13">
        <v>42820.454212962963</v>
      </c>
      <c r="J168" s="7">
        <v>0</v>
      </c>
      <c r="K168" s="98" t="str">
        <f t="shared" si="48"/>
        <v>4011/4012</v>
      </c>
      <c r="L168" s="21" t="str">
        <f>VLOOKUP(A168,'Trips&amp;Operators'!$C$1:$G$99999,5,FALSE)</f>
        <v>YORK EDGAR</v>
      </c>
      <c r="M168" s="6">
        <f t="shared" si="49"/>
        <v>8.819444446999114E-3</v>
      </c>
      <c r="N168" s="7">
        <f t="shared" si="46"/>
        <v>12.700000003678724</v>
      </c>
      <c r="O168" s="7"/>
      <c r="P168" s="7"/>
      <c r="Q168" s="22"/>
      <c r="R168" s="22"/>
      <c r="S168" s="31">
        <f t="shared" si="47"/>
        <v>1</v>
      </c>
      <c r="T168" s="46" t="str">
        <f t="shared" si="50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1"/>
        <v>https://d0f6bd738d7f1b3e5a7ca70fe4ff75f0.us-east-1.aws.found.io/app/kibana#/discover/Steve-Slow-Train-Analysis-(2080s-and-2083s)?_g=(refreshInterval:(display:Off,pause:!f,section:0,value:0),time:(from:'2017-03-26T09:36:17-0600',mode:absolute,to:'2017-03-26T11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87" t="str">
        <f t="shared" si="52"/>
        <v>N</v>
      </c>
      <c r="X168" s="187">
        <f t="shared" si="65"/>
        <v>1</v>
      </c>
      <c r="Y168" s="62">
        <f t="shared" si="53"/>
        <v>5.8615000000000004</v>
      </c>
      <c r="Z168" s="62">
        <f t="shared" si="54"/>
        <v>7.4800000000000005E-2</v>
      </c>
      <c r="AA168" s="62">
        <f t="shared" si="55"/>
        <v>5.7867000000000006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6"/>
        <v>1810-26</v>
      </c>
      <c r="AE168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68" s="82" t="str">
        <f t="shared" si="58"/>
        <v>"C:\Program Files (x86)\AstroGrep\AstroGrep.exe" /e /r /s /spath="%USERPROFILE%\AppData\Local\Temp\OnboardLogs" /stypes="app*4012*20170326*" /stext=" 16:.+((SYSTEM_STATE.+slice.+state.+changed )|(ment ac)|(multiple cpu faults)|(system.+state.+changed )|(\[timeout)|(PRM\|1\|D)|(kpr)|(kdp)|(\|lc)|(penalty))"</v>
      </c>
      <c r="AG168" s="1" t="str">
        <f t="shared" si="59"/>
        <v>NW</v>
      </c>
      <c r="AH168" s="86" t="str">
        <f t="shared" si="60"/>
        <v>"%USERPROFILE%\Documents\GitHub\eaglep3\Utilities\RefineRTDCRunTimes.py" --tripid 1810-26 --locoid 4012 --swversion DE.1.0.9.0 --startMP 300:58615 --initTime 2017-03-26T10:36:17 --startdatetime 2017-03-26T10:41:22 --delay 1 --endMP 204:748 --enddatetime 2017-03-26T10:54:04 --enforcementcount 0 &gt;&gt;C:\Users\stu\Documents\GitHub\eaglep3-reporting\EC\2017-03-26-refined-times.txt</v>
      </c>
      <c r="AI168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{"issue":{"subject":"","project_id":79,"tracker_id":40,"status_id":1,"priority_id":2,"assigned_to_id":23,"start_date":"2017-03-26","description":"","custom_fields":[{"id":1,"name":"Subdivision","value":"NW"},{"id":4,"name":"Milepost","value":"0.0748"},{"id":17,"name":"Train ID","value":"1810-26"},{"id":16,"name":"Locomotive ID","value":"4012"},{"id":130,"name":"Impact","value":""},{"id":150,"name":"Time of Event (Mountain Time)","value":"10:54:04"},{"id":151,"name":"Denver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2"/>
        <v>start /low /b %USERPROFILE%\Documents\GitHub\eaglep3\Utilities\DownloadLogsFromS3.py --loco 4012 --day 2017-03-26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69" spans="1:91" x14ac:dyDescent="0.25">
      <c r="A169" s="33" t="s">
        <v>708</v>
      </c>
      <c r="B169" s="7">
        <v>4011</v>
      </c>
      <c r="C169" s="21" t="s">
        <v>219</v>
      </c>
      <c r="D169" s="21" t="s">
        <v>887</v>
      </c>
      <c r="E169" s="13">
        <v>42820.455081018517</v>
      </c>
      <c r="F169" s="13">
        <v>42820.473090277781</v>
      </c>
      <c r="G169" s="7">
        <v>0</v>
      </c>
      <c r="H169" s="21" t="s">
        <v>499</v>
      </c>
      <c r="I169" s="13">
        <v>42820.481550925928</v>
      </c>
      <c r="J169" s="7">
        <v>0</v>
      </c>
      <c r="K169" s="98" t="str">
        <f t="shared" si="48"/>
        <v>4011/4012</v>
      </c>
      <c r="L169" s="21" t="str">
        <f>VLOOKUP(A169,'Trips&amp;Operators'!$C$1:$G$99999,5,FALSE)</f>
        <v>YORK EDGAR</v>
      </c>
      <c r="M169" s="6">
        <f t="shared" si="49"/>
        <v>8.4606481468654238E-3</v>
      </c>
      <c r="N169" s="7">
        <f t="shared" si="46"/>
        <v>12.18333333148621</v>
      </c>
      <c r="O169" s="7"/>
      <c r="P169" s="7"/>
      <c r="Q169" s="22"/>
      <c r="R169" s="22"/>
      <c r="S169" s="31">
        <f t="shared" si="47"/>
        <v>1</v>
      </c>
      <c r="T169" s="46" t="str">
        <f t="shared" si="50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1"/>
        <v>https://d0f6bd738d7f1b3e5a7ca70fe4ff75f0.us-east-1.aws.found.io/app/kibana#/discover/Steve-Slow-Train-Analysis-(2080s-and-2083s)?_g=(refreshInterval:(display:Off,pause:!f,section:0,value:0),time:(from:'2017-03-26T09:55:19-0600',mode:absolute,to:'2017-03-26T12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87" t="str">
        <f t="shared" si="52"/>
        <v>N</v>
      </c>
      <c r="X169" s="187">
        <f t="shared" si="65"/>
        <v>1</v>
      </c>
      <c r="Y169" s="62">
        <f t="shared" si="53"/>
        <v>0.1037</v>
      </c>
      <c r="Z169" s="62">
        <f t="shared" si="54"/>
        <v>5.8939000000000004</v>
      </c>
      <c r="AA169" s="62">
        <f t="shared" si="55"/>
        <v>5.7902000000000005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6"/>
        <v>1811-26</v>
      </c>
      <c r="AE169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69" s="82" t="str">
        <f t="shared" si="58"/>
        <v>"C:\Program Files (x86)\AstroGrep\AstroGrep.exe" /e /r /s /spath="%USERPROFILE%\AppData\Local\Temp\OnboardLogs" /stypes="app*4011*20170326*" /stext=" 17:.+((SYSTEM_STATE.+slice.+state.+changed )|(ment ac)|(multiple cpu faults)|(system.+state.+changed )|(\[timeout)|(PRM\|1\|D)|(kpr)|(kdp)|(\|lc)|(penalty))"</v>
      </c>
      <c r="AG169" s="1" t="str">
        <f t="shared" si="59"/>
        <v>NW</v>
      </c>
      <c r="AH169" s="86" t="str">
        <f t="shared" si="60"/>
        <v>"%USERPROFILE%\Documents\GitHub\eaglep3\Utilities\RefineRTDCRunTimes.py" --tripid 1811-26 --locoid 4011 --swversion DE.1.0.9.0 --startMP 204:1037 --initTime 2017-03-26T10:55:19 --startdatetime 2017-03-26T11:21:15 --delay 0 --endMP 300:58939 --enddatetime 2017-03-26T11:33:26 --enforcementcount 0 &gt;&gt;C:\Users\stu\Documents\GitHub\eaglep3-reporting\EC\2017-03-26-refined-times.txt</v>
      </c>
      <c r="AI169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ID","value":"1811-26"},{"id":16,"name":"Locomotive ID","value":"4011"},{"id":130,"name":"Impact","value":""},{"id":150,"name":"Time of Event (Mountain Time)","value":"11:33:26"},{"id":151,"name":"Denver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2"/>
        <v>start /low /b %USERPROFILE%\Documents\GitHub\eaglep3\Utilities\DownloadLogsFromS3.py --loco 4011 --day 2017-03-26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70" spans="1:91" s="20" customFormat="1" x14ac:dyDescent="0.25">
      <c r="A170" s="33" t="s">
        <v>715</v>
      </c>
      <c r="B170" s="7">
        <v>4012</v>
      </c>
      <c r="C170" s="21" t="s">
        <v>219</v>
      </c>
      <c r="D170" s="21" t="s">
        <v>593</v>
      </c>
      <c r="E170" s="13">
        <v>42820.483877314815</v>
      </c>
      <c r="F170" s="13">
        <v>42820.486979166664</v>
      </c>
      <c r="G170" s="7">
        <v>1</v>
      </c>
      <c r="H170" s="21" t="s">
        <v>888</v>
      </c>
      <c r="I170" s="13">
        <v>42820.495833333334</v>
      </c>
      <c r="J170" s="7">
        <v>0</v>
      </c>
      <c r="K170" s="98" t="str">
        <f t="shared" si="48"/>
        <v>4011/4012</v>
      </c>
      <c r="L170" s="21" t="str">
        <f>VLOOKUP(A170,'Trips&amp;Operators'!$C$1:$G$99999,5,FALSE)</f>
        <v>YORK EDGAR</v>
      </c>
      <c r="M170" s="6">
        <f t="shared" si="49"/>
        <v>8.8541666700621136E-3</v>
      </c>
      <c r="N170" s="7">
        <f t="shared" si="46"/>
        <v>12.750000004889444</v>
      </c>
      <c r="O170" s="7"/>
      <c r="P170" s="7"/>
      <c r="Q170" s="22"/>
      <c r="R170" s="22"/>
      <c r="S170" s="31">
        <f t="shared" si="47"/>
        <v>1</v>
      </c>
      <c r="T170" s="46" t="str">
        <f t="shared" si="50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1"/>
        <v>https://d0f6bd738d7f1b3e5a7ca70fe4ff75f0.us-east-1.aws.found.io/app/kibana#/discover/Steve-Slow-Train-Analysis-(2080s-and-2083s)?_g=(refreshInterval:(display:Off,pause:!f,section:0,value:0),time:(from:'2017-03-26T10:36:47-0600',mode:absolute,to:'2017-03-26T12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87" t="str">
        <f t="shared" si="52"/>
        <v>N</v>
      </c>
      <c r="X170" s="187">
        <f t="shared" si="65"/>
        <v>1</v>
      </c>
      <c r="Y170" s="62">
        <f t="shared" si="53"/>
        <v>5.8624000000000001</v>
      </c>
      <c r="Z170" s="62">
        <f t="shared" si="54"/>
        <v>7.3599999999999999E-2</v>
      </c>
      <c r="AA170" s="62">
        <f t="shared" si="55"/>
        <v>5.7888000000000002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6"/>
        <v>1812-26</v>
      </c>
      <c r="AE170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0" s="82" t="str">
        <f t="shared" si="58"/>
        <v>"C:\Program Files (x86)\AstroGrep\AstroGrep.exe" /e /r /s /spath="%USERPROFILE%\AppData\Local\Temp\OnboardLogs" /stypes="app*4012*20170326*" /stext=" 17:.+((SYSTEM_STATE.+slice.+state.+changed )|(ment ac)|(multiple cpu faults)|(system.+state.+changed )|(\[timeout)|(PRM\|1\|D)|(kpr)|(kdp)|(\|lc)|(penalty))"</v>
      </c>
      <c r="AG170" s="1" t="str">
        <f t="shared" si="59"/>
        <v>NW</v>
      </c>
      <c r="AH170" s="86" t="str">
        <f t="shared" si="60"/>
        <v>"%USERPROFILE%\Documents\GitHub\eaglep3\Utilities\RefineRTDCRunTimes.py" --tripid 1812-26 --locoid 4012 --swversion DE.1.0.9.0 --startMP 300:58624 --initTime 2017-03-26T11:36:47 --startdatetime 2017-03-26T11:41:15 --delay 1 --endMP 204:736 --enddatetime 2017-03-26T11:54:00 --enforcementcount 0 &gt;&gt;C:\Users\stu\Documents\GitHub\eaglep3-reporting\EC\2017-03-26-refined-times.txt</v>
      </c>
      <c r="AI170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{"issue":{"subject":"","project_id":79,"tracker_id":40,"status_id":1,"priority_id":2,"assigned_to_id":23,"start_date":"2017-03-26","description":"","custom_fields":[{"id":1,"name":"Subdivision","value":"NW"},{"id":4,"name":"Milepost","value":"0.0736"},{"id":17,"name":"Train ID","value":"1812-26"},{"id":16,"name":"Locomotive ID","value":"4012"},{"id":130,"name":"Impact","value":""},{"id":150,"name":"Time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2"/>
        <v>start /low /b %USERPROFILE%\Documents\GitHub\eaglep3\Utilities\DownloadLogsFromS3.py --loco 4012 --day 2017-03-26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3" t="s">
        <v>718</v>
      </c>
      <c r="B171" s="7">
        <v>4011</v>
      </c>
      <c r="C171" s="21" t="s">
        <v>219</v>
      </c>
      <c r="D171" s="21" t="s">
        <v>889</v>
      </c>
      <c r="E171" s="13">
        <v>42820.497048611112</v>
      </c>
      <c r="F171" s="13">
        <v>42820.514745370368</v>
      </c>
      <c r="G171" s="7">
        <v>1</v>
      </c>
      <c r="H171" s="21" t="s">
        <v>595</v>
      </c>
      <c r="I171" s="13">
        <v>42820.523321759261</v>
      </c>
      <c r="J171" s="7">
        <v>0</v>
      </c>
      <c r="K171" s="98" t="str">
        <f t="shared" si="48"/>
        <v>4011/4012</v>
      </c>
      <c r="L171" s="21" t="str">
        <f>VLOOKUP(A171,'Trips&amp;Operators'!$C$1:$G$99999,5,FALSE)</f>
        <v>YORK EDGAR</v>
      </c>
      <c r="M171" s="6">
        <f t="shared" si="49"/>
        <v>8.5763888928340748E-3</v>
      </c>
      <c r="N171" s="7">
        <f t="shared" si="46"/>
        <v>12.350000005681068</v>
      </c>
      <c r="O171" s="7"/>
      <c r="P171" s="7"/>
      <c r="Q171" s="22"/>
      <c r="R171" s="22"/>
      <c r="S171" s="31">
        <f t="shared" si="47"/>
        <v>1</v>
      </c>
      <c r="T171" s="46" t="str">
        <f t="shared" si="50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1"/>
        <v>https://d0f6bd738d7f1b3e5a7ca70fe4ff75f0.us-east-1.aws.found.io/app/kibana#/discover/Steve-Slow-Train-Analysis-(2080s-and-2083s)?_g=(refreshInterval:(display:Off,pause:!f,section:0,value:0),time:(from:'2017-03-26T10:55:45-0600',mode:absolute,to:'2017-03-26T13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87" t="str">
        <f t="shared" si="52"/>
        <v>N</v>
      </c>
      <c r="X171" s="187">
        <f t="shared" si="65"/>
        <v>1</v>
      </c>
      <c r="Y171" s="62">
        <f t="shared" si="53"/>
        <v>0.1032</v>
      </c>
      <c r="Z171" s="62">
        <f t="shared" si="54"/>
        <v>5.8944000000000001</v>
      </c>
      <c r="AA171" s="62">
        <f t="shared" si="55"/>
        <v>5.7911999999999999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6"/>
        <v>1813-26</v>
      </c>
      <c r="AE171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1" s="82" t="str">
        <f t="shared" si="58"/>
        <v>"C:\Program Files (x86)\AstroGrep\AstroGrep.exe" /e /r /s /spath="%USERPROFILE%\AppData\Local\Temp\OnboardLogs" /stypes="app*4011*20170326*" /stext=" 18:.+((SYSTEM_STATE.+slice.+state.+changed )|(ment ac)|(multiple cpu faults)|(system.+state.+changed )|(\[timeout)|(PRM\|1\|D)|(kpr)|(kdp)|(\|lc)|(penalty))"</v>
      </c>
      <c r="AG171" s="1" t="str">
        <f t="shared" si="59"/>
        <v>NW</v>
      </c>
      <c r="AH171" s="86" t="str">
        <f t="shared" si="60"/>
        <v>"%USERPROFILE%\Documents\GitHub\eaglep3\Utilities\RefineRTDCRunTimes.py" --tripid 1813-26 --locoid 4011 --swversion DE.1.0.9.0 --startMP 204:1032 --initTime 2017-03-26T11:55:45 --startdatetime 2017-03-26T12:21:14 --delay 1 --endMP 300:58944 --enddatetime 2017-03-26T12:33:35 --enforcementcount 0 &gt;&gt;C:\Users\stu\Documents\GitHub\eaglep3-reporting\EC\2017-03-26-refined-times.txt</v>
      </c>
      <c r="AI171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ID","value":"1813-26"},{"id":16,"name":"Locomotive ID","value":"4011"},{"id":130,"name":"Impact","value":""},{"id":150,"name":"Time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2"/>
        <v>start /low /b %USERPROFILE%\Documents\GitHub\eaglep3\Utilities\DownloadLogsFromS3.py --loco 4011 --day 2017-03-26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723</v>
      </c>
      <c r="B172" s="7">
        <v>4012</v>
      </c>
      <c r="C172" s="21" t="s">
        <v>219</v>
      </c>
      <c r="D172" s="21" t="s">
        <v>890</v>
      </c>
      <c r="E172" s="13">
        <v>42820.524143518516</v>
      </c>
      <c r="F172" s="13">
        <v>42820.52815972222</v>
      </c>
      <c r="G172" s="7">
        <v>1</v>
      </c>
      <c r="H172" s="21" t="s">
        <v>569</v>
      </c>
      <c r="I172" s="13">
        <v>42820.537430555552</v>
      </c>
      <c r="J172" s="7">
        <v>0</v>
      </c>
      <c r="K172" s="98" t="str">
        <f t="shared" si="48"/>
        <v>4011/4012</v>
      </c>
      <c r="L172" s="21" t="str">
        <f>VLOOKUP(A172,'Trips&amp;Operators'!$C$1:$G$99999,5,FALSE)</f>
        <v>YORK EDGAR</v>
      </c>
      <c r="M172" s="6">
        <f t="shared" si="49"/>
        <v>9.2708333322661929E-3</v>
      </c>
      <c r="N172" s="7">
        <f t="shared" ref="N172:N203" si="66">24*60*SUM($M172:$M172)</f>
        <v>13.349999998463318</v>
      </c>
      <c r="O172" s="7"/>
      <c r="P172" s="7"/>
      <c r="Q172" s="22"/>
      <c r="R172" s="22"/>
      <c r="S172" s="31">
        <f t="shared" ref="S172:S203" si="67">SUM(U172:U172)/IF(AG172="EC",12,1)</f>
        <v>1</v>
      </c>
      <c r="T172" s="46" t="str">
        <f t="shared" si="50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1"/>
        <v>https://d0f6bd738d7f1b3e5a7ca70fe4ff75f0.us-east-1.aws.found.io/app/kibana#/discover/Steve-Slow-Train-Analysis-(2080s-and-2083s)?_g=(refreshInterval:(display:Off,pause:!f,section:0,value:0),time:(from:'2017-03-26T11:34:46-0600',mode:absolute,to:'2017-03-26T13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87" t="str">
        <f t="shared" si="52"/>
        <v>N</v>
      </c>
      <c r="X172" s="187">
        <f t="shared" si="65"/>
        <v>1</v>
      </c>
      <c r="Y172" s="62">
        <f t="shared" si="53"/>
        <v>5.8635999999999999</v>
      </c>
      <c r="Z172" s="62">
        <f t="shared" si="54"/>
        <v>7.5700000000000003E-2</v>
      </c>
      <c r="AA172" s="62">
        <f t="shared" si="55"/>
        <v>5.7878999999999996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6"/>
        <v>1814-26</v>
      </c>
      <c r="AE172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2" s="82" t="str">
        <f t="shared" si="58"/>
        <v>"C:\Program Files (x86)\AstroGrep\AstroGrep.exe" /e /r /s /spath="%USERPROFILE%\AppData\Local\Temp\OnboardLogs" /stypes="app*4012*20170326*" /stext=" 18:.+((SYSTEM_STATE.+slice.+state.+changed )|(ment ac)|(multiple cpu faults)|(system.+state.+changed )|(\[timeout)|(PRM\|1\|D)|(kpr)|(kdp)|(\|lc)|(penalty))"</v>
      </c>
      <c r="AG172" s="1" t="str">
        <f t="shared" si="59"/>
        <v>NW</v>
      </c>
      <c r="AH172" s="86" t="str">
        <f t="shared" si="60"/>
        <v>"%USERPROFILE%\Documents\GitHub\eaglep3\Utilities\RefineRTDCRunTimes.py" --tripid 1814-26 --locoid 4012 --swversion DE.1.0.9.0 --startMP 300:58636 --initTime 2017-03-26T12:34:46 --startdatetime 2017-03-26T12:40:33 --delay 1 --endMP 204:757 --enddatetime 2017-03-26T12:53:54 --enforcementcount 0 &gt;&gt;C:\Users\stu\Documents\GitHub\eaglep3-reporting\EC\2017-03-26-refined-times.txt</v>
      </c>
      <c r="AI172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{"issue":{"subject":"","project_id":79,"tracker_id":40,"status_id":1,"priority_id":2,"assigned_to_id":23,"start_date":"2017-03-26","description":"","custom_fields":[{"id":1,"name":"Subdivision","value":"NW"},{"id":4,"name":"Milepost","value":"0.0757"},{"id":17,"name":"Train ID","value":"1814-26"},{"id":16,"name":"Locomotive ID","value":"4012"},{"id":130,"name":"Impact","value":""},{"id":150,"name":"Time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2"/>
        <v>start /low /b %USERPROFILE%\Documents\GitHub\eaglep3\Utilities\DownloadLogsFromS3.py --loco 4012 --day 2017-03-26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727</v>
      </c>
      <c r="B173" s="7">
        <v>4011</v>
      </c>
      <c r="C173" s="21" t="s">
        <v>219</v>
      </c>
      <c r="D173" s="21" t="s">
        <v>891</v>
      </c>
      <c r="E173" s="13">
        <v>42820.538530092592</v>
      </c>
      <c r="F173" s="13">
        <v>42820.556423611109</v>
      </c>
      <c r="G173" s="7">
        <v>1</v>
      </c>
      <c r="H173" s="21" t="s">
        <v>595</v>
      </c>
      <c r="I173" s="13">
        <v>42820.565115740741</v>
      </c>
      <c r="J173" s="7">
        <v>0</v>
      </c>
      <c r="K173" s="98" t="str">
        <f t="shared" si="48"/>
        <v>4011/4012</v>
      </c>
      <c r="L173" s="21" t="str">
        <f>VLOOKUP(A173,'Trips&amp;Operators'!$C$1:$G$99999,5,FALSE)</f>
        <v>YORK EDGAR</v>
      </c>
      <c r="M173" s="6">
        <f t="shared" si="49"/>
        <v>8.6921296315267682E-3</v>
      </c>
      <c r="N173" s="7">
        <f t="shared" si="66"/>
        <v>12.516666669398546</v>
      </c>
      <c r="O173" s="7"/>
      <c r="P173" s="7"/>
      <c r="Q173" s="22"/>
      <c r="R173" s="22"/>
      <c r="S173" s="31">
        <f t="shared" si="67"/>
        <v>1</v>
      </c>
      <c r="T173" s="46" t="str">
        <f t="shared" si="50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1"/>
        <v>https://d0f6bd738d7f1b3e5a7ca70fe4ff75f0.us-east-1.aws.found.io/app/kibana#/discover/Steve-Slow-Train-Analysis-(2080s-and-2083s)?_g=(refreshInterval:(display:Off,pause:!f,section:0,value:0),time:(from:'2017-03-26T11:55:29-0600',mode:absolute,to:'2017-03-26T14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87" t="str">
        <f t="shared" si="52"/>
        <v>N</v>
      </c>
      <c r="X173" s="187">
        <f t="shared" si="65"/>
        <v>1</v>
      </c>
      <c r="Y173" s="62">
        <f t="shared" si="53"/>
        <v>0.1041</v>
      </c>
      <c r="Z173" s="62">
        <f t="shared" si="54"/>
        <v>5.8944000000000001</v>
      </c>
      <c r="AA173" s="62">
        <f t="shared" si="55"/>
        <v>5.7903000000000002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6"/>
        <v>1815-26</v>
      </c>
      <c r="AE173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3" s="82" t="str">
        <f t="shared" si="58"/>
        <v>"C:\Program Files (x86)\AstroGrep\AstroGrep.exe" /e /r /s /spath="%USERPROFILE%\AppData\Local\Temp\OnboardLogs" /stypes="app*4011*20170326*" /stext=" 19:.+((SYSTEM_STATE.+slice.+state.+changed )|(ment ac)|(multiple cpu faults)|(system.+state.+changed )|(\[timeout)|(PRM\|1\|D)|(kpr)|(kdp)|(\|lc)|(penalty))"</v>
      </c>
      <c r="AG173" s="1" t="str">
        <f t="shared" si="59"/>
        <v>NW</v>
      </c>
      <c r="AH173" s="86" t="str">
        <f t="shared" si="60"/>
        <v>"%USERPROFILE%\Documents\GitHub\eaglep3\Utilities\RefineRTDCRunTimes.py" --tripid 1815-26 --locoid 4011 --swversion DE.1.0.9.0 --startMP 204:1041 --initTime 2017-03-26T12:55:29 --startdatetime 2017-03-26T13:21:15 --delay 1 --endMP 300:58944 --enddatetime 2017-03-26T13:33:46 --enforcementcount 0 &gt;&gt;C:\Users\stu\Documents\GitHub\eaglep3-reporting\EC\2017-03-26-refined-times.txt</v>
      </c>
      <c r="AI173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ID","value":"1815-26"},{"id":16,"name":"Locomotive ID","value":"4011"},{"id":130,"name":"Impact","value":""},{"id":150,"name":"Time of Event (Mountain Time)","value":"13:33:46"},{"id":151,"name":"Denver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2"/>
        <v>start /low /b %USERPROFILE%\Documents\GitHub\eaglep3\Utilities\DownloadLogsFromS3.py --loco 4011 --day 2017-03-26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74" spans="1:91" s="20" customFormat="1" x14ac:dyDescent="0.25">
      <c r="A174" s="33" t="s">
        <v>733</v>
      </c>
      <c r="B174" s="7">
        <v>4012</v>
      </c>
      <c r="C174" s="21" t="s">
        <v>219</v>
      </c>
      <c r="D174" s="21" t="s">
        <v>892</v>
      </c>
      <c r="E174" s="13">
        <v>42820.566064814811</v>
      </c>
      <c r="F174" s="13">
        <v>42820.569849537038</v>
      </c>
      <c r="G174" s="7">
        <v>1</v>
      </c>
      <c r="H174" s="21" t="s">
        <v>876</v>
      </c>
      <c r="I174" s="13">
        <v>42820.57916666667</v>
      </c>
      <c r="J174" s="7">
        <v>0</v>
      </c>
      <c r="K174" s="98" t="str">
        <f t="shared" si="48"/>
        <v>4011/4012</v>
      </c>
      <c r="L174" s="21" t="str">
        <f>VLOOKUP(A174,'Trips&amp;Operators'!$C$1:$G$99999,5,FALSE)</f>
        <v>YORK EDGAR</v>
      </c>
      <c r="M174" s="6">
        <f t="shared" si="49"/>
        <v>9.3171296321088448E-3</v>
      </c>
      <c r="N174" s="7">
        <f t="shared" si="66"/>
        <v>13.416666670236737</v>
      </c>
      <c r="O174" s="7"/>
      <c r="P174" s="7"/>
      <c r="Q174" s="22"/>
      <c r="R174" s="22"/>
      <c r="S174" s="31">
        <f t="shared" si="67"/>
        <v>1</v>
      </c>
      <c r="T174" s="46" t="str">
        <f t="shared" si="50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1"/>
        <v>https://d0f6bd738d7f1b3e5a7ca70fe4ff75f0.us-east-1.aws.found.io/app/kibana#/discover/Steve-Slow-Train-Analysis-(2080s-and-2083s)?_g=(refreshInterval:(display:Off,pause:!f,section:0,value:0),time:(from:'2017-03-26T12:35:08-0600',mode:absolute,to:'2017-03-26T14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87" t="str">
        <f t="shared" si="52"/>
        <v>N</v>
      </c>
      <c r="X174" s="187">
        <f t="shared" si="65"/>
        <v>1</v>
      </c>
      <c r="Y174" s="62">
        <f t="shared" si="53"/>
        <v>5.8625999999999996</v>
      </c>
      <c r="Z174" s="62">
        <f t="shared" si="54"/>
        <v>7.3800000000000004E-2</v>
      </c>
      <c r="AA174" s="62">
        <f t="shared" si="55"/>
        <v>5.7887999999999993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6"/>
        <v>1816-26</v>
      </c>
      <c r="AE174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4" s="82" t="str">
        <f t="shared" si="58"/>
        <v>"C:\Program Files (x86)\AstroGrep\AstroGrep.exe" /e /r /s /spath="%USERPROFILE%\AppData\Local\Temp\OnboardLogs" /stypes="app*4012*20170326*" /stext=" 19:.+((SYSTEM_STATE.+slice.+state.+changed )|(ment ac)|(multiple cpu faults)|(system.+state.+changed )|(\[timeout)|(PRM\|1\|D)|(kpr)|(kdp)|(\|lc)|(penalty))"</v>
      </c>
      <c r="AG174" s="1" t="str">
        <f t="shared" si="59"/>
        <v>NW</v>
      </c>
      <c r="AH174" s="86" t="str">
        <f t="shared" si="60"/>
        <v>"%USERPROFILE%\Documents\GitHub\eaglep3\Utilities\RefineRTDCRunTimes.py" --tripid 1816-26 --locoid 4012 --swversion DE.1.0.9.0 --startMP 300:58626 --initTime 2017-03-26T13:35:08 --startdatetime 2017-03-26T13:40:35 --delay 1 --endMP 204:738 --enddatetime 2017-03-26T13:54:00 --enforcementcount 0 &gt;&gt;C:\Users\stu\Documents\GitHub\eaglep3-reporting\EC\2017-03-26-refined-times.txt</v>
      </c>
      <c r="AI174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{"issue":{"subject":"","project_id":79,"tracker_id":40,"status_id":1,"priority_id":2,"assigned_to_id":23,"start_date":"2017-03-26","description":"","custom_fields":[{"id":1,"name":"Subdivision","value":"NW"},{"id":4,"name":"Milepost","value":"0.0738"},{"id":17,"name":"Train ID","value":"1816-26"},{"id":16,"name":"Locomotive ID","value":"4012"},{"id":130,"name":"Impact","value":""},{"id":150,"name":"Time of Event (Mountain Time)","value":"13:54:00"},{"id":151,"name":"Denver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2"/>
        <v>start /low /b %USERPROFILE%\Documents\GitHub\eaglep3\Utilities\DownloadLogsFromS3.py --loco 4012 --day 2017-03-26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736</v>
      </c>
      <c r="B175" s="7">
        <v>4011</v>
      </c>
      <c r="C175" s="21" t="s">
        <v>219</v>
      </c>
      <c r="D175" s="21" t="s">
        <v>891</v>
      </c>
      <c r="E175" s="13">
        <v>42820.59542824074</v>
      </c>
      <c r="F175" s="13">
        <v>42820.598124999997</v>
      </c>
      <c r="G175" s="7">
        <v>2</v>
      </c>
      <c r="H175" s="21" t="s">
        <v>595</v>
      </c>
      <c r="I175" s="13">
        <v>42820.607199074075</v>
      </c>
      <c r="J175" s="7">
        <v>0</v>
      </c>
      <c r="K175" s="98" t="str">
        <f t="shared" si="48"/>
        <v>4011/4012</v>
      </c>
      <c r="L175" s="21" t="str">
        <f>VLOOKUP(A175,'Trips&amp;Operators'!$C$1:$G$99999,5,FALSE)</f>
        <v>HELVIE ADAM</v>
      </c>
      <c r="M175" s="6">
        <f t="shared" si="49"/>
        <v>9.0740740779438056E-3</v>
      </c>
      <c r="N175" s="7">
        <f t="shared" si="66"/>
        <v>13.06666667223908</v>
      </c>
      <c r="O175" s="7"/>
      <c r="P175" s="7"/>
      <c r="Q175" s="22"/>
      <c r="R175" s="22"/>
      <c r="S175" s="31">
        <f t="shared" si="67"/>
        <v>1</v>
      </c>
      <c r="T175" s="46" t="str">
        <f t="shared" si="50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1"/>
        <v>https://d0f6bd738d7f1b3e5a7ca70fe4ff75f0.us-east-1.aws.found.io/app/kibana#/discover/Steve-Slow-Train-Analysis-(2080s-and-2083s)?_g=(refreshInterval:(display:Off,pause:!f,section:0,value:0),time:(from:'2017-03-26T13:17:25-0600',mode:absolute,to:'2017-03-26T15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87" t="str">
        <f t="shared" si="52"/>
        <v>N</v>
      </c>
      <c r="X175" s="187">
        <f t="shared" si="65"/>
        <v>1</v>
      </c>
      <c r="Y175" s="62">
        <f t="shared" si="53"/>
        <v>0.1041</v>
      </c>
      <c r="Z175" s="62">
        <f t="shared" si="54"/>
        <v>5.8944000000000001</v>
      </c>
      <c r="AA175" s="62">
        <f t="shared" si="55"/>
        <v>5.7903000000000002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6"/>
        <v>1817-26</v>
      </c>
      <c r="AE175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5" s="82" t="str">
        <f t="shared" si="58"/>
        <v>"C:\Program Files (x86)\AstroGrep\AstroGrep.exe" /e /r /s /spath="%USERPROFILE%\AppData\Local\Temp\OnboardLogs" /stypes="app*4011*20170326*" /stext=" 20:.+((SYSTEM_STATE.+slice.+state.+changed )|(ment ac)|(multiple cpu faults)|(system.+state.+changed )|(\[timeout)|(PRM\|1\|D)|(kpr)|(kdp)|(\|lc)|(penalty))"</v>
      </c>
      <c r="AG175" s="1" t="str">
        <f t="shared" si="59"/>
        <v>NW</v>
      </c>
      <c r="AH175" s="86" t="str">
        <f t="shared" si="60"/>
        <v>"%USERPROFILE%\Documents\GitHub\eaglep3\Utilities\RefineRTDCRunTimes.py" --tripid 1817-26 --locoid 4011 --swversion DE.1.0.9.0 --startMP 204:1041 --initTime 2017-03-26T14:17:25 --startdatetime 2017-03-26T14:21:18 --delay 2 --endMP 300:58944 --enddatetime 2017-03-26T14:34:22 --enforcementcount 0 &gt;&gt;C:\Users\stu\Documents\GitHub\eaglep3-reporting\EC\2017-03-26-refined-times.txt</v>
      </c>
      <c r="AI175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{"issue":{"subject":"","project_id":79,"tracker_id":40,"status_id":1,"priority_id":2,"assigned_to_id":23,"start_date":"2017-03-26","description":"","custom_fields":[{"id":1,"name":"Subdivision","value":"NW"},{"id":4,"name":"Milepost","value":"5.8944"},{"id":17,"name":"Train ID","value":"1817-26"},{"id":16,"name":"Locomotive ID","value":"4011"},{"id":130,"name":"Impact","value":""},{"id":150,"name":"Time of Event (Mountain Time)","value":"14:34:22"},{"id":151,"name":"Denver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2"/>
        <v>start /low /b %USERPROFILE%\Documents\GitHub\eaglep3\Utilities\DownloadLogsFromS3.py --loco 4011 --day 2017-03-26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76" spans="1:91" s="20" customFormat="1" x14ac:dyDescent="0.25">
      <c r="A176" s="33" t="s">
        <v>614</v>
      </c>
      <c r="B176" s="7">
        <v>4012</v>
      </c>
      <c r="C176" s="21" t="s">
        <v>219</v>
      </c>
      <c r="D176" s="21" t="s">
        <v>552</v>
      </c>
      <c r="E176" s="13">
        <v>42820.608553240738</v>
      </c>
      <c r="F176" s="13">
        <v>42820.61037037037</v>
      </c>
      <c r="G176" s="7">
        <v>1</v>
      </c>
      <c r="H176" s="21" t="s">
        <v>830</v>
      </c>
      <c r="I176" s="13">
        <v>42820.621712962966</v>
      </c>
      <c r="J176" s="7">
        <v>0</v>
      </c>
      <c r="K176" s="98" t="str">
        <f t="shared" si="48"/>
        <v>4011/4012</v>
      </c>
      <c r="L176" s="21" t="str">
        <f>VLOOKUP(A176,'Trips&amp;Operators'!$C$1:$G$99999,5,FALSE)</f>
        <v>HELVIE ADAM</v>
      </c>
      <c r="M176" s="6">
        <f t="shared" si="49"/>
        <v>1.1342592595610768E-2</v>
      </c>
      <c r="N176" s="7">
        <f t="shared" si="66"/>
        <v>16.333333337679505</v>
      </c>
      <c r="O176" s="7"/>
      <c r="P176" s="7"/>
      <c r="Q176" s="22"/>
      <c r="R176" s="22"/>
      <c r="S176" s="31">
        <f t="shared" si="67"/>
        <v>1</v>
      </c>
      <c r="T176" s="46" t="str">
        <f t="shared" si="50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1"/>
        <v>https://d0f6bd738d7f1b3e5a7ca70fe4ff75f0.us-east-1.aws.found.io/app/kibana#/discover/Steve-Slow-Train-Analysis-(2080s-and-2083s)?_g=(refreshInterval:(display:Off,pause:!f,section:0,value:0),time:(from:'2017-03-26T13:36:19-0600',mode:absolute,to:'2017-03-26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87" t="str">
        <f t="shared" si="52"/>
        <v>N</v>
      </c>
      <c r="X176" s="187">
        <f t="shared" si="65"/>
        <v>1</v>
      </c>
      <c r="Y176" s="62">
        <f t="shared" si="53"/>
        <v>5.8630000000000004</v>
      </c>
      <c r="Z176" s="62">
        <f t="shared" si="54"/>
        <v>7.5899999999999995E-2</v>
      </c>
      <c r="AA176" s="62">
        <f t="shared" si="55"/>
        <v>5.7871000000000006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6"/>
        <v>1818-26</v>
      </c>
      <c r="AE176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6" s="82" t="str">
        <f t="shared" si="58"/>
        <v>"C:\Program Files (x86)\AstroGrep\AstroGrep.exe" /e /r /s /spath="%USERPROFILE%\AppData\Local\Temp\OnboardLogs" /stypes="app*4012*20170326*" /stext=" 20:.+((SYSTEM_STATE.+slice.+state.+changed )|(ment ac)|(multiple cpu faults)|(system.+state.+changed )|(\[timeout)|(PRM\|1\|D)|(kpr)|(kdp)|(\|lc)|(penalty))"</v>
      </c>
      <c r="AG176" s="1" t="str">
        <f t="shared" si="59"/>
        <v>NW</v>
      </c>
      <c r="AH176" s="86" t="str">
        <f t="shared" si="60"/>
        <v>"%USERPROFILE%\Documents\GitHub\eaglep3\Utilities\RefineRTDCRunTimes.py" --tripid 1818-26 --locoid 4012 --swversion DE.1.0.9.0 --startMP 300:58630 --initTime 2017-03-26T14:36:19 --startdatetime 2017-03-26T14:38:56 --delay 1 --endMP 204:759 --enddatetime 2017-03-26T14:55:16 --enforcementcount 0 &gt;&gt;C:\Users\stu\Documents\GitHub\eaglep3-reporting\EC\2017-03-26-refined-times.txt</v>
      </c>
      <c r="AI176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{"issue":{"subject":"","project_id":79,"tracker_id":40,"status_id":1,"priority_id":2,"assigned_to_id":23,"start_date":"2017-03-26","description":"","custom_fields":[{"id":1,"name":"Subdivision","value":"NW"},{"id":4,"name":"Milepost","value":"0.0759"},{"id":17,"name":"Train ID","value":"1818-26"},{"id":16,"name":"Locomotive ID","value":"4012"},{"id":130,"name":"Impact","value":""},{"id":150,"name":"Time of Event (Mountain Time)","value":"14:55:16"},{"id":151,"name":"Denver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2"/>
        <v>start /low /b %USERPROFILE%\Documents\GitHub\eaglep3\Utilities\DownloadLogsFromS3.py --loco 4012 --day 2017-03-26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744</v>
      </c>
      <c r="B177" s="7">
        <v>4011</v>
      </c>
      <c r="C177" s="21" t="s">
        <v>219</v>
      </c>
      <c r="D177" s="21" t="s">
        <v>893</v>
      </c>
      <c r="E177" s="13">
        <v>42820.638368055559</v>
      </c>
      <c r="F177" s="13">
        <v>42820.639803240738</v>
      </c>
      <c r="G177" s="7">
        <v>1</v>
      </c>
      <c r="H177" s="21" t="s">
        <v>499</v>
      </c>
      <c r="I177" s="13">
        <v>42820.648981481485</v>
      </c>
      <c r="J177" s="7">
        <v>0</v>
      </c>
      <c r="K177" s="98" t="str">
        <f t="shared" si="48"/>
        <v>4011/4012</v>
      </c>
      <c r="L177" s="21" t="str">
        <f>VLOOKUP(A177,'Trips&amp;Operators'!$C$1:$G$99999,5,FALSE)</f>
        <v>HELVIE ADAM</v>
      </c>
      <c r="M177" s="6">
        <f t="shared" si="49"/>
        <v>9.1782407471328042E-3</v>
      </c>
      <c r="N177" s="7">
        <f t="shared" si="66"/>
        <v>13.216666675871238</v>
      </c>
      <c r="O177" s="7"/>
      <c r="P177" s="7"/>
      <c r="Q177" s="22"/>
      <c r="R177" s="22"/>
      <c r="S177" s="31">
        <f t="shared" si="67"/>
        <v>1</v>
      </c>
      <c r="T177" s="46" t="str">
        <f t="shared" si="50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1"/>
        <v>https://d0f6bd738d7f1b3e5a7ca70fe4ff75f0.us-east-1.aws.found.io/app/kibana#/discover/Steve-Slow-Train-Analysis-(2080s-and-2083s)?_g=(refreshInterval:(display:Off,pause:!f,section:0,value:0),time:(from:'2017-03-26T14:19:15-0600',mode:absolute,to:'2017-03-26T16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87" t="str">
        <f t="shared" si="52"/>
        <v>N</v>
      </c>
      <c r="X177" s="187">
        <f t="shared" si="65"/>
        <v>1</v>
      </c>
      <c r="Y177" s="62">
        <f t="shared" si="53"/>
        <v>0.1046</v>
      </c>
      <c r="Z177" s="62">
        <f t="shared" si="54"/>
        <v>5.8939000000000004</v>
      </c>
      <c r="AA177" s="62">
        <f t="shared" si="55"/>
        <v>5.7893000000000008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6"/>
        <v>1819-26</v>
      </c>
      <c r="AE177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7" s="82" t="str">
        <f t="shared" si="58"/>
        <v>"C:\Program Files (x86)\AstroGrep\AstroGrep.exe" /e /r /s /spath="%USERPROFILE%\AppData\Local\Temp\OnboardLogs" /stypes="app*4011*20170326*" /stext=" 21:.+((SYSTEM_STATE.+slice.+state.+changed )|(ment ac)|(multiple cpu faults)|(system.+state.+changed )|(\[timeout)|(PRM\|1\|D)|(kpr)|(kdp)|(\|lc)|(penalty))"</v>
      </c>
      <c r="AG177" s="1" t="str">
        <f t="shared" si="59"/>
        <v>NW</v>
      </c>
      <c r="AH177" s="86" t="str">
        <f t="shared" si="60"/>
        <v>"%USERPROFILE%\Documents\GitHub\eaglep3\Utilities\RefineRTDCRunTimes.py" --tripid 1819-26 --locoid 4011 --swversion DE.1.0.9.0 --startMP 204:1046 --initTime 2017-03-26T15:19:15 --startdatetime 2017-03-26T15:21:19 --delay 1 --endMP 300:58939 --enddatetime 2017-03-26T15:34:32 --enforcementcount 0 &gt;&gt;C:\Users\stu\Documents\GitHub\eaglep3-reporting\EC\2017-03-26-refined-times.txt</v>
      </c>
      <c r="AI177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ID","value":"1819-26"},{"id":16,"name":"Locomotive ID","value":"4011"},{"id":130,"name":"Impact","value":""},{"id":150,"name":"Time of Event (Mountain Time)","value":"15:34:32"},{"id":151,"name":"Denver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2"/>
        <v>start /low /b %USERPROFILE%\Documents\GitHub\eaglep3\Utilities\DownloadLogsFromS3.py --loco 4011 --day 2017-03-26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78" spans="1:91" s="20" customFormat="1" x14ac:dyDescent="0.25">
      <c r="A178" s="33" t="s">
        <v>616</v>
      </c>
      <c r="B178" s="7">
        <v>4012</v>
      </c>
      <c r="C178" s="21" t="s">
        <v>219</v>
      </c>
      <c r="D178" s="21" t="s">
        <v>880</v>
      </c>
      <c r="E178" s="13">
        <v>42820.652129629627</v>
      </c>
      <c r="F178" s="13">
        <v>42820.653321759259</v>
      </c>
      <c r="G178" s="7">
        <v>1</v>
      </c>
      <c r="H178" s="21" t="s">
        <v>895</v>
      </c>
      <c r="I178" s="13">
        <v>42820.662615740737</v>
      </c>
      <c r="J178" s="7">
        <v>0</v>
      </c>
      <c r="K178" s="98" t="str">
        <f t="shared" si="48"/>
        <v>4011/4012</v>
      </c>
      <c r="L178" s="21" t="str">
        <f>VLOOKUP(A178,'Trips&amp;Operators'!$C$1:$G$99999,5,FALSE)</f>
        <v>HELVIE ADAM</v>
      </c>
      <c r="M178" s="6">
        <f t="shared" si="49"/>
        <v>9.29398147854954E-3</v>
      </c>
      <c r="N178" s="7">
        <f t="shared" si="66"/>
        <v>13.383333329111338</v>
      </c>
      <c r="O178" s="7"/>
      <c r="P178" s="7"/>
      <c r="Q178" s="22"/>
      <c r="R178" s="22"/>
      <c r="S178" s="31">
        <f t="shared" si="67"/>
        <v>1</v>
      </c>
      <c r="T178" s="46" t="str">
        <f t="shared" si="50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1"/>
        <v>https://d0f6bd738d7f1b3e5a7ca70fe4ff75f0.us-east-1.aws.found.io/app/kibana#/discover/Steve-Slow-Train-Analysis-(2080s-and-2083s)?_g=(refreshInterval:(display:Off,pause:!f,section:0,value:0),time:(from:'2017-03-26T14:39:04-0600',mode:absolute,to:'2017-03-26T16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87" t="str">
        <f t="shared" si="52"/>
        <v>N</v>
      </c>
      <c r="X178" s="187">
        <f t="shared" si="65"/>
        <v>1</v>
      </c>
      <c r="Y178" s="62">
        <f t="shared" si="53"/>
        <v>5.8628</v>
      </c>
      <c r="Z178" s="62">
        <f t="shared" si="54"/>
        <v>7.0499999999999993E-2</v>
      </c>
      <c r="AA178" s="62">
        <f t="shared" si="55"/>
        <v>5.7923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6"/>
        <v>1820-26</v>
      </c>
      <c r="AE178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78" s="82" t="str">
        <f t="shared" si="58"/>
        <v>"C:\Program Files (x86)\AstroGrep\AstroGrep.exe" /e /r /s /spath="%USERPROFILE%\AppData\Local\Temp\OnboardLogs" /stypes="app*4012*20170326*" /stext=" 21:.+((SYSTEM_STATE.+slice.+state.+changed )|(ment ac)|(multiple cpu faults)|(system.+state.+changed )|(\[timeout)|(PRM\|1\|D)|(kpr)|(kdp)|(\|lc)|(penalty))"</v>
      </c>
      <c r="AG178" s="1" t="str">
        <f t="shared" si="59"/>
        <v>NW</v>
      </c>
      <c r="AH178" s="86" t="str">
        <f t="shared" si="60"/>
        <v>"%USERPROFILE%\Documents\GitHub\eaglep3\Utilities\RefineRTDCRunTimes.py" --tripid 1820-26 --locoid 4012 --swversion DE.1.0.9.0 --startMP 300:58628 --initTime 2017-03-26T15:39:04 --startdatetime 2017-03-26T15:40:47 --delay 1 --endMP 204:705 --enddatetime 2017-03-26T15:54:10 --enforcementcount 0 &gt;&gt;C:\Users\stu\Documents\GitHub\eaglep3-reporting\EC\2017-03-26-refined-times.txt</v>
      </c>
      <c r="AI178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{"issue":{"subject":"","project_id":79,"tracker_id":40,"status_id":1,"priority_id":2,"assigned_to_id":23,"start_date":"2017-03-26","description":"","custom_fields":[{"id":1,"name":"Subdivision","value":"NW"},{"id":4,"name":"Milepost","value":"0.0705"},{"id":17,"name":"Train ID","value":"1820-26"},{"id":16,"name":"Locomotive ID","value":"4012"},{"id":130,"name":"Impact","value":""},{"id":150,"name":"Time of Event (Mountain Time)","value":"15:54:10"},{"id":151,"name":"Denver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2"/>
        <v>start /low /b %USERPROFILE%\Documents\GitHub\eaglep3\Utilities\DownloadLogsFromS3.py --loco 4012 --day 2017-03-26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751</v>
      </c>
      <c r="B179" s="7">
        <v>4011</v>
      </c>
      <c r="C179" s="21" t="s">
        <v>219</v>
      </c>
      <c r="D179" s="21" t="s">
        <v>896</v>
      </c>
      <c r="E179" s="13">
        <v>42820.680312500001</v>
      </c>
      <c r="F179" s="13">
        <v>42820.681435185186</v>
      </c>
      <c r="G179" s="7">
        <v>1</v>
      </c>
      <c r="H179" s="21" t="s">
        <v>897</v>
      </c>
      <c r="I179" s="13">
        <v>42820.690798611111</v>
      </c>
      <c r="J179" s="7">
        <v>0</v>
      </c>
      <c r="K179" s="98" t="str">
        <f t="shared" si="48"/>
        <v>4011/4012</v>
      </c>
      <c r="L179" s="21" t="str">
        <f>VLOOKUP(A179,'Trips&amp;Operators'!$C$1:$G$99999,5,FALSE)</f>
        <v>HELVIE ADAM</v>
      </c>
      <c r="M179" s="6">
        <f t="shared" si="49"/>
        <v>9.3634259246755391E-3</v>
      </c>
      <c r="N179" s="7">
        <f t="shared" si="66"/>
        <v>13.483333331532776</v>
      </c>
      <c r="O179" s="7"/>
      <c r="P179" s="7"/>
      <c r="Q179" s="22"/>
      <c r="R179" s="22"/>
      <c r="S179" s="31">
        <f t="shared" si="67"/>
        <v>1</v>
      </c>
      <c r="T179" s="46" t="str">
        <f t="shared" si="50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1"/>
        <v>https://d0f6bd738d7f1b3e5a7ca70fe4ff75f0.us-east-1.aws.found.io/app/kibana#/discover/Steve-Slow-Train-Analysis-(2080s-and-2083s)?_g=(refreshInterval:(display:Off,pause:!f,section:0,value:0),time:(from:'2017-03-26T15:19:39-0600',mode:absolute,to:'2017-03-26T17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87" t="str">
        <f t="shared" si="52"/>
        <v>N</v>
      </c>
      <c r="X179" s="187">
        <f t="shared" si="65"/>
        <v>1</v>
      </c>
      <c r="Y179" s="62">
        <f t="shared" si="53"/>
        <v>0.10059999999999999</v>
      </c>
      <c r="Z179" s="62">
        <f t="shared" si="54"/>
        <v>5.8945999999999996</v>
      </c>
      <c r="AA179" s="62">
        <f t="shared" si="55"/>
        <v>5.7939999999999996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6"/>
        <v>1821-26</v>
      </c>
      <c r="AE179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79" s="82" t="str">
        <f t="shared" si="58"/>
        <v>"C:\Program Files (x86)\AstroGrep\AstroGrep.exe" /e /r /s /spath="%USERPROFILE%\AppData\Local\Temp\OnboardLogs" /stypes="app*4011*20170326*" /stext=" 22:.+((SYSTEM_STATE.+slice.+state.+changed )|(ment ac)|(multiple cpu faults)|(system.+state.+changed )|(\[timeout)|(PRM\|1\|D)|(kpr)|(kdp)|(\|lc)|(penalty))"</v>
      </c>
      <c r="AG179" s="1" t="str">
        <f t="shared" si="59"/>
        <v>NW</v>
      </c>
      <c r="AH179" s="86" t="str">
        <f t="shared" si="60"/>
        <v>"%USERPROFILE%\Documents\GitHub\eaglep3\Utilities\RefineRTDCRunTimes.py" --tripid 1821-26 --locoid 4011 --swversion DE.1.0.9.0 --startMP 204:1006 --initTime 2017-03-26T16:19:39 --startdatetime 2017-03-26T16:21:16 --delay 1 --endMP 300:58946 --enddatetime 2017-03-26T16:34:45 --enforcementcount 0 &gt;&gt;C:\Users\stu\Documents\GitHub\eaglep3-reporting\EC\2017-03-26-refined-times.txt</v>
      </c>
      <c r="AI179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{"issue":{"subject":"","project_id":79,"tracker_id":40,"status_id":1,"priority_id":2,"assigned_to_id":23,"start_date":"2017-03-26","description":"","custom_fields":[{"id":1,"name":"Subdivision","value":"NW"},{"id":4,"name":"Milepost","value":"5.8946"},{"id":17,"name":"Train ID","value":"1821-26"},{"id":16,"name":"Locomotive ID","value":"4011"},{"id":130,"name":"Impact","value":""},{"id":150,"name":"Time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2"/>
        <v>start /low /b %USERPROFILE%\Documents\GitHub\eaglep3\Utilities\DownloadLogsFromS3.py --loco 4011 --day 2017-03-26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180" spans="1:91" x14ac:dyDescent="0.25">
      <c r="A180" s="33" t="s">
        <v>755</v>
      </c>
      <c r="B180" s="7">
        <v>4012</v>
      </c>
      <c r="C180" s="21" t="s">
        <v>219</v>
      </c>
      <c r="D180" s="21" t="s">
        <v>883</v>
      </c>
      <c r="E180" s="13">
        <v>42820.692349537036</v>
      </c>
      <c r="F180" s="13">
        <v>42820.694745370369</v>
      </c>
      <c r="G180" s="7">
        <v>1</v>
      </c>
      <c r="H180" s="21" t="s">
        <v>898</v>
      </c>
      <c r="I180" s="13">
        <v>42820.704317129632</v>
      </c>
      <c r="J180" s="7">
        <v>0</v>
      </c>
      <c r="K180" s="98" t="str">
        <f t="shared" si="48"/>
        <v>4011/4012</v>
      </c>
      <c r="L180" s="21" t="str">
        <f>VLOOKUP(A180,'Trips&amp;Operators'!$C$1:$G$99999,5,FALSE)</f>
        <v>HELVIE ADAM</v>
      </c>
      <c r="M180" s="6">
        <f t="shared" si="49"/>
        <v>9.5717592630535364E-3</v>
      </c>
      <c r="N180" s="7">
        <f t="shared" si="66"/>
        <v>13.783333338797092</v>
      </c>
      <c r="O180" s="7"/>
      <c r="P180" s="7"/>
      <c r="Q180" s="22"/>
      <c r="R180" s="22"/>
      <c r="S180" s="31">
        <f t="shared" si="67"/>
        <v>1</v>
      </c>
      <c r="T180" s="46" t="str">
        <f t="shared" si="50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1"/>
        <v>https://d0f6bd738d7f1b3e5a7ca70fe4ff75f0.us-east-1.aws.found.io/app/kibana#/discover/Steve-Slow-Train-Analysis-(2080s-and-2083s)?_g=(refreshInterval:(display:Off,pause:!f,section:0,value:0),time:(from:'2017-03-26T15:36:59-0600',mode:absolute,to:'2017-03-26T17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87" t="str">
        <f t="shared" si="52"/>
        <v>N</v>
      </c>
      <c r="X180" s="187">
        <f t="shared" si="65"/>
        <v>1</v>
      </c>
      <c r="Y180" s="62">
        <f t="shared" si="53"/>
        <v>5.8623000000000003</v>
      </c>
      <c r="Z180" s="62">
        <f t="shared" si="54"/>
        <v>7.6399999999999996E-2</v>
      </c>
      <c r="AA180" s="62">
        <f t="shared" si="55"/>
        <v>5.7859000000000007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6"/>
        <v>1822-26</v>
      </c>
      <c r="AE180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0" s="82" t="str">
        <f t="shared" si="58"/>
        <v>"C:\Program Files (x86)\AstroGrep\AstroGrep.exe" /e /r /s /spath="%USERPROFILE%\AppData\Local\Temp\OnboardLogs" /stypes="app*4012*20170326*" /stext=" 22:.+((SYSTEM_STATE.+slice.+state.+changed )|(ment ac)|(multiple cpu faults)|(system.+state.+changed )|(\[timeout)|(PRM\|1\|D)|(kpr)|(kdp)|(\|lc)|(penalty))"</v>
      </c>
      <c r="AG180" s="1" t="str">
        <f t="shared" si="59"/>
        <v>NW</v>
      </c>
      <c r="AH180" s="86" t="str">
        <f t="shared" si="60"/>
        <v>"%USERPROFILE%\Documents\GitHub\eaglep3\Utilities\RefineRTDCRunTimes.py" --tripid 1822-26 --locoid 4012 --swversion DE.1.0.9.0 --startMP 300:58623 --initTime 2017-03-26T16:36:59 --startdatetime 2017-03-26T16:40:26 --delay 1 --endMP 204:764 --enddatetime 2017-03-26T16:54:13 --enforcementcount 0 &gt;&gt;C:\Users\stu\Documents\GitHub\eaglep3-reporting\EC\2017-03-26-refined-times.txt</v>
      </c>
      <c r="AI180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{"issue":{"subject":"","project_id":79,"tracker_id":40,"status_id":1,"priority_id":2,"assigned_to_id":23,"start_date":"2017-03-26","description":"","custom_fields":[{"id":1,"name":"Subdivision","value":"NW"},{"id":4,"name":"Milepost","value":"0.0764"},{"id":17,"name":"Train ID","value":"1822-26"},{"id":16,"name":"Locomotive ID","value":"4012"},{"id":130,"name":"Impact","value":""},{"id":150,"name":"Time of Event (Mountain Time)","value":"16:54:13"},{"id":151,"name":"Denver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2"/>
        <v>start /low /b %USERPROFILE%\Documents\GitHub\eaglep3\Utilities\DownloadLogsFromS3.py --loco 4012 --day 2017-03-26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81" spans="1:91" s="20" customFormat="1" x14ac:dyDescent="0.25">
      <c r="A181" s="33" t="s">
        <v>760</v>
      </c>
      <c r="B181" s="7">
        <v>4011</v>
      </c>
      <c r="C181" s="21" t="s">
        <v>219</v>
      </c>
      <c r="D181" s="21" t="s">
        <v>893</v>
      </c>
      <c r="E181" s="13">
        <v>42820.721550925926</v>
      </c>
      <c r="F181" s="13">
        <v>42820.723090277781</v>
      </c>
      <c r="G181" s="7">
        <v>1</v>
      </c>
      <c r="H181" s="21" t="s">
        <v>879</v>
      </c>
      <c r="I181" s="13">
        <v>42820.732025462959</v>
      </c>
      <c r="J181" s="7">
        <v>0</v>
      </c>
      <c r="K181" s="98" t="str">
        <f t="shared" si="48"/>
        <v>4011/4012</v>
      </c>
      <c r="L181" s="21" t="str">
        <f>VLOOKUP(A181,'Trips&amp;Operators'!$C$1:$G$99999,5,FALSE)</f>
        <v>HELVIE ADAM</v>
      </c>
      <c r="M181" s="6">
        <f t="shared" si="49"/>
        <v>8.9351851784158498E-3</v>
      </c>
      <c r="N181" s="7">
        <f t="shared" si="66"/>
        <v>12.866666656918824</v>
      </c>
      <c r="O181" s="7"/>
      <c r="P181" s="7"/>
      <c r="Q181" s="22"/>
      <c r="R181" s="22"/>
      <c r="S181" s="31">
        <f t="shared" si="67"/>
        <v>1</v>
      </c>
      <c r="T181" s="46" t="str">
        <f t="shared" si="50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1"/>
        <v>https://d0f6bd738d7f1b3e5a7ca70fe4ff75f0.us-east-1.aws.found.io/app/kibana#/discover/Steve-Slow-Train-Analysis-(2080s-and-2083s)?_g=(refreshInterval:(display:Off,pause:!f,section:0,value:0),time:(from:'2017-03-26T16:19:02-0600',mode:absolute,to:'2017-03-26T18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87" t="str">
        <f t="shared" si="52"/>
        <v>N</v>
      </c>
      <c r="X181" s="187">
        <f t="shared" si="65"/>
        <v>1</v>
      </c>
      <c r="Y181" s="62">
        <f t="shared" si="53"/>
        <v>0.1046</v>
      </c>
      <c r="Z181" s="62">
        <f t="shared" si="54"/>
        <v>5.8940999999999999</v>
      </c>
      <c r="AA181" s="62">
        <f t="shared" si="55"/>
        <v>5.7895000000000003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6"/>
        <v>1823-26</v>
      </c>
      <c r="AE181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1" s="82" t="str">
        <f t="shared" si="58"/>
        <v>"C:\Program Files (x86)\AstroGrep\AstroGrep.exe" /e /r /s /spath="%USERPROFILE%\AppData\Local\Temp\OnboardLogs" /stypes="app*4011*20170326*" /stext=" 23:.+((SYSTEM_STATE.+slice.+state.+changed )|(ment ac)|(multiple cpu faults)|(system.+state.+changed )|(\[timeout)|(PRM\|1\|D)|(kpr)|(kdp)|(\|lc)|(penalty))"</v>
      </c>
      <c r="AG181" s="1" t="str">
        <f t="shared" si="59"/>
        <v>NW</v>
      </c>
      <c r="AH181" s="86" t="str">
        <f t="shared" si="60"/>
        <v>"%USERPROFILE%\Documents\GitHub\eaglep3\Utilities\RefineRTDCRunTimes.py" --tripid 1823-26 --locoid 4011 --swversion DE.1.0.9.0 --startMP 204:1046 --initTime 2017-03-26T17:19:02 --startdatetime 2017-03-26T17:21:15 --delay 1 --endMP 300:58941 --enddatetime 2017-03-26T17:34:07 --enforcementcount 0 &gt;&gt;C:\Users\stu\Documents\GitHub\eaglep3-reporting\EC\2017-03-26-refined-times.txt</v>
      </c>
      <c r="AI181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{"issue":{"subject":"","project_id":79,"tracker_id":40,"status_id":1,"priority_id":2,"assigned_to_id":23,"start_date":"2017-03-26","description":"","custom_fields":[{"id":1,"name":"Subdivision","value":"NW"},{"id":4,"name":"Milepost","value":"5.8941"},{"id":17,"name":"Train ID","value":"1823-26"},{"id":16,"name":"Locomotive ID","value":"4011"},{"id":130,"name":"Impact","value":""},{"id":150,"name":"Time of Event (Mountain Time)","value":"17:34:07"},{"id":151,"name":"Denver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2"/>
        <v>start /low /b %USERPROFILE%\Documents\GitHub\eaglep3\Utilities\DownloadLogsFromS3.py --loco 4011 --day 2017-03-26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763</v>
      </c>
      <c r="B182" s="7">
        <v>4012</v>
      </c>
      <c r="C182" s="21" t="s">
        <v>219</v>
      </c>
      <c r="D182" s="21" t="s">
        <v>892</v>
      </c>
      <c r="E182" s="13">
        <v>42820.733171296299</v>
      </c>
      <c r="F182" s="13">
        <v>42820.736932870372</v>
      </c>
      <c r="G182" s="7">
        <v>1</v>
      </c>
      <c r="H182" s="21" t="s">
        <v>585</v>
      </c>
      <c r="I182" s="13">
        <v>42820.745972222219</v>
      </c>
      <c r="J182" s="7">
        <v>0</v>
      </c>
      <c r="K182" s="98" t="str">
        <f t="shared" si="48"/>
        <v>4011/4012</v>
      </c>
      <c r="L182" s="21" t="str">
        <f>VLOOKUP(A182,'Trips&amp;Operators'!$C$1:$G$99999,5,FALSE)</f>
        <v>HELVIE ADAM</v>
      </c>
      <c r="M182" s="6">
        <f t="shared" si="49"/>
        <v>9.0393518476048484E-3</v>
      </c>
      <c r="N182" s="7">
        <f t="shared" si="66"/>
        <v>13.016666660550982</v>
      </c>
      <c r="O182" s="7"/>
      <c r="P182" s="7"/>
      <c r="Q182" s="22"/>
      <c r="R182" s="22"/>
      <c r="S182" s="31">
        <f t="shared" si="67"/>
        <v>1</v>
      </c>
      <c r="T182" s="46" t="str">
        <f t="shared" si="50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1"/>
        <v>https://d0f6bd738d7f1b3e5a7ca70fe4ff75f0.us-east-1.aws.found.io/app/kibana#/discover/Steve-Slow-Train-Analysis-(2080s-and-2083s)?_g=(refreshInterval:(display:Off,pause:!f,section:0,value:0),time:(from:'2017-03-26T16:35:46-0600',mode:absolute,to:'2017-03-26T18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87" t="str">
        <f t="shared" si="52"/>
        <v>N</v>
      </c>
      <c r="X182" s="187">
        <f t="shared" si="65"/>
        <v>1</v>
      </c>
      <c r="Y182" s="62">
        <f t="shared" si="53"/>
        <v>5.8625999999999996</v>
      </c>
      <c r="Z182" s="62">
        <f t="shared" si="54"/>
        <v>7.6799999999999993E-2</v>
      </c>
      <c r="AA182" s="62">
        <f t="shared" si="55"/>
        <v>5.7857999999999992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6"/>
        <v>1824-26</v>
      </c>
      <c r="AE182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2" s="82" t="str">
        <f t="shared" si="58"/>
        <v>"C:\Program Files (x86)\AstroGrep\AstroGrep.exe" /e /r /s /spath="%USERPROFILE%\AppData\Local\Temp\OnboardLogs" /stypes="app*4012*20170326*" /stext=" 23:.+((SYSTEM_STATE.+slice.+state.+changed )|(ment ac)|(multiple cpu faults)|(system.+state.+changed )|(\[timeout)|(PRM\|1\|D)|(kpr)|(kdp)|(\|lc)|(penalty))"</v>
      </c>
      <c r="AG182" s="1" t="str">
        <f t="shared" si="59"/>
        <v>NW</v>
      </c>
      <c r="AH182" s="86" t="str">
        <f t="shared" si="60"/>
        <v>"%USERPROFILE%\Documents\GitHub\eaglep3\Utilities\RefineRTDCRunTimes.py" --tripid 1824-26 --locoid 4012 --swversion DE.1.0.9.0 --startMP 300:58626 --initTime 2017-03-26T17:35:46 --startdatetime 2017-03-26T17:41:11 --delay 1 --endMP 204:768 --enddatetime 2017-03-26T17:54:12 --enforcementcount 0 &gt;&gt;C:\Users\stu\Documents\GitHub\eaglep3-reporting\EC\2017-03-26-refined-times.txt</v>
      </c>
      <c r="AI182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{"issue":{"subject":"","project_id":79,"tracker_id":40,"status_id":1,"priority_id":2,"assigned_to_id":23,"start_date":"2017-03-26","description":"","custom_fields":[{"id":1,"name":"Subdivision","value":"NW"},{"id":4,"name":"Milepost","value":"0.0768"},{"id":17,"name":"Train ID","value":"1824-26"},{"id":16,"name":"Locomotive ID","value":"4012"},{"id":130,"name":"Impact","value":""},{"id":150,"name":"Time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2"/>
        <v>start /low /b %USERPROFILE%\Documents\GitHub\eaglep3\Utilities\DownloadLogsFromS3.py --loco 4012 --day 2017-03-26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"%USERPROFILE%\AppData\Local\Temp\OnboardLogs"\RTDC4012\*4012*20170326* | grep -SE "(Enforcement Action)|(\[TIMEOUT)|(CHR.+\|PRM\|1\|D.+(SWITCH|SIGNAL).+UNKNOWN)" - &gt;&gt; 2017-03-26-UncaughtWiMAX.txt</v>
      </c>
    </row>
    <row r="183" spans="1:91" s="20" customFormat="1" x14ac:dyDescent="0.25">
      <c r="A183" s="33" t="s">
        <v>773</v>
      </c>
      <c r="B183" s="7">
        <v>4011</v>
      </c>
      <c r="C183" s="21" t="s">
        <v>219</v>
      </c>
      <c r="D183" s="21" t="s">
        <v>899</v>
      </c>
      <c r="E183" s="13">
        <v>42820.763090277775</v>
      </c>
      <c r="F183" s="13">
        <v>42820.764814814815</v>
      </c>
      <c r="G183" s="7">
        <v>1</v>
      </c>
      <c r="H183" s="21" t="s">
        <v>549</v>
      </c>
      <c r="I183" s="13">
        <v>42820.773715277777</v>
      </c>
      <c r="J183" s="7">
        <v>0</v>
      </c>
      <c r="K183" s="98" t="str">
        <f t="shared" si="48"/>
        <v>4011/4012</v>
      </c>
      <c r="L183" s="21" t="str">
        <f>VLOOKUP(A183,'Trips&amp;Operators'!$C$1:$G$99999,5,FALSE)</f>
        <v>HELVIE ADAM</v>
      </c>
      <c r="M183" s="6">
        <f t="shared" si="49"/>
        <v>8.9004629626288079E-3</v>
      </c>
      <c r="N183" s="7">
        <f t="shared" si="66"/>
        <v>12.816666666185483</v>
      </c>
      <c r="O183" s="7"/>
      <c r="P183" s="7"/>
      <c r="Q183" s="22"/>
      <c r="R183" s="22"/>
      <c r="S183" s="31">
        <f t="shared" si="67"/>
        <v>1</v>
      </c>
      <c r="T183" s="46" t="str">
        <f t="shared" si="50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1"/>
        <v>https://d0f6bd738d7f1b3e5a7ca70fe4ff75f0.us-east-1.aws.found.io/app/kibana#/discover/Steve-Slow-Train-Analysis-(2080s-and-2083s)?_g=(refreshInterval:(display:Off,pause:!f,section:0,value:0),time:(from:'2017-03-26T17:18:51-0600',mode:absolute,to:'2017-03-26T19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87" t="str">
        <f t="shared" si="52"/>
        <v>N</v>
      </c>
      <c r="X183" s="187">
        <f t="shared" si="65"/>
        <v>1</v>
      </c>
      <c r="Y183" s="62">
        <f t="shared" si="53"/>
        <v>0.107</v>
      </c>
      <c r="Z183" s="62">
        <f t="shared" si="54"/>
        <v>5.8933</v>
      </c>
      <c r="AA183" s="62">
        <f t="shared" si="55"/>
        <v>5.7862999999999998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6"/>
        <v>1825-26</v>
      </c>
      <c r="AE183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3" s="82" t="str">
        <f t="shared" si="58"/>
        <v>"C:\Program Files (x86)\AstroGrep\AstroGrep.exe" /e /r /s /spath="%USERPROFILE%\AppData\Local\Temp\OnboardLogs" /stypes="app*4011*20170327*" /stext=" 00:.+((SYSTEM_STATE.+slice.+state.+changed )|(ment ac)|(multiple cpu faults)|(system.+state.+changed )|(\[timeout)|(PRM\|1\|D)|(kpr)|(kdp)|(\|lc)|(penalty))"</v>
      </c>
      <c r="AG183" s="1" t="str">
        <f t="shared" si="59"/>
        <v>NW</v>
      </c>
      <c r="AH183" s="86" t="str">
        <f t="shared" si="60"/>
        <v>"%USERPROFILE%\Documents\GitHub\eaglep3\Utilities\RefineRTDCRunTimes.py" --tripid 1825-26 --locoid 4011 --swversion DE.1.0.9.0 --startMP 204:1070 --initTime 2017-03-26T18:18:51 --startdatetime 2017-03-26T18:21:20 --delay 1 --endMP 300:58933 --enddatetime 2017-03-26T18:34:09 --enforcementcount 0 &gt;&gt;C:\Users\stu\Documents\GitHub\eaglep3-reporting\EC\2017-03-26-refined-times.txt</v>
      </c>
      <c r="AI183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{"issue":{"subject":"","project_id":79,"tracker_id":40,"status_id":1,"priority_id":2,"assigned_to_id":23,"start_date":"2017-03-26","description":"","custom_fields":[{"id":1,"name":"Subdivision","value":"NW"},{"id":4,"name":"Milepost","value":"5.8933"},{"id":17,"name":"Train ID","value":"1825-26"},{"id":16,"name":"Locomotive ID","value":"4011"},{"id":130,"name":"Impact","value":""},{"id":150,"name":"Time of Event (Mountain Time)","value":"18:34:09"},{"id":151,"name":"Denver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2"/>
        <v>start /low /b %USERPROFILE%\Documents\GitHub\eaglep3\Utilities\DownloadLogsFromS3.py --loco 4011 --day 2017-03-26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"%USERPROFILE%\AppData\Local\Temp\OnboardLogs"\RTDC4011\*4011*20170327* | grep -SE "(Enforcement Action)|(\[TIMEOUT)|(CHR.+\|PRM\|1\|D.+(SWITCH|SIGNAL).+UNKNOWN)" - &gt;&gt; 2017-03-26-UncaughtWiMAX.txt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775</v>
      </c>
      <c r="B184" s="7">
        <v>4012</v>
      </c>
      <c r="C184" s="21" t="s">
        <v>219</v>
      </c>
      <c r="D184" s="21" t="s">
        <v>593</v>
      </c>
      <c r="E184" s="13">
        <v>42820.774699074071</v>
      </c>
      <c r="F184" s="13">
        <v>42820.777650462966</v>
      </c>
      <c r="G184" s="7">
        <v>1</v>
      </c>
      <c r="H184" s="21" t="s">
        <v>900</v>
      </c>
      <c r="I184" s="13">
        <v>42820.787997685184</v>
      </c>
      <c r="J184" s="7">
        <v>0</v>
      </c>
      <c r="K184" s="98" t="str">
        <f t="shared" si="48"/>
        <v>4011/4012</v>
      </c>
      <c r="L184" s="21" t="str">
        <f>VLOOKUP(A184,'Trips&amp;Operators'!$C$1:$G$99999,5,FALSE)</f>
        <v>HELVIE ADAM</v>
      </c>
      <c r="M184" s="6">
        <f t="shared" si="49"/>
        <v>1.0347222218115348E-2</v>
      </c>
      <c r="N184" s="7">
        <f t="shared" si="66"/>
        <v>14.899999994086102</v>
      </c>
      <c r="O184" s="7"/>
      <c r="P184" s="7"/>
      <c r="Q184" s="22"/>
      <c r="R184" s="22"/>
      <c r="S184" s="31">
        <f t="shared" si="67"/>
        <v>1</v>
      </c>
      <c r="T184" s="46" t="str">
        <f t="shared" si="50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1"/>
        <v>https://d0f6bd738d7f1b3e5a7ca70fe4ff75f0.us-east-1.aws.found.io/app/kibana#/discover/Steve-Slow-Train-Analysis-(2080s-and-2083s)?_g=(refreshInterval:(display:Off,pause:!f,section:0,value:0),time:(from:'2017-03-26T17:35:34-0600',mode:absolute,to:'2017-03-26T19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87" t="str">
        <f t="shared" si="52"/>
        <v>N</v>
      </c>
      <c r="X184" s="187">
        <f t="shared" si="65"/>
        <v>1</v>
      </c>
      <c r="Y184" s="62">
        <f t="shared" si="53"/>
        <v>5.8624000000000001</v>
      </c>
      <c r="Z184" s="62">
        <f t="shared" si="54"/>
        <v>8.1699999999999995E-2</v>
      </c>
      <c r="AA184" s="62">
        <f t="shared" si="55"/>
        <v>5.7807000000000004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6"/>
        <v>1826-26</v>
      </c>
      <c r="AE184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4" s="82" t="str">
        <f t="shared" si="58"/>
        <v>"C:\Program Files (x86)\AstroGrep\AstroGrep.exe" /e /r /s /spath="%USERPROFILE%\AppData\Local\Temp\OnboardLogs" /stypes="app*4012*20170327*" /stext=" 00:.+((SYSTEM_STATE.+slice.+state.+changed )|(ment ac)|(multiple cpu faults)|(system.+state.+changed )|(\[timeout)|(PRM\|1\|D)|(kpr)|(kdp)|(\|lc)|(penalty))"</v>
      </c>
      <c r="AG184" s="1" t="str">
        <f t="shared" si="59"/>
        <v>NW</v>
      </c>
      <c r="AH184" s="86" t="str">
        <f t="shared" si="60"/>
        <v>"%USERPROFILE%\Documents\GitHub\eaglep3\Utilities\RefineRTDCRunTimes.py" --tripid 1826-26 --locoid 4012 --swversion DE.1.0.9.0 --startMP 300:58624 --initTime 2017-03-26T18:35:34 --startdatetime 2017-03-26T18:39:49 --delay 1 --endMP 204:817 --enddatetime 2017-03-26T18:54:43 --enforcementcount 0 &gt;&gt;C:\Users\stu\Documents\GitHub\eaglep3-reporting\EC\2017-03-26-refined-times.txt</v>
      </c>
      <c r="AI184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{"issue":{"subject":"","project_id":79,"tracker_id":40,"status_id":1,"priority_id":2,"assigned_to_id":23,"start_date":"2017-03-26","description":"","custom_fields":[{"id":1,"name":"Subdivision","value":"NW"},{"id":4,"name":"Milepost","value":"0.0817"},{"id":17,"name":"Train ID","value":"1826-26"},{"id":16,"name":"Locomotive ID","value":"4012"},{"id":130,"name":"Impact","value":""},{"id":150,"name":"Time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2"/>
        <v>start /low /b %USERPROFILE%\Documents\GitHub\eaglep3\Utilities\DownloadLogsFromS3.py --loco 4012 --day 2017-03-26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"%USERPROFILE%\AppData\Local\Temp\OnboardLogs"\RTDC4012\*4012*20170327* | grep -SE "(Enforcement Action)|(\[TIMEOUT)|(CHR.+\|PRM\|1\|D.+(SWITCH|SIGNAL).+UNKNOWN)" - &gt;&gt; 2017-03-26-UncaughtWiMAX.txt</v>
      </c>
    </row>
    <row r="185" spans="1:91" x14ac:dyDescent="0.25">
      <c r="A185" s="33" t="s">
        <v>781</v>
      </c>
      <c r="B185" s="7">
        <v>4011</v>
      </c>
      <c r="C185" s="21" t="s">
        <v>219</v>
      </c>
      <c r="D185" s="21" t="s">
        <v>901</v>
      </c>
      <c r="E185" s="13">
        <v>42820.805011574077</v>
      </c>
      <c r="F185" s="13">
        <v>42820.806550925925</v>
      </c>
      <c r="G185" s="7">
        <v>1</v>
      </c>
      <c r="H185" s="21" t="s">
        <v>591</v>
      </c>
      <c r="I185" s="13">
        <v>42820.815243055556</v>
      </c>
      <c r="J185" s="7">
        <v>0</v>
      </c>
      <c r="K185" s="98" t="str">
        <f t="shared" si="48"/>
        <v>4011/4012</v>
      </c>
      <c r="L185" s="21" t="str">
        <f>VLOOKUP(A185,'Trips&amp;Operators'!$C$1:$G$99999,5,FALSE)</f>
        <v>HELVIE ADAM</v>
      </c>
      <c r="M185" s="6">
        <f t="shared" si="49"/>
        <v>8.6921296315267682E-3</v>
      </c>
      <c r="N185" s="7">
        <f t="shared" si="66"/>
        <v>12.516666669398546</v>
      </c>
      <c r="O185" s="7"/>
      <c r="P185" s="7"/>
      <c r="Q185" s="22"/>
      <c r="R185" s="22"/>
      <c r="S185" s="31">
        <f t="shared" si="67"/>
        <v>1</v>
      </c>
      <c r="T185" s="46" t="str">
        <f t="shared" si="50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1"/>
        <v>https://d0f6bd738d7f1b3e5a7ca70fe4ff75f0.us-east-1.aws.found.io/app/kibana#/discover/Steve-Slow-Train-Analysis-(2080s-and-2083s)?_g=(refreshInterval:(display:Off,pause:!f,section:0,value:0),time:(from:'2017-03-26T18:19:13-0600',mode:absolute,to:'2017-03-26T20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87" t="str">
        <f t="shared" si="52"/>
        <v>N</v>
      </c>
      <c r="X185" s="187">
        <f t="shared" si="65"/>
        <v>1</v>
      </c>
      <c r="Y185" s="62">
        <f t="shared" si="53"/>
        <v>0.11020000000000001</v>
      </c>
      <c r="Z185" s="62">
        <f t="shared" si="54"/>
        <v>5.8935000000000004</v>
      </c>
      <c r="AA185" s="62">
        <f t="shared" si="55"/>
        <v>5.7833000000000006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6"/>
        <v>1827-26</v>
      </c>
      <c r="AE185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5" s="82" t="str">
        <f t="shared" si="58"/>
        <v>"C:\Program Files (x86)\AstroGrep\AstroGrep.exe" /e /r /s /spath="%USERPROFILE%\AppData\Local\Temp\OnboardLogs" /stypes="app*4011*20170327*" /stext=" 01:.+((SYSTEM_STATE.+slice.+state.+changed )|(ment ac)|(multiple cpu faults)|(system.+state.+changed )|(\[timeout)|(PRM\|1\|D)|(kpr)|(kdp)|(\|lc)|(penalty))"</v>
      </c>
      <c r="AG185" s="1" t="str">
        <f t="shared" si="59"/>
        <v>NW</v>
      </c>
      <c r="AH185" s="86" t="str">
        <f t="shared" si="60"/>
        <v>"%USERPROFILE%\Documents\GitHub\eaglep3\Utilities\RefineRTDCRunTimes.py" --tripid 1827-26 --locoid 4011 --swversion DE.1.0.9.0 --startMP 204:1102 --initTime 2017-03-26T19:19:13 --startdatetime 2017-03-26T19:21:26 --delay 1 --endMP 300:58935 --enddatetime 2017-03-26T19:33:57 --enforcementcount 0 &gt;&gt;C:\Users\stu\Documents\GitHub\eaglep3-reporting\EC\2017-03-26-refined-times.txt</v>
      </c>
      <c r="AI185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{"issue":{"subject":"","project_id":79,"tracker_id":40,"status_id":1,"priority_id":2,"assigned_to_id":23,"start_date":"2017-03-26","description":"","custom_fields":[{"id":1,"name":"Subdivision","value":"NW"},{"id":4,"name":"Milepost","value":"5.8935"},{"id":17,"name":"Train ID","value":"1827-26"},{"id":16,"name":"Locomotive ID","value":"4011"},{"id":130,"name":"Impact","value":""},{"id":150,"name":"Time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2"/>
        <v>start /low /b %USERPROFILE%\Documents\GitHub\eaglep3\Utilities\DownloadLogsFromS3.py --loco 4011 --day 2017-03-26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"%USERPROFILE%\AppData\Local\Temp\OnboardLogs"\RTDC4011\*4011*20170327* | grep -SE "(Enforcement Action)|(\[TIMEOUT)|(CHR.+\|PRM\|1\|D.+(SWITCH|SIGNAL).+UNKNOWN)" - &gt;&gt; 2017-03-26-UncaughtWiMAX.txt</v>
      </c>
    </row>
    <row r="186" spans="1:91" s="20" customFormat="1" x14ac:dyDescent="0.25">
      <c r="A186" s="33" t="s">
        <v>784</v>
      </c>
      <c r="B186" s="7">
        <v>4012</v>
      </c>
      <c r="C186" s="21" t="s">
        <v>219</v>
      </c>
      <c r="D186" s="21" t="s">
        <v>883</v>
      </c>
      <c r="E186" s="13">
        <v>42820.816435185188</v>
      </c>
      <c r="F186" s="13">
        <v>42820.819826388892</v>
      </c>
      <c r="G186" s="7">
        <v>2</v>
      </c>
      <c r="H186" s="21" t="s">
        <v>569</v>
      </c>
      <c r="I186" s="13">
        <v>42820.831041666665</v>
      </c>
      <c r="J186" s="7">
        <v>0</v>
      </c>
      <c r="K186" s="98" t="str">
        <f t="shared" si="48"/>
        <v>4011/4012</v>
      </c>
      <c r="L186" s="21" t="str">
        <f>VLOOKUP(A186,'Trips&amp;Operators'!$C$1:$G$99999,5,FALSE)</f>
        <v>HELVIE ADAM</v>
      </c>
      <c r="M186" s="6">
        <f t="shared" si="49"/>
        <v>1.1215277772862464E-2</v>
      </c>
      <c r="N186" s="7">
        <f t="shared" si="66"/>
        <v>16.149999992921948</v>
      </c>
      <c r="O186" s="7"/>
      <c r="P186" s="7"/>
      <c r="Q186" s="22"/>
      <c r="R186" s="22"/>
      <c r="S186" s="31">
        <f t="shared" si="67"/>
        <v>1</v>
      </c>
      <c r="T186" s="46" t="str">
        <f t="shared" si="50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1"/>
        <v>https://d0f6bd738d7f1b3e5a7ca70fe4ff75f0.us-east-1.aws.found.io/app/kibana#/discover/Steve-Slow-Train-Analysis-(2080s-and-2083s)?_g=(refreshInterval:(display:Off,pause:!f,section:0,value:0),time:(from:'2017-03-26T18:35:40-0600',mode:absolute,to:'2017-03-26T20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87" t="str">
        <f t="shared" si="52"/>
        <v>N</v>
      </c>
      <c r="X186" s="187">
        <f t="shared" si="65"/>
        <v>1</v>
      </c>
      <c r="Y186" s="62">
        <f t="shared" si="53"/>
        <v>5.8623000000000003</v>
      </c>
      <c r="Z186" s="62">
        <f t="shared" si="54"/>
        <v>7.5700000000000003E-2</v>
      </c>
      <c r="AA186" s="62">
        <f t="shared" si="55"/>
        <v>5.7866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6"/>
        <v>1828-26</v>
      </c>
      <c r="AE186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6" s="82" t="str">
        <f t="shared" si="58"/>
        <v>"C:\Program Files (x86)\AstroGrep\AstroGrep.exe" /e /r /s /spath="%USERPROFILE%\AppData\Local\Temp\OnboardLogs" /stypes="app*4012*20170327*" /stext=" 01:.+((SYSTEM_STATE.+slice.+state.+changed )|(ment ac)|(multiple cpu faults)|(system.+state.+changed )|(\[timeout)|(PRM\|1\|D)|(kpr)|(kdp)|(\|lc)|(penalty))"</v>
      </c>
      <c r="AG186" s="1" t="str">
        <f t="shared" si="59"/>
        <v>NW</v>
      </c>
      <c r="AH186" s="86" t="str">
        <f t="shared" si="60"/>
        <v>"%USERPROFILE%\Documents\GitHub\eaglep3\Utilities\RefineRTDCRunTimes.py" --tripid 1828-26 --locoid 4012 --swversion DE.1.0.9.0 --startMP 300:58623 --initTime 2017-03-26T19:35:40 --startdatetime 2017-03-26T19:40:33 --delay 2 --endMP 204:757 --enddatetime 2017-03-26T19:56:42 --enforcementcount 0 &gt;&gt;C:\Users\stu\Documents\GitHub\eaglep3-reporting\EC\2017-03-26-refined-times.txt</v>
      </c>
      <c r="AI186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{"issue":{"subject":"","project_id":79,"tracker_id":40,"status_id":1,"priority_id":2,"assigned_to_id":23,"start_date":"2017-03-26","description":"","custom_fields":[{"id":1,"name":"Subdivision","value":"NW"},{"id":4,"name":"Milepost","value":"0.0757"},{"id":17,"name":"Train ID","value":"1828-26"},{"id":16,"name":"Locomotive ID","value":"4012"},{"id":130,"name":"Impact","value":""},{"id":150,"name":"Time of Event (Mountain Time)","value":"19:56:42"},{"id":151,"name":"Denver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2"/>
        <v>start /low /b %USERPROFILE%\Documents\GitHub\eaglep3\Utilities\DownloadLogsFromS3.py --loco 4012 --day 2017-03-26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"%USERPROFILE%\AppData\Local\Temp\OnboardLogs"\RTDC4012\*4012*20170327* | grep -SE "(Enforcement Action)|(\[TIMEOUT)|(CHR.+\|PRM\|1\|D.+(SWITCH|SIGNAL).+UNKNOWN)" - &gt;&gt; 2017-03-26-UncaughtWiMAX.txt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789</v>
      </c>
      <c r="B187" s="7">
        <v>4011</v>
      </c>
      <c r="C187" s="21" t="s">
        <v>219</v>
      </c>
      <c r="D187" s="21" t="s">
        <v>590</v>
      </c>
      <c r="E187" s="13">
        <v>42820.846828703703</v>
      </c>
      <c r="F187" s="13">
        <v>42820.848136574074</v>
      </c>
      <c r="G187" s="7">
        <v>1</v>
      </c>
      <c r="H187" s="21" t="s">
        <v>902</v>
      </c>
      <c r="I187" s="13">
        <v>42820.857245370367</v>
      </c>
      <c r="J187" s="7">
        <v>0</v>
      </c>
      <c r="K187" s="98" t="str">
        <f t="shared" si="48"/>
        <v>4011/4012</v>
      </c>
      <c r="L187" s="21" t="str">
        <f>VLOOKUP(A187,'Trips&amp;Operators'!$C$1:$G$99999,5,FALSE)</f>
        <v>HELVIE ADAM</v>
      </c>
      <c r="M187" s="6">
        <f t="shared" si="49"/>
        <v>9.1087962937308475E-3</v>
      </c>
      <c r="N187" s="7">
        <f t="shared" si="66"/>
        <v>13.11666666297242</v>
      </c>
      <c r="O187" s="7"/>
      <c r="P187" s="7"/>
      <c r="Q187" s="22"/>
      <c r="R187" s="22"/>
      <c r="S187" s="31">
        <f t="shared" si="67"/>
        <v>1</v>
      </c>
      <c r="T187" s="46" t="str">
        <f t="shared" si="50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1"/>
        <v>https://d0f6bd738d7f1b3e5a7ca70fe4ff75f0.us-east-1.aws.found.io/app/kibana#/discover/Steve-Slow-Train-Analysis-(2080s-and-2083s)?_g=(refreshInterval:(display:Off,pause:!f,section:0,value:0),time:(from:'2017-03-26T19:19:26-0600',mode:absolute,to:'2017-03-26T21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87" t="str">
        <f t="shared" si="52"/>
        <v>N</v>
      </c>
      <c r="X187" s="187">
        <f t="shared" si="65"/>
        <v>1</v>
      </c>
      <c r="Y187" s="62">
        <f t="shared" si="53"/>
        <v>0.10299999999999999</v>
      </c>
      <c r="Z187" s="62">
        <f t="shared" si="54"/>
        <v>5.8949999999999996</v>
      </c>
      <c r="AA187" s="62">
        <f t="shared" si="55"/>
        <v>5.7919999999999998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6"/>
        <v>1829-26</v>
      </c>
      <c r="AE187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7" s="82" t="str">
        <f t="shared" si="58"/>
        <v>"C:\Program Files (x86)\AstroGrep\AstroGrep.exe" /e /r /s /spath="%USERPROFILE%\AppData\Local\Temp\OnboardLogs" /stypes="app*4011*20170327*" /stext=" 02:.+((SYSTEM_STATE.+slice.+state.+changed )|(ment ac)|(multiple cpu faults)|(system.+state.+changed )|(\[timeout)|(PRM\|1\|D)|(kpr)|(kdp)|(\|lc)|(penalty))"</v>
      </c>
      <c r="AG187" s="1" t="str">
        <f t="shared" si="59"/>
        <v>NW</v>
      </c>
      <c r="AH187" s="86" t="str">
        <f t="shared" si="60"/>
        <v>"%USERPROFILE%\Documents\GitHub\eaglep3\Utilities\RefineRTDCRunTimes.py" --tripid 1829-26 --locoid 4011 --swversion DE.1.0.9.0 --startMP 204:1030 --initTime 2017-03-26T20:19:26 --startdatetime 2017-03-26T20:21:19 --delay 1 --endMP 300:58950 --enddatetime 2017-03-26T20:34:26 --enforcementcount 0 &gt;&gt;C:\Users\stu\Documents\GitHub\eaglep3-reporting\EC\2017-03-26-refined-times.txt</v>
      </c>
      <c r="AI187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{"issue":{"subject":"","project_id":79,"tracker_id":40,"status_id":1,"priority_id":2,"assigned_to_id":23,"start_date":"2017-03-26","description":"","custom_fields":[{"id":1,"name":"Subdivision","value":"NW"},{"id":4,"name":"Milepost","value":"5.895"},{"id":17,"name":"Train ID","value":"1829-26"},{"id":16,"name":"Locomotive ID","value":"4011"},{"id":130,"name":"Impact","value":""},{"id":150,"name":"Time of Event (Mountain Time)","value":"20:34:26"},{"id":151,"name":"Denver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2"/>
        <v>start /low /b %USERPROFILE%\Documents\GitHub\eaglep3\Utilities\DownloadLogsFromS3.py --loco 4011 --day 2017-03-26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"%USERPROFILE%\AppData\Local\Temp\OnboardLogs"\RTDC4011\*4011*20170327* | grep -SE "(Enforcement Action)|(\[TIMEOUT)|(CHR.+\|PRM\|1\|D.+(SWITCH|SIGNAL).+UNKNOWN)" - &gt;&gt; 2017-03-26-UncaughtWiMAX.txt</v>
      </c>
    </row>
    <row r="188" spans="1:91" x14ac:dyDescent="0.25">
      <c r="A188" s="33" t="s">
        <v>790</v>
      </c>
      <c r="B188" s="7">
        <v>4012</v>
      </c>
      <c r="C188" s="21" t="s">
        <v>219</v>
      </c>
      <c r="D188" s="21" t="s">
        <v>880</v>
      </c>
      <c r="E188" s="13">
        <v>42820.858391203707</v>
      </c>
      <c r="F188" s="13">
        <v>42820.861701388887</v>
      </c>
      <c r="G188" s="7">
        <v>1</v>
      </c>
      <c r="H188" s="21" t="s">
        <v>830</v>
      </c>
      <c r="I188" s="13">
        <v>42820.871296296296</v>
      </c>
      <c r="J188" s="7">
        <v>0</v>
      </c>
      <c r="K188" s="98" t="str">
        <f t="shared" si="48"/>
        <v>4011/4012</v>
      </c>
      <c r="L188" s="21" t="str">
        <f>VLOOKUP(A188,'Trips&amp;Operators'!$C$1:$G$99999,5,FALSE)</f>
        <v>HELVIE ADAM</v>
      </c>
      <c r="M188" s="6">
        <f t="shared" si="49"/>
        <v>9.5949074093368836E-3</v>
      </c>
      <c r="N188" s="7">
        <f t="shared" si="66"/>
        <v>13.816666669445112</v>
      </c>
      <c r="O188" s="7"/>
      <c r="P188" s="7"/>
      <c r="Q188" s="22"/>
      <c r="R188" s="22"/>
      <c r="S188" s="31">
        <f t="shared" si="67"/>
        <v>1</v>
      </c>
      <c r="T188" s="46" t="str">
        <f t="shared" si="50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1"/>
        <v>https://d0f6bd738d7f1b3e5a7ca70fe4ff75f0.us-east-1.aws.found.io/app/kibana#/discover/Steve-Slow-Train-Analysis-(2080s-and-2083s)?_g=(refreshInterval:(display:Off,pause:!f,section:0,value:0),time:(from:'2017-03-26T19:36:05-0600',mode:absolute,to:'2017-03-26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87" t="str">
        <f t="shared" si="52"/>
        <v>N</v>
      </c>
      <c r="X188" s="187">
        <f t="shared" si="65"/>
        <v>1</v>
      </c>
      <c r="Y188" s="62">
        <f t="shared" si="53"/>
        <v>5.8628</v>
      </c>
      <c r="Z188" s="62">
        <f t="shared" si="54"/>
        <v>7.5899999999999995E-2</v>
      </c>
      <c r="AA188" s="62">
        <f t="shared" si="55"/>
        <v>5.7869000000000002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6"/>
        <v>1830-26</v>
      </c>
      <c r="AE188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88" s="82" t="str">
        <f t="shared" si="58"/>
        <v>"C:\Program Files (x86)\AstroGrep\AstroGrep.exe" /e /r /s /spath="%USERPROFILE%\AppData\Local\Temp\OnboardLogs" /stypes="app*4012*20170327*" /stext=" 02:.+((SYSTEM_STATE.+slice.+state.+changed )|(ment ac)|(multiple cpu faults)|(system.+state.+changed )|(\[timeout)|(PRM\|1\|D)|(kpr)|(kdp)|(\|lc)|(penalty))"</v>
      </c>
      <c r="AG188" s="1" t="str">
        <f t="shared" si="59"/>
        <v>NW</v>
      </c>
      <c r="AH188" s="86" t="str">
        <f t="shared" si="60"/>
        <v>"%USERPROFILE%\Documents\GitHub\eaglep3\Utilities\RefineRTDCRunTimes.py" --tripid 1830-26 --locoid 4012 --swversion DE.1.0.9.0 --startMP 300:58628 --initTime 2017-03-26T20:36:05 --startdatetime 2017-03-26T20:40:51 --delay 1 --endMP 204:759 --enddatetime 2017-03-26T20:54:40 --enforcementcount 0 &gt;&gt;C:\Users\stu\Documents\GitHub\eaglep3-reporting\EC\2017-03-26-refined-times.txt</v>
      </c>
      <c r="AI188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{"issue":{"subject":"","project_id":79,"tracker_id":40,"status_id":1,"priority_id":2,"assigned_to_id":23,"start_date":"2017-03-26","description":"","custom_fields":[{"id":1,"name":"Subdivision","value":"NW"},{"id":4,"name":"Milepost","value":"0.0759"},{"id":17,"name":"Train ID","value":"1830-26"},{"id":16,"name":"Locomotive ID","value":"4012"},{"id":130,"name":"Impact","value":""},{"id":150,"name":"Time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2"/>
        <v>start /low /b %USERPROFILE%\Documents\GitHub\eaglep3\Utilities\DownloadLogsFromS3.py --loco 4012 --day 2017-03-26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"%USERPROFILE%\AppData\Local\Temp\OnboardLogs"\RTDC4012\*4012*20170327* | grep -SE "(Enforcement Action)|(\[TIMEOUT)|(CHR.+\|PRM\|1\|D.+(SWITCH|SIGNAL).+UNKNOWN)" - &gt;&gt; 2017-03-26-UncaughtWiMAX.txt</v>
      </c>
    </row>
    <row r="189" spans="1:91" x14ac:dyDescent="0.25">
      <c r="A189" s="33" t="s">
        <v>794</v>
      </c>
      <c r="B189" s="7">
        <v>4011</v>
      </c>
      <c r="C189" s="21" t="s">
        <v>219</v>
      </c>
      <c r="D189" s="21" t="s">
        <v>904</v>
      </c>
      <c r="E189" s="13">
        <v>42820.887812499997</v>
      </c>
      <c r="F189" s="13">
        <v>42820.889837962961</v>
      </c>
      <c r="G189" s="7">
        <v>1</v>
      </c>
      <c r="H189" s="21" t="s">
        <v>499</v>
      </c>
      <c r="I189" s="13">
        <v>42820.899131944447</v>
      </c>
      <c r="J189" s="7">
        <v>0</v>
      </c>
      <c r="K189" s="98" t="str">
        <f t="shared" si="48"/>
        <v>4011/4012</v>
      </c>
      <c r="L189" s="21" t="str">
        <f>VLOOKUP(A189,'Trips&amp;Operators'!$C$1:$G$99999,5,FALSE)</f>
        <v>HELVIE ADAM</v>
      </c>
      <c r="M189" s="6">
        <f t="shared" si="49"/>
        <v>9.2939814858254977E-3</v>
      </c>
      <c r="N189" s="7">
        <f t="shared" si="66"/>
        <v>13.383333339588717</v>
      </c>
      <c r="O189" s="7"/>
      <c r="P189" s="7"/>
      <c r="Q189" s="22"/>
      <c r="R189" s="22"/>
      <c r="S189" s="31">
        <f t="shared" si="67"/>
        <v>1</v>
      </c>
      <c r="T189" s="46" t="str">
        <f t="shared" si="50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1"/>
        <v>https://d0f6bd738d7f1b3e5a7ca70fe4ff75f0.us-east-1.aws.found.io/app/kibana#/discover/Steve-Slow-Train-Analysis-(2080s-and-2083s)?_g=(refreshInterval:(display:Off,pause:!f,section:0,value:0),time:(from:'2017-03-26T20:18:27-0600',mode:absolute,to:'2017-03-26T22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87" t="str">
        <f t="shared" si="52"/>
        <v>N</v>
      </c>
      <c r="X189" s="187">
        <f t="shared" si="65"/>
        <v>1</v>
      </c>
      <c r="Y189" s="62">
        <f t="shared" si="53"/>
        <v>0.10489999999999999</v>
      </c>
      <c r="Z189" s="62">
        <f t="shared" si="54"/>
        <v>5.8939000000000004</v>
      </c>
      <c r="AA189" s="62">
        <f t="shared" si="55"/>
        <v>5.7890000000000006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6"/>
        <v>1831-26</v>
      </c>
      <c r="AE189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89" s="82" t="str">
        <f t="shared" si="58"/>
        <v>"C:\Program Files (x86)\AstroGrep\AstroGrep.exe" /e /r /s /spath="%USERPROFILE%\AppData\Local\Temp\OnboardLogs" /stypes="app*4011*20170327*" /stext=" 03:.+((SYSTEM_STATE.+slice.+state.+changed )|(ment ac)|(multiple cpu faults)|(system.+state.+changed )|(\[timeout)|(PRM\|1\|D)|(kpr)|(kdp)|(\|lc)|(penalty))"</v>
      </c>
      <c r="AG189" s="1" t="str">
        <f t="shared" si="59"/>
        <v>NW</v>
      </c>
      <c r="AH189" s="86" t="str">
        <f t="shared" si="60"/>
        <v>"%USERPROFILE%\Documents\GitHub\eaglep3\Utilities\RefineRTDCRunTimes.py" --tripid 1831-26 --locoid 4011 --swversion DE.1.0.9.0 --startMP 204:1049 --initTime 2017-03-26T21:18:27 --startdatetime 2017-03-26T21:21:22 --delay 1 --endMP 300:58939 --enddatetime 2017-03-26T21:34:45 --enforcementcount 0 &gt;&gt;C:\Users\stu\Documents\GitHub\eaglep3-reporting\EC\2017-03-26-refined-times.txt</v>
      </c>
      <c r="AI189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{"issue":{"subject":"","project_id":79,"tracker_id":40,"status_id":1,"priority_id":2,"assigned_to_id":23,"start_date":"2017-03-26","description":"","custom_fields":[{"id":1,"name":"Subdivision","value":"NW"},{"id":4,"name":"Milepost","value":"5.8939"},{"id":17,"name":"Train ID","value":"1831-26"},{"id":16,"name":"Locomotive ID","value":"4011"},{"id":130,"name":"Impact","value":""},{"id":150,"name":"Time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2"/>
        <v>start /low /b %USERPROFILE%\Documents\GitHub\eaglep3\Utilities\DownloadLogsFromS3.py --loco 4011 --day 2017-03-26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"%USERPROFILE%\AppData\Local\Temp\OnboardLogs"\RTDC4011\*4011*20170327* | grep -SE "(Enforcement Action)|(\[TIMEOUT)|(CHR.+\|PRM\|1\|D.+(SWITCH|SIGNAL).+UNKNOWN)" - &gt;&gt; 2017-03-26-UncaughtWiMAX.txt</v>
      </c>
    </row>
    <row r="190" spans="1:91" x14ac:dyDescent="0.25">
      <c r="A190" s="33" t="s">
        <v>799</v>
      </c>
      <c r="B190" s="7">
        <v>4012</v>
      </c>
      <c r="C190" s="21" t="s">
        <v>219</v>
      </c>
      <c r="D190" s="21" t="s">
        <v>880</v>
      </c>
      <c r="E190" s="13">
        <v>42820.900092592594</v>
      </c>
      <c r="F190" s="13">
        <v>42820.901469907411</v>
      </c>
      <c r="G190" s="7">
        <v>1</v>
      </c>
      <c r="H190" s="21" t="s">
        <v>905</v>
      </c>
      <c r="I190" s="13">
        <v>42820.912800925929</v>
      </c>
      <c r="J190" s="7">
        <v>0</v>
      </c>
      <c r="K190" s="98" t="str">
        <f t="shared" si="48"/>
        <v>4011/4012</v>
      </c>
      <c r="L190" s="21" t="str">
        <f>VLOOKUP(A190,'Trips&amp;Operators'!$C$1:$G$99999,5,FALSE)</f>
        <v>HELVIE ADAM</v>
      </c>
      <c r="M190" s="6">
        <f t="shared" si="49"/>
        <v>1.1331018518831115E-2</v>
      </c>
      <c r="N190" s="7">
        <f t="shared" si="66"/>
        <v>16.316666667116806</v>
      </c>
      <c r="O190" s="7"/>
      <c r="P190" s="7"/>
      <c r="Q190" s="22"/>
      <c r="R190" s="22"/>
      <c r="S190" s="31">
        <f t="shared" si="67"/>
        <v>1</v>
      </c>
      <c r="T190" s="46" t="str">
        <f t="shared" si="50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1"/>
        <v>https://d0f6bd738d7f1b3e5a7ca70fe4ff75f0.us-east-1.aws.found.io/app/kibana#/discover/Steve-Slow-Train-Analysis-(2080s-and-2083s)?_g=(refreshInterval:(display:Off,pause:!f,section:0,value:0),time:(from:'2017-03-26T20:36:08-0600',mode:absolute,to:'2017-03-26T22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87" t="str">
        <f t="shared" si="52"/>
        <v>N</v>
      </c>
      <c r="X190" s="187">
        <f t="shared" si="65"/>
        <v>1</v>
      </c>
      <c r="Y190" s="62">
        <f t="shared" si="53"/>
        <v>5.8628</v>
      </c>
      <c r="Z190" s="62">
        <f t="shared" si="54"/>
        <v>8.3799999999999999E-2</v>
      </c>
      <c r="AA190" s="62">
        <f t="shared" si="55"/>
        <v>5.7789999999999999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6"/>
        <v>1832-26</v>
      </c>
      <c r="AE190" s="85" t="str">
        <f t="shared" si="57"/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190" s="82" t="str">
        <f t="shared" si="58"/>
        <v>"C:\Program Files (x86)\AstroGrep\AstroGrep.exe" /e /r /s /spath="%USERPROFILE%\AppData\Local\Temp\OnboardLogs" /stypes="app*4012*20170327*" /stext=" 03:.+((SYSTEM_STATE.+slice.+state.+changed )|(ment ac)|(multiple cpu faults)|(system.+state.+changed )|(\[timeout)|(PRM\|1\|D)|(kpr)|(kdp)|(\|lc)|(penalty))"</v>
      </c>
      <c r="AG190" s="1" t="str">
        <f t="shared" si="59"/>
        <v>NW</v>
      </c>
      <c r="AH190" s="86" t="str">
        <f t="shared" si="60"/>
        <v>"%USERPROFILE%\Documents\GitHub\eaglep3\Utilities\RefineRTDCRunTimes.py" --tripid 1832-26 --locoid 4012 --swversion DE.1.0.9.0 --startMP 300:58628 --initTime 2017-03-26T21:36:08 --startdatetime 2017-03-26T21:38:07 --delay 1 --endMP 204:838 --enddatetime 2017-03-26T21:54:26 --enforcementcount 0 &gt;&gt;C:\Users\stu\Documents\GitHub\eaglep3-reporting\EC\2017-03-26-refined-times.txt</v>
      </c>
      <c r="AI190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{"issue":{"subject":"","project_id":79,"tracker_id":40,"status_id":1,"priority_id":2,"assigned_to_id":23,"start_date":"2017-03-26","description":"","custom_fields":[{"id":1,"name":"Subdivision","value":"NW"},{"id":4,"name":"Milepost","value":"0.0838"},{"id":17,"name":"Train ID","value":"1832-26"},{"id":16,"name":"Locomotive ID","value":"4012"},{"id":130,"name":"Impact","value":""},{"id":150,"name":"Time of Event (Mountain Time)","value":"21:54:26"},{"id":151,"name":"Denver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2"/>
        <v>start /low /b %USERPROFILE%\Documents\GitHub\eaglep3\Utilities\DownloadLogsFromS3.py --loco 4012 --day 2017-03-26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"%USERPROFILE%\AppData\Local\Temp\OnboardLogs"\RTDC4012\*4012*20170327* | grep -SE "(Enforcement Action)|(\[TIMEOUT)|(CHR.+\|PRM\|1\|D.+(SWITCH|SIGNAL).+UNKNOWN)" - &gt;&gt; 2017-03-26-UncaughtWiMAX.txt</v>
      </c>
    </row>
    <row r="191" spans="1:91" x14ac:dyDescent="0.25">
      <c r="A191" s="33" t="s">
        <v>803</v>
      </c>
      <c r="B191" s="7">
        <v>4011</v>
      </c>
      <c r="C191" s="21" t="s">
        <v>219</v>
      </c>
      <c r="D191" s="21" t="s">
        <v>906</v>
      </c>
      <c r="E191" s="13">
        <v>42820.930381944447</v>
      </c>
      <c r="F191" s="13">
        <v>42820.931562500002</v>
      </c>
      <c r="G191" s="7">
        <v>1</v>
      </c>
      <c r="H191" s="21" t="s">
        <v>897</v>
      </c>
      <c r="I191" s="13">
        <v>42820.940405092595</v>
      </c>
      <c r="J191" s="7">
        <v>0</v>
      </c>
      <c r="K191" s="98" t="str">
        <f t="shared" si="48"/>
        <v>4011/4012</v>
      </c>
      <c r="L191" s="21" t="str">
        <f>VLOOKUP(A191,'Trips&amp;Operators'!$C$1:$G$99999,5,FALSE)</f>
        <v>HELVIE ADAM</v>
      </c>
      <c r="M191" s="6">
        <f t="shared" si="49"/>
        <v>8.8425925932824612E-3</v>
      </c>
      <c r="N191" s="7">
        <f t="shared" si="66"/>
        <v>12.733333334326744</v>
      </c>
      <c r="O191" s="7"/>
      <c r="P191" s="7"/>
      <c r="Q191" s="22"/>
      <c r="R191" s="22"/>
      <c r="S191" s="31">
        <f t="shared" si="67"/>
        <v>1</v>
      </c>
      <c r="T191" s="46" t="str">
        <f t="shared" si="50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1"/>
        <v>https://d0f6bd738d7f1b3e5a7ca70fe4ff75f0.us-east-1.aws.found.io/app/kibana#/discover/Steve-Slow-Train-Analysis-(2080s-and-2083s)?_g=(refreshInterval:(display:Off,pause:!f,section:0,value:0),time:(from:'2017-03-26T21:19:45-0600',mode:absolute,to:'2017-03-26T23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87" t="str">
        <f t="shared" si="52"/>
        <v>N</v>
      </c>
      <c r="X191" s="187">
        <f t="shared" si="65"/>
        <v>1</v>
      </c>
      <c r="Y191" s="62">
        <f t="shared" si="53"/>
        <v>0.11210000000000001</v>
      </c>
      <c r="Z191" s="62">
        <f t="shared" si="54"/>
        <v>5.8945999999999996</v>
      </c>
      <c r="AA191" s="62">
        <f t="shared" si="55"/>
        <v>5.7824999999999998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6"/>
        <v>1833-26</v>
      </c>
      <c r="AE191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191" s="82" t="str">
        <f t="shared" si="58"/>
        <v>"C:\Program Files (x86)\AstroGrep\AstroGrep.exe" /e /r /s /spath="%USERPROFILE%\AppData\Local\Temp\OnboardLogs" /stypes="app*4011*20170327*" /stext=" 04:.+((SYSTEM_STATE.+slice.+state.+changed )|(ment ac)|(multiple cpu faults)|(system.+state.+changed )|(\[timeout)|(PRM\|1\|D)|(kpr)|(kdp)|(\|lc)|(penalty))"</v>
      </c>
      <c r="AG191" s="1" t="str">
        <f t="shared" si="59"/>
        <v>NW</v>
      </c>
      <c r="AH191" s="86" t="str">
        <f t="shared" si="60"/>
        <v>"%USERPROFILE%\Documents\GitHub\eaglep3\Utilities\RefineRTDCRunTimes.py" --tripid 1833-26 --locoid 4011 --swversion DE.1.0.9.0 --startMP 204:1121 --initTime 2017-03-26T22:19:45 --startdatetime 2017-03-26T22:21:27 --delay 1 --endMP 300:58946 --enddatetime 2017-03-26T22:34:11 --enforcementcount 0 &gt;&gt;C:\Users\stu\Documents\GitHub\eaglep3-reporting\EC\2017-03-26-refined-times.txt</v>
      </c>
      <c r="AI191" s="108" t="str">
        <f t="shared" si="61"/>
        <v>echo {"issue":{"subject":"","project_id":79,"tracker_id":40,"status_id":1,"priority_id":2,"assigned_to_id":23,"start_date":"2017-03-26","description":"","custom_fields":[{"id":1,"name":"Subdivision","value":"NW"},{"id":4,"name":"Milepost","value":"5.8946"},{"id":17,"name":"Train ID","value":"1833-26"},{"id":16,"name":"Locomotive ID","value":"4011"},{"id":130,"name":"Impact","value":""},{"id":150,"name":"Time of Event (Mountain Time)","value":"22:34:11"},{"id":151,"name":"Denver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2"/>
        <v>start /low /b %USERPROFILE%\Documents\GitHub\eaglep3\Utilities\DownloadLogsFromS3.py --loco 4011 --day 2017-03-26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"%USERPROFILE%\AppData\Local\Temp\OnboardLogs"\RTDC4011\*4011*20170327* | grep -SE "(Enforcement Action)|(\[TIMEOUT)|(CHR.+\|PRM\|1\|D.+(SWITCH|SIGNAL).+UNKNOWN)" - &gt;&gt; 2017-03-26-UncaughtWiMAX.txt</v>
      </c>
    </row>
    <row r="192" spans="1:91" x14ac:dyDescent="0.25">
      <c r="A192" s="33" t="s">
        <v>635</v>
      </c>
      <c r="B192" s="7">
        <v>4004</v>
      </c>
      <c r="C192" s="21" t="s">
        <v>219</v>
      </c>
      <c r="D192" s="21" t="s">
        <v>947</v>
      </c>
      <c r="E192" s="13">
        <v>42820.12568287037</v>
      </c>
      <c r="F192" s="13">
        <v>42820.128634259258</v>
      </c>
      <c r="G192" s="7">
        <v>4</v>
      </c>
      <c r="H192" s="21" t="s">
        <v>827</v>
      </c>
      <c r="I192" s="13">
        <v>42820.134467592594</v>
      </c>
      <c r="J192" s="7">
        <v>0</v>
      </c>
      <c r="K192" s="98" t="str">
        <f t="shared" si="48"/>
        <v>4003/4004</v>
      </c>
      <c r="L192" s="21" t="str">
        <f>VLOOKUP(A192,'Trips&amp;Operators'!$C$1:$G$99999,5,FALSE)</f>
        <v>MAYBERRY BILL</v>
      </c>
      <c r="M192" s="6">
        <f t="shared" si="49"/>
        <v>5.8333333363407291E-3</v>
      </c>
      <c r="N192" s="7">
        <f t="shared" si="66"/>
        <v>8.40000000433065</v>
      </c>
      <c r="O192" s="7"/>
      <c r="P192" s="7"/>
      <c r="Q192" s="22"/>
      <c r="R192" s="22"/>
      <c r="S192" s="31">
        <f t="shared" si="67"/>
        <v>1</v>
      </c>
      <c r="T192" s="46" t="str">
        <f t="shared" si="50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1"/>
        <v>https://d0f6bd738d7f1b3e5a7ca70fe4ff75f0.us-east-1.aws.found.io/app/kibana#/discover/Steve-Slow-Train-Analysis-(2080s-and-2083s)?_g=(refreshInterval:(display:Off,pause:!f,section:0,value:0),time:(from:'2017-03-26T02:00:59-0600',mode:absolute,to:'2017-03-26T04:13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187" t="str">
        <f t="shared" si="52"/>
        <v>Y</v>
      </c>
      <c r="X192" s="187">
        <f t="shared" si="65"/>
        <v>-1531</v>
      </c>
      <c r="Y192" s="62">
        <f t="shared" si="53"/>
        <v>2.3344999999999998</v>
      </c>
      <c r="Z192" s="62">
        <f t="shared" si="54"/>
        <v>1.7000000000000001E-2</v>
      </c>
      <c r="AA192" s="62">
        <f t="shared" si="55"/>
        <v>2.3174999999999999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6"/>
        <v>0302-26</v>
      </c>
      <c r="AE192" s="85" t="str">
        <f t="shared" si="57"/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AF192" s="82" t="str">
        <f t="shared" si="58"/>
        <v>"C:\Program Files (x86)\AstroGrep\AstroGrep.exe" /e /r /s /spath="%USERPROFILE%\AppData\Local\Temp\OnboardLogs" /stypes="app*4004*20170326*" /stext=" 09:.+((SYSTEM_STATE.+slice.+state.+changed )|(ment ac)|(multiple cpu faults)|(system.+state.+changed )|(\[timeout)|(PRM\|1\|D)|(kpr)|(kdp)|(\|lc)|(penalty))"</v>
      </c>
      <c r="AG192" s="1" t="str">
        <f t="shared" si="59"/>
        <v>Other</v>
      </c>
      <c r="AH192" s="86" t="str">
        <f t="shared" si="60"/>
        <v>"%USERPROFILE%\Documents\GitHub\eaglep3\Utilities\RefineRTDCRunTimes.py" --tripid 302-26 --locoid 4004 --swversion DE.1.0.9.0 --startMP 300:23345 --initTime 2017-03-26T03:00:59 --startdatetime 2017-03-26T03:05:14 --delay 4 --endMP 204:170 --enddatetime 2017-03-26T03:13:38 --enforcementcount 0 &gt;&gt;C:\Users\stu\Documents\GitHub\eaglep3-reporting\EC\2017-03-26-refined-times.txt</v>
      </c>
      <c r="AI192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{"issue":{"subject":"","project_id":79,"tracker_id":40,"status_id":1,"priority_id":2,"assigned_to_id":23,"start_date":"2017-03-26","description":"","custom_fields":[{"id":1,"name":"Subdivision","value":"Other"},{"id":4,"name":"Milepost","value":"0.017"},{"id":17,"name":"Train ID","value":"302-26"},{"id":16,"name":"Locomotive ID","value":"4004"},{"id":130,"name":"Impact","value":""},{"id":150,"name":"Time of Event (Mountain Time)","value":"03:13:38"},{"id":151,"name":"Denver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2"/>
        <v>start /low /b %USERPROFILE%\Documents\GitHub\eaglep3\Utilities\DownloadLogsFromS3.py --loco 4004 --day 2017-03-26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"%USERPROFILE%\AppData\Local\Temp\OnboardLogs"\RTDC4004\*4004*20170326* | grep -SE "(Enforcement Action)|(\[TIMEOUT)|(CHR.+\|PRM\|1\|D.+(SWITCH|SIGNAL).+UNKNOWN)" - &gt;&gt; 2017-03-26-UncaughtWiMAX.txt</v>
      </c>
    </row>
    <row r="193" spans="1:40" x14ac:dyDescent="0.25">
      <c r="A193" s="33" t="s">
        <v>640</v>
      </c>
      <c r="B193" s="7">
        <v>4026</v>
      </c>
      <c r="C193" s="21" t="s">
        <v>219</v>
      </c>
      <c r="D193" s="21" t="s">
        <v>948</v>
      </c>
      <c r="E193" s="13">
        <v>42820.140300925923</v>
      </c>
      <c r="F193" s="13">
        <v>42820.142939814818</v>
      </c>
      <c r="G193" s="7">
        <v>3</v>
      </c>
      <c r="H193" s="21" t="s">
        <v>215</v>
      </c>
      <c r="I193" s="13">
        <v>42820.148402777777</v>
      </c>
      <c r="J193" s="7">
        <v>0</v>
      </c>
      <c r="K193" s="98" t="str">
        <f t="shared" si="48"/>
        <v>4025/4026</v>
      </c>
      <c r="L193" s="21" t="str">
        <f>VLOOKUP(A193,'Trips&amp;Operators'!$C$1:$G$99999,5,FALSE)</f>
        <v>MAELZER KURT</v>
      </c>
      <c r="M193" s="6">
        <f t="shared" si="49"/>
        <v>5.4629629594273865E-3</v>
      </c>
      <c r="N193" s="7">
        <f t="shared" si="66"/>
        <v>7.8666666615754366</v>
      </c>
      <c r="O193" s="7"/>
      <c r="P193" s="7"/>
      <c r="Q193" s="22"/>
      <c r="R193" s="22"/>
      <c r="S193" s="31">
        <f t="shared" si="67"/>
        <v>1</v>
      </c>
      <c r="T193" s="46" t="str">
        <f t="shared" si="50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1"/>
        <v>https://d0f6bd738d7f1b3e5a7ca70fe4ff75f0.us-east-1.aws.found.io/app/kibana#/discover/Steve-Slow-Train-Analysis-(2080s-and-2083s)?_g=(refreshInterval:(display:Off,pause:!f,section:0,value:0),time:(from:'2017-03-26T02:22:02-0600',mode:absolute,to:'2017-03-26T04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87" t="str">
        <f t="shared" si="52"/>
        <v>Y</v>
      </c>
      <c r="X193" s="187">
        <f t="shared" ref="X193:X218" si="68">VALUE(LEFT(AD193,4))-VALUE(LEFT(AD192,4))</f>
        <v>2</v>
      </c>
      <c r="Y193" s="62">
        <f t="shared" si="53"/>
        <v>2.3125</v>
      </c>
      <c r="Z193" s="62">
        <f t="shared" si="54"/>
        <v>1.47E-2</v>
      </c>
      <c r="AA193" s="62">
        <f t="shared" si="55"/>
        <v>2.2978000000000001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6"/>
        <v>0304-26</v>
      </c>
      <c r="AE193" s="85" t="str">
        <f t="shared" si="57"/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AF193" s="82" t="str">
        <f t="shared" si="58"/>
        <v>"C:\Program Files (x86)\AstroGrep\AstroGrep.exe" /e /r /s /spath="%USERPROFILE%\AppData\Local\Temp\OnboardLogs" /stypes="app*4026*20170326*" /stext=" 09:.+((SYSTEM_STATE.+slice.+state.+changed )|(ment ac)|(multiple cpu faults)|(system.+state.+changed )|(\[timeout)|(PRM\|1\|D)|(kpr)|(kdp)|(\|lc)|(penalty))"</v>
      </c>
      <c r="AG193" s="1" t="str">
        <f t="shared" si="59"/>
        <v>Other</v>
      </c>
      <c r="AH193" s="86" t="str">
        <f t="shared" si="60"/>
        <v>"%USERPROFILE%\Documents\GitHub\eaglep3\Utilities\RefineRTDCRunTimes.py" --tripid 304-26 --locoid 4026 --swversion DE.1.0.9.0 --startMP 300:23125 --initTime 2017-03-26T03:22:02 --startdatetime 2017-03-26T03:25:50 --delay 3 --endMP 204:147 --enddatetime 2017-03-26T03:33:42 --enforcementcount 0 &gt;&gt;C:\Users\stu\Documents\GitHub\eaglep3-reporting\EC\2017-03-26-refined-times.txt</v>
      </c>
      <c r="AI193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{"issue":{"subject":"","project_id":79,"tracker_id":40,"status_id":1,"priority_id":2,"assigned_to_id":23,"start_date":"2017-03-26","description":"","custom_fields":[{"id":1,"name":"Subdivision","value":"Other"},{"id":4,"name":"Milepost","value":"0.0147"},{"id":17,"name":"Train ID","value":"304-26"},{"id":16,"name":"Locomotive ID","value":"4026"},{"id":130,"name":"Impact","value":""},{"id":150,"name":"Time of Event (Mountain Time)","value":"03:33:42"},{"id":151,"name":"Denver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2"/>
        <v>start /low /b %USERPROFILE%\Documents\GitHub\eaglep3\Utilities\DownloadLogsFromS3.py --loco 4026 --day 2017-03-26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"%USERPROFILE%\AppData\Local\Temp\OnboardLogs"\RTDC4026\*4026*20170326* | grep -SE "(Enforcement Action)|(\[TIMEOUT)|(CHR.+\|PRM\|1\|D.+(SWITCH|SIGNAL).+UNKNOWN)" - &gt;&gt; 2017-03-26-UncaughtWiMAX.txt</v>
      </c>
    </row>
    <row r="194" spans="1:40" x14ac:dyDescent="0.25">
      <c r="A194" s="33" t="s">
        <v>780</v>
      </c>
      <c r="B194" s="7">
        <v>4003</v>
      </c>
      <c r="C194" s="21" t="s">
        <v>219</v>
      </c>
      <c r="D194" s="21" t="s">
        <v>221</v>
      </c>
      <c r="E194" s="13">
        <v>42820.797361111108</v>
      </c>
      <c r="F194" s="13">
        <v>42820.799386574072</v>
      </c>
      <c r="G194" s="7">
        <v>1</v>
      </c>
      <c r="H194" s="21" t="s">
        <v>949</v>
      </c>
      <c r="I194" s="13">
        <v>25568.708333333332</v>
      </c>
      <c r="J194" s="7">
        <v>0</v>
      </c>
      <c r="K194" s="98" t="str">
        <f t="shared" si="48"/>
        <v>4003/4004</v>
      </c>
      <c r="L194" s="21" t="str">
        <f>VLOOKUP(A194,'Trips&amp;Operators'!$C$1:$G$99999,5,FALSE)</f>
        <v>LOCKLEAR TRAVIS</v>
      </c>
      <c r="M194" s="6">
        <f t="shared" si="49"/>
        <v>-17252.09105324074</v>
      </c>
      <c r="N194" s="7">
        <f t="shared" si="66"/>
        <v>-24843011.116666663</v>
      </c>
      <c r="O194" s="7"/>
      <c r="P194" s="7"/>
      <c r="Q194" s="22"/>
      <c r="R194" s="22"/>
      <c r="S194" s="31">
        <f t="shared" si="67"/>
        <v>1</v>
      </c>
      <c r="T194" s="46" t="str">
        <f t="shared" si="50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1"/>
        <v>https://d0f6bd738d7f1b3e5a7ca70fe4ff75f0.us-east-1.aws.found.io/app/kibana#/discover/Steve-Slow-Train-Analysis-(2080s-and-2083s)?_g=(refreshInterval:(display:Off,pause:!f,section:0,value:0),time:(from:'2017-03-26T18:08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87" t="str">
        <f t="shared" si="52"/>
        <v>Y</v>
      </c>
      <c r="X194" s="187">
        <f t="shared" si="68"/>
        <v>1</v>
      </c>
      <c r="Y194" s="62">
        <f t="shared" si="53"/>
        <v>4.6699999999999998E-2</v>
      </c>
      <c r="Z194" s="62">
        <f t="shared" si="54"/>
        <v>2.3136000000000001</v>
      </c>
      <c r="AA194" s="62">
        <f t="shared" si="55"/>
        <v>2.2669000000000001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6"/>
        <v>0305-26</v>
      </c>
      <c r="AE194" s="85" t="str">
        <f t="shared" si="57"/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AF194" s="82" t="str">
        <f t="shared" si="58"/>
        <v>"C:\Program Files (x86)\AstroGrep\AstroGrep.exe" /e /r /s /spath="%USERPROFILE%\AppData\Local\Temp\OnboardLogs" /stypes="app*4003*19691231*" /stext=" 23:.+((SYSTEM_STATE.+slice.+state.+changed )|(ment ac)|(multiple cpu faults)|(system.+state.+changed )|(\[timeout)|(PRM\|1\|D)|(kpr)|(kdp)|(\|lc)|(penalty))"</v>
      </c>
      <c r="AG194" s="1" t="str">
        <f t="shared" si="59"/>
        <v>Other</v>
      </c>
      <c r="AH194" s="86" t="str">
        <f t="shared" si="60"/>
        <v>"%USERPROFILE%\Documents\GitHub\eaglep3\Utilities\RefineRTDCRunTimes.py" --tripid 305-26 --locoid 4003 --swversion DE.1.0.9.0 --startMP 204:467 --initTime 2017-03-26T19:08:12 --startdatetime 2017-03-26T19:11:07 --delay 1 --endMP 300:23136 --enddatetime 1969-12-31T17:00:00 --enforcementcount 0 &gt;&gt;C:\Users\stu\Documents\GitHub\eaglep3-reporting\EC\2017-03-26-refined-times.txt</v>
      </c>
      <c r="AI194" s="108" t="str">
        <f t="shared" si="61"/>
        <v>echo {"issue":{"subject":"","project_id":79,"tracker_id":40,"status_id":1,"priority_id":2,"assigned_to_id":23,"start_date":"1969-12-31","description":"","custom_fields":[{"id":1,"name":"Subdivision","value":"Other"},{"id":4,"name":"Milepost","value":"2.3136"},{"id":17,"name":"Train ID","value":"305-26"},{"id":16,"name":"Locomotive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2"/>
        <v>start /low /b %USERPROFILE%\Documents\GitHub\eaglep3\Utilities\DownloadLogsFromS3.py --loco 4003 --day 2017-03-26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"%USERPROFILE%\AppData\Local\Temp\OnboardLogs"\RTDC4003\*4003*19930814* | grep -SE "(Enforcement Action)|(\[TIMEOUT)|(CHR.+\|PRM\|1\|D.+(SWITCH|SIGNAL).+UNKNOWN)" - &gt;&gt; 2017-03-26-UncaughtWiMAX.txt</v>
      </c>
    </row>
    <row r="195" spans="1:40" x14ac:dyDescent="0.25">
      <c r="A195" s="33" t="s">
        <v>644</v>
      </c>
      <c r="B195" s="7">
        <v>4019</v>
      </c>
      <c r="C195" s="21" t="s">
        <v>219</v>
      </c>
      <c r="D195" s="21" t="s">
        <v>950</v>
      </c>
      <c r="E195" s="13">
        <v>42820.159131944441</v>
      </c>
      <c r="F195" s="13">
        <v>42820.163321759261</v>
      </c>
      <c r="G195" s="7">
        <v>5</v>
      </c>
      <c r="H195" s="21" t="s">
        <v>532</v>
      </c>
      <c r="I195" s="13">
        <v>42820.169432870367</v>
      </c>
      <c r="J195" s="7">
        <v>0</v>
      </c>
      <c r="K195" s="98" t="str">
        <f t="shared" si="48"/>
        <v>4019/4020</v>
      </c>
      <c r="L195" s="21" t="str">
        <f>VLOOKUP(A195,'Trips&amp;Operators'!$C$1:$G$99999,5,FALSE)</f>
        <v>BADERTSCHER DIANE</v>
      </c>
      <c r="M195" s="6">
        <f t="shared" si="49"/>
        <v>6.1111111062928103E-3</v>
      </c>
      <c r="N195" s="7">
        <f t="shared" si="66"/>
        <v>8.7999999930616468</v>
      </c>
      <c r="O195" s="7"/>
      <c r="P195" s="7"/>
      <c r="Q195" s="22"/>
      <c r="R195" s="22"/>
      <c r="S195" s="31">
        <f t="shared" si="67"/>
        <v>1</v>
      </c>
      <c r="T195" s="46" t="str">
        <f t="shared" si="50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1"/>
        <v>https://d0f6bd738d7f1b3e5a7ca70fe4ff75f0.us-east-1.aws.found.io/app/kibana#/discover/Steve-Slow-Train-Analysis-(2080s-and-2083s)?_g=(refreshInterval:(display:Off,pause:!f,section:0,value:0),time:(from:'2017-03-26T02:49:09-0600',mode:absolute,to:'2017-03-26T05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87" t="str">
        <f t="shared" si="52"/>
        <v>Y</v>
      </c>
      <c r="X195" s="187">
        <f t="shared" si="68"/>
        <v>1</v>
      </c>
      <c r="Y195" s="62">
        <f t="shared" si="53"/>
        <v>2.2827999999999999</v>
      </c>
      <c r="Z195" s="62">
        <f t="shared" si="54"/>
        <v>1.38E-2</v>
      </c>
      <c r="AA195" s="62">
        <f t="shared" si="55"/>
        <v>2.2690000000000001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6"/>
        <v>0306-26</v>
      </c>
      <c r="AE195" s="85" t="str">
        <f t="shared" si="57"/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AF195" s="82" t="str">
        <f t="shared" si="58"/>
        <v>"C:\Program Files (x86)\AstroGrep\AstroGrep.exe" /e /r /s /spath="%USERPROFILE%\AppData\Local\Temp\OnboardLogs" /stypes="app*4019*20170326*" /stext=" 10:.+((SYSTEM_STATE.+slice.+state.+changed )|(ment ac)|(multiple cpu faults)|(system.+state.+changed )|(\[timeout)|(PRM\|1\|D)|(kpr)|(kdp)|(\|lc)|(penalty))"</v>
      </c>
      <c r="AG195" s="1" t="str">
        <f t="shared" si="59"/>
        <v>Other</v>
      </c>
      <c r="AH195" s="86" t="str">
        <f t="shared" si="60"/>
        <v>"%USERPROFILE%\Documents\GitHub\eaglep3\Utilities\RefineRTDCRunTimes.py" --tripid 306-26 --locoid 4019 --swversion DE.1.0.9.0 --startMP 300:22828 --initTime 2017-03-26T03:49:09 --startdatetime 2017-03-26T03:55:11 --delay 5 --endMP 204:138 --enddatetime 2017-03-26T04:03:59 --enforcementcount 0 &gt;&gt;C:\Users\stu\Documents\GitHub\eaglep3-reporting\EC\2017-03-26-refined-times.txt</v>
      </c>
      <c r="AI195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{"issue":{"subject":"","project_id":79,"tracker_id":40,"status_id":1,"priority_id":2,"assigned_to_id":23,"start_date":"2017-03-26","description":"","custom_fields":[{"id":1,"name":"Subdivision","value":"Other"},{"id":4,"name":"Milepost","value":"0.0138"},{"id":17,"name":"Train ID","value":"306-26"},{"id":16,"name":"Locomotive ID","value":"4019"},{"id":130,"name":"Impact","value":""},{"id":150,"name":"Time of Event (Mountain Time)","value":"04:03:59"},{"id":151,"name":"Denver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2"/>
        <v>start /low /b %USERPROFILE%\Documents\GitHub\eaglep3\Utilities\DownloadLogsFromS3.py --loco 4019 --day 2017-03-26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"%USERPROFILE%\AppData\Local\Temp\OnboardLogs"\RTDC4019\*4019*20170326* | grep -SE "(Enforcement Action)|(\[TIMEOUT)|(CHR.+\|PRM\|1\|D.+(SWITCH|SIGNAL).+UNKNOWN)" - &gt;&gt; 2017-03-26-UncaughtWiMAX.txt</v>
      </c>
    </row>
    <row r="196" spans="1:40" s="20" customFormat="1" x14ac:dyDescent="0.25">
      <c r="A196" s="33" t="s">
        <v>785</v>
      </c>
      <c r="B196" s="7">
        <v>4025</v>
      </c>
      <c r="C196" s="21" t="s">
        <v>219</v>
      </c>
      <c r="D196" s="21" t="s">
        <v>535</v>
      </c>
      <c r="E196" s="13">
        <v>42820.819560185184</v>
      </c>
      <c r="F196" s="13">
        <v>42820.822789351849</v>
      </c>
      <c r="G196" s="7">
        <v>1</v>
      </c>
      <c r="H196" s="21" t="s">
        <v>951</v>
      </c>
      <c r="I196" s="13">
        <v>42820.827986111108</v>
      </c>
      <c r="J196" s="7">
        <v>0</v>
      </c>
      <c r="K196" s="98" t="str">
        <f t="shared" si="48"/>
        <v>4025/4026</v>
      </c>
      <c r="L196" s="21" t="str">
        <f>VLOOKUP(A196,'Trips&amp;Operators'!$C$1:$G$99999,5,FALSE)</f>
        <v>BRANDNER MELINDA</v>
      </c>
      <c r="M196" s="6">
        <f t="shared" si="49"/>
        <v>5.1967592589790002E-3</v>
      </c>
      <c r="N196" s="7">
        <f t="shared" si="66"/>
        <v>7.4833333329297602</v>
      </c>
      <c r="O196" s="7"/>
      <c r="P196" s="7"/>
      <c r="Q196" s="22"/>
      <c r="R196" s="22"/>
      <c r="S196" s="31">
        <f t="shared" si="67"/>
        <v>1</v>
      </c>
      <c r="T196" s="46" t="str">
        <f t="shared" si="50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1"/>
        <v>https://d0f6bd738d7f1b3e5a7ca70fe4ff75f0.us-east-1.aws.found.io/app/kibana#/discover/Steve-Slow-Train-Analysis-(2080s-and-2083s)?_g=(refreshInterval:(display:Off,pause:!f,section:0,value:0),time:(from:'2017-03-26T18:40:10-0600',mode:absolute,to:'2017-03-26T20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7" t="str">
        <f t="shared" si="52"/>
        <v>Y</v>
      </c>
      <c r="X196" s="187">
        <f t="shared" si="68"/>
        <v>1</v>
      </c>
      <c r="Y196" s="62">
        <f t="shared" si="53"/>
        <v>4.8000000000000001E-2</v>
      </c>
      <c r="Z196" s="62">
        <f t="shared" si="54"/>
        <v>2.3010999999999999</v>
      </c>
      <c r="AA196" s="62">
        <f t="shared" si="55"/>
        <v>2.2530999999999999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6"/>
        <v>0307-26</v>
      </c>
      <c r="AE196" s="85" t="str">
        <f t="shared" si="57"/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AF196" s="82" t="str">
        <f t="shared" si="58"/>
        <v>"C:\Program Files (x86)\AstroGrep\AstroGrep.exe" /e /r /s /spath="%USERPROFILE%\AppData\Local\Temp\OnboardLogs" /stypes="app*4025*20170327*" /stext=" 01:.+((SYSTEM_STATE.+slice.+state.+changed )|(ment ac)|(multiple cpu faults)|(system.+state.+changed )|(\[timeout)|(PRM\|1\|D)|(kpr)|(kdp)|(\|lc)|(penalty))"</v>
      </c>
      <c r="AG196" s="1" t="str">
        <f t="shared" si="59"/>
        <v>Other</v>
      </c>
      <c r="AH196" s="86" t="str">
        <f t="shared" si="60"/>
        <v>"%USERPROFILE%\Documents\GitHub\eaglep3\Utilities\RefineRTDCRunTimes.py" --tripid 307-26 --locoid 4025 --swversion DE.1.0.9.0 --startMP 204:480 --initTime 2017-03-26T19:40:10 --startdatetime 2017-03-26T19:44:49 --delay 1 --endMP 300:23011 --enddatetime 2017-03-26T19:52:18 --enforcementcount 0 &gt;&gt;C:\Users\stu\Documents\GitHub\eaglep3-reporting\EC\2017-03-26-refined-times.txt</v>
      </c>
      <c r="AI196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{"issue":{"subject":"","project_id":79,"tracker_id":40,"status_id":1,"priority_id":2,"assigned_to_id":23,"start_date":"2017-03-26","description":"","custom_fields":[{"id":1,"name":"Subdivision","value":"Other"},{"id":4,"name":"Milepost","value":"2.3011"},{"id":17,"name":"Train ID","value":"307-26"},{"id":16,"name":"Locomotive ID","value":"4025"},{"id":130,"name":"Impact","value":""},{"id":150,"name":"Time of Event (Mountain Time)","value":"19:52:18"},{"id":151,"name":"Denver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2"/>
        <v>start /low /b %USERPROFILE%\Documents\GitHub\eaglep3\Utilities\DownloadLogsFromS3.py --loco 4025 --day 2017-03-26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"%USERPROFILE%\AppData\Local\Temp\OnboardLogs"\RTDC4025\*4025*20170327* | grep -SE "(Enforcement Action)|(\[TIMEOUT)|(CHR.+\|PRM\|1\|D.+(SWITCH|SIGNAL).+UNKNOWN)" - &gt;&gt; 2017-03-26-UncaughtWiMAX.txt</v>
      </c>
    </row>
    <row r="197" spans="1:40" x14ac:dyDescent="0.25">
      <c r="A197" s="33" t="s">
        <v>596</v>
      </c>
      <c r="B197" s="7">
        <v>4015</v>
      </c>
      <c r="C197" s="21" t="s">
        <v>219</v>
      </c>
      <c r="D197" s="21" t="s">
        <v>952</v>
      </c>
      <c r="E197" s="13">
        <v>42820.173125000001</v>
      </c>
      <c r="F197" s="13">
        <v>42820.176122685189</v>
      </c>
      <c r="G197" s="7">
        <v>4</v>
      </c>
      <c r="H197" s="21" t="s">
        <v>953</v>
      </c>
      <c r="I197" s="13">
        <v>42820.176828703705</v>
      </c>
      <c r="J197" s="7">
        <v>0</v>
      </c>
      <c r="K197" s="98" t="str">
        <f t="shared" si="48"/>
        <v>4015/4016</v>
      </c>
      <c r="L197" s="21" t="str">
        <f>VLOOKUP(A197,'Trips&amp;Operators'!$C$1:$G$99999,5,FALSE)</f>
        <v>DAVIS WENDY</v>
      </c>
      <c r="M197" s="6">
        <f t="shared" si="49"/>
        <v>7.0601851621177047E-4</v>
      </c>
      <c r="N197" s="7">
        <f t="shared" si="66"/>
        <v>1.0166666633449495</v>
      </c>
      <c r="O197" s="7"/>
      <c r="P197" s="7"/>
      <c r="Q197" s="22"/>
      <c r="R197" s="22"/>
      <c r="S197" s="31">
        <f t="shared" si="67"/>
        <v>0</v>
      </c>
      <c r="T197" s="46" t="str">
        <f t="shared" si="50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86" t="str">
        <f t="shared" si="51"/>
        <v>https://d0f6bd738d7f1b3e5a7ca70fe4ff75f0.us-east-1.aws.found.io/app/kibana#/discover/Steve-Slow-Train-Analysis-(2080s-and-2083s)?_g=(refreshInterval:(display:Off,pause:!f,section:0,value:0),time:(from:'2017-03-26T03:09:18-0600',mode:absolute,to:'2017-03-26T05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87" t="str">
        <f t="shared" si="52"/>
        <v>Y</v>
      </c>
      <c r="X197" s="187">
        <f t="shared" si="68"/>
        <v>1</v>
      </c>
      <c r="Y197" s="62">
        <f t="shared" si="53"/>
        <v>2.3294000000000001</v>
      </c>
      <c r="Z197" s="62">
        <f t="shared" si="54"/>
        <v>2.2627999999999999</v>
      </c>
      <c r="AA197" s="62">
        <f t="shared" si="55"/>
        <v>6.6600000000000215E-2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6"/>
        <v>0308-26</v>
      </c>
      <c r="AE197" s="85" t="str">
        <f t="shared" si="57"/>
        <v>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 &amp; aws s3 cp s3://rtdc.mdm.uploadarchive.raw/RTDC4015/ "%USERPROFILE%\AppData\Local\Temp\OnboardLogs"\RTDC4015\2017-03-27 --exclude "*" --recursive --include "*20170327*" &amp; "%USERPROFILE%\Documents\GitHub\mrs-test-scripts\Headless Mode &amp; Sideloading\WalkAndUnGZ.bat" "%USERPROFILE%\AppData\Local\Temp\OnboardLogs"\RTDC4015\2017-03-27</v>
      </c>
      <c r="AF197" s="82" t="str">
        <f t="shared" si="58"/>
        <v>"C:\Program Files (x86)\AstroGrep\AstroGrep.exe" /e /r /s /spath="%USERPROFILE%\AppData\Local\Temp\OnboardLogs" /stypes="app*4015*20170326*" /stext=" 10:.+((SYSTEM_STATE.+slice.+state.+changed )|(ment ac)|(multiple cpu faults)|(system.+state.+changed )|(\[timeout)|(PRM\|1\|D)|(kpr)|(kdp)|(\|lc)|(penalty))"</v>
      </c>
      <c r="AG197" s="1" t="str">
        <f t="shared" si="59"/>
        <v>Other</v>
      </c>
      <c r="AH197" s="86" t="str">
        <f t="shared" si="60"/>
        <v>"%USERPROFILE%\Documents\GitHub\eaglep3\Utilities\RefineRTDCRunTimes.py" --tripid 308-26 --locoid 4015 --swversion DE.1.0.9.0 --startMP 300:23294 --initTime 2017-03-26T04:09:18 --startdatetime 2017-03-26T04:13:37 --delay 4 --endMP 300:22628 --enddatetime 2017-03-26T04:14:38 --enforcementcount 0 &gt;&gt;C:\Users\stu\Documents\GitHub\eaglep3-reporting\EC\2017-03-26-refined-times.txt</v>
      </c>
      <c r="AI197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{"issue":{"subject":"","project_id":79,"tracker_id":40,"status_id":1,"priority_id":2,"assigned_to_id":23,"start_date":"2017-03-26","description":"","custom_fields":[{"id":1,"name":"Subdivision","value":"Other"},{"id":4,"name":"Milepost","value":"2.2628"},{"id":17,"name":"Train ID","value":"308-26"},{"id":16,"name":"Locomotive ID","value":"4015"},{"id":130,"name":"Impact","value":""},{"id":150,"name":"Time of Event (Mountain Time)","value":"04:14:38"},{"id":151,"name":"Denver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2"/>
        <v>start /low /b %USERPROFILE%\Documents\GitHub\eaglep3\Utilities\DownloadLogsFromS3.py --loco 4015 --day 2017-03-26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"%USERPROFILE%\AppData\Local\Temp\OnboardLogs"\RTDC4015\*4015*20170326* | grep -SE "(Enforcement Action)|(\[TIMEOUT)|(CHR.+\|PRM\|1\|D.+(SWITCH|SIGNAL).+UNKNOWN)" - &gt;&gt; 2017-03-26-UncaughtWiMAX.txt</v>
      </c>
    </row>
    <row r="198" spans="1:40" x14ac:dyDescent="0.25">
      <c r="A198" s="33" t="s">
        <v>633</v>
      </c>
      <c r="B198" s="7">
        <v>4014</v>
      </c>
      <c r="C198" s="21" t="s">
        <v>219</v>
      </c>
      <c r="D198" s="21" t="s">
        <v>954</v>
      </c>
      <c r="E198" s="13">
        <v>42820.079317129632</v>
      </c>
      <c r="F198" s="13">
        <v>42820.08222222222</v>
      </c>
      <c r="G198" s="7">
        <v>1</v>
      </c>
      <c r="H198" s="21" t="s">
        <v>955</v>
      </c>
      <c r="I198" s="13">
        <v>42820.097986111112</v>
      </c>
      <c r="J198" s="7">
        <v>0</v>
      </c>
      <c r="K198" s="98" t="str">
        <f t="shared" si="48"/>
        <v>4013/4014</v>
      </c>
      <c r="L198" s="21" t="str">
        <f>VLOOKUP(A198,'Trips&amp;Operators'!$C$1:$G$99999,5,FALSE)</f>
        <v>SMITH MICHAEL</v>
      </c>
      <c r="M198" s="6">
        <f t="shared" si="49"/>
        <v>1.5763888892251998E-2</v>
      </c>
      <c r="N198" s="7">
        <f t="shared" si="66"/>
        <v>22.700000004842877</v>
      </c>
      <c r="O198" s="7"/>
      <c r="P198" s="7"/>
      <c r="Q198" s="22"/>
      <c r="R198" s="22"/>
      <c r="S198" s="31">
        <f t="shared" si="67"/>
        <v>0</v>
      </c>
      <c r="T198" s="46" t="str">
        <f t="shared" si="50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6" t="str">
        <f t="shared" si="51"/>
        <v>https://d0f6bd738d7f1b3e5a7ca70fe4ff75f0.us-east-1.aws.found.io/app/kibana#/discover/Steve-Slow-Train-Analysis-(2080s-and-2083s)?_g=(refreshInterval:(display:Off,pause:!f,section:0,value:0),time:(from:'2017-03-26T00:54:13-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87" t="str">
        <f t="shared" si="52"/>
        <v>N</v>
      </c>
      <c r="X198" s="187">
        <f t="shared" si="68"/>
        <v>1</v>
      </c>
      <c r="Y198" s="62">
        <f t="shared" si="53"/>
        <v>6.4492000000000003</v>
      </c>
      <c r="Z198" s="62">
        <f t="shared" si="54"/>
        <v>12.92</v>
      </c>
      <c r="AA198" s="62">
        <f t="shared" si="55"/>
        <v>6.4707999999999997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6"/>
        <v>0309-25</v>
      </c>
      <c r="AE198" s="85" t="str">
        <f t="shared" si="57"/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198" s="82" t="str">
        <f t="shared" si="58"/>
        <v>"C:\Program Files (x86)\AstroGrep\AstroGrep.exe" /e /r /s /spath="%USERPROFILE%\AppData\Local\Temp\OnboardLogs" /stypes="app*4014*20170326*" /stext=" 08:.+((SYSTEM_STATE.+slice.+state.+changed )|(ment ac)|(multiple cpu faults)|(system.+state.+changed )|(\[timeout)|(PRM\|1\|D)|(kpr)|(kdp)|(\|lc)|(penalty))"</v>
      </c>
      <c r="AG198" s="1" t="str">
        <f t="shared" si="59"/>
        <v>Other</v>
      </c>
      <c r="AH198" s="86" t="str">
        <f t="shared" si="60"/>
        <v>"%USERPROFILE%\Documents\GitHub\eaglep3\Utilities\RefineRTDCRunTimes.py" --tripid 309-25 --locoid 4014 --swversion DE.1.0.9.0 --startMP 204:64492 --initTime 2017-03-26T01:54:13 --startdatetime 2017-03-26T01:58:24 --delay 1 --endMP 204:129200 --enddatetime 2017-03-26T02:21:06 --enforcementcount 0 &gt;&gt;C:\Users\stu\Documents\GitHub\eaglep3-reporting\EC\2017-03-26-refined-times.txt</v>
      </c>
      <c r="AI198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{"issue":{"subject":"","project_id":79,"tracker_id":40,"status_id":1,"priority_id":2,"assigned_to_id":23,"start_date":"2017-03-26","description":"","custom_fields":[{"id":1,"name":"Subdivision","value":"Other"},{"id":4,"name":"Milepost","value":"12.92"},{"id":17,"name":"Train ID","value":"309-25"},{"id":16,"name":"Locomotive ID","value":"4014"},{"id":130,"name":"Impact","value":""},{"id":150,"name":"Time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2"/>
        <v>start /low /b %USERPROFILE%\Documents\GitHub\eaglep3\Utilities\DownloadLogsFromS3.py --loco 4014 --day 2017-03-26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2017-03-26-UncaughtWiMAX.txt</v>
      </c>
    </row>
    <row r="199" spans="1:40" x14ac:dyDescent="0.25">
      <c r="A199" s="33" t="s">
        <v>815</v>
      </c>
      <c r="B199" s="7">
        <v>4027</v>
      </c>
      <c r="C199" s="21" t="s">
        <v>219</v>
      </c>
      <c r="D199" s="21" t="s">
        <v>573</v>
      </c>
      <c r="E199" s="13">
        <v>42821.046875</v>
      </c>
      <c r="F199" s="13">
        <v>42821.048425925925</v>
      </c>
      <c r="G199" s="7">
        <v>1</v>
      </c>
      <c r="H199" s="21" t="s">
        <v>547</v>
      </c>
      <c r="I199" s="13">
        <v>42821.056041666663</v>
      </c>
      <c r="J199" s="7">
        <v>0</v>
      </c>
      <c r="K199" s="98" t="str">
        <f t="shared" si="48"/>
        <v>4027/4028</v>
      </c>
      <c r="L199" s="21" t="str">
        <f>VLOOKUP(A199,'Trips&amp;Operators'!$C$1:$G$99999,5,FALSE)</f>
        <v>NEWELL JAMES</v>
      </c>
      <c r="M199" s="6">
        <f t="shared" si="49"/>
        <v>7.6157407384016551E-3</v>
      </c>
      <c r="N199" s="7">
        <f t="shared" si="66"/>
        <v>10.966666663298383</v>
      </c>
      <c r="O199" s="7"/>
      <c r="P199" s="7"/>
      <c r="Q199" s="22"/>
      <c r="R199" s="22"/>
      <c r="S199" s="31">
        <f t="shared" si="67"/>
        <v>1</v>
      </c>
      <c r="T199" s="46" t="str">
        <f t="shared" si="50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1"/>
        <v>https://d0f6bd738d7f1b3e5a7ca70fe4ff75f0.us-east-1.aws.found.io/app/kibana#/discover/Steve-Slow-Train-Analysis-(2080s-and-2083s)?_g=(refreshInterval:(display:Off,pause:!f,section:0,value:0),time:(from:'2017-03-27T00:07:30-0600',mode:absolute,to:'2017-03-27T02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87" t="str">
        <f t="shared" si="52"/>
        <v>Y</v>
      </c>
      <c r="X199" s="187">
        <f t="shared" si="68"/>
        <v>0</v>
      </c>
      <c r="Y199" s="62">
        <f t="shared" si="53"/>
        <v>4.4400000000000002E-2</v>
      </c>
      <c r="Z199" s="62">
        <f t="shared" si="54"/>
        <v>2.3300999999999998</v>
      </c>
      <c r="AA199" s="62">
        <f t="shared" si="55"/>
        <v>2.2856999999999998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6"/>
        <v>0309-26</v>
      </c>
      <c r="AE199" s="85" t="str">
        <f t="shared" si="57"/>
        <v>aws s3 cp s3://rtdc.mdm.uploadarchive.raw/RTDC4027/ "%USERPROFILE%\AppData\Local\Temp\OnboardLogs"\RTDC4027\2017-03-27 --exclude "*" --recursive --include "*20170327*" &amp; "%USERPROFILE%\Documents\GitHub\mrs-test-scripts\Headless Mode &amp; Sideloading\WalkAndUnGZ.bat" "%USERPROFILE%\AppData\Local\Temp\OnboardLogs"\RTDC4027\2017-03-27 &amp; aws s3 cp s3://rtdc.mdm.uploadarchive.raw/RTDC4027/ "%USERPROFILE%\AppData\Local\Temp\OnboardLogs"\RTDC4027\2017-03-28 --exclude "*" --recursive --include "*20170328*" &amp; "%USERPROFILE%\Documents\GitHub\mrs-test-scripts\Headless Mode &amp; Sideloading\WalkAndUnGZ.bat" "%USERPROFILE%\AppData\Local\Temp\OnboardLogs"\RTDC4027\2017-03-28</v>
      </c>
      <c r="AF199" s="82" t="str">
        <f t="shared" si="58"/>
        <v>"C:\Program Files (x86)\AstroGrep\AstroGrep.exe" /e /r /s /spath="%USERPROFILE%\AppData\Local\Temp\OnboardLogs" /stypes="app*4027*20170327*" /stext=" 07:.+((SYSTEM_STATE.+slice.+state.+changed )|(ment ac)|(multiple cpu faults)|(system.+state.+changed )|(\[timeout)|(PRM\|1\|D)|(kpr)|(kdp)|(\|lc)|(penalty))"</v>
      </c>
      <c r="AG199" s="1" t="str">
        <f t="shared" si="59"/>
        <v>Other</v>
      </c>
      <c r="AH199" s="86" t="str">
        <f t="shared" si="60"/>
        <v>"%USERPROFILE%\Documents\GitHub\eaglep3\Utilities\RefineRTDCRunTimes.py" --tripid 309-26 --locoid 4027 --swversion DE.1.0.9.0 --startMP 204:444 --initTime 2017-03-27T01:07:30 --startdatetime 2017-03-27T01:09:44 --delay 1 --endMP 300:23301 --enddatetime 2017-03-27T01:20:42 --enforcementcount 0 &gt;&gt;C:\Users\stu\Documents\GitHub\eaglep3-reporting\EC\2017-03-26-refined-times.txt</v>
      </c>
      <c r="AI199" s="108" t="str">
        <f t="shared" si="61"/>
        <v>echo {"issue":{"subject":"","project_id":79,"tracker_id":40,"status_id":1,"priority_id":2,"assigned_to_id":23,"start_date":"2017-03-27","description":"","custom_fields":[{"id":1,"name":"Subdivision","value":"Other"},{"id":4,"name":"Milepost","value":"2.3301"},{"id":17,"name":"Train ID","value":"309-26"},{"id":16,"name":"Locomotive ID","value":"4027"},{"id":130,"name":"Impact","value":""},{"id":150,"name":"Time of Event (Mountain Time)","value":"01:20:42"},{"id":151,"name":"Denver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2"/>
        <v>start /low /b %USERPROFILE%\Documents\GitHub\eaglep3\Utilities\DownloadLogsFromS3.py --loco 4027 --day 2017-03-27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"%USERPROFILE%\AppData\Local\Temp\OnboardLogs"\RTDC4027\*4027*20170327* | grep -SE "(Enforcement Action)|(\[TIMEOUT)|(CHR.+\|PRM\|1\|D.+(SWITCH|SIGNAL).+UNKNOWN)" - &gt;&gt; 2017-03-26-UncaughtWiMAX.txt</v>
      </c>
    </row>
    <row r="200" spans="1:40" x14ac:dyDescent="0.25">
      <c r="A200" s="33" t="s">
        <v>649</v>
      </c>
      <c r="B200" s="7">
        <v>4017</v>
      </c>
      <c r="C200" s="21" t="s">
        <v>219</v>
      </c>
      <c r="D200" s="21" t="s">
        <v>956</v>
      </c>
      <c r="E200" s="13">
        <v>42820.178217592591</v>
      </c>
      <c r="F200" s="13">
        <v>42820.186805555553</v>
      </c>
      <c r="G200" s="7">
        <v>12</v>
      </c>
      <c r="H200" s="21" t="s">
        <v>205</v>
      </c>
      <c r="I200" s="13">
        <v>42820.198217592595</v>
      </c>
      <c r="J200" s="7">
        <v>0</v>
      </c>
      <c r="K200" s="98" t="str">
        <f t="shared" si="48"/>
        <v>4017/4018</v>
      </c>
      <c r="L200" s="21" t="str">
        <f>VLOOKUP(A200,'Trips&amp;Operators'!$C$1:$G$99999,5,FALSE)</f>
        <v>ROBINSON KADDIBA</v>
      </c>
      <c r="M200" s="6">
        <f t="shared" si="49"/>
        <v>1.1412037041736767E-2</v>
      </c>
      <c r="N200" s="7">
        <f t="shared" si="66"/>
        <v>16.433333340100944</v>
      </c>
      <c r="O200" s="7"/>
      <c r="P200" s="7"/>
      <c r="Q200" s="22"/>
      <c r="R200" s="22"/>
      <c r="S200" s="31">
        <f t="shared" si="67"/>
        <v>1</v>
      </c>
      <c r="T200" s="46" t="str">
        <f t="shared" si="50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1"/>
        <v>https://d0f6bd738d7f1b3e5a7ca70fe4ff75f0.us-east-1.aws.found.io/app/kibana#/discover/Steve-Slow-Train-Analysis-(2080s-and-2083s)?_g=(refreshInterval:(display:Off,pause:!f,section:0,value:0),time:(from:'2017-03-26T03:16:38-0600',mode:absolute,to:'2017-03-26T05:45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87" t="str">
        <f t="shared" si="52"/>
        <v>Y</v>
      </c>
      <c r="X200" s="187">
        <f t="shared" si="68"/>
        <v>1</v>
      </c>
      <c r="Y200" s="62">
        <f t="shared" si="53"/>
        <v>2.3626999999999998</v>
      </c>
      <c r="Z200" s="62">
        <f t="shared" si="54"/>
        <v>1.54E-2</v>
      </c>
      <c r="AA200" s="62">
        <f t="shared" si="55"/>
        <v>2.3472999999999997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6"/>
        <v>0310-26</v>
      </c>
      <c r="AE200" s="85" t="str">
        <f t="shared" si="57"/>
        <v>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 &amp; aws s3 cp s3://rtdc.mdm.uploadarchive.raw/RTDC4017/ "%USERPROFILE%\AppData\Local\Temp\OnboardLogs"\RTDC4017\2017-03-27 --exclude "*" --recursive --include "*20170327*" &amp; "%USERPROFILE%\Documents\GitHub\mrs-test-scripts\Headless Mode &amp; Sideloading\WalkAndUnGZ.bat" "%USERPROFILE%\AppData\Local\Temp\OnboardLogs"\RTDC4017\2017-03-27</v>
      </c>
      <c r="AF200" s="82" t="str">
        <f t="shared" si="58"/>
        <v>"C:\Program Files (x86)\AstroGrep\AstroGrep.exe" /e /r /s /spath="%USERPROFILE%\AppData\Local\Temp\OnboardLogs" /stypes="app*4017*20170326*" /stext=" 10:.+((SYSTEM_STATE.+slice.+state.+changed )|(ment ac)|(multiple cpu faults)|(system.+state.+changed )|(\[timeout)|(PRM\|1\|D)|(kpr)|(kdp)|(\|lc)|(penalty))"</v>
      </c>
      <c r="AG200" s="1" t="str">
        <f t="shared" si="59"/>
        <v>Other</v>
      </c>
      <c r="AH200" s="86" t="str">
        <f t="shared" si="60"/>
        <v>"%USERPROFILE%\Documents\GitHub\eaglep3\Utilities\RefineRTDCRunTimes.py" --tripid 310-26 --locoid 4017 --swversion DE.1.0.9.0 --startMP 300:23627 --initTime 2017-03-26T04:16:38 --startdatetime 2017-03-26T04:29:00 --delay 12 --endMP 204:154 --enddatetime 2017-03-26T04:45:26 --enforcementcount 0 &gt;&gt;C:\Users\stu\Documents\GitHub\eaglep3-reporting\EC\2017-03-26-refined-times.txt</v>
      </c>
      <c r="AI200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{"issue":{"subject":"","project_id":79,"tracker_id":40,"status_id":1,"priority_id":2,"assigned_to_id":23,"start_date":"2017-03-26","description":"","custom_fields":[{"id":1,"name":"Subdivision","value":"Other"},{"id":4,"name":"Milepost","value":"0.0154"},{"id":17,"name":"Train ID","value":"310-26"},{"id":16,"name":"Locomotive ID","value":"4017"},{"id":130,"name":"Impact","value":""},{"id":150,"name":"Time of Event (Mountain Time)","value":"04:45:26"},{"id":151,"name":"Denver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2"/>
        <v>start /low /b %USERPROFILE%\Documents\GitHub\eaglep3\Utilities\DownloadLogsFromS3.py --loco 4017 --day 2017-03-26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2017-03-26-UncaughtWiMAX.txt</v>
      </c>
    </row>
    <row r="201" spans="1:40" x14ac:dyDescent="0.25">
      <c r="A201" s="33" t="s">
        <v>634</v>
      </c>
      <c r="B201" s="7">
        <v>4053</v>
      </c>
      <c r="C201" s="21" t="s">
        <v>219</v>
      </c>
      <c r="D201" s="21" t="s">
        <v>957</v>
      </c>
      <c r="E201" s="13">
        <v>42820.103634259256</v>
      </c>
      <c r="F201" s="13">
        <v>42820.10497685185</v>
      </c>
      <c r="G201" s="7">
        <v>1</v>
      </c>
      <c r="H201" s="21" t="s">
        <v>958</v>
      </c>
      <c r="I201" s="13">
        <v>42820.112534722219</v>
      </c>
      <c r="J201" s="7">
        <v>0</v>
      </c>
      <c r="K201" s="98" t="str">
        <f t="shared" si="48"/>
        <v>4053/4054</v>
      </c>
      <c r="L201" s="21" t="str">
        <f>VLOOKUP(A201,'Trips&amp;Operators'!$C$1:$G$99999,5,FALSE)</f>
        <v>STAMBAUGH JAMES</v>
      </c>
      <c r="M201" s="6">
        <f t="shared" si="49"/>
        <v>7.5578703690553084E-3</v>
      </c>
      <c r="N201" s="7">
        <f t="shared" si="66"/>
        <v>10.883333331439644</v>
      </c>
      <c r="O201" s="7"/>
      <c r="P201" s="7"/>
      <c r="Q201" s="22"/>
      <c r="R201" s="22"/>
      <c r="S201" s="31">
        <f t="shared" si="67"/>
        <v>0</v>
      </c>
      <c r="T201" s="46" t="str">
        <f t="shared" si="50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86" t="str">
        <f t="shared" si="51"/>
        <v>https://d0f6bd738d7f1b3e5a7ca70fe4ff75f0.us-east-1.aws.found.io/app/kibana#/discover/Steve-Slow-Train-Analysis-(2080s-and-2083s)?_g=(refreshInterval:(display:Off,pause:!f,section:0,value:0),time:(from:'2017-03-26T01:29:14-0600',mode:absolute,to:'2017-03-26T03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7" t="str">
        <f t="shared" si="52"/>
        <v>N</v>
      </c>
      <c r="X201" s="187">
        <f t="shared" si="68"/>
        <v>1</v>
      </c>
      <c r="Y201" s="62">
        <f t="shared" si="53"/>
        <v>6.4480000000000004</v>
      </c>
      <c r="Z201" s="62">
        <f t="shared" si="54"/>
        <v>12.882199999999999</v>
      </c>
      <c r="AA201" s="62">
        <f t="shared" si="55"/>
        <v>6.4341999999999988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6"/>
        <v>0311-25</v>
      </c>
      <c r="AE201" s="85" t="str">
        <f t="shared" si="57"/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201" s="82" t="str">
        <f t="shared" si="58"/>
        <v>"C:\Program Files (x86)\AstroGrep\AstroGrep.exe" /e /r /s /spath="%USERPROFILE%\AppData\Local\Temp\OnboardLogs" /stypes="app*4053*20170326*" /stext=" 08:.+((SYSTEM_STATE.+slice.+state.+changed )|(ment ac)|(multiple cpu faults)|(system.+state.+changed )|(\[timeout)|(PRM\|1\|D)|(kpr)|(kdp)|(\|lc)|(penalty))"</v>
      </c>
      <c r="AG201" s="1" t="str">
        <f t="shared" si="59"/>
        <v>Other</v>
      </c>
      <c r="AH201" s="86" t="str">
        <f t="shared" si="60"/>
        <v>"%USERPROFILE%\Documents\GitHub\eaglep3\Utilities\RefineRTDCRunTimes.py" --tripid 311-25 --locoid 4053 --swversion DE.1.0.9.0 --startMP 204:64480 --initTime 2017-03-26T02:29:14 --startdatetime 2017-03-26T02:31:10 --delay 1 --endMP 204:128822 --enddatetime 2017-03-26T02:42:03 --enforcementcount 0 &gt;&gt;C:\Users\stu\Documents\GitHub\eaglep3-reporting\EC\2017-03-26-refined-times.txt</v>
      </c>
      <c r="AI201" s="108" t="str">
        <f t="shared" si="61"/>
        <v>echo {"issue":{"subject":"","project_id":79,"tracker_id":40,"status_id":1,"priority_id":2,"assigned_to_id":23,"start_date":"2017-03-26","description":"","custom_fields":[{"id":1,"name":"Subdivision","value":"Other"},{"id":4,"name":"Milepost","value":"12.8822"},{"id":17,"name":"Train ID","value":"311-25"},{"id":16,"name":"Locomotive ID","value":"4053"},{"id":130,"name":"Impact","value":""},{"id":150,"name":"Time of Event (Mountain Time)","value":"02:42:03"},{"id":151,"name":"Denver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2"/>
        <v>start /low /b %USERPROFILE%\Documents\GitHub\eaglep3\Utilities\DownloadLogsFromS3.py --loco 4053 --day 2017-03-26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2017-03-26-UncaughtWiMAX.txt</v>
      </c>
    </row>
    <row r="202" spans="1:40" x14ac:dyDescent="0.25">
      <c r="A202" s="33" t="s">
        <v>817</v>
      </c>
      <c r="B202" s="7">
        <v>4031</v>
      </c>
      <c r="C202" s="21" t="s">
        <v>219</v>
      </c>
      <c r="D202" s="21" t="s">
        <v>221</v>
      </c>
      <c r="E202" s="13">
        <v>42821.069178240738</v>
      </c>
      <c r="F202" s="13">
        <v>42821.071076388886</v>
      </c>
      <c r="G202" s="7">
        <v>1</v>
      </c>
      <c r="H202" s="21" t="s">
        <v>959</v>
      </c>
      <c r="I202" s="13">
        <v>42821.07603009259</v>
      </c>
      <c r="J202" s="7">
        <v>0</v>
      </c>
      <c r="K202" s="98" t="str">
        <f t="shared" si="48"/>
        <v>4031/4032</v>
      </c>
      <c r="L202" s="21" t="str">
        <f>VLOOKUP(A202,'Trips&amp;Operators'!$C$1:$G$99999,5,FALSE)</f>
        <v>SMITH MICHAEL</v>
      </c>
      <c r="M202" s="6">
        <f t="shared" si="49"/>
        <v>4.9537037048139609E-3</v>
      </c>
      <c r="N202" s="7">
        <f t="shared" si="66"/>
        <v>7.1333333349321038</v>
      </c>
      <c r="O202" s="7"/>
      <c r="P202" s="7"/>
      <c r="Q202" s="22"/>
      <c r="R202" s="22"/>
      <c r="S202" s="31">
        <f t="shared" si="67"/>
        <v>1</v>
      </c>
      <c r="T202" s="46" t="str">
        <f t="shared" si="50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1"/>
        <v>https://d0f6bd738d7f1b3e5a7ca70fe4ff75f0.us-east-1.aws.found.io/app/kibana#/discover/Steve-Slow-Train-Analysis-(2080s-and-2083s)?_g=(refreshInterval:(display:Off,pause:!f,section:0,value:0),time:(from:'2017-03-27T00:39:37-0600',mode:absolute,to:'2017-03-27T02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187" t="str">
        <f t="shared" si="52"/>
        <v>Y</v>
      </c>
      <c r="X202" s="187">
        <f t="shared" si="68"/>
        <v>0</v>
      </c>
      <c r="Y202" s="62">
        <f t="shared" si="53"/>
        <v>4.6699999999999998E-2</v>
      </c>
      <c r="Z202" s="62">
        <f t="shared" si="54"/>
        <v>2.3302</v>
      </c>
      <c r="AA202" s="62">
        <f t="shared" si="55"/>
        <v>2.2835000000000001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6"/>
        <v>0311-26</v>
      </c>
      <c r="AE202" s="85" t="str">
        <f t="shared" si="57"/>
        <v>aws s3 cp s3://rtdc.mdm.uploadarchive.raw/RTDC4031/ "%USERPROFILE%\AppData\Local\Temp\OnboardLogs"\RTDC4031\2017-03-27 --exclude "*" --recursive --include "*20170327*" &amp; "%USERPROFILE%\Documents\GitHub\mrs-test-scripts\Headless Mode &amp; Sideloading\WalkAndUnGZ.bat" "%USERPROFILE%\AppData\Local\Temp\OnboardLogs"\RTDC4031\2017-03-27 &amp; 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</v>
      </c>
      <c r="AF202" s="82" t="str">
        <f t="shared" si="58"/>
        <v>"C:\Program Files (x86)\AstroGrep\AstroGrep.exe" /e /r /s /spath="%USERPROFILE%\AppData\Local\Temp\OnboardLogs" /stypes="app*4031*20170327*" /stext=" 07:.+((SYSTEM_STATE.+slice.+state.+changed )|(ment ac)|(multiple cpu faults)|(system.+state.+changed )|(\[timeout)|(PRM\|1\|D)|(kpr)|(kdp)|(\|lc)|(penalty))"</v>
      </c>
      <c r="AG202" s="1" t="str">
        <f t="shared" si="59"/>
        <v>Other</v>
      </c>
      <c r="AH202" s="86" t="str">
        <f t="shared" si="60"/>
        <v>"%USERPROFILE%\Documents\GitHub\eaglep3\Utilities\RefineRTDCRunTimes.py" --tripid 311-26 --locoid 4031 --swversion DE.1.0.9.0 --startMP 204:467 --initTime 2017-03-27T01:39:37 --startdatetime 2017-03-27T01:42:21 --delay 1 --endMP 300:23302 --enddatetime 2017-03-27T01:49:29 --enforcementcount 0 &gt;&gt;C:\Users\stu\Documents\GitHub\eaglep3-reporting\EC\2017-03-26-refined-times.txt</v>
      </c>
      <c r="AI202" s="108" t="str">
        <f t="shared" si="61"/>
        <v>echo {"issue":{"subject":"","project_id":79,"tracker_id":40,"status_id":1,"priority_id":2,"assigned_to_id":23,"start_date":"2017-03-27","description":"","custom_fields":[{"id":1,"name":"Subdivision","value":"Other"},{"id":4,"name":"Milepost","value":"2.3302"},{"id":17,"name":"Train ID","value":"311-26"},{"id":16,"name":"Locomotive ID","value":"4031"},{"id":130,"name":"Impact","value":""},{"id":150,"name":"Time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2"/>
        <v>start /low /b %USERPROFILE%\Documents\GitHub\eaglep3\Utilities\DownloadLogsFromS3.py --loco 4031 --day 2017-03-27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"%USERPROFILE%\AppData\Local\Temp\OnboardLogs"\RTDC4031\*4031*20170327* | grep -SE "(Enforcement Action)|(\[TIMEOUT)|(CHR.+\|PRM\|1\|D.+(SWITCH|SIGNAL).+UNKNOWN)" - &gt;&gt; 2017-03-26-UncaughtWiMAX.txt</v>
      </c>
    </row>
    <row r="203" spans="1:40" x14ac:dyDescent="0.25">
      <c r="A203" s="33" t="s">
        <v>813</v>
      </c>
      <c r="B203" s="7">
        <v>4002</v>
      </c>
      <c r="C203" s="21" t="s">
        <v>219</v>
      </c>
      <c r="D203" s="21" t="s">
        <v>221</v>
      </c>
      <c r="E203" s="13">
        <v>42821.028483796297</v>
      </c>
      <c r="F203" s="13">
        <v>42821.029895833337</v>
      </c>
      <c r="G203" s="7">
        <v>1</v>
      </c>
      <c r="H203" s="21" t="s">
        <v>960</v>
      </c>
      <c r="I203" s="13">
        <v>42821.035636574074</v>
      </c>
      <c r="J203" s="7">
        <v>0</v>
      </c>
      <c r="K203" s="98" t="str">
        <f t="shared" si="48"/>
        <v>4001/4002</v>
      </c>
      <c r="L203" s="21" t="str">
        <f>VLOOKUP(A203,'Trips&amp;Operators'!$C$1:$G$99999,5,FALSE)</f>
        <v>CHANDLER KELVIN</v>
      </c>
      <c r="M203" s="6">
        <f t="shared" si="49"/>
        <v>5.7407407366554253E-3</v>
      </c>
      <c r="N203" s="7">
        <f t="shared" si="66"/>
        <v>8.2666666607838124</v>
      </c>
      <c r="O203" s="7"/>
      <c r="P203" s="7"/>
      <c r="Q203" s="22"/>
      <c r="R203" s="22"/>
      <c r="S203" s="31">
        <f t="shared" si="67"/>
        <v>1</v>
      </c>
      <c r="T203" s="46" t="str">
        <f t="shared" si="50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1"/>
        <v>https://d0f6bd738d7f1b3e5a7ca70fe4ff75f0.us-east-1.aws.found.io/app/kibana#/discover/Steve-Slow-Train-Analysis-(2080s-and-2083s)?_g=(refreshInterval:(display:Off,pause:!f,section:0,value:0),time:(from:'2017-03-26T23:41:01-0600',mode:absolute,to:'2017-03-27T01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87" t="str">
        <f t="shared" si="52"/>
        <v>Y</v>
      </c>
      <c r="X203" s="187">
        <f t="shared" si="68"/>
        <v>4</v>
      </c>
      <c r="Y203" s="62">
        <f t="shared" si="53"/>
        <v>4.6699999999999998E-2</v>
      </c>
      <c r="Z203" s="62">
        <f t="shared" si="54"/>
        <v>2.3304</v>
      </c>
      <c r="AA203" s="62">
        <f t="shared" si="55"/>
        <v>2.2837000000000001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6"/>
        <v>0315-26</v>
      </c>
      <c r="AE203" s="85" t="str">
        <f t="shared" si="57"/>
        <v>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 &amp; 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</v>
      </c>
      <c r="AF203" s="82" t="str">
        <f t="shared" si="58"/>
        <v>"C:\Program Files (x86)\AstroGrep\AstroGrep.exe" /e /r /s /spath="%USERPROFILE%\AppData\Local\Temp\OnboardLogs" /stypes="app*4002*20170327*" /stext=" 06:.+((SYSTEM_STATE.+slice.+state.+changed )|(ment ac)|(multiple cpu faults)|(system.+state.+changed )|(\[timeout)|(PRM\|1\|D)|(kpr)|(kdp)|(\|lc)|(penalty))"</v>
      </c>
      <c r="AG203" s="1" t="str">
        <f t="shared" si="59"/>
        <v>Other</v>
      </c>
      <c r="AH203" s="86" t="str">
        <f t="shared" si="60"/>
        <v>"%USERPROFILE%\Documents\GitHub\eaglep3\Utilities\RefineRTDCRunTimes.py" --tripid 315-26 --locoid 4002 --swversion DE.1.0.9.0 --startMP 204:467 --initTime 2017-03-27T00:41:01 --startdatetime 2017-03-27T00:43:03 --delay 1 --endMP 300:23304 --enddatetime 2017-03-27T00:51:19 --enforcementcount 0 &gt;&gt;C:\Users\stu\Documents\GitHub\eaglep3-reporting\EC\2017-03-26-refined-times.txt</v>
      </c>
      <c r="AI203" s="108" t="str">
        <f t="shared" si="61"/>
        <v>echo {"issue":{"subject":"","project_id":79,"tracker_id":40,"status_id":1,"priority_id":2,"assigned_to_id":23,"start_date":"2017-03-27","description":"","custom_fields":[{"id":1,"name":"Subdivision","value":"Other"},{"id":4,"name":"Milepost","value":"2.3304"},{"id":17,"name":"Train ID","value":"315-26"},{"id":16,"name":"Locomotive ID","value":"4002"},{"id":130,"name":"Impact","value":""},{"id":150,"name":"Time of Event (Mountain Time)","value":"00:51:19"},{"id":151,"name":"Denver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2"/>
        <v>start /low /b %USERPROFILE%\Documents\GitHub\eaglep3\Utilities\DownloadLogsFromS3.py --loco 4002 --day 2017-03-27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"%USERPROFILE%\AppData\Local\Temp\OnboardLogs"\RTDC4002\*4002*20170327* | grep -SE "(Enforcement Action)|(\[TIMEOUT)|(CHR.+\|PRM\|1\|D.+(SWITCH|SIGNAL).+UNKNOWN)" - &gt;&gt; 2017-03-26-UncaughtWiMAX.txt</v>
      </c>
    </row>
    <row r="204" spans="1:40" x14ac:dyDescent="0.25">
      <c r="A204" s="33" t="s">
        <v>657</v>
      </c>
      <c r="B204" s="7">
        <v>4011</v>
      </c>
      <c r="C204" s="21" t="s">
        <v>219</v>
      </c>
      <c r="D204" s="21" t="s">
        <v>910</v>
      </c>
      <c r="E204" s="13">
        <v>42820.214918981481</v>
      </c>
      <c r="F204" s="13">
        <v>42820.217824074076</v>
      </c>
      <c r="G204" s="7">
        <v>4</v>
      </c>
      <c r="H204" s="21" t="s">
        <v>875</v>
      </c>
      <c r="I204" s="13">
        <v>42820.222893518519</v>
      </c>
      <c r="J204" s="7">
        <v>0</v>
      </c>
      <c r="K204" s="98" t="str">
        <f t="shared" si="48"/>
        <v>4011/4012</v>
      </c>
      <c r="L204" s="21" t="str">
        <f>VLOOKUP(A204,'Trips&amp;Operators'!$C$1:$G$99999,5,FALSE)</f>
        <v>YORK EDGAR</v>
      </c>
      <c r="M204" s="6">
        <f t="shared" si="49"/>
        <v>5.0694444435066544E-3</v>
      </c>
      <c r="N204" s="7">
        <f t="shared" ref="N204:N218" si="69">24*60*SUM($M204:$M204)</f>
        <v>7.2999999986495823</v>
      </c>
      <c r="O204" s="7"/>
      <c r="P204" s="7"/>
      <c r="Q204" s="22"/>
      <c r="R204" s="22"/>
      <c r="S204" s="31">
        <f t="shared" ref="S204:S218" si="70">SUM(U204:U204)/IF(AG204="EC",12,1)</f>
        <v>0</v>
      </c>
      <c r="T204" s="46" t="str">
        <f t="shared" si="50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51"/>
        <v>https://d0f6bd738d7f1b3e5a7ca70fe4ff75f0.us-east-1.aws.found.io/app/kibana#/discover/Steve-Slow-Train-Analysis-(2080s-and-2083s)?_g=(refreshInterval:(display:Off,pause:!f,section:0,value:0),time:(from:'2017-03-26T04:09:29-0600',mode:absolute,to:'2017-03-26T06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87" t="str">
        <f t="shared" si="52"/>
        <v>Y</v>
      </c>
      <c r="X204" s="187">
        <f t="shared" si="68"/>
        <v>1586</v>
      </c>
      <c r="Y204" s="62">
        <f t="shared" si="53"/>
        <v>3.0213999999999999</v>
      </c>
      <c r="Z204" s="62">
        <f t="shared" si="54"/>
        <v>5.8929</v>
      </c>
      <c r="AA204" s="62">
        <f t="shared" si="55"/>
        <v>2.8715000000000002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6"/>
        <v>1901-26</v>
      </c>
      <c r="AE204" s="85" t="str">
        <f t="shared" si="57"/>
        <v>aws s3 cp s3://rtdc.mdm.uploadarchive.raw/RTDC4011/ "%USERPROFILE%\AppData\Local\Temp\OnboardLogs"\RTDC4011\2017-03-26 --exclude "*" --recursive --include "*20170326*" &amp; "%USERPROFILE%\Documents\GitHub\mrs-test-scripts\Headless Mode &amp; Sideloading\WalkAndUnGZ.bat" "%USERPROFILE%\AppData\Local\Temp\OnboardLogs"\RTDC4011\2017-03-26 &amp; aws s3 cp s3://rtdc.mdm.uploadarchive.raw/RTDC4011/ "%USERPROFILE%\AppData\Local\Temp\OnboardLogs"\RTDC4011\2017-03-27 --exclude "*" --recursive --include "*20170327*" &amp; "%USERPROFILE%\Documents\GitHub\mrs-test-scripts\Headless Mode &amp; Sideloading\WalkAndUnGZ.bat" "%USERPROFILE%\AppData\Local\Temp\OnboardLogs"\RTDC4011\2017-03-27</v>
      </c>
      <c r="AF204" s="82" t="str">
        <f t="shared" si="58"/>
        <v>"C:\Program Files (x86)\AstroGrep\AstroGrep.exe" /e /r /s /spath="%USERPROFILE%\AppData\Local\Temp\OnboardLogs" /stypes="app*4011*20170326*" /stext=" 11:.+((SYSTEM_STATE.+slice.+state.+changed )|(ment ac)|(multiple cpu faults)|(system.+state.+changed )|(\[timeout)|(PRM\|1\|D)|(kpr)|(kdp)|(\|lc)|(penalty))"</v>
      </c>
      <c r="AG204" s="1" t="str">
        <f t="shared" si="59"/>
        <v>Other</v>
      </c>
      <c r="AH204" s="86" t="str">
        <f t="shared" ref="AH204:AH218" si="7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1901-26 --locoid 4011 --swversion DE.1.0.9.0 --startMP 300:30214 --initTime 2017-03-26T05:09:29 --startdatetime 2017-03-26T05:13:40 --delay 4 --endMP 300:58929 --enddatetime 2017-03-26T05:20:58 --enforcementcount 0 &gt;&gt;C:\Users\stu\Documents\GitHub\eaglep3-reporting\EC\2017-03-26-refined-times.txt</v>
      </c>
      <c r="AI204" s="108" t="str">
        <f t="shared" ref="AI204:AI218" si="7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{"issue":{"subject":"","project_id":79,"tracker_id":40,"status_id":1,"priority_id":2,"assigned_to_id":23,"start_date":"2017-03-26","description":"","custom_fields":[{"id":1,"name":"Subdivision","value":"Other"},{"id":4,"name":"Milepost","value":"5.8929"},{"id":17,"name":"Train ID","value":"1901-26"},{"id":16,"name":"Locomotive ID","value":"4011"},{"id":130,"name":"Impact","value":""},{"id":150,"name":"Time of Event (Mountain Time)","value":"05:20:58"},{"id":151,"name":"Denver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18" si="73">"start /low /b "&amp;dls3logs&amp;" --loco "&amp;B204&amp;" --day "&amp;TEXT(F204,"YYYY-MM-DD")</f>
        <v>start /low /b %USERPROFILE%\Documents\GitHub\eaglep3\Utilities\DownloadLogsFromS3.py --loco 4011 --day 2017-03-26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"%USERPROFILE%\AppData\Local\Temp\OnboardLogs"\RTDC4011\*4011*20170326* | grep -SE "(Enforcement Action)|(\[TIMEOUT)|(CHR.+\|PRM\|1\|D.+(SWITCH|SIGNAL).+UNKNOWN)" - &gt;&gt; 2017-03-26-UncaughtWiMAX.txt</v>
      </c>
    </row>
    <row r="205" spans="1:40" x14ac:dyDescent="0.25">
      <c r="A205" s="33" t="s">
        <v>805</v>
      </c>
      <c r="B205" s="7">
        <v>4012</v>
      </c>
      <c r="C205" s="21" t="s">
        <v>219</v>
      </c>
      <c r="D205" s="21" t="s">
        <v>911</v>
      </c>
      <c r="E205" s="13">
        <v>42820.941087962965</v>
      </c>
      <c r="F205" s="13">
        <v>42820.942164351851</v>
      </c>
      <c r="G205" s="7">
        <v>1</v>
      </c>
      <c r="H205" s="21" t="s">
        <v>912</v>
      </c>
      <c r="I205" s="13">
        <v>42820.946446759262</v>
      </c>
      <c r="J205" s="7">
        <v>0</v>
      </c>
      <c r="K205" s="98" t="str">
        <f t="shared" ref="K205:K218" si="74">IF(ISEVEN(B205),(B205-1)&amp;"/"&amp;B205,B205&amp;"/"&amp;(B205+1))</f>
        <v>4011/4012</v>
      </c>
      <c r="L205" s="21" t="str">
        <f>VLOOKUP(A205,'Trips&amp;Operators'!$C$1:$G$99999,5,FALSE)</f>
        <v>HELVIE ADAM</v>
      </c>
      <c r="M205" s="6">
        <f t="shared" ref="M205:M218" si="75">I205-F205</f>
        <v>4.28240741166519E-3</v>
      </c>
      <c r="N205" s="7">
        <f t="shared" si="69"/>
        <v>6.1666666727978736</v>
      </c>
      <c r="O205" s="7"/>
      <c r="P205" s="7"/>
      <c r="Q205" s="22"/>
      <c r="R205" s="22"/>
      <c r="S205" s="31">
        <f t="shared" si="70"/>
        <v>0</v>
      </c>
      <c r="T205" s="46" t="str">
        <f t="shared" ref="T205:T218" si="76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18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-26T21:35:10-0600',mode:absolute,to:'2017-03-26T23:42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87" t="str">
        <f t="shared" ref="W205:W218" si="78">IF(AA205&lt;IF(AG205="EC",23,5.65),"Y","N")</f>
        <v>Y</v>
      </c>
      <c r="X205" s="187">
        <f t="shared" si="68"/>
        <v>1</v>
      </c>
      <c r="Y205" s="62">
        <f t="shared" ref="Y205:Y218" si="79">RIGHT(D205,LEN(D205)-4)/10000</f>
        <v>5.8638000000000003</v>
      </c>
      <c r="Z205" s="62">
        <f t="shared" ref="Z205:Z218" si="80">RIGHT(H205,LEN(H205)-4)/10000</f>
        <v>2.1736</v>
      </c>
      <c r="AA205" s="62">
        <f t="shared" ref="AA205:AA268" si="81">ABS(Z205-Y205)</f>
        <v>3.6902000000000004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8" si="82">IF(LEN(A205)=6,"0"&amp;A205,A205)</f>
        <v>1902-26</v>
      </c>
      <c r="AE205" s="85" t="str">
        <f t="shared" ref="AE205:AE218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AF205" s="82" t="str">
        <f t="shared" ref="AF205:AF218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/stypes="app*4012*20170327*" /stext=" 04:.+((SYSTEM_STATE.+slice.+state.+changed )|(ment ac)|(multiple cpu faults)|(system.+state.+changed )|(\[timeout)|(PRM\|1\|D)|(kpr)|(kdp)|(\|lc)|(penalty))"</v>
      </c>
      <c r="AG205" s="1" t="str">
        <f t="shared" ref="AG205:AG218" si="85">IFERROR(IF(VALUE(LEFT(AD205,2))&lt;=2,"EC",IF(OR(VALUE(LEFT(AD205,2))=8,VALUE(LEFT(AD205,2))=18),"NW","Other")),"Other")</f>
        <v>Other</v>
      </c>
      <c r="AH205" s="86" t="str">
        <f t="shared" si="71"/>
        <v>"%USERPROFILE%\Documents\GitHub\eaglep3\Utilities\RefineRTDCRunTimes.py" --tripid 1902-26 --locoid 4012 --swversion DE.1.0.9.0 --startMP 300:58638 --initTime 2017-03-26T22:35:10 --startdatetime 2017-03-26T22:36:43 --delay 1 --endMP 300:21736 --enddatetime 2017-03-26T22:42:53 --enforcementcount 0 &gt;&gt;C:\Users\stu\Documents\GitHub\eaglep3-reporting\EC\2017-03-26-refined-times.txt</v>
      </c>
      <c r="AI205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{"issue":{"subject":"","project_id":79,"tracker_id":40,"status_id":1,"priority_id":2,"assigned_to_id":23,"start_date":"2017-03-26","description":"","custom_fields":[{"id":1,"name":"Subdivision","value":"Other"},{"id":4,"name":"Milepost","value":"2.1736"},{"id":17,"name":"Train ID","value":"1902-26"},{"id":16,"name":"Locomotive ID","value":"4012"},{"id":130,"name":"Impact","value":""},{"id":150,"name":"Time of Event (Mountain Time)","value":"22:42:53"},{"id":151,"name":"Denver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3"/>
        <v>start /low /b %USERPROFILE%\Documents\GitHub\eaglep3\Utilities\DownloadLogsFromS3.py --loco 4012 --day 2017-03-26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"%USERPROFILE%\AppData\Local\Temp\OnboardLogs"\RTDC4012\*4012*20170327* | grep -SE "(Enforcement Action)|(\[TIMEOUT)|(CHR.+\|PRM\|1\|D.+(SWITCH|SIGNAL).+UNKNOWN)" - &gt;&gt; 2017-03-26-UncaughtWiMAX.txt</v>
      </c>
    </row>
    <row r="206" spans="1:40" x14ac:dyDescent="0.25">
      <c r="A206" s="33" t="s">
        <v>650</v>
      </c>
      <c r="B206" s="7">
        <v>4001</v>
      </c>
      <c r="C206" s="21" t="s">
        <v>219</v>
      </c>
      <c r="D206" s="21" t="s">
        <v>961</v>
      </c>
      <c r="E206" s="13">
        <v>42820.181215277778</v>
      </c>
      <c r="F206" s="13">
        <v>42820.189282407409</v>
      </c>
      <c r="G206" s="7">
        <v>11</v>
      </c>
      <c r="H206" s="21" t="s">
        <v>205</v>
      </c>
      <c r="I206" s="13">
        <v>42820.203715277778</v>
      </c>
      <c r="J206" s="7">
        <v>0</v>
      </c>
      <c r="K206" s="98" t="str">
        <f t="shared" si="74"/>
        <v>4001/4002</v>
      </c>
      <c r="L206" s="21" t="str">
        <f>VLOOKUP(A206,'Trips&amp;Operators'!$C$1:$G$99999,5,FALSE)</f>
        <v>GEBRETEKLE DAGNEW</v>
      </c>
      <c r="M206" s="6">
        <f t="shared" si="75"/>
        <v>1.4432870368182193E-2</v>
      </c>
      <c r="N206" s="7">
        <f t="shared" si="69"/>
        <v>20.783333330182359</v>
      </c>
      <c r="O206" s="7"/>
      <c r="P206" s="7"/>
      <c r="Q206" s="22"/>
      <c r="R206" s="22"/>
      <c r="S206" s="31">
        <f t="shared" si="70"/>
        <v>0</v>
      </c>
      <c r="T206" s="46" t="e">
        <f t="shared" si="76"/>
        <v>#VALUE!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77"/>
        <v>https://d0f6bd738d7f1b3e5a7ca70fe4ff75f0.us-east-1.aws.found.io/app/kibana#/discover/Steve-Slow-Train-Analysis-(2080s-and-2083s)?_g=(refreshInterval:(display:Off,pause:!f,section:0,value:0),time:(from:'2017-03-26T03:20:57-0600',mode:absolute,to:'2017-03-26T05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187" t="str">
        <f t="shared" si="78"/>
        <v>Y</v>
      </c>
      <c r="X206" s="187" t="e">
        <f t="shared" si="68"/>
        <v>#VALUE!</v>
      </c>
      <c r="Y206" s="62">
        <f t="shared" si="79"/>
        <v>2.3336000000000001</v>
      </c>
      <c r="Z206" s="62">
        <f t="shared" si="80"/>
        <v>1.54E-2</v>
      </c>
      <c r="AA206" s="62">
        <f t="shared" si="81"/>
        <v>2.3182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2"/>
        <v>50-26</v>
      </c>
      <c r="AE206" s="85" t="str">
        <f t="shared" si="83"/>
        <v>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 &amp; aws s3 cp s3://rtdc.mdm.uploadarchive.raw/RTDC4001/ "%USERPROFILE%\AppData\Local\Temp\OnboardLogs"\RTDC4001\2017-03-27 --exclude "*" --recursive --include "*20170327*" &amp; "%USERPROFILE%\Documents\GitHub\mrs-test-scripts\Headless Mode &amp; Sideloading\WalkAndUnGZ.bat" "%USERPROFILE%\AppData\Local\Temp\OnboardLogs"\RTDC4001\2017-03-27</v>
      </c>
      <c r="AF206" s="82" t="str">
        <f t="shared" si="84"/>
        <v>"C:\Program Files (x86)\AstroGrep\AstroGrep.exe" /e /r /s /spath="%USERPROFILE%\AppData\Local\Temp\OnboardLogs" /stypes="app*4001*20170326*" /stext=" 10:.+((SYSTEM_STATE.+slice.+state.+changed )|(ment ac)|(multiple cpu faults)|(system.+state.+changed )|(\[timeout)|(PRM\|1\|D)|(kpr)|(kdp)|(\|lc)|(penalty))"</v>
      </c>
      <c r="AG206" s="1" t="str">
        <f t="shared" si="85"/>
        <v>Other</v>
      </c>
      <c r="AH206" s="86" t="str">
        <f t="shared" si="71"/>
        <v>"%USERPROFILE%\Documents\GitHub\eaglep3\Utilities\RefineRTDCRunTimes.py" --tripid 50-26 --locoid 4001 --swversion DE.1.0.9.0 --startMP 300:23336 --initTime 2017-03-26T04:20:57 --startdatetime 2017-03-26T04:32:34 --delay 11 --endMP 204:154 --enddatetime 2017-03-26T04:53:21 --enforcementcount 0 &gt;&gt;C:\Users\stu\Documents\GitHub\eaglep3-reporting\EC\2017-03-26-refined-times.txt</v>
      </c>
      <c r="AI206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{"issue":{"subject":"","project_id":79,"tracker_id":40,"status_id":1,"priority_id":2,"assigned_to_id":23,"start_date":"2017-03-26","description":"","custom_fields":[{"id":1,"name":"Subdivision","value":"Other"},{"id":4,"name":"Milepost","value":"0.0154"},{"id":17,"name":"Train ID","value":"50-26"},{"id":16,"name":"Locomotive ID","value":"4001"},{"id":130,"name":"Impact","value":""},{"id":150,"name":"Time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3"/>
        <v>start /low /b %USERPROFILE%\Documents\GitHub\eaglep3\Utilities\DownloadLogsFromS3.py --loco 4001 --day 2017-03-26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"%USERPROFILE%\AppData\Local\Temp\OnboardLogs"\RTDC4001\*4001*20170326* | grep -SE "(Enforcement Action)|(\[TIMEOUT)|(CHR.+\|PRM\|1\|D.+(SWITCH|SIGNAL).+UNKNOWN)" - &gt;&gt; 2017-03-26-UncaughtWiMAX.txt</v>
      </c>
    </row>
    <row r="207" spans="1:40" x14ac:dyDescent="0.25">
      <c r="A207" s="33" t="s">
        <v>766</v>
      </c>
      <c r="B207" s="7">
        <v>4021</v>
      </c>
      <c r="C207" s="21" t="s">
        <v>219</v>
      </c>
      <c r="D207" s="21" t="s">
        <v>962</v>
      </c>
      <c r="E207" s="13">
        <v>42820.737916666665</v>
      </c>
      <c r="F207" s="13">
        <v>42820.747037037036</v>
      </c>
      <c r="G207" s="7">
        <v>13</v>
      </c>
      <c r="H207" s="21" t="s">
        <v>963</v>
      </c>
      <c r="I207" s="13">
        <v>42820.753483796296</v>
      </c>
      <c r="J207" s="7">
        <v>0</v>
      </c>
      <c r="K207" s="98" t="str">
        <f t="shared" si="74"/>
        <v>4021/4022</v>
      </c>
      <c r="L207" s="21" t="str">
        <f>VLOOKUP(A207,'Trips&amp;Operators'!$C$1:$G$99999,5,FALSE)</f>
        <v>DUNCAN SHEILA</v>
      </c>
      <c r="M207" s="6">
        <f t="shared" si="75"/>
        <v>6.4467592601431534E-3</v>
      </c>
      <c r="N207" s="7">
        <f t="shared" si="69"/>
        <v>9.2833333346061409</v>
      </c>
      <c r="O207" s="7"/>
      <c r="P207" s="7"/>
      <c r="Q207" s="22"/>
      <c r="R207" s="22"/>
      <c r="S207" s="31">
        <f t="shared" si="70"/>
        <v>0</v>
      </c>
      <c r="T207" s="46" t="e">
        <f t="shared" si="76"/>
        <v>#VALUE!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77"/>
        <v>https://d0f6bd738d7f1b3e5a7ca70fe4ff75f0.us-east-1.aws.found.io/app/kibana#/discover/Steve-Slow-Train-Analysis-(2080s-and-2083s)?_g=(refreshInterval:(display:Off,pause:!f,section:0,value:0),time:(from:'2017-03-26T16:42:36-0600',mode:absolute,to:'2017-03-26T19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87" t="str">
        <f t="shared" si="78"/>
        <v>Y</v>
      </c>
      <c r="X207" s="187" t="e">
        <f t="shared" si="68"/>
        <v>#VALUE!</v>
      </c>
      <c r="Y207" s="62">
        <f t="shared" si="79"/>
        <v>2.2039</v>
      </c>
      <c r="Z207" s="62">
        <f t="shared" si="80"/>
        <v>0.19739999999999999</v>
      </c>
      <c r="AA207" s="62">
        <f t="shared" si="81"/>
        <v>2.0065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2"/>
        <v>52-26</v>
      </c>
      <c r="AE207" s="85" t="str">
        <f t="shared" si="83"/>
        <v>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 &amp; aws s3 cp s3://rtdc.mdm.uploadarchive.raw/RTDC4021/ "%USERPROFILE%\AppData\Local\Temp\OnboardLogs"\RTDC4021\2017-03-27 --exclude "*" --recursive --include "*20170327*" &amp; "%USERPROFILE%\Documents\GitHub\mrs-test-scripts\Headless Mode &amp; Sideloading\WalkAndUnGZ.bat" "%USERPROFILE%\AppData\Local\Temp\OnboardLogs"\RTDC4021\2017-03-27</v>
      </c>
      <c r="AF207" s="82" t="str">
        <f t="shared" si="84"/>
        <v>"C:\Program Files (x86)\AstroGrep\AstroGrep.exe" /e /r /s /spath="%USERPROFILE%\AppData\Local\Temp\OnboardLogs" /stypes="app*4021*20170327*" /stext=" 00:.+((SYSTEM_STATE.+slice.+state.+changed )|(ment ac)|(multiple cpu faults)|(system.+state.+changed )|(\[timeout)|(PRM\|1\|D)|(kpr)|(kdp)|(\|lc)|(penalty))"</v>
      </c>
      <c r="AG207" s="1" t="str">
        <f t="shared" si="85"/>
        <v>Other</v>
      </c>
      <c r="AH207" s="86" t="str">
        <f t="shared" si="71"/>
        <v>"%USERPROFILE%\Documents\GitHub\eaglep3\Utilities\RefineRTDCRunTimes.py" --tripid 52-26 --locoid 4021 --swversion DE.1.0.9.0 --startMP 300:22039 --initTime 2017-03-26T17:42:36 --startdatetime 2017-03-26T17:55:44 --delay 13 --endMP 204:1974 --enddatetime 2017-03-26T18:05:01 --enforcementcount 0 &gt;&gt;C:\Users\stu\Documents\GitHub\eaglep3-reporting\EC\2017-03-26-refined-times.txt</v>
      </c>
      <c r="AI207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{"issue":{"subject":"","project_id":79,"tracker_id":40,"status_id":1,"priority_id":2,"assigned_to_id":23,"start_date":"2017-03-26","description":"","custom_fields":[{"id":1,"name":"Subdivision","value":"Other"},{"id":4,"name":"Milepost","value":"0.1974"},{"id":17,"name":"Train ID","value":"52-26"},{"id":16,"name":"Locomotive ID","value":"4021"},{"id":130,"name":"Impact","value":""},{"id":150,"name":"Time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3"/>
        <v>start /low /b %USERPROFILE%\Documents\GitHub\eaglep3\Utilities\DownloadLogsFromS3.py --loco 4021 --day 2017-03-26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"%USERPROFILE%\AppData\Local\Temp\OnboardLogs"\RTDC4021\*4021*20170327* | grep -SE "(Enforcement Action)|(\[TIMEOUT)|(CHR.+\|PRM\|1\|D.+(SWITCH|SIGNAL).+UNKNOWN)" - &gt;&gt; 2017-03-26-UncaughtWiMAX.txt</v>
      </c>
    </row>
    <row r="208" spans="1:40" x14ac:dyDescent="0.25">
      <c r="A208" s="33" t="s">
        <v>656</v>
      </c>
      <c r="B208" s="7">
        <v>4051</v>
      </c>
      <c r="C208" s="21" t="s">
        <v>219</v>
      </c>
      <c r="D208" s="21" t="s">
        <v>964</v>
      </c>
      <c r="E208" s="13">
        <v>42820.210057870368</v>
      </c>
      <c r="F208" s="13">
        <v>42820.211365740739</v>
      </c>
      <c r="G208" s="7">
        <v>1</v>
      </c>
      <c r="H208" s="21" t="s">
        <v>588</v>
      </c>
      <c r="I208" s="13">
        <v>42820.224004629628</v>
      </c>
      <c r="J208" s="7">
        <v>0</v>
      </c>
      <c r="K208" s="98" t="str">
        <f t="shared" si="74"/>
        <v>4051/4052</v>
      </c>
      <c r="L208" s="21" t="str">
        <f>VLOOKUP(A208,'Trips&amp;Operators'!$C$1:$G$99999,5,FALSE)</f>
        <v>DAVIS WENDY</v>
      </c>
      <c r="M208" s="6">
        <f t="shared" si="75"/>
        <v>1.2638888889341615E-2</v>
      </c>
      <c r="N208" s="7">
        <f t="shared" si="69"/>
        <v>18.200000000651926</v>
      </c>
      <c r="O208" s="7"/>
      <c r="P208" s="7"/>
      <c r="Q208" s="22"/>
      <c r="R208" s="22"/>
      <c r="S208" s="31">
        <f t="shared" si="70"/>
        <v>0</v>
      </c>
      <c r="T208" s="46" t="e">
        <f t="shared" si="76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77"/>
        <v>https://d0f6bd738d7f1b3e5a7ca70fe4ff75f0.us-east-1.aws.found.io/app/kibana#/discover/Steve-Slow-Train-Analysis-(2080s-and-2083s)?_g=(refreshInterval:(display:Off,pause:!f,section:0,value:0),time:(from:'2017-03-26T04:02:29-0600',mode:absolute,to:'2017-03-26T06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8" s="187" t="str">
        <f t="shared" si="78"/>
        <v>Y</v>
      </c>
      <c r="X208" s="187" t="e">
        <f t="shared" si="68"/>
        <v>#VALUE!</v>
      </c>
      <c r="Y208" s="62">
        <f t="shared" si="79"/>
        <v>9.5100000000000004E-2</v>
      </c>
      <c r="Z208" s="62">
        <f t="shared" si="80"/>
        <v>2.3296999999999999</v>
      </c>
      <c r="AA208" s="62">
        <f t="shared" si="81"/>
        <v>2.2345999999999999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2"/>
        <v>53-26</v>
      </c>
      <c r="AE208" s="85" t="str">
        <f t="shared" si="83"/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208" s="82" t="str">
        <f t="shared" si="84"/>
        <v>"C:\Program Files (x86)\AstroGrep\AstroGrep.exe" /e /r /s /spath="%USERPROFILE%\AppData\Local\Temp\OnboardLogs" /stypes="app*4051*20170326*" /stext=" 11:.+((SYSTEM_STATE.+slice.+state.+changed )|(ment ac)|(multiple cpu faults)|(system.+state.+changed )|(\[timeout)|(PRM\|1\|D)|(kpr)|(kdp)|(\|lc)|(penalty))"</v>
      </c>
      <c r="AG208" s="1" t="str">
        <f t="shared" si="85"/>
        <v>Other</v>
      </c>
      <c r="AH208" s="86" t="str">
        <f t="shared" si="71"/>
        <v>"%USERPROFILE%\Documents\GitHub\eaglep3\Utilities\RefineRTDCRunTimes.py" --tripid 53-26 --locoid 4051 --swversion DE.1.0.9.0 --startMP 204:951 --initTime 2017-03-26T05:02:29 --startdatetime 2017-03-26T05:04:22 --delay 1 --endMP 300:23297 --enddatetime 2017-03-26T05:22:34 --enforcementcount 0 &gt;&gt;C:\Users\stu\Documents\GitHub\eaglep3-reporting\EC\2017-03-26-refined-times.txt</v>
      </c>
      <c r="AI208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{"issue":{"subject":"","project_id":79,"tracker_id":40,"status_id":1,"priority_id":2,"assigned_to_id":23,"start_date":"2017-03-26","description":"","custom_fields":[{"id":1,"name":"Subdivision","value":"Other"},{"id":4,"name":"Milepost","value":"2.3297"},{"id":17,"name":"Train ID","value":"53-26"},{"id":16,"name":"Locomotive ID","value":"4051"},{"id":130,"name":"Impact","value":""},{"id":150,"name":"Time of Event (Mountain Time)","value":"05:22:34"},{"id":151,"name":"Denver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3"/>
        <v>start /low /b %USERPROFILE%\Documents\GitHub\eaglep3\Utilities\DownloadLogsFromS3.py --loco 4051 --day 2017-03-26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2017-03-26-UncaughtWiMAX.txt</v>
      </c>
    </row>
    <row r="209" spans="1:40" x14ac:dyDescent="0.25">
      <c r="A209" s="33" t="s">
        <v>638</v>
      </c>
      <c r="B209" s="7">
        <v>4054</v>
      </c>
      <c r="C209" s="21" t="s">
        <v>219</v>
      </c>
      <c r="D209" s="21" t="s">
        <v>965</v>
      </c>
      <c r="E209" s="13">
        <v>42820.127847222226</v>
      </c>
      <c r="F209" s="13">
        <v>42820.148761574077</v>
      </c>
      <c r="G209" s="7">
        <v>1</v>
      </c>
      <c r="H209" s="21">
        <v>8.5256944444444454</v>
      </c>
      <c r="I209" s="13">
        <v>42820.174131944441</v>
      </c>
      <c r="J209" s="7">
        <v>0</v>
      </c>
      <c r="K209" s="98" t="str">
        <f t="shared" si="74"/>
        <v>4053/4054</v>
      </c>
      <c r="L209" s="21" t="str">
        <f>VLOOKUP(A209,'Trips&amp;Operators'!$C$1:$G$99999,5,FALSE)</f>
        <v>MOSES BRADLEY</v>
      </c>
      <c r="M209" s="6">
        <f t="shared" si="75"/>
        <v>2.5370370363816619E-2</v>
      </c>
      <c r="N209" s="7">
        <f t="shared" si="69"/>
        <v>36.533333323895931</v>
      </c>
      <c r="O209" s="7"/>
      <c r="P209" s="7"/>
      <c r="Q209" s="22"/>
      <c r="R209" s="22"/>
      <c r="S209" s="31">
        <f t="shared" si="70"/>
        <v>0</v>
      </c>
      <c r="T209" s="46" t="e">
        <f t="shared" si="76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77"/>
        <v>https://d0f6bd738d7f1b3e5a7ca70fe4ff75f0.us-east-1.aws.found.io/app/kibana#/discover/Steve-Slow-Train-Analysis-(2080s-and-2083s)?_g=(refreshInterval:(display:Off,pause:!f,section:0,value:0),time:(from:'2017-03-26T02:04:06-0600',mode:absolute,to:'2017-03-26T05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9" s="187" t="str">
        <f t="shared" si="78"/>
        <v>N</v>
      </c>
      <c r="X209" s="187" t="e">
        <f t="shared" si="68"/>
        <v>#VALUE!</v>
      </c>
      <c r="Y209" s="62">
        <f t="shared" si="79"/>
        <v>12.8451</v>
      </c>
      <c r="Z209" s="62">
        <f t="shared" si="80"/>
        <v>56944444.444499999</v>
      </c>
      <c r="AA209" s="62">
        <f t="shared" si="81"/>
        <v>56944431.599399999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2"/>
        <v>62-26</v>
      </c>
      <c r="AE209" s="85" t="str">
        <f t="shared" si="83"/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209" s="82" t="str">
        <f t="shared" si="84"/>
        <v>"C:\Program Files (x86)\AstroGrep\AstroGrep.exe" /e /r /s /spath="%USERPROFILE%\AppData\Local\Temp\OnboardLogs" /stypes="app*4054*20170326*" /stext=" 10:.+((SYSTEM_STATE.+slice.+state.+changed )|(ment ac)|(multiple cpu faults)|(system.+state.+changed )|(\[timeout)|(PRM\|1\|D)|(kpr)|(kdp)|(\|lc)|(penalty))"</v>
      </c>
      <c r="AG209" s="1" t="str">
        <f t="shared" si="85"/>
        <v>Other</v>
      </c>
      <c r="AH209" s="86" t="str">
        <f t="shared" si="71"/>
        <v>"%USERPROFILE%\Documents\GitHub\eaglep3\Utilities\RefineRTDCRunTimes.py" --tripid 62-26 --locoid 4054 --swversion DE.1.0.9.0 --startMP 204:128451 --initTime 2017-03-26T03:04:06 --startdatetime 2017-03-26T03:34:13 --delay 1 --endMP 8.52569444444445 --enddatetime 2017-03-26T04:10:45 --enforcementcount 0 &gt;&gt;C:\Users\stu\Documents\GitHub\eaglep3-reporting\EC\2017-03-26-refined-times.txt</v>
      </c>
      <c r="AI209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56944444.4445"},{"id":17,"name":"Train ID","value":"62-26"},{"id":16,"name":"Locomotive ID","value":"4054"},{"id":130,"name":"Impact","value":""},{"id":150,"name":"Time of Event (Mountain Time)","value":"04:10:45"},{"id":151,"name":"Denver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3"/>
        <v>start /low /b %USERPROFILE%\Documents\GitHub\eaglep3\Utilities\DownloadLogsFromS3.py --loco 4054 --day 2017-03-26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2017-03-26-UncaughtWiMAX.txt</v>
      </c>
    </row>
    <row r="210" spans="1:40" x14ac:dyDescent="0.25">
      <c r="A210" s="33" t="s">
        <v>758</v>
      </c>
      <c r="B210" s="7">
        <v>4020</v>
      </c>
      <c r="C210" s="21" t="s">
        <v>219</v>
      </c>
      <c r="D210" s="21" t="s">
        <v>966</v>
      </c>
      <c r="E210" s="13">
        <v>42820.715983796297</v>
      </c>
      <c r="F210" s="13">
        <v>42820.746168981481</v>
      </c>
      <c r="G210" s="7">
        <v>1</v>
      </c>
      <c r="H210" s="21" t="s">
        <v>548</v>
      </c>
      <c r="I210" s="13">
        <v>42820.75545138889</v>
      </c>
      <c r="J210" s="7">
        <v>0</v>
      </c>
      <c r="K210" s="98" t="str">
        <f t="shared" si="74"/>
        <v>4019/4020</v>
      </c>
      <c r="L210" s="21" t="str">
        <f>VLOOKUP(A210,'Trips&amp;Operators'!$C$1:$G$99999,5,FALSE)</f>
        <v>MCREYNOLDS KYLE</v>
      </c>
      <c r="M210" s="6">
        <f t="shared" si="75"/>
        <v>9.2824074090458453E-3</v>
      </c>
      <c r="N210" s="7">
        <f t="shared" si="69"/>
        <v>13.366666669026017</v>
      </c>
      <c r="O210" s="7"/>
      <c r="P210" s="7"/>
      <c r="Q210" s="22"/>
      <c r="R210" s="22"/>
      <c r="S210" s="31">
        <f t="shared" si="70"/>
        <v>0</v>
      </c>
      <c r="T210" s="46" t="e">
        <f t="shared" si="76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77"/>
        <v>https://d0f6bd738d7f1b3e5a7ca70fe4ff75f0.us-east-1.aws.found.io/app/kibana#/discover/Steve-Slow-Train-Analysis-(2080s-and-2083s)?_g=(refreshInterval:(display:Off,pause:!f,section:0,value:0),time:(from:'2017-03-26T16:11:01-0600',mode:absolute,to:'2017-03-26T19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87" t="str">
        <f t="shared" si="78"/>
        <v>Y</v>
      </c>
      <c r="X210" s="187" t="e">
        <f t="shared" si="68"/>
        <v>#VALUE!</v>
      </c>
      <c r="Y210" s="62">
        <f t="shared" si="79"/>
        <v>0.14860000000000001</v>
      </c>
      <c r="Z210" s="62">
        <f t="shared" si="80"/>
        <v>2.3308</v>
      </c>
      <c r="AA210" s="62">
        <f t="shared" si="81"/>
        <v>2.1821999999999999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2"/>
        <v>65-26</v>
      </c>
      <c r="AE210" s="85" t="str">
        <f t="shared" si="83"/>
        <v>aws s3 cp s3://rtdc.mdm.uploadarchive.raw/RTDC4020/ "%USERPROFILE%\AppData\Local\Temp\OnboardLogs"\RTDC4020\2017-03-26 --exclude "*" --recursive --include "*20170326*" &amp; "%USERPROFILE%\Documents\GitHub\mrs-test-scripts\Headless Mode &amp; Sideloading\WalkAndUnGZ.bat" "%USERPROFILE%\AppData\Local\Temp\OnboardLogs"\RTDC4020\2017-03-26 &amp; aws s3 cp s3://rtdc.mdm.uploadarchive.raw/RTDC4020/ "%USERPROFILE%\AppData\Local\Temp\OnboardLogs"\RTDC4020\2017-03-27 --exclude "*" --recursive --include "*20170327*" &amp; "%USERPROFILE%\Documents\GitHub\mrs-test-scripts\Headless Mode &amp; Sideloading\WalkAndUnGZ.bat" "%USERPROFILE%\AppData\Local\Temp\OnboardLogs"\RTDC4020\2017-03-27</v>
      </c>
      <c r="AF210" s="82" t="str">
        <f t="shared" si="84"/>
        <v>"C:\Program Files (x86)\AstroGrep\AstroGrep.exe" /e /r /s /spath="%USERPROFILE%\AppData\Local\Temp\OnboardLogs" /stypes="app*4020*20170327*" /stext=" 00:.+((SYSTEM_STATE.+slice.+state.+changed )|(ment ac)|(multiple cpu faults)|(system.+state.+changed )|(\[timeout)|(PRM\|1\|D)|(kpr)|(kdp)|(\|lc)|(penalty))"</v>
      </c>
      <c r="AG210" s="1" t="str">
        <f t="shared" si="85"/>
        <v>Other</v>
      </c>
      <c r="AH210" s="86" t="str">
        <f t="shared" si="71"/>
        <v>"%USERPROFILE%\Documents\GitHub\eaglep3\Utilities\RefineRTDCRunTimes.py" --tripid 65-26 --locoid 4020 --swversion DE.1.0.9.0 --startMP 204:1486 --initTime 2017-03-26T17:11:01 --startdatetime 2017-03-26T17:54:29 --delay 1 --endMP 300:23308 --enddatetime 2017-03-26T18:07:51 --enforcementcount 0 &gt;&gt;C:\Users\stu\Documents\GitHub\eaglep3-reporting\EC\2017-03-26-refined-times.txt</v>
      </c>
      <c r="AI210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{"issue":{"subject":"","project_id":79,"tracker_id":40,"status_id":1,"priority_id":2,"assigned_to_id":23,"start_date":"2017-03-26","description":"","custom_fields":[{"id":1,"name":"Subdivision","value":"Other"},{"id":4,"name":"Milepost","value":"2.3308"},{"id":17,"name":"Train ID","value":"65-26"},{"id":16,"name":"Locomotive ID","value":"4020"},{"id":130,"name":"Impact","value":""},{"id":150,"name":"Time of Event (Mountain Time)","value":"18:07:51"},{"id":151,"name":"Denver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3"/>
        <v>start /low /b %USERPROFILE%\Documents\GitHub\eaglep3\Utilities\DownloadLogsFromS3.py --loco 4020 --day 2017-03-26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"%USERPROFILE%\AppData\Local\Temp\OnboardLogs"\RTDC4020\*4020*20170327* | grep -SE "(Enforcement Action)|(\[TIMEOUT)|(CHR.+\|PRM\|1\|D.+(SWITCH|SIGNAL).+UNKNOWN)" - &gt;&gt; 2017-03-26-UncaughtWiMAX.txt</v>
      </c>
    </row>
    <row r="211" spans="1:40" x14ac:dyDescent="0.25">
      <c r="A211" s="33" t="s">
        <v>796</v>
      </c>
      <c r="B211" s="7">
        <v>4041</v>
      </c>
      <c r="C211" s="21" t="s">
        <v>219</v>
      </c>
      <c r="D211" s="21" t="s">
        <v>967</v>
      </c>
      <c r="E211" s="13">
        <v>42821.068078703705</v>
      </c>
      <c r="F211" s="13">
        <v>42821.071215277778</v>
      </c>
      <c r="G211" s="7">
        <v>1</v>
      </c>
      <c r="H211" s="21" t="s">
        <v>968</v>
      </c>
      <c r="I211" s="13">
        <v>42821.092650462961</v>
      </c>
      <c r="J211" s="7">
        <v>0</v>
      </c>
      <c r="K211" s="98" t="str">
        <f t="shared" si="74"/>
        <v>4041/4042</v>
      </c>
      <c r="L211" s="21" t="str">
        <f>VLOOKUP(A211,'Trips&amp;Operators'!$C$1:$G$99999,5,FALSE)</f>
        <v>YANG JAN</v>
      </c>
      <c r="M211" s="6">
        <f t="shared" si="75"/>
        <v>2.1435185182781424E-2</v>
      </c>
      <c r="N211" s="7">
        <f t="shared" si="69"/>
        <v>30.866666663205251</v>
      </c>
      <c r="O211" s="7"/>
      <c r="P211" s="7"/>
      <c r="Q211" s="22"/>
      <c r="R211" s="22"/>
      <c r="S211" s="31">
        <f t="shared" si="70"/>
        <v>0</v>
      </c>
      <c r="T211" s="46" t="e">
        <f t="shared" si="76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7"/>
        <v>https://d0f6bd738d7f1b3e5a7ca70fe4ff75f0.us-east-1.aws.found.io/app/kibana#/discover/Steve-Slow-Train-Analysis-(2080s-and-2083s)?_g=(refreshInterval:(display:Off,pause:!f,section:0,value:0),time:(from:'2017-03-27T00:38:02-0600',mode:absolute,to:'2017-03-27T03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87" t="str">
        <f t="shared" si="78"/>
        <v>N</v>
      </c>
      <c r="X211" s="187" t="e">
        <f t="shared" si="68"/>
        <v>#VALUE!</v>
      </c>
      <c r="Y211" s="62">
        <f t="shared" si="79"/>
        <v>12.8001</v>
      </c>
      <c r="Z211" s="62">
        <f t="shared" si="80"/>
        <v>8.0299999999999996E-2</v>
      </c>
      <c r="AA211" s="62">
        <f t="shared" si="81"/>
        <v>12.719800000000001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2"/>
        <v>80-26</v>
      </c>
      <c r="AE211" s="85" t="str">
        <f t="shared" si="83"/>
        <v>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 &amp; 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</v>
      </c>
      <c r="AF211" s="82" t="str">
        <f t="shared" si="84"/>
        <v>"C:\Program Files (x86)\AstroGrep\AstroGrep.exe" /e /r /s /spath="%USERPROFILE%\AppData\Local\Temp\OnboardLogs" /stypes="app*4041*20170327*" /stext=" 08:.+((SYSTEM_STATE.+slice.+state.+changed )|(ment ac)|(multiple cpu faults)|(system.+state.+changed )|(\[timeout)|(PRM\|1\|D)|(kpr)|(kdp)|(\|lc)|(penalty))"</v>
      </c>
      <c r="AG211" s="1" t="str">
        <f t="shared" si="85"/>
        <v>Other</v>
      </c>
      <c r="AH211" s="86" t="str">
        <f t="shared" si="71"/>
        <v>"%USERPROFILE%\Documents\GitHub\eaglep3\Utilities\RefineRTDCRunTimes.py" --tripid 80-26 --locoid 4041 --swversion DE.1.0.9.0 --startMP 204:128001 --initTime 2017-03-27T01:38:02 --startdatetime 2017-03-27T01:42:33 --delay 1 --endMP 204:803 --enddatetime 2017-03-27T02:13:25 --enforcementcount 0 &gt;&gt;C:\Users\stu\Documents\GitHub\eaglep3-reporting\EC\2017-03-26-refined-times.txt</v>
      </c>
      <c r="AI211" s="108" t="str">
        <f t="shared" si="72"/>
        <v>echo {"issue":{"subject":"","project_id":79,"tracker_id":40,"status_id":1,"priority_id":2,"assigned_to_id":23,"start_date":"2017-03-27","description":"","custom_fields":[{"id":1,"name":"Subdivision","value":"Other"},{"id":4,"name":"Milepost","value":"0.0803"},{"id":17,"name":"Train ID","value":"80-26"},{"id":16,"name":"Locomotive ID","value":"4041"},{"id":130,"name":"Impact","value":""},{"id":150,"name":"Time of Event (Mountain Time)","value":"02:13:25"},{"id":151,"name":"Denver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3"/>
        <v>start /low /b %USERPROFILE%\Documents\GitHub\eaglep3\Utilities\DownloadLogsFromS3.py --loco 4041 --day 2017-03-27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"%USERPROFILE%\AppData\Local\Temp\OnboardLogs"\RTDC4041\*4041*20170327* | grep -SE "(Enforcement Action)|(\[TIMEOUT)|(CHR.+\|PRM\|1\|D.+(SWITCH|SIGNAL).+UNKNOWN)" - &gt;&gt; 2017-03-26-UncaughtWiMAX.txt</v>
      </c>
    </row>
    <row r="212" spans="1:40" x14ac:dyDescent="0.25">
      <c r="A212" s="33" t="s">
        <v>796</v>
      </c>
      <c r="B212" s="7">
        <v>4041</v>
      </c>
      <c r="C212" s="21" t="s">
        <v>219</v>
      </c>
      <c r="D212" s="21" t="s">
        <v>969</v>
      </c>
      <c r="E212" s="13">
        <v>42820.940648148149</v>
      </c>
      <c r="F212" s="13">
        <v>42820.946064814816</v>
      </c>
      <c r="G212" s="7">
        <v>1</v>
      </c>
      <c r="H212" s="21" t="s">
        <v>970</v>
      </c>
      <c r="I212" s="13">
        <v>42820.974270833336</v>
      </c>
      <c r="J212" s="7">
        <v>0</v>
      </c>
      <c r="K212" s="98" t="str">
        <f t="shared" si="74"/>
        <v>4041/4042</v>
      </c>
      <c r="L212" s="21" t="str">
        <f>VLOOKUP(A212,'Trips&amp;Operators'!$C$1:$G$99999,5,FALSE)</f>
        <v>YANG JAN</v>
      </c>
      <c r="M212" s="6">
        <f t="shared" si="75"/>
        <v>2.8206018519995268E-2</v>
      </c>
      <c r="N212" s="7">
        <f t="shared" si="69"/>
        <v>40.616666668793187</v>
      </c>
      <c r="O212" s="7"/>
      <c r="P212" s="7"/>
      <c r="Q212" s="22"/>
      <c r="R212" s="22"/>
      <c r="S212" s="31">
        <f t="shared" si="70"/>
        <v>0</v>
      </c>
      <c r="T212" s="46" t="e">
        <f t="shared" si="76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77"/>
        <v>https://d0f6bd738d7f1b3e5a7ca70fe4ff75f0.us-east-1.aws.found.io/app/kibana#/discover/Steve-Slow-Train-Analysis-(2080s-and-2083s)?_g=(refreshInterval:(display:Off,pause:!f,section:0,value:0),time:(from:'2017-03-26T21:34:32-0600',mode:absolute,to:'2017-03-27T00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87" t="str">
        <f t="shared" si="78"/>
        <v>N</v>
      </c>
      <c r="X212" s="187" t="e">
        <f t="shared" si="68"/>
        <v>#VALUE!</v>
      </c>
      <c r="Y212" s="62">
        <f t="shared" si="79"/>
        <v>12.801</v>
      </c>
      <c r="Z212" s="62">
        <f t="shared" si="80"/>
        <v>0.11559999999999999</v>
      </c>
      <c r="AA212" s="62">
        <f t="shared" si="81"/>
        <v>12.6854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2"/>
        <v>80-26</v>
      </c>
      <c r="AE212" s="85" t="str">
        <f t="shared" si="83"/>
        <v>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 &amp; 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</v>
      </c>
      <c r="AF212" s="82" t="str">
        <f t="shared" si="84"/>
        <v>"C:\Program Files (x86)\AstroGrep\AstroGrep.exe" /e /r /s /spath="%USERPROFILE%\AppData\Local\Temp\OnboardLogs" /stypes="app*4041*20170327*" /stext=" 05:.+((SYSTEM_STATE.+slice.+state.+changed )|(ment ac)|(multiple cpu faults)|(system.+state.+changed )|(\[timeout)|(PRM\|1\|D)|(kpr)|(kdp)|(\|lc)|(penalty))"</v>
      </c>
      <c r="AG212" s="1" t="str">
        <f t="shared" si="85"/>
        <v>Other</v>
      </c>
      <c r="AH212" s="86" t="str">
        <f t="shared" si="71"/>
        <v>"%USERPROFILE%\Documents\GitHub\eaglep3\Utilities\RefineRTDCRunTimes.py" --tripid 80-26 --locoid 4041 --swversion DE.1.0.9.0 --startMP 204:128010 --initTime 2017-03-26T22:34:32 --startdatetime 2017-03-26T22:42:20 --delay 1 --endMP 204:1156 --enddatetime 2017-03-26T23:22:57 --enforcementcount 0 &gt;&gt;C:\Users\stu\Documents\GitHub\eaglep3-reporting\EC\2017-03-26-refined-times.txt</v>
      </c>
      <c r="AI212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{"issue":{"subject":"","project_id":79,"tracker_id":40,"status_id":1,"priority_id":2,"assigned_to_id":23,"start_date":"2017-03-26","description":"","custom_fields":[{"id":1,"name":"Subdivision","value":"Other"},{"id":4,"name":"Milepost","value":"0.1156"},{"id":17,"name":"Train ID","value":"80-26"},{"id":16,"name":"Locomotive ID","value":"4041"},{"id":130,"name":"Impact","value":""},{"id":150,"name":"Time of Event (Mountain Time)","value":"23:22:57"},{"id":151,"name":"Denver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3"/>
        <v>start /low /b %USERPROFILE%\Documents\GitHub\eaglep3\Utilities\DownloadLogsFromS3.py --loco 4041 --day 2017-03-26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"%USERPROFILE%\AppData\Local\Temp\OnboardLogs"\RTDC4041\*4041*20170327* | grep -SE "(Enforcement Action)|(\[TIMEOUT)|(CHR.+\|PRM\|1\|D.+(SWITCH|SIGNAL).+UNKNOWN)" - &gt;&gt; 2017-03-26-UncaughtWiMAX.txt</v>
      </c>
    </row>
    <row r="213" spans="1:40" s="20" customFormat="1" x14ac:dyDescent="0.25">
      <c r="A213" s="33" t="s">
        <v>796</v>
      </c>
      <c r="B213" s="7">
        <v>4041</v>
      </c>
      <c r="C213" s="21" t="s">
        <v>219</v>
      </c>
      <c r="D213" s="21" t="s">
        <v>969</v>
      </c>
      <c r="E213" s="13">
        <v>42821.023310185185</v>
      </c>
      <c r="F213" s="13">
        <v>42821.071215277778</v>
      </c>
      <c r="G213" s="7">
        <v>2</v>
      </c>
      <c r="H213" s="21" t="s">
        <v>971</v>
      </c>
      <c r="I213" s="13">
        <v>42821.092650462961</v>
      </c>
      <c r="J213" s="7">
        <v>0</v>
      </c>
      <c r="K213" s="98" t="str">
        <f t="shared" si="74"/>
        <v>4041/4042</v>
      </c>
      <c r="L213" s="21" t="str">
        <f>VLOOKUP(A213,'Trips&amp;Operators'!$C$1:$G$99999,5,FALSE)</f>
        <v>YANG JAN</v>
      </c>
      <c r="M213" s="6">
        <f t="shared" si="75"/>
        <v>2.1435185182781424E-2</v>
      </c>
      <c r="N213" s="7">
        <f t="shared" si="69"/>
        <v>30.866666663205251</v>
      </c>
      <c r="O213" s="7"/>
      <c r="P213" s="7"/>
      <c r="Q213" s="22"/>
      <c r="R213" s="22"/>
      <c r="S213" s="31">
        <f t="shared" si="70"/>
        <v>0</v>
      </c>
      <c r="T213" s="46" t="e">
        <f t="shared" si="76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77"/>
        <v>https://d0f6bd738d7f1b3e5a7ca70fe4ff75f0.us-east-1.aws.found.io/app/kibana#/discover/Steve-Slow-Train-Analysis-(2080s-and-2083s)?_g=(refreshInterval:(display:Off,pause:!f,section:0,value:0),time:(from:'2017-03-26T23:33:34-0600',mode:absolute,to:'2017-03-27T03:13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187" t="str">
        <f t="shared" si="78"/>
        <v>N</v>
      </c>
      <c r="X213" s="187" t="e">
        <f t="shared" si="68"/>
        <v>#VALUE!</v>
      </c>
      <c r="Y213" s="62">
        <f t="shared" si="79"/>
        <v>12.801</v>
      </c>
      <c r="Z213" s="62">
        <f t="shared" si="80"/>
        <v>1.0111000000000001</v>
      </c>
      <c r="AA213" s="62">
        <f t="shared" si="81"/>
        <v>11.789899999999999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2"/>
        <v>80-26</v>
      </c>
      <c r="AE213" s="85" t="str">
        <f t="shared" si="83"/>
        <v>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 &amp; 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</v>
      </c>
      <c r="AF213" s="82" t="str">
        <f t="shared" si="84"/>
        <v>"C:\Program Files (x86)\AstroGrep\AstroGrep.exe" /e /r /s /spath="%USERPROFILE%\AppData\Local\Temp\OnboardLogs" /stypes="app*4041*20170327*" /stext=" 08:.+((SYSTEM_STATE.+slice.+state.+changed )|(ment ac)|(multiple cpu faults)|(system.+state.+changed )|(\[timeout)|(PRM\|1\|D)|(kpr)|(kdp)|(\|lc)|(penalty))"</v>
      </c>
      <c r="AG213" s="1" t="str">
        <f t="shared" si="85"/>
        <v>Other</v>
      </c>
      <c r="AH213" s="86" t="str">
        <f t="shared" si="71"/>
        <v>"%USERPROFILE%\Documents\GitHub\eaglep3\Utilities\RefineRTDCRunTimes.py" --tripid 80-26 --locoid 4041 --swversion DE.1.0.9.0 --startMP 204:128010 --initTime 2017-03-27T00:33:34 --startdatetime 2017-03-27T01:42:33 --delay 2 --endMP 204:10111 --enddatetime 2017-03-27T02:13:25 --enforcementcount 0 &gt;&gt;C:\Users\stu\Documents\GitHub\eaglep3-reporting\EC\2017-03-26-refined-times.txt</v>
      </c>
      <c r="AI213" s="108" t="str">
        <f t="shared" si="72"/>
        <v>echo {"issue":{"subject":"","project_id":79,"tracker_id":40,"status_id":1,"priority_id":2,"assigned_to_id":23,"start_date":"2017-03-27","description":"","custom_fields":[{"id":1,"name":"Subdivision","value":"Other"},{"id":4,"name":"Milepost","value":"1.0111"},{"id":17,"name":"Train ID","value":"80-26"},{"id":16,"name":"Locomotive ID","value":"4041"},{"id":130,"name":"Impact","value":""},{"id":150,"name":"Time of Event (Mountain Time)","value":"02:13:25"},{"id":151,"name":"Denver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3"/>
        <v>start /low /b %USERPROFILE%\Documents\GitHub\eaglep3\Utilities\DownloadLogsFromS3.py --loco 4041 --day 2017-03-27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"%USERPROFILE%\AppData\Local\Temp\OnboardLogs"\RTDC4041\*4041*20170327* | grep -SE "(Enforcement Action)|(\[TIMEOUT)|(CHR.+\|PRM\|1\|D.+(SWITCH|SIGNAL).+UNKNOWN)" - &gt;&gt; 2017-03-26-UncaughtWiMAX.txt</v>
      </c>
    </row>
    <row r="214" spans="1:40" x14ac:dyDescent="0.25">
      <c r="A214" s="33" t="s">
        <v>796</v>
      </c>
      <c r="B214" s="7">
        <v>4041</v>
      </c>
      <c r="C214" s="21" t="s">
        <v>219</v>
      </c>
      <c r="D214" s="21" t="s">
        <v>972</v>
      </c>
      <c r="E214" s="13">
        <v>42820.899201388886</v>
      </c>
      <c r="F214" s="13">
        <v>42820.902048611111</v>
      </c>
      <c r="G214" s="7">
        <v>4</v>
      </c>
      <c r="H214" s="21" t="s">
        <v>184</v>
      </c>
      <c r="I214" s="13">
        <v>42820.907789351855</v>
      </c>
      <c r="J214" s="7">
        <v>0</v>
      </c>
      <c r="K214" s="98" t="str">
        <f t="shared" si="74"/>
        <v>4041/4042</v>
      </c>
      <c r="L214" s="21" t="str">
        <f>VLOOKUP(A214,'Trips&amp;Operators'!$C$1:$G$99999,5,FALSE)</f>
        <v>YANG JAN</v>
      </c>
      <c r="M214" s="6">
        <f t="shared" si="75"/>
        <v>5.7407407439313829E-3</v>
      </c>
      <c r="N214" s="7">
        <f t="shared" si="69"/>
        <v>8.2666666712611914</v>
      </c>
      <c r="O214" s="7"/>
      <c r="P214" s="7"/>
      <c r="Q214" s="22"/>
      <c r="R214" s="22"/>
      <c r="S214" s="31">
        <f t="shared" si="70"/>
        <v>0</v>
      </c>
      <c r="T214" s="46" t="e">
        <f t="shared" si="76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77"/>
        <v>https://d0f6bd738d7f1b3e5a7ca70fe4ff75f0.us-east-1.aws.found.io/app/kibana#/discover/Steve-Slow-Train-Analysis-(2080s-and-2083s)?_g=(refreshInterval:(display:Off,pause:!f,section:0,value:0),time:(from:'2017-03-26T20:34:51-0600',mode:absolute,to:'2017-03-26T22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87" t="str">
        <f t="shared" si="78"/>
        <v>Y</v>
      </c>
      <c r="X214" s="187" t="e">
        <f t="shared" si="68"/>
        <v>#VALUE!</v>
      </c>
      <c r="Y214" s="62">
        <f t="shared" si="79"/>
        <v>2.3610000000000002</v>
      </c>
      <c r="Z214" s="62">
        <f t="shared" si="80"/>
        <v>1.49E-2</v>
      </c>
      <c r="AA214" s="62">
        <f t="shared" si="81"/>
        <v>2.3461000000000003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2"/>
        <v>80-26</v>
      </c>
      <c r="AE214" s="85" t="str">
        <f t="shared" si="83"/>
        <v>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 &amp; aws s3 cp s3://rtdc.mdm.uploadarchive.raw/RTDC4041/ "%USERPROFILE%\AppData\Local\Temp\OnboardLogs"\RTDC4041\2017-03-27 --exclude "*" --recursive --include "*20170327*" &amp; "%USERPROFILE%\Documents\GitHub\mrs-test-scripts\Headless Mode &amp; Sideloading\WalkAndUnGZ.bat" "%USERPROFILE%\AppData\Local\Temp\OnboardLogs"\RTDC4041\2017-03-27</v>
      </c>
      <c r="AF214" s="82" t="str">
        <f t="shared" si="84"/>
        <v>"C:\Program Files (x86)\AstroGrep\AstroGrep.exe" /e /r /s /spath="%USERPROFILE%\AppData\Local\Temp\OnboardLogs" /stypes="app*4041*20170327*" /stext=" 03:.+((SYSTEM_STATE.+slice.+state.+changed )|(ment ac)|(multiple cpu faults)|(system.+state.+changed )|(\[timeout)|(PRM\|1\|D)|(kpr)|(kdp)|(\|lc)|(penalty))"</v>
      </c>
      <c r="AG214" s="1" t="str">
        <f t="shared" si="85"/>
        <v>Other</v>
      </c>
      <c r="AH214" s="86" t="str">
        <f t="shared" si="71"/>
        <v>"%USERPROFILE%\Documents\GitHub\eaglep3\Utilities\RefineRTDCRunTimes.py" --tripid 80-26 --locoid 4041 --swversion DE.1.0.9.0 --startMP 300:23610 --initTime 2017-03-26T21:34:51 --startdatetime 2017-03-26T21:38:57 --delay 4 --endMP 204:149 --enddatetime 2017-03-26T21:47:13 --enforcementcount 0 &gt;&gt;C:\Users\stu\Documents\GitHub\eaglep3-reporting\EC\2017-03-26-refined-times.txt</v>
      </c>
      <c r="AI214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{"issue":{"subject":"","project_id":79,"tracker_id":40,"status_id":1,"priority_id":2,"assigned_to_id":23,"start_date":"2017-03-26","description":"","custom_fields":[{"id":1,"name":"Subdivision","value":"Other"},{"id":4,"name":"Milepost","value":"0.0149"},{"id":17,"name":"Train ID","value":"80-26"},{"id":16,"name":"Locomotive ID","value":"4041"},{"id":130,"name":"Impact","value":""},{"id":150,"name":"Time of Event (Mountain Time)","value":"21:47:13"},{"id":151,"name":"Denver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3"/>
        <v>start /low /b %USERPROFILE%\Documents\GitHub\eaglep3\Utilities\DownloadLogsFromS3.py --loco 4041 --day 2017-03-26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"%USERPROFILE%\AppData\Local\Temp\OnboardLogs"\RTDC4041\*4041*20170327* | grep -SE "(Enforcement Action)|(\[TIMEOUT)|(CHR.+\|PRM\|1\|D.+(SWITCH|SIGNAL).+UNKNOWN)" - &gt;&gt; 2017-03-26-UncaughtWiMAX.txt</v>
      </c>
    </row>
    <row r="215" spans="1:40" x14ac:dyDescent="0.25">
      <c r="A215" s="33" t="s">
        <v>801</v>
      </c>
      <c r="B215" s="7">
        <v>4042</v>
      </c>
      <c r="C215" s="21" t="s">
        <v>219</v>
      </c>
      <c r="D215" s="21" t="s">
        <v>973</v>
      </c>
      <c r="E215" s="13">
        <v>42821.050081018519</v>
      </c>
      <c r="F215" s="13">
        <v>42821.051747685182</v>
      </c>
      <c r="G215" s="7">
        <v>1</v>
      </c>
      <c r="H215" s="21" t="s">
        <v>974</v>
      </c>
      <c r="I215" s="13">
        <v>42821.066261574073</v>
      </c>
      <c r="J215" s="7">
        <v>0</v>
      </c>
      <c r="K215" s="98" t="str">
        <f t="shared" si="74"/>
        <v>4041/4042</v>
      </c>
      <c r="L215" s="21" t="str">
        <f>VLOOKUP(A215,'Trips&amp;Operators'!$C$1:$G$99999,5,FALSE)</f>
        <v>YANG JAN</v>
      </c>
      <c r="M215" s="6">
        <f t="shared" si="75"/>
        <v>1.4513888891087845E-2</v>
      </c>
      <c r="N215" s="7">
        <f t="shared" si="69"/>
        <v>20.900000003166497</v>
      </c>
      <c r="O215" s="7"/>
      <c r="P215" s="7"/>
      <c r="Q215" s="22"/>
      <c r="R215" s="22"/>
      <c r="S215" s="31">
        <f t="shared" si="70"/>
        <v>0</v>
      </c>
      <c r="T215" s="46" t="e">
        <f t="shared" si="76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77"/>
        <v>https://d0f6bd738d7f1b3e5a7ca70fe4ff75f0.us-east-1.aws.found.io/app/kibana#/discover/Steve-Slow-Train-Analysis-(2080s-and-2083s)?_g=(refreshInterval:(display:Off,pause:!f,section:0,value:0),time:(from:'2017-03-27T00:12:07-0600',mode:absolute,to:'2017-03-27T02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7" t="str">
        <f t="shared" si="78"/>
        <v>N</v>
      </c>
      <c r="X215" s="187" t="e">
        <f t="shared" si="68"/>
        <v>#VALUE!</v>
      </c>
      <c r="Y215" s="62">
        <f t="shared" si="79"/>
        <v>1.0342</v>
      </c>
      <c r="Z215" s="62">
        <f t="shared" si="80"/>
        <v>12.826599999999999</v>
      </c>
      <c r="AA215" s="62">
        <f t="shared" si="81"/>
        <v>11.792399999999999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2"/>
        <v>81-26</v>
      </c>
      <c r="AE215" s="85" t="str">
        <f t="shared" si="83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5" s="82" t="str">
        <f t="shared" si="84"/>
        <v>"C:\Program Files (x86)\AstroGrep\AstroGrep.exe" /e /r /s /spath="%USERPROFILE%\AppData\Local\Temp\OnboardLogs" /stypes="app*4042*20170327*" /stext=" 07:.+((SYSTEM_STATE.+slice.+state.+changed )|(ment ac)|(multiple cpu faults)|(system.+state.+changed )|(\[timeout)|(PRM\|1\|D)|(kpr)|(kdp)|(\|lc)|(penalty))"</v>
      </c>
      <c r="AG215" s="1" t="str">
        <f t="shared" si="85"/>
        <v>Other</v>
      </c>
      <c r="AH215" s="86" t="str">
        <f t="shared" si="71"/>
        <v>"%USERPROFILE%\Documents\GitHub\eaglep3\Utilities\RefineRTDCRunTimes.py" --tripid 81-26 --locoid 4042 --swversion DE.1.0.9.0 --startMP 204:10342 --initTime 2017-03-27T01:12:07 --startdatetime 2017-03-27T01:14:31 --delay 1 --endMP 204:128266 --enddatetime 2017-03-27T01:35:25 --enforcementcount 0 &gt;&gt;C:\Users\stu\Documents\GitHub\eaglep3-reporting\EC\2017-03-26-refined-times.txt</v>
      </c>
      <c r="AI215" s="108" t="str">
        <f t="shared" si="72"/>
        <v>echo {"issue":{"subject":"","project_id":79,"tracker_id":40,"status_id":1,"priority_id":2,"assigned_to_id":23,"start_date":"2017-03-27","description":"","custom_fields":[{"id":1,"name":"Subdivision","value":"Other"},{"id":4,"name":"Milepost","value":"12.8266"},{"id":17,"name":"Train ID","value":"81-26"},{"id":16,"name":"Locomotive ID","value":"4042"},{"id":130,"name":"Impact","value":""},{"id":150,"name":"Time of Event (Mountain Time)","value":"01:35:25"},{"id":151,"name":"Denver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3"/>
        <v>start /low /b %USERPROFILE%\Documents\GitHub\eaglep3\Utilities\DownloadLogsFromS3.py --loco 4042 --day 2017-03-27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"%USERPROFILE%\AppData\Local\Temp\OnboardLogs"\RTDC4042\*4042*20170327* | grep -SE "(Enforcement Action)|(\[TIMEOUT)|(CHR.+\|PRM\|1\|D.+(SWITCH|SIGNAL).+UNKNOWN)" - &gt;&gt; 2017-03-26-UncaughtWiMAX.txt</v>
      </c>
    </row>
    <row r="216" spans="1:40" x14ac:dyDescent="0.25">
      <c r="A216" s="33" t="s">
        <v>801</v>
      </c>
      <c r="B216" s="7">
        <v>4042</v>
      </c>
      <c r="C216" s="21" t="s">
        <v>219</v>
      </c>
      <c r="D216" s="21" t="s">
        <v>975</v>
      </c>
      <c r="E216" s="13">
        <v>42821.095810185187</v>
      </c>
      <c r="F216" s="13">
        <v>42821.097708333335</v>
      </c>
      <c r="G216" s="7">
        <v>1</v>
      </c>
      <c r="H216" s="21" t="s">
        <v>959</v>
      </c>
      <c r="I216" s="13">
        <v>42821.106157407405</v>
      </c>
      <c r="J216" s="7">
        <v>0</v>
      </c>
      <c r="K216" s="98" t="str">
        <f t="shared" si="74"/>
        <v>4041/4042</v>
      </c>
      <c r="L216" s="21" t="str">
        <f>VLOOKUP(A216,'Trips&amp;Operators'!$C$1:$G$99999,5,FALSE)</f>
        <v>YANG JAN</v>
      </c>
      <c r="M216" s="6">
        <f t="shared" si="75"/>
        <v>8.4490740700857714E-3</v>
      </c>
      <c r="N216" s="7">
        <f t="shared" si="69"/>
        <v>12.166666660923511</v>
      </c>
      <c r="O216" s="7"/>
      <c r="P216" s="7"/>
      <c r="Q216" s="22"/>
      <c r="R216" s="22"/>
      <c r="S216" s="31">
        <f t="shared" si="70"/>
        <v>0</v>
      </c>
      <c r="T216" s="46" t="e">
        <f t="shared" si="76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7"/>
        <v>https://d0f6bd738d7f1b3e5a7ca70fe4ff75f0.us-east-1.aws.found.io/app/kibana#/discover/Steve-Slow-Train-Analysis-(2080s-and-2083s)?_g=(refreshInterval:(display:Off,pause:!f,section:0,value:0),time:(from:'2017-03-27T01:17:58-0600',mode:absolute,to:'2017-03-27T03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7" t="str">
        <f t="shared" si="78"/>
        <v>Y</v>
      </c>
      <c r="X216" s="187" t="e">
        <f t="shared" si="68"/>
        <v>#VALUE!</v>
      </c>
      <c r="Y216" s="62">
        <f t="shared" si="79"/>
        <v>0.109</v>
      </c>
      <c r="Z216" s="62">
        <f t="shared" si="80"/>
        <v>2.3302</v>
      </c>
      <c r="AA216" s="62">
        <f t="shared" si="81"/>
        <v>2.2212000000000001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2"/>
        <v>81-26</v>
      </c>
      <c r="AE216" s="85" t="str">
        <f t="shared" si="83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6" s="82" t="str">
        <f t="shared" si="84"/>
        <v>"C:\Program Files (x86)\AstroGrep\AstroGrep.exe" /e /r /s /spath="%USERPROFILE%\AppData\Local\Temp\OnboardLogs" /stypes="app*4042*20170327*" /stext=" 08:.+((SYSTEM_STATE.+slice.+state.+changed )|(ment ac)|(multiple cpu faults)|(system.+state.+changed )|(\[timeout)|(PRM\|1\|D)|(kpr)|(kdp)|(\|lc)|(penalty))"</v>
      </c>
      <c r="AG216" s="1" t="str">
        <f t="shared" si="85"/>
        <v>Other</v>
      </c>
      <c r="AH216" s="86" t="str">
        <f t="shared" si="71"/>
        <v>"%USERPROFILE%\Documents\GitHub\eaglep3\Utilities\RefineRTDCRunTimes.py" --tripid 81-26 --locoid 4042 --swversion DE.1.0.9.0 --startMP 204:1090 --initTime 2017-03-27T02:17:58 --startdatetime 2017-03-27T02:20:42 --delay 1 --endMP 300:23302 --enddatetime 2017-03-27T02:32:52 --enforcementcount 0 &gt;&gt;C:\Users\stu\Documents\GitHub\eaglep3-reporting\EC\2017-03-26-refined-times.txt</v>
      </c>
      <c r="AI216" s="108" t="str">
        <f t="shared" si="72"/>
        <v>echo {"issue":{"subject":"","project_id":79,"tracker_id":40,"status_id":1,"priority_id":2,"assigned_to_id":23,"start_date":"2017-03-27","description":"","custom_fields":[{"id":1,"name":"Subdivision","value":"Other"},{"id":4,"name":"Milepost","value":"2.3302"},{"id":17,"name":"Train ID","value":"81-26"},{"id":16,"name":"Locomotive ID","value":"4042"},{"id":130,"name":"Impact","value":""},{"id":150,"name":"Time of Event (Mountain Time)","value":"02:32:52"},{"id":151,"name":"Denver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3"/>
        <v>start /low /b %USERPROFILE%\Documents\GitHub\eaglep3\Utilities\DownloadLogsFromS3.py --loco 4042 --day 2017-03-27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"%USERPROFILE%\AppData\Local\Temp\OnboardLogs"\RTDC4042\*4042*20170327* | grep -SE "(Enforcement Action)|(\[TIMEOUT)|(CHR.+\|PRM\|1\|D.+(SWITCH|SIGNAL).+UNKNOWN)" - &gt;&gt; 2017-03-26-UncaughtWiMAX.txt</v>
      </c>
    </row>
    <row r="217" spans="1:40" x14ac:dyDescent="0.25">
      <c r="A217" s="33" t="s">
        <v>801</v>
      </c>
      <c r="B217" s="7">
        <v>4042</v>
      </c>
      <c r="C217" s="21" t="s">
        <v>219</v>
      </c>
      <c r="D217" s="21" t="s">
        <v>976</v>
      </c>
      <c r="E217" s="13">
        <v>42820.996215277781</v>
      </c>
      <c r="F217" s="13">
        <v>42821.00613425926</v>
      </c>
      <c r="G217" s="7">
        <v>2</v>
      </c>
      <c r="H217" s="21" t="s">
        <v>977</v>
      </c>
      <c r="I217" s="13">
        <v>42821.021967592591</v>
      </c>
      <c r="J217" s="7">
        <v>0</v>
      </c>
      <c r="K217" s="98" t="str">
        <f t="shared" si="74"/>
        <v>4041/4042</v>
      </c>
      <c r="L217" s="21" t="str">
        <f>VLOOKUP(A217,'Trips&amp;Operators'!$C$1:$G$99999,5,FALSE)</f>
        <v>YANG JAN</v>
      </c>
      <c r="M217" s="6">
        <f t="shared" si="75"/>
        <v>1.583333333110204E-2</v>
      </c>
      <c r="N217" s="7">
        <f t="shared" si="69"/>
        <v>22.799999996786937</v>
      </c>
      <c r="O217" s="7"/>
      <c r="P217" s="7"/>
      <c r="Q217" s="22"/>
      <c r="R217" s="22"/>
      <c r="S217" s="31">
        <f t="shared" si="70"/>
        <v>0</v>
      </c>
      <c r="T217" s="46" t="e">
        <f t="shared" si="76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77"/>
        <v>https://d0f6bd738d7f1b3e5a7ca70fe4ff75f0.us-east-1.aws.found.io/app/kibana#/discover/Steve-Slow-Train-Analysis-(2080s-and-2083s)?_g=(refreshInterval:(display:Off,pause:!f,section:0,value:0),time:(from:'2017-03-26T22:54:33-0600',mode:absolute,to:'2017-03-27T01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187" t="str">
        <f t="shared" si="78"/>
        <v>N</v>
      </c>
      <c r="X217" s="187" t="e">
        <f t="shared" si="68"/>
        <v>#VALUE!</v>
      </c>
      <c r="Y217" s="62">
        <f t="shared" si="79"/>
        <v>0.1479</v>
      </c>
      <c r="Z217" s="62">
        <f t="shared" si="80"/>
        <v>12.8268</v>
      </c>
      <c r="AA217" s="62">
        <f t="shared" si="81"/>
        <v>12.678900000000001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2"/>
        <v>81-26</v>
      </c>
      <c r="AE217" s="85" t="str">
        <f t="shared" si="83"/>
        <v>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 &amp; 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</v>
      </c>
      <c r="AF217" s="82" t="str">
        <f t="shared" si="84"/>
        <v>"C:\Program Files (x86)\AstroGrep\AstroGrep.exe" /e /r /s /spath="%USERPROFILE%\AppData\Local\Temp\OnboardLogs" /stypes="app*4042*20170327*" /stext=" 06:.+((SYSTEM_STATE.+slice.+state.+changed )|(ment ac)|(multiple cpu faults)|(system.+state.+changed )|(\[timeout)|(PRM\|1\|D)|(kpr)|(kdp)|(\|lc)|(penalty))"</v>
      </c>
      <c r="AG217" s="1" t="str">
        <f t="shared" si="85"/>
        <v>Other</v>
      </c>
      <c r="AH217" s="86" t="str">
        <f t="shared" si="71"/>
        <v>"%USERPROFILE%\Documents\GitHub\eaglep3\Utilities\RefineRTDCRunTimes.py" --tripid 81-26 --locoid 4042 --swversion DE.1.0.9.0 --startMP 204:1479 --initTime 2017-03-26T23:54:33 --startdatetime 2017-03-27T00:08:50 --delay 2 --endMP 204:128268 --enddatetime 2017-03-27T00:31:38 --enforcementcount 0 &gt;&gt;C:\Users\stu\Documents\GitHub\eaglep3-reporting\EC\2017-03-26-refined-times.txt</v>
      </c>
      <c r="AI217" s="108" t="str">
        <f t="shared" si="72"/>
        <v>echo {"issue":{"subject":"","project_id":79,"tracker_id":40,"status_id":1,"priority_id":2,"assigned_to_id":23,"start_date":"2017-03-27","description":"","custom_fields":[{"id":1,"name":"Subdivision","value":"Other"},{"id":4,"name":"Milepost","value":"12.8268"},{"id":17,"name":"Train ID","value":"81-26"},{"id":16,"name":"Locomotive ID","value":"4042"},{"id":130,"name":"Impact","value":""},{"id":150,"name":"Time of Event (Mountain Time)","value":"00:31:38"},{"id":151,"name":"Denver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3"/>
        <v>start /low /b %USERPROFILE%\Documents\GitHub\eaglep3\Utilities\DownloadLogsFromS3.py --loco 4042 --day 2017-03-27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"%USERPROFILE%\AppData\Local\Temp\OnboardLogs"\RTDC4042\*4042*20170327* | grep -SE "(Enforcement Action)|(\[TIMEOUT)|(CHR.+\|PRM\|1\|D.+(SWITCH|SIGNAL).+UNKNOWN)" - &gt;&gt; 2017-03-26-UncaughtWiMAX.txt</v>
      </c>
    </row>
    <row r="218" spans="1:40" x14ac:dyDescent="0.25">
      <c r="A218" s="33" t="s">
        <v>801</v>
      </c>
      <c r="B218" s="7">
        <v>4042</v>
      </c>
      <c r="C218" s="21" t="s">
        <v>219</v>
      </c>
      <c r="D218" s="21" t="s">
        <v>978</v>
      </c>
      <c r="E218" s="13">
        <v>42820.911006944443</v>
      </c>
      <c r="F218" s="13">
        <v>42820.923379629632</v>
      </c>
      <c r="G218" s="7">
        <v>1</v>
      </c>
      <c r="H218" s="21" t="s">
        <v>979</v>
      </c>
      <c r="I218" s="13">
        <v>42820.939189814817</v>
      </c>
      <c r="J218" s="7">
        <v>0</v>
      </c>
      <c r="K218" s="98" t="str">
        <f t="shared" si="74"/>
        <v>4041/4042</v>
      </c>
      <c r="L218" s="21" t="str">
        <f>VLOOKUP(A218,'Trips&amp;Operators'!$C$1:$G$99999,5,FALSE)</f>
        <v>YANG JAN</v>
      </c>
      <c r="M218" s="6">
        <f t="shared" si="75"/>
        <v>1.5810185184818693E-2</v>
      </c>
      <c r="N218" s="7">
        <f t="shared" si="69"/>
        <v>22.766666666138917</v>
      </c>
      <c r="O218" s="7"/>
      <c r="P218" s="7"/>
      <c r="Q218" s="22"/>
      <c r="R218" s="22"/>
      <c r="S218" s="31">
        <f t="shared" si="70"/>
        <v>0</v>
      </c>
      <c r="T218" s="46" t="e">
        <f t="shared" si="76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7"/>
        <v>https://d0f6bd738d7f1b3e5a7ca70fe4ff75f0.us-east-1.aws.found.io/app/kibana#/discover/Steve-Slow-Train-Analysis-(2080s-and-2083s)?_g=(refreshInterval:(display:Off,pause:!f,section:0,value:0),time:(from:'2017-03-26T20:51:51-0600',mode:absolute,to:'2017-03-26T23:32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87" t="str">
        <f t="shared" si="78"/>
        <v>N</v>
      </c>
      <c r="X218" s="187" t="e">
        <f t="shared" si="68"/>
        <v>#VALUE!</v>
      </c>
      <c r="Y218" s="62">
        <f t="shared" si="79"/>
        <v>4.5900000000000003E-2</v>
      </c>
      <c r="Z218" s="62">
        <f t="shared" si="80"/>
        <v>12.827199999999999</v>
      </c>
      <c r="AA218" s="62">
        <f t="shared" si="81"/>
        <v>12.7813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2"/>
        <v>81-26</v>
      </c>
      <c r="AE218" s="85" t="str">
        <f t="shared" si="83"/>
        <v>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 &amp; aws s3 cp s3://rtdc.mdm.uploadarchive.raw/RTDC4042/ "%USERPROFILE%\AppData\Local\Temp\OnboardLogs"\RTDC4042\2017-03-27 --exclude "*" --recursive --include "*20170327*" &amp; "%USERPROFILE%\Documents\GitHub\mrs-test-scripts\Headless Mode &amp; Sideloading\WalkAndUnGZ.bat" "%USERPROFILE%\AppData\Local\Temp\OnboardLogs"\RTDC4042\2017-03-27</v>
      </c>
      <c r="AF218" s="82" t="str">
        <f t="shared" si="84"/>
        <v>"C:\Program Files (x86)\AstroGrep\AstroGrep.exe" /e /r /s /spath="%USERPROFILE%\AppData\Local\Temp\OnboardLogs" /stypes="app*4042*20170327*" /stext=" 04:.+((SYSTEM_STATE.+slice.+state.+changed )|(ment ac)|(multiple cpu faults)|(system.+state.+changed )|(\[timeout)|(PRM\|1\|D)|(kpr)|(kdp)|(\|lc)|(penalty))"</v>
      </c>
      <c r="AG218" s="1" t="str">
        <f t="shared" si="85"/>
        <v>Other</v>
      </c>
      <c r="AH218" s="86" t="str">
        <f t="shared" si="71"/>
        <v>"%USERPROFILE%\Documents\GitHub\eaglep3\Utilities\RefineRTDCRunTimes.py" --tripid 81-26 --locoid 4042 --swversion DE.1.0.9.0 --startMP 204:459 --initTime 2017-03-26T21:51:51 --startdatetime 2017-03-26T22:09:40 --delay 1 --endMP 204:128272 --enddatetime 2017-03-26T22:32:26 --enforcementcount 0 &gt;&gt;C:\Users\stu\Documents\GitHub\eaglep3-reporting\EC\2017-03-26-refined-times.txt</v>
      </c>
      <c r="AI218" s="108" t="str">
        <f t="shared" si="72"/>
        <v>echo {"issue":{"subject":"","project_id":79,"tracker_id":40,"status_id":1,"priority_id":2,"assigned_to_id":23,"start_date":"2017-03-26","description":"","custom_fields":[{"id":1,"name":"Subdivision","value":"Other"},{"id":4,"name":"Milepost","value":"12.8272"},{"id":17,"name":"Train ID","value":"81-26"},{"id":16,"name":"Locomotive ID","value":"4042"},{"id":130,"name":"Impact","value":""},{"id":150,"name":"Time of Event (Mountain Time)","value":"22:32:26"},{"id":151,"name":"Denver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3"/>
        <v>start /low /b %USERPROFILE%\Documents\GitHub\eaglep3\Utilities\DownloadLogsFromS3.py --loco 4042 --day 2017-03-26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"%USERPROFILE%\AppData\Local\Temp\OnboardLogs"\RTDC4042\*4042*20170327* | grep -SE "(Enforcement Action)|(\[TIMEOUT)|(CHR.+\|PRM\|1\|D.+(SWITCH|SIGNAL).+UNKNOWN)" - &gt;&gt; 2017-03-26-UncaughtWiMAX.txt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70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18">
    <cfRule type="cellIs" dxfId="10" priority="370" operator="equal">
      <formula>"Y"</formula>
    </cfRule>
  </conditionalFormatting>
  <conditionalFormatting sqref="X275:X1048576 X13:X218">
    <cfRule type="cellIs" dxfId="9" priority="353" operator="greaterThan">
      <formula>1</formula>
    </cfRule>
  </conditionalFormatting>
  <conditionalFormatting sqref="X275:X1048576 X12:X218">
    <cfRule type="cellIs" dxfId="8" priority="350" operator="equal">
      <formula>0</formula>
    </cfRule>
  </conditionalFormatting>
  <conditionalFormatting sqref="A13:S21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C15" sqref="C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2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35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- 2017-03-26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42820.504675925928</v>
      </c>
      <c r="B7" s="30" t="s">
        <v>555</v>
      </c>
      <c r="C7" s="30" t="s">
        <v>608</v>
      </c>
      <c r="D7" s="30" t="s">
        <v>98</v>
      </c>
      <c r="E7" s="30" t="s">
        <v>193</v>
      </c>
      <c r="F7" s="43">
        <v>0</v>
      </c>
      <c r="G7" s="43">
        <v>159</v>
      </c>
      <c r="H7" s="43">
        <v>27055</v>
      </c>
      <c r="I7" s="43">
        <v>27158</v>
      </c>
      <c r="J7" s="30" t="s">
        <v>194</v>
      </c>
      <c r="K7" s="43">
        <v>27053</v>
      </c>
      <c r="L7" s="143" t="s">
        <v>50</v>
      </c>
      <c r="M7" s="144">
        <f t="shared" ref="M7:M43" si="0">CONVERT((I7-K7)/10000,"mi","ft")*IF(L7="Increasing Mileposts (1)",-1,1)</f>
        <v>-55.44</v>
      </c>
      <c r="N7" s="145" t="str">
        <f>VLOOKUP(C7,'Trips&amp;Operators'!$C$1:$G$99999,5,FALSE)</f>
        <v>LOCKLEAR TRAVIS</v>
      </c>
      <c r="O7" s="194" t="s">
        <v>185</v>
      </c>
      <c r="P7" s="146" t="s">
        <v>470</v>
      </c>
      <c r="Q7" s="30"/>
      <c r="R7" s="89" t="str">
        <f>IF(VLOOKUP(C7,'Train Runs'!$A$13:$AE$9944,1,1)=C7,VLOOKUP(C7,'Train Runs'!$A$13:$AE$9944,31,1),NA())</f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-26T10:52:00-0600',mode:absolute,to:'2017-03-26T13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/stypes="*4002*201703261*" /stext=" 18:.+((SYSTEM_STATE.+slice.+state.+changed )|(ment ac)|(multiple cpu faults)|(system.+state.+changed )|(\[timeout)|(PRM\|1\|D)|(kpr)|(kdp)|(\|lc)|(penalty))"</v>
      </c>
      <c r="U7" s="9" t="str">
        <f t="shared" ref="U7:U43" si="2">MID(B7,13,4)</f>
        <v>4002</v>
      </c>
      <c r="V7" s="32">
        <f t="shared" ref="V7:V43" si="3">A7-utc_offset/24</f>
        <v>42820.754675925928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8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arrival","project_id":79,"tracker_id":40,"status_id":1,"priority_id":2,"assigned_to_id":23,"start_date":"2017-03-26","description":"","custom_fields":[{"id":1,"name":"Subdivision","value":"EC"},{"id":4,"name":"Milepost","value":"2.7053"},{"id":17,"name":"Train ID","value":"167-26"},{"id":16,"name":"Locomotive ID","value":"4002"},{"id":130,"name":"Impact","value":""},{"id":150,"name":"Time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6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"%USERPROFILE%\AppData\Local\Temp\OnboardLogs"\RTDC4002\*4002*201703261*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4002 --day 2017-03-26</v>
      </c>
    </row>
    <row r="8" spans="1:32" s="1" customFormat="1" x14ac:dyDescent="0.25">
      <c r="A8" s="32">
        <v>42820.577650462961</v>
      </c>
      <c r="B8" s="30" t="s">
        <v>555</v>
      </c>
      <c r="C8" s="30" t="s">
        <v>610</v>
      </c>
      <c r="D8" s="30" t="s">
        <v>49</v>
      </c>
      <c r="E8" s="30" t="s">
        <v>193</v>
      </c>
      <c r="F8" s="43">
        <v>0</v>
      </c>
      <c r="G8" s="43">
        <v>123</v>
      </c>
      <c r="H8" s="43">
        <v>27048</v>
      </c>
      <c r="I8" s="43">
        <v>27199</v>
      </c>
      <c r="J8" s="30" t="s">
        <v>194</v>
      </c>
      <c r="K8" s="43">
        <v>27053</v>
      </c>
      <c r="L8" s="143" t="s">
        <v>50</v>
      </c>
      <c r="M8" s="144">
        <f t="shared" si="0"/>
        <v>-77.087999999999994</v>
      </c>
      <c r="N8" s="145" t="str">
        <f>VLOOKUP(C8,'Trips&amp;Operators'!$C$1:$G$99999,5,FALSE)</f>
        <v>LOCKLEAR TRAVIS</v>
      </c>
      <c r="O8" s="194" t="s">
        <v>185</v>
      </c>
      <c r="P8" s="146" t="s">
        <v>470</v>
      </c>
      <c r="Q8" s="30"/>
      <c r="R8" s="89" t="e">
        <f>IF(VLOOKUP(C8,'Train Runs'!$A$13:$AE$9944,1,1)=C8,VLOOKUP(C8,'Train Runs'!$A$13:$AE$9944,31,1),NA())</f>
        <v>#N/A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 t="shared" si="1"/>
        <v>"C:\Program Files (x86)\AstroGrep\AstroGrep.exe" /e /r /s /spath="%USERPROFILE%\AppData\Local\Temp\OnboardLogs" /stypes="*4002*201703261*" /stext=" 19:.+((SYSTEM_STATE.+slice.+state.+changed )|(ment ac)|(multiple cpu faults)|(system.+state.+changed )|(\[timeout)|(PRM\|1\|D)|(kpr)|(kdp)|(\|lc)|(penalty))"</v>
      </c>
      <c r="U8" s="9" t="str">
        <f t="shared" si="2"/>
        <v>4002</v>
      </c>
      <c r="V8" s="32">
        <f t="shared" si="3"/>
        <v>42820.827650462961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arrival","project_id":79,"tracker_id":40,"status_id":1,"priority_id":2,"assigned_to_id":23,"start_date":"2017-03-26","description":"","custom_fields":[{"id":1,"name":"Subdivision","value":"EC"},{"id":4,"name":"Milepost","value":"2.7053"},{"id":17,"name":"Train ID","value":"181-26"},{"id":16,"name":"Locomotive ID","value":"4002"},{"id":130,"name":"Impact","value":""},{"id":150,"name":"Time of Event (Mountain Time)","value":"13:51:49"},{"id":151,"name":"Denver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"%USERPROFILE%\AppData\Local\Temp\OnboardLogs"\RTDC4002\*4002*201703261*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8" s="157" t="str">
        <f t="shared" ref="AE8:AE43" si="9">"start /low /b "&amp;dls3logs&amp;" --loco "&amp;U8&amp;" --day "&amp;TEXT(V8,"YYYY-MM-DD")</f>
        <v>start /low /b %USERPROFILE%\Documents\GitHub\eaglep3\Utilities\DownloadLogsFromS3.py --loco 4002 --day 2017-03-26</v>
      </c>
    </row>
    <row r="9" spans="1:32" s="1" customFormat="1" x14ac:dyDescent="0.25">
      <c r="A9" s="32">
        <v>42820.685266203705</v>
      </c>
      <c r="B9" s="30" t="s">
        <v>506</v>
      </c>
      <c r="C9" s="30" t="s">
        <v>618</v>
      </c>
      <c r="D9" s="30" t="s">
        <v>98</v>
      </c>
      <c r="E9" s="30" t="s">
        <v>193</v>
      </c>
      <c r="F9" s="43">
        <v>0</v>
      </c>
      <c r="G9" s="43">
        <v>130</v>
      </c>
      <c r="H9" s="43">
        <v>27333</v>
      </c>
      <c r="I9" s="43">
        <v>27227</v>
      </c>
      <c r="J9" s="30" t="s">
        <v>194</v>
      </c>
      <c r="K9" s="43">
        <v>27350</v>
      </c>
      <c r="L9" s="143" t="s">
        <v>51</v>
      </c>
      <c r="M9" s="144">
        <f t="shared" si="0"/>
        <v>-64.944000000000003</v>
      </c>
      <c r="N9" s="145" t="str">
        <f>VLOOKUP(C9,'Trips&amp;Operators'!$C$1:$G$99999,5,FALSE)</f>
        <v>LEVIN SCOTT</v>
      </c>
      <c r="O9" s="194" t="s">
        <v>185</v>
      </c>
      <c r="P9" s="146" t="s">
        <v>470</v>
      </c>
      <c r="Q9" s="30"/>
      <c r="R9" s="89" t="e">
        <f>IF(VLOOKUP(C9,'Train Runs'!$A$13:$AE$9944,1,1)=C9,VLOOKUP(C9,'Train Runs'!$A$13:$AE$9944,31,1),NA())</f>
        <v>#N/A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-26T14:49:17-0600',mode:absolute,to:'2017-03-26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9" s="94" t="str">
        <f t="shared" si="1"/>
        <v>"C:\Program Files (x86)\AstroGrep\AstroGrep.exe" /e /r /s /spath="%USERPROFILE%\AppData\Local\Temp\OnboardLogs" /stypes="*4045*201703262*" /stext=" 22:.+((SYSTEM_STATE.+slice.+state.+changed )|(ment ac)|(multiple cpu faults)|(system.+state.+changed )|(\[timeout)|(PRM\|1\|D)|(kpr)|(kdp)|(\|lc)|(penalty))"</v>
      </c>
      <c r="U9" s="9" t="str">
        <f t="shared" si="2"/>
        <v>4045</v>
      </c>
      <c r="V9" s="32">
        <f t="shared" si="3"/>
        <v>42820.935266203705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arrival","project_id":79,"tracker_id":40,"status_id":1,"priority_id":2,"assigned_to_id":23,"start_date":"2017-03-26","description":"","custom_fields":[{"id":1,"name":"Subdivision","value":"EC"},{"id":4,"name":"Milepost","value":"2.735"},{"id":17,"name":"Train ID","value":"192-26"},{"id":16,"name":"Locomotive ID","value":"4045"},{"id":130,"name":"Impact","value":""},{"id":150,"name":"Time of Event (Mountain Time)","value":"16:26:47"},{"id":151,"name":"Denver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"%USERPROFILE%\AppData\Local\Temp\OnboardLogs"\RTDC4045\*4045*201703262*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"%USERPROFILE%\AppData\Local\Temp\OnboardLogs"\RTDC4045\*4045*201703262* &gt;&gt; 2017-03-26-SliceDisagreementCheck.txt</v>
      </c>
      <c r="AE9" s="157" t="str">
        <f t="shared" si="9"/>
        <v>start /low /b %USERPROFILE%\Documents\GitHub\eaglep3\Utilities\DownloadLogsFromS3.py --loco 4045 --day 2017-03-26</v>
      </c>
    </row>
    <row r="10" spans="1:32" s="1" customFormat="1" x14ac:dyDescent="0.25">
      <c r="A10" s="32">
        <v>42820.426782407405</v>
      </c>
      <c r="B10" s="30" t="s">
        <v>448</v>
      </c>
      <c r="C10" s="30" t="s">
        <v>601</v>
      </c>
      <c r="D10" s="30" t="s">
        <v>98</v>
      </c>
      <c r="E10" s="30" t="s">
        <v>193</v>
      </c>
      <c r="F10" s="43">
        <v>140</v>
      </c>
      <c r="G10" s="43">
        <v>198</v>
      </c>
      <c r="H10" s="43">
        <v>27075</v>
      </c>
      <c r="I10" s="43">
        <v>26593</v>
      </c>
      <c r="J10" s="30" t="s">
        <v>194</v>
      </c>
      <c r="K10" s="43">
        <v>27350</v>
      </c>
      <c r="L10" s="143" t="s">
        <v>51</v>
      </c>
      <c r="M10" s="144">
        <f t="shared" si="0"/>
        <v>-399.69600000000003</v>
      </c>
      <c r="N10" s="145" t="str">
        <f>VLOOKUP(C10,'Trips&amp;Operators'!$C$1:$G$99999,5,FALSE)</f>
        <v>MAYBERRY BILL</v>
      </c>
      <c r="O10" s="194" t="s">
        <v>185</v>
      </c>
      <c r="P10" s="146" t="s">
        <v>470</v>
      </c>
      <c r="Q10" s="30"/>
      <c r="R10" s="89" t="str">
        <f>IF(VLOOKUP(C10,'Train Runs'!$A$13:$AE$9944,1,1)=C10,VLOOKUP(C10,'Train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94" t="str">
        <f t="shared" si="1"/>
        <v>"C:\Program Files (x86)\AstroGrep\AstroGrep.exe" /e /r /s /spath="%USERPROFILE%\AppData\Local\Temp\OnboardLogs" /stypes="*4004*201703261*" /stext=" 16:.+((SYSTEM_STATE.+slice.+state.+changed )|(ment ac)|(multiple cpu faults)|(system.+state.+changed )|(\[timeout)|(PRM\|1\|D)|(kpr)|(kdp)|(\|lc)|(penalty))"</v>
      </c>
      <c r="U10" s="9" t="str">
        <f t="shared" si="2"/>
        <v>4004</v>
      </c>
      <c r="V10" s="32">
        <f t="shared" si="3"/>
        <v>42820.676782407405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arrival","project_id":79,"tracker_id":40,"status_id":1,"priority_id":2,"assigned_to_id":23,"start_date":"2017-03-26","description":"","custom_fields":[{"id":1,"name":"Subdivision","value":"EC"},{"id":4,"name":"Milepost","value":"2.735"},{"id":17,"name":"Train ID","value":"142-26"},{"id":16,"name":"Locomotive ID","value":"4004"},{"id":130,"name":"Impact","value":""},{"id":150,"name":"Time of Event (Mountain Time)","value":"10:14:34"},{"id":151,"name":"Denver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"%USERPROFILE%\AppData\Local\Temp\OnboardLogs"\RTDC4004\*4004*201703261*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10" s="157" t="str">
        <f t="shared" si="9"/>
        <v>start /low /b %USERPROFILE%\Documents\GitHub\eaglep3\Utilities\DownloadLogsFromS3.py --loco 4004 --day 2017-03-26</v>
      </c>
    </row>
    <row r="11" spans="1:32" s="1" customFormat="1" x14ac:dyDescent="0.25">
      <c r="A11" s="32">
        <v>42820.423113425924</v>
      </c>
      <c r="B11" s="30" t="s">
        <v>461</v>
      </c>
      <c r="C11" s="30" t="s">
        <v>602</v>
      </c>
      <c r="D11" s="30" t="s">
        <v>98</v>
      </c>
      <c r="E11" s="30" t="s">
        <v>193</v>
      </c>
      <c r="F11" s="43">
        <v>140</v>
      </c>
      <c r="G11" s="43">
        <v>204</v>
      </c>
      <c r="H11" s="43">
        <v>33147</v>
      </c>
      <c r="I11" s="43">
        <v>33347</v>
      </c>
      <c r="J11" s="30" t="s">
        <v>194</v>
      </c>
      <c r="K11" s="43">
        <v>33137</v>
      </c>
      <c r="L11" s="143" t="s">
        <v>50</v>
      </c>
      <c r="M11" s="144">
        <f t="shared" si="0"/>
        <v>-110.88</v>
      </c>
      <c r="N11" s="145" t="str">
        <f>VLOOKUP(C11,'Trips&amp;Operators'!$C$1:$G$99999,5,FALSE)</f>
        <v>ROBINSON KADDIBA</v>
      </c>
      <c r="O11" s="194" t="s">
        <v>185</v>
      </c>
      <c r="P11" s="146" t="s">
        <v>470</v>
      </c>
      <c r="Q11" s="30"/>
      <c r="R11" s="89" t="str">
        <f>IF(VLOOKUP(C11,'Train Runs'!$A$13:$AE$9944,1,1)=C11,VLOOKUP(C11,'Train Runs'!$A$13:$AE$9944,31,1),NA())</f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94" t="str">
        <f t="shared" si="1"/>
        <v>"C:\Program Files (x86)\AstroGrep\AstroGrep.exe" /e /r /s /spath="%USERPROFILE%\AppData\Local\Temp\OnboardLogs" /stypes="*4018*201703261*" /stext=" 16:.+((SYSTEM_STATE.+slice.+state.+changed )|(ment ac)|(multiple cpu faults)|(system.+state.+changed )|(\[timeout)|(PRM\|1\|D)|(kpr)|(kdp)|(\|lc)|(penalty))"</v>
      </c>
      <c r="U11" s="9" t="str">
        <f t="shared" si="2"/>
        <v>4018</v>
      </c>
      <c r="V11" s="32">
        <f t="shared" si="3"/>
        <v>42820.673113425924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ID","value":"151-26"},{"id":16,"name":"Locomotive ID","value":"4018"},{"id":130,"name":"Impact","value":""},{"id":150,"name":"Time of Event (Mountain Time)","value":"10:09:17"},{"id":151,"name":"Denver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"%USERPROFILE%\AppData\Local\Temp\OnboardLogs"\RTDC4018\*4018*201703261*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"%USERPROFILE%\AppData\Local\Temp\OnboardLogs"\RTDC4018\*4018*201703261* &gt;&gt; 2017-03-26-SliceDisagreementCheck.txt</v>
      </c>
      <c r="AE11" s="157" t="str">
        <f t="shared" si="9"/>
        <v>start /low /b %USERPROFILE%\Documents\GitHub\eaglep3\Utilities\DownloadLogsFromS3.py --loco 4018 --day 2017-03-26</v>
      </c>
    </row>
    <row r="12" spans="1:32" s="1" customFormat="1" x14ac:dyDescent="0.25">
      <c r="A12" s="32">
        <v>42820.599432870367</v>
      </c>
      <c r="B12" s="30" t="s">
        <v>387</v>
      </c>
      <c r="C12" s="30" t="s">
        <v>612</v>
      </c>
      <c r="D12" s="30" t="s">
        <v>49</v>
      </c>
      <c r="E12" s="30" t="s">
        <v>193</v>
      </c>
      <c r="F12" s="43">
        <v>290</v>
      </c>
      <c r="G12" s="43">
        <v>343</v>
      </c>
      <c r="H12" s="43">
        <v>32140</v>
      </c>
      <c r="I12" s="43">
        <v>32921</v>
      </c>
      <c r="J12" s="30" t="s">
        <v>194</v>
      </c>
      <c r="K12" s="43">
        <v>33137</v>
      </c>
      <c r="L12" s="143" t="s">
        <v>50</v>
      </c>
      <c r="M12" s="144">
        <f t="shared" si="0"/>
        <v>114.048</v>
      </c>
      <c r="N12" s="145" t="str">
        <f>VLOOKUP(C12,'Trips&amp;Operators'!$C$1:$G$99999,5,FALSE)</f>
        <v>BRANDNER MELINDA</v>
      </c>
      <c r="O12" s="194" t="s">
        <v>185</v>
      </c>
      <c r="P12" s="146" t="s">
        <v>470</v>
      </c>
      <c r="Q12" s="30"/>
      <c r="R12" s="89" t="e">
        <f>IF(VLOOKUP(C12,'Train Runs'!$A$13:$AE$9944,1,1)=C12,VLOOKUP(C12,'Train Runs'!$A$13:$AE$9944,31,1),NA())</f>
        <v>#N/A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-26T13:10:14-0600',mode:absolute,to:'2017-03-26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94" t="str">
        <f t="shared" si="1"/>
        <v>"C:\Program Files (x86)\AstroGrep\AstroGrep.exe" /e /r /s /spath="%USERPROFILE%\AppData\Local\Temp\OnboardLogs" /stypes="*4027*201703262*" /stext=" 20:.+((SYSTEM_STATE.+slice.+state.+changed )|(ment ac)|(multiple cpu faults)|(system.+state.+changed )|(\[timeout)|(PRM\|1\|D)|(kpr)|(kdp)|(\|lc)|(penalty))"</v>
      </c>
      <c r="U12" s="9" t="str">
        <f t="shared" si="2"/>
        <v>4027</v>
      </c>
      <c r="V12" s="32">
        <f t="shared" si="3"/>
        <v>42820.849432870367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ID","value":"185-26"},{"id":16,"name":"Locomotive ID","value":"4027"},{"id":130,"name":"Impact","value":""},{"id":150,"name":"Time of Event (Mountain Time)","value":"14:23:11"},{"id":151,"name":"Denver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"%USERPROFILE%\AppData\Local\Temp\OnboardLogs"\RTDC4027\*4027*201703262*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"%USERPROFILE%\AppData\Local\Temp\OnboardLogs"\RTDC4027\*4027*201703262* &gt;&gt; 2017-03-26-SliceDisagreementCheck.txt</v>
      </c>
      <c r="AE12" s="157" t="str">
        <f t="shared" si="9"/>
        <v>start /low /b %USERPROFILE%\Documents\GitHub\eaglep3\Utilities\DownloadLogsFromS3.py --loco 4027 --day 2017-03-26</v>
      </c>
    </row>
    <row r="13" spans="1:32" s="1" customFormat="1" x14ac:dyDescent="0.25">
      <c r="A13" s="32">
        <v>42820.422569444447</v>
      </c>
      <c r="B13" s="30" t="s">
        <v>461</v>
      </c>
      <c r="C13" s="30" t="s">
        <v>602</v>
      </c>
      <c r="D13" s="30" t="s">
        <v>49</v>
      </c>
      <c r="E13" s="30" t="s">
        <v>193</v>
      </c>
      <c r="F13" s="43">
        <v>300</v>
      </c>
      <c r="G13" s="43">
        <v>355</v>
      </c>
      <c r="H13" s="43">
        <v>31966</v>
      </c>
      <c r="I13" s="43">
        <v>32739</v>
      </c>
      <c r="J13" s="30" t="s">
        <v>194</v>
      </c>
      <c r="K13" s="43">
        <v>33137</v>
      </c>
      <c r="L13" s="143" t="s">
        <v>50</v>
      </c>
      <c r="M13" s="144">
        <f t="shared" si="0"/>
        <v>210.14400000000001</v>
      </c>
      <c r="N13" s="145" t="str">
        <f>VLOOKUP(C13,'Trips&amp;Operators'!$C$1:$G$99999,5,FALSE)</f>
        <v>ROBINSON KADDIBA</v>
      </c>
      <c r="O13" s="194" t="s">
        <v>185</v>
      </c>
      <c r="P13" s="146" t="s">
        <v>470</v>
      </c>
      <c r="Q13" s="30"/>
      <c r="R13" s="89" t="str">
        <f>IF(VLOOKUP(C13,'Train Runs'!$A$13:$AE$9944,1,1)=C13,VLOOKUP(C13,'Train Runs'!$A$13:$AE$9944,31,1),NA())</f>
        <v>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 &amp; aws s3 cp s3://rtdc.mdm.uploadarchive.raw/RTDC4018/ "%USERPROFILE%\AppData\Local\Temp\OnboardLogs"\RTDC4018\2017-03-27 --exclude "*" --recursive --include "*20170327*" &amp; "%USERPROFILE%\Documents\GitHub\mrs-test-scripts\Headless Mode &amp; Sideloading\WalkAndUnGZ.bat" "%USERPROFILE%\AppData\Local\Temp\OnboardLogs"\RTDC4018\2017-03-27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-26T08:51:19-0600',mode:absolute,to:'2017-03-26T11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94" t="str">
        <f t="shared" si="1"/>
        <v>"C:\Program Files (x86)\AstroGrep\AstroGrep.exe" /e /r /s /spath="%USERPROFILE%\AppData\Local\Temp\OnboardLogs" /stypes="*4018*201703261*" /stext=" 16:.+((SYSTEM_STATE.+slice.+state.+changed )|(ment ac)|(multiple cpu faults)|(system.+state.+changed )|(\[timeout)|(PRM\|1\|D)|(kpr)|(kdp)|(\|lc)|(penalty))"</v>
      </c>
      <c r="U13" s="9" t="str">
        <f t="shared" si="2"/>
        <v>4018</v>
      </c>
      <c r="V13" s="32">
        <f t="shared" si="3"/>
        <v>42820.672569444447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arrival","project_id":79,"tracker_id":40,"status_id":1,"priority_id":2,"assigned_to_id":23,"start_date":"2017-03-26","description":"","custom_fields":[{"id":1,"name":"Subdivision","value":"EC"},{"id":4,"name":"Milepost","value":"3.3137"},{"id":17,"name":"Train ID","value":"151-26"},{"id":16,"name":"Locomotive ID","value":"4018"},{"id":130,"name":"Impact","value":""},{"id":150,"name":"Time of Event (Mountain Time)","value":"10:08:30"},{"id":151,"name":"Denver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"%USERPROFILE%\AppData\Local\Temp\OnboardLogs"\RTDC4018\*4018*201703261*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"%USERPROFILE%\AppData\Local\Temp\OnboardLogs"\RTDC4018\*4018*201703261* &gt;&gt; 2017-03-26-SliceDisagreementCheck.txt</v>
      </c>
      <c r="AE13" s="157" t="str">
        <f t="shared" si="9"/>
        <v>start /low /b %USERPROFILE%\Documents\GitHub\eaglep3\Utilities\DownloadLogsFromS3.py --loco 4018 --day 2017-03-26</v>
      </c>
    </row>
    <row r="14" spans="1:32" x14ac:dyDescent="0.25">
      <c r="A14" s="32">
        <v>42820.349849537037</v>
      </c>
      <c r="B14" s="30" t="s">
        <v>448</v>
      </c>
      <c r="C14" s="30" t="s">
        <v>598</v>
      </c>
      <c r="D14" s="30" t="s">
        <v>49</v>
      </c>
      <c r="E14" s="30" t="s">
        <v>193</v>
      </c>
      <c r="F14" s="43">
        <v>550</v>
      </c>
      <c r="G14" s="43">
        <v>648</v>
      </c>
      <c r="H14" s="43">
        <v>45520</v>
      </c>
      <c r="I14" s="43">
        <v>42568</v>
      </c>
      <c r="J14" s="30" t="s">
        <v>194</v>
      </c>
      <c r="K14" s="43">
        <v>42961</v>
      </c>
      <c r="L14" s="143" t="s">
        <v>51</v>
      </c>
      <c r="M14" s="144">
        <f t="shared" si="0"/>
        <v>-207.50399999999999</v>
      </c>
      <c r="N14" s="145" t="str">
        <f>VLOOKUP(C14,'Trips&amp;Operators'!$C$1:$G$99999,5,FALSE)</f>
        <v>MAYBERRY BILL</v>
      </c>
      <c r="O14" s="194" t="s">
        <v>185</v>
      </c>
      <c r="P14" s="146" t="s">
        <v>470</v>
      </c>
      <c r="Q14" s="30"/>
      <c r="R14" s="89" t="str">
        <f>IF(VLOOKUP(C14,'Train Runs'!$A$13:$AE$9944,1,1)=C14,VLOOKUP(C14,'Train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14" s="9" t="str">
        <f t="shared" si="2"/>
        <v>4004</v>
      </c>
      <c r="V14" s="32">
        <f t="shared" si="3"/>
        <v>42820.599849537037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arrival","project_id":79,"tracker_id":40,"status_id":1,"priority_id":2,"assigned_to_id":23,"start_date":"2017-03-26","description":"","custom_fields":[{"id":1,"name":"Subdivision","value":"EC"},{"id":4,"name":"Milepost","value":"4.2961"},{"id":17,"name":"Train ID","value":"128-26"},{"id":16,"name":"Locomotive ID","value":"4004"},{"id":130,"name":"Impact","value":""},{"id":150,"name":"Time of Event (Mountain Time)","value":"08:23:47"},{"id":151,"name":"Denver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"%USERPROFILE%\AppData\Local\Temp\OnboardLogs"\RTDC4004\*4004*201703261*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14" s="157" t="str">
        <f t="shared" si="9"/>
        <v>start /low /b %USERPROFILE%\Documents\GitHub\eaglep3\Utilities\DownloadLogsFromS3.py --loco 4004 --day 2017-03-26</v>
      </c>
      <c r="AF14" s="1"/>
    </row>
    <row r="15" spans="1:32" x14ac:dyDescent="0.25">
      <c r="A15" s="32">
        <v>42820.432534722226</v>
      </c>
      <c r="B15" s="30" t="s">
        <v>386</v>
      </c>
      <c r="C15" s="30" t="s">
        <v>603</v>
      </c>
      <c r="D15" s="30" t="s">
        <v>98</v>
      </c>
      <c r="E15" s="30" t="s">
        <v>193</v>
      </c>
      <c r="F15" s="43">
        <v>360</v>
      </c>
      <c r="G15" s="43">
        <v>414</v>
      </c>
      <c r="H15" s="43">
        <v>58152</v>
      </c>
      <c r="I15" s="43">
        <v>56616</v>
      </c>
      <c r="J15" s="30" t="s">
        <v>194</v>
      </c>
      <c r="K15" s="43">
        <v>58301</v>
      </c>
      <c r="L15" s="143" t="s">
        <v>51</v>
      </c>
      <c r="M15" s="144">
        <f t="shared" si="0"/>
        <v>-889.68</v>
      </c>
      <c r="N15" s="145" t="str">
        <f>VLOOKUP(C15,'Trips&amp;Operators'!$C$1:$G$99999,5,FALSE)</f>
        <v>SHOOK JOHN</v>
      </c>
      <c r="O15" s="194" t="s">
        <v>185</v>
      </c>
      <c r="P15" s="146" t="s">
        <v>470</v>
      </c>
      <c r="Q15" s="30"/>
      <c r="R15" s="89" t="str">
        <f>IF(VLOOKUP(C15,'Train Runs'!$A$13:$AE$9944,1,1)=C15,VLOOKUP(C15,'Train Runs'!$A$13:$AE$9944,31,1),NA())</f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/e /r /s /spath="%USERPROFILE%\AppData\Local\Temp\OnboardLogs" /stypes="*4028*201703261*" /stext=" 16:.+((SYSTEM_STATE.+slice.+state.+changed )|(ment ac)|(multiple cpu faults)|(system.+state.+changed )|(\[timeout)|(PRM\|1\|D)|(kpr)|(kdp)|(\|lc)|(penalty))"</v>
      </c>
      <c r="U15" s="9" t="str">
        <f t="shared" si="2"/>
        <v>4028</v>
      </c>
      <c r="V15" s="32">
        <f t="shared" si="3"/>
        <v>42820.682534722226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arrival","project_id":79,"tracker_id":40,"status_id":1,"priority_id":2,"assigned_to_id":23,"start_date":"2017-03-26","description":"","custom_fields":[{"id":1,"name":"Subdivision","value":"EC"},{"id":4,"name":"Milepost","value":"5.8301"},{"id":17,"name":"Train ID","value":"144-26"},{"id":16,"name":"Locomotive ID","value":"4028"},{"id":130,"name":"Impact","value":""},{"id":150,"name":"Time of Event (Mountain Time)","value":"10:22:51"},{"id":151,"name":"Denver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"%USERPROFILE%\AppData\Local\Temp\OnboardLogs"\RTDC4028\*4028*201703261*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"%USERPROFILE%\AppData\Local\Temp\OnboardLogs"\RTDC4028\*4028*201703261* &gt;&gt; 2017-03-26-SliceDisagreementCheck.txt</v>
      </c>
      <c r="AE15" s="157" t="str">
        <f t="shared" si="9"/>
        <v>start /low /b %USERPROFILE%\Documents\GitHub\eaglep3\Utilities\DownloadLogsFromS3.py --loco 4028 --day 2017-03-26</v>
      </c>
      <c r="AF15" s="1"/>
    </row>
    <row r="16" spans="1:32" x14ac:dyDescent="0.25">
      <c r="A16" s="32">
        <v>42820.796006944445</v>
      </c>
      <c r="B16" s="30" t="s">
        <v>386</v>
      </c>
      <c r="C16" s="30" t="s">
        <v>621</v>
      </c>
      <c r="D16" s="30" t="s">
        <v>98</v>
      </c>
      <c r="E16" s="30" t="s">
        <v>193</v>
      </c>
      <c r="F16" s="43">
        <v>450</v>
      </c>
      <c r="G16" s="43">
        <v>503</v>
      </c>
      <c r="H16" s="43">
        <v>58118</v>
      </c>
      <c r="I16" s="43">
        <v>56005</v>
      </c>
      <c r="J16" s="30" t="s">
        <v>194</v>
      </c>
      <c r="K16" s="43">
        <v>58301</v>
      </c>
      <c r="L16" s="143" t="s">
        <v>51</v>
      </c>
      <c r="M16" s="144">
        <f t="shared" si="0"/>
        <v>-1212.288</v>
      </c>
      <c r="N16" s="145" t="str">
        <f>VLOOKUP(C16,'Trips&amp;Operators'!$C$1:$G$99999,5,FALSE)</f>
        <v>NEWELL JAMES</v>
      </c>
      <c r="O16" s="194" t="s">
        <v>185</v>
      </c>
      <c r="P16" s="146" t="s">
        <v>470</v>
      </c>
      <c r="Q16" s="30"/>
      <c r="R16" s="89" t="e">
        <f>IF(VLOOKUP(C16,'Train Runs'!$A$13:$AE$9944,1,1)=C16,VLOOKUP(C16,'Train Runs'!$A$13:$AE$9944,31,1),NA())</f>
        <v>#N/A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/e /r /s /spath="%USERPROFILE%\AppData\Local\Temp\OnboardLogs" /stypes="*4028*201703270*" /stext=" 01:.+((SYSTEM_STATE.+slice.+state.+changed )|(ment ac)|(multiple cpu faults)|(system.+state.+changed )|(\[timeout)|(PRM\|1\|D)|(kpr)|(kdp)|(\|lc)|(penalty))"</v>
      </c>
      <c r="U16" s="9" t="str">
        <f t="shared" si="2"/>
        <v>4028</v>
      </c>
      <c r="V16" s="32">
        <f t="shared" si="3"/>
        <v>42821.046006944445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arrival","project_id":79,"tracker_id":40,"status_id":1,"priority_id":2,"assigned_to_id":23,"start_date":"2017-03-26","description":"","custom_fields":[{"id":1,"name":"Subdivision","value":"EC"},{"id":4,"name":"Milepost","value":"5.8301"},{"id":17,"name":"Train ID","value":"214-26"},{"id":16,"name":"Locomotive ID","value":"4028"},{"id":130,"name":"Impact","value":""},{"id":150,"name":"Time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"%USERPROFILE%\AppData\Local\Temp\OnboardLogs"\RTDC4028\*4028*201703270*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"%USERPROFILE%\AppData\Local\Temp\OnboardLogs"\RTDC4028\*4028*201703270* &gt;&gt; 2017-03-26-SliceDisagreementCheck.txt</v>
      </c>
      <c r="AE16" s="157" t="str">
        <f t="shared" si="9"/>
        <v>start /low /b %USERPROFILE%\Documents\GitHub\eaglep3\Utilities\DownloadLogsFromS3.py --loco 4028 --day 2017-03-27</v>
      </c>
      <c r="AF16" s="1"/>
    </row>
    <row r="17" spans="1:32" x14ac:dyDescent="0.25">
      <c r="A17" s="32">
        <v>42820.706805555557</v>
      </c>
      <c r="B17" s="30" t="s">
        <v>392</v>
      </c>
      <c r="C17" s="30" t="s">
        <v>619</v>
      </c>
      <c r="D17" s="30" t="s">
        <v>49</v>
      </c>
      <c r="E17" s="30" t="s">
        <v>193</v>
      </c>
      <c r="F17" s="43">
        <v>320</v>
      </c>
      <c r="G17" s="43">
        <v>485</v>
      </c>
      <c r="H17" s="43">
        <v>61844</v>
      </c>
      <c r="I17" s="43">
        <v>63158</v>
      </c>
      <c r="J17" s="30" t="s">
        <v>194</v>
      </c>
      <c r="K17" s="43">
        <v>63069</v>
      </c>
      <c r="L17" s="143" t="s">
        <v>50</v>
      </c>
      <c r="M17" s="144">
        <f t="shared" si="0"/>
        <v>-46.991999999999997</v>
      </c>
      <c r="N17" s="145" t="str">
        <f>VLOOKUP(C17,'Trips&amp;Operators'!$C$1:$G$99999,5,FALSE)</f>
        <v>LEVIN SCOTT</v>
      </c>
      <c r="O17" s="194" t="s">
        <v>185</v>
      </c>
      <c r="P17" s="146" t="s">
        <v>470</v>
      </c>
      <c r="Q17" s="30"/>
      <c r="R17" s="89" t="e">
        <f>IF(VLOOKUP(C17,'Train Runs'!$A$13:$AE$9944,1,1)=C17,VLOOKUP(C17,'Train Runs'!$A$13:$AE$9944,31,1),NA())</f>
        <v>#N/A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-26T15:42:01-0600',mode:absolute,to:'2017-03-26T18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7" s="94" t="str">
        <f t="shared" si="1"/>
        <v>"C:\Program Files (x86)\AstroGrep\AstroGrep.exe" /e /r /s /spath="%USERPROFILE%\AppData\Local\Temp\OnboardLogs" /stypes="*4046*201703262*" /stext=" 22:.+((SYSTEM_STATE.+slice.+state.+changed )|(ment ac)|(multiple cpu faults)|(system.+state.+changed )|(\[timeout)|(PRM\|1\|D)|(kpr)|(kdp)|(\|lc)|(penalty))"</v>
      </c>
      <c r="U17" s="9" t="str">
        <f t="shared" si="2"/>
        <v>4046</v>
      </c>
      <c r="V17" s="32">
        <f t="shared" si="3"/>
        <v>42820.956805555557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arrival","project_id":79,"tracker_id":40,"status_id":1,"priority_id":2,"assigned_to_id":23,"start_date":"2017-03-26","description":"","custom_fields":[{"id":1,"name":"Subdivision","value":"EC"},{"id":4,"name":"Milepost","value":"6.3069"},{"id":17,"name":"Train ID","value":"205-26"},{"id":16,"name":"Locomotive ID","value":"4046"},{"id":130,"name":"Impact","value":""},{"id":150,"name":"Time of Event (Mountain Time)","value":"16:57:48"},{"id":151,"name":"Denver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"%USERPROFILE%\AppData\Local\Temp\OnboardLogs"\RTDC4046\*4046*201703262*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"%USERPROFILE%\AppData\Local\Temp\OnboardLogs"\RTDC4046\*4046*201703262* &gt;&gt; 2017-03-26-SliceDisagreementCheck.txt</v>
      </c>
      <c r="AE17" s="157" t="str">
        <f t="shared" si="9"/>
        <v>start /low /b %USERPROFILE%\Documents\GitHub\eaglep3\Utilities\DownloadLogsFromS3.py --loco 4046 --day 2017-03-26</v>
      </c>
      <c r="AF17" s="1"/>
    </row>
    <row r="18" spans="1:32" ht="15" customHeight="1" x14ac:dyDescent="0.25">
      <c r="A18" s="32">
        <v>42820.586944444447</v>
      </c>
      <c r="B18" s="30" t="s">
        <v>449</v>
      </c>
      <c r="C18" s="30" t="s">
        <v>611</v>
      </c>
      <c r="D18" s="30" t="s">
        <v>98</v>
      </c>
      <c r="E18" s="30" t="s">
        <v>193</v>
      </c>
      <c r="F18" s="43">
        <v>120</v>
      </c>
      <c r="G18" s="43">
        <v>179</v>
      </c>
      <c r="H18" s="43">
        <v>63089</v>
      </c>
      <c r="I18" s="43">
        <v>62749</v>
      </c>
      <c r="J18" s="30" t="s">
        <v>194</v>
      </c>
      <c r="K18" s="43">
        <v>63309</v>
      </c>
      <c r="L18" s="143" t="s">
        <v>51</v>
      </c>
      <c r="M18" s="144">
        <f t="shared" si="0"/>
        <v>-295.68</v>
      </c>
      <c r="N18" s="145" t="str">
        <f>VLOOKUP(C18,'Trips&amp;Operators'!$C$1:$G$99999,5,FALSE)</f>
        <v>STEWART MICHAEL</v>
      </c>
      <c r="O18" s="194" t="s">
        <v>185</v>
      </c>
      <c r="P18" s="146" t="s">
        <v>470</v>
      </c>
      <c r="Q18" s="30"/>
      <c r="R18" s="89" t="str">
        <f>IF(VLOOKUP(C18,'Train Runs'!$A$13:$AE$9944,1,1)=C18,VLOOKUP(C18,'Train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94" t="str">
        <f t="shared" si="1"/>
        <v>"C:\Program Files (x86)\AstroGrep\AstroGrep.exe" /e /r /s /spath="%USERPROFILE%\AppData\Local\Temp\OnboardLogs" /stypes="*4026*201703262*" /stext=" 20:.+((SYSTEM_STATE.+slice.+state.+changed )|(ment ac)|(multiple cpu faults)|(system.+state.+changed )|(\[timeout)|(PRM\|1\|D)|(kpr)|(kdp)|(\|lc)|(penalty))"</v>
      </c>
      <c r="U18" s="9" t="str">
        <f t="shared" si="2"/>
        <v>4026</v>
      </c>
      <c r="V18" s="32">
        <f t="shared" si="3"/>
        <v>42820.836944444447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arrival","project_id":79,"tracker_id":40,"status_id":1,"priority_id":2,"assigned_to_id":23,"start_date":"2017-03-26","description":"","custom_fields":[{"id":1,"name":"Subdivision","value":"EC"},{"id":4,"name":"Milepost","value":"6.3309"},{"id":17,"name":"Train ID","value":"174-26"},{"id":16,"name":"Locomotive ID","value":"4026"},{"id":130,"name":"Impact","value":""},{"id":150,"name":"Time of Event (Mountain Time)","value":"14:05:12"},{"id":151,"name":"Denver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"%USERPROFILE%\AppData\Local\Temp\OnboardLogs"\RTDC4026\*4026*201703262*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"%USERPROFILE%\AppData\Local\Temp\OnboardLogs"\RTDC4026\*4026*201703262* &gt;&gt; 2017-03-26-SliceDisagreementCheck.txt</v>
      </c>
      <c r="AE18" s="157" t="str">
        <f t="shared" si="9"/>
        <v>start /low /b %USERPROFILE%\Documents\GitHub\eaglep3\Utilities\DownloadLogsFromS3.py --loco 4026 --day 2017-03-26</v>
      </c>
      <c r="AF18" s="1"/>
    </row>
    <row r="19" spans="1:32" x14ac:dyDescent="0.25">
      <c r="A19" s="32">
        <v>42820.671238425923</v>
      </c>
      <c r="B19" s="30" t="s">
        <v>389</v>
      </c>
      <c r="C19" s="30" t="s">
        <v>617</v>
      </c>
      <c r="D19" s="30" t="s">
        <v>98</v>
      </c>
      <c r="E19" s="30" t="s">
        <v>193</v>
      </c>
      <c r="F19" s="43">
        <v>140</v>
      </c>
      <c r="G19" s="43">
        <v>193</v>
      </c>
      <c r="H19" s="43">
        <v>63077</v>
      </c>
      <c r="I19" s="43">
        <v>62621</v>
      </c>
      <c r="J19" s="30" t="s">
        <v>194</v>
      </c>
      <c r="K19" s="43">
        <v>63309</v>
      </c>
      <c r="L19" s="143" t="s">
        <v>51</v>
      </c>
      <c r="M19" s="144">
        <f t="shared" si="0"/>
        <v>-363.26400000000001</v>
      </c>
      <c r="N19" s="145" t="str">
        <f>VLOOKUP(C19,'Trips&amp;Operators'!$C$1:$G$99999,5,FALSE)</f>
        <v>DAVIS MICHAEL</v>
      </c>
      <c r="O19" s="194" t="s">
        <v>185</v>
      </c>
      <c r="P19" s="146" t="s">
        <v>470</v>
      </c>
      <c r="Q19" s="30"/>
      <c r="R19" s="89" t="e">
        <f>IF(VLOOKUP(C19,'Train Runs'!$A$13:$AE$9944,1,1)=C19,VLOOKUP(C19,'Train Runs'!$A$13:$AE$9944,31,1),NA())</f>
        <v>#N/A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-26T14:37:11-0600',mode:absolute,to:'2017-03-26T17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94" t="str">
        <f t="shared" si="1"/>
        <v>"C:\Program Files (x86)\AstroGrep\AstroGrep.exe" /e /r /s /spath="%USERPROFILE%\AppData\Local\Temp\OnboardLogs" /stypes="*4032*201703262*" /stext=" 22:.+((SYSTEM_STATE.+slice.+state.+changed )|(ment ac)|(multiple cpu faults)|(system.+state.+changed )|(\[timeout)|(PRM\|1\|D)|(kpr)|(kdp)|(\|lc)|(penalty))"</v>
      </c>
      <c r="U19" s="9" t="str">
        <f t="shared" si="2"/>
        <v>4032</v>
      </c>
      <c r="V19" s="32">
        <f t="shared" si="3"/>
        <v>42820.921238425923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arrival","project_id":79,"tracker_id":40,"status_id":1,"priority_id":2,"assigned_to_id":23,"start_date":"2017-03-26","description":"","custom_fields":[{"id":1,"name":"Subdivision","value":"EC"},{"id":4,"name":"Milepost","value":"6.3309"},{"id":17,"name":"Train ID","value":"190-26"},{"id":16,"name":"Locomotive ID","value":"4032"},{"id":130,"name":"Impact","value":""},{"id":150,"name":"Time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"%USERPROFILE%\AppData\Local\Temp\OnboardLogs"\RTDC4032\*4032*201703262*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"%USERPROFILE%\AppData\Local\Temp\OnboardLogs"\RTDC4032\*4032*201703262* &gt;&gt; 2017-03-26-SliceDisagreementCheck.txt</v>
      </c>
      <c r="AE19" s="157" t="str">
        <f t="shared" si="9"/>
        <v>start /low /b %USERPROFILE%\Documents\GitHub\eaglep3\Utilities\DownloadLogsFromS3.py --loco 4032 --day 2017-03-26</v>
      </c>
      <c r="AF19" s="1"/>
    </row>
    <row r="20" spans="1:32" x14ac:dyDescent="0.25">
      <c r="A20" s="32">
        <v>42820.7187037037</v>
      </c>
      <c r="B20" s="30" t="s">
        <v>386</v>
      </c>
      <c r="C20" s="30" t="s">
        <v>620</v>
      </c>
      <c r="D20" s="30" t="s">
        <v>49</v>
      </c>
      <c r="E20" s="30" t="s">
        <v>193</v>
      </c>
      <c r="F20" s="43">
        <v>0</v>
      </c>
      <c r="G20" s="43">
        <v>447</v>
      </c>
      <c r="H20" s="43">
        <v>109599</v>
      </c>
      <c r="I20" s="43">
        <v>108599</v>
      </c>
      <c r="J20" s="30" t="s">
        <v>194</v>
      </c>
      <c r="K20" s="43">
        <v>109135</v>
      </c>
      <c r="L20" s="143" t="s">
        <v>51</v>
      </c>
      <c r="M20" s="144">
        <f t="shared" si="0"/>
        <v>-283.00799999999998</v>
      </c>
      <c r="N20" s="145" t="str">
        <f>VLOOKUP(C20,'Trips&amp;Operators'!$C$1:$G$99999,5,FALSE)</f>
        <v>BRANDNER MELINDA</v>
      </c>
      <c r="O20" s="194" t="s">
        <v>185</v>
      </c>
      <c r="P20" s="146" t="s">
        <v>470</v>
      </c>
      <c r="Q20" s="30"/>
      <c r="R20" s="89" t="e">
        <f>IF(VLOOKUP(C20,'Train Runs'!$A$13:$AE$9944,1,1)=C20,VLOOKUP(C20,'Train Runs'!$A$13:$AE$9944,31,1),NA())</f>
        <v>#N/A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-26T15:50:12-0600',mode:absolute,to:'2017-03-26T18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94" t="str">
        <f t="shared" si="1"/>
        <v>"C:\Program Files (x86)\AstroGrep\AstroGrep.exe" /e /r /s /spath="%USERPROFILE%\AppData\Local\Temp\OnboardLogs" /stypes="*4028*201703262*" /stext=" 23:.+((SYSTEM_STATE.+slice.+state.+changed )|(ment ac)|(multiple cpu faults)|(system.+state.+changed )|(\[timeout)|(PRM\|1\|D)|(kpr)|(kdp)|(\|lc)|(penalty))"</v>
      </c>
      <c r="U20" s="9" t="str">
        <f t="shared" si="2"/>
        <v>4028</v>
      </c>
      <c r="V20" s="32">
        <f t="shared" si="3"/>
        <v>42820.9687037037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arrival","project_id":79,"tracker_id":40,"status_id":1,"priority_id":2,"assigned_to_id":23,"start_date":"2017-03-26","description":"","custom_fields":[{"id":1,"name":"Subdivision","value":"EC"},{"id":4,"name":"Milepost","value":"10.9135"},{"id":17,"name":"Train ID","value":"200-26"},{"id":16,"name":"Locomotive ID","value":"4028"},{"id":130,"name":"Impact","value":""},{"id":150,"name":"Time of Event (Mountain Time)","value":"17:14:56"},{"id":151,"name":"Denver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"%USERPROFILE%\AppData\Local\Temp\OnboardLogs"\RTDC4028\*4028*201703262*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"%USERPROFILE%\AppData\Local\Temp\OnboardLogs"\RTDC4028\*4028*201703262* &gt;&gt; 2017-03-26-SliceDisagreementCheck.txt</v>
      </c>
      <c r="AE20" s="157" t="str">
        <f t="shared" si="9"/>
        <v>start /low /b %USERPROFILE%\Documents\GitHub\eaglep3\Utilities\DownloadLogsFromS3.py --loco 4028 --day 2017-03-26</v>
      </c>
      <c r="AF20" s="1"/>
    </row>
    <row r="21" spans="1:32" x14ac:dyDescent="0.25">
      <c r="A21" s="32">
        <v>42820.342719907407</v>
      </c>
      <c r="B21" s="30" t="s">
        <v>448</v>
      </c>
      <c r="C21" s="30" t="s">
        <v>598</v>
      </c>
      <c r="D21" s="30" t="s">
        <v>49</v>
      </c>
      <c r="E21" s="30" t="s">
        <v>193</v>
      </c>
      <c r="F21" s="43">
        <v>400</v>
      </c>
      <c r="G21" s="43">
        <v>460</v>
      </c>
      <c r="H21" s="43">
        <v>110307</v>
      </c>
      <c r="I21" s="43">
        <v>108770</v>
      </c>
      <c r="J21" s="30" t="s">
        <v>194</v>
      </c>
      <c r="K21" s="43">
        <v>109135</v>
      </c>
      <c r="L21" s="143" t="s">
        <v>51</v>
      </c>
      <c r="M21" s="144">
        <f t="shared" si="0"/>
        <v>-192.72</v>
      </c>
      <c r="N21" s="145" t="str">
        <f>VLOOKUP(C21,'Trips&amp;Operators'!$C$1:$G$99999,5,FALSE)</f>
        <v>MAYBERRY BILL</v>
      </c>
      <c r="O21" s="194" t="s">
        <v>185</v>
      </c>
      <c r="P21" s="146" t="s">
        <v>470</v>
      </c>
      <c r="Q21" s="30"/>
      <c r="R21" s="89" t="str">
        <f>IF(VLOOKUP(C21,'Train Runs'!$A$13:$AE$9944,1,1)=C21,VLOOKUP(C21,'Train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21" s="9" t="str">
        <f t="shared" si="2"/>
        <v>4004</v>
      </c>
      <c r="V21" s="32">
        <f t="shared" si="3"/>
        <v>42820.592719907407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arrival","project_id":79,"tracker_id":40,"status_id":1,"priority_id":2,"assigned_to_id":23,"start_date":"2017-03-26","description":"","custom_fields":[{"id":1,"name":"Subdivision","value":"EC"},{"id":4,"name":"Milepost","value":"10.9135"},{"id":17,"name":"Train ID","value":"128-26"},{"id":16,"name":"Locomotive ID","value":"4004"},{"id":130,"name":"Impact","value":""},{"id":150,"name":"Time of Event (Mountain Time)","value":"08:13:31"},{"id":151,"name":"Denver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"%USERPROFILE%\AppData\Local\Temp\OnboardLogs"\RTDC4004\*4004*201703261*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1" s="157" t="str">
        <f t="shared" si="9"/>
        <v>start /low /b %USERPROFILE%\Documents\GitHub\eaglep3\Utilities\DownloadLogsFromS3.py --loco 4004 --day 2017-03-26</v>
      </c>
      <c r="AF21" s="1"/>
    </row>
    <row r="22" spans="1:32" x14ac:dyDescent="0.25">
      <c r="A22" s="32">
        <v>42820.36859953704</v>
      </c>
      <c r="B22" s="30" t="s">
        <v>450</v>
      </c>
      <c r="C22" s="30" t="s">
        <v>600</v>
      </c>
      <c r="D22" s="30" t="s">
        <v>98</v>
      </c>
      <c r="E22" s="30" t="s">
        <v>217</v>
      </c>
      <c r="F22" s="43">
        <v>300</v>
      </c>
      <c r="G22" s="43">
        <v>352</v>
      </c>
      <c r="H22" s="43">
        <v>20867</v>
      </c>
      <c r="I22" s="43">
        <v>21676</v>
      </c>
      <c r="J22" s="30" t="s">
        <v>218</v>
      </c>
      <c r="K22" s="43">
        <v>20338</v>
      </c>
      <c r="L22" s="143" t="s">
        <v>50</v>
      </c>
      <c r="M22" s="144">
        <f t="shared" si="0"/>
        <v>-706.46400000000006</v>
      </c>
      <c r="N22" s="145" t="str">
        <f>VLOOKUP(C22,'Trips&amp;Operators'!$C$1:$G$99999,5,FALSE)</f>
        <v>MAYBERRY BILL</v>
      </c>
      <c r="O22" s="194" t="s">
        <v>185</v>
      </c>
      <c r="P22" s="146"/>
      <c r="Q22" s="30"/>
      <c r="R22" s="89" t="str">
        <f>IF(VLOOKUP(C22,'Train Runs'!$A$13:$AE$9944,1,1)=C22,VLOOKUP(C22,'Train Runs'!$A$13:$AE$9944,31,1),NA())</f>
        <v>aws s3 cp s3://rtdc.mdm.uploadarchive.raw/RTDC4003/ "%USERPROFILE%\AppData\Local\Temp\OnboardLogs"\RTDC4003\2017-03-26 --exclude "*" --recursive --include "*20170326*" &amp; "%USERPROFILE%\Documents\GitHub\mrs-test-scripts\Headless Mode &amp; Sideloading\WalkAndUnGZ.bat" "%USERPROFILE%\AppData\Local\Temp\OnboardLogs"\RTDC4003\2017-03-26 &amp; aws s3 cp s3://rtdc.mdm.uploadarchive.raw/RTDC4003/ "%USERPROFILE%\AppData\Local\Temp\OnboardLogs"\RTDC4003\2017-03-27 --exclude "*" --recursive --include "*20170327*" &amp; "%USERPROFILE%\Documents\GitHub\mrs-test-scripts\Headless Mode &amp; Sideloading\WalkAndUnGZ.bat" "%USERPROFILE%\AppData\Local\Temp\OnboardLogs"\RTDC4003\2017-03-27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-26T07:41:31-0600',mode:absolute,to:'2017-03-26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94" t="str">
        <f t="shared" si="1"/>
        <v>"C:\Program Files (x86)\AstroGrep\AstroGrep.exe" /e /r /s /spath="%USERPROFILE%\AppData\Local\Temp\OnboardLogs" /stypes="*4003*201703261*" /stext=" 14:.+((SYSTEM_STATE.+slice.+state.+changed )|(ment ac)|(multiple cpu faults)|(system.+state.+changed )|(\[timeout)|(PRM\|1\|D)|(kpr)|(kdp)|(\|lc)|(penalty))"</v>
      </c>
      <c r="U22" s="9" t="str">
        <f t="shared" si="2"/>
        <v>4003</v>
      </c>
      <c r="V22" s="32">
        <f t="shared" si="3"/>
        <v>42820.61859953704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{"issue":{"subject":"","project_id":79,"tracker_id":40,"status_id":1,"priority_id":2,"assigned_to_id":23,"start_date":"2017-03-26","description":"","custom_fields":[{"id":1,"name":"Subdivision","value":"EC"},{"id":4,"name":"Milepost","value":"2.0338"},{"id":17,"name":"Train ID","value":"141-26"},{"id":16,"name":"Locomotive ID","value":"4003"},{"id":130,"name":"Impact","value":""},{"id":150,"name":"Time of Event (Mountain Time)","value":"08:50:47"},{"id":151,"name":"Denver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7"/>
        <v>grep -hSE -A400 "Enforcement Action" "%USERPROFILE%\AppData\Local\Temp\OnboardLogs"\RTDC4003\*4003*201703261*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"%USERPROFILE%\AppData\Local\Temp\OnboardLogs"\RTDC4003\*4003*201703261* &gt;&gt; 2017-03-26-SliceDisagreementCheck.txt</v>
      </c>
      <c r="AE22" s="157" t="str">
        <f t="shared" si="9"/>
        <v>start /low /b %USERPROFILE%\Documents\GitHub\eaglep3\Utilities\DownloadLogsFromS3.py --loco 4003 --day 2017-03-26</v>
      </c>
      <c r="AF22" s="1"/>
    </row>
    <row r="23" spans="1:32" x14ac:dyDescent="0.25">
      <c r="A23" s="32">
        <v>42820.354247685187</v>
      </c>
      <c r="B23" s="30" t="s">
        <v>448</v>
      </c>
      <c r="C23" s="30" t="s">
        <v>598</v>
      </c>
      <c r="D23" s="30" t="s">
        <v>49</v>
      </c>
      <c r="E23" s="30" t="s">
        <v>217</v>
      </c>
      <c r="F23" s="43">
        <v>300</v>
      </c>
      <c r="G23" s="43">
        <v>389</v>
      </c>
      <c r="H23" s="43">
        <v>23169</v>
      </c>
      <c r="I23" s="43">
        <v>22107</v>
      </c>
      <c r="J23" s="30" t="s">
        <v>218</v>
      </c>
      <c r="K23" s="43">
        <v>21848</v>
      </c>
      <c r="L23" s="143" t="s">
        <v>51</v>
      </c>
      <c r="M23" s="144">
        <f t="shared" si="0"/>
        <v>136.75200000000001</v>
      </c>
      <c r="N23" s="145" t="str">
        <f>VLOOKUP(C23,'Trips&amp;Operators'!$C$1:$G$99999,5,FALSE)</f>
        <v>MAYBERRY BILL</v>
      </c>
      <c r="O23" s="194" t="s">
        <v>185</v>
      </c>
      <c r="P23" s="146"/>
      <c r="Q23" s="30"/>
      <c r="R23" s="89" t="str">
        <f>IF(VLOOKUP(C23,'Train Runs'!$A$13:$AE$9944,1,1)=C23,VLOOKUP(C23,'Train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94" t="str">
        <f t="shared" si="1"/>
        <v>"C:\Program Files (x86)\AstroGrep\AstroGrep.exe" /e /r /s /spath="%USERPROFILE%\AppData\Local\Temp\OnboardLogs" /stypes="*4004*201703261*" /stext=" 14:.+((SYSTEM_STATE.+slice.+state.+changed )|(ment ac)|(multiple cpu faults)|(system.+state.+changed )|(\[timeout)|(PRM\|1\|D)|(kpr)|(kdp)|(\|lc)|(penalty))"</v>
      </c>
      <c r="U23" s="9" t="str">
        <f t="shared" si="2"/>
        <v>4004</v>
      </c>
      <c r="V23" s="32">
        <f t="shared" si="3"/>
        <v>42820.604247685187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{"issue":{"subject":"","project_id":79,"tracker_id":40,"status_id":1,"priority_id":2,"assigned_to_id":23,"start_date":"2017-03-26","description":"","custom_fields":[{"id":1,"name":"Subdivision","value":"EC"},{"id":4,"name":"Milepost","value":"2.1848"},{"id":17,"name":"Train ID","value":"128-26"},{"id":16,"name":"Locomotive ID","value":"4004"},{"id":130,"name":"Impact","value":""},{"id":150,"name":"Time of Event (Mountain Time)","value":"08:30:07"},{"id":151,"name":"Denver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22"/>
      <c r="AA23" s="48"/>
      <c r="AB23" s="48"/>
      <c r="AC23" s="127" t="str">
        <f t="shared" si="7"/>
        <v>grep -hSE -A400 "Enforcement Action" "%USERPROFILE%\AppData\Local\Temp\OnboardLogs"\RTDC4004\*4004*201703261*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3" s="157" t="str">
        <f t="shared" si="9"/>
        <v>start /low /b %USERPROFILE%\Documents\GitHub\eaglep3\Utilities\DownloadLogsFromS3.py --loco 4004 --day 2017-03-26</v>
      </c>
      <c r="AF23" s="1"/>
    </row>
    <row r="24" spans="1:32" x14ac:dyDescent="0.25">
      <c r="A24" s="32">
        <v>42820.414618055554</v>
      </c>
      <c r="B24" s="30" t="s">
        <v>448</v>
      </c>
      <c r="C24" s="30" t="s">
        <v>601</v>
      </c>
      <c r="D24" s="30" t="s">
        <v>49</v>
      </c>
      <c r="E24" s="30" t="s">
        <v>217</v>
      </c>
      <c r="F24" s="43">
        <v>400</v>
      </c>
      <c r="G24" s="43">
        <v>577</v>
      </c>
      <c r="H24" s="43">
        <v>122871</v>
      </c>
      <c r="I24" s="43">
        <v>120912</v>
      </c>
      <c r="J24" s="30" t="s">
        <v>218</v>
      </c>
      <c r="K24" s="43">
        <v>119716</v>
      </c>
      <c r="L24" s="143" t="s">
        <v>51</v>
      </c>
      <c r="M24" s="144">
        <f t="shared" si="0"/>
        <v>631.48800000000006</v>
      </c>
      <c r="N24" s="145" t="str">
        <f>VLOOKUP(C24,'Trips&amp;Operators'!$C$1:$G$99999,5,FALSE)</f>
        <v>MAYBERRY BILL</v>
      </c>
      <c r="O24" s="194" t="s">
        <v>185</v>
      </c>
      <c r="P24" s="146"/>
      <c r="Q24" s="30"/>
      <c r="R24" s="89" t="str">
        <f>IF(VLOOKUP(C24,'Train Runs'!$A$13:$AE$9944,1,1)=C24,VLOOKUP(C24,'Train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94" t="str">
        <f t="shared" si="1"/>
        <v>"C:\Program Files (x86)\AstroGrep\AstroGrep.exe" /e /r /s /spath="%USERPROFILE%\AppData\Local\Temp\OnboardLogs" /stypes="*4004*201703261*" /stext=" 15:.+((SYSTEM_STATE.+slice.+state.+changed )|(ment ac)|(multiple cpu faults)|(system.+state.+changed )|(\[timeout)|(PRM\|1\|D)|(kpr)|(kdp)|(\|lc)|(penalty))"</v>
      </c>
      <c r="U24" s="9" t="str">
        <f t="shared" si="2"/>
        <v>4004</v>
      </c>
      <c r="V24" s="32">
        <f t="shared" si="3"/>
        <v>42820.664618055554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{"issue":{"subject":"","project_id":79,"tracker_id":40,"status_id":1,"priority_id":2,"assigned_to_id":23,"start_date":"2017-03-26","description":"","custom_fields":[{"id":1,"name":"Subdivision","value":"EC"},{"id":4,"name":"Milepost","value":"11.9716"},{"id":17,"name":"Train ID","value":"142-26"},{"id":16,"name":"Locomotive ID","value":"4004"},{"id":130,"name":"Impact","value":""},{"id":150,"name":"Time of Event (Mountain Time)","value":"09:57:03"},{"id":151,"name":"Denver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7"/>
        <v>grep -hSE -A400 "Enforcement Action" "%USERPROFILE%\AppData\Local\Temp\OnboardLogs"\RTDC4004\*4004*201703261*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4" s="157" t="str">
        <f t="shared" si="9"/>
        <v>start /low /b %USERPROFILE%\Documents\GitHub\eaglep3\Utilities\DownloadLogsFromS3.py --loco 4004 --day 2017-03-26</v>
      </c>
      <c r="AF24" s="1"/>
    </row>
    <row r="25" spans="1:32" x14ac:dyDescent="0.25">
      <c r="A25" s="32">
        <v>42820.415706018517</v>
      </c>
      <c r="B25" s="30" t="s">
        <v>448</v>
      </c>
      <c r="C25" s="30" t="s">
        <v>601</v>
      </c>
      <c r="D25" s="30" t="s">
        <v>98</v>
      </c>
      <c r="E25" s="30" t="s">
        <v>217</v>
      </c>
      <c r="F25" s="43">
        <v>400</v>
      </c>
      <c r="G25" s="43">
        <v>452</v>
      </c>
      <c r="H25" s="43">
        <v>116999</v>
      </c>
      <c r="I25" s="43">
        <v>115197</v>
      </c>
      <c r="J25" s="30" t="s">
        <v>218</v>
      </c>
      <c r="K25" s="43">
        <v>119716</v>
      </c>
      <c r="L25" s="143" t="s">
        <v>51</v>
      </c>
      <c r="M25" s="144">
        <f t="shared" si="0"/>
        <v>-2386.0320000000002</v>
      </c>
      <c r="N25" s="145" t="str">
        <f>VLOOKUP(C25,'Trips&amp;Operators'!$C$1:$G$99999,5,FALSE)</f>
        <v>MAYBERRY BILL</v>
      </c>
      <c r="O25" s="194" t="s">
        <v>185</v>
      </c>
      <c r="P25" s="146"/>
      <c r="Q25" s="30"/>
      <c r="R25" s="89" t="str">
        <f>IF(VLOOKUP(C25,'Train Runs'!$A$13:$AE$9944,1,1)=C25,VLOOKUP(C25,'Train Runs'!$A$13:$AE$9944,31,1),NA())</f>
        <v>aws s3 cp s3://rtdc.mdm.uploadarchive.raw/RTDC4004/ "%USERPROFILE%\AppData\Local\Temp\OnboardLogs"\RTDC4004\2017-03-26 --exclude "*" --recursive --include "*20170326*" &amp; "%USERPROFILE%\Documents\GitHub\mrs-test-scripts\Headless Mode &amp; Sideloading\WalkAndUnGZ.bat" "%USERPROFILE%\AppData\Local\Temp\OnboardLogs"\RTDC4004\2017-03-26 &amp; aws s3 cp s3://rtdc.mdm.uploadarchive.raw/RTDC4004/ "%USERPROFILE%\AppData\Local\Temp\OnboardLogs"\RTDC4004\2017-03-27 --exclude "*" --recursive --include "*20170327*" &amp; "%USERPROFILE%\Documents\GitHub\mrs-test-scripts\Headless Mode &amp; Sideloading\WalkAndUnGZ.bat" "%USERPROFILE%\AppData\Local\Temp\OnboardLogs"\RTDC4004\2017-03-27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94" t="str">
        <f t="shared" si="1"/>
        <v>"C:\Program Files (x86)\AstroGrep\AstroGrep.exe" /e /r /s /spath="%USERPROFILE%\AppData\Local\Temp\OnboardLogs" /stypes="*4004*201703261*" /stext=" 15:.+((SYSTEM_STATE.+slice.+state.+changed )|(ment ac)|(multiple cpu faults)|(system.+state.+changed )|(\[timeout)|(PRM\|1\|D)|(kpr)|(kdp)|(\|lc)|(penalty))"</v>
      </c>
      <c r="U25" s="9" t="str">
        <f t="shared" si="2"/>
        <v>4004</v>
      </c>
      <c r="V25" s="32">
        <f t="shared" si="3"/>
        <v>42820.665706018517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{"issue":{"subject":"","project_id":79,"tracker_id":40,"status_id":1,"priority_id":2,"assigned_to_id":23,"start_date":"2017-03-26","description":"","custom_fields":[{"id":1,"name":"Subdivision","value":"EC"},{"id":4,"name":"Milepost","value":"11.9716"},{"id":17,"name":"Train ID","value":"142-26"},{"id":16,"name":"Locomotive ID","value":"4004"},{"id":130,"name":"Impact","value":""},{"id":150,"name":"Time of Event (Mountain Time)","value":"09:58:37"},{"id":151,"name":"Denver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7"/>
        <v>grep -hSE -A400 "Enforcement Action" "%USERPROFILE%\AppData\Local\Temp\OnboardLogs"\RTDC4004\*4004*201703261*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"%USERPROFILE%\AppData\Local\Temp\OnboardLogs"\RTDC4004\*4004*201703261* &gt;&gt; 2017-03-26-SliceDisagreementCheck.txt</v>
      </c>
      <c r="AE25" s="157" t="str">
        <f t="shared" si="9"/>
        <v>start /low /b %USERPROFILE%\Documents\GitHub\eaglep3\Utilities\DownloadLogsFromS3.py --loco 4004 --day 2017-03-26</v>
      </c>
      <c r="AF25" s="1"/>
    </row>
    <row r="26" spans="1:32" x14ac:dyDescent="0.25">
      <c r="A26" s="32">
        <v>42820.440474537034</v>
      </c>
      <c r="B26" s="30" t="s">
        <v>389</v>
      </c>
      <c r="C26" s="30" t="s">
        <v>604</v>
      </c>
      <c r="D26" s="30" t="s">
        <v>98</v>
      </c>
      <c r="E26" s="30" t="s">
        <v>217</v>
      </c>
      <c r="F26" s="43">
        <v>600</v>
      </c>
      <c r="G26" s="43">
        <v>650</v>
      </c>
      <c r="H26" s="43">
        <v>183957</v>
      </c>
      <c r="I26" s="43">
        <v>180592</v>
      </c>
      <c r="J26" s="30" t="s">
        <v>218</v>
      </c>
      <c r="K26" s="43">
        <v>190834</v>
      </c>
      <c r="L26" s="143" t="s">
        <v>51</v>
      </c>
      <c r="M26" s="144">
        <f t="shared" si="0"/>
        <v>-5407.7759999999998</v>
      </c>
      <c r="N26" s="145" t="str">
        <f>VLOOKUP(C26,'Trips&amp;Operators'!$C$1:$G$99999,5,FALSE)</f>
        <v>BADERTSCHER DIANE</v>
      </c>
      <c r="O26" s="194" t="s">
        <v>185</v>
      </c>
      <c r="P26" s="146"/>
      <c r="Q26" s="30"/>
      <c r="R26" s="89" t="str">
        <f>IF(VLOOKUP(C26,'Train Runs'!$A$13:$AE$9944,1,1)=C26,VLOOKUP(C26,'Train Runs'!$A$13:$AE$9944,31,1),NA())</f>
        <v>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 &amp; aws s3 cp s3://rtdc.mdm.uploadarchive.raw/RTDC4032/ "%USERPROFILE%\AppData\Local\Temp\OnboardLogs"\RTDC4032\2017-03-27 --exclude "*" --recursive --include "*20170327*" &amp; "%USERPROFILE%\Documents\GitHub\mrs-test-scripts\Headless Mode &amp; Sideloading\WalkAndUnGZ.bat" "%USERPROFILE%\AppData\Local\Temp\OnboardLogs"\RTDC4032\2017-03-27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/stypes="*4032*201703261*" /stext=" 16:.+((SYSTEM_STATE.+slice.+state.+changed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42820.690474537034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{"issue":{"subject":"","project_id":79,"tracker_id":40,"status_id":1,"priority_id":2,"assigned_to_id":23,"start_date":"2017-03-26","description":"","custom_fields":[{"id":1,"name":"Subdivision","value":"EC"},{"id":4,"name":"Milepost","value":"19.0834"},{"id":17,"name":"Train ID","value":"148-26"},{"id":16,"name":"Locomotive ID","value":"4032"},{"id":130,"name":"Impact","value":""},{"id":150,"name":"Time of Event (Mountain Time)","value":"10:34:17"},{"id":151,"name":"Denver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7"/>
        <v>grep -hSE -A400 "Enforcement Action" "%USERPROFILE%\AppData\Local\Temp\OnboardLogs"\RTDC4032\*4032*201703261*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"%USERPROFILE%\AppData\Local\Temp\OnboardLogs"\RTDC4032\*4032*201703261* &gt;&gt; 2017-03-26-SliceDisagreementCheck.txt</v>
      </c>
      <c r="AE26" s="157" t="str">
        <f t="shared" si="9"/>
        <v>start /low /b %USERPROFILE%\Documents\GitHub\eaglep3\Utilities\DownloadLogsFromS3.py --loco 4032 --day 2017-03-26</v>
      </c>
      <c r="AF26" s="1"/>
    </row>
    <row r="27" spans="1:32" x14ac:dyDescent="0.25">
      <c r="A27" s="32">
        <v>42820.348854166667</v>
      </c>
      <c r="B27" s="30" t="s">
        <v>392</v>
      </c>
      <c r="C27" s="30" t="s">
        <v>599</v>
      </c>
      <c r="D27" s="30" t="s">
        <v>49</v>
      </c>
      <c r="E27" s="30" t="s">
        <v>356</v>
      </c>
      <c r="F27" s="43">
        <v>0</v>
      </c>
      <c r="G27" s="43">
        <v>259</v>
      </c>
      <c r="H27" s="43">
        <v>117710</v>
      </c>
      <c r="I27" s="43">
        <v>118294</v>
      </c>
      <c r="J27" s="30" t="s">
        <v>357</v>
      </c>
      <c r="K27" s="43">
        <v>118739</v>
      </c>
      <c r="L27" s="143" t="s">
        <v>50</v>
      </c>
      <c r="M27" s="144">
        <f t="shared" si="0"/>
        <v>234.96</v>
      </c>
      <c r="N27" s="145" t="str">
        <f>VLOOKUP(C27,'Trips&amp;Operators'!$C$1:$G$99999,5,FALSE)</f>
        <v>DAVIS WENDY</v>
      </c>
      <c r="O27" s="194" t="s">
        <v>358</v>
      </c>
      <c r="P27" s="146" t="s">
        <v>469</v>
      </c>
      <c r="Q27" s="30"/>
      <c r="R27" s="89" t="str">
        <f>IF(VLOOKUP(C27,'Train Runs'!$A$13:$AE$9944,1,1)=C27,VLOOKUP(C27,'Train Runs'!$A$13:$AE$9944,31,1),NA())</f>
        <v>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 &amp; aws s3 cp s3://rtdc.mdm.uploadarchive.raw/RTDC4046/ "%USERPROFILE%\AppData\Local\Temp\OnboardLogs"\RTDC4046\2017-03-27 --exclude "*" --recursive --include "*20170327*" &amp; "%USERPROFILE%\Documents\GitHub\mrs-test-scripts\Headless Mode &amp; Sideloading\WalkAndUnGZ.bat" "%USERPROFILE%\AppData\Local\Temp\OnboardLogs"\RTDC4046\2017-03-27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-26T06:55:41-0600',mode:absolute,to:'2017-03-26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 t="shared" si="1"/>
        <v>"C:\Program Files (x86)\AstroGrep\AstroGrep.exe" /e /r /s /spath="%USERPROFILE%\AppData\Local\Temp\OnboardLogs" /stypes="*4046*201703261*" /stext=" 14:.+((SYSTEM_STATE.+slice.+state.+changed )|(ment ac)|(multiple cpu faults)|(system.+state.+changed )|(\[timeout)|(PRM\|1\|D)|(kpr)|(kdp)|(\|lc)|(penalty))"</v>
      </c>
      <c r="U27" s="9" t="str">
        <f t="shared" si="2"/>
        <v>4046</v>
      </c>
      <c r="V27" s="32">
        <f t="shared" si="3"/>
        <v>42820.598854166667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{"issue":{"subject":"Wi-MAX data drop","project_id":79,"tracker_id":40,"status_id":1,"priority_id":2,"assigned_to_id":23,"start_date":"2017-03-26","description":"http://stevetu21.github.io/eaglep3/load_kml.html?kml=http://rtdc.gmaps-snips.s3.amazonaws.com/23fb6c4d-a57c-4642-bce7-74e8c7afb190.kml","custom_fields":[{"id":1,"name":"Subdivision","value":"EC"},{"id":4,"name":"Milepost","value":"11.8739"},{"id":17,"name":"Train ID","value":"135-26"},{"id":16,"name":"Locomotive ID","value":"4046"},{"id":130,"name":"Impact","value":"Enforcement"},{"id":150,"name":"Time of Event (Mountain Time)","value":"08:22:21"},{"id":151,"name":"Denver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1000</v>
      </c>
      <c r="AA27" s="48" t="s">
        <v>124</v>
      </c>
      <c r="AB27" s="48" t="s">
        <v>137</v>
      </c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"%USERPROFILE%\AppData\Local\Temp\OnboardLogs"\RTDC4046\*4046*201703261*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"%USERPROFILE%\AppData\Local\Temp\OnboardLogs"\RTDC4046\*4046*201703261* &gt;&gt; 2017-03-26-SliceDisagreementCheck.txt</v>
      </c>
      <c r="AE27" s="157" t="str">
        <f t="shared" si="9"/>
        <v>start /low /b %USERPROFILE%\Documents\GitHub\eaglep3\Utilities\DownloadLogsFromS3.py --loco 4046 --day 2017-03-26</v>
      </c>
      <c r="AF27" s="1"/>
    </row>
    <row r="28" spans="1:32" x14ac:dyDescent="0.25">
      <c r="A28" s="32">
        <v>42820.44127314815</v>
      </c>
      <c r="B28" s="30" t="s">
        <v>555</v>
      </c>
      <c r="C28" s="30" t="s">
        <v>605</v>
      </c>
      <c r="D28" s="30" t="s">
        <v>98</v>
      </c>
      <c r="E28" s="30" t="s">
        <v>504</v>
      </c>
      <c r="F28" s="43">
        <v>0</v>
      </c>
      <c r="G28" s="43">
        <v>697</v>
      </c>
      <c r="H28" s="43">
        <v>110414</v>
      </c>
      <c r="I28" s="43">
        <v>113017</v>
      </c>
      <c r="J28" s="30" t="s">
        <v>505</v>
      </c>
      <c r="K28" s="43">
        <v>107939</v>
      </c>
      <c r="L28" s="143" t="s">
        <v>50</v>
      </c>
      <c r="M28" s="144">
        <f t="shared" si="0"/>
        <v>-2681.1840000000002</v>
      </c>
      <c r="N28" s="145" t="str">
        <f>VLOOKUP(C28,'Trips&amp;Operators'!$C$1:$G$99999,5,FALSE)</f>
        <v>GEBRETEKLE DAGNEW</v>
      </c>
      <c r="O28" s="194" t="s">
        <v>358</v>
      </c>
      <c r="P28" s="146" t="s">
        <v>998</v>
      </c>
      <c r="Q28" s="30"/>
      <c r="R28" s="89" t="str">
        <f>IF(VLOOKUP(C28,'Train Runs'!$A$13:$AE$9944,1,1)=C28,VLOOKUP(C28,'Train Runs'!$A$13:$AE$9944,31,1),NA())</f>
        <v>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 &amp; aws s3 cp s3://rtdc.mdm.uploadarchive.raw/RTDC4002/ "%USERPROFILE%\AppData\Local\Temp\OnboardLogs"\RTDC4002\2017-03-27 --exclude "*" --recursive --include "*20170327*" &amp; "%USERPROFILE%\Documents\GitHub\mrs-test-scripts\Headless Mode &amp; Sideloading\WalkAndUnGZ.bat" "%USERPROFILE%\AppData\Local\Temp\OnboardLogs"\RTDC4002\2017-03-27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-26T09:08:03-0600',mode:absolute,to:'2017-03-26T11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8" s="94" t="str">
        <f t="shared" si="1"/>
        <v>"C:\Program Files (x86)\AstroGrep\AstroGrep.exe" /e /r /s /spath="%USERPROFILE%\AppData\Local\Temp\OnboardLogs" /stypes="*4002*201703261*" /stext=" 16:.+((SYSTEM_STATE.+slice.+state.+changed )|(ment ac)|(multiple cpu faults)|(system.+state.+changed )|(\[timeout)|(PRM\|1\|D)|(kpr)|(kdp)|(\|lc)|(penalty))"</v>
      </c>
      <c r="U28" s="9" t="str">
        <f t="shared" si="2"/>
        <v>4002</v>
      </c>
      <c r="V28" s="32">
        <f t="shared" si="3"/>
        <v>42820.69127314815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{"issue":{"subject":"Chambers ELXS offline from 10:34:40 - 10:35:17","project_id":79,"tracker_id":40,"status_id":1,"priority_id":2,"assigned_to_id":23,"start_date":"2017-03-26","description":"See title - do logs explain why the ELXS went offline for the aforementioned time period?","custom_fields":[{"id":1,"name":"Subdivision","value":"EC"},{"id":4,"name":"Milepost","value":"10.7939"},{"id":17,"name":"Train ID","value":"153-26"},{"id":16,"name":"Locomotive ID","value":"4002"},{"id":130,"name":"Impact","value":"Enforcement"},{"id":150,"name":"Time of Event (Mountain Time)","value":"10:35:26"},{"id":151,"name":"Denver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8" s="222" t="s">
        <v>999</v>
      </c>
      <c r="AA28" s="48" t="s">
        <v>124</v>
      </c>
      <c r="AB28" s="48" t="s">
        <v>129</v>
      </c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"%USERPROFILE%\AppData\Local\Temp\OnboardLogs"\RTDC4002\*4002*201703261*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"%USERPROFILE%\AppData\Local\Temp\OnboardLogs"\RTDC4002\*4002*201703261* &gt;&gt; 2017-03-26-SliceDisagreementCheck.txt</v>
      </c>
      <c r="AE28" s="157" t="str">
        <f t="shared" si="9"/>
        <v>start /low /b %USERPROFILE%\Documents\GitHub\eaglep3\Utilities\DownloadLogsFromS3.py --loco 4002 --day 2017-03-26</v>
      </c>
      <c r="AF28" s="1"/>
    </row>
    <row r="29" spans="1:32" x14ac:dyDescent="0.25">
      <c r="A29" s="32">
        <v>42820.24596064815</v>
      </c>
      <c r="B29" s="30" t="s">
        <v>500</v>
      </c>
      <c r="C29" s="30" t="s">
        <v>597</v>
      </c>
      <c r="D29" s="30" t="s">
        <v>49</v>
      </c>
      <c r="E29" s="30" t="s">
        <v>186</v>
      </c>
      <c r="F29" s="43">
        <v>0</v>
      </c>
      <c r="G29" s="43">
        <v>46</v>
      </c>
      <c r="H29" s="43">
        <v>192</v>
      </c>
      <c r="I29" s="43">
        <v>132</v>
      </c>
      <c r="J29" s="30" t="s">
        <v>187</v>
      </c>
      <c r="K29" s="43">
        <v>1</v>
      </c>
      <c r="L29" s="143" t="s">
        <v>51</v>
      </c>
      <c r="M29" s="144">
        <f t="shared" si="0"/>
        <v>69.168000000000006</v>
      </c>
      <c r="N29" s="145" t="str">
        <f>VLOOKUP(C29,'Trips&amp;Operators'!$C$1:$G$99999,5,FALSE)</f>
        <v>BADERTSCHER DIANE</v>
      </c>
      <c r="O29" s="194" t="s">
        <v>185</v>
      </c>
      <c r="P29" s="146"/>
      <c r="Q29" s="30"/>
      <c r="R29" s="89" t="str">
        <f>IF(VLOOKUP(C29,'Train Runs'!$A$13:$AE$9944,1,1)=C29,VLOOKUP(C29,'Train Runs'!$A$13:$AE$9944,31,1),NA())</f>
        <v>aws s3 cp s3://rtdc.mdm.uploadarchive.raw/RTDC4019/ "%USERPROFILE%\AppData\Local\Temp\OnboardLogs"\RTDC4019\2017-03-26 --exclude "*" --recursive --include "*20170326*" &amp; "%USERPROFILE%\Documents\GitHub\mrs-test-scripts\Headless Mode &amp; Sideloading\WalkAndUnGZ.bat" "%USERPROFILE%\AppData\Local\Temp\OnboardLogs"\RTDC4019\2017-03-26 &amp; aws s3 cp s3://rtdc.mdm.uploadarchive.raw/RTDC4019/ "%USERPROFILE%\AppData\Local\Temp\OnboardLogs"\RTDC4019\2017-03-27 --exclude "*" --recursive --include "*20170327*" &amp; "%USERPROFILE%\Documents\GitHub\mrs-test-scripts\Headless Mode &amp; Sideloading\WalkAndUnGZ.bat" "%USERPROFILE%\AppData\Local\Temp\OnboardLogs"\RTDC4019\2017-03-27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-26T04:04:00-0600',mode:absolute,to:'2017-03-26T06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94" t="str">
        <f t="shared" si="1"/>
        <v>"C:\Program Files (x86)\AstroGrep\AstroGrep.exe" /e /r /s /spath="%USERPROFILE%\AppData\Local\Temp\OnboardLogs" /stypes="*4019*201703261*" /stext=" 11:.+((SYSTEM_STATE.+slice.+state.+changed )|(ment ac)|(multiple cpu faults)|(system.+state.+changed )|(\[timeout)|(PRM\|1\|D)|(kpr)|(kdp)|(\|lc)|(penalty))"</v>
      </c>
      <c r="U29" s="9" t="str">
        <f t="shared" si="2"/>
        <v>4019</v>
      </c>
      <c r="V29" s="32">
        <f t="shared" si="3"/>
        <v>42820.49596064815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ID","value":"106-26"},{"id":16,"name":"Locomotive ID","value":"4019"},{"id":130,"name":"Impact","value":""},{"id":150,"name":"Time of Event (Mountain Time)","value":"05:54:11"},{"id":151,"name":"Denver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ref="AC29:AC43" si="10">"grep -hSE -A400 ""Enforcement Action"" "&amp;search_path&amp;"\RTDC"&amp;U29&amp;"\*"&amp;U29&amp;"*"&amp;TEXT(A29-utc_offset/24,"YYYYMMDD")&amp;LEFT(TEXT(A29-utc_offset/24,"HH"),1)&amp;"* | grep -SE ""((Enforcement Ac)|(PRM.+XING))"" -"</f>
        <v>grep -hSE -A400 "Enforcement Action" "%USERPROFILE%\AppData\Local\Temp\OnboardLogs"\RTDC4019\*4019*201703261*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"%USERPROFILE%\AppData\Local\Temp\OnboardLogs"\RTDC4019\*4019*201703261* &gt;&gt; 2017-03-26-SliceDisagreementCheck.txt</v>
      </c>
      <c r="AE29" s="157" t="str">
        <f t="shared" si="9"/>
        <v>start /low /b %USERPROFILE%\Documents\GitHub\eaglep3\Utilities\DownloadLogsFromS3.py --loco 4019 --day 2017-03-26</v>
      </c>
      <c r="AF29" s="1"/>
    </row>
    <row r="30" spans="1:32" x14ac:dyDescent="0.25">
      <c r="A30" s="32">
        <v>42820.451504629629</v>
      </c>
      <c r="B30" s="30" t="s">
        <v>449</v>
      </c>
      <c r="C30" s="30" t="s">
        <v>606</v>
      </c>
      <c r="D30" s="30" t="s">
        <v>49</v>
      </c>
      <c r="E30" s="30" t="s">
        <v>186</v>
      </c>
      <c r="F30" s="43">
        <v>0</v>
      </c>
      <c r="G30" s="43">
        <v>46</v>
      </c>
      <c r="H30" s="43">
        <v>158</v>
      </c>
      <c r="I30" s="43">
        <v>130</v>
      </c>
      <c r="J30" s="30" t="s">
        <v>187</v>
      </c>
      <c r="K30" s="43">
        <v>1</v>
      </c>
      <c r="L30" s="143" t="s">
        <v>51</v>
      </c>
      <c r="M30" s="144">
        <f t="shared" si="0"/>
        <v>68.111999999999995</v>
      </c>
      <c r="N30" s="145" t="str">
        <f>VLOOKUP(C30,'Trips&amp;Operators'!$C$1:$G$99999,5,FALSE)</f>
        <v>MAELZER KURT</v>
      </c>
      <c r="O30" s="194" t="s">
        <v>185</v>
      </c>
      <c r="P30" s="146"/>
      <c r="Q30" s="30"/>
      <c r="R30" s="89" t="str">
        <f>IF(VLOOKUP(C30,'Train Runs'!$A$13:$AE$9944,1,1)=C30,VLOOKUP(C30,'Train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94" t="str">
        <f t="shared" si="1"/>
        <v>"C:\Program Files (x86)\AstroGrep\AstroGrep.exe" /e /r /s /spath="%USERPROFILE%\AppData\Local\Temp\OnboardLogs" /stypes="*4026*201703261*" /stext=" 16:.+((SYSTEM_STATE.+slice.+state.+changed )|(ment ac)|(multiple cpu faults)|(system.+state.+changed )|(\[timeout)|(PRM\|1\|D)|(kpr)|(kdp)|(\|lc)|(penalty))"</v>
      </c>
      <c r="U30" s="9" t="str">
        <f t="shared" si="2"/>
        <v>4026</v>
      </c>
      <c r="V30" s="32">
        <f t="shared" si="3"/>
        <v>42820.701504629629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ID","value":"146-26"},{"id":16,"name":"Locomotive ID","value":"4026"},{"id":130,"name":"Impact","value":""},{"id":150,"name":"Time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"%USERPROFILE%\AppData\Local\Temp\OnboardLogs"\RTDC4026\*4026*201703261*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"%USERPROFILE%\AppData\Local\Temp\OnboardLogs"\RTDC4026\*4026*201703261* &gt;&gt; 2017-03-26-SliceDisagreementCheck.txt</v>
      </c>
      <c r="AE30" s="157" t="str">
        <f t="shared" si="9"/>
        <v>start /low /b %USERPROFILE%\Documents\GitHub\eaglep3\Utilities\DownloadLogsFromS3.py --loco 4026 --day 2017-03-26</v>
      </c>
      <c r="AF30" s="1"/>
    </row>
    <row r="31" spans="1:32" x14ac:dyDescent="0.25">
      <c r="A31" s="32">
        <v>42820.514780092592</v>
      </c>
      <c r="B31" s="30" t="s">
        <v>386</v>
      </c>
      <c r="C31" s="30" t="s">
        <v>609</v>
      </c>
      <c r="D31" s="30" t="s">
        <v>49</v>
      </c>
      <c r="E31" s="30" t="s">
        <v>186</v>
      </c>
      <c r="F31" s="43">
        <v>0</v>
      </c>
      <c r="G31" s="43">
        <v>41</v>
      </c>
      <c r="H31" s="43">
        <v>152</v>
      </c>
      <c r="I31" s="43">
        <v>123</v>
      </c>
      <c r="J31" s="30" t="s">
        <v>187</v>
      </c>
      <c r="K31" s="43">
        <v>1</v>
      </c>
      <c r="L31" s="143" t="s">
        <v>51</v>
      </c>
      <c r="M31" s="144">
        <f t="shared" si="0"/>
        <v>64.415999999999997</v>
      </c>
      <c r="N31" s="145" t="str">
        <f>VLOOKUP(C31,'Trips&amp;Operators'!$C$1:$G$99999,5,FALSE)</f>
        <v>SHOOK JOHN</v>
      </c>
      <c r="O31" s="194" t="s">
        <v>185</v>
      </c>
      <c r="P31" s="146"/>
      <c r="Q31" s="30"/>
      <c r="R31" s="89" t="str">
        <f>IF(VLOOKUP(C31,'Train Runs'!$A$13:$AE$9944,1,1)=C31,VLOOKUP(C31,'Train Runs'!$A$13:$AE$9944,31,1),NA())</f>
        <v>aws s3 cp s3://rtdc.mdm.uploadarchive.raw/RTDC4028/ "%USERPROFILE%\AppData\Local\Temp\OnboardLogs"\RTDC4028\2017-03-26 --exclude "*" --recursive --include "*20170326*" &amp; "%USERPROFILE%\Documents\GitHub\mrs-test-scripts\Headless Mode &amp; Sideloading\WalkAndUnGZ.bat" "%USERPROFILE%\AppData\Local\Temp\OnboardLogs"\RTDC4028\2017-03-26 &amp; aws s3 cp s3://rtdc.mdm.uploadarchive.raw/RTDC4028/ "%USERPROFILE%\AppData\Local\Temp\OnboardLogs"\RTDC4028\2017-03-27 --exclude "*" --recursive --include "*20170327*" &amp; "%USERPROFILE%\Documents\GitHub\mrs-test-scripts\Headless Mode &amp; Sideloading\WalkAndUnGZ.bat" "%USERPROFILE%\AppData\Local\Temp\OnboardLogs"\RTDC4028\2017-03-27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-26T10:24:25-0600',mode:absolute,to:'2017-03-26T13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94" t="str">
        <f t="shared" si="1"/>
        <v>"C:\Program Files (x86)\AstroGrep\AstroGrep.exe" /e /r /s /spath="%USERPROFILE%\AppData\Local\Temp\OnboardLogs" /stypes="*4028*201703261*" /stext=" 18:.+((SYSTEM_STATE.+slice.+state.+changed )|(ment ac)|(multiple cpu faults)|(system.+state.+changed )|(\[timeout)|(PRM\|1\|D)|(kpr)|(kdp)|(\|lc)|(penalty))"</v>
      </c>
      <c r="U31" s="9" t="str">
        <f t="shared" si="2"/>
        <v>4028</v>
      </c>
      <c r="V31" s="32">
        <f t="shared" si="3"/>
        <v>42820.764780092592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ID","value":"158-26"},{"id":16,"name":"Locomotive ID","value":"4028"},{"id":130,"name":"Impact","value":""},{"id":150,"name":"Time of Event (Mountain Time)","value":"12:21:17"},{"id":151,"name":"Denver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"%USERPROFILE%\AppData\Local\Temp\OnboardLogs"\RTDC4028\*4028*201703261*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"%USERPROFILE%\AppData\Local\Temp\OnboardLogs"\RTDC4028\*4028*201703261* &gt;&gt; 2017-03-26-SliceDisagreementCheck.txt</v>
      </c>
      <c r="AE31" s="157" t="str">
        <f t="shared" si="9"/>
        <v>start /low /b %USERPROFILE%\Documents\GitHub\eaglep3\Utilities\DownloadLogsFromS3.py --loco 4028 --day 2017-03-26</v>
      </c>
      <c r="AF31" s="1"/>
    </row>
    <row r="32" spans="1:32" x14ac:dyDescent="0.25">
      <c r="A32" s="32">
        <v>42820.597430555557</v>
      </c>
      <c r="B32" s="30" t="s">
        <v>449</v>
      </c>
      <c r="C32" s="30" t="s">
        <v>611</v>
      </c>
      <c r="D32" s="30" t="s">
        <v>49</v>
      </c>
      <c r="E32" s="30" t="s">
        <v>186</v>
      </c>
      <c r="F32" s="43">
        <v>0</v>
      </c>
      <c r="G32" s="43">
        <v>162</v>
      </c>
      <c r="H32" s="43">
        <v>739</v>
      </c>
      <c r="I32" s="43">
        <v>500</v>
      </c>
      <c r="J32" s="30" t="s">
        <v>187</v>
      </c>
      <c r="K32" s="43">
        <v>1</v>
      </c>
      <c r="L32" s="143" t="s">
        <v>51</v>
      </c>
      <c r="M32" s="144">
        <f t="shared" si="0"/>
        <v>263.47199999999998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str">
        <f>IF(VLOOKUP(C32,'Train Runs'!$A$13:$AE$9944,1,1)=C32,VLOOKUP(C32,'Train Runs'!$A$13:$AE$9944,31,1),NA())</f>
        <v>aws s3 cp s3://rtdc.mdm.uploadarchive.raw/RTDC4026/ "%USERPROFILE%\AppData\Local\Temp\OnboardLogs"\RTDC4026\2017-03-26 --exclude "*" --recursive --include "*20170326*" &amp; "%USERPROFILE%\Documents\GitHub\mrs-test-scripts\Headless Mode &amp; Sideloading\WalkAndUnGZ.bat" "%USERPROFILE%\AppData\Local\Temp\OnboardLogs"\RTDC4026\2017-03-26 &amp; aws s3 cp s3://rtdc.mdm.uploadarchive.raw/RTDC4026/ "%USERPROFILE%\AppData\Local\Temp\OnboardLogs"\RTDC4026\2017-03-27 --exclude "*" --recursive --include "*20170327*" &amp; "%USERPROFILE%\Documents\GitHub\mrs-test-scripts\Headless Mode &amp; Sideloading\WalkAndUnGZ.bat" "%USERPROFILE%\AppData\Local\Temp\OnboardLogs"\RTDC4026\2017-03-27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-26T12:36:01-0600',mode:absolute,to:'2017-03-26T15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94" t="str">
        <f t="shared" si="1"/>
        <v>"C:\Program Files (x86)\AstroGrep\AstroGrep.exe" /e /r /s /spath="%USERPROFILE%\AppData\Local\Temp\OnboardLogs" /stypes="*4026*201703262*" /stext=" 20:.+((SYSTEM_STATE.+slice.+state.+changed )|(ment ac)|(multiple cpu faults)|(system.+state.+changed )|(\[timeout)|(PRM\|1\|D)|(kpr)|(kdp)|(\|lc)|(penalty))"</v>
      </c>
      <c r="U32" s="9" t="str">
        <f t="shared" si="2"/>
        <v>4026</v>
      </c>
      <c r="V32" s="32">
        <f t="shared" si="3"/>
        <v>42820.847430555557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ID","value":"174-26"},{"id":16,"name":"Locomotive ID","value":"4026"},{"id":130,"name":"Impact","value":""},{"id":150,"name":"Time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"%USERPROFILE%\AppData\Local\Temp\OnboardLogs"\RTDC4026\*4026*201703262*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"%USERPROFILE%\AppData\Local\Temp\OnboardLogs"\RTDC4026\*4026*201703262* &gt;&gt; 2017-03-26-SliceDisagreementCheck.txt</v>
      </c>
      <c r="AE32" s="157" t="str">
        <f t="shared" si="9"/>
        <v>start /low /b %USERPROFILE%\Documents\GitHub\eaglep3\Utilities\DownloadLogsFromS3.py --loco 4026 --day 2017-03-26</v>
      </c>
      <c r="AF32" s="1"/>
    </row>
    <row r="33" spans="1:32" x14ac:dyDescent="0.25">
      <c r="A33" s="32">
        <v>42820.6169212963</v>
      </c>
      <c r="B33" s="30" t="s">
        <v>506</v>
      </c>
      <c r="C33" s="30" t="s">
        <v>613</v>
      </c>
      <c r="D33" s="30" t="s">
        <v>49</v>
      </c>
      <c r="E33" s="30" t="s">
        <v>186</v>
      </c>
      <c r="F33" s="43">
        <v>0</v>
      </c>
      <c r="G33" s="43">
        <v>61</v>
      </c>
      <c r="H33" s="43">
        <v>221</v>
      </c>
      <c r="I33" s="43">
        <v>161</v>
      </c>
      <c r="J33" s="30" t="s">
        <v>187</v>
      </c>
      <c r="K33" s="43">
        <v>1</v>
      </c>
      <c r="L33" s="143" t="s">
        <v>51</v>
      </c>
      <c r="M33" s="144">
        <f t="shared" si="0"/>
        <v>84.48</v>
      </c>
      <c r="N33" s="145" t="str">
        <f>VLOOKUP(C33,'Trips&amp;Operators'!$C$1:$G$99999,5,FALSE)</f>
        <v>LEVIN SCOTT</v>
      </c>
      <c r="O33" s="194" t="s">
        <v>185</v>
      </c>
      <c r="P33" s="146"/>
      <c r="Q33" s="30"/>
      <c r="R33" s="89" t="str">
        <f>IF(VLOOKUP(C33,'Train Runs'!$A$13:$AE$9944,1,1)=C33,VLOOKUP(C33,'Train Runs'!$A$13:$AE$9944,31,1),NA())</f>
        <v>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 &amp; aws s3 cp s3://rtdc.mdm.uploadarchive.raw/RTDC4045/ "%USERPROFILE%\AppData\Local\Temp\OnboardLogs"\RTDC4045\2017-03-27 --exclude "*" --recursive --include "*20170327*" &amp; "%USERPROFILE%\Documents\GitHub\mrs-test-scripts\Headless Mode &amp; Sideloading\WalkAndUnGZ.bat" "%USERPROFILE%\AppData\Local\Temp\OnboardLogs"\RTDC4045\2017-03-27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94" t="str">
        <f t="shared" si="1"/>
        <v>"C:\Program Files (x86)\AstroGrep\AstroGrep.exe" /e /r /s /spath="%USERPROFILE%\AppData\Local\Temp\OnboardLogs" /stypes="*4045*201703262*" /stext=" 20:.+((SYSTEM_STATE.+slice.+state.+changed )|(ment ac)|(multiple cpu faults)|(system.+state.+changed )|(\[timeout)|(PRM\|1\|D)|(kpr)|(kdp)|(\|lc)|(penalty))"</v>
      </c>
      <c r="U33" s="9" t="str">
        <f t="shared" si="2"/>
        <v>4045</v>
      </c>
      <c r="V33" s="32">
        <f t="shared" si="3"/>
        <v>42820.8669212963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ID","value":"178-26"},{"id":16,"name":"Locomotive ID","value":"4045"},{"id":130,"name":"Impact","value":""},{"id":150,"name":"Time of Event (Mountain Time)","value":"14:48:22"},{"id":151,"name":"Denver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"%USERPROFILE%\AppData\Local\Temp\OnboardLogs"\RTDC4045\*4045*201703262*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"%USERPROFILE%\AppData\Local\Temp\OnboardLogs"\RTDC4045\*4045*201703262* &gt;&gt; 2017-03-26-SliceDisagreementCheck.txt</v>
      </c>
      <c r="AE33" s="157" t="str">
        <f t="shared" si="9"/>
        <v>start /low /b %USERPROFILE%\Documents\GitHub\eaglep3\Utilities\DownloadLogsFromS3.py --loco 4045 --day 2017-03-26</v>
      </c>
      <c r="AF33" s="1"/>
    </row>
    <row r="34" spans="1:32" x14ac:dyDescent="0.25">
      <c r="A34" s="32">
        <v>42820.648159722223</v>
      </c>
      <c r="B34" s="30" t="s">
        <v>448</v>
      </c>
      <c r="C34" s="30" t="s">
        <v>615</v>
      </c>
      <c r="D34" s="30" t="s">
        <v>49</v>
      </c>
      <c r="E34" s="30" t="s">
        <v>186</v>
      </c>
      <c r="F34" s="43">
        <v>0</v>
      </c>
      <c r="G34" s="43">
        <v>162</v>
      </c>
      <c r="H34" s="43">
        <v>659</v>
      </c>
      <c r="I34" s="43">
        <v>477</v>
      </c>
      <c r="J34" s="30" t="s">
        <v>187</v>
      </c>
      <c r="K34" s="43">
        <v>1</v>
      </c>
      <c r="L34" s="143" t="s">
        <v>51</v>
      </c>
      <c r="M34" s="144">
        <f t="shared" si="0"/>
        <v>251.328</v>
      </c>
      <c r="N34" s="145" t="str">
        <f>VLOOKUP(C34,'Trips&amp;Operators'!$C$1:$G$99999,5,FALSE)</f>
        <v>ROMERO CHAD</v>
      </c>
      <c r="O34" s="194" t="s">
        <v>185</v>
      </c>
      <c r="P34" s="146"/>
      <c r="Q34" s="30"/>
      <c r="R34" s="89" t="e">
        <f>IF(VLOOKUP(C34,'Train Runs'!$A$13:$AE$9944,1,1)=C34,VLOOKUP(C34,'Train Runs'!$A$13:$AE$9944,31,1),NA())</f>
        <v>#N/A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-26T13:40:41-0600',mode:absolute,to:'2017-03-26T16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94" t="str">
        <f t="shared" si="1"/>
        <v>"C:\Program Files (x86)\AstroGrep\AstroGrep.exe" /e /r /s /spath="%USERPROFILE%\AppData\Local\Temp\OnboardLogs" /stypes="*4004*201703262*" /stext=" 21:.+((SYSTEM_STATE.+slice.+state.+changed )|(ment ac)|(multiple cpu faults)|(system.+state.+changed )|(\[timeout)|(PRM\|1\|D)|(kpr)|(kdp)|(\|lc)|(penalty))"</v>
      </c>
      <c r="U34" s="9" t="str">
        <f t="shared" si="2"/>
        <v>4004</v>
      </c>
      <c r="V34" s="32">
        <f t="shared" si="3"/>
        <v>42820.898159722223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{"issue":{"subject":"","project_id":79,"tracker_id":40,"status_id":1,"priority_id":2,"assigned_to_id":23,"start_date":"2017-03-26","description":"","custom_fields":[{"id":1,"name":"Subdivision","value":"EC"},{"id":4,"name":"Milepost","value":"0.0001"},{"id":17,"name":"Train ID","value":"184-26"},{"id":16,"name":"Locomotive ID","value":"4004"},{"id":130,"name":"Impact","value":""},{"id":150,"name":"Time of Event (Mountain Time)","value":"15:33:21"},{"id":151,"name":"Denver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"%USERPROFILE%\AppData\Local\Temp\OnboardLogs"\RTDC4004\*4004*201703262*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"%USERPROFILE%\AppData\Local\Temp\OnboardLogs"\RTDC4004\*4004*201703262* &gt;&gt; 2017-03-26-SliceDisagreementCheck.txt</v>
      </c>
      <c r="AE34" s="157" t="str">
        <f t="shared" si="9"/>
        <v>start /low /b %USERPROFILE%\Documents\GitHub\eaglep3\Utilities\DownloadLogsFromS3.py --loco 4004 --day 2017-03-26</v>
      </c>
      <c r="AF34" s="1"/>
    </row>
    <row r="35" spans="1:32" x14ac:dyDescent="0.25">
      <c r="A35" s="32">
        <v>42820.484479166669</v>
      </c>
      <c r="B35" s="30" t="s">
        <v>452</v>
      </c>
      <c r="C35" s="30" t="s">
        <v>607</v>
      </c>
      <c r="D35" s="30" t="s">
        <v>49</v>
      </c>
      <c r="E35" s="30" t="s">
        <v>186</v>
      </c>
      <c r="F35" s="43">
        <v>0</v>
      </c>
      <c r="G35" s="43">
        <v>44</v>
      </c>
      <c r="H35" s="43">
        <v>233328</v>
      </c>
      <c r="I35" s="43">
        <v>233368</v>
      </c>
      <c r="J35" s="30" t="s">
        <v>187</v>
      </c>
      <c r="K35" s="43">
        <v>233491</v>
      </c>
      <c r="L35" s="143" t="s">
        <v>50</v>
      </c>
      <c r="M35" s="144">
        <f t="shared" si="0"/>
        <v>64.944000000000003</v>
      </c>
      <c r="N35" s="145" t="str">
        <f>VLOOKUP(C35,'Trips&amp;Operators'!$C$1:$G$99999,5,FALSE)</f>
        <v>STEWART MICHAEL</v>
      </c>
      <c r="O35" s="194" t="s">
        <v>185</v>
      </c>
      <c r="P35" s="146"/>
      <c r="Q35" s="30"/>
      <c r="R35" s="89" t="str">
        <f>IF(VLOOKUP(C35,'Train Runs'!$A$13:$AE$9944,1,1)=C35,VLOOKUP(C35,'Train Runs'!$A$13:$AE$9944,31,1),NA())</f>
        <v>aws s3 cp s3://rtdc.mdm.uploadarchive.raw/RTDC4025/ "%USERPROFILE%\AppData\Local\Temp\OnboardLogs"\RTDC4025\2017-03-26 --exclude "*" --recursive --include "*20170326*" &amp; "%USERPROFILE%\Documents\GitHub\mrs-test-scripts\Headless Mode &amp; Sideloading\WalkAndUnGZ.bat" "%USERPROFILE%\AppData\Local\Temp\OnboardLogs"\RTDC4025\2017-03-26 &amp; aws s3 cp s3://rtdc.mdm.uploadarchive.raw/RTDC4025/ "%USERPROFILE%\AppData\Local\Temp\OnboardLogs"\RTDC4025\2017-03-27 --exclude "*" --recursive --include "*20170327*" &amp; "%USERPROFILE%\Documents\GitHub\mrs-test-scripts\Headless Mode &amp; Sideloading\WalkAndUnGZ.bat" "%USERPROFILE%\AppData\Local\Temp\OnboardLogs"\RTDC4025\2017-03-27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-26T09:53:19-0600',mode:absolute,to:'2017-03-26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5" s="94" t="str">
        <f t="shared" si="1"/>
        <v>"C:\Program Files (x86)\AstroGrep\AstroGrep.exe" /e /r /s /spath="%USERPROFILE%\AppData\Local\Temp\OnboardLogs" /stypes="*4025*201703261*" /stext=" 17:.+((SYSTEM_STATE.+slice.+state.+changed )|(ment ac)|(multiple cpu faults)|(system.+state.+changed )|(\[timeout)|(PRM\|1\|D)|(kpr)|(kdp)|(\|lc)|(penalty))"</v>
      </c>
      <c r="U35" s="9" t="str">
        <f t="shared" si="2"/>
        <v>4025</v>
      </c>
      <c r="V35" s="32">
        <f t="shared" si="3"/>
        <v>42820.734479166669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ID","value":"159-26"},{"id":16,"name":"Locomotive ID","value":"4025"},{"id":130,"name":"Impact","value":""},{"id":150,"name":"Time of Event (Mountain Time)","value":"11:37:39"},{"id":151,"name":"Denver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"%USERPROFILE%\AppData\Local\Temp\OnboardLogs"\RTDC4025\*4025*201703261*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"%USERPROFILE%\AppData\Local\Temp\OnboardLogs"\RTDC4025\*4025*201703261* &gt;&gt; 2017-03-26-SliceDisagreementCheck.txt</v>
      </c>
      <c r="AE35" s="157" t="str">
        <f t="shared" si="9"/>
        <v>start /low /b %USERPROFILE%\Documents\GitHub\eaglep3\Utilities\DownloadLogsFromS3.py --loco 4025 --day 2017-03-26</v>
      </c>
      <c r="AF35" s="1"/>
    </row>
    <row r="36" spans="1:32" x14ac:dyDescent="0.25">
      <c r="A36" s="32">
        <v>42820.598622685182</v>
      </c>
      <c r="B36" s="30" t="s">
        <v>555</v>
      </c>
      <c r="C36" s="30" t="s">
        <v>610</v>
      </c>
      <c r="D36" s="30" t="s">
        <v>49</v>
      </c>
      <c r="E36" s="30" t="s">
        <v>186</v>
      </c>
      <c r="F36" s="43">
        <v>0</v>
      </c>
      <c r="G36" s="43">
        <v>82</v>
      </c>
      <c r="H36" s="43">
        <v>233200</v>
      </c>
      <c r="I36" s="43">
        <v>233289</v>
      </c>
      <c r="J36" s="30" t="s">
        <v>187</v>
      </c>
      <c r="K36" s="43">
        <v>233491</v>
      </c>
      <c r="L36" s="143" t="s">
        <v>50</v>
      </c>
      <c r="M36" s="144">
        <f t="shared" si="0"/>
        <v>106.65600000000001</v>
      </c>
      <c r="N36" s="145" t="str">
        <f>VLOOKUP(C36,'Trips&amp;Operators'!$C$1:$G$99999,5,FALSE)</f>
        <v>LOCKLEAR TRAVIS</v>
      </c>
      <c r="O36" s="194" t="s">
        <v>185</v>
      </c>
      <c r="P36" s="146"/>
      <c r="Q36" s="30"/>
      <c r="R36" s="89" t="e">
        <f>IF(VLOOKUP(C36,'Train Runs'!$A$13:$AE$9944,1,1)=C36,VLOOKUP(C36,'Train Runs'!$A$13:$AE$9944,31,1),NA())</f>
        <v>#N/A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-26T12:40:40-0600',mode:absolute,to:'2017-03-26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94" t="str">
        <f t="shared" si="1"/>
        <v>"C:\Program Files (x86)\AstroGrep\AstroGrep.exe" /e /r /s /spath="%USERPROFILE%\AppData\Local\Temp\OnboardLogs" /stypes="*4002*201703262*" /stext=" 20:.+((SYSTEM_STATE.+slice.+state.+changed )|(ment ac)|(multiple cpu faults)|(system.+state.+changed )|(\[timeout)|(PRM\|1\|D)|(kpr)|(kdp)|(\|lc)|(penalty))"</v>
      </c>
      <c r="U36" s="9" t="str">
        <f t="shared" si="2"/>
        <v>4002</v>
      </c>
      <c r="V36" s="32">
        <f t="shared" si="3"/>
        <v>42820.848622685182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ID","value":"181-26"},{"id":16,"name":"Locomotive ID","value":"4002"},{"id":130,"name":"Impact","value":""},{"id":150,"name":"Time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"%USERPROFILE%\AppData\Local\Temp\OnboardLogs"\RTDC4002\*4002*201703262*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"%USERPROFILE%\AppData\Local\Temp\OnboardLogs"\RTDC4002\*4002*201703262* &gt;&gt; 2017-03-26-SliceDisagreementCheck.txt</v>
      </c>
      <c r="AE36" s="157" t="str">
        <f t="shared" si="9"/>
        <v>start /low /b %USERPROFILE%\Documents\GitHub\eaglep3\Utilities\DownloadLogsFromS3.py --loco 4002 --day 2017-03-26</v>
      </c>
      <c r="AF36" s="1"/>
    </row>
    <row r="37" spans="1:32" x14ac:dyDescent="0.25">
      <c r="A37" s="32">
        <v>42820.796481481484</v>
      </c>
      <c r="B37" s="30" t="s">
        <v>392</v>
      </c>
      <c r="C37" s="30" t="s">
        <v>622</v>
      </c>
      <c r="D37" s="30" t="s">
        <v>49</v>
      </c>
      <c r="E37" s="30" t="s">
        <v>186</v>
      </c>
      <c r="F37" s="43">
        <v>0</v>
      </c>
      <c r="G37" s="43">
        <v>49</v>
      </c>
      <c r="H37" s="43">
        <v>233391</v>
      </c>
      <c r="I37" s="43">
        <v>233441</v>
      </c>
      <c r="J37" s="30" t="s">
        <v>187</v>
      </c>
      <c r="K37" s="43">
        <v>233491</v>
      </c>
      <c r="L37" s="143" t="s">
        <v>50</v>
      </c>
      <c r="M37" s="144">
        <f t="shared" si="0"/>
        <v>26.4</v>
      </c>
      <c r="N37" s="145" t="str">
        <f>VLOOKUP(C37,'Trips&amp;Operators'!$C$1:$G$99999,5,FALSE)</f>
        <v>STAMBAUGH JAMES</v>
      </c>
      <c r="O37" s="194" t="s">
        <v>185</v>
      </c>
      <c r="P37" s="146"/>
      <c r="Q37" s="30"/>
      <c r="R37" s="89" t="e">
        <f>IF(VLOOKUP(C37,'Train Runs'!$A$13:$AE$9944,1,1)=C37,VLOOKUP(C37,'Train Runs'!$A$13:$AE$9944,31,1),NA())</f>
        <v>#N/A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-26T17:21:46-0600',mode:absolute,to:'2017-03-26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7" s="94" t="str">
        <f t="shared" si="1"/>
        <v>"C:\Program Files (x86)\AstroGrep\AstroGrep.exe" /e /r /s /spath="%USERPROFILE%\AppData\Local\Temp\OnboardLogs" /stypes="*4046*201703270*" /stext=" 01:.+((SYSTEM_STATE.+slice.+state.+changed )|(ment ac)|(multiple cpu faults)|(system.+state.+changed )|(\[timeout)|(PRM\|1\|D)|(kpr)|(kdp)|(\|lc)|(penalty))"</v>
      </c>
      <c r="U37" s="9" t="str">
        <f t="shared" si="2"/>
        <v>4046</v>
      </c>
      <c r="V37" s="32">
        <f t="shared" si="3"/>
        <v>42821.046481481484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ID","value":"219-26"},{"id":16,"name":"Locomotive ID","value":"4046"},{"id":130,"name":"Impact","value":""},{"id":150,"name":"Time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"%USERPROFILE%\AppData\Local\Temp\OnboardLogs"\RTDC4046\*4046*201703270*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37" s="157" t="str">
        <f t="shared" si="9"/>
        <v>start /low /b %USERPROFILE%\Documents\GitHub\eaglep3\Utilities\DownloadLogsFromS3.py --loco 4046 --day 2017-03-27</v>
      </c>
      <c r="AF37" s="1"/>
    </row>
    <row r="38" spans="1:32" x14ac:dyDescent="0.25">
      <c r="A38" s="32">
        <v>42820.858495370368</v>
      </c>
      <c r="B38" s="30" t="s">
        <v>390</v>
      </c>
      <c r="C38" s="30" t="s">
        <v>623</v>
      </c>
      <c r="D38" s="30" t="s">
        <v>49</v>
      </c>
      <c r="E38" s="30" t="s">
        <v>186</v>
      </c>
      <c r="F38" s="43">
        <v>0</v>
      </c>
      <c r="G38" s="43">
        <v>41</v>
      </c>
      <c r="H38" s="43">
        <v>233346</v>
      </c>
      <c r="I38" s="43">
        <v>233376</v>
      </c>
      <c r="J38" s="30" t="s">
        <v>187</v>
      </c>
      <c r="K38" s="43">
        <v>233491</v>
      </c>
      <c r="L38" s="143" t="s">
        <v>50</v>
      </c>
      <c r="M38" s="144">
        <f t="shared" si="0"/>
        <v>60.72</v>
      </c>
      <c r="N38" s="145" t="str">
        <f>VLOOKUP(C38,'Trips&amp;Operators'!$C$1:$G$99999,5,FALSE)</f>
        <v>SMITH MICHAEL</v>
      </c>
      <c r="O38" s="194" t="s">
        <v>185</v>
      </c>
      <c r="P38" s="146"/>
      <c r="Q38" s="30"/>
      <c r="R38" s="89" t="e">
        <f>IF(VLOOKUP(C38,'Train Runs'!$A$13:$AE$9944,1,1)=C38,VLOOKUP(C38,'Train Runs'!$A$13:$AE$9944,31,1),NA())</f>
        <v>#N/A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-26T18:53:42-0600',mode:absolute,to:'2017-03-26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8" s="94" t="str">
        <f t="shared" si="1"/>
        <v>"C:\Program Files (x86)\AstroGrep\AstroGrep.exe" /e /r /s /spath="%USERPROFILE%\AppData\Local\Temp\OnboardLogs" /stypes="*4031*201703270*" /stext=" 02:.+((SYSTEM_STATE.+slice.+state.+changed )|(ment ac)|(multiple cpu faults)|(system.+state.+changed )|(\[timeout)|(PRM\|1\|D)|(kpr)|(kdp)|(\|lc)|(penalty))"</v>
      </c>
      <c r="U38" s="9" t="str">
        <f t="shared" si="2"/>
        <v>4031</v>
      </c>
      <c r="V38" s="32">
        <f t="shared" si="3"/>
        <v>42821.108495370368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ID","value":"225-26"},{"id":16,"name":"Locomotive ID","value":"4031"},{"id":130,"name":"Impact","value":""},{"id":150,"name":"Time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10"/>
        <v>grep -hSE -A400 "Enforcement Action" "%USERPROFILE%\AppData\Local\Temp\OnboardLogs"\RTDC4031\*4031*201703270*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"%USERPROFILE%\AppData\Local\Temp\OnboardLogs"\RTDC4031\*4031*201703270* &gt;&gt; 2017-03-26-SliceDisagreementCheck.txt</v>
      </c>
      <c r="AE38" s="157" t="str">
        <f t="shared" si="9"/>
        <v>start /low /b %USERPROFILE%\Documents\GitHub\eaglep3\Utilities\DownloadLogsFromS3.py --loco 4031 --day 2017-03-27</v>
      </c>
      <c r="AF38" s="1"/>
    </row>
    <row r="39" spans="1:32" x14ac:dyDescent="0.25">
      <c r="A39" s="32">
        <v>42820.964363425926</v>
      </c>
      <c r="B39" s="30" t="s">
        <v>392</v>
      </c>
      <c r="C39" s="30" t="s">
        <v>624</v>
      </c>
      <c r="D39" s="30" t="s">
        <v>49</v>
      </c>
      <c r="E39" s="30" t="s">
        <v>186</v>
      </c>
      <c r="F39" s="43">
        <v>0</v>
      </c>
      <c r="G39" s="43">
        <v>28</v>
      </c>
      <c r="H39" s="43">
        <v>233406</v>
      </c>
      <c r="I39" s="43">
        <v>233429</v>
      </c>
      <c r="J39" s="30" t="s">
        <v>187</v>
      </c>
      <c r="K39" s="43">
        <v>233491</v>
      </c>
      <c r="L39" s="143" t="s">
        <v>50</v>
      </c>
      <c r="M39" s="144">
        <f t="shared" si="0"/>
        <v>32.735999999999997</v>
      </c>
      <c r="N39" s="145" t="str">
        <f>VLOOKUP(C39,'Trips&amp;Operators'!$C$1:$G$99999,5,FALSE)</f>
        <v>STAMBAUGH JAMES</v>
      </c>
      <c r="O39" s="194" t="s">
        <v>185</v>
      </c>
      <c r="P39" s="146"/>
      <c r="Q39" s="30"/>
      <c r="R39" s="89" t="e">
        <f>IF(VLOOKUP(C39,'Train Runs'!$A$13:$AE$9944,1,1)=C39,VLOOKUP(C39,'Train Runs'!$A$13:$AE$9944,31,1),NA())</f>
        <v>#N/A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-26T21:27:40-0600',mode:absolute,to:'2017-03-27T00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9" s="94" t="str">
        <f t="shared" si="1"/>
        <v>"C:\Program Files (x86)\AstroGrep\AstroGrep.exe" /e /r /s /spath="%USERPROFILE%\AppData\Local\Temp\OnboardLogs" /stypes="*4046*201703270*" /stext=" 05:.+((SYSTEM_STATE.+slice.+state.+changed )|(ment ac)|(multiple cpu faults)|(system.+state.+changed )|(\[timeout)|(PRM\|1\|D)|(kpr)|(kdp)|(\|lc)|(penalty))"</v>
      </c>
      <c r="U39" s="9" t="str">
        <f t="shared" si="2"/>
        <v>4046</v>
      </c>
      <c r="V39" s="32">
        <f t="shared" si="3"/>
        <v>42821.214363425926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{"issue":{"subject":"","project_id":79,"tracker_id":40,"status_id":1,"priority_id":2,"assigned_to_id":23,"start_date":"2017-03-26","description":"","custom_fields":[{"id":1,"name":"Subdivision","value":"EC"},{"id":4,"name":"Milepost","value":"23.3491"},{"id":17,"name":"Train ID","value":"235-26"},{"id":16,"name":"Locomotive ID","value":"4046"},{"id":130,"name":"Impact","value":""},{"id":150,"name":"Time of Event (Mountain Time)","value":"23:08:41"},{"id":151,"name":"Denver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10"/>
        <v>grep -hSE -A400 "Enforcement Action" "%USERPROFILE%\AppData\Local\Temp\OnboardLogs"\RTDC4046\*4046*201703270*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39" s="157" t="str">
        <f t="shared" si="9"/>
        <v>start /low /b %USERPROFILE%\Documents\GitHub\eaglep3\Utilities\DownloadLogsFromS3.py --loco 4046 --day 2017-03-27</v>
      </c>
      <c r="AF39" s="1"/>
    </row>
    <row r="40" spans="1:32" x14ac:dyDescent="0.25">
      <c r="A40" s="32">
        <v>42821.045787037037</v>
      </c>
      <c r="B40" s="30" t="s">
        <v>392</v>
      </c>
      <c r="C40" s="30" t="s">
        <v>625</v>
      </c>
      <c r="D40" s="30" t="s">
        <v>49</v>
      </c>
      <c r="E40" s="30" t="s">
        <v>186</v>
      </c>
      <c r="F40" s="43">
        <v>0</v>
      </c>
      <c r="G40" s="43">
        <v>31</v>
      </c>
      <c r="H40" s="43">
        <v>233412</v>
      </c>
      <c r="I40" s="43">
        <v>233444</v>
      </c>
      <c r="J40" s="30" t="s">
        <v>187</v>
      </c>
      <c r="K40" s="43">
        <v>233491</v>
      </c>
      <c r="L40" s="143" t="s">
        <v>50</v>
      </c>
      <c r="M40" s="144">
        <f t="shared" si="0"/>
        <v>24.815999999999999</v>
      </c>
      <c r="N40" s="145" t="str">
        <f>VLOOKUP(C40,'Trips&amp;Operators'!$C$1:$G$99999,5,FALSE)</f>
        <v>STAMBAUGH JAMES</v>
      </c>
      <c r="O40" s="194" t="s">
        <v>185</v>
      </c>
      <c r="P40" s="146"/>
      <c r="Q40" s="30"/>
      <c r="R40" s="89" t="e">
        <f>IF(VLOOKUP(C40,'Train Runs'!$A$13:$AE$9944,1,1)=C40,VLOOKUP(C40,'Train Runs'!$A$13:$AE$9944,31,1),NA())</f>
        <v>#N/A</v>
      </c>
      <c r="S40" s="92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-03-26T23:05:39-0600',mode:absolute,to:'2017-03-27T02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94" t="str">
        <f t="shared" si="1"/>
        <v>"C:\Program Files (x86)\AstroGrep\AstroGrep.exe" /e /r /s /spath="%USERPROFILE%\AppData\Local\Temp\OnboardLogs" /stypes="*4046*201703270*" /stext=" 07:.+((SYSTEM_STATE.+slice.+state.+changed )|(ment ac)|(multiple cpu faults)|(system.+state.+changed )|(\[timeout)|(PRM\|1\|D)|(kpr)|(kdp)|(\|lc)|(penalty))"</v>
      </c>
      <c r="U40" s="9" t="str">
        <f t="shared" si="2"/>
        <v>4046</v>
      </c>
      <c r="V40" s="32">
        <f t="shared" si="3"/>
        <v>42821.295787037037</v>
      </c>
      <c r="W40" s="46" t="str">
        <f t="shared" si="4"/>
        <v>EC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{"issue":{"subject":"","project_id":79,"tracker_id":40,"status_id":1,"priority_id":2,"assigned_to_id":23,"start_date":"2017-03-27","description":"","custom_fields":[{"id":1,"name":"Subdivision","value":"EC"},{"id":4,"name":"Milepost","value":"23.3491"},{"id":17,"name":"Train ID","value":"243-26"},{"id":16,"name":"Locomotive ID","value":"4046"},{"id":130,"name":"Impact","value":""},{"id":150,"name":"Time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10"/>
        <v>grep -hSE -A400 "Enforcement Action" "%USERPROFILE%\AppData\Local\Temp\OnboardLogs"\RTDC4046\*4046*201703270*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"%USERPROFILE%\AppData\Local\Temp\OnboardLogs"\RTDC4046\*4046*201703270* &gt;&gt; 2017-03-26-SliceDisagreementCheck.txt</v>
      </c>
      <c r="AE40" s="157" t="str">
        <f t="shared" si="9"/>
        <v>start /low /b %USERPROFILE%\Documents\GitHub\eaglep3\Utilities\DownloadLogsFromS3.py --loco 4046 --day 2017-03-27</v>
      </c>
      <c r="AF40" s="1"/>
    </row>
    <row r="41" spans="1:32" x14ac:dyDescent="0.25">
      <c r="A41" s="32">
        <v>42820.617245370369</v>
      </c>
      <c r="B41" s="30" t="s">
        <v>405</v>
      </c>
      <c r="C41" s="30" t="s">
        <v>614</v>
      </c>
      <c r="D41" s="30" t="s">
        <v>49</v>
      </c>
      <c r="E41" s="30" t="s">
        <v>217</v>
      </c>
      <c r="F41" s="43">
        <v>300</v>
      </c>
      <c r="G41" s="43">
        <v>403</v>
      </c>
      <c r="H41" s="43">
        <v>24641</v>
      </c>
      <c r="I41" s="43">
        <v>23442</v>
      </c>
      <c r="J41" s="30" t="s">
        <v>218</v>
      </c>
      <c r="K41" s="43">
        <v>23561</v>
      </c>
      <c r="L41" s="143" t="s">
        <v>51</v>
      </c>
      <c r="M41" s="144">
        <f t="shared" si="0"/>
        <v>-62.832000000000001</v>
      </c>
      <c r="N41" s="145" t="str">
        <f>VLOOKUP(C41,'Trips&amp;Operators'!$C$1:$G$99999,5,FALSE)</f>
        <v>HELVIE ADAM</v>
      </c>
      <c r="O41" s="194" t="s">
        <v>185</v>
      </c>
      <c r="P41" s="146"/>
      <c r="Q41" s="30"/>
      <c r="R41" s="89" t="str">
        <f>IF(VLOOKUP(C41,'Train Runs'!$A$13:$AE$9944,1,1)=C41,VLOOKUP(C41,'Train Runs'!$A$13:$AE$9944,31,1),NA())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S41" s="92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-03-26T13:36:19-0600',mode:absolute,to:'2017-03-26T15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94" t="str">
        <f t="shared" si="1"/>
        <v>"C:\Program Files (x86)\AstroGrep\AstroGrep.exe" /e /r /s /spath="%USERPROFILE%\AppData\Local\Temp\OnboardLogs" /stypes="*4012*201703262*" /stext=" 20:.+((SYSTEM_STATE.+slice.+state.+changed )|(ment ac)|(multiple cpu faults)|(system.+state.+changed )|(\[timeout)|(PRM\|1\|D)|(kpr)|(kdp)|(\|lc)|(penalty))"</v>
      </c>
      <c r="U41" s="9" t="str">
        <f t="shared" si="2"/>
        <v>4012</v>
      </c>
      <c r="V41" s="32">
        <f t="shared" si="3"/>
        <v>42820.867245370369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{"issue":{"subject":"","project_id":79,"tracker_id":40,"status_id":1,"priority_id":2,"assigned_to_id":23,"start_date":"2017-03-26","description":"","custom_fields":[{"id":1,"name":"Subdivision","value":"NW"},{"id":4,"name":"Milepost","value":"2.3561"},{"id":17,"name":"Train ID","value":"1818-26"},{"id":16,"name":"Locomotive ID","value":"4012"},{"id":130,"name":"Impact","value":""},{"id":150,"name":"Time of Event (Mountain Time)","value":"14:48:50"},{"id":151,"name":"Denver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10"/>
        <v>grep -hSE -A400 "Enforcement Action" "%USERPROFILE%\AppData\Local\Temp\OnboardLogs"\RTDC4012\*4012*201703262*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"%USERPROFILE%\AppData\Local\Temp\OnboardLogs"\RTDC4012\*4012*201703262* &gt;&gt; 2017-03-26-SliceDisagreementCheck.txt</v>
      </c>
      <c r="AE41" s="157" t="str">
        <f t="shared" si="9"/>
        <v>start /low /b %USERPROFILE%\Documents\GitHub\eaglep3\Utilities\DownloadLogsFromS3.py --loco 4012 --day 2017-03-26</v>
      </c>
      <c r="AF41" s="1"/>
    </row>
    <row r="42" spans="1:32" x14ac:dyDescent="0.25">
      <c r="A42" s="32">
        <v>42820.662604166668</v>
      </c>
      <c r="B42" s="30" t="s">
        <v>405</v>
      </c>
      <c r="C42" s="30" t="s">
        <v>616</v>
      </c>
      <c r="D42" s="30" t="s">
        <v>49</v>
      </c>
      <c r="E42" s="30" t="s">
        <v>186</v>
      </c>
      <c r="F42" s="43">
        <v>0</v>
      </c>
      <c r="G42" s="43">
        <v>52</v>
      </c>
      <c r="H42" s="43">
        <v>734</v>
      </c>
      <c r="I42" s="43">
        <v>698</v>
      </c>
      <c r="J42" s="30" t="s">
        <v>187</v>
      </c>
      <c r="K42" s="43">
        <v>575</v>
      </c>
      <c r="L42" s="143" t="s">
        <v>51</v>
      </c>
      <c r="M42" s="144">
        <f t="shared" si="0"/>
        <v>64.944000000000003</v>
      </c>
      <c r="N42" s="145" t="str">
        <f>VLOOKUP(C42,'Trips&amp;Operators'!$C$1:$G$99999,5,FALSE)</f>
        <v>HELVIE ADAM</v>
      </c>
      <c r="O42" s="194" t="s">
        <v>185</v>
      </c>
      <c r="P42" s="146"/>
      <c r="Q42" s="30"/>
      <c r="R42" s="89" t="str">
        <f>IF(VLOOKUP(C42,'Train Runs'!$A$13:$AE$9944,1,1)=C42,VLOOKUP(C42,'Train Runs'!$A$13:$AE$9944,31,1),NA())</f>
        <v>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 &amp; aws s3 cp s3://rtdc.mdm.uploadarchive.raw/RTDC4012/ "%USERPROFILE%\AppData\Local\Temp\OnboardLogs"\RTDC4012\2017-03-27 --exclude "*" --recursive --include "*20170327*" &amp; "%USERPROFILE%\Documents\GitHub\mrs-test-scripts\Headless Mode &amp; Sideloading\WalkAndUnGZ.bat" "%USERPROFILE%\AppData\Local\Temp\OnboardLogs"\RTDC4012\2017-03-27</v>
      </c>
      <c r="S42" s="92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-03-26T14:39:04-0600',mode:absolute,to:'2017-03-26T16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94" t="str">
        <f t="shared" si="1"/>
        <v>"C:\Program Files (x86)\AstroGrep\AstroGrep.exe" /e /r /s /spath="%USERPROFILE%\AppData\Local\Temp\OnboardLogs" /stypes="*4012*201703262*" /stext=" 21:.+((SYSTEM_STATE.+slice.+state.+changed )|(ment ac)|(multiple cpu faults)|(system.+state.+changed )|(\[timeout)|(PRM\|1\|D)|(kpr)|(kdp)|(\|lc)|(penalty))"</v>
      </c>
      <c r="U42" s="9" t="str">
        <f t="shared" si="2"/>
        <v>4012</v>
      </c>
      <c r="V42" s="32">
        <f t="shared" si="3"/>
        <v>42820.912604166668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{"issue":{"subject":"","project_id":79,"tracker_id":40,"status_id":1,"priority_id":2,"assigned_to_id":23,"start_date":"2017-03-26","description":"","custom_fields":[{"id":1,"name":"Subdivision","value":"NW"},{"id":4,"name":"Milepost","value":"0.0575"},{"id":17,"name":"Train ID","value":"1820-26"},{"id":16,"name":"Locomotive ID","value":"4012"},{"id":130,"name":"Impact","value":""},{"id":150,"name":"Time of Event (Mountain Time)","value":"15:54:09"},{"id":151,"name":"Denver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si="10"/>
        <v>grep -hSE -A400 "Enforcement Action" "%USERPROFILE%\AppData\Local\Temp\OnboardLogs"\RTDC4012\*4012*201703262*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"%USERPROFILE%\AppData\Local\Temp\OnboardLogs"\RTDC4012\*4012*201703262* &gt;&gt; 2017-03-26-SliceDisagreementCheck.txt</v>
      </c>
      <c r="AE42" s="157" t="str">
        <f t="shared" si="9"/>
        <v>start /low /b %USERPROFILE%\Documents\GitHub\eaglep3\Utilities\DownloadLogsFromS3.py --loco 4012 --day 2017-03-26</v>
      </c>
      <c r="AF42" s="1"/>
    </row>
    <row r="43" spans="1:32" x14ac:dyDescent="0.25">
      <c r="A43" s="32">
        <v>42820.176840277774</v>
      </c>
      <c r="B43" s="30" t="s">
        <v>402</v>
      </c>
      <c r="C43" s="30" t="s">
        <v>596</v>
      </c>
      <c r="D43" s="30" t="s">
        <v>98</v>
      </c>
      <c r="E43" s="30" t="s">
        <v>356</v>
      </c>
      <c r="F43" s="43">
        <v>0</v>
      </c>
      <c r="G43" s="43">
        <v>17</v>
      </c>
      <c r="H43" s="43">
        <v>22647</v>
      </c>
      <c r="I43" s="43">
        <v>22595</v>
      </c>
      <c r="J43" s="30" t="s">
        <v>357</v>
      </c>
      <c r="K43" s="43">
        <v>24161</v>
      </c>
      <c r="L43" s="143" t="s">
        <v>51</v>
      </c>
      <c r="M43" s="144">
        <f t="shared" si="0"/>
        <v>-826.84799999999996</v>
      </c>
      <c r="N43" s="145" t="str">
        <f>VLOOKUP(C43,'Trips&amp;Operators'!$C$1:$G$99999,5,FALSE)</f>
        <v>DAVIS WENDY</v>
      </c>
      <c r="O43" s="194" t="s">
        <v>185</v>
      </c>
      <c r="P43" s="146"/>
      <c r="Q43" s="30"/>
      <c r="R43" s="89" t="e">
        <f>IF(VLOOKUP(C43,'Train Runs'!$A$13:$AE$9944,1,1)=C43,VLOOKUP(C43,'Train Runs'!$A$13:$AE$9944,31,1),NA())</f>
        <v>#N/A</v>
      </c>
      <c r="S43" s="92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-03-26T03:09:18-0600',mode:absolute,to:'2017-03-26T05:14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3" s="94" t="str">
        <f t="shared" si="1"/>
        <v>"C:\Program Files (x86)\AstroGrep\AstroGrep.exe" /e /r /s /spath="%USERPROFILE%\AppData\Local\Temp\OnboardLogs" /stypes="*4015*201703261*" /stext=" 10:.+((SYSTEM_STATE.+slice.+state.+changed )|(ment ac)|(multiple cpu faults)|(system.+state.+changed )|(\[timeout)|(PRM\|1\|D)|(kpr)|(kdp)|(\|lc)|(penalty))"</v>
      </c>
      <c r="U43" s="9" t="str">
        <f t="shared" si="2"/>
        <v>4015</v>
      </c>
      <c r="V43" s="32">
        <f t="shared" si="3"/>
        <v>42820.426840277774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{"issue":{"subject":"","project_id":79,"tracker_id":40,"status_id":1,"priority_id":2,"assigned_to_id":23,"start_date":"2017-03-26","description":"","custom_fields":[{"id":1,"name":"Subdivision","value":"Other"},{"id":4,"name":"Milepost","value":"2.4161"},{"id":17,"name":"Train ID","value":"308-26"},{"id":16,"name":"Locomotive ID","value":"4015"},{"id":130,"name":"Impact","value":""},{"id":150,"name":"Time of Event (Mountain Time)","value":"04:14:39"},{"id":151,"name":"Denver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10"/>
        <v>grep -hSE -A400 "Enforcement Action" "%USERPROFILE%\AppData\Local\Temp\OnboardLogs"\RTDC4015\*4015*201703261*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"%USERPROFILE%\AppData\Local\Temp\OnboardLogs"\RTDC4015\*4015*201703261* &gt;&gt; 2017-03-26-SliceDisagreementCheck.txt</v>
      </c>
      <c r="AE43" s="157" t="str">
        <f t="shared" si="9"/>
        <v>start /low /b %USERPROFILE%\Documents\GitHub\eaglep3\Utilities\DownloadLogsFromS3.py --loco 4015 --day 2017-03-26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2017-03-26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-26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Runs'!$A$13:$A$99941,1,FALSE)</f>
        <v>#N/A</v>
      </c>
    </row>
    <row r="4" spans="1:10" x14ac:dyDescent="0.25">
      <c r="A4" s="185"/>
      <c r="B4" s="43" t="str">
        <f>A4&amp;"-"&amp;IF(DAY(Variables!$A$2)&lt;10,0,"")&amp;DAY(Variables!$A$2)</f>
        <v>-26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Runs'!$A$13:$A$99941,1,FALSE)</f>
        <v>#N/A</v>
      </c>
    </row>
    <row r="5" spans="1:10" x14ac:dyDescent="0.25">
      <c r="A5" s="185"/>
      <c r="B5" s="43" t="str">
        <f>A5&amp;"-"&amp;IF(DAY(Variables!$A$2)&lt;10,0,"")&amp;DAY(Variables!$A$2)</f>
        <v>-26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Runs'!$A$13:$A$99941,1,FALSE)</f>
        <v>#N/A</v>
      </c>
    </row>
    <row r="6" spans="1:10" x14ac:dyDescent="0.25">
      <c r="A6" s="185"/>
      <c r="B6" s="43" t="str">
        <f>A6&amp;"-"&amp;IF(DAY(Variables!$A$2)&lt;10,0,"")&amp;DAY(Variables!$A$2)</f>
        <v>-26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Runs'!$A$13:$A$99941,1,FALSE)</f>
        <v>#N/A</v>
      </c>
    </row>
    <row r="7" spans="1:10" x14ac:dyDescent="0.25">
      <c r="A7" s="185"/>
      <c r="B7" s="43" t="str">
        <f>A7&amp;"-"&amp;IF(DAY(Variables!$A$2)&lt;10,0,"")&amp;DAY(Variables!$A$2)</f>
        <v>-26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Runs'!$A$13:$A$99941,1,FALSE)</f>
        <v>#N/A</v>
      </c>
    </row>
    <row r="8" spans="1:10" x14ac:dyDescent="0.25">
      <c r="A8" s="185"/>
      <c r="B8" s="43" t="str">
        <f>A8&amp;"-"&amp;IF(DAY(Variables!$A$2)&lt;10,0,"")&amp;DAY(Variables!$A$2)</f>
        <v>-26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Runs'!$A$13:$A$99941,1,FALSE)</f>
        <v>#N/A</v>
      </c>
    </row>
    <row r="9" spans="1:10" x14ac:dyDescent="0.25">
      <c r="A9" s="185"/>
      <c r="B9" s="43" t="str">
        <f>A9&amp;"-"&amp;IF(DAY(Variables!$A$2)&lt;10,0,"")&amp;DAY(Variables!$A$2)</f>
        <v>-26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Runs'!$A$13:$A$99941,1,FALSE)</f>
        <v>#N/A</v>
      </c>
    </row>
    <row r="10" spans="1:10" x14ac:dyDescent="0.25">
      <c r="A10" s="185"/>
      <c r="B10" s="43" t="str">
        <f>A10&amp;"-"&amp;IF(DAY(Variables!$A$2)&lt;10,0,"")&amp;DAY(Variables!$A$2)</f>
        <v>-26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Runs'!$A$13:$A$99941,1,FALSE)</f>
        <v>#N/A</v>
      </c>
    </row>
    <row r="11" spans="1:10" x14ac:dyDescent="0.25">
      <c r="A11" s="185"/>
      <c r="B11" s="43" t="str">
        <f>A11&amp;"-"&amp;IF(DAY(Variables!$A$2)&lt;10,0,"")&amp;DAY(Variables!$A$2)</f>
        <v>-26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Runs'!$A$13:$A$99941,1,FALSE)</f>
        <v>#N/A</v>
      </c>
    </row>
    <row r="12" spans="1:10" x14ac:dyDescent="0.25">
      <c r="A12" s="185"/>
      <c r="B12" s="43" t="str">
        <f>A12&amp;"-"&amp;IF(DAY(Variables!$A$2)&lt;10,0,"")&amp;DAY(Variables!$A$2)</f>
        <v>-26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Runs'!$A$13:$A$99941,1,FALSE)</f>
        <v>#N/A</v>
      </c>
    </row>
    <row r="13" spans="1:10" x14ac:dyDescent="0.25">
      <c r="A13" s="185"/>
      <c r="B13" s="43" t="str">
        <f>A13&amp;"-"&amp;IF(DAY(Variables!$A$2)&lt;10,0,"")&amp;DAY(Variables!$A$2)</f>
        <v>-26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Runs'!$A$13:$A$99941,1,FALSE)</f>
        <v>#N/A</v>
      </c>
    </row>
    <row r="14" spans="1:10" x14ac:dyDescent="0.25">
      <c r="A14" s="185"/>
      <c r="B14" s="43" t="str">
        <f>A14&amp;"-"&amp;IF(DAY(Variables!$A$2)&lt;10,0,"")&amp;DAY(Variables!$A$2)</f>
        <v>-26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Runs'!$A$13:$A$99941,1,FALSE)</f>
        <v>#N/A</v>
      </c>
    </row>
    <row r="15" spans="1:10" x14ac:dyDescent="0.25">
      <c r="A15" s="185"/>
      <c r="B15" s="43" t="str">
        <f>A15&amp;"-"&amp;IF(DAY(Variables!$A$2)&lt;10,0,"")&amp;DAY(Variables!$A$2)</f>
        <v>-26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Runs'!$A$13:$A$99941,1,FALSE)</f>
        <v>#N/A</v>
      </c>
    </row>
    <row r="16" spans="1:10" x14ac:dyDescent="0.25">
      <c r="A16" s="185"/>
      <c r="B16" s="43" t="str">
        <f>A16&amp;"-"&amp;IF(DAY(Variables!$A$2)&lt;10,0,"")&amp;DAY(Variables!$A$2)</f>
        <v>-26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Runs'!$A$13:$A$99941,1,FALSE)</f>
        <v>#N/A</v>
      </c>
    </row>
    <row r="17" spans="1:10" x14ac:dyDescent="0.25">
      <c r="A17" s="185"/>
      <c r="B17" s="43" t="str">
        <f>A17&amp;"-"&amp;IF(DAY(Variables!$A$2)&lt;10,0,"")&amp;DAY(Variables!$A$2)</f>
        <v>-26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Runs'!$A$13:$A$99941,1,FALSE)</f>
        <v>#N/A</v>
      </c>
    </row>
    <row r="18" spans="1:10" x14ac:dyDescent="0.25">
      <c r="A18" s="185"/>
      <c r="B18" s="43" t="str">
        <f>A18&amp;"-"&amp;IF(DAY(Variables!$A$2)&lt;10,0,"")&amp;DAY(Variables!$A$2)</f>
        <v>-26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Runs'!$A$13:$A$99941,1,FALSE)</f>
        <v>#N/A</v>
      </c>
    </row>
    <row r="19" spans="1:10" x14ac:dyDescent="0.25">
      <c r="A19" s="185"/>
      <c r="B19" s="43" t="str">
        <f>A19&amp;"-"&amp;IF(DAY(Variables!$A$2)&lt;10,0,"")&amp;DAY(Variables!$A$2)</f>
        <v>-26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Runs'!$A$13:$A$99941,1,FALSE)</f>
        <v>#N/A</v>
      </c>
    </row>
    <row r="20" spans="1:10" x14ac:dyDescent="0.25">
      <c r="A20" s="185"/>
      <c r="B20" s="43" t="str">
        <f>A20&amp;"-"&amp;IF(DAY(Variables!$A$2)&lt;10,0,"")&amp;DAY(Variables!$A$2)</f>
        <v>-26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Runs'!$A$13:$A$99941,1,FALSE)</f>
        <v>#N/A</v>
      </c>
    </row>
    <row r="21" spans="1:10" x14ac:dyDescent="0.25">
      <c r="A21" s="185"/>
      <c r="B21" s="43" t="str">
        <f>A21&amp;"-"&amp;IF(DAY(Variables!$A$2)&lt;10,0,"")&amp;DAY(Variables!$A$2)</f>
        <v>-26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Runs'!$A$13:$A$99941,1,FALSE)</f>
        <v>#N/A</v>
      </c>
    </row>
    <row r="22" spans="1:10" x14ac:dyDescent="0.25">
      <c r="A22" s="185"/>
      <c r="B22" s="43" t="str">
        <f>A22&amp;"-"&amp;IF(DAY(Variables!$A$2)&lt;10,0,"")&amp;DAY(Variables!$A$2)</f>
        <v>-26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Runs'!$A$13:$A$99941,1,FALSE)</f>
        <v>#N/A</v>
      </c>
    </row>
    <row r="23" spans="1:10" x14ac:dyDescent="0.25">
      <c r="A23" s="185"/>
      <c r="B23" s="43" t="str">
        <f>A23&amp;"-"&amp;IF(DAY(Variables!$A$2)&lt;10,0,"")&amp;DAY(Variables!$A$2)</f>
        <v>-26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Runs'!$A$13:$A$99941,1,FALSE)</f>
        <v>#N/A</v>
      </c>
    </row>
    <row r="24" spans="1:10" x14ac:dyDescent="0.25">
      <c r="A24" s="185"/>
      <c r="B24" s="43" t="str">
        <f>A24&amp;"-"&amp;IF(DAY(Variables!$A$2)&lt;10,0,"")&amp;DAY(Variables!$A$2)</f>
        <v>-26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Runs'!$A$13:$A$99941,1,FALSE)</f>
        <v>#N/A</v>
      </c>
    </row>
    <row r="25" spans="1:10" x14ac:dyDescent="0.25">
      <c r="A25" s="185"/>
      <c r="B25" s="43" t="str">
        <f>A25&amp;"-"&amp;IF(DAY(Variables!$A$2)&lt;10,0,"")&amp;DAY(Variables!$A$2)</f>
        <v>-26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Runs'!$A$13:$A$99941,1,FALSE)</f>
        <v>#N/A</v>
      </c>
    </row>
    <row r="26" spans="1:10" x14ac:dyDescent="0.25">
      <c r="A26" s="185"/>
      <c r="B26" s="43" t="str">
        <f>A26&amp;"-"&amp;IF(DAY(Variables!$A$2)&lt;10,0,"")&amp;DAY(Variables!$A$2)</f>
        <v>-26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Runs'!$A$13:$A$99941,1,FALSE)</f>
        <v>#N/A</v>
      </c>
    </row>
    <row r="27" spans="1:10" x14ac:dyDescent="0.25">
      <c r="A27" s="185"/>
      <c r="B27" s="43" t="str">
        <f>A27&amp;"-"&amp;IF(DAY(Variables!$A$2)&lt;10,0,"")&amp;DAY(Variables!$A$2)</f>
        <v>-26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Runs'!$A$13:$A$99941,1,FALSE)</f>
        <v>#N/A</v>
      </c>
    </row>
    <row r="28" spans="1:10" x14ac:dyDescent="0.25">
      <c r="A28" s="185"/>
      <c r="B28" s="43" t="str">
        <f>A28&amp;"-"&amp;IF(DAY(Variables!$A$2)&lt;10,0,"")&amp;DAY(Variables!$A$2)</f>
        <v>-26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Runs'!$A$13:$A$99941,1,FALSE)</f>
        <v>#N/A</v>
      </c>
    </row>
    <row r="29" spans="1:10" x14ac:dyDescent="0.25">
      <c r="A29" s="185"/>
      <c r="B29" s="43" t="str">
        <f>A29&amp;"-"&amp;IF(DAY(Variables!$A$2)&lt;10,0,"")&amp;DAY(Variables!$A$2)</f>
        <v>-26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0" t="e">
        <f>VLOOKUP(B29,'Train Runs'!$A$13:$A$99941,1,FALSE)</f>
        <v>#N/A</v>
      </c>
    </row>
    <row r="30" spans="1:10" x14ac:dyDescent="0.25">
      <c r="A30" s="185"/>
      <c r="B30" s="43" t="str">
        <f>A30&amp;"-"&amp;IF(DAY(Variables!$A$2)&lt;10,0,"")&amp;DAY(Variables!$A$2)</f>
        <v>-26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0" t="e">
        <f>VLOOKUP(B30,'Train Runs'!$A$13:$A$99941,1,FALSE)</f>
        <v>#N/A</v>
      </c>
    </row>
    <row r="31" spans="1:10" x14ac:dyDescent="0.25">
      <c r="A31" s="185"/>
      <c r="B31" s="43" t="str">
        <f>A31&amp;"-"&amp;IF(DAY(Variables!$A$2)&lt;10,0,"")&amp;DAY(Variables!$A$2)</f>
        <v>-26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0" t="e">
        <f>VLOOKUP(B31,'Train Runs'!$A$13:$A$99941,1,FALSE)</f>
        <v>#N/A</v>
      </c>
    </row>
    <row r="32" spans="1:10" x14ac:dyDescent="0.25">
      <c r="A32" s="185"/>
      <c r="B32" s="43" t="str">
        <f>A32&amp;"-"&amp;IF(DAY(Variables!$A$2)&lt;10,0,"")&amp;DAY(Variables!$A$2)</f>
        <v>-26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0" t="e">
        <f>VLOOKUP(B32,'Train Runs'!$A$13:$A$99941,1,FALSE)</f>
        <v>#N/A</v>
      </c>
    </row>
    <row r="33" spans="1:10" x14ac:dyDescent="0.25">
      <c r="A33" s="185"/>
      <c r="B33" s="43" t="str">
        <f>A33&amp;"-"&amp;IF(DAY(Variables!$A$2)&lt;10,0,"")&amp;DAY(Variables!$A$2)</f>
        <v>-26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0" t="e">
        <f>VLOOKUP(B33,'Train Runs'!$A$13:$A$99941,1,FALSE)</f>
        <v>#N/A</v>
      </c>
    </row>
    <row r="34" spans="1:10" x14ac:dyDescent="0.25">
      <c r="A34" s="185"/>
      <c r="B34" s="43" t="str">
        <f>A34&amp;"-"&amp;IF(DAY(Variables!$A$2)&lt;10,0,"")&amp;DAY(Variables!$A$2)</f>
        <v>-26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0" t="e">
        <f>VLOOKUP(B34,'Train Runs'!$A$13:$A$99941,1,FALSE)</f>
        <v>#N/A</v>
      </c>
    </row>
    <row r="35" spans="1:10" x14ac:dyDescent="0.25">
      <c r="A35" s="185"/>
      <c r="B35" s="43" t="str">
        <f>A35&amp;"-"&amp;IF(DAY(Variables!$A$2)&lt;10,0,"")&amp;DAY(Variables!$A$2)</f>
        <v>-26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0" t="e">
        <f>VLOOKUP(B35,'Train Runs'!$A$13:$A$99941,1,FALSE)</f>
        <v>#N/A</v>
      </c>
    </row>
    <row r="36" spans="1:10" x14ac:dyDescent="0.25">
      <c r="A36" s="185"/>
      <c r="B36" s="43" t="str">
        <f>A36&amp;"-"&amp;IF(DAY(Variables!$A$2)&lt;10,0,"")&amp;DAY(Variables!$A$2)</f>
        <v>-26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0" t="e">
        <f>VLOOKUP(B36,'Train Runs'!$A$13:$A$99941,1,FALSE)</f>
        <v>#N/A</v>
      </c>
    </row>
    <row r="37" spans="1:10" x14ac:dyDescent="0.25">
      <c r="A37" s="185"/>
      <c r="B37" s="43" t="str">
        <f>A37&amp;"-"&amp;IF(DAY(Variables!$A$2)&lt;10,0,"")&amp;DAY(Variables!$A$2)</f>
        <v>-26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0" t="e">
        <f>VLOOKUP(B37,'Train Runs'!$A$13:$A$99941,1,FALSE)</f>
        <v>#N/A</v>
      </c>
    </row>
    <row r="38" spans="1:10" x14ac:dyDescent="0.25">
      <c r="A38" s="185"/>
      <c r="B38" s="43" t="str">
        <f>A38&amp;"-"&amp;IF(DAY(Variables!$A$2)&lt;10,0,"")&amp;DAY(Variables!$A$2)</f>
        <v>-26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0" t="e">
        <f>VLOOKUP(B38,'Train Runs'!$A$13:$A$99941,1,FALSE)</f>
        <v>#N/A</v>
      </c>
    </row>
    <row r="39" spans="1:10" x14ac:dyDescent="0.25">
      <c r="A39" s="185"/>
      <c r="B39" s="43" t="str">
        <f>A39&amp;"-"&amp;IF(DAY(Variables!$A$2)&lt;10,0,"")&amp;DAY(Variables!$A$2)</f>
        <v>-26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0" t="e">
        <f>VLOOKUP(B39,'Train Runs'!$A$13:$A$99941,1,FALSE)</f>
        <v>#N/A</v>
      </c>
    </row>
    <row r="40" spans="1:10" x14ac:dyDescent="0.25">
      <c r="A40" s="185"/>
      <c r="B40" s="43" t="str">
        <f>A40&amp;"-"&amp;IF(DAY(Variables!$A$2)&lt;10,0,"")&amp;DAY(Variables!$A$2)</f>
        <v>-26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0" t="e">
        <f>VLOOKUP(B40,'Train Runs'!$A$13:$A$99941,1,FALSE)</f>
        <v>#N/A</v>
      </c>
    </row>
    <row r="41" spans="1:10" x14ac:dyDescent="0.25">
      <c r="A41" s="185"/>
      <c r="B41" s="43" t="str">
        <f>A41&amp;"-"&amp;IF(DAY(Variables!$A$2)&lt;10,0,"")&amp;DAY(Variables!$A$2)</f>
        <v>-26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0" t="e">
        <f>VLOOKUP(B41,'Train Runs'!$A$13:$A$99941,1,FALSE)</f>
        <v>#N/A</v>
      </c>
    </row>
    <row r="42" spans="1:10" x14ac:dyDescent="0.25">
      <c r="A42" s="185"/>
      <c r="B42" s="43" t="str">
        <f>A42&amp;"-"&amp;IF(DAY(Variables!$A$2)&lt;10,0,"")&amp;DAY(Variables!$A$2)</f>
        <v>-26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0" t="e">
        <f>VLOOKUP(B42,'Train Runs'!$A$13:$A$99941,1,FALSE)</f>
        <v>#N/A</v>
      </c>
    </row>
    <row r="43" spans="1:10" x14ac:dyDescent="0.25">
      <c r="A43" s="185"/>
      <c r="B43" s="43" t="str">
        <f>A43&amp;"-"&amp;IF(DAY(Variables!$A$2)&lt;10,0,"")&amp;DAY(Variables!$A$2)</f>
        <v>-26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0" t="e">
        <f>VLOOKUP(B43,'Train Runs'!$A$13:$A$99941,1,FALSE)</f>
        <v>#N/A</v>
      </c>
    </row>
    <row r="44" spans="1:10" x14ac:dyDescent="0.25">
      <c r="A44" s="185"/>
      <c r="B44" s="43" t="str">
        <f>A44&amp;"-"&amp;IF(DAY(Variables!$A$2)&lt;10,0,"")&amp;DAY(Variables!$A$2)</f>
        <v>-26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0" t="e">
        <f>VLOOKUP(B44,'Train Runs'!$A$13:$A$99941,1,FALSE)</f>
        <v>#N/A</v>
      </c>
    </row>
    <row r="45" spans="1:10" x14ac:dyDescent="0.25">
      <c r="A45" s="185"/>
      <c r="B45" s="43" t="str">
        <f>A45&amp;"-"&amp;IF(DAY(Variables!$A$2)&lt;10,0,"")&amp;DAY(Variables!$A$2)</f>
        <v>-26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5" s="30" t="e">
        <f>VLOOKUP(B45,'Train Runs'!$A$13:$A$99941,1,FALSE)</f>
        <v>#N/A</v>
      </c>
    </row>
    <row r="46" spans="1:10" x14ac:dyDescent="0.25">
      <c r="A46" s="185"/>
      <c r="B46" s="43" t="str">
        <f>A46&amp;"-"&amp;IF(DAY(Variables!$A$2)&lt;10,0,"")&amp;DAY(Variables!$A$2)</f>
        <v>-26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6" s="30" t="e">
        <f>VLOOKUP(B46,'Train Runs'!$A$13:$A$99941,1,FALSE)</f>
        <v>#N/A</v>
      </c>
    </row>
    <row r="47" spans="1:10" x14ac:dyDescent="0.25">
      <c r="A47" s="185"/>
      <c r="B47" s="43" t="str">
        <f>A47&amp;"-"&amp;IF(DAY(Variables!$A$2)&lt;10,0,"")&amp;DAY(Variables!$A$2)</f>
        <v>-26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7" s="30" t="e">
        <f>VLOOKUP(B47,'Train Runs'!$A$13:$A$99941,1,FALSE)</f>
        <v>#N/A</v>
      </c>
    </row>
    <row r="48" spans="1:10" x14ac:dyDescent="0.25">
      <c r="A48" s="185"/>
      <c r="B48" s="43" t="str">
        <f>A48&amp;"-"&amp;IF(DAY(Variables!$A$2)&lt;10,0,"")&amp;DAY(Variables!$A$2)</f>
        <v>-26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8" s="30" t="e">
        <f>VLOOKUP(B48,'Train Runs'!$A$13:$A$99941,1,FALSE)</f>
        <v>#N/A</v>
      </c>
    </row>
    <row r="49" spans="1:10" x14ac:dyDescent="0.25">
      <c r="A49" s="185"/>
      <c r="B49" s="43" t="str">
        <f>A49&amp;"-"&amp;IF(DAY(Variables!$A$2)&lt;10,0,"")&amp;DAY(Variables!$A$2)</f>
        <v>-26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9" s="30" t="e">
        <f>VLOOKUP(B49,'Train Runs'!$A$13:$A$99941,1,FALSE)</f>
        <v>#N/A</v>
      </c>
    </row>
    <row r="50" spans="1:10" x14ac:dyDescent="0.25">
      <c r="A50" s="185"/>
      <c r="B50" s="43" t="str">
        <f>A50&amp;"-"&amp;IF(DAY(Variables!$A$2)&lt;10,0,"")&amp;DAY(Variables!$A$2)</f>
        <v>-26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0" s="30" t="e">
        <f>VLOOKUP(B50,'Train Runs'!$A$13:$A$99941,1,FALSE)</f>
        <v>#N/A</v>
      </c>
    </row>
    <row r="51" spans="1:10" x14ac:dyDescent="0.25">
      <c r="A51" s="185"/>
      <c r="B51" s="43" t="str">
        <f>A51&amp;"-"&amp;IF(DAY(Variables!$A$2)&lt;10,0,"")&amp;DAY(Variables!$A$2)</f>
        <v>-26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1" s="30" t="e">
        <f>VLOOKUP(B51,'Train Runs'!$A$13:$A$99941,1,FALSE)</f>
        <v>#N/A</v>
      </c>
    </row>
    <row r="52" spans="1:10" x14ac:dyDescent="0.25">
      <c r="A52" s="185"/>
      <c r="B52" s="43" t="str">
        <f>A52&amp;"-"&amp;IF(DAY(Variables!$A$2)&lt;10,0,"")&amp;DAY(Variables!$A$2)</f>
        <v>-26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2" s="30" t="e">
        <f>VLOOKUP(B52,'Train Runs'!$A$13:$A$99941,1,FALSE)</f>
        <v>#N/A</v>
      </c>
    </row>
    <row r="53" spans="1:10" x14ac:dyDescent="0.25">
      <c r="A53" s="185"/>
      <c r="B53" s="43" t="str">
        <f>A53&amp;"-"&amp;IF(DAY(Variables!$A$2)&lt;10,0,"")&amp;DAY(Variables!$A$2)</f>
        <v>-26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3" s="30" t="e">
        <f>VLOOKUP(B53,'Train Runs'!$A$13:$A$99941,1,FALSE)</f>
        <v>#N/A</v>
      </c>
    </row>
    <row r="54" spans="1:10" x14ac:dyDescent="0.25">
      <c r="A54" s="185"/>
      <c r="B54" s="43" t="str">
        <f>A54&amp;"-"&amp;IF(DAY(Variables!$A$2)&lt;10,0,"")&amp;DAY(Variables!$A$2)</f>
        <v>-26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4" s="30" t="e">
        <f>VLOOKUP(B54,'Train Runs'!$A$13:$A$99941,1,FALSE)</f>
        <v>#N/A</v>
      </c>
    </row>
    <row r="55" spans="1:10" x14ac:dyDescent="0.25">
      <c r="A55" s="185"/>
      <c r="B55" s="43" t="str">
        <f>A55&amp;"-"&amp;IF(DAY(Variables!$A$2)&lt;10,0,"")&amp;DAY(Variables!$A$2)</f>
        <v>-26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5" s="30" t="e">
        <f>VLOOKUP(B55,'Train Runs'!$A$13:$A$99941,1,FALSE)</f>
        <v>#N/A</v>
      </c>
    </row>
    <row r="56" spans="1:10" x14ac:dyDescent="0.25">
      <c r="A56" s="185"/>
      <c r="B56" s="43" t="str">
        <f>A56&amp;"-"&amp;IF(DAY(Variables!$A$2)&lt;10,0,"")&amp;DAY(Variables!$A$2)</f>
        <v>-26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6" s="30" t="e">
        <f>VLOOKUP(B56,'Train Runs'!$A$13:$A$99941,1,FALSE)</f>
        <v>#N/A</v>
      </c>
    </row>
    <row r="57" spans="1:10" x14ac:dyDescent="0.25">
      <c r="A57" s="185"/>
      <c r="B57" s="43" t="str">
        <f>A57&amp;"-"&amp;IF(DAY(Variables!$A$2)&lt;10,0,"")&amp;DAY(Variables!$A$2)</f>
        <v>-26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7" s="30" t="e">
        <f>VLOOKUP(B57,'Train Runs'!$A$13:$A$99941,1,FALSE)</f>
        <v>#N/A</v>
      </c>
    </row>
    <row r="58" spans="1:10" x14ac:dyDescent="0.25">
      <c r="A58" s="185"/>
      <c r="B58" s="43" t="str">
        <f>A58&amp;"-"&amp;IF(DAY(Variables!$A$2)&lt;10,0,"")&amp;DAY(Variables!$A$2)</f>
        <v>-26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8" s="30" t="e">
        <f>VLOOKUP(B58,'Train Runs'!$A$13:$A$99941,1,FALSE)</f>
        <v>#N/A</v>
      </c>
    </row>
    <row r="59" spans="1:10" x14ac:dyDescent="0.25">
      <c r="A59" s="185"/>
      <c r="B59" s="43" t="str">
        <f>A59&amp;"-"&amp;IF(DAY(Variables!$A$2)&lt;10,0,"")&amp;DAY(Variables!$A$2)</f>
        <v>-26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9" s="30" t="e">
        <f>VLOOKUP(B59,'Train Runs'!$A$13:$A$99941,1,FALSE)</f>
        <v>#N/A</v>
      </c>
    </row>
    <row r="60" spans="1:10" x14ac:dyDescent="0.25">
      <c r="A60" s="185"/>
      <c r="B60" s="43" t="str">
        <f>A60&amp;"-"&amp;IF(DAY(Variables!$A$2)&lt;10,0,"")&amp;DAY(Variables!$A$2)</f>
        <v>-26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0" s="30" t="e">
        <f>VLOOKUP(B60,'Train Runs'!$A$13:$A$99941,1,FALSE)</f>
        <v>#N/A</v>
      </c>
    </row>
    <row r="61" spans="1:10" x14ac:dyDescent="0.25">
      <c r="A61" s="185"/>
      <c r="B61" s="43" t="str">
        <f>A61&amp;"-"&amp;IF(DAY(Variables!$A$2)&lt;10,0,"")&amp;DAY(Variables!$A$2)</f>
        <v>-26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1" s="30" t="e">
        <f>VLOOKUP(B61,'Train Runs'!$A$13:$A$99941,1,FALSE)</f>
        <v>#N/A</v>
      </c>
    </row>
    <row r="62" spans="1:10" x14ac:dyDescent="0.25">
      <c r="A62" s="185"/>
      <c r="B62" s="43" t="str">
        <f>A62&amp;"-"&amp;IF(DAY(Variables!$A$2)&lt;10,0,"")&amp;DAY(Variables!$A$2)</f>
        <v>-26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2" s="30" t="e">
        <f>VLOOKUP(B62,'Train Runs'!$A$13:$A$99941,1,FALSE)</f>
        <v>#N/A</v>
      </c>
    </row>
    <row r="63" spans="1:10" x14ac:dyDescent="0.25">
      <c r="A63" s="185"/>
      <c r="B63" s="43" t="str">
        <f>A63&amp;"-"&amp;IF(DAY(Variables!$A$2)&lt;10,0,"")&amp;DAY(Variables!$A$2)</f>
        <v>-26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3" s="30" t="e">
        <f>VLOOKUP(B63,'Train Runs'!$A$13:$A$99941,1,FALSE)</f>
        <v>#N/A</v>
      </c>
    </row>
    <row r="64" spans="1:10" x14ac:dyDescent="0.25">
      <c r="A64" s="185"/>
      <c r="B64" s="43" t="str">
        <f>A64&amp;"-"&amp;IF(DAY(Variables!$A$2)&lt;10,0,"")&amp;DAY(Variables!$A$2)</f>
        <v>-26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4" s="30" t="e">
        <f>VLOOKUP(B64,'Train Runs'!$A$13:$A$99941,1,FALSE)</f>
        <v>#N/A</v>
      </c>
    </row>
    <row r="65" spans="1:10" x14ac:dyDescent="0.25">
      <c r="A65" s="185"/>
      <c r="B65" s="43" t="str">
        <f>A65&amp;"-"&amp;IF(DAY(Variables!$A$2)&lt;10,0,"")&amp;DAY(Variables!$A$2)</f>
        <v>-26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5" s="30" t="e">
        <f>VLOOKUP(B65,'Train Runs'!$A$13:$A$99941,1,FALSE)</f>
        <v>#N/A</v>
      </c>
    </row>
    <row r="66" spans="1:10" x14ac:dyDescent="0.25">
      <c r="A66" s="185"/>
      <c r="B66" s="43" t="str">
        <f>A66&amp;"-"&amp;IF(DAY(Variables!$A$2)&lt;10,0,"")&amp;DAY(Variables!$A$2)</f>
        <v>-26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6" s="30" t="e">
        <f>VLOOKUP(B66,'Train Runs'!$A$13:$A$99941,1,FALSE)</f>
        <v>#N/A</v>
      </c>
    </row>
    <row r="67" spans="1:10" x14ac:dyDescent="0.25">
      <c r="A67" s="185"/>
      <c r="B67" s="43" t="str">
        <f>A67&amp;"-"&amp;IF(DAY(Variables!$A$2)&lt;10,0,"")&amp;DAY(Variables!$A$2)</f>
        <v>-26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7" s="30" t="e">
        <f>VLOOKUP(B67,'Train Runs'!$A$13:$A$99941,1,FALSE)</f>
        <v>#N/A</v>
      </c>
    </row>
    <row r="68" spans="1:10" x14ac:dyDescent="0.25">
      <c r="A68" s="185"/>
      <c r="B68" s="43" t="str">
        <f>A68&amp;"-"&amp;IF(DAY(Variables!$A$2)&lt;10,0,"")&amp;DAY(Variables!$A$2)</f>
        <v>-26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8" s="30" t="e">
        <f>VLOOKUP(B68,'Train Runs'!$A$13:$A$99941,1,FALSE)</f>
        <v>#N/A</v>
      </c>
    </row>
    <row r="69" spans="1:10" x14ac:dyDescent="0.25">
      <c r="A69" s="185"/>
      <c r="B69" s="43" t="str">
        <f>A69&amp;"-"&amp;IF(DAY(Variables!$A$2)&lt;10,0,"")&amp;DAY(Variables!$A$2)</f>
        <v>-26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9" s="30" t="e">
        <f>VLOOKUP(B69,'Train Runs'!$A$13:$A$99941,1,FALSE)</f>
        <v>#N/A</v>
      </c>
    </row>
    <row r="70" spans="1:10" x14ac:dyDescent="0.25">
      <c r="A70" s="185"/>
      <c r="B70" s="43" t="str">
        <f>A70&amp;"-"&amp;IF(DAY(Variables!$A$2)&lt;10,0,"")&amp;DAY(Variables!$A$2)</f>
        <v>-26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0" s="30" t="e">
        <f>VLOOKUP(B70,'Train Runs'!$A$13:$A$99941,1,FALSE)</f>
        <v>#N/A</v>
      </c>
    </row>
    <row r="71" spans="1:10" x14ac:dyDescent="0.25">
      <c r="A71" s="185"/>
      <c r="B71" s="43" t="str">
        <f>A71&amp;"-"&amp;IF(DAY(Variables!$A$2)&lt;10,0,"")&amp;DAY(Variables!$A$2)</f>
        <v>-26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1" s="30" t="e">
        <f>VLOOKUP(B71,'Train Runs'!$A$13:$A$99941,1,FALSE)</f>
        <v>#N/A</v>
      </c>
    </row>
    <row r="72" spans="1:10" x14ac:dyDescent="0.25">
      <c r="A72" s="185"/>
      <c r="B72" s="43" t="str">
        <f>A72&amp;"-"&amp;IF(DAY(Variables!$A$2)&lt;10,0,"")&amp;DAY(Variables!$A$2)</f>
        <v>-26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2" s="30" t="e">
        <f>VLOOKUP(B72,'Train Runs'!$A$13:$A$99941,1,FALSE)</f>
        <v>#N/A</v>
      </c>
    </row>
    <row r="73" spans="1:10" x14ac:dyDescent="0.25">
      <c r="A73" s="185"/>
      <c r="B73" s="43" t="str">
        <f>A73&amp;"-"&amp;IF(DAY(Variables!$A$2)&lt;10,0,"")&amp;DAY(Variables!$A$2)</f>
        <v>-26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3" s="30" t="e">
        <f>VLOOKUP(B73,'Train Runs'!$A$13:$A$99941,1,FALSE)</f>
        <v>#N/A</v>
      </c>
    </row>
    <row r="74" spans="1:10" x14ac:dyDescent="0.25">
      <c r="A74" s="185"/>
      <c r="B74" s="43" t="str">
        <f>A74&amp;"-"&amp;IF(DAY(Variables!$A$2)&lt;10,0,"")&amp;DAY(Variables!$A$2)</f>
        <v>-26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4" s="30" t="e">
        <f>VLOOKUP(B74,'Train Runs'!$A$13:$A$99941,1,FALSE)</f>
        <v>#N/A</v>
      </c>
    </row>
    <row r="75" spans="1:10" x14ac:dyDescent="0.25">
      <c r="A75" s="185"/>
      <c r="B75" s="43" t="str">
        <f>A75&amp;"-"&amp;IF(DAY(Variables!$A$2)&lt;10,0,"")&amp;DAY(Variables!$A$2)</f>
        <v>-26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5" s="30" t="e">
        <f>VLOOKUP(B75,'Train Runs'!$A$13:$A$99941,1,FALSE)</f>
        <v>#N/A</v>
      </c>
    </row>
    <row r="76" spans="1:10" x14ac:dyDescent="0.25">
      <c r="A76" s="185"/>
      <c r="B76" s="43" t="str">
        <f>A76&amp;"-"&amp;IF(DAY(Variables!$A$2)&lt;10,0,"")&amp;DAY(Variables!$A$2)</f>
        <v>-26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6" s="30" t="e">
        <f>VLOOKUP(B76,'Train Runs'!$A$13:$A$99941,1,FALSE)</f>
        <v>#N/A</v>
      </c>
    </row>
    <row r="77" spans="1:10" x14ac:dyDescent="0.25">
      <c r="A77" s="185"/>
      <c r="B77" s="43" t="str">
        <f>A77&amp;"-"&amp;IF(DAY(Variables!$A$2)&lt;10,0,"")&amp;DAY(Variables!$A$2)</f>
        <v>-26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7" s="30" t="e">
        <f>VLOOKUP(B77,'Train Runs'!$A$13:$A$99941,1,FALSE)</f>
        <v>#N/A</v>
      </c>
    </row>
    <row r="78" spans="1:10" x14ac:dyDescent="0.25">
      <c r="A78" s="185"/>
      <c r="B78" s="43" t="str">
        <f>A78&amp;"-"&amp;IF(DAY(Variables!$A$2)&lt;10,0,"")&amp;DAY(Variables!$A$2)</f>
        <v>-26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8" s="30" t="e">
        <f>VLOOKUP(B78,'Train Runs'!$A$13:$A$99941,1,FALSE)</f>
        <v>#N/A</v>
      </c>
    </row>
    <row r="79" spans="1:10" x14ac:dyDescent="0.25">
      <c r="A79" s="185"/>
      <c r="B79" s="43" t="str">
        <f>A79&amp;"-"&amp;IF(DAY(Variables!$A$2)&lt;10,0,"")&amp;DAY(Variables!$A$2)</f>
        <v>-26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9" s="30" t="e">
        <f>VLOOKUP(B79,'Train Runs'!$A$13:$A$99941,1,FALSE)</f>
        <v>#N/A</v>
      </c>
    </row>
    <row r="80" spans="1:10" x14ac:dyDescent="0.25">
      <c r="A80" s="185"/>
      <c r="B80" s="43" t="str">
        <f>A80&amp;"-"&amp;IF(DAY(Variables!$A$2)&lt;10,0,"")&amp;DAY(Variables!$A$2)</f>
        <v>-26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0" s="30" t="e">
        <f>VLOOKUP(B80,'Train Runs'!$A$13:$A$99941,1,FALSE)</f>
        <v>#N/A</v>
      </c>
    </row>
    <row r="81" spans="1:10" x14ac:dyDescent="0.25">
      <c r="A81" s="185"/>
      <c r="B81" s="43" t="str">
        <f>A81&amp;"-"&amp;IF(DAY(Variables!$A$2)&lt;10,0,"")&amp;DAY(Variables!$A$2)</f>
        <v>-26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1" s="30" t="e">
        <f>VLOOKUP(B81,'Train Runs'!$A$13:$A$99941,1,FALSE)</f>
        <v>#N/A</v>
      </c>
    </row>
    <row r="82" spans="1:10" x14ac:dyDescent="0.25">
      <c r="A82" s="185"/>
      <c r="B82" s="43" t="str">
        <f>A82&amp;"-"&amp;IF(DAY(Variables!$A$2)&lt;10,0,"")&amp;DAY(Variables!$A$2)</f>
        <v>-26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2" s="30" t="e">
        <f>VLOOKUP(B82,'Train Runs'!$A$13:$A$99941,1,FALSE)</f>
        <v>#N/A</v>
      </c>
    </row>
    <row r="83" spans="1:10" x14ac:dyDescent="0.25">
      <c r="A83" s="185"/>
      <c r="B83" s="43" t="str">
        <f>A83&amp;"-"&amp;IF(DAY(Variables!$A$2)&lt;10,0,"")&amp;DAY(Variables!$A$2)</f>
        <v>-26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3" s="30" t="e">
        <f>VLOOKUP(B83,'Train Runs'!$A$13:$A$99941,1,FALSE)</f>
        <v>#N/A</v>
      </c>
    </row>
    <row r="84" spans="1:10" x14ac:dyDescent="0.25">
      <c r="A84" s="185"/>
      <c r="B84" s="43" t="str">
        <f>A84&amp;"-"&amp;IF(DAY(Variables!$A$2)&lt;10,0,"")&amp;DAY(Variables!$A$2)</f>
        <v>-26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4" s="30" t="e">
        <f>VLOOKUP(B84,'Train Runs'!$A$13:$A$99941,1,FALSE)</f>
        <v>#N/A</v>
      </c>
    </row>
    <row r="85" spans="1:10" x14ac:dyDescent="0.25">
      <c r="A85" s="185"/>
      <c r="B85" s="43" t="str">
        <f>A85&amp;"-"&amp;IF(DAY(Variables!$A$2)&lt;10,0,"")&amp;DAY(Variables!$A$2)</f>
        <v>-26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5" s="30" t="e">
        <f>VLOOKUP(B85,'Train Runs'!$A$13:$A$99941,1,FALSE)</f>
        <v>#N/A</v>
      </c>
    </row>
    <row r="86" spans="1:10" x14ac:dyDescent="0.25">
      <c r="A86" s="185"/>
      <c r="B86" s="43" t="str">
        <f>A86&amp;"-"&amp;IF(DAY(Variables!$A$2)&lt;10,0,"")&amp;DAY(Variables!$A$2)</f>
        <v>-26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6" s="30" t="e">
        <f>VLOOKUP(B86,'Train Runs'!$A$13:$A$99941,1,FALSE)</f>
        <v>#N/A</v>
      </c>
    </row>
    <row r="87" spans="1:10" x14ac:dyDescent="0.25">
      <c r="A87" s="185"/>
      <c r="B87" s="43" t="str">
        <f>A87&amp;"-"&amp;IF(DAY(Variables!$A$2)&lt;10,0,"")&amp;DAY(Variables!$A$2)</f>
        <v>-26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7" s="30" t="e">
        <f>VLOOKUP(B87,'Train Runs'!$A$13:$A$99941,1,FALSE)</f>
        <v>#N/A</v>
      </c>
    </row>
    <row r="88" spans="1:10" x14ac:dyDescent="0.25">
      <c r="A88" s="185"/>
      <c r="B88" s="43" t="str">
        <f>A88&amp;"-"&amp;IF(DAY(Variables!$A$2)&lt;10,0,"")&amp;DAY(Variables!$A$2)</f>
        <v>-26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8" s="30" t="e">
        <f>VLOOKUP(B88,'Train Runs'!$A$13:$A$99941,1,FALSE)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360</v>
      </c>
      <c r="B1" s="207" t="s">
        <v>361</v>
      </c>
      <c r="C1" s="199" t="s">
        <v>369</v>
      </c>
      <c r="D1" s="211" t="s">
        <v>58</v>
      </c>
      <c r="E1" s="196" t="s">
        <v>24</v>
      </c>
      <c r="F1" s="211" t="s">
        <v>375</v>
      </c>
      <c r="G1" s="215" t="s">
        <v>94</v>
      </c>
      <c r="H1" s="217" t="s">
        <v>379</v>
      </c>
      <c r="I1" s="213" t="s">
        <v>378</v>
      </c>
      <c r="J1" s="209" t="s">
        <v>84</v>
      </c>
      <c r="K1" s="209" t="s">
        <v>374</v>
      </c>
      <c r="L1" s="204" t="s">
        <v>371</v>
      </c>
      <c r="M1" s="204" t="s">
        <v>362</v>
      </c>
      <c r="N1" s="204" t="s">
        <v>364</v>
      </c>
      <c r="O1" s="204" t="s">
        <v>365</v>
      </c>
      <c r="P1" s="204" t="s">
        <v>366</v>
      </c>
      <c r="Q1" s="203" t="s">
        <v>363</v>
      </c>
    </row>
    <row r="2" spans="1:17" x14ac:dyDescent="0.25">
      <c r="A2" s="201">
        <v>42800.21875</v>
      </c>
      <c r="B2" s="208" t="s">
        <v>368</v>
      </c>
      <c r="C2" s="198" t="s">
        <v>370</v>
      </c>
      <c r="D2" s="212">
        <v>104</v>
      </c>
      <c r="E2" s="30" t="s">
        <v>373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4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-26T03:35:32-0600',mode:absolute,to:'2017-03-26T06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104-26</v>
      </c>
      <c r="L2" s="206">
        <f>IF(VLOOKUP(K2,'Train Runs'!$A$12:$B$997,1,TRUE)=K2,VLOOKUP(K2,'Train Runs'!$A$12:$B$997,2,TRUE),NA())</f>
        <v>4026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368</v>
      </c>
      <c r="C3" s="198" t="s">
        <v>370</v>
      </c>
      <c r="D3" s="212">
        <v>126</v>
      </c>
      <c r="E3" s="30" t="s">
        <v>372</v>
      </c>
      <c r="F3" s="212" t="b">
        <v>1</v>
      </c>
      <c r="G3" s="216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"%USERPROFILE%\AppData\Local\Temp\OnboardLogs"\RTDC4001\*4001*201703061*</v>
      </c>
      <c r="I3" s="214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-26T06:35:35-0600',mode:absolute,to:'2017-03-26T09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126-26</v>
      </c>
      <c r="L3" s="206">
        <f>IF(VLOOKUP(K3,'Train Runs'!$A$12:$B$997,1,TRUE)=K3,VLOOKUP(K3,'Train Runs'!$A$12:$B$997,2,TRUE),NA())</f>
        <v>4001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368</v>
      </c>
      <c r="C4" s="198" t="s">
        <v>370</v>
      </c>
      <c r="D4" s="212">
        <v>128</v>
      </c>
      <c r="E4" s="30" t="s">
        <v>372</v>
      </c>
      <c r="F4" s="212" t="b">
        <v>1</v>
      </c>
      <c r="G4" s="216" t="str">
        <f t="shared" si="0"/>
        <v>"C:\Program Files (x86)\AstroGrep\AstroGrep.exe" /e /r /s /spath="%USERPROFILE%\AppData\Local\Temp\OnboardLogs" /stypes="*4004*201703061*"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"%USERPROFILE%\AppData\Local\Temp\OnboardLogs"\RTDC4004\*4004*201703061*</v>
      </c>
      <c r="I4" s="214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-26T06:48:35-0600',mode:absolute,to:'2017-03-26T09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128-26</v>
      </c>
      <c r="L4" s="206">
        <f>IF(VLOOKUP(K4,'Train Runs'!$A$12:$B$997,1,TRUE)=K4,VLOOKUP(K4,'Train Runs'!$A$12:$B$997,2,TRUE),NA())</f>
        <v>4004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368</v>
      </c>
      <c r="C5" s="198" t="s">
        <v>370</v>
      </c>
      <c r="D5" s="212">
        <f>D4+2</f>
        <v>130</v>
      </c>
      <c r="E5" s="30" t="s">
        <v>372</v>
      </c>
      <c r="F5" s="212" t="b">
        <v>1</v>
      </c>
      <c r="G5" s="216" t="str">
        <f t="shared" si="0"/>
        <v>"C:\Program Files (x86)\AstroGrep\AstroGrep.exe" /e /r /s /spath="%USERPROFILE%\AppData\Local\Temp\OnboardLogs" /stypes="*4028*201703061*"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"%USERPROFILE%\AppData\Local\Temp\OnboardLogs"\RTDC4028\*4028*201703061*</v>
      </c>
      <c r="I5" s="214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-26T07:32:29-0600',mode:absolute,to:'2017-03-26T09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130-26</v>
      </c>
      <c r="L5" s="206">
        <f>IF(VLOOKUP(K5,'Train Runs'!$A$12:$B$997,1,TRUE)=K5,VLOOKUP(K5,'Train Runs'!$A$12:$B$997,2,TRUE),NA())</f>
        <v>4028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368</v>
      </c>
      <c r="C6" s="198" t="s">
        <v>370</v>
      </c>
      <c r="D6" s="212">
        <f>D5+2</f>
        <v>132</v>
      </c>
      <c r="E6" s="30" t="s">
        <v>372</v>
      </c>
      <c r="F6" s="212" t="b">
        <v>1</v>
      </c>
      <c r="G6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"%USERPROFILE%\AppData\Local\Temp\OnboardLogs"\RTDC4026\*4026*201703061*</v>
      </c>
      <c r="I6" s="214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-26T07:16:04-0600',mode:absolute,to:'2017-03-26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10">
        <f t="shared" si="2"/>
        <v>42800.625</v>
      </c>
      <c r="K6" s="210" t="str">
        <f>D6&amp;"-"&amp;IF(DAY(Variables!$A$2)&lt;10,0,"")&amp;DAY(Variables!$A$2)</f>
        <v>132-26</v>
      </c>
      <c r="L6" s="206">
        <f>IF(VLOOKUP(K6,'Train Runs'!$A$12:$B$997,1,TRUE)=K6,VLOOKUP(K6,'Train Runs'!$A$12:$B$997,2,TRUE),NA())</f>
        <v>4026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368</v>
      </c>
      <c r="C7" s="198" t="s">
        <v>370</v>
      </c>
      <c r="D7" s="212">
        <f t="shared" ref="D7:D11" si="4">D6+2</f>
        <v>134</v>
      </c>
      <c r="E7" s="30" t="s">
        <v>372</v>
      </c>
      <c r="F7" s="212" t="b">
        <v>1</v>
      </c>
      <c r="G7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"%USERPROFILE%\AppData\Local\Temp\OnboardLogs"\RTDC4032\*4032*201703061*</v>
      </c>
      <c r="I7" s="214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-26T07:28:15-0600',mode:absolute,to:'2017-03-26T10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134-26</v>
      </c>
      <c r="L7" s="206">
        <f>IF(VLOOKUP(K7,'Train Runs'!$A$12:$B$997,1,TRUE)=K7,VLOOKUP(K7,'Train Runs'!$A$12:$B$997,2,TRUE),NA())</f>
        <v>4032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368</v>
      </c>
      <c r="C8" s="198" t="s">
        <v>370</v>
      </c>
      <c r="D8" s="212">
        <f t="shared" si="4"/>
        <v>136</v>
      </c>
      <c r="E8" s="30" t="s">
        <v>372</v>
      </c>
      <c r="F8" s="212" t="b">
        <v>1</v>
      </c>
      <c r="G8" s="216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"%USERPROFILE%\AppData\Local\Temp\OnboardLogs"\RTDC4045\*4045*201703061*</v>
      </c>
      <c r="I8" s="214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-26T07:50:39-0600',mode:absolute,to:'2017-03-26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136-26</v>
      </c>
      <c r="L8" s="206">
        <f>IF(VLOOKUP(K8,'Train Runs'!$A$12:$B$997,1,TRUE)=K8,VLOOKUP(K8,'Train Runs'!$A$12:$B$997,2,TRUE),NA())</f>
        <v>4045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368</v>
      </c>
      <c r="C9" s="198" t="s">
        <v>370</v>
      </c>
      <c r="D9" s="212">
        <f t="shared" si="4"/>
        <v>138</v>
      </c>
      <c r="E9" s="30" t="s">
        <v>372</v>
      </c>
      <c r="F9" s="212" t="b">
        <v>1</v>
      </c>
      <c r="G9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"%USERPROFILE%\AppData\Local\Temp\OnboardLogs"\RTDC4017\*4017*201703061*</v>
      </c>
      <c r="I9" s="214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-26T08:04:12-0600',mode:absolute,to:'2017-03-26T10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138-26</v>
      </c>
      <c r="L9" s="206">
        <f>IF(VLOOKUP(K9,'Train Runs'!$A$12:$B$997,1,TRUE)=K9,VLOOKUP(K9,'Train Runs'!$A$12:$B$997,2,TRUE),NA())</f>
        <v>4017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368</v>
      </c>
      <c r="C10" s="198" t="s">
        <v>370</v>
      </c>
      <c r="D10" s="212">
        <f t="shared" si="4"/>
        <v>140</v>
      </c>
      <c r="E10" s="30" t="s">
        <v>372</v>
      </c>
      <c r="F10" s="212" t="b">
        <v>1</v>
      </c>
      <c r="G10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"%USERPROFILE%\AppData\Local\Temp\OnboardLogs"\RTDC4001\*4001*201703061*</v>
      </c>
      <c r="I10" s="214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-26T08:19:44-0600',mode:absolute,to:'2017-03-26T11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140-26</v>
      </c>
      <c r="L10" s="206">
        <f>IF(VLOOKUP(K10,'Train Runs'!$A$12:$B$997,1,TRUE)=K10,VLOOKUP(K10,'Train Runs'!$A$12:$B$997,2,TRUE),NA())</f>
        <v>4001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368</v>
      </c>
      <c r="C11" s="198" t="s">
        <v>370</v>
      </c>
      <c r="D11" s="212">
        <f t="shared" si="4"/>
        <v>142</v>
      </c>
      <c r="E11" s="30" t="s">
        <v>372</v>
      </c>
      <c r="F11" s="212" t="b">
        <v>1</v>
      </c>
      <c r="G11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"%USERPROFILE%\AppData\Local\Temp\OnboardLogs"\RTDC4004\*4004*201703061*</v>
      </c>
      <c r="I11" s="214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-26T08:28:03-0600',mode:absolute,to:'2017-03-26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142-26</v>
      </c>
      <c r="L11" s="206">
        <f>IF(VLOOKUP(K11,'Train Runs'!$A$12:$B$997,1,TRUE)=K11,VLOOKUP(K11,'Train Runs'!$A$12:$B$997,2,TRUE),NA())</f>
        <v>4004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368</v>
      </c>
      <c r="C12" s="198" t="s">
        <v>370</v>
      </c>
      <c r="D12" s="212">
        <v>144</v>
      </c>
      <c r="E12" s="30" t="s">
        <v>372</v>
      </c>
      <c r="F12" s="212" t="b">
        <v>1</v>
      </c>
      <c r="G12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"%USERPROFILE%\AppData\Local\Temp\OnboardLogs"\RTDC4028\*4028*201703061*</v>
      </c>
      <c r="I12" s="214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-26T08:38:47-0600',mode:absolute,to:'2017-03-26T11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144-26</v>
      </c>
      <c r="L12" s="206">
        <f>IF(VLOOKUP(K12,'Train Runs'!$A$12:$B$997,1,TRUE)=K12,VLOOKUP(K12,'Train Runs'!$A$12:$B$997,2,TRUE),NA())</f>
        <v>4028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368</v>
      </c>
      <c r="C13" s="198" t="s">
        <v>370</v>
      </c>
      <c r="D13" s="212">
        <v>146</v>
      </c>
      <c r="E13" s="30" t="s">
        <v>372</v>
      </c>
      <c r="F13" s="212" t="b">
        <v>1</v>
      </c>
      <c r="G13" s="216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"%USERPROFILE%\AppData\Local\Temp\OnboardLogs"\RTDC4026\*4026*201703061*</v>
      </c>
      <c r="I13" s="214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-26T08:57:59-0600',mode:absolute,to:'2017-03-26T11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146-26</v>
      </c>
      <c r="L13" s="206">
        <f>IF(VLOOKUP(K13,'Train Runs'!$A$12:$B$997,1,TRUE)=K13,VLOOKUP(K13,'Train Runs'!$A$12:$B$997,2,TRUE),NA())</f>
        <v>4026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368</v>
      </c>
      <c r="C14" s="198" t="s">
        <v>370</v>
      </c>
      <c r="D14" s="212">
        <v>148</v>
      </c>
      <c r="E14" s="30" t="s">
        <v>376</v>
      </c>
      <c r="F14" s="212" t="b">
        <v>1</v>
      </c>
      <c r="G14" s="216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"%USERPROFILE%\AppData\Local\Temp\OnboardLogs"\RTDC4032\*4032*201703061*</v>
      </c>
      <c r="I14" s="214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-26T09:16:45-0600',mode:absolute,to:'2017-03-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148-26</v>
      </c>
      <c r="L14" s="206">
        <f>IF(VLOOKUP(K14,'Train Runs'!$A$12:$B$997,1,TRUE)=K14,VLOOKUP(K14,'Train Runs'!$A$12:$B$997,2,TRUE),NA())</f>
        <v>4032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368</v>
      </c>
      <c r="C15" s="198" t="s">
        <v>370</v>
      </c>
      <c r="D15" s="212">
        <v>178</v>
      </c>
      <c r="E15" s="30" t="s">
        <v>377</v>
      </c>
      <c r="F15" s="212" t="b">
        <v>1</v>
      </c>
      <c r="G15" s="216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"%USERPROFILE%\AppData\Local\Temp\OnboardLogs"\RTDC4045\*4045*201703062*</v>
      </c>
      <c r="I15" s="214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-26T13:04:50-0600',mode:absolute,to:'2017-03-26T15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178-26</v>
      </c>
      <c r="L15" s="206">
        <f>IF(VLOOKUP(K15,'Train Runs'!$A$12:$B$997,1,TRUE)=K15,VLOOKUP(K15,'Train Runs'!$A$12:$B$997,2,TRUE),NA())</f>
        <v>4045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368</v>
      </c>
      <c r="C16" s="198" t="s">
        <v>370</v>
      </c>
      <c r="D16" s="212">
        <v>194</v>
      </c>
      <c r="E16" s="30" t="s">
        <v>377</v>
      </c>
      <c r="F16" s="212" t="b">
        <v>1</v>
      </c>
      <c r="G16" s="216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"%USERPROFILE%\AppData\Local\Temp\OnboardLogs"\RTDC4017\*4017*201703062*</v>
      </c>
      <c r="I16" s="214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-26T15:05:51-0600',mode:absolute,to:'2017-03-26T17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194-26</v>
      </c>
      <c r="L16" s="206">
        <f>IF(VLOOKUP(K16,'Train Runs'!$A$12:$B$997,1,TRUE)=K16,VLOOKUP(K16,'Train Runs'!$A$12:$B$997,2,TRUE),NA())</f>
        <v>4017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368</v>
      </c>
      <c r="C17" s="198" t="s">
        <v>370</v>
      </c>
      <c r="D17" s="212">
        <v>206</v>
      </c>
      <c r="E17" s="30" t="s">
        <v>372</v>
      </c>
      <c r="F17" s="212" t="b">
        <v>1</v>
      </c>
      <c r="G17" s="216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"%USERPROFILE%\AppData\Local\Temp\OnboardLogs"\RTDC4045\*4045*201703070*</v>
      </c>
      <c r="I17" s="214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-26T16:36:01-0600',mode:absolute,to:'2017-03-26T19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206-26</v>
      </c>
      <c r="L17" s="206">
        <f>IF(VLOOKUP(K17,'Train Runs'!$A$12:$B$997,1,TRUE)=K17,VLOOKUP(K17,'Train Runs'!$A$12:$B$997,2,TRUE),NA())</f>
        <v>4045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368</v>
      </c>
      <c r="C18" s="198" t="s">
        <v>370</v>
      </c>
      <c r="D18" s="212">
        <v>210</v>
      </c>
      <c r="E18" s="30" t="s">
        <v>372</v>
      </c>
      <c r="F18" s="212" t="b">
        <v>1</v>
      </c>
      <c r="G18" s="216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"%USERPROFILE%\AppData\Local\Temp\OnboardLogs"\RTDC4001\*4001*201703070*</v>
      </c>
      <c r="I18" s="214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-26T17:09:10-0600',mode:absolute,to:'2017-03-26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210-26</v>
      </c>
      <c r="L18" s="206">
        <f>IF(VLOOKUP(K18,'Train Runs'!$A$12:$B$997,1,TRUE)=K18,VLOOKUP(K18,'Train Runs'!$A$12:$B$997,2,TRUE),NA())</f>
        <v>4001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368</v>
      </c>
      <c r="C19" s="198" t="s">
        <v>370</v>
      </c>
      <c r="D19" s="212">
        <f>D18+2</f>
        <v>212</v>
      </c>
      <c r="E19" s="30" t="s">
        <v>372</v>
      </c>
      <c r="F19" s="212" t="b">
        <v>1</v>
      </c>
      <c r="G19" s="216" t="str">
        <f t="shared" si="0"/>
        <v>"C:\Program Files (x86)\AstroGrep\AstroGrep.exe" /e /r /s /spath="%USERPROFILE%\AppData\Local\Temp\OnboardLogs" /stypes="*4004*201703070*"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"%USERPROFILE%\AppData\Local\Temp\OnboardLogs"\RTDC4004\*4004*201703070*</v>
      </c>
      <c r="I19" s="214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-26T17:23:51-0600',mode:absolute,to:'2017-03-26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212-26</v>
      </c>
      <c r="L19" s="206">
        <f>IF(VLOOKUP(K19,'Train Runs'!$A$12:$B$997,1,TRUE)=K19,VLOOKUP(K19,'Train Runs'!$A$12:$B$997,2,TRUE),NA())</f>
        <v>4004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368</v>
      </c>
      <c r="C20" s="198" t="s">
        <v>370</v>
      </c>
      <c r="D20" s="212">
        <v>214</v>
      </c>
      <c r="E20" s="30" t="s">
        <v>372</v>
      </c>
      <c r="F20" s="212" t="b">
        <v>1</v>
      </c>
      <c r="G20" s="216" t="str">
        <f t="shared" si="0"/>
        <v>"C:\Program Files (x86)\AstroGrep\AstroGrep.exe" /e /r /s /spath="%USERPROFILE%\AppData\Local\Temp\OnboardLogs" /stypes="*4028*201703070*"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"%USERPROFILE%\AppData\Local\Temp\OnboardLogs"\RTDC4028\*4028*201703070*</v>
      </c>
      <c r="I20" s="214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-26T17:27:04-0600',mode:absolute,to:'2017-03-26T20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214-26</v>
      </c>
      <c r="L20" s="206">
        <f>IF(VLOOKUP(K20,'Train Runs'!$A$12:$B$997,1,TRUE)=K20,VLOOKUP(K20,'Train Runs'!$A$12:$B$997,2,TRUE),NA())</f>
        <v>4028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368</v>
      </c>
      <c r="C21" s="198" t="s">
        <v>370</v>
      </c>
      <c r="D21" s="212">
        <v>216</v>
      </c>
      <c r="E21" s="30" t="s">
        <v>372</v>
      </c>
      <c r="F21" s="212" t="b">
        <v>1</v>
      </c>
      <c r="G21" s="216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"%USERPROFILE%\AppData\Local\Temp\OnboardLogs"\RTDC4026\*4026*201703070*</v>
      </c>
      <c r="I21" s="214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-26T17:48:37-0600',mode:absolute,to:'2017-03-26T20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216-26</v>
      </c>
      <c r="L21" s="206">
        <f>IF(VLOOKUP(K21,'Train Runs'!$A$12:$B$997,1,TRUE)=K21,VLOOKUP(K21,'Train Runs'!$A$12:$B$997,2,TRUE),NA())</f>
        <v>4026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368</v>
      </c>
      <c r="C22" s="198" t="s">
        <v>370</v>
      </c>
      <c r="D22" s="212">
        <f>D21+2</f>
        <v>218</v>
      </c>
      <c r="E22" s="30" t="s">
        <v>372</v>
      </c>
      <c r="F22" s="212" t="b">
        <v>1</v>
      </c>
      <c r="G22" s="216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"%USERPROFILE%\AppData\Local\Temp\OnboardLogs"\RTDC4032\*4032*201703070*</v>
      </c>
      <c r="I22" s="214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-26T17:58:08-0600',mode:absolute,to:'2017-03-26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218-26</v>
      </c>
      <c r="L22" s="206">
        <f>IF(VLOOKUP(K22,'Train Runs'!$A$12:$B$997,1,TRUE)=K22,VLOOKUP(K22,'Train Runs'!$A$12:$B$997,2,TRUE),NA())</f>
        <v>4032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368</v>
      </c>
      <c r="C23" s="198" t="s">
        <v>370</v>
      </c>
      <c r="D23" s="212">
        <f>D22+2</f>
        <v>220</v>
      </c>
      <c r="E23" s="30" t="s">
        <v>372</v>
      </c>
      <c r="F23" s="212" t="b">
        <v>1</v>
      </c>
      <c r="G23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"%USERPROFILE%\AppData\Local\Temp\OnboardLogs"\RTDC4045\*4045*201703070*</v>
      </c>
      <c r="I23" s="214" t="str">
        <f>IF(VLOOKUP(K23,'Train Runs'!$A$13:$V$997,1,TRUE)=K23,VLOOKUP(K23,'Train Runs'!$A$13:$V$997,22,TRUE),NA())</f>
        <v>https://d0f6bd738d7f1b3e5a7ca70fe4ff75f0.us-east-1.aws.found.io/app/kibana#/discover/Steve-Slow-Train-Analysis-(2080s-and-2083s)?_g=(refreshInterval:(display:Off,pause:!f,section:0,value:0),time:(from:'2017-03-26T18:22:02-0600',mode:absolute,to:'2017-03-26T21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220-26</v>
      </c>
      <c r="L23" s="206">
        <f>IF(VLOOKUP(K23,'Train Runs'!$A$12:$B$997,1,TRUE)=K23,VLOOKUP(K23,'Train Runs'!$A$12:$B$997,2,TRUE),NA())</f>
        <v>4045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368</v>
      </c>
      <c r="C24" s="198" t="s">
        <v>370</v>
      </c>
      <c r="D24" s="212">
        <f>D23+2</f>
        <v>222</v>
      </c>
      <c r="E24" s="30" t="s">
        <v>372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str">
        <f>IF(VLOOKUP(K24,'Train Runs'!$A$13:$V$997,1,TRUE)=K24,VLOOKUP(K24,'Train Runs'!$A$13:$V$997,22,TRUE),NA())</f>
        <v>https://d0f6bd738d7f1b3e5a7ca70fe4ff75f0.us-east-1.aws.found.io/app/kibana#/discover/Steve-Slow-Train-Analysis-(2080s-and-2083s)?_g=(refreshInterval:(display:Off,pause:!f,section:0,value:0),time:(from:'2017-03-26T18:54:20-0600',mode:absolute,to:'2017-03-26T21:43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222-26</v>
      </c>
      <c r="L24" s="206" t="e">
        <f>IF(VLOOKUP(K24,'Train Runs'!$A$12:$B$997,1,TRUE)=K24,VLOOKUP(K24,'Train Runs'!$A$12:$B$997,2,TRUE),NA())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368</v>
      </c>
      <c r="C25" s="198" t="s">
        <v>370</v>
      </c>
      <c r="D25" s="212">
        <f>D24+2</f>
        <v>224</v>
      </c>
      <c r="E25" s="30" t="s">
        <v>372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Runs'!$A$13:$V$997,1,TRUE)=K25,VLOOKUP(K25,'Train Runs'!$A$13:$V$997,22,TRUE),NA())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224-26</v>
      </c>
      <c r="L25" s="206" t="e">
        <f>IF(VLOOKUP(K25,'Train Runs'!$A$12:$B$997,1,TRUE)=K25,VLOOKUP(K25,'Train Runs'!$A$12:$B$997,2,TRUE),NA())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368</v>
      </c>
      <c r="C26" s="198" t="s">
        <v>370</v>
      </c>
      <c r="D26" s="212">
        <f>D25+2</f>
        <v>226</v>
      </c>
      <c r="E26" s="30" t="s">
        <v>372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Runs'!$A$13:$V$997,1,TRUE)=K26,VLOOKUP(K26,'Train Runs'!$A$13:$V$997,22,TRUE),NA())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226-26</v>
      </c>
      <c r="L26" s="206" t="e">
        <f>IF(VLOOKUP(K26,'Train Runs'!$A$12:$B$997,1,TRUE)=K26,VLOOKUP(K26,'Train Runs'!$A$12:$B$997,2,TRUE),NA())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368</v>
      </c>
      <c r="C27" s="198" t="s">
        <v>370</v>
      </c>
      <c r="D27" s="212">
        <f t="shared" ref="D27:D33" si="5">D26+2</f>
        <v>228</v>
      </c>
      <c r="E27" s="30" t="s">
        <v>372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Runs'!$A$13:$V$997,1,TRUE)=K27,VLOOKUP(K27,'Train Runs'!$A$13:$V$997,22,TRUE),NA())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228-26</v>
      </c>
      <c r="L27" s="206" t="e">
        <f>IF(VLOOKUP(K27,'Train Runs'!$A$12:$B$997,1,TRUE)=K27,VLOOKUP(K27,'Train Runs'!$A$12:$B$997,2,TRUE),NA())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368</v>
      </c>
      <c r="C28" s="198" t="s">
        <v>370</v>
      </c>
      <c r="D28" s="212">
        <f t="shared" si="5"/>
        <v>230</v>
      </c>
      <c r="E28" s="30" t="s">
        <v>372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Runs'!$A$13:$V$997,1,TRUE)=K28,VLOOKUP(K28,'Train Runs'!$A$13:$V$997,22,TRUE),NA())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230-26</v>
      </c>
      <c r="L28" s="206" t="e">
        <f>IF(VLOOKUP(K28,'Train Runs'!$A$12:$B$997,1,TRUE)=K28,VLOOKUP(K28,'Train Runs'!$A$12:$B$997,2,TRUE),NA())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368</v>
      </c>
      <c r="C29" s="198" t="s">
        <v>370</v>
      </c>
      <c r="D29" s="212">
        <f t="shared" si="5"/>
        <v>232</v>
      </c>
      <c r="E29" s="30" t="s">
        <v>372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Runs'!$A$13:$V$997,1,TRUE)=K29,VLOOKUP(K29,'Train Runs'!$A$13:$V$997,22,TRUE),NA())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232-26</v>
      </c>
      <c r="L29" s="206" t="e">
        <f>IF(VLOOKUP(K29,'Train Runs'!$A$12:$B$997,1,TRUE)=K29,VLOOKUP(K29,'Train Runs'!$A$12:$B$997,2,TRUE),NA())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368</v>
      </c>
      <c r="C30" s="198" t="s">
        <v>370</v>
      </c>
      <c r="D30" s="212">
        <f t="shared" si="5"/>
        <v>234</v>
      </c>
      <c r="E30" s="30" t="s">
        <v>372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Runs'!$A$13:$V$997,1,TRUE)=K30,VLOOKUP(K30,'Train Runs'!$A$13:$V$997,22,TRUE),NA())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234-26</v>
      </c>
      <c r="L30" s="206" t="e">
        <f>IF(VLOOKUP(K30,'Train Runs'!$A$12:$B$997,1,TRUE)=K30,VLOOKUP(K30,'Train Runs'!$A$12:$B$997,2,TRUE),NA())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368</v>
      </c>
      <c r="C31" s="198" t="s">
        <v>370</v>
      </c>
      <c r="D31" s="212">
        <f t="shared" si="5"/>
        <v>236</v>
      </c>
      <c r="E31" s="30" t="s">
        <v>372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Runs'!$A$13:$V$997,1,TRUE)=K31,VLOOKUP(K31,'Train Runs'!$A$13:$V$997,22,TRUE),NA())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236-26</v>
      </c>
      <c r="L31" s="206" t="e">
        <f>IF(VLOOKUP(K31,'Train Runs'!$A$12:$B$997,1,TRUE)=K31,VLOOKUP(K31,'Train Runs'!$A$12:$B$997,2,TRUE),NA())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368</v>
      </c>
      <c r="C32" s="198" t="s">
        <v>370</v>
      </c>
      <c r="D32" s="212">
        <f t="shared" si="5"/>
        <v>238</v>
      </c>
      <c r="E32" s="30" t="s">
        <v>372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Runs'!$A$13:$V$997,1,TRUE)=K32,VLOOKUP(K32,'Train Runs'!$A$13:$V$997,22,TRUE),NA())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238-26</v>
      </c>
      <c r="L32" s="206" t="e">
        <f>IF(VLOOKUP(K32,'Train Runs'!$A$12:$B$997,1,TRUE)=K32,VLOOKUP(K32,'Train Runs'!$A$12:$B$997,2,TRUE),NA())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368</v>
      </c>
      <c r="C33" s="198" t="s">
        <v>370</v>
      </c>
      <c r="D33" s="212">
        <f t="shared" si="5"/>
        <v>240</v>
      </c>
      <c r="E33" s="30" t="s">
        <v>372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Runs'!$A$13:$V$997,1,TRUE)=K33,VLOOKUP(K33,'Train Runs'!$A$13:$V$997,22,TRUE),NA())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240-26</v>
      </c>
      <c r="L33" s="206" t="e">
        <f>IF(VLOOKUP(K33,'Train Runs'!$A$12:$B$997,1,TRUE)=K33,VLOOKUP(K33,'Train Runs'!$A$12:$B$997,2,TRUE),NA())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368</v>
      </c>
      <c r="C34" s="198" t="s">
        <v>370</v>
      </c>
      <c r="D34" s="212">
        <v>240</v>
      </c>
      <c r="E34" s="30" t="s">
        <v>372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Runs'!$A$13:$V$997,1,TRUE)=K34,VLOOKUP(K34,'Train Runs'!$A$13:$V$997,22,TRUE),NA())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240-26</v>
      </c>
      <c r="L34" s="206" t="e">
        <f>IF(VLOOKUP(K34,'Train Runs'!$A$12:$B$997,1,TRUE)=K34,VLOOKUP(K34,'Train Runs'!$A$12:$B$997,2,TRUE),NA())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368</v>
      </c>
      <c r="C35" s="198" t="s">
        <v>370</v>
      </c>
      <c r="D35" s="212">
        <v>242</v>
      </c>
      <c r="E35" s="30" t="s">
        <v>372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Runs'!$A$13:$V$997,1,TRUE)=K35,VLOOKUP(K35,'Train Runs'!$A$13:$V$997,22,TRUE),NA())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242-26</v>
      </c>
      <c r="L35" s="206" t="e">
        <f>IF(VLOOKUP(K35,'Train Runs'!$A$12:$B$997,1,TRUE)=K35,VLOOKUP(K35,'Train Runs'!$A$12:$B$997,2,TRUE),NA())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42820.035995370374</v>
      </c>
      <c r="B2" s="20" t="s">
        <v>626</v>
      </c>
      <c r="C2" s="20" t="s">
        <v>627</v>
      </c>
      <c r="D2" s="150">
        <v>2270000</v>
      </c>
      <c r="E2" s="20" t="s">
        <v>210</v>
      </c>
      <c r="F2" s="20" t="s">
        <v>211</v>
      </c>
      <c r="G2" s="8" t="str">
        <f>E2&amp;" "&amp;F2</f>
        <v>BROWN JACOB</v>
      </c>
    </row>
    <row r="3" spans="1:7" x14ac:dyDescent="0.25">
      <c r="A3" s="8">
        <v>42820.036851851852</v>
      </c>
      <c r="B3" s="20" t="s">
        <v>554</v>
      </c>
      <c r="C3" s="20" t="s">
        <v>628</v>
      </c>
      <c r="D3" s="150">
        <v>2000000</v>
      </c>
      <c r="E3" s="20" t="s">
        <v>388</v>
      </c>
      <c r="F3" s="20" t="s">
        <v>195</v>
      </c>
      <c r="G3" s="8" t="str">
        <f t="shared" ref="G3:G66" si="0">E3&amp;" "&amp;F3</f>
        <v>STAMBAUGH JAMES</v>
      </c>
    </row>
    <row r="4" spans="1:7" x14ac:dyDescent="0.25">
      <c r="A4" s="8">
        <v>42820.050729166665</v>
      </c>
      <c r="B4" s="20" t="s">
        <v>479</v>
      </c>
      <c r="C4" s="20" t="s">
        <v>629</v>
      </c>
      <c r="D4" s="150">
        <v>2230000</v>
      </c>
      <c r="E4" s="20" t="s">
        <v>399</v>
      </c>
      <c r="F4" s="20" t="s">
        <v>198</v>
      </c>
      <c r="G4" s="8" t="str">
        <f t="shared" si="0"/>
        <v>SMITH MICHAEL</v>
      </c>
    </row>
    <row r="5" spans="1:7" x14ac:dyDescent="0.25">
      <c r="A5" s="8">
        <v>42820.062615740739</v>
      </c>
      <c r="B5" s="20" t="s">
        <v>630</v>
      </c>
      <c r="C5" s="20" t="s">
        <v>631</v>
      </c>
      <c r="D5" s="150">
        <v>2270000</v>
      </c>
      <c r="E5" s="20" t="s">
        <v>210</v>
      </c>
      <c r="F5" s="20" t="s">
        <v>211</v>
      </c>
      <c r="G5" s="8" t="str">
        <f t="shared" si="0"/>
        <v>BROWN JACOB</v>
      </c>
    </row>
    <row r="6" spans="1:7" x14ac:dyDescent="0.25">
      <c r="A6" s="8">
        <v>42820.077893518515</v>
      </c>
      <c r="B6" s="20" t="s">
        <v>509</v>
      </c>
      <c r="C6" s="20" t="s">
        <v>632</v>
      </c>
      <c r="D6" s="150">
        <v>2000000</v>
      </c>
      <c r="E6" s="20" t="s">
        <v>388</v>
      </c>
      <c r="F6" s="20" t="s">
        <v>195</v>
      </c>
      <c r="G6" s="8" t="str">
        <f t="shared" si="0"/>
        <v>STAMBAUGH JAMES</v>
      </c>
    </row>
    <row r="7" spans="1:7" x14ac:dyDescent="0.25">
      <c r="A7" s="8">
        <v>42820.07980324074</v>
      </c>
      <c r="B7" s="20" t="s">
        <v>477</v>
      </c>
      <c r="C7" s="20" t="s">
        <v>633</v>
      </c>
      <c r="D7" s="150">
        <v>2230000</v>
      </c>
      <c r="E7" s="20" t="s">
        <v>399</v>
      </c>
      <c r="F7" s="20" t="s">
        <v>198</v>
      </c>
      <c r="G7" s="8" t="str">
        <f t="shared" si="0"/>
        <v>SMITH MICHAEL</v>
      </c>
    </row>
    <row r="8" spans="1:7" x14ac:dyDescent="0.25">
      <c r="A8" s="8">
        <v>42820.102349537039</v>
      </c>
      <c r="B8" s="20" t="s">
        <v>554</v>
      </c>
      <c r="C8" s="20" t="s">
        <v>634</v>
      </c>
      <c r="D8" s="150">
        <v>2000000</v>
      </c>
      <c r="E8" s="20" t="s">
        <v>388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42820.103483796294</v>
      </c>
      <c r="B9" s="20" t="s">
        <v>554</v>
      </c>
      <c r="C9" s="20" t="s">
        <v>634</v>
      </c>
      <c r="D9" s="150">
        <v>2000000</v>
      </c>
      <c r="E9" s="20" t="s">
        <v>388</v>
      </c>
      <c r="F9" s="20" t="s">
        <v>195</v>
      </c>
      <c r="G9" s="8" t="str">
        <f t="shared" si="0"/>
        <v>STAMBAUGH JAMES</v>
      </c>
    </row>
    <row r="10" spans="1:7" x14ac:dyDescent="0.25">
      <c r="A10" s="8">
        <v>42820.104016203702</v>
      </c>
      <c r="B10" s="20" t="s">
        <v>554</v>
      </c>
      <c r="C10" s="20" t="s">
        <v>634</v>
      </c>
      <c r="D10" s="150">
        <v>2000000</v>
      </c>
      <c r="E10" s="20" t="s">
        <v>388</v>
      </c>
      <c r="F10" s="20" t="s">
        <v>195</v>
      </c>
      <c r="G10" s="8" t="str">
        <f t="shared" si="0"/>
        <v>STAMBAUGH JAMES</v>
      </c>
    </row>
    <row r="11" spans="1:7" x14ac:dyDescent="0.25">
      <c r="A11" s="8">
        <v>42820.126458333332</v>
      </c>
      <c r="B11" s="20" t="s">
        <v>448</v>
      </c>
      <c r="C11" s="20" t="s">
        <v>635</v>
      </c>
      <c r="D11" s="150">
        <v>1520000</v>
      </c>
      <c r="E11" s="20" t="s">
        <v>636</v>
      </c>
      <c r="F11" s="20" t="s">
        <v>637</v>
      </c>
      <c r="G11" s="8" t="str">
        <f t="shared" si="0"/>
        <v>MAYBERRY BILL</v>
      </c>
    </row>
    <row r="12" spans="1:7" x14ac:dyDescent="0.25">
      <c r="A12" s="8">
        <v>42820.128599537034</v>
      </c>
      <c r="B12" s="20" t="s">
        <v>509</v>
      </c>
      <c r="C12" s="20" t="s">
        <v>638</v>
      </c>
      <c r="D12" s="150">
        <v>2040000</v>
      </c>
      <c r="E12" s="20" t="s">
        <v>513</v>
      </c>
      <c r="F12" s="20" t="s">
        <v>514</v>
      </c>
      <c r="G12" s="8" t="str">
        <f t="shared" si="0"/>
        <v>MOSES BRADLEY</v>
      </c>
    </row>
    <row r="13" spans="1:7" x14ac:dyDescent="0.25">
      <c r="A13" s="8">
        <v>42820.136087962965</v>
      </c>
      <c r="B13" s="20" t="s">
        <v>450</v>
      </c>
      <c r="C13" s="20" t="s">
        <v>639</v>
      </c>
      <c r="D13" s="150">
        <v>1520000</v>
      </c>
      <c r="E13" s="20" t="s">
        <v>636</v>
      </c>
      <c r="F13" s="20" t="s">
        <v>637</v>
      </c>
      <c r="G13" s="8" t="str">
        <f t="shared" si="0"/>
        <v>MAYBERRY BILL</v>
      </c>
    </row>
    <row r="14" spans="1:7" x14ac:dyDescent="0.25">
      <c r="A14" s="8">
        <v>42820.140775462962</v>
      </c>
      <c r="B14" s="20" t="s">
        <v>449</v>
      </c>
      <c r="C14" s="20" t="s">
        <v>640</v>
      </c>
      <c r="D14" s="150">
        <v>2010000</v>
      </c>
      <c r="E14" s="20" t="s">
        <v>641</v>
      </c>
      <c r="F14" s="20" t="s">
        <v>642</v>
      </c>
      <c r="G14" s="8" t="str">
        <f t="shared" si="0"/>
        <v>MAELZER KURT</v>
      </c>
    </row>
    <row r="15" spans="1:7" x14ac:dyDescent="0.25">
      <c r="A15" s="8">
        <v>42820.151307870372</v>
      </c>
      <c r="B15" s="20" t="s">
        <v>387</v>
      </c>
      <c r="C15" s="20" t="s">
        <v>643</v>
      </c>
      <c r="D15" s="150">
        <v>2010000</v>
      </c>
      <c r="E15" s="20" t="s">
        <v>641</v>
      </c>
      <c r="F15" s="20" t="s">
        <v>642</v>
      </c>
      <c r="G15" s="8" t="str">
        <f t="shared" si="0"/>
        <v>MAELZER KURT</v>
      </c>
    </row>
    <row r="16" spans="1:7" x14ac:dyDescent="0.25">
      <c r="A16" s="8">
        <v>42820.159884259258</v>
      </c>
      <c r="B16" s="20" t="s">
        <v>500</v>
      </c>
      <c r="C16" s="20" t="s">
        <v>644</v>
      </c>
      <c r="D16" s="150">
        <v>2550000</v>
      </c>
      <c r="E16" s="20" t="s">
        <v>507</v>
      </c>
      <c r="F16" s="20" t="s">
        <v>508</v>
      </c>
      <c r="G16" s="8" t="str">
        <f t="shared" si="0"/>
        <v>BADERTSCHER DIANE</v>
      </c>
    </row>
    <row r="17" spans="1:7" x14ac:dyDescent="0.25">
      <c r="A17" s="8">
        <v>42820.170208333337</v>
      </c>
      <c r="B17" s="20" t="s">
        <v>448</v>
      </c>
      <c r="C17" s="20" t="s">
        <v>645</v>
      </c>
      <c r="D17" s="150">
        <v>1520000</v>
      </c>
      <c r="E17" s="20" t="s">
        <v>636</v>
      </c>
      <c r="F17" s="20" t="s">
        <v>637</v>
      </c>
      <c r="G17" s="8" t="str">
        <f t="shared" si="0"/>
        <v>MAYBERRY BILL</v>
      </c>
    </row>
    <row r="18" spans="1:7" x14ac:dyDescent="0.25">
      <c r="A18" s="8">
        <v>42820.172800925924</v>
      </c>
      <c r="B18" s="20" t="s">
        <v>390</v>
      </c>
      <c r="C18" s="20" t="s">
        <v>646</v>
      </c>
      <c r="D18" s="150">
        <v>2550000</v>
      </c>
      <c r="E18" s="20" t="s">
        <v>507</v>
      </c>
      <c r="F18" s="20" t="s">
        <v>508</v>
      </c>
      <c r="G18" s="8" t="str">
        <f t="shared" si="0"/>
        <v>BADERTSCHER DIANE</v>
      </c>
    </row>
    <row r="19" spans="1:7" x14ac:dyDescent="0.25">
      <c r="A19" s="8">
        <v>42820.173796296294</v>
      </c>
      <c r="B19" s="20" t="s">
        <v>402</v>
      </c>
      <c r="C19" s="20" t="s">
        <v>596</v>
      </c>
      <c r="D19" s="150">
        <v>1990000</v>
      </c>
      <c r="E19" s="20" t="s">
        <v>647</v>
      </c>
      <c r="F19" s="20" t="s">
        <v>648</v>
      </c>
      <c r="G19" s="8" t="str">
        <f t="shared" si="0"/>
        <v>DAVIS WENDY</v>
      </c>
    </row>
    <row r="20" spans="1:7" x14ac:dyDescent="0.25">
      <c r="A20" s="8">
        <v>42820.179745370369</v>
      </c>
      <c r="B20" s="20" t="s">
        <v>451</v>
      </c>
      <c r="C20" s="20" t="s">
        <v>649</v>
      </c>
      <c r="D20" s="150">
        <v>2140000</v>
      </c>
      <c r="E20" s="20" t="s">
        <v>556</v>
      </c>
      <c r="F20" s="20" t="s">
        <v>557</v>
      </c>
      <c r="G20" s="8" t="str">
        <f t="shared" si="0"/>
        <v>ROBINSON KADDIBA</v>
      </c>
    </row>
    <row r="21" spans="1:7" x14ac:dyDescent="0.25">
      <c r="A21" s="8">
        <v>42820.181944444441</v>
      </c>
      <c r="B21" s="20" t="s">
        <v>553</v>
      </c>
      <c r="C21" s="20" t="s">
        <v>650</v>
      </c>
      <c r="D21" s="150">
        <v>1100000</v>
      </c>
      <c r="E21" s="20" t="s">
        <v>510</v>
      </c>
      <c r="F21" s="20" t="s">
        <v>511</v>
      </c>
      <c r="G21" s="8" t="str">
        <f t="shared" si="0"/>
        <v>GEBRETEKLE DAGNEW</v>
      </c>
    </row>
    <row r="22" spans="1:7" x14ac:dyDescent="0.25">
      <c r="A22" s="26">
        <v>42820.188796296294</v>
      </c>
      <c r="B22" s="20" t="s">
        <v>392</v>
      </c>
      <c r="C22" s="20" t="s">
        <v>651</v>
      </c>
      <c r="D22" s="150">
        <v>2040000</v>
      </c>
      <c r="E22" s="20" t="s">
        <v>513</v>
      </c>
      <c r="F22" s="20" t="s">
        <v>514</v>
      </c>
      <c r="G22" s="8" t="str">
        <f t="shared" si="0"/>
        <v>MOSES BRADLEY</v>
      </c>
    </row>
    <row r="23" spans="1:7" x14ac:dyDescent="0.25">
      <c r="A23" s="8">
        <v>42820.191643518519</v>
      </c>
      <c r="B23" s="20" t="s">
        <v>449</v>
      </c>
      <c r="C23" s="20" t="s">
        <v>652</v>
      </c>
      <c r="D23" s="150">
        <v>2010000</v>
      </c>
      <c r="E23" s="20" t="s">
        <v>641</v>
      </c>
      <c r="F23" s="20" t="s">
        <v>642</v>
      </c>
      <c r="G23" s="8" t="str">
        <f t="shared" si="0"/>
        <v>MAELZER KURT</v>
      </c>
    </row>
    <row r="24" spans="1:7" x14ac:dyDescent="0.25">
      <c r="A24" s="8">
        <v>42820.199814814812</v>
      </c>
      <c r="B24" s="20" t="s">
        <v>461</v>
      </c>
      <c r="C24" s="20" t="s">
        <v>653</v>
      </c>
      <c r="D24" s="150">
        <v>2140000</v>
      </c>
      <c r="E24" s="20" t="s">
        <v>556</v>
      </c>
      <c r="F24" s="20" t="s">
        <v>557</v>
      </c>
      <c r="G24" s="8" t="str">
        <f t="shared" si="0"/>
        <v>ROBINSON KADDIBA</v>
      </c>
    </row>
    <row r="25" spans="1:7" x14ac:dyDescent="0.25">
      <c r="A25" s="8">
        <v>42820.206307870372</v>
      </c>
      <c r="B25" s="20" t="s">
        <v>555</v>
      </c>
      <c r="C25" s="20" t="s">
        <v>654</v>
      </c>
      <c r="D25" s="150">
        <v>1100000</v>
      </c>
      <c r="E25" s="20" t="s">
        <v>510</v>
      </c>
      <c r="F25" s="20" t="s">
        <v>511</v>
      </c>
      <c r="G25" s="8" t="str">
        <f t="shared" si="0"/>
        <v>GEBRETEKLE DAGNEW</v>
      </c>
    </row>
    <row r="26" spans="1:7" x14ac:dyDescent="0.25">
      <c r="A26" s="8">
        <v>42820.20716435185</v>
      </c>
      <c r="B26" s="20" t="s">
        <v>555</v>
      </c>
      <c r="C26" s="20" t="s">
        <v>654</v>
      </c>
      <c r="D26" s="150">
        <v>1100000</v>
      </c>
      <c r="E26" s="20" t="s">
        <v>510</v>
      </c>
      <c r="F26" s="20" t="s">
        <v>511</v>
      </c>
      <c r="G26" s="8" t="str">
        <f t="shared" si="0"/>
        <v>GEBRETEKLE DAGNEW</v>
      </c>
    </row>
    <row r="27" spans="1:7" x14ac:dyDescent="0.25">
      <c r="A27" s="8">
        <v>42820.209583333337</v>
      </c>
      <c r="B27" s="20" t="s">
        <v>450</v>
      </c>
      <c r="C27" s="20" t="s">
        <v>655</v>
      </c>
      <c r="D27" s="150">
        <v>1520000</v>
      </c>
      <c r="E27" s="20" t="s">
        <v>636</v>
      </c>
      <c r="F27" s="20" t="s">
        <v>637</v>
      </c>
      <c r="G27" s="8" t="str">
        <f t="shared" si="0"/>
        <v>MAYBERRY BILL</v>
      </c>
    </row>
    <row r="28" spans="1:7" x14ac:dyDescent="0.25">
      <c r="A28" s="8">
        <v>42820.210520833331</v>
      </c>
      <c r="B28" s="20" t="s">
        <v>630</v>
      </c>
      <c r="C28" s="20" t="s">
        <v>656</v>
      </c>
      <c r="D28" s="150">
        <v>1990000</v>
      </c>
      <c r="E28" s="20" t="s">
        <v>647</v>
      </c>
      <c r="F28" s="20" t="s">
        <v>648</v>
      </c>
      <c r="G28" s="8" t="str">
        <f t="shared" si="0"/>
        <v>DAVIS WENDY</v>
      </c>
    </row>
    <row r="29" spans="1:7" x14ac:dyDescent="0.25">
      <c r="A29" s="8">
        <v>42820.211504629631</v>
      </c>
      <c r="B29" s="20" t="s">
        <v>500</v>
      </c>
      <c r="C29" s="20" t="s">
        <v>597</v>
      </c>
      <c r="D29" s="150">
        <v>2550000</v>
      </c>
      <c r="E29" s="20" t="s">
        <v>507</v>
      </c>
      <c r="F29" s="20" t="s">
        <v>508</v>
      </c>
      <c r="G29" s="8" t="str">
        <f t="shared" si="0"/>
        <v>BADERTSCHER DIANE</v>
      </c>
    </row>
    <row r="30" spans="1:7" x14ac:dyDescent="0.25">
      <c r="A30" s="8">
        <v>42820.215254629627</v>
      </c>
      <c r="B30" s="20" t="s">
        <v>401</v>
      </c>
      <c r="C30" s="20" t="s">
        <v>657</v>
      </c>
      <c r="D30" s="150">
        <v>1830000</v>
      </c>
      <c r="E30" s="20" t="s">
        <v>480</v>
      </c>
      <c r="F30" s="20" t="s">
        <v>481</v>
      </c>
      <c r="G30" s="8" t="str">
        <f t="shared" si="0"/>
        <v>YORK EDGAR</v>
      </c>
    </row>
    <row r="31" spans="1:7" x14ac:dyDescent="0.25">
      <c r="A31" s="8">
        <v>42820.223402777781</v>
      </c>
      <c r="B31" s="20" t="s">
        <v>506</v>
      </c>
      <c r="C31" s="20" t="s">
        <v>658</v>
      </c>
      <c r="D31" s="150">
        <v>2040000</v>
      </c>
      <c r="E31" s="20" t="s">
        <v>513</v>
      </c>
      <c r="F31" s="20" t="s">
        <v>514</v>
      </c>
      <c r="G31" s="8" t="str">
        <f t="shared" si="0"/>
        <v>MOSES BRADLEY</v>
      </c>
    </row>
    <row r="32" spans="1:7" x14ac:dyDescent="0.25">
      <c r="A32" s="8">
        <v>42820.224097222221</v>
      </c>
      <c r="B32" s="20" t="s">
        <v>405</v>
      </c>
      <c r="C32" s="20" t="s">
        <v>659</v>
      </c>
      <c r="D32" s="150">
        <v>1830000</v>
      </c>
      <c r="E32" s="20" t="s">
        <v>480</v>
      </c>
      <c r="F32" s="20" t="s">
        <v>481</v>
      </c>
      <c r="G32" s="8" t="str">
        <f t="shared" si="0"/>
        <v>YORK EDGAR</v>
      </c>
    </row>
    <row r="33" spans="1:7" x14ac:dyDescent="0.25">
      <c r="A33" s="8">
        <v>42820.228310185186</v>
      </c>
      <c r="B33" s="20" t="s">
        <v>387</v>
      </c>
      <c r="C33" s="20" t="s">
        <v>660</v>
      </c>
      <c r="D33" s="150">
        <v>2020000</v>
      </c>
      <c r="E33" s="20" t="s">
        <v>558</v>
      </c>
      <c r="F33" s="20" t="s">
        <v>512</v>
      </c>
      <c r="G33" s="8" t="str">
        <f t="shared" si="0"/>
        <v>SHOOK JOHN</v>
      </c>
    </row>
    <row r="34" spans="1:7" x14ac:dyDescent="0.25">
      <c r="A34" s="8">
        <v>42820.228854166664</v>
      </c>
      <c r="B34" s="20" t="s">
        <v>452</v>
      </c>
      <c r="C34" s="20" t="s">
        <v>661</v>
      </c>
      <c r="D34" s="150">
        <v>2010000</v>
      </c>
      <c r="E34" s="20" t="s">
        <v>641</v>
      </c>
      <c r="F34" s="20" t="s">
        <v>642</v>
      </c>
      <c r="G34" s="8" t="str">
        <f t="shared" si="0"/>
        <v>MAELZER KURT</v>
      </c>
    </row>
    <row r="35" spans="1:7" x14ac:dyDescent="0.25">
      <c r="A35" s="8">
        <v>42820.234618055554</v>
      </c>
      <c r="B35" s="20" t="s">
        <v>451</v>
      </c>
      <c r="C35" s="20" t="s">
        <v>662</v>
      </c>
      <c r="D35" s="150">
        <v>2140000</v>
      </c>
      <c r="E35" s="20" t="s">
        <v>556</v>
      </c>
      <c r="F35" s="20" t="s">
        <v>557</v>
      </c>
      <c r="G35" s="8" t="str">
        <f t="shared" si="0"/>
        <v>ROBINSON KADDIBA</v>
      </c>
    </row>
    <row r="36" spans="1:7" x14ac:dyDescent="0.25">
      <c r="A36" s="8">
        <v>42820.245266203703</v>
      </c>
      <c r="B36" s="20" t="s">
        <v>553</v>
      </c>
      <c r="C36" s="20" t="s">
        <v>663</v>
      </c>
      <c r="D36" s="150">
        <v>1100000</v>
      </c>
      <c r="E36" s="20" t="s">
        <v>510</v>
      </c>
      <c r="F36" s="20" t="s">
        <v>511</v>
      </c>
      <c r="G36" s="8" t="str">
        <f t="shared" si="0"/>
        <v>GEBRETEKLE DAGNEW</v>
      </c>
    </row>
    <row r="37" spans="1:7" x14ac:dyDescent="0.25">
      <c r="A37" s="8">
        <v>42820.247256944444</v>
      </c>
      <c r="B37" s="20" t="s">
        <v>401</v>
      </c>
      <c r="C37" s="20" t="s">
        <v>664</v>
      </c>
      <c r="D37" s="150">
        <v>1830000</v>
      </c>
      <c r="E37" s="20" t="s">
        <v>480</v>
      </c>
      <c r="F37" s="20" t="s">
        <v>481</v>
      </c>
      <c r="G37" s="8" t="str">
        <f t="shared" si="0"/>
        <v>YORK EDGAR</v>
      </c>
    </row>
    <row r="38" spans="1:7" x14ac:dyDescent="0.25">
      <c r="A38" s="8">
        <v>42820.247627314813</v>
      </c>
      <c r="B38" s="20" t="s">
        <v>448</v>
      </c>
      <c r="C38" s="20" t="s">
        <v>665</v>
      </c>
      <c r="D38" s="150">
        <v>1520000</v>
      </c>
      <c r="E38" s="20" t="s">
        <v>636</v>
      </c>
      <c r="F38" s="20" t="s">
        <v>637</v>
      </c>
      <c r="G38" s="8" t="str">
        <f t="shared" si="0"/>
        <v>MAYBERRY BILL</v>
      </c>
    </row>
    <row r="39" spans="1:7" x14ac:dyDescent="0.25">
      <c r="A39" s="8">
        <v>42820.251574074071</v>
      </c>
      <c r="B39" s="20" t="s">
        <v>390</v>
      </c>
      <c r="C39" s="20" t="s">
        <v>666</v>
      </c>
      <c r="D39" s="150">
        <v>2550000</v>
      </c>
      <c r="E39" s="20" t="s">
        <v>507</v>
      </c>
      <c r="F39" s="20" t="s">
        <v>508</v>
      </c>
      <c r="G39" s="8" t="str">
        <f t="shared" si="0"/>
        <v>BADERTSCHER DIANE</v>
      </c>
    </row>
    <row r="40" spans="1:7" x14ac:dyDescent="0.25">
      <c r="A40" s="8">
        <v>42820.253645833334</v>
      </c>
      <c r="B40" s="25" t="s">
        <v>390</v>
      </c>
      <c r="C40" s="20" t="s">
        <v>666</v>
      </c>
      <c r="D40" s="150">
        <v>2550000</v>
      </c>
      <c r="E40" s="20" t="s">
        <v>507</v>
      </c>
      <c r="F40" s="20" t="s">
        <v>508</v>
      </c>
      <c r="G40" s="8" t="str">
        <f t="shared" si="0"/>
        <v>BADERTSCHER DIANE</v>
      </c>
    </row>
    <row r="41" spans="1:7" x14ac:dyDescent="0.25">
      <c r="A41" s="8">
        <v>42820.257071759261</v>
      </c>
      <c r="B41" s="20" t="s">
        <v>392</v>
      </c>
      <c r="C41" s="20" t="s">
        <v>667</v>
      </c>
      <c r="D41" s="150">
        <v>1990000</v>
      </c>
      <c r="E41" s="20" t="s">
        <v>647</v>
      </c>
      <c r="F41" s="20" t="s">
        <v>648</v>
      </c>
      <c r="G41" s="8" t="str">
        <f t="shared" si="0"/>
        <v>DAVIS WENDY</v>
      </c>
    </row>
    <row r="42" spans="1:7" x14ac:dyDescent="0.25">
      <c r="A42" s="8">
        <v>42820.257233796299</v>
      </c>
      <c r="B42" s="20" t="s">
        <v>386</v>
      </c>
      <c r="C42" s="20" t="s">
        <v>668</v>
      </c>
      <c r="D42" s="150">
        <v>2020000</v>
      </c>
      <c r="E42" s="20" t="s">
        <v>558</v>
      </c>
      <c r="F42" s="20" t="s">
        <v>512</v>
      </c>
      <c r="G42" s="8" t="str">
        <f t="shared" si="0"/>
        <v>SHOOK JOHN</v>
      </c>
    </row>
    <row r="43" spans="1:7" x14ac:dyDescent="0.25">
      <c r="A43" s="8">
        <v>42820.267800925925</v>
      </c>
      <c r="B43" s="20" t="s">
        <v>461</v>
      </c>
      <c r="C43" s="20" t="s">
        <v>669</v>
      </c>
      <c r="D43" s="150">
        <v>2140000</v>
      </c>
      <c r="E43" s="20" t="s">
        <v>556</v>
      </c>
      <c r="F43" s="20" t="s">
        <v>557</v>
      </c>
      <c r="G43" s="8" t="str">
        <f t="shared" si="0"/>
        <v>ROBINSON KADDIBA</v>
      </c>
    </row>
    <row r="44" spans="1:7" x14ac:dyDescent="0.25">
      <c r="A44" s="8">
        <v>42820.273854166669</v>
      </c>
      <c r="B44" s="20" t="s">
        <v>449</v>
      </c>
      <c r="C44" s="20" t="s">
        <v>670</v>
      </c>
      <c r="D44" s="150">
        <v>2010000</v>
      </c>
      <c r="E44" s="20" t="s">
        <v>641</v>
      </c>
      <c r="F44" s="20" t="s">
        <v>642</v>
      </c>
      <c r="G44" s="8" t="str">
        <f t="shared" si="0"/>
        <v>MAELZER KURT</v>
      </c>
    </row>
    <row r="45" spans="1:7" x14ac:dyDescent="0.25">
      <c r="A45" s="8">
        <v>42820.275196759256</v>
      </c>
      <c r="B45" s="20" t="s">
        <v>405</v>
      </c>
      <c r="C45" s="20" t="s">
        <v>671</v>
      </c>
      <c r="D45" s="150">
        <v>1830000</v>
      </c>
      <c r="E45" s="20" t="s">
        <v>480</v>
      </c>
      <c r="F45" s="20" t="s">
        <v>481</v>
      </c>
      <c r="G45" s="8" t="str">
        <f t="shared" si="0"/>
        <v>YORK EDGAR</v>
      </c>
    </row>
    <row r="46" spans="1:7" x14ac:dyDescent="0.25">
      <c r="A46" s="8">
        <v>42820.277060185188</v>
      </c>
      <c r="B46" s="20" t="s">
        <v>555</v>
      </c>
      <c r="C46" s="20" t="s">
        <v>672</v>
      </c>
      <c r="D46" s="150">
        <v>1100000</v>
      </c>
      <c r="E46" s="20" t="s">
        <v>510</v>
      </c>
      <c r="F46" s="20" t="s">
        <v>511</v>
      </c>
      <c r="G46" s="8" t="str">
        <f t="shared" si="0"/>
        <v>GEBRETEKLE DAGNEW</v>
      </c>
    </row>
    <row r="47" spans="1:7" x14ac:dyDescent="0.25">
      <c r="A47" s="8">
        <v>42820.285509259258</v>
      </c>
      <c r="B47" s="20" t="s">
        <v>389</v>
      </c>
      <c r="C47" s="20" t="s">
        <v>673</v>
      </c>
      <c r="D47" s="150">
        <v>2550000</v>
      </c>
      <c r="E47" s="20" t="s">
        <v>507</v>
      </c>
      <c r="F47" s="20" t="s">
        <v>508</v>
      </c>
      <c r="G47" s="8" t="str">
        <f t="shared" si="0"/>
        <v>BADERTSCHER DIANE</v>
      </c>
    </row>
    <row r="48" spans="1:7" x14ac:dyDescent="0.25">
      <c r="A48" s="8">
        <v>42820.289247685185</v>
      </c>
      <c r="B48" s="20" t="s">
        <v>401</v>
      </c>
      <c r="C48" s="20" t="s">
        <v>674</v>
      </c>
      <c r="D48" s="150">
        <v>1830000</v>
      </c>
      <c r="E48" s="20" t="s">
        <v>480</v>
      </c>
      <c r="F48" s="20" t="s">
        <v>481</v>
      </c>
      <c r="G48" s="8" t="str">
        <f t="shared" si="0"/>
        <v>YORK EDGAR</v>
      </c>
    </row>
    <row r="49" spans="1:7" x14ac:dyDescent="0.25">
      <c r="A49" s="8">
        <v>42820.291076388887</v>
      </c>
      <c r="B49" s="20" t="s">
        <v>450</v>
      </c>
      <c r="C49" s="20" t="s">
        <v>675</v>
      </c>
      <c r="D49" s="150">
        <v>1520000</v>
      </c>
      <c r="E49" s="20" t="s">
        <v>636</v>
      </c>
      <c r="F49" s="20" t="s">
        <v>637</v>
      </c>
      <c r="G49" s="8" t="str">
        <f t="shared" si="0"/>
        <v>MAYBERRY BILL</v>
      </c>
    </row>
    <row r="50" spans="1:7" x14ac:dyDescent="0.25">
      <c r="A50" s="8">
        <v>42820.297210648147</v>
      </c>
      <c r="B50" s="20" t="s">
        <v>506</v>
      </c>
      <c r="C50" s="20" t="s">
        <v>676</v>
      </c>
      <c r="D50" s="150">
        <v>1990000</v>
      </c>
      <c r="E50" s="20" t="s">
        <v>647</v>
      </c>
      <c r="F50" s="20" t="s">
        <v>648</v>
      </c>
      <c r="G50" s="8" t="str">
        <f t="shared" si="0"/>
        <v>DAVIS WENDY</v>
      </c>
    </row>
    <row r="51" spans="1:7" x14ac:dyDescent="0.25">
      <c r="A51" s="8">
        <v>42820.297951388886</v>
      </c>
      <c r="B51" s="20" t="s">
        <v>387</v>
      </c>
      <c r="C51" s="20" t="s">
        <v>677</v>
      </c>
      <c r="D51" s="150">
        <v>2020000</v>
      </c>
      <c r="E51" s="20" t="s">
        <v>558</v>
      </c>
      <c r="F51" s="20" t="s">
        <v>512</v>
      </c>
      <c r="G51" s="8" t="str">
        <f t="shared" si="0"/>
        <v>SHOOK JOHN</v>
      </c>
    </row>
    <row r="52" spans="1:7" x14ac:dyDescent="0.25">
      <c r="A52" s="8">
        <v>42820.299120370371</v>
      </c>
      <c r="B52" s="20" t="s">
        <v>451</v>
      </c>
      <c r="C52" s="20" t="s">
        <v>678</v>
      </c>
      <c r="D52" s="150">
        <v>2140000</v>
      </c>
      <c r="E52" s="20" t="s">
        <v>556</v>
      </c>
      <c r="F52" s="20" t="s">
        <v>557</v>
      </c>
      <c r="G52" s="8" t="str">
        <f t="shared" si="0"/>
        <v>ROBINSON KADDIBA</v>
      </c>
    </row>
    <row r="53" spans="1:7" x14ac:dyDescent="0.25">
      <c r="A53" s="8">
        <v>42820.308344907404</v>
      </c>
      <c r="B53" s="20" t="s">
        <v>452</v>
      </c>
      <c r="C53" s="20" t="s">
        <v>679</v>
      </c>
      <c r="D53" s="150">
        <v>2010000</v>
      </c>
      <c r="E53" s="20" t="s">
        <v>641</v>
      </c>
      <c r="F53" s="20" t="s">
        <v>642</v>
      </c>
      <c r="G53" s="8" t="str">
        <f t="shared" si="0"/>
        <v>MAELZER KURT</v>
      </c>
    </row>
    <row r="54" spans="1:7" x14ac:dyDescent="0.25">
      <c r="A54" s="8">
        <v>42820.316087962965</v>
      </c>
      <c r="B54" s="20" t="s">
        <v>405</v>
      </c>
      <c r="C54" s="20" t="s">
        <v>680</v>
      </c>
      <c r="D54" s="150">
        <v>1830000</v>
      </c>
      <c r="E54" s="20" t="s">
        <v>480</v>
      </c>
      <c r="F54" s="20" t="s">
        <v>481</v>
      </c>
      <c r="G54" s="8" t="str">
        <f t="shared" si="0"/>
        <v>YORK EDGAR</v>
      </c>
    </row>
    <row r="55" spans="1:7" x14ac:dyDescent="0.25">
      <c r="A55" s="8">
        <v>42820.31689814815</v>
      </c>
      <c r="B55" s="20" t="s">
        <v>553</v>
      </c>
      <c r="C55" s="20" t="s">
        <v>681</v>
      </c>
      <c r="D55" s="150">
        <v>1100000</v>
      </c>
      <c r="E55" s="20" t="s">
        <v>510</v>
      </c>
      <c r="F55" s="20" t="s">
        <v>511</v>
      </c>
      <c r="G55" s="8" t="str">
        <f t="shared" si="0"/>
        <v>GEBRETEKLE DAGNEW</v>
      </c>
    </row>
    <row r="56" spans="1:7" x14ac:dyDescent="0.25">
      <c r="A56" s="8">
        <v>42820.321504629632</v>
      </c>
      <c r="B56" s="20" t="s">
        <v>390</v>
      </c>
      <c r="C56" s="20" t="s">
        <v>682</v>
      </c>
      <c r="D56" s="150">
        <v>2550000</v>
      </c>
      <c r="E56" s="20" t="s">
        <v>507</v>
      </c>
      <c r="F56" s="20" t="s">
        <v>508</v>
      </c>
      <c r="G56" s="8" t="str">
        <f t="shared" si="0"/>
        <v>BADERTSCHER DIANE</v>
      </c>
    </row>
    <row r="57" spans="1:7" x14ac:dyDescent="0.25">
      <c r="A57" s="8">
        <v>42820.325891203705</v>
      </c>
      <c r="B57" s="20" t="s">
        <v>448</v>
      </c>
      <c r="C57" s="20" t="s">
        <v>598</v>
      </c>
      <c r="D57" s="150">
        <v>1520000</v>
      </c>
      <c r="E57" s="20" t="s">
        <v>636</v>
      </c>
      <c r="F57" s="20" t="s">
        <v>637</v>
      </c>
      <c r="G57" s="8" t="str">
        <f t="shared" si="0"/>
        <v>MAYBERRY BILL</v>
      </c>
    </row>
    <row r="58" spans="1:7" x14ac:dyDescent="0.25">
      <c r="A58" s="8">
        <v>42820.329953703702</v>
      </c>
      <c r="B58" s="20" t="s">
        <v>386</v>
      </c>
      <c r="C58" s="20" t="s">
        <v>683</v>
      </c>
      <c r="D58" s="150">
        <v>2020000</v>
      </c>
      <c r="E58" s="20" t="s">
        <v>558</v>
      </c>
      <c r="F58" s="20" t="s">
        <v>512</v>
      </c>
      <c r="G58" s="8" t="str">
        <f t="shared" si="0"/>
        <v>SHOOK JOHN</v>
      </c>
    </row>
    <row r="59" spans="1:7" x14ac:dyDescent="0.25">
      <c r="A59" s="8">
        <v>42820.330381944441</v>
      </c>
      <c r="B59" s="20" t="s">
        <v>401</v>
      </c>
      <c r="C59" s="20" t="s">
        <v>684</v>
      </c>
      <c r="D59" s="150">
        <v>1830000</v>
      </c>
      <c r="E59" s="20" t="s">
        <v>480</v>
      </c>
      <c r="F59" s="20" t="s">
        <v>481</v>
      </c>
      <c r="G59" s="8" t="str">
        <f t="shared" si="0"/>
        <v>YORK EDGAR</v>
      </c>
    </row>
    <row r="60" spans="1:7" x14ac:dyDescent="0.25">
      <c r="A60" s="8">
        <v>42820.330659722225</v>
      </c>
      <c r="B60" s="20" t="s">
        <v>392</v>
      </c>
      <c r="C60" s="20" t="s">
        <v>599</v>
      </c>
      <c r="D60" s="150">
        <v>1990000</v>
      </c>
      <c r="E60" s="20" t="s">
        <v>647</v>
      </c>
      <c r="F60" s="20" t="s">
        <v>648</v>
      </c>
      <c r="G60" s="8" t="str">
        <f t="shared" si="0"/>
        <v>DAVIS WENDY</v>
      </c>
    </row>
    <row r="61" spans="1:7" x14ac:dyDescent="0.25">
      <c r="A61" s="8">
        <v>42820.339594907404</v>
      </c>
      <c r="B61" s="20" t="s">
        <v>461</v>
      </c>
      <c r="C61" s="20" t="s">
        <v>685</v>
      </c>
      <c r="D61" s="150">
        <v>2140000</v>
      </c>
      <c r="E61" s="20" t="s">
        <v>556</v>
      </c>
      <c r="F61" s="20" t="s">
        <v>557</v>
      </c>
      <c r="G61" s="8" t="str">
        <f t="shared" si="0"/>
        <v>ROBINSON KADDIBA</v>
      </c>
    </row>
    <row r="62" spans="1:7" x14ac:dyDescent="0.25">
      <c r="A62" s="8">
        <v>42820.344907407409</v>
      </c>
      <c r="B62" s="20" t="s">
        <v>449</v>
      </c>
      <c r="C62" s="20" t="s">
        <v>686</v>
      </c>
      <c r="D62" s="150">
        <v>2010000</v>
      </c>
      <c r="E62" s="20" t="s">
        <v>641</v>
      </c>
      <c r="F62" s="20" t="s">
        <v>642</v>
      </c>
      <c r="G62" s="8" t="str">
        <f t="shared" si="0"/>
        <v>MAELZER KURT</v>
      </c>
    </row>
    <row r="63" spans="1:7" x14ac:dyDescent="0.25">
      <c r="A63" s="8">
        <v>42820.350173611114</v>
      </c>
      <c r="B63" s="20" t="s">
        <v>555</v>
      </c>
      <c r="C63" s="20" t="s">
        <v>687</v>
      </c>
      <c r="D63" s="150">
        <v>1100000</v>
      </c>
      <c r="E63" s="20" t="s">
        <v>510</v>
      </c>
      <c r="F63" s="20" t="s">
        <v>511</v>
      </c>
      <c r="G63" s="8" t="str">
        <f t="shared" si="0"/>
        <v>GEBRETEKLE DAGNEW</v>
      </c>
    </row>
    <row r="64" spans="1:7" x14ac:dyDescent="0.25">
      <c r="A64" s="26">
        <v>42820.353368055556</v>
      </c>
      <c r="B64" s="20" t="s">
        <v>389</v>
      </c>
      <c r="C64" s="20" t="s">
        <v>688</v>
      </c>
      <c r="D64" s="150">
        <v>2550000</v>
      </c>
      <c r="E64" s="20" t="s">
        <v>507</v>
      </c>
      <c r="F64" s="20" t="s">
        <v>508</v>
      </c>
      <c r="G64" s="8" t="str">
        <f t="shared" si="0"/>
        <v>BADERTSCHER DIANE</v>
      </c>
    </row>
    <row r="65" spans="1:7" x14ac:dyDescent="0.25">
      <c r="A65" s="8">
        <v>42820.356064814812</v>
      </c>
      <c r="B65" s="20" t="s">
        <v>386</v>
      </c>
      <c r="C65" s="20" t="s">
        <v>683</v>
      </c>
      <c r="D65" s="150">
        <v>2020000</v>
      </c>
      <c r="E65" s="20" t="s">
        <v>558</v>
      </c>
      <c r="F65" s="20" t="s">
        <v>512</v>
      </c>
      <c r="G65" s="8" t="str">
        <f t="shared" si="0"/>
        <v>SHOOK JOHN</v>
      </c>
    </row>
    <row r="66" spans="1:7" x14ac:dyDescent="0.25">
      <c r="A66" s="8">
        <v>42820.361851851849</v>
      </c>
      <c r="B66" s="20" t="s">
        <v>405</v>
      </c>
      <c r="C66" s="20" t="s">
        <v>689</v>
      </c>
      <c r="D66" s="150">
        <v>1830000</v>
      </c>
      <c r="E66" s="20" t="s">
        <v>480</v>
      </c>
      <c r="F66" s="20" t="s">
        <v>481</v>
      </c>
      <c r="G66" s="8" t="str">
        <f t="shared" si="0"/>
        <v>YORK EDGAR</v>
      </c>
    </row>
    <row r="67" spans="1:7" x14ac:dyDescent="0.25">
      <c r="A67" s="8">
        <v>42820.362592592595</v>
      </c>
      <c r="B67" s="20" t="s">
        <v>450</v>
      </c>
      <c r="C67" s="20" t="s">
        <v>600</v>
      </c>
      <c r="D67" s="150">
        <v>1520000</v>
      </c>
      <c r="E67" s="20" t="s">
        <v>636</v>
      </c>
      <c r="F67" s="20" t="s">
        <v>637</v>
      </c>
      <c r="G67" s="8" t="str">
        <f t="shared" ref="G67:G130" si="1">E67&amp;" "&amp;F67</f>
        <v>MAYBERRY BILL</v>
      </c>
    </row>
    <row r="68" spans="1:7" x14ac:dyDescent="0.25">
      <c r="A68" s="8">
        <v>42820.36886574074</v>
      </c>
      <c r="B68" s="20" t="s">
        <v>506</v>
      </c>
      <c r="C68" s="20" t="s">
        <v>690</v>
      </c>
      <c r="D68" s="150">
        <v>1990000</v>
      </c>
      <c r="E68" s="20" t="s">
        <v>647</v>
      </c>
      <c r="F68" s="20" t="s">
        <v>648</v>
      </c>
      <c r="G68" s="8" t="str">
        <f t="shared" si="1"/>
        <v>DAVIS WENDY</v>
      </c>
    </row>
    <row r="69" spans="1:7" x14ac:dyDescent="0.25">
      <c r="A69" s="8">
        <v>42820.372696759259</v>
      </c>
      <c r="B69" s="20" t="s">
        <v>387</v>
      </c>
      <c r="C69" s="20" t="s">
        <v>691</v>
      </c>
      <c r="D69" s="150">
        <v>2020000</v>
      </c>
      <c r="E69" s="20" t="s">
        <v>558</v>
      </c>
      <c r="F69" s="20" t="s">
        <v>512</v>
      </c>
      <c r="G69" s="8" t="str">
        <f t="shared" si="1"/>
        <v>SHOOK JOHN</v>
      </c>
    </row>
    <row r="70" spans="1:7" x14ac:dyDescent="0.25">
      <c r="A70" s="8">
        <v>42820.372789351852</v>
      </c>
      <c r="B70" s="20" t="s">
        <v>401</v>
      </c>
      <c r="C70" s="20" t="s">
        <v>692</v>
      </c>
      <c r="D70" s="150">
        <v>1830000</v>
      </c>
      <c r="E70" s="20" t="s">
        <v>480</v>
      </c>
      <c r="F70" s="20" t="s">
        <v>481</v>
      </c>
      <c r="G70" s="8" t="str">
        <f t="shared" si="1"/>
        <v>YORK EDGAR</v>
      </c>
    </row>
    <row r="71" spans="1:7" x14ac:dyDescent="0.25">
      <c r="A71" s="8">
        <v>42820.378252314818</v>
      </c>
      <c r="B71" s="20" t="s">
        <v>451</v>
      </c>
      <c r="C71" s="20" t="s">
        <v>693</v>
      </c>
      <c r="D71" s="150">
        <v>2140000</v>
      </c>
      <c r="E71" s="20" t="s">
        <v>556</v>
      </c>
      <c r="F71" s="20" t="s">
        <v>557</v>
      </c>
      <c r="G71" s="8" t="str">
        <f t="shared" si="1"/>
        <v>ROBINSON KADDIBA</v>
      </c>
    </row>
    <row r="72" spans="1:7" x14ac:dyDescent="0.25">
      <c r="A72" s="8">
        <v>42820.383449074077</v>
      </c>
      <c r="B72" s="20" t="s">
        <v>452</v>
      </c>
      <c r="C72" s="20" t="s">
        <v>694</v>
      </c>
      <c r="D72" s="150">
        <v>2010000</v>
      </c>
      <c r="E72" s="20" t="s">
        <v>641</v>
      </c>
      <c r="F72" s="20" t="s">
        <v>642</v>
      </c>
      <c r="G72" s="8" t="str">
        <f t="shared" si="1"/>
        <v>MAELZER KURT</v>
      </c>
    </row>
    <row r="73" spans="1:7" x14ac:dyDescent="0.25">
      <c r="A73" s="8">
        <v>42820.389027777775</v>
      </c>
      <c r="B73" s="20" t="s">
        <v>553</v>
      </c>
      <c r="C73" s="20" t="s">
        <v>695</v>
      </c>
      <c r="D73" s="150">
        <v>1100000</v>
      </c>
      <c r="E73" s="20" t="s">
        <v>510</v>
      </c>
      <c r="F73" s="20" t="s">
        <v>511</v>
      </c>
      <c r="G73" s="8" t="str">
        <f t="shared" si="1"/>
        <v>GEBRETEKLE DAGNEW</v>
      </c>
    </row>
    <row r="74" spans="1:7" x14ac:dyDescent="0.25">
      <c r="A74" s="8">
        <v>42820.393159722225</v>
      </c>
      <c r="B74" s="20" t="s">
        <v>390</v>
      </c>
      <c r="C74" s="20" t="s">
        <v>696</v>
      </c>
      <c r="D74" s="150">
        <v>2550000</v>
      </c>
      <c r="E74" s="20" t="s">
        <v>507</v>
      </c>
      <c r="F74" s="20" t="s">
        <v>508</v>
      </c>
      <c r="G74" s="8" t="str">
        <f t="shared" si="1"/>
        <v>BADERTSCHER DIANE</v>
      </c>
    </row>
    <row r="75" spans="1:7" x14ac:dyDescent="0.25">
      <c r="A75" s="8">
        <v>42820.394953703704</v>
      </c>
      <c r="B75" s="20" t="s">
        <v>448</v>
      </c>
      <c r="C75" s="20" t="s">
        <v>601</v>
      </c>
      <c r="D75" s="150">
        <v>1520000</v>
      </c>
      <c r="E75" s="20" t="s">
        <v>636</v>
      </c>
      <c r="F75" s="20" t="s">
        <v>637</v>
      </c>
      <c r="G75" s="8" t="str">
        <f t="shared" si="1"/>
        <v>MAYBERRY BILL</v>
      </c>
    </row>
    <row r="76" spans="1:7" x14ac:dyDescent="0.25">
      <c r="A76" s="8">
        <v>42820.402280092596</v>
      </c>
      <c r="B76" s="20" t="s">
        <v>386</v>
      </c>
      <c r="C76" s="20" t="s">
        <v>603</v>
      </c>
      <c r="D76" s="150">
        <v>2020000</v>
      </c>
      <c r="E76" s="20" t="s">
        <v>558</v>
      </c>
      <c r="F76" s="20" t="s">
        <v>512</v>
      </c>
      <c r="G76" s="8" t="str">
        <f t="shared" si="1"/>
        <v>SHOOK JOHN</v>
      </c>
    </row>
    <row r="77" spans="1:7" x14ac:dyDescent="0.25">
      <c r="A77" s="8">
        <v>42820.402442129627</v>
      </c>
      <c r="B77" s="20" t="s">
        <v>392</v>
      </c>
      <c r="C77" s="20" t="s">
        <v>697</v>
      </c>
      <c r="D77" s="150">
        <v>1990000</v>
      </c>
      <c r="E77" s="20" t="s">
        <v>647</v>
      </c>
      <c r="F77" s="20" t="s">
        <v>648</v>
      </c>
      <c r="G77" s="8" t="str">
        <f t="shared" si="1"/>
        <v>DAVIS WENDY</v>
      </c>
    </row>
    <row r="78" spans="1:7" x14ac:dyDescent="0.25">
      <c r="A78" s="8">
        <v>42820.403368055559</v>
      </c>
      <c r="B78" s="20" t="s">
        <v>405</v>
      </c>
      <c r="C78" s="20" t="s">
        <v>698</v>
      </c>
      <c r="D78" s="150">
        <v>1830000</v>
      </c>
      <c r="E78" s="20" t="s">
        <v>480</v>
      </c>
      <c r="F78" s="20" t="s">
        <v>481</v>
      </c>
      <c r="G78" s="8" t="str">
        <f t="shared" si="1"/>
        <v>YORK EDGAR</v>
      </c>
    </row>
    <row r="79" spans="1:7" x14ac:dyDescent="0.25">
      <c r="A79" s="8">
        <v>42820.410995370374</v>
      </c>
      <c r="B79" s="20" t="s">
        <v>461</v>
      </c>
      <c r="C79" s="20" t="s">
        <v>602</v>
      </c>
      <c r="D79" s="150">
        <v>2140000</v>
      </c>
      <c r="E79" s="20" t="s">
        <v>556</v>
      </c>
      <c r="F79" s="20" t="s">
        <v>557</v>
      </c>
      <c r="G79" s="8" t="str">
        <f t="shared" si="1"/>
        <v>ROBINSON KADDIBA</v>
      </c>
    </row>
    <row r="80" spans="1:7" x14ac:dyDescent="0.25">
      <c r="A80" s="8">
        <v>42820.415520833332</v>
      </c>
      <c r="B80" s="20" t="s">
        <v>449</v>
      </c>
      <c r="C80" s="20" t="s">
        <v>606</v>
      </c>
      <c r="D80" s="150">
        <v>2010000</v>
      </c>
      <c r="E80" s="20" t="s">
        <v>641</v>
      </c>
      <c r="F80" s="20" t="s">
        <v>642</v>
      </c>
      <c r="G80" s="8" t="str">
        <f t="shared" si="1"/>
        <v>MAELZER KURT</v>
      </c>
    </row>
    <row r="81" spans="1:7" x14ac:dyDescent="0.25">
      <c r="A81" s="8">
        <v>42820.415578703702</v>
      </c>
      <c r="B81" s="20" t="s">
        <v>401</v>
      </c>
      <c r="C81" s="20" t="s">
        <v>699</v>
      </c>
      <c r="D81" s="150">
        <v>1830000</v>
      </c>
      <c r="E81" s="20" t="s">
        <v>480</v>
      </c>
      <c r="F81" s="20" t="s">
        <v>481</v>
      </c>
      <c r="G81" s="8" t="str">
        <f t="shared" si="1"/>
        <v>YORK EDGAR</v>
      </c>
    </row>
    <row r="82" spans="1:7" x14ac:dyDescent="0.25">
      <c r="A82" s="8">
        <v>42820.422650462962</v>
      </c>
      <c r="B82" s="20" t="s">
        <v>555</v>
      </c>
      <c r="C82" s="20" t="s">
        <v>605</v>
      </c>
      <c r="D82" s="150">
        <v>1100000</v>
      </c>
      <c r="E82" s="20" t="s">
        <v>510</v>
      </c>
      <c r="F82" s="20" t="s">
        <v>511</v>
      </c>
      <c r="G82" s="8" t="str">
        <f t="shared" si="1"/>
        <v>GEBRETEKLE DAGNEW</v>
      </c>
    </row>
    <row r="83" spans="1:7" x14ac:dyDescent="0.25">
      <c r="A83" s="8">
        <v>42820.42869212963</v>
      </c>
      <c r="B83" s="20" t="s">
        <v>389</v>
      </c>
      <c r="C83" s="20" t="s">
        <v>604</v>
      </c>
      <c r="D83" s="150">
        <v>2550000</v>
      </c>
      <c r="E83" s="20" t="s">
        <v>507</v>
      </c>
      <c r="F83" s="20" t="s">
        <v>508</v>
      </c>
      <c r="G83" s="8" t="str">
        <f t="shared" si="1"/>
        <v>BADERTSCHER DIANE</v>
      </c>
    </row>
    <row r="84" spans="1:7" x14ac:dyDescent="0.25">
      <c r="A84" s="8">
        <v>42820.435902777775</v>
      </c>
      <c r="B84" s="20" t="s">
        <v>450</v>
      </c>
      <c r="C84" s="20" t="s">
        <v>700</v>
      </c>
      <c r="D84" s="150">
        <v>2470000</v>
      </c>
      <c r="E84" s="20" t="s">
        <v>701</v>
      </c>
      <c r="F84" s="20" t="s">
        <v>702</v>
      </c>
      <c r="G84" s="8" t="str">
        <f t="shared" si="1"/>
        <v>ROMERO CHAD</v>
      </c>
    </row>
    <row r="85" spans="1:7" x14ac:dyDescent="0.25">
      <c r="A85" s="8">
        <v>42820.442488425928</v>
      </c>
      <c r="B85" s="20" t="s">
        <v>405</v>
      </c>
      <c r="C85" s="20" t="s">
        <v>703</v>
      </c>
      <c r="D85" s="150">
        <v>1830000</v>
      </c>
      <c r="E85" s="20" t="s">
        <v>480</v>
      </c>
      <c r="F85" s="20" t="s">
        <v>481</v>
      </c>
      <c r="G85" s="8" t="str">
        <f t="shared" si="1"/>
        <v>YORK EDGAR</v>
      </c>
    </row>
    <row r="86" spans="1:7" x14ac:dyDescent="0.25">
      <c r="A86" s="8">
        <v>42820.444374999999</v>
      </c>
      <c r="B86" s="20" t="s">
        <v>387</v>
      </c>
      <c r="C86" s="20" t="s">
        <v>704</v>
      </c>
      <c r="D86" s="150">
        <v>2020000</v>
      </c>
      <c r="E86" s="20" t="s">
        <v>558</v>
      </c>
      <c r="F86" s="20" t="s">
        <v>512</v>
      </c>
      <c r="G86" s="8" t="str">
        <f t="shared" si="1"/>
        <v>SHOOK JOHN</v>
      </c>
    </row>
    <row r="87" spans="1:7" x14ac:dyDescent="0.25">
      <c r="A87" s="8">
        <v>42820.444456018522</v>
      </c>
      <c r="B87" s="20" t="s">
        <v>506</v>
      </c>
      <c r="C87" s="20" t="s">
        <v>705</v>
      </c>
      <c r="D87" s="150">
        <v>1990000</v>
      </c>
      <c r="E87" s="20" t="s">
        <v>647</v>
      </c>
      <c r="F87" s="20" t="s">
        <v>648</v>
      </c>
      <c r="G87" s="8" t="str">
        <f t="shared" si="1"/>
        <v>DAVIS WENDY</v>
      </c>
    </row>
    <row r="88" spans="1:7" x14ac:dyDescent="0.25">
      <c r="A88" s="8">
        <v>42820.450648148151</v>
      </c>
      <c r="B88" s="20" t="s">
        <v>451</v>
      </c>
      <c r="C88" s="20" t="s">
        <v>706</v>
      </c>
      <c r="D88" s="150">
        <v>2140000</v>
      </c>
      <c r="E88" s="20" t="s">
        <v>556</v>
      </c>
      <c r="F88" s="20" t="s">
        <v>557</v>
      </c>
      <c r="G88" s="8" t="str">
        <f t="shared" si="1"/>
        <v>ROBINSON KADDIBA</v>
      </c>
    </row>
    <row r="89" spans="1:7" x14ac:dyDescent="0.25">
      <c r="A89" s="8">
        <v>42820.454664351855</v>
      </c>
      <c r="B89" s="20" t="s">
        <v>452</v>
      </c>
      <c r="C89" s="20" t="s">
        <v>607</v>
      </c>
      <c r="D89" s="150">
        <v>880000</v>
      </c>
      <c r="E89" s="20" t="s">
        <v>707</v>
      </c>
      <c r="F89" s="20" t="s">
        <v>198</v>
      </c>
      <c r="G89" s="8" t="str">
        <f t="shared" si="1"/>
        <v>STEWART MICHAEL</v>
      </c>
    </row>
    <row r="90" spans="1:7" x14ac:dyDescent="0.25">
      <c r="A90" s="8">
        <v>42820.455428240741</v>
      </c>
      <c r="B90" s="20" t="s">
        <v>401</v>
      </c>
      <c r="C90" s="20" t="s">
        <v>708</v>
      </c>
      <c r="D90" s="150">
        <v>1830000</v>
      </c>
      <c r="E90" s="20" t="s">
        <v>480</v>
      </c>
      <c r="F90" s="20" t="s">
        <v>481</v>
      </c>
      <c r="G90" s="8" t="str">
        <f t="shared" si="1"/>
        <v>YORK EDGAR</v>
      </c>
    </row>
    <row r="91" spans="1:7" x14ac:dyDescent="0.25">
      <c r="A91" s="8">
        <v>42820.463159722225</v>
      </c>
      <c r="B91" s="20" t="s">
        <v>553</v>
      </c>
      <c r="C91" s="20" t="s">
        <v>709</v>
      </c>
      <c r="D91" s="150">
        <v>1100000</v>
      </c>
      <c r="E91" s="20" t="s">
        <v>510</v>
      </c>
      <c r="F91" s="20" t="s">
        <v>511</v>
      </c>
      <c r="G91" s="8" t="str">
        <f t="shared" si="1"/>
        <v>GEBRETEKLE DAGNEW</v>
      </c>
    </row>
    <row r="92" spans="1:7" x14ac:dyDescent="0.25">
      <c r="A92" s="8">
        <v>42820.464814814812</v>
      </c>
      <c r="B92" s="20" t="s">
        <v>448</v>
      </c>
      <c r="C92" s="20" t="s">
        <v>710</v>
      </c>
      <c r="D92" s="150">
        <v>2470000</v>
      </c>
      <c r="E92" s="20" t="s">
        <v>701</v>
      </c>
      <c r="F92" s="20" t="s">
        <v>702</v>
      </c>
      <c r="G92" s="8" t="str">
        <f t="shared" si="1"/>
        <v>ROMERO CHAD</v>
      </c>
    </row>
    <row r="93" spans="1:7" x14ac:dyDescent="0.25">
      <c r="A93" s="8">
        <v>42820.467187499999</v>
      </c>
      <c r="B93" s="20" t="s">
        <v>390</v>
      </c>
      <c r="C93" s="20" t="s">
        <v>711</v>
      </c>
      <c r="D93" s="150">
        <v>920000</v>
      </c>
      <c r="E93" s="20" t="s">
        <v>647</v>
      </c>
      <c r="F93" s="20" t="s">
        <v>198</v>
      </c>
      <c r="G93" s="8" t="str">
        <f t="shared" si="1"/>
        <v>DAVIS MICHAEL</v>
      </c>
    </row>
    <row r="94" spans="1:7" x14ac:dyDescent="0.25">
      <c r="A94" s="8">
        <v>42820.475555555553</v>
      </c>
      <c r="B94" s="20" t="s">
        <v>386</v>
      </c>
      <c r="C94" s="20" t="s">
        <v>609</v>
      </c>
      <c r="D94" s="150">
        <v>2020000</v>
      </c>
      <c r="E94" s="20" t="s">
        <v>558</v>
      </c>
      <c r="F94" s="20" t="s">
        <v>512</v>
      </c>
      <c r="G94" s="8" t="str">
        <f t="shared" si="1"/>
        <v>SHOOK JOHN</v>
      </c>
    </row>
    <row r="95" spans="1:7" x14ac:dyDescent="0.25">
      <c r="A95" s="8">
        <v>42820.476423611108</v>
      </c>
      <c r="B95" s="20" t="s">
        <v>392</v>
      </c>
      <c r="C95" s="20" t="s">
        <v>712</v>
      </c>
      <c r="D95" s="150">
        <v>1300000</v>
      </c>
      <c r="E95" s="20" t="s">
        <v>713</v>
      </c>
      <c r="F95" s="20" t="s">
        <v>714</v>
      </c>
      <c r="G95" s="8" t="str">
        <f t="shared" si="1"/>
        <v>LEVIN SCOTT</v>
      </c>
    </row>
    <row r="96" spans="1:7" x14ac:dyDescent="0.25">
      <c r="A96" s="8">
        <v>42820.484236111108</v>
      </c>
      <c r="B96" s="20" t="s">
        <v>405</v>
      </c>
      <c r="C96" s="20" t="s">
        <v>715</v>
      </c>
      <c r="D96" s="150">
        <v>1830000</v>
      </c>
      <c r="E96" s="20" t="s">
        <v>480</v>
      </c>
      <c r="F96" s="20" t="s">
        <v>481</v>
      </c>
      <c r="G96" s="8" t="str">
        <f t="shared" si="1"/>
        <v>YORK EDGAR</v>
      </c>
    </row>
    <row r="97" spans="1:7" x14ac:dyDescent="0.25">
      <c r="A97" s="8">
        <v>42820.486701388887</v>
      </c>
      <c r="B97" s="20" t="s">
        <v>461</v>
      </c>
      <c r="C97" s="20" t="s">
        <v>716</v>
      </c>
      <c r="D97" s="150">
        <v>1770000</v>
      </c>
      <c r="E97" s="20" t="s">
        <v>563</v>
      </c>
      <c r="F97" s="20" t="s">
        <v>564</v>
      </c>
      <c r="G97" s="8" t="str">
        <f t="shared" si="1"/>
        <v>BRUDER RICHARD</v>
      </c>
    </row>
    <row r="98" spans="1:7" x14ac:dyDescent="0.25">
      <c r="A98" s="8">
        <v>42820.49523148148</v>
      </c>
      <c r="B98" s="20" t="s">
        <v>449</v>
      </c>
      <c r="C98" s="20" t="s">
        <v>717</v>
      </c>
      <c r="D98" s="150">
        <v>880000</v>
      </c>
      <c r="E98" s="20" t="s">
        <v>707</v>
      </c>
      <c r="F98" s="20" t="s">
        <v>198</v>
      </c>
      <c r="G98" s="8" t="str">
        <f t="shared" si="1"/>
        <v>STEWART MICHAEL</v>
      </c>
    </row>
    <row r="99" spans="1:7" x14ac:dyDescent="0.25">
      <c r="A99" s="8">
        <v>42820.495393518519</v>
      </c>
      <c r="B99" s="20" t="s">
        <v>555</v>
      </c>
      <c r="C99" s="20" t="s">
        <v>608</v>
      </c>
      <c r="D99" s="150">
        <v>1120000</v>
      </c>
      <c r="E99" s="20" t="s">
        <v>457</v>
      </c>
      <c r="F99" s="20" t="s">
        <v>458</v>
      </c>
      <c r="G99" s="8" t="str">
        <f t="shared" si="1"/>
        <v>LOCKLEAR TRAVIS</v>
      </c>
    </row>
    <row r="100" spans="1:7" x14ac:dyDescent="0.25">
      <c r="A100" s="8">
        <v>42820.497407407405</v>
      </c>
      <c r="B100" s="20" t="s">
        <v>401</v>
      </c>
      <c r="C100" s="20" t="s">
        <v>718</v>
      </c>
      <c r="D100" s="150">
        <v>1830000</v>
      </c>
      <c r="E100" s="20" t="s">
        <v>480</v>
      </c>
      <c r="F100" s="20" t="s">
        <v>481</v>
      </c>
      <c r="G100" s="8" t="str">
        <f t="shared" si="1"/>
        <v>YORK EDGAR</v>
      </c>
    </row>
    <row r="101" spans="1:7" x14ac:dyDescent="0.25">
      <c r="A101" s="8">
        <v>42820.506365740737</v>
      </c>
      <c r="B101" s="20" t="s">
        <v>450</v>
      </c>
      <c r="C101" s="20" t="s">
        <v>719</v>
      </c>
      <c r="D101" s="150">
        <v>2560000</v>
      </c>
      <c r="E101" s="20" t="s">
        <v>415</v>
      </c>
      <c r="F101" s="20" t="s">
        <v>416</v>
      </c>
      <c r="G101" s="8" t="str">
        <f t="shared" si="1"/>
        <v>MACDONALD THOMAS</v>
      </c>
    </row>
    <row r="102" spans="1:7" x14ac:dyDescent="0.25">
      <c r="A102" s="8">
        <v>42820.506851851853</v>
      </c>
      <c r="B102" s="20" t="s">
        <v>389</v>
      </c>
      <c r="C102" s="20" t="s">
        <v>720</v>
      </c>
      <c r="D102" s="150">
        <v>920000</v>
      </c>
      <c r="E102" s="20" t="s">
        <v>647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42820.514722222222</v>
      </c>
      <c r="B103" s="20" t="s">
        <v>506</v>
      </c>
      <c r="C103" s="20" t="s">
        <v>721</v>
      </c>
      <c r="D103" s="150">
        <v>1300000</v>
      </c>
      <c r="E103" s="20" t="s">
        <v>713</v>
      </c>
      <c r="F103" s="20" t="s">
        <v>714</v>
      </c>
      <c r="G103" s="8" t="str">
        <f t="shared" si="1"/>
        <v>LEVIN SCOTT</v>
      </c>
    </row>
    <row r="104" spans="1:7" x14ac:dyDescent="0.25">
      <c r="A104" s="8">
        <v>42820.51840277778</v>
      </c>
      <c r="B104" s="20" t="s">
        <v>387</v>
      </c>
      <c r="C104" s="20" t="s">
        <v>722</v>
      </c>
      <c r="D104" s="150">
        <v>2360000</v>
      </c>
      <c r="E104" s="20" t="s">
        <v>559</v>
      </c>
      <c r="F104" s="20" t="s">
        <v>560</v>
      </c>
      <c r="G104" s="8" t="str">
        <f t="shared" si="1"/>
        <v>BRANDNER MELINDA</v>
      </c>
    </row>
    <row r="105" spans="1:7" x14ac:dyDescent="0.25">
      <c r="A105" s="8">
        <v>42820.524675925924</v>
      </c>
      <c r="B105" s="20" t="s">
        <v>405</v>
      </c>
      <c r="C105" s="20" t="s">
        <v>723</v>
      </c>
      <c r="D105" s="150">
        <v>1830000</v>
      </c>
      <c r="E105" s="20" t="s">
        <v>480</v>
      </c>
      <c r="F105" s="20" t="s">
        <v>481</v>
      </c>
      <c r="G105" s="8" t="str">
        <f t="shared" si="1"/>
        <v>YORK EDGAR</v>
      </c>
    </row>
    <row r="106" spans="1:7" x14ac:dyDescent="0.25">
      <c r="A106" s="8">
        <v>42820.524907407409</v>
      </c>
      <c r="B106" s="20" t="s">
        <v>451</v>
      </c>
      <c r="C106" s="20" t="s">
        <v>724</v>
      </c>
      <c r="D106" s="150">
        <v>1770000</v>
      </c>
      <c r="E106" s="20" t="s">
        <v>563</v>
      </c>
      <c r="F106" s="20" t="s">
        <v>564</v>
      </c>
      <c r="G106" s="8" t="str">
        <f t="shared" si="1"/>
        <v>BRUDER RICHARD</v>
      </c>
    </row>
    <row r="107" spans="1:7" x14ac:dyDescent="0.25">
      <c r="A107" s="8">
        <v>42820.52715277778</v>
      </c>
      <c r="B107" s="20" t="s">
        <v>452</v>
      </c>
      <c r="C107" s="20" t="s">
        <v>725</v>
      </c>
      <c r="D107" s="150">
        <v>880000</v>
      </c>
      <c r="E107" s="20" t="s">
        <v>707</v>
      </c>
      <c r="F107" s="20" t="s">
        <v>198</v>
      </c>
      <c r="G107" s="8" t="str">
        <f t="shared" si="1"/>
        <v>STEWART MICHAEL</v>
      </c>
    </row>
    <row r="108" spans="1:7" x14ac:dyDescent="0.25">
      <c r="A108" s="8">
        <v>42820.534432870372</v>
      </c>
      <c r="B108" s="20" t="s">
        <v>553</v>
      </c>
      <c r="C108" s="20" t="s">
        <v>726</v>
      </c>
      <c r="D108" s="150">
        <v>1120000</v>
      </c>
      <c r="E108" s="20" t="s">
        <v>457</v>
      </c>
      <c r="F108" s="20" t="s">
        <v>458</v>
      </c>
      <c r="G108" s="8" t="str">
        <f t="shared" si="1"/>
        <v>LOCKLEAR TRAVIS</v>
      </c>
    </row>
    <row r="109" spans="1:7" x14ac:dyDescent="0.25">
      <c r="A109" s="8">
        <v>42820.538969907408</v>
      </c>
      <c r="B109" s="20" t="s">
        <v>401</v>
      </c>
      <c r="C109" s="20" t="s">
        <v>727</v>
      </c>
      <c r="D109" s="150">
        <v>1830000</v>
      </c>
      <c r="E109" s="20" t="s">
        <v>480</v>
      </c>
      <c r="F109" s="20" t="s">
        <v>481</v>
      </c>
      <c r="G109" s="8" t="str">
        <f t="shared" si="1"/>
        <v>YORK EDGAR</v>
      </c>
    </row>
    <row r="110" spans="1:7" x14ac:dyDescent="0.25">
      <c r="A110" s="8">
        <v>42820.539375</v>
      </c>
      <c r="B110" s="20" t="s">
        <v>390</v>
      </c>
      <c r="C110" s="20" t="s">
        <v>728</v>
      </c>
      <c r="D110" s="150">
        <v>920000</v>
      </c>
      <c r="E110" s="20" t="s">
        <v>647</v>
      </c>
      <c r="F110" s="20" t="s">
        <v>198</v>
      </c>
      <c r="G110" s="8" t="str">
        <f t="shared" si="1"/>
        <v>DAVIS MICHAEL</v>
      </c>
    </row>
    <row r="111" spans="1:7" x14ac:dyDescent="0.25">
      <c r="A111" s="8">
        <v>42820.546863425923</v>
      </c>
      <c r="B111" s="20" t="s">
        <v>448</v>
      </c>
      <c r="C111" s="20" t="s">
        <v>729</v>
      </c>
      <c r="D111" s="150">
        <v>2560000</v>
      </c>
      <c r="E111" s="20" t="s">
        <v>415</v>
      </c>
      <c r="F111" s="20" t="s">
        <v>416</v>
      </c>
      <c r="G111" s="8" t="str">
        <f t="shared" si="1"/>
        <v>MACDONALD THOMAS</v>
      </c>
    </row>
    <row r="112" spans="1:7" x14ac:dyDescent="0.25">
      <c r="A112" s="8">
        <v>42820.548032407409</v>
      </c>
      <c r="B112" s="20" t="s">
        <v>392</v>
      </c>
      <c r="C112" s="20" t="s">
        <v>730</v>
      </c>
      <c r="D112" s="150">
        <v>1300000</v>
      </c>
      <c r="E112" s="20" t="s">
        <v>713</v>
      </c>
      <c r="F112" s="20" t="s">
        <v>714</v>
      </c>
      <c r="G112" s="8" t="str">
        <f t="shared" si="1"/>
        <v>LEVIN SCOTT</v>
      </c>
    </row>
    <row r="113" spans="1:7" x14ac:dyDescent="0.25">
      <c r="A113" s="8">
        <v>42820.554918981485</v>
      </c>
      <c r="B113" s="20" t="s">
        <v>386</v>
      </c>
      <c r="C113" s="20" t="s">
        <v>731</v>
      </c>
      <c r="D113" s="150">
        <v>2360000</v>
      </c>
      <c r="E113" s="20" t="s">
        <v>559</v>
      </c>
      <c r="F113" s="20" t="s">
        <v>560</v>
      </c>
      <c r="G113" s="8" t="str">
        <f t="shared" si="1"/>
        <v>BRANDNER MELINDA</v>
      </c>
    </row>
    <row r="114" spans="1:7" x14ac:dyDescent="0.25">
      <c r="A114" s="8">
        <v>42820.558240740742</v>
      </c>
      <c r="B114" s="20" t="s">
        <v>461</v>
      </c>
      <c r="C114" s="20" t="s">
        <v>732</v>
      </c>
      <c r="D114" s="150">
        <v>1770000</v>
      </c>
      <c r="E114" s="20" t="s">
        <v>563</v>
      </c>
      <c r="F114" s="20" t="s">
        <v>564</v>
      </c>
      <c r="G114" s="8" t="str">
        <f t="shared" si="1"/>
        <v>BRUDER RICHARD</v>
      </c>
    </row>
    <row r="115" spans="1:7" x14ac:dyDescent="0.25">
      <c r="A115" s="8">
        <v>42820.566516203704</v>
      </c>
      <c r="B115" s="20" t="s">
        <v>405</v>
      </c>
      <c r="C115" s="20" t="s">
        <v>733</v>
      </c>
      <c r="D115" s="150">
        <v>1830000</v>
      </c>
      <c r="E115" s="20" t="s">
        <v>480</v>
      </c>
      <c r="F115" s="20" t="s">
        <v>481</v>
      </c>
      <c r="G115" s="8" t="str">
        <f t="shared" si="1"/>
        <v>YORK EDGAR</v>
      </c>
    </row>
    <row r="116" spans="1:7" x14ac:dyDescent="0.25">
      <c r="A116" s="8">
        <v>42820.567488425928</v>
      </c>
      <c r="B116" s="20" t="s">
        <v>449</v>
      </c>
      <c r="C116" s="20" t="s">
        <v>611</v>
      </c>
      <c r="D116" s="150">
        <v>880000</v>
      </c>
      <c r="E116" s="20" t="s">
        <v>707</v>
      </c>
      <c r="F116" s="20" t="s">
        <v>198</v>
      </c>
      <c r="G116" s="8" t="str">
        <f t="shared" si="1"/>
        <v>STEWART MICHAEL</v>
      </c>
    </row>
    <row r="117" spans="1:7" x14ac:dyDescent="0.25">
      <c r="A117" s="8">
        <v>42820.570277777777</v>
      </c>
      <c r="B117" s="20" t="s">
        <v>555</v>
      </c>
      <c r="C117" s="20" t="s">
        <v>610</v>
      </c>
      <c r="D117" s="150">
        <v>1120000</v>
      </c>
      <c r="E117" s="20" t="s">
        <v>457</v>
      </c>
      <c r="F117" s="20" t="s">
        <v>458</v>
      </c>
      <c r="G117" s="8" t="str">
        <f t="shared" si="1"/>
        <v>LOCKLEAR TRAVIS</v>
      </c>
    </row>
    <row r="118" spans="1:7" x14ac:dyDescent="0.25">
      <c r="A118" s="8">
        <v>42820.576504629629</v>
      </c>
      <c r="B118" s="20" t="s">
        <v>389</v>
      </c>
      <c r="C118" s="20" t="s">
        <v>734</v>
      </c>
      <c r="D118" s="150">
        <v>920000</v>
      </c>
      <c r="E118" s="20" t="s">
        <v>647</v>
      </c>
      <c r="F118" s="20" t="s">
        <v>198</v>
      </c>
      <c r="G118" s="8" t="str">
        <f t="shared" si="1"/>
        <v>DAVIS MICHAEL</v>
      </c>
    </row>
    <row r="119" spans="1:7" x14ac:dyDescent="0.25">
      <c r="A119" s="8">
        <v>42820.581145833334</v>
      </c>
      <c r="B119" s="20" t="s">
        <v>450</v>
      </c>
      <c r="C119" s="20" t="s">
        <v>735</v>
      </c>
      <c r="D119" s="150">
        <v>2470000</v>
      </c>
      <c r="E119" s="20" t="s">
        <v>701</v>
      </c>
      <c r="F119" s="20" t="s">
        <v>702</v>
      </c>
      <c r="G119" s="8" t="str">
        <f t="shared" si="1"/>
        <v>ROMERO CHAD</v>
      </c>
    </row>
    <row r="120" spans="1:7" x14ac:dyDescent="0.25">
      <c r="A120" s="8">
        <v>42820.587199074071</v>
      </c>
      <c r="B120" s="20" t="s">
        <v>506</v>
      </c>
      <c r="C120" s="20" t="s">
        <v>613</v>
      </c>
      <c r="D120" s="150">
        <v>1300000</v>
      </c>
      <c r="E120" s="20" t="s">
        <v>713</v>
      </c>
      <c r="F120" s="20" t="s">
        <v>714</v>
      </c>
      <c r="G120" s="8" t="str">
        <f t="shared" si="1"/>
        <v>LEVIN SCOTT</v>
      </c>
    </row>
    <row r="121" spans="1:7" x14ac:dyDescent="0.25">
      <c r="A121" s="8">
        <v>42820.590868055559</v>
      </c>
      <c r="B121" s="20" t="s">
        <v>387</v>
      </c>
      <c r="C121" s="20" t="s">
        <v>612</v>
      </c>
      <c r="D121" s="150">
        <v>2360000</v>
      </c>
      <c r="E121" s="20" t="s">
        <v>559</v>
      </c>
      <c r="F121" s="20" t="s">
        <v>560</v>
      </c>
      <c r="G121" s="8" t="str">
        <f t="shared" si="1"/>
        <v>BRANDNER MELINDA</v>
      </c>
    </row>
    <row r="122" spans="1:7" x14ac:dyDescent="0.25">
      <c r="A122" s="8">
        <v>42820.596539351849</v>
      </c>
      <c r="B122" s="25" t="s">
        <v>401</v>
      </c>
      <c r="C122" s="20" t="s">
        <v>736</v>
      </c>
      <c r="D122" s="150">
        <v>1540000</v>
      </c>
      <c r="E122" s="20" t="s">
        <v>393</v>
      </c>
      <c r="F122" s="20" t="s">
        <v>394</v>
      </c>
      <c r="G122" s="8" t="str">
        <f t="shared" si="1"/>
        <v>HELVIE ADAM</v>
      </c>
    </row>
    <row r="123" spans="1:7" x14ac:dyDescent="0.25">
      <c r="A123" s="8">
        <v>42820.597812499997</v>
      </c>
      <c r="B123" s="20" t="s">
        <v>451</v>
      </c>
      <c r="C123" s="20" t="s">
        <v>737</v>
      </c>
      <c r="D123" s="150">
        <v>1770000</v>
      </c>
      <c r="E123" s="20" t="s">
        <v>563</v>
      </c>
      <c r="F123" s="20" t="s">
        <v>564</v>
      </c>
      <c r="G123" s="8" t="str">
        <f t="shared" si="1"/>
        <v>BRUDER RICHARD</v>
      </c>
    </row>
    <row r="124" spans="1:7" x14ac:dyDescent="0.25">
      <c r="A124" s="8">
        <v>42820.601504629631</v>
      </c>
      <c r="B124" s="20" t="s">
        <v>452</v>
      </c>
      <c r="C124" s="20" t="s">
        <v>738</v>
      </c>
      <c r="D124" s="150">
        <v>880000</v>
      </c>
      <c r="E124" s="20" t="s">
        <v>707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42820.609386574077</v>
      </c>
      <c r="B125" s="20" t="s">
        <v>405</v>
      </c>
      <c r="C125" s="20" t="s">
        <v>614</v>
      </c>
      <c r="D125" s="150">
        <v>1540000</v>
      </c>
      <c r="E125" s="20" t="s">
        <v>393</v>
      </c>
      <c r="F125" s="20" t="s">
        <v>394</v>
      </c>
      <c r="G125" s="8" t="str">
        <f t="shared" si="1"/>
        <v>HELVIE ADAM</v>
      </c>
    </row>
    <row r="126" spans="1:7" x14ac:dyDescent="0.25">
      <c r="A126" s="8">
        <v>42820.610219907408</v>
      </c>
      <c r="B126" s="20" t="s">
        <v>553</v>
      </c>
      <c r="C126" s="20" t="s">
        <v>739</v>
      </c>
      <c r="D126" s="150">
        <v>1120000</v>
      </c>
      <c r="E126" s="20" t="s">
        <v>457</v>
      </c>
      <c r="F126" s="20" t="s">
        <v>458</v>
      </c>
      <c r="G126" s="8" t="str">
        <f t="shared" si="1"/>
        <v>LOCKLEAR TRAVIS</v>
      </c>
    </row>
    <row r="127" spans="1:7" x14ac:dyDescent="0.25">
      <c r="A127" s="8">
        <v>42820.612199074072</v>
      </c>
      <c r="B127" s="20" t="s">
        <v>448</v>
      </c>
      <c r="C127" s="20" t="s">
        <v>615</v>
      </c>
      <c r="D127" s="150">
        <v>2470000</v>
      </c>
      <c r="E127" s="20" t="s">
        <v>701</v>
      </c>
      <c r="F127" s="20" t="s">
        <v>702</v>
      </c>
      <c r="G127" s="8" t="str">
        <f t="shared" si="1"/>
        <v>ROMERO CHAD</v>
      </c>
    </row>
    <row r="128" spans="1:7" x14ac:dyDescent="0.25">
      <c r="A128" s="8">
        <v>42820.614050925928</v>
      </c>
      <c r="B128" s="20" t="s">
        <v>390</v>
      </c>
      <c r="C128" s="20" t="s">
        <v>740</v>
      </c>
      <c r="D128" s="150">
        <v>920000</v>
      </c>
      <c r="E128" s="20" t="s">
        <v>647</v>
      </c>
      <c r="F128" s="20" t="s">
        <v>198</v>
      </c>
      <c r="G128" s="8" t="str">
        <f t="shared" si="1"/>
        <v>DAVIS MICHAEL</v>
      </c>
    </row>
    <row r="129" spans="1:7" x14ac:dyDescent="0.25">
      <c r="A129" s="8">
        <v>42820.621990740743</v>
      </c>
      <c r="B129" s="20" t="s">
        <v>392</v>
      </c>
      <c r="C129" s="20" t="s">
        <v>741</v>
      </c>
      <c r="D129" s="150">
        <v>1300000</v>
      </c>
      <c r="E129" s="20" t="s">
        <v>713</v>
      </c>
      <c r="F129" s="20" t="s">
        <v>714</v>
      </c>
      <c r="G129" s="8" t="str">
        <f t="shared" si="1"/>
        <v>LEVIN SCOTT</v>
      </c>
    </row>
    <row r="130" spans="1:7" x14ac:dyDescent="0.25">
      <c r="A130" s="8">
        <v>42820.628981481481</v>
      </c>
      <c r="B130" s="20" t="s">
        <v>386</v>
      </c>
      <c r="C130" s="20" t="s">
        <v>742</v>
      </c>
      <c r="D130" s="150">
        <v>2360000</v>
      </c>
      <c r="E130" s="20" t="s">
        <v>559</v>
      </c>
      <c r="F130" s="20" t="s">
        <v>560</v>
      </c>
      <c r="G130" s="8" t="str">
        <f t="shared" si="1"/>
        <v>BRANDNER MELINDA</v>
      </c>
    </row>
    <row r="131" spans="1:7" x14ac:dyDescent="0.25">
      <c r="A131" s="8">
        <v>42820.631944444445</v>
      </c>
      <c r="B131" s="20" t="s">
        <v>461</v>
      </c>
      <c r="C131" s="20" t="s">
        <v>743</v>
      </c>
      <c r="D131" s="150">
        <v>1770000</v>
      </c>
      <c r="E131" s="20" t="s">
        <v>563</v>
      </c>
      <c r="F131" s="20" t="s">
        <v>564</v>
      </c>
      <c r="G131" s="8" t="str">
        <f t="shared" ref="G131:G194" si="2">E131&amp;" "&amp;F131</f>
        <v>BRUDER RICHARD</v>
      </c>
    </row>
    <row r="132" spans="1:7" x14ac:dyDescent="0.25">
      <c r="A132" s="8">
        <v>42820.638761574075</v>
      </c>
      <c r="B132" s="20" t="s">
        <v>401</v>
      </c>
      <c r="C132" s="20" t="s">
        <v>744</v>
      </c>
      <c r="D132" s="150">
        <v>1540000</v>
      </c>
      <c r="E132" s="20" t="s">
        <v>393</v>
      </c>
      <c r="F132" s="20" t="s">
        <v>394</v>
      </c>
      <c r="G132" s="8" t="str">
        <f t="shared" si="2"/>
        <v>HELVIE ADAM</v>
      </c>
    </row>
    <row r="133" spans="1:7" x14ac:dyDescent="0.25">
      <c r="A133" s="8">
        <v>42820.640324074076</v>
      </c>
      <c r="B133" s="20" t="s">
        <v>555</v>
      </c>
      <c r="C133" s="20" t="s">
        <v>745</v>
      </c>
      <c r="D133" s="150">
        <v>1120000</v>
      </c>
      <c r="E133" s="20" t="s">
        <v>457</v>
      </c>
      <c r="F133" s="20" t="s">
        <v>458</v>
      </c>
      <c r="G133" s="8" t="str">
        <f t="shared" si="2"/>
        <v>LOCKLEAR TRAVIS</v>
      </c>
    </row>
    <row r="134" spans="1:7" x14ac:dyDescent="0.25">
      <c r="A134" s="8">
        <v>42820.641956018517</v>
      </c>
      <c r="B134" s="20" t="s">
        <v>449</v>
      </c>
      <c r="C134" s="20" t="s">
        <v>746</v>
      </c>
      <c r="D134" s="150">
        <v>880000</v>
      </c>
      <c r="E134" s="20" t="s">
        <v>707</v>
      </c>
      <c r="F134" s="20" t="s">
        <v>198</v>
      </c>
      <c r="G134" s="8" t="str">
        <f t="shared" si="2"/>
        <v>STEWART MICHAEL</v>
      </c>
    </row>
    <row r="135" spans="1:7" x14ac:dyDescent="0.25">
      <c r="A135" s="8">
        <v>42820.650960648149</v>
      </c>
      <c r="B135" s="20" t="s">
        <v>450</v>
      </c>
      <c r="C135" s="20" t="s">
        <v>747</v>
      </c>
      <c r="D135" s="150">
        <v>2470000</v>
      </c>
      <c r="E135" s="20" t="s">
        <v>701</v>
      </c>
      <c r="F135" s="20" t="s">
        <v>702</v>
      </c>
      <c r="G135" s="8" t="str">
        <f t="shared" si="2"/>
        <v>ROMERO CHAD</v>
      </c>
    </row>
    <row r="136" spans="1:7" x14ac:dyDescent="0.25">
      <c r="A136" s="8">
        <v>42820.651238425926</v>
      </c>
      <c r="B136" s="20" t="s">
        <v>389</v>
      </c>
      <c r="C136" s="20" t="s">
        <v>617</v>
      </c>
      <c r="D136" s="150">
        <v>920000</v>
      </c>
      <c r="E136" s="20" t="s">
        <v>647</v>
      </c>
      <c r="F136" s="20" t="s">
        <v>198</v>
      </c>
      <c r="G136" s="8" t="str">
        <f t="shared" si="2"/>
        <v>DAVIS MICHAEL</v>
      </c>
    </row>
    <row r="137" spans="1:7" x14ac:dyDescent="0.25">
      <c r="A137" s="8">
        <v>42820.652453703704</v>
      </c>
      <c r="B137" s="20" t="s">
        <v>405</v>
      </c>
      <c r="C137" s="20" t="s">
        <v>616</v>
      </c>
      <c r="D137" s="150">
        <v>1540000</v>
      </c>
      <c r="E137" s="20" t="s">
        <v>393</v>
      </c>
      <c r="F137" s="20" t="s">
        <v>394</v>
      </c>
      <c r="G137" s="8" t="str">
        <f t="shared" si="2"/>
        <v>HELVIE ADAM</v>
      </c>
    </row>
    <row r="138" spans="1:7" x14ac:dyDescent="0.25">
      <c r="A138" s="8">
        <v>42820.659814814811</v>
      </c>
      <c r="B138" s="20" t="s">
        <v>506</v>
      </c>
      <c r="C138" s="20" t="s">
        <v>618</v>
      </c>
      <c r="D138" s="150">
        <v>1300000</v>
      </c>
      <c r="E138" s="20" t="s">
        <v>713</v>
      </c>
      <c r="F138" s="20" t="s">
        <v>714</v>
      </c>
      <c r="G138" s="8" t="str">
        <f t="shared" si="2"/>
        <v>LEVIN SCOTT</v>
      </c>
    </row>
    <row r="139" spans="1:7" x14ac:dyDescent="0.25">
      <c r="A139" s="8">
        <v>42820.664398148147</v>
      </c>
      <c r="B139" s="20" t="s">
        <v>387</v>
      </c>
      <c r="C139" s="20" t="s">
        <v>748</v>
      </c>
      <c r="D139" s="150">
        <v>2360000</v>
      </c>
      <c r="E139" s="20" t="s">
        <v>559</v>
      </c>
      <c r="F139" s="20" t="s">
        <v>560</v>
      </c>
      <c r="G139" s="8" t="str">
        <f t="shared" si="2"/>
        <v>BRANDNER MELINDA</v>
      </c>
    </row>
    <row r="140" spans="1:7" x14ac:dyDescent="0.25">
      <c r="A140" s="8">
        <v>42820.671087962961</v>
      </c>
      <c r="B140" s="20" t="s">
        <v>451</v>
      </c>
      <c r="C140" s="20" t="s">
        <v>749</v>
      </c>
      <c r="D140" s="150">
        <v>1770000</v>
      </c>
      <c r="E140" s="20" t="s">
        <v>563</v>
      </c>
      <c r="F140" s="20" t="s">
        <v>564</v>
      </c>
      <c r="G140" s="8" t="str">
        <f t="shared" si="2"/>
        <v>BRUDER RICHARD</v>
      </c>
    </row>
    <row r="141" spans="1:7" x14ac:dyDescent="0.25">
      <c r="A141" s="8">
        <v>42820.673252314817</v>
      </c>
      <c r="B141" s="20" t="s">
        <v>452</v>
      </c>
      <c r="C141" s="20" t="s">
        <v>750</v>
      </c>
      <c r="D141" s="150">
        <v>880000</v>
      </c>
      <c r="E141" s="20" t="s">
        <v>707</v>
      </c>
      <c r="F141" s="20" t="s">
        <v>198</v>
      </c>
      <c r="G141" s="8" t="str">
        <f t="shared" si="2"/>
        <v>STEWART MICHAEL</v>
      </c>
    </row>
    <row r="142" spans="1:7" x14ac:dyDescent="0.25">
      <c r="A142" s="8">
        <v>42820.680613425924</v>
      </c>
      <c r="B142" s="20" t="s">
        <v>401</v>
      </c>
      <c r="C142" s="20" t="s">
        <v>751</v>
      </c>
      <c r="D142" s="150">
        <v>1540000</v>
      </c>
      <c r="E142" s="20" t="s">
        <v>393</v>
      </c>
      <c r="F142" s="20" t="s">
        <v>394</v>
      </c>
      <c r="G142" s="8" t="str">
        <f t="shared" si="2"/>
        <v>HELVIE ADAM</v>
      </c>
    </row>
    <row r="143" spans="1:7" x14ac:dyDescent="0.25">
      <c r="A143" s="8">
        <v>42820.683703703704</v>
      </c>
      <c r="B143" s="20" t="s">
        <v>553</v>
      </c>
      <c r="C143" s="20" t="s">
        <v>752</v>
      </c>
      <c r="D143" s="150">
        <v>1120000</v>
      </c>
      <c r="E143" s="20" t="s">
        <v>457</v>
      </c>
      <c r="F143" s="20" t="s">
        <v>458</v>
      </c>
      <c r="G143" s="8" t="str">
        <f t="shared" si="2"/>
        <v>LOCKLEAR TRAVIS</v>
      </c>
    </row>
    <row r="144" spans="1:7" x14ac:dyDescent="0.25">
      <c r="A144" s="8">
        <v>42820.686145833337</v>
      </c>
      <c r="B144" s="20" t="s">
        <v>390</v>
      </c>
      <c r="C144" s="20" t="s">
        <v>753</v>
      </c>
      <c r="D144" s="150">
        <v>920000</v>
      </c>
      <c r="E144" s="20" t="s">
        <v>647</v>
      </c>
      <c r="F144" s="20" t="s">
        <v>198</v>
      </c>
      <c r="G144" s="8" t="str">
        <f t="shared" si="2"/>
        <v>DAVIS MICHAEL</v>
      </c>
    </row>
    <row r="145" spans="1:7" x14ac:dyDescent="0.25">
      <c r="A145" s="8">
        <v>42820.691805555558</v>
      </c>
      <c r="B145" s="20" t="s">
        <v>448</v>
      </c>
      <c r="C145" s="20" t="s">
        <v>754</v>
      </c>
      <c r="D145" s="150">
        <v>2470000</v>
      </c>
      <c r="E145" s="20" t="s">
        <v>701</v>
      </c>
      <c r="F145" s="20" t="s">
        <v>702</v>
      </c>
      <c r="G145" s="8" t="str">
        <f t="shared" si="2"/>
        <v>ROMERO CHAD</v>
      </c>
    </row>
    <row r="146" spans="1:7" x14ac:dyDescent="0.25">
      <c r="A146" s="8">
        <v>42820.692974537036</v>
      </c>
      <c r="B146" s="20" t="s">
        <v>405</v>
      </c>
      <c r="C146" s="20" t="s">
        <v>755</v>
      </c>
      <c r="D146" s="150">
        <v>1540000</v>
      </c>
      <c r="E146" s="20" t="s">
        <v>393</v>
      </c>
      <c r="F146" s="20" t="s">
        <v>394</v>
      </c>
      <c r="G146" s="8" t="str">
        <f t="shared" si="2"/>
        <v>HELVIE ADAM</v>
      </c>
    </row>
    <row r="147" spans="1:7" x14ac:dyDescent="0.25">
      <c r="A147" s="8">
        <v>42820.696331018517</v>
      </c>
      <c r="B147" s="20" t="s">
        <v>392</v>
      </c>
      <c r="C147" s="20" t="s">
        <v>619</v>
      </c>
      <c r="D147" s="150">
        <v>1300000</v>
      </c>
      <c r="E147" s="20" t="s">
        <v>713</v>
      </c>
      <c r="F147" s="20" t="s">
        <v>714</v>
      </c>
      <c r="G147" s="8" t="str">
        <f t="shared" si="2"/>
        <v>LEVIN SCOTT</v>
      </c>
    </row>
    <row r="148" spans="1:7" x14ac:dyDescent="0.25">
      <c r="A148" s="8">
        <v>42820.701851851853</v>
      </c>
      <c r="B148" s="20" t="s">
        <v>386</v>
      </c>
      <c r="C148" s="20" t="s">
        <v>620</v>
      </c>
      <c r="D148" s="150">
        <v>2360000</v>
      </c>
      <c r="E148" s="20" t="s">
        <v>559</v>
      </c>
      <c r="F148" s="20" t="s">
        <v>560</v>
      </c>
      <c r="G148" s="8" t="str">
        <f t="shared" si="2"/>
        <v>BRANDNER MELINDA</v>
      </c>
    </row>
    <row r="149" spans="1:7" x14ac:dyDescent="0.25">
      <c r="A149" s="8">
        <v>42820.704398148147</v>
      </c>
      <c r="B149" s="20" t="s">
        <v>461</v>
      </c>
      <c r="C149" s="20" t="s">
        <v>756</v>
      </c>
      <c r="D149" s="150">
        <v>1770000</v>
      </c>
      <c r="E149" s="20" t="s">
        <v>563</v>
      </c>
      <c r="F149" s="20" t="s">
        <v>564</v>
      </c>
      <c r="G149" s="8" t="str">
        <f t="shared" si="2"/>
        <v>BRUDER RICHARD</v>
      </c>
    </row>
    <row r="150" spans="1:7" x14ac:dyDescent="0.25">
      <c r="A150" s="8">
        <v>42820.713969907411</v>
      </c>
      <c r="B150" s="20" t="s">
        <v>449</v>
      </c>
      <c r="C150" s="20" t="s">
        <v>757</v>
      </c>
      <c r="D150" s="150">
        <v>880000</v>
      </c>
      <c r="E150" s="20" t="s">
        <v>707</v>
      </c>
      <c r="F150" s="20" t="s">
        <v>198</v>
      </c>
      <c r="G150" s="8" t="str">
        <f t="shared" si="2"/>
        <v>STEWART MICHAEL</v>
      </c>
    </row>
    <row r="151" spans="1:7" x14ac:dyDescent="0.25">
      <c r="A151" s="8">
        <v>42820.716527777775</v>
      </c>
      <c r="B151" s="20" t="s">
        <v>503</v>
      </c>
      <c r="C151" s="20" t="s">
        <v>758</v>
      </c>
      <c r="D151" s="150">
        <v>2540000</v>
      </c>
      <c r="E151" s="20" t="s">
        <v>515</v>
      </c>
      <c r="F151" s="20" t="s">
        <v>516</v>
      </c>
      <c r="G151" s="8" t="str">
        <f t="shared" si="2"/>
        <v>MCREYNOLDS KYLE</v>
      </c>
    </row>
    <row r="152" spans="1:7" x14ac:dyDescent="0.25">
      <c r="A152" s="8">
        <v>42820.717407407406</v>
      </c>
      <c r="B152" s="20" t="s">
        <v>555</v>
      </c>
      <c r="C152" s="20" t="s">
        <v>759</v>
      </c>
      <c r="D152" s="150">
        <v>1800000</v>
      </c>
      <c r="E152" s="20" t="s">
        <v>459</v>
      </c>
      <c r="F152" s="20" t="s">
        <v>460</v>
      </c>
      <c r="G152" s="8" t="str">
        <f t="shared" si="2"/>
        <v>CHANDLER KELVIN</v>
      </c>
    </row>
    <row r="153" spans="1:7" x14ac:dyDescent="0.25">
      <c r="A153" s="8">
        <v>42820.721979166665</v>
      </c>
      <c r="B153" s="20" t="s">
        <v>401</v>
      </c>
      <c r="C153" s="20" t="s">
        <v>760</v>
      </c>
      <c r="D153" s="150">
        <v>1540000</v>
      </c>
      <c r="E153" s="20" t="s">
        <v>393</v>
      </c>
      <c r="F153" s="20" t="s">
        <v>394</v>
      </c>
      <c r="G153" s="8" t="str">
        <f t="shared" si="2"/>
        <v>HELVIE ADAM</v>
      </c>
    </row>
    <row r="154" spans="1:7" x14ac:dyDescent="0.25">
      <c r="A154" s="8">
        <v>42820.723506944443</v>
      </c>
      <c r="B154" s="20" t="s">
        <v>450</v>
      </c>
      <c r="C154" s="20" t="s">
        <v>761</v>
      </c>
      <c r="D154" s="150">
        <v>1120000</v>
      </c>
      <c r="E154" s="20" t="s">
        <v>457</v>
      </c>
      <c r="F154" s="20" t="s">
        <v>458</v>
      </c>
      <c r="G154" s="8" t="str">
        <f t="shared" si="2"/>
        <v>LOCKLEAR TRAVIS</v>
      </c>
    </row>
    <row r="155" spans="1:7" x14ac:dyDescent="0.25">
      <c r="A155" s="8">
        <v>42820.725127314814</v>
      </c>
      <c r="B155" s="20" t="s">
        <v>389</v>
      </c>
      <c r="C155" s="20" t="s">
        <v>762</v>
      </c>
      <c r="D155" s="150">
        <v>920000</v>
      </c>
      <c r="E155" s="20" t="s">
        <v>647</v>
      </c>
      <c r="F155" s="20" t="s">
        <v>198</v>
      </c>
      <c r="G155" s="8" t="str">
        <f t="shared" si="2"/>
        <v>DAVIS MICHAEL</v>
      </c>
    </row>
    <row r="156" spans="1:7" x14ac:dyDescent="0.25">
      <c r="A156" s="8">
        <v>42820.733587962961</v>
      </c>
      <c r="B156" s="20" t="s">
        <v>405</v>
      </c>
      <c r="C156" s="20" t="s">
        <v>763</v>
      </c>
      <c r="D156" s="150">
        <v>1540000</v>
      </c>
      <c r="E156" s="20" t="s">
        <v>393</v>
      </c>
      <c r="F156" s="20" t="s">
        <v>394</v>
      </c>
      <c r="G156" s="8" t="str">
        <f t="shared" si="2"/>
        <v>HELVIE ADAM</v>
      </c>
    </row>
    <row r="157" spans="1:7" x14ac:dyDescent="0.25">
      <c r="A157" s="8">
        <v>42820.733935185184</v>
      </c>
      <c r="B157" s="20" t="s">
        <v>506</v>
      </c>
      <c r="C157" s="20" t="s">
        <v>764</v>
      </c>
      <c r="D157" s="150">
        <v>1300000</v>
      </c>
      <c r="E157" s="20" t="s">
        <v>713</v>
      </c>
      <c r="F157" s="20" t="s">
        <v>714</v>
      </c>
      <c r="G157" s="8" t="str">
        <f t="shared" si="2"/>
        <v>LEVIN SCOTT</v>
      </c>
    </row>
    <row r="158" spans="1:7" x14ac:dyDescent="0.25">
      <c r="A158" s="8">
        <v>42820.737326388888</v>
      </c>
      <c r="B158" s="20" t="s">
        <v>387</v>
      </c>
      <c r="C158" s="20" t="s">
        <v>765</v>
      </c>
      <c r="D158" s="150">
        <v>1810000</v>
      </c>
      <c r="E158" s="20" t="s">
        <v>462</v>
      </c>
      <c r="F158" s="20" t="s">
        <v>195</v>
      </c>
      <c r="G158" s="8" t="str">
        <f t="shared" si="2"/>
        <v>NEWELL JAMES</v>
      </c>
    </row>
    <row r="159" spans="1:7" x14ac:dyDescent="0.25">
      <c r="A159" s="8">
        <v>42820.739421296297</v>
      </c>
      <c r="B159" s="20" t="s">
        <v>397</v>
      </c>
      <c r="C159" s="20" t="s">
        <v>766</v>
      </c>
      <c r="D159" s="150">
        <v>2680000</v>
      </c>
      <c r="E159" s="20" t="s">
        <v>767</v>
      </c>
      <c r="F159" s="20" t="s">
        <v>768</v>
      </c>
      <c r="G159" s="8" t="str">
        <f t="shared" si="2"/>
        <v>DUNCAN SHEILA</v>
      </c>
    </row>
    <row r="160" spans="1:7" x14ac:dyDescent="0.25">
      <c r="A160" s="8">
        <v>42820.744490740741</v>
      </c>
      <c r="B160" s="20" t="s">
        <v>451</v>
      </c>
      <c r="C160" s="20" t="s">
        <v>769</v>
      </c>
      <c r="D160" s="150">
        <v>1770000</v>
      </c>
      <c r="E160" s="20" t="s">
        <v>563</v>
      </c>
      <c r="F160" s="20" t="s">
        <v>564</v>
      </c>
      <c r="G160" s="8" t="str">
        <f t="shared" si="2"/>
        <v>BRUDER RICHARD</v>
      </c>
    </row>
    <row r="161" spans="1:7" x14ac:dyDescent="0.25">
      <c r="A161" s="8">
        <v>42820.746122685188</v>
      </c>
      <c r="B161" s="20" t="s">
        <v>452</v>
      </c>
      <c r="C161" s="20" t="s">
        <v>770</v>
      </c>
      <c r="D161" s="150">
        <v>2360000</v>
      </c>
      <c r="E161" s="20" t="s">
        <v>559</v>
      </c>
      <c r="F161" s="20" t="s">
        <v>560</v>
      </c>
      <c r="G161" s="8" t="str">
        <f t="shared" si="2"/>
        <v>BRANDNER MELINDA</v>
      </c>
    </row>
    <row r="162" spans="1:7" x14ac:dyDescent="0.25">
      <c r="A162" s="8">
        <v>42820.75681712963</v>
      </c>
      <c r="B162" s="20" t="s">
        <v>553</v>
      </c>
      <c r="C162" s="20" t="s">
        <v>771</v>
      </c>
      <c r="D162" s="150">
        <v>1800000</v>
      </c>
      <c r="E162" s="20" t="s">
        <v>459</v>
      </c>
      <c r="F162" s="20" t="s">
        <v>460</v>
      </c>
      <c r="G162" s="8" t="str">
        <f t="shared" si="2"/>
        <v>CHANDLER KELVIN</v>
      </c>
    </row>
    <row r="163" spans="1:7" x14ac:dyDescent="0.25">
      <c r="A163" s="8">
        <v>42820.757465277777</v>
      </c>
      <c r="B163" s="20" t="s">
        <v>390</v>
      </c>
      <c r="C163" s="20" t="s">
        <v>772</v>
      </c>
      <c r="D163" s="150">
        <v>2230000</v>
      </c>
      <c r="E163" s="20" t="s">
        <v>399</v>
      </c>
      <c r="F163" s="20" t="s">
        <v>198</v>
      </c>
      <c r="G163" s="8" t="str">
        <f t="shared" si="2"/>
        <v>SMITH MICHAEL</v>
      </c>
    </row>
    <row r="164" spans="1:7" x14ac:dyDescent="0.25">
      <c r="A164" s="8">
        <v>42820.763472222221</v>
      </c>
      <c r="B164" s="20" t="s">
        <v>401</v>
      </c>
      <c r="C164" s="20" t="s">
        <v>773</v>
      </c>
      <c r="D164" s="150">
        <v>1540000</v>
      </c>
      <c r="E164" s="20" t="s">
        <v>393</v>
      </c>
      <c r="F164" s="20" t="s">
        <v>394</v>
      </c>
      <c r="G164" s="8" t="str">
        <f t="shared" si="2"/>
        <v>HELVIE ADAM</v>
      </c>
    </row>
    <row r="165" spans="1:7" x14ac:dyDescent="0.25">
      <c r="A165" s="8">
        <v>42820.765752314815</v>
      </c>
      <c r="B165" s="20" t="s">
        <v>392</v>
      </c>
      <c r="C165" s="20" t="s">
        <v>622</v>
      </c>
      <c r="D165" s="150">
        <v>2000000</v>
      </c>
      <c r="E165" s="20" t="s">
        <v>388</v>
      </c>
      <c r="F165" s="20" t="s">
        <v>195</v>
      </c>
      <c r="G165" s="8" t="str">
        <f t="shared" si="2"/>
        <v>STAMBAUGH JAMES</v>
      </c>
    </row>
    <row r="166" spans="1:7" x14ac:dyDescent="0.25">
      <c r="A166" s="8">
        <v>42820.766979166663</v>
      </c>
      <c r="B166" s="20" t="s">
        <v>448</v>
      </c>
      <c r="C166" s="20" t="s">
        <v>774</v>
      </c>
      <c r="D166" s="150">
        <v>1120000</v>
      </c>
      <c r="E166" s="20" t="s">
        <v>457</v>
      </c>
      <c r="F166" s="20" t="s">
        <v>458</v>
      </c>
      <c r="G166" s="8" t="str">
        <f t="shared" si="2"/>
        <v>LOCKLEAR TRAVIS</v>
      </c>
    </row>
    <row r="167" spans="1:7" x14ac:dyDescent="0.25">
      <c r="A167" s="8">
        <v>42820.769201388888</v>
      </c>
      <c r="B167" s="20" t="s">
        <v>386</v>
      </c>
      <c r="C167" s="20" t="s">
        <v>621</v>
      </c>
      <c r="D167" s="150">
        <v>1810000</v>
      </c>
      <c r="E167" s="20" t="s">
        <v>462</v>
      </c>
      <c r="F167" s="20" t="s">
        <v>195</v>
      </c>
      <c r="G167" s="8" t="str">
        <f t="shared" si="2"/>
        <v>NEWELL JAMES</v>
      </c>
    </row>
    <row r="168" spans="1:7" x14ac:dyDescent="0.25">
      <c r="A168" s="8">
        <v>42820.775023148148</v>
      </c>
      <c r="B168" s="20" t="s">
        <v>405</v>
      </c>
      <c r="C168" s="20" t="s">
        <v>775</v>
      </c>
      <c r="D168" s="150">
        <v>1540000</v>
      </c>
      <c r="E168" s="20" t="s">
        <v>393</v>
      </c>
      <c r="F168" s="20" t="s">
        <v>394</v>
      </c>
      <c r="G168" s="8" t="str">
        <f t="shared" si="2"/>
        <v>HELVIE ADAM</v>
      </c>
    </row>
    <row r="169" spans="1:7" x14ac:dyDescent="0.25">
      <c r="A169" s="8">
        <v>42820.775960648149</v>
      </c>
      <c r="B169" s="20" t="s">
        <v>461</v>
      </c>
      <c r="C169" s="20" t="s">
        <v>776</v>
      </c>
      <c r="D169" s="150">
        <v>1770000</v>
      </c>
      <c r="E169" s="20" t="s">
        <v>563</v>
      </c>
      <c r="F169" s="20" t="s">
        <v>564</v>
      </c>
      <c r="G169" s="8" t="str">
        <f t="shared" si="2"/>
        <v>BRUDER RICHARD</v>
      </c>
    </row>
    <row r="170" spans="1:7" x14ac:dyDescent="0.25">
      <c r="A170" s="8">
        <v>42820.78434027778</v>
      </c>
      <c r="B170" s="20" t="s">
        <v>449</v>
      </c>
      <c r="C170" s="20" t="s">
        <v>777</v>
      </c>
      <c r="D170" s="150">
        <v>2360000</v>
      </c>
      <c r="E170" s="20" t="s">
        <v>559</v>
      </c>
      <c r="F170" s="20" t="s">
        <v>560</v>
      </c>
      <c r="G170" s="8" t="str">
        <f t="shared" si="2"/>
        <v>BRANDNER MELINDA</v>
      </c>
    </row>
    <row r="171" spans="1:7" x14ac:dyDescent="0.25">
      <c r="A171" s="8">
        <v>42820.789664351854</v>
      </c>
      <c r="B171" s="20" t="s">
        <v>555</v>
      </c>
      <c r="C171" s="20" t="s">
        <v>778</v>
      </c>
      <c r="D171" s="150">
        <v>1800000</v>
      </c>
      <c r="E171" s="20" t="s">
        <v>459</v>
      </c>
      <c r="F171" s="20" t="s">
        <v>460</v>
      </c>
      <c r="G171" s="8" t="str">
        <f t="shared" si="2"/>
        <v>CHANDLER KELVIN</v>
      </c>
    </row>
    <row r="172" spans="1:7" x14ac:dyDescent="0.25">
      <c r="A172" s="8">
        <v>42820.790902777779</v>
      </c>
      <c r="B172" s="20" t="s">
        <v>389</v>
      </c>
      <c r="C172" s="20" t="s">
        <v>779</v>
      </c>
      <c r="D172" s="150">
        <v>2230000</v>
      </c>
      <c r="E172" s="20" t="s">
        <v>399</v>
      </c>
      <c r="F172" s="20" t="s">
        <v>198</v>
      </c>
      <c r="G172" s="8" t="str">
        <f t="shared" si="2"/>
        <v>SMITH MICHAEL</v>
      </c>
    </row>
    <row r="173" spans="1:7" x14ac:dyDescent="0.25">
      <c r="A173" s="8">
        <v>42820.797662037039</v>
      </c>
      <c r="B173" s="20" t="s">
        <v>450</v>
      </c>
      <c r="C173" s="20" t="s">
        <v>780</v>
      </c>
      <c r="D173" s="150">
        <v>1120000</v>
      </c>
      <c r="E173" s="20" t="s">
        <v>457</v>
      </c>
      <c r="F173" s="20" t="s">
        <v>458</v>
      </c>
      <c r="G173" s="8" t="str">
        <f t="shared" si="2"/>
        <v>LOCKLEAR TRAVIS</v>
      </c>
    </row>
    <row r="174" spans="1:7" x14ac:dyDescent="0.25">
      <c r="A174" s="8">
        <v>42820.805439814816</v>
      </c>
      <c r="B174" s="20" t="s">
        <v>401</v>
      </c>
      <c r="C174" s="20" t="s">
        <v>781</v>
      </c>
      <c r="D174" s="150">
        <v>1540000</v>
      </c>
      <c r="E174" s="20" t="s">
        <v>393</v>
      </c>
      <c r="F174" s="20" t="s">
        <v>394</v>
      </c>
      <c r="G174" s="8" t="str">
        <f t="shared" si="2"/>
        <v>HELVIE ADAM</v>
      </c>
    </row>
    <row r="175" spans="1:7" x14ac:dyDescent="0.25">
      <c r="A175" s="8">
        <v>42820.807326388887</v>
      </c>
      <c r="B175" s="20" t="s">
        <v>506</v>
      </c>
      <c r="C175" s="20" t="s">
        <v>782</v>
      </c>
      <c r="D175" s="150">
        <v>2000000</v>
      </c>
      <c r="E175" s="20" t="s">
        <v>388</v>
      </c>
      <c r="F175" s="20" t="s">
        <v>195</v>
      </c>
      <c r="G175" s="8" t="str">
        <f t="shared" si="2"/>
        <v>STAMBAUGH JAMES</v>
      </c>
    </row>
    <row r="176" spans="1:7" x14ac:dyDescent="0.25">
      <c r="A176" s="8">
        <v>42820.811249999999</v>
      </c>
      <c r="B176" s="20" t="s">
        <v>387</v>
      </c>
      <c r="C176" s="20" t="s">
        <v>783</v>
      </c>
      <c r="D176" s="150">
        <v>2680000</v>
      </c>
      <c r="E176" s="20" t="s">
        <v>767</v>
      </c>
      <c r="F176" s="20" t="s">
        <v>768</v>
      </c>
      <c r="G176" s="8" t="str">
        <f t="shared" si="2"/>
        <v>DUNCAN SHEILA</v>
      </c>
    </row>
    <row r="177" spans="1:7" x14ac:dyDescent="0.25">
      <c r="A177" s="8">
        <v>42820.817256944443</v>
      </c>
      <c r="B177" s="20" t="s">
        <v>405</v>
      </c>
      <c r="C177" s="20" t="s">
        <v>784</v>
      </c>
      <c r="D177" s="150">
        <v>1540000</v>
      </c>
      <c r="E177" s="20" t="s">
        <v>393</v>
      </c>
      <c r="F177" s="20" t="s">
        <v>394</v>
      </c>
      <c r="G177" s="8" t="str">
        <f t="shared" si="2"/>
        <v>HELVIE ADAM</v>
      </c>
    </row>
    <row r="178" spans="1:7" x14ac:dyDescent="0.25">
      <c r="A178" s="8">
        <v>42820.820150462961</v>
      </c>
      <c r="B178" s="20" t="s">
        <v>452</v>
      </c>
      <c r="C178" s="20" t="s">
        <v>785</v>
      </c>
      <c r="D178" s="150">
        <v>2360000</v>
      </c>
      <c r="E178" s="20" t="s">
        <v>559</v>
      </c>
      <c r="F178" s="20" t="s">
        <v>560</v>
      </c>
      <c r="G178" s="8" t="str">
        <f t="shared" si="2"/>
        <v>BRANDNER MELINDA</v>
      </c>
    </row>
    <row r="179" spans="1:7" x14ac:dyDescent="0.25">
      <c r="A179" s="8">
        <v>42820.82949074074</v>
      </c>
      <c r="B179" s="20" t="s">
        <v>390</v>
      </c>
      <c r="C179" s="20" t="s">
        <v>623</v>
      </c>
      <c r="D179" s="150">
        <v>2230000</v>
      </c>
      <c r="E179" s="20" t="s">
        <v>399</v>
      </c>
      <c r="F179" s="20" t="s">
        <v>198</v>
      </c>
      <c r="G179" s="8" t="str">
        <f t="shared" si="2"/>
        <v>SMITH MICHAEL</v>
      </c>
    </row>
    <row r="180" spans="1:7" x14ac:dyDescent="0.25">
      <c r="A180" s="8">
        <v>42820.829791666663</v>
      </c>
      <c r="B180" s="20" t="s">
        <v>553</v>
      </c>
      <c r="C180" s="20" t="s">
        <v>786</v>
      </c>
      <c r="D180" s="150">
        <v>1800000</v>
      </c>
      <c r="E180" s="20" t="s">
        <v>459</v>
      </c>
      <c r="F180" s="20" t="s">
        <v>460</v>
      </c>
      <c r="G180" s="8" t="str">
        <f t="shared" si="2"/>
        <v>CHANDLER KELVIN</v>
      </c>
    </row>
    <row r="181" spans="1:7" x14ac:dyDescent="0.25">
      <c r="A181" s="8">
        <v>42820.837569444448</v>
      </c>
      <c r="B181" s="20" t="s">
        <v>392</v>
      </c>
      <c r="C181" s="20" t="s">
        <v>787</v>
      </c>
      <c r="D181" s="150">
        <v>2000000</v>
      </c>
      <c r="E181" s="20" t="s">
        <v>388</v>
      </c>
      <c r="F181" s="20" t="s">
        <v>195</v>
      </c>
      <c r="G181" s="8" t="str">
        <f t="shared" si="2"/>
        <v>STAMBAUGH JAMES</v>
      </c>
    </row>
    <row r="182" spans="1:7" x14ac:dyDescent="0.25">
      <c r="A182" s="8">
        <v>42820.845891203702</v>
      </c>
      <c r="B182" s="20" t="s">
        <v>386</v>
      </c>
      <c r="C182" s="20" t="s">
        <v>788</v>
      </c>
      <c r="D182" s="150">
        <v>2680000</v>
      </c>
      <c r="E182" s="20" t="s">
        <v>767</v>
      </c>
      <c r="F182" s="20" t="s">
        <v>768</v>
      </c>
      <c r="G182" s="8" t="str">
        <f t="shared" si="2"/>
        <v>DUNCAN SHEILA</v>
      </c>
    </row>
    <row r="183" spans="1:7" x14ac:dyDescent="0.25">
      <c r="A183" s="8">
        <v>42820.847175925926</v>
      </c>
      <c r="B183" s="20" t="s">
        <v>401</v>
      </c>
      <c r="C183" s="20" t="s">
        <v>789</v>
      </c>
      <c r="D183" s="150">
        <v>1540000</v>
      </c>
      <c r="E183" s="20" t="s">
        <v>393</v>
      </c>
      <c r="F183" s="20" t="s">
        <v>394</v>
      </c>
      <c r="G183" s="8" t="str">
        <f t="shared" si="2"/>
        <v>HELVIE ADAM</v>
      </c>
    </row>
    <row r="184" spans="1:7" x14ac:dyDescent="0.25">
      <c r="A184" s="8">
        <v>42820.859247685185</v>
      </c>
      <c r="B184" s="20" t="s">
        <v>405</v>
      </c>
      <c r="C184" s="20" t="s">
        <v>790</v>
      </c>
      <c r="D184" s="150">
        <v>1540000</v>
      </c>
      <c r="E184" s="20" t="s">
        <v>393</v>
      </c>
      <c r="F184" s="20" t="s">
        <v>394</v>
      </c>
      <c r="G184" s="8" t="str">
        <f t="shared" si="2"/>
        <v>HELVIE ADAM</v>
      </c>
    </row>
    <row r="185" spans="1:7" x14ac:dyDescent="0.25">
      <c r="A185" s="8">
        <v>42820.863553240742</v>
      </c>
      <c r="B185" s="20" t="s">
        <v>389</v>
      </c>
      <c r="C185" s="20" t="s">
        <v>791</v>
      </c>
      <c r="D185" s="150">
        <v>2230000</v>
      </c>
      <c r="E185" s="20" t="s">
        <v>399</v>
      </c>
      <c r="F185" s="20" t="s">
        <v>198</v>
      </c>
      <c r="G185" s="8" t="str">
        <f t="shared" si="2"/>
        <v>SMITH MICHAEL</v>
      </c>
    </row>
    <row r="186" spans="1:7" x14ac:dyDescent="0.25">
      <c r="A186" s="8">
        <v>42820.875127314815</v>
      </c>
      <c r="B186" s="20" t="s">
        <v>555</v>
      </c>
      <c r="C186" s="20" t="s">
        <v>792</v>
      </c>
      <c r="D186" s="150">
        <v>1800000</v>
      </c>
      <c r="E186" s="20" t="s">
        <v>459</v>
      </c>
      <c r="F186" s="20" t="s">
        <v>460</v>
      </c>
      <c r="G186" s="8" t="str">
        <f t="shared" si="2"/>
        <v>CHANDLER KELVIN</v>
      </c>
    </row>
    <row r="187" spans="1:7" x14ac:dyDescent="0.25">
      <c r="A187" s="8">
        <v>42820.883611111109</v>
      </c>
      <c r="B187" s="20" t="s">
        <v>387</v>
      </c>
      <c r="C187" s="20" t="s">
        <v>793</v>
      </c>
      <c r="D187" s="150">
        <v>1810000</v>
      </c>
      <c r="E187" s="20" t="s">
        <v>462</v>
      </c>
      <c r="F187" s="20" t="s">
        <v>195</v>
      </c>
      <c r="G187" s="8" t="str">
        <f t="shared" si="2"/>
        <v>NEWELL JAMES</v>
      </c>
    </row>
    <row r="188" spans="1:7" x14ac:dyDescent="0.25">
      <c r="A188" s="8">
        <v>42820.88821759259</v>
      </c>
      <c r="B188" s="20" t="s">
        <v>401</v>
      </c>
      <c r="C188" s="20" t="s">
        <v>794</v>
      </c>
      <c r="D188" s="150">
        <v>1540000</v>
      </c>
      <c r="E188" s="20" t="s">
        <v>393</v>
      </c>
      <c r="F188" s="20" t="s">
        <v>394</v>
      </c>
      <c r="G188" s="8" t="str">
        <f t="shared" si="2"/>
        <v>HELVIE ADAM</v>
      </c>
    </row>
    <row r="189" spans="1:7" x14ac:dyDescent="0.25">
      <c r="A189" s="8">
        <v>42820.891342592593</v>
      </c>
      <c r="B189" s="20" t="s">
        <v>506</v>
      </c>
      <c r="C189" s="20" t="s">
        <v>795</v>
      </c>
      <c r="D189" s="150">
        <v>2000000</v>
      </c>
      <c r="E189" s="20" t="s">
        <v>388</v>
      </c>
      <c r="F189" s="20" t="s">
        <v>195</v>
      </c>
      <c r="G189" s="8" t="str">
        <f t="shared" si="2"/>
        <v>STAMBAUGH JAMES</v>
      </c>
    </row>
    <row r="190" spans="1:7" x14ac:dyDescent="0.25">
      <c r="A190" s="8">
        <v>42820.899675925924</v>
      </c>
      <c r="B190" s="20" t="s">
        <v>453</v>
      </c>
      <c r="C190" s="20" t="s">
        <v>796</v>
      </c>
      <c r="D190" s="150">
        <v>2730000</v>
      </c>
      <c r="E190" s="20" t="s">
        <v>797</v>
      </c>
      <c r="F190" s="20" t="s">
        <v>798</v>
      </c>
      <c r="G190" s="8" t="str">
        <f t="shared" si="2"/>
        <v>YANG JAN</v>
      </c>
    </row>
    <row r="191" spans="1:7" x14ac:dyDescent="0.25">
      <c r="A191" s="8">
        <v>42820.900590277779</v>
      </c>
      <c r="B191" s="20" t="s">
        <v>405</v>
      </c>
      <c r="C191" s="20" t="s">
        <v>799</v>
      </c>
      <c r="D191" s="150">
        <v>1540000</v>
      </c>
      <c r="E191" s="20" t="s">
        <v>393</v>
      </c>
      <c r="F191" s="20" t="s">
        <v>394</v>
      </c>
      <c r="G191" s="8" t="str">
        <f t="shared" si="2"/>
        <v>HELVIE ADAM</v>
      </c>
    </row>
    <row r="192" spans="1:7" x14ac:dyDescent="0.25">
      <c r="A192" s="8">
        <v>42820.905914351853</v>
      </c>
      <c r="B192" s="20" t="s">
        <v>390</v>
      </c>
      <c r="C192" s="20" t="s">
        <v>800</v>
      </c>
      <c r="D192" s="150">
        <v>2230000</v>
      </c>
      <c r="E192" s="20" t="s">
        <v>399</v>
      </c>
      <c r="F192" s="20" t="s">
        <v>198</v>
      </c>
      <c r="G192" s="8" t="str">
        <f t="shared" si="2"/>
        <v>SMITH MICHAEL</v>
      </c>
    </row>
    <row r="193" spans="1:7" x14ac:dyDescent="0.25">
      <c r="A193" s="8">
        <v>42820.911574074074</v>
      </c>
      <c r="B193" s="20" t="s">
        <v>456</v>
      </c>
      <c r="C193" s="20" t="s">
        <v>801</v>
      </c>
      <c r="D193" s="150">
        <v>2730000</v>
      </c>
      <c r="E193" s="20" t="s">
        <v>797</v>
      </c>
      <c r="F193" s="20" t="s">
        <v>798</v>
      </c>
      <c r="G193" s="8" t="str">
        <f t="shared" si="2"/>
        <v>YANG JAN</v>
      </c>
    </row>
    <row r="194" spans="1:7" x14ac:dyDescent="0.25">
      <c r="A194" s="8">
        <v>42820.912175925929</v>
      </c>
      <c r="B194" s="20" t="s">
        <v>553</v>
      </c>
      <c r="C194" s="20" t="s">
        <v>802</v>
      </c>
      <c r="D194" s="150">
        <v>1800000</v>
      </c>
      <c r="E194" s="20" t="s">
        <v>459</v>
      </c>
      <c r="F194" s="20" t="s">
        <v>460</v>
      </c>
      <c r="G194" s="8" t="str">
        <f t="shared" si="2"/>
        <v>CHANDLER KELVIN</v>
      </c>
    </row>
    <row r="195" spans="1:7" x14ac:dyDescent="0.25">
      <c r="A195" s="8">
        <v>42820.930706018517</v>
      </c>
      <c r="B195" s="20" t="s">
        <v>401</v>
      </c>
      <c r="C195" s="20" t="s">
        <v>803</v>
      </c>
      <c r="D195" s="150">
        <v>1540000</v>
      </c>
      <c r="E195" s="20" t="s">
        <v>393</v>
      </c>
      <c r="F195" s="20" t="s">
        <v>394</v>
      </c>
      <c r="G195" s="8" t="str">
        <f t="shared" ref="G195:G258" si="3">E195&amp;" "&amp;F195</f>
        <v>HELVIE ADAM</v>
      </c>
    </row>
    <row r="196" spans="1:7" x14ac:dyDescent="0.25">
      <c r="A196" s="8">
        <v>42820.932592592595</v>
      </c>
      <c r="B196" s="20" t="s">
        <v>386</v>
      </c>
      <c r="C196" s="20" t="s">
        <v>804</v>
      </c>
      <c r="D196" s="150">
        <v>1810000</v>
      </c>
      <c r="E196" s="20" t="s">
        <v>462</v>
      </c>
      <c r="F196" s="20" t="s">
        <v>195</v>
      </c>
      <c r="G196" s="8" t="str">
        <f t="shared" si="3"/>
        <v>NEWELL JAMES</v>
      </c>
    </row>
    <row r="197" spans="1:7" x14ac:dyDescent="0.25">
      <c r="A197" s="8">
        <v>42820.936238425929</v>
      </c>
      <c r="B197" s="20" t="s">
        <v>392</v>
      </c>
      <c r="C197" s="20" t="s">
        <v>624</v>
      </c>
      <c r="D197" s="150">
        <v>2000000</v>
      </c>
      <c r="E197" s="20" t="s">
        <v>388</v>
      </c>
      <c r="F197" s="20" t="s">
        <v>195</v>
      </c>
      <c r="G197" s="8" t="str">
        <f t="shared" si="3"/>
        <v>STAMBAUGH JAMES</v>
      </c>
    </row>
    <row r="198" spans="1:7" x14ac:dyDescent="0.25">
      <c r="A198" s="8">
        <v>42820.941053240742</v>
      </c>
      <c r="B198" s="20" t="s">
        <v>453</v>
      </c>
      <c r="C198" s="20" t="s">
        <v>796</v>
      </c>
      <c r="D198" s="150">
        <v>2730000</v>
      </c>
      <c r="E198" s="20" t="s">
        <v>797</v>
      </c>
      <c r="F198" s="20" t="s">
        <v>798</v>
      </c>
      <c r="G198" s="8" t="str">
        <f t="shared" si="3"/>
        <v>YANG JAN</v>
      </c>
    </row>
    <row r="199" spans="1:7" x14ac:dyDescent="0.25">
      <c r="A199" s="8">
        <v>42820.941377314812</v>
      </c>
      <c r="B199" s="20" t="s">
        <v>405</v>
      </c>
      <c r="C199" s="20" t="s">
        <v>805</v>
      </c>
      <c r="D199" s="150">
        <v>1540000</v>
      </c>
      <c r="E199" s="20" t="s">
        <v>393</v>
      </c>
      <c r="F199" s="20" t="s">
        <v>394</v>
      </c>
      <c r="G199" s="8" t="str">
        <f t="shared" si="3"/>
        <v>HELVIE ADAM</v>
      </c>
    </row>
    <row r="200" spans="1:7" x14ac:dyDescent="0.25">
      <c r="A200" s="8">
        <v>42820.944409722222</v>
      </c>
      <c r="B200" s="20" t="s">
        <v>389</v>
      </c>
      <c r="C200" s="20" t="s">
        <v>806</v>
      </c>
      <c r="D200" s="150">
        <v>2230000</v>
      </c>
      <c r="E200" s="20" t="s">
        <v>399</v>
      </c>
      <c r="F200" s="20" t="s">
        <v>198</v>
      </c>
      <c r="G200" s="8" t="str">
        <f t="shared" si="3"/>
        <v>SMITH MICHAEL</v>
      </c>
    </row>
    <row r="201" spans="1:7" x14ac:dyDescent="0.25">
      <c r="A201" s="8">
        <v>42820.956319444442</v>
      </c>
      <c r="B201" s="20" t="s">
        <v>555</v>
      </c>
      <c r="C201" s="20" t="s">
        <v>807</v>
      </c>
      <c r="D201" s="150">
        <v>1800000</v>
      </c>
      <c r="E201" s="20" t="s">
        <v>459</v>
      </c>
      <c r="F201" s="20" t="s">
        <v>460</v>
      </c>
      <c r="G201" s="8" t="str">
        <f t="shared" si="3"/>
        <v>CHANDLER KELVIN</v>
      </c>
    </row>
    <row r="202" spans="1:7" x14ac:dyDescent="0.25">
      <c r="A202" s="26">
        <v>42820.965821759259</v>
      </c>
      <c r="B202" s="20" t="s">
        <v>387</v>
      </c>
      <c r="C202" s="20" t="s">
        <v>808</v>
      </c>
      <c r="D202" s="150">
        <v>1810000</v>
      </c>
      <c r="E202" s="20" t="s">
        <v>462</v>
      </c>
      <c r="F202" s="20" t="s">
        <v>195</v>
      </c>
      <c r="G202" s="8" t="str">
        <f t="shared" si="3"/>
        <v>NEWELL JAMES</v>
      </c>
    </row>
    <row r="203" spans="1:7" x14ac:dyDescent="0.25">
      <c r="A203" s="8">
        <v>42820.975243055553</v>
      </c>
      <c r="B203" s="20" t="s">
        <v>506</v>
      </c>
      <c r="C203" s="20" t="s">
        <v>809</v>
      </c>
      <c r="D203" s="150">
        <v>2000000</v>
      </c>
      <c r="E203" s="20" t="s">
        <v>388</v>
      </c>
      <c r="F203" s="20" t="s">
        <v>195</v>
      </c>
      <c r="G203" s="8" t="str">
        <f t="shared" si="3"/>
        <v>STAMBAUGH JAMES</v>
      </c>
    </row>
    <row r="204" spans="1:7" x14ac:dyDescent="0.25">
      <c r="A204" s="8">
        <v>42820.986284722225</v>
      </c>
      <c r="B204" s="20" t="s">
        <v>390</v>
      </c>
      <c r="C204" s="20" t="s">
        <v>810</v>
      </c>
      <c r="D204" s="150">
        <v>2230000</v>
      </c>
      <c r="E204" s="20" t="s">
        <v>399</v>
      </c>
      <c r="F204" s="20" t="s">
        <v>198</v>
      </c>
      <c r="G204" s="8" t="str">
        <f t="shared" si="3"/>
        <v>SMITH MICHAEL</v>
      </c>
    </row>
    <row r="205" spans="1:7" x14ac:dyDescent="0.25">
      <c r="A205" s="8">
        <v>42820.996365740742</v>
      </c>
      <c r="B205" s="20" t="s">
        <v>553</v>
      </c>
      <c r="C205" s="20" t="s">
        <v>811</v>
      </c>
      <c r="D205" s="150">
        <v>1800000</v>
      </c>
      <c r="E205" s="20" t="s">
        <v>459</v>
      </c>
      <c r="F205" s="20" t="s">
        <v>460</v>
      </c>
      <c r="G205" s="8" t="str">
        <f t="shared" si="3"/>
        <v>CHANDLER KELVIN</v>
      </c>
    </row>
    <row r="206" spans="1:7" x14ac:dyDescent="0.25">
      <c r="A206" s="8">
        <v>42820.997094907405</v>
      </c>
      <c r="B206" s="20" t="s">
        <v>456</v>
      </c>
      <c r="C206" s="20" t="s">
        <v>801</v>
      </c>
      <c r="D206" s="150">
        <v>2730000</v>
      </c>
      <c r="E206" s="20" t="s">
        <v>797</v>
      </c>
      <c r="F206" s="20" t="s">
        <v>798</v>
      </c>
      <c r="G206" s="8" t="str">
        <f t="shared" si="3"/>
        <v>YANG JAN</v>
      </c>
    </row>
    <row r="207" spans="1:7" x14ac:dyDescent="0.25">
      <c r="A207" s="8">
        <v>42821.004363425927</v>
      </c>
      <c r="B207" s="20" t="s">
        <v>392</v>
      </c>
      <c r="C207" s="20" t="s">
        <v>625</v>
      </c>
      <c r="D207" s="150">
        <v>2000000</v>
      </c>
      <c r="E207" s="20" t="s">
        <v>388</v>
      </c>
      <c r="F207" s="20" t="s">
        <v>195</v>
      </c>
      <c r="G207" s="8" t="str">
        <f t="shared" si="3"/>
        <v>STAMBAUGH JAMES</v>
      </c>
    </row>
    <row r="208" spans="1:7" x14ac:dyDescent="0.25">
      <c r="A208" s="8">
        <v>42821.015520833331</v>
      </c>
      <c r="B208" s="20" t="s">
        <v>386</v>
      </c>
      <c r="C208" s="20" t="s">
        <v>812</v>
      </c>
      <c r="D208" s="150">
        <v>1810000</v>
      </c>
      <c r="E208" s="20" t="s">
        <v>462</v>
      </c>
      <c r="F208" s="20" t="s">
        <v>195</v>
      </c>
      <c r="G208" s="8" t="str">
        <f t="shared" si="3"/>
        <v>NEWELL JAMES</v>
      </c>
    </row>
    <row r="209" spans="1:7" x14ac:dyDescent="0.25">
      <c r="A209" s="8">
        <v>42821.023668981485</v>
      </c>
      <c r="B209" s="20" t="s">
        <v>453</v>
      </c>
      <c r="C209" s="20" t="s">
        <v>796</v>
      </c>
      <c r="D209" s="150">
        <v>2730000</v>
      </c>
      <c r="E209" s="20" t="s">
        <v>797</v>
      </c>
      <c r="F209" s="20" t="s">
        <v>798</v>
      </c>
      <c r="G209" s="8" t="str">
        <f t="shared" si="3"/>
        <v>YANG JAN</v>
      </c>
    </row>
    <row r="210" spans="1:7" x14ac:dyDescent="0.25">
      <c r="A210" s="8">
        <v>42821.028877314813</v>
      </c>
      <c r="B210" s="20" t="s">
        <v>555</v>
      </c>
      <c r="C210" s="20" t="s">
        <v>813</v>
      </c>
      <c r="D210" s="150">
        <v>1800000</v>
      </c>
      <c r="E210" s="20" t="s">
        <v>459</v>
      </c>
      <c r="F210" s="20" t="s">
        <v>460</v>
      </c>
      <c r="G210" s="8" t="str">
        <f t="shared" si="3"/>
        <v>CHANDLER KELVIN</v>
      </c>
    </row>
    <row r="211" spans="1:7" x14ac:dyDescent="0.25">
      <c r="A211" s="8">
        <v>42821.029108796298</v>
      </c>
      <c r="B211" s="20" t="s">
        <v>389</v>
      </c>
      <c r="C211" s="20" t="s">
        <v>814</v>
      </c>
      <c r="D211" s="150">
        <v>2230000</v>
      </c>
      <c r="E211" s="20" t="s">
        <v>399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42821.047164351854</v>
      </c>
      <c r="B212" s="20" t="s">
        <v>387</v>
      </c>
      <c r="C212" s="20" t="s">
        <v>815</v>
      </c>
      <c r="D212" s="150">
        <v>1810000</v>
      </c>
      <c r="E212" s="20" t="s">
        <v>462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42821.050578703704</v>
      </c>
      <c r="B213" s="20" t="s">
        <v>456</v>
      </c>
      <c r="C213" s="20" t="s">
        <v>801</v>
      </c>
      <c r="D213" s="150">
        <v>2730000</v>
      </c>
      <c r="E213" s="20" t="s">
        <v>797</v>
      </c>
      <c r="F213" s="20" t="s">
        <v>798</v>
      </c>
      <c r="G213" s="8" t="str">
        <f t="shared" si="3"/>
        <v>YANG JAN</v>
      </c>
    </row>
    <row r="214" spans="1:7" x14ac:dyDescent="0.25">
      <c r="A214" s="8">
        <v>42821.058495370373</v>
      </c>
      <c r="B214" s="20" t="s">
        <v>506</v>
      </c>
      <c r="C214" s="20" t="s">
        <v>816</v>
      </c>
      <c r="D214" s="150">
        <v>2000000</v>
      </c>
      <c r="E214" s="20" t="s">
        <v>388</v>
      </c>
      <c r="F214" s="20" t="s">
        <v>195</v>
      </c>
      <c r="G214" s="8" t="str">
        <f t="shared" si="3"/>
        <v>STAMBAUGH JAMES</v>
      </c>
    </row>
    <row r="215" spans="1:7" x14ac:dyDescent="0.25">
      <c r="A215" s="8">
        <v>42821.068425925929</v>
      </c>
      <c r="B215" s="20" t="s">
        <v>453</v>
      </c>
      <c r="C215" s="20" t="s">
        <v>796</v>
      </c>
      <c r="D215" s="150">
        <v>2730000</v>
      </c>
      <c r="E215" s="20" t="s">
        <v>797</v>
      </c>
      <c r="F215" s="20" t="s">
        <v>798</v>
      </c>
      <c r="G215" s="8" t="str">
        <f t="shared" si="3"/>
        <v>YANG JAN</v>
      </c>
    </row>
    <row r="216" spans="1:7" x14ac:dyDescent="0.25">
      <c r="A216" s="8">
        <v>42821.069618055553</v>
      </c>
      <c r="B216" s="20" t="s">
        <v>390</v>
      </c>
      <c r="C216" s="20" t="s">
        <v>817</v>
      </c>
      <c r="D216" s="150">
        <v>2230000</v>
      </c>
      <c r="E216" s="20" t="s">
        <v>399</v>
      </c>
      <c r="F216" s="20" t="s">
        <v>198</v>
      </c>
      <c r="G216" s="8" t="str">
        <f t="shared" si="3"/>
        <v>SMITH MICHAEL</v>
      </c>
    </row>
    <row r="217" spans="1:7" x14ac:dyDescent="0.25">
      <c r="A217" s="8">
        <v>42821.087881944448</v>
      </c>
      <c r="B217" s="20" t="s">
        <v>392</v>
      </c>
      <c r="C217" s="20" t="s">
        <v>818</v>
      </c>
      <c r="D217" s="150">
        <v>2000000</v>
      </c>
      <c r="E217" s="20" t="s">
        <v>388</v>
      </c>
      <c r="F217" s="20" t="s">
        <v>195</v>
      </c>
      <c r="G217" s="8" t="str">
        <f t="shared" si="3"/>
        <v>STAMBAUGH JAMES</v>
      </c>
    </row>
    <row r="218" spans="1:7" x14ac:dyDescent="0.25">
      <c r="A218" s="8">
        <v>42821.09615740741</v>
      </c>
      <c r="B218" s="20" t="s">
        <v>456</v>
      </c>
      <c r="C218" s="20" t="s">
        <v>801</v>
      </c>
      <c r="D218" s="150">
        <v>2730000</v>
      </c>
      <c r="E218" s="20" t="s">
        <v>797</v>
      </c>
      <c r="F218" s="20" t="s">
        <v>798</v>
      </c>
      <c r="G218" s="8" t="str">
        <f t="shared" si="3"/>
        <v>YANG JAN</v>
      </c>
    </row>
    <row r="219" spans="1:7" x14ac:dyDescent="0.25">
      <c r="A219" s="8">
        <v>42818.097743055558</v>
      </c>
      <c r="B219" s="20" t="s">
        <v>554</v>
      </c>
      <c r="C219" s="20" t="s">
        <v>565</v>
      </c>
      <c r="D219" s="150">
        <v>2480000</v>
      </c>
      <c r="E219" s="20" t="s">
        <v>561</v>
      </c>
      <c r="F219" s="20" t="s">
        <v>562</v>
      </c>
      <c r="G219" s="8" t="str">
        <f t="shared" si="3"/>
        <v>WHITED DUSTIN</v>
      </c>
    </row>
    <row r="220" spans="1:7" x14ac:dyDescent="0.25">
      <c r="A220" s="8">
        <v>42818.105393518519</v>
      </c>
      <c r="B220" s="20" t="s">
        <v>398</v>
      </c>
      <c r="C220" s="20" t="s">
        <v>566</v>
      </c>
      <c r="D220" s="150">
        <v>1810000</v>
      </c>
      <c r="E220" s="20" t="s">
        <v>462</v>
      </c>
      <c r="F220" s="20" t="s">
        <v>195</v>
      </c>
      <c r="G220" s="8" t="str">
        <f t="shared" si="3"/>
        <v>NEWELL JAMES</v>
      </c>
    </row>
    <row r="221" spans="1:7" x14ac:dyDescent="0.25">
      <c r="A221" s="8">
        <v>42818.107476851852</v>
      </c>
      <c r="B221" s="20" t="s">
        <v>398</v>
      </c>
      <c r="C221" s="20" t="s">
        <v>566</v>
      </c>
      <c r="D221" s="150">
        <v>1810000</v>
      </c>
      <c r="E221" s="20" t="s">
        <v>462</v>
      </c>
      <c r="F221" s="20" t="s">
        <v>195</v>
      </c>
      <c r="G221" s="8" t="str">
        <f t="shared" si="3"/>
        <v>NEWELL JAMES</v>
      </c>
    </row>
    <row r="222" spans="1:7" x14ac:dyDescent="0.25">
      <c r="A222" s="8">
        <v>42818.109699074077</v>
      </c>
      <c r="B222" s="20" t="s">
        <v>398</v>
      </c>
      <c r="C222" s="20" t="s">
        <v>566</v>
      </c>
      <c r="D222" s="150">
        <v>1810000</v>
      </c>
      <c r="E222" s="20" t="s">
        <v>462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42816.96434027778</v>
      </c>
      <c r="B223" s="20" t="s">
        <v>450</v>
      </c>
      <c r="C223" s="20" t="s">
        <v>517</v>
      </c>
      <c r="D223" s="150">
        <v>2530000</v>
      </c>
      <c r="E223" s="20" t="s">
        <v>454</v>
      </c>
      <c r="F223" s="20" t="s">
        <v>455</v>
      </c>
      <c r="G223" s="8" t="str">
        <f t="shared" si="3"/>
        <v>LALONDE GREGORY</v>
      </c>
    </row>
    <row r="224" spans="1:7" x14ac:dyDescent="0.25">
      <c r="A224" s="8">
        <v>42816.97451388889</v>
      </c>
      <c r="B224" t="s">
        <v>506</v>
      </c>
      <c r="C224" t="s">
        <v>518</v>
      </c>
      <c r="D224" s="150">
        <v>1810000</v>
      </c>
      <c r="E224" t="s">
        <v>462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42816.990671296298</v>
      </c>
      <c r="B225" t="s">
        <v>451</v>
      </c>
      <c r="C225" t="s">
        <v>519</v>
      </c>
      <c r="D225" s="150">
        <v>2150000</v>
      </c>
      <c r="E225" t="s">
        <v>383</v>
      </c>
      <c r="F225" s="20" t="s">
        <v>384</v>
      </c>
      <c r="G225" s="8" t="str">
        <f t="shared" si="3"/>
        <v>SWANSON BRYCE</v>
      </c>
    </row>
    <row r="226" spans="1:7" x14ac:dyDescent="0.25">
      <c r="A226" s="8">
        <v>42816.993043981478</v>
      </c>
      <c r="B226" t="s">
        <v>501</v>
      </c>
      <c r="C226" t="s">
        <v>520</v>
      </c>
      <c r="D226" s="150">
        <v>2270000</v>
      </c>
      <c r="E226" t="s">
        <v>210</v>
      </c>
      <c r="F226" s="20" t="s">
        <v>211</v>
      </c>
      <c r="G226" s="8" t="str">
        <f t="shared" si="3"/>
        <v>BROWN JACOB</v>
      </c>
    </row>
    <row r="227" spans="1:7" x14ac:dyDescent="0.25">
      <c r="A227" s="8">
        <v>42817.006550925929</v>
      </c>
      <c r="B227" t="s">
        <v>448</v>
      </c>
      <c r="C227" t="s">
        <v>521</v>
      </c>
      <c r="D227" s="150">
        <v>2530000</v>
      </c>
      <c r="E227" t="s">
        <v>454</v>
      </c>
      <c r="F227" s="20" t="s">
        <v>455</v>
      </c>
      <c r="G227" s="8" t="str">
        <f t="shared" si="3"/>
        <v>LALONDE GREGORY</v>
      </c>
    </row>
    <row r="228" spans="1:7" x14ac:dyDescent="0.25">
      <c r="A228" s="8">
        <v>42817.015069444446</v>
      </c>
      <c r="B228" t="s">
        <v>392</v>
      </c>
      <c r="C228" t="s">
        <v>522</v>
      </c>
      <c r="D228" s="150">
        <v>1810000</v>
      </c>
      <c r="E228" t="s">
        <v>462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42817.028784722221</v>
      </c>
      <c r="B229" t="s">
        <v>461</v>
      </c>
      <c r="C229" t="s">
        <v>523</v>
      </c>
      <c r="D229" s="150">
        <v>2150000</v>
      </c>
      <c r="E229" t="s">
        <v>383</v>
      </c>
      <c r="F229" s="20" t="s">
        <v>384</v>
      </c>
      <c r="G229" s="8" t="str">
        <f t="shared" si="3"/>
        <v>SWANSON BRYCE</v>
      </c>
    </row>
    <row r="230" spans="1:7" x14ac:dyDescent="0.25">
      <c r="A230" s="8">
        <v>42817.029745370368</v>
      </c>
      <c r="B230" t="s">
        <v>502</v>
      </c>
      <c r="C230" t="s">
        <v>524</v>
      </c>
      <c r="D230" s="150">
        <v>2270000</v>
      </c>
      <c r="E230" t="s">
        <v>210</v>
      </c>
      <c r="F230" s="20" t="s">
        <v>211</v>
      </c>
      <c r="G230" s="8" t="str">
        <f t="shared" si="3"/>
        <v>BROWN JACOB</v>
      </c>
    </row>
    <row r="231" spans="1:7" x14ac:dyDescent="0.25">
      <c r="A231" s="8">
        <v>42817.030624999999</v>
      </c>
      <c r="B231" t="s">
        <v>461</v>
      </c>
      <c r="C231" t="s">
        <v>523</v>
      </c>
      <c r="D231" s="150">
        <v>2150000</v>
      </c>
      <c r="E231" t="s">
        <v>383</v>
      </c>
      <c r="F231" s="20" t="s">
        <v>384</v>
      </c>
      <c r="G231" s="8" t="str">
        <f t="shared" si="3"/>
        <v>SWANSON BRYCE</v>
      </c>
    </row>
    <row r="232" spans="1:7" x14ac:dyDescent="0.25">
      <c r="A232" s="8">
        <v>42817.039583333331</v>
      </c>
      <c r="B232" t="s">
        <v>448</v>
      </c>
      <c r="C232" t="s">
        <v>521</v>
      </c>
      <c r="D232" s="150">
        <v>2530000</v>
      </c>
      <c r="E232" t="s">
        <v>454</v>
      </c>
      <c r="F232" s="20" t="s">
        <v>455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450</v>
      </c>
      <c r="C233" t="s">
        <v>525</v>
      </c>
      <c r="D233" s="150">
        <v>2530000</v>
      </c>
      <c r="E233" t="s">
        <v>454</v>
      </c>
      <c r="F233" s="20" t="s">
        <v>455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506</v>
      </c>
      <c r="C234" t="s">
        <v>526</v>
      </c>
      <c r="D234" s="150">
        <v>1810000</v>
      </c>
      <c r="E234" t="s">
        <v>462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501</v>
      </c>
      <c r="C235" t="s">
        <v>527</v>
      </c>
      <c r="D235" s="150">
        <v>2270000</v>
      </c>
      <c r="E235" t="s">
        <v>210</v>
      </c>
      <c r="F235" s="20" t="s">
        <v>211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392</v>
      </c>
      <c r="C236" t="s">
        <v>528</v>
      </c>
      <c r="D236" s="150">
        <v>1810000</v>
      </c>
      <c r="E236" t="s">
        <v>462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397</v>
      </c>
      <c r="C237" t="s">
        <v>529</v>
      </c>
      <c r="D237" s="150">
        <v>2550000</v>
      </c>
      <c r="E237" t="s">
        <v>507</v>
      </c>
      <c r="F237" s="20" t="s">
        <v>508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397</v>
      </c>
      <c r="C238" t="s">
        <v>529</v>
      </c>
      <c r="D238" s="150">
        <v>2550000</v>
      </c>
      <c r="E238" t="s">
        <v>507</v>
      </c>
      <c r="F238" s="20" t="s">
        <v>508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479</v>
      </c>
      <c r="C239" t="s">
        <v>482</v>
      </c>
      <c r="D239" s="150">
        <v>2000000</v>
      </c>
      <c r="E239" t="s">
        <v>388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406</v>
      </c>
      <c r="C240" t="s">
        <v>483</v>
      </c>
      <c r="D240" s="150">
        <v>1810000</v>
      </c>
      <c r="E240" t="s">
        <v>462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406</v>
      </c>
      <c r="C241" t="s">
        <v>483</v>
      </c>
      <c r="D241" s="150">
        <v>1810000</v>
      </c>
      <c r="E241" t="s">
        <v>462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390</v>
      </c>
      <c r="C242" t="s">
        <v>484</v>
      </c>
      <c r="D242" s="150">
        <v>1740000</v>
      </c>
      <c r="E242" t="s">
        <v>471</v>
      </c>
      <c r="F242" s="20" t="s">
        <v>472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404</v>
      </c>
      <c r="C243" t="s">
        <v>485</v>
      </c>
      <c r="D243" s="150">
        <v>1800000</v>
      </c>
      <c r="E243" t="s">
        <v>459</v>
      </c>
      <c r="F243" s="20" t="s">
        <v>460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477</v>
      </c>
      <c r="C244" t="s">
        <v>486</v>
      </c>
      <c r="D244" s="150">
        <v>2000000</v>
      </c>
      <c r="E244" t="s">
        <v>388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402</v>
      </c>
      <c r="C245" t="s">
        <v>478</v>
      </c>
      <c r="D245" s="150">
        <v>1810000</v>
      </c>
      <c r="E245" t="s">
        <v>462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389</v>
      </c>
      <c r="C246" t="s">
        <v>487</v>
      </c>
      <c r="D246" s="150">
        <v>1740000</v>
      </c>
      <c r="E246" t="s">
        <v>471</v>
      </c>
      <c r="F246" s="20" t="s">
        <v>472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403</v>
      </c>
      <c r="C247" t="s">
        <v>488</v>
      </c>
      <c r="D247" s="150">
        <v>1800000</v>
      </c>
      <c r="E247" t="s">
        <v>459</v>
      </c>
      <c r="F247" s="20" t="s">
        <v>460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389</v>
      </c>
      <c r="C248" t="s">
        <v>487</v>
      </c>
      <c r="D248" s="150">
        <v>1740000</v>
      </c>
      <c r="E248" t="s">
        <v>471</v>
      </c>
      <c r="F248" s="20" t="s">
        <v>472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389</v>
      </c>
      <c r="C249" t="s">
        <v>487</v>
      </c>
      <c r="D249" s="150">
        <v>1740000</v>
      </c>
      <c r="E249" t="s">
        <v>471</v>
      </c>
      <c r="F249" s="20" t="s">
        <v>472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406</v>
      </c>
      <c r="C250" t="s">
        <v>489</v>
      </c>
      <c r="D250" s="150">
        <v>1810000</v>
      </c>
      <c r="E250" t="s">
        <v>462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479</v>
      </c>
      <c r="C251" t="s">
        <v>490</v>
      </c>
      <c r="D251" s="150">
        <v>2000000</v>
      </c>
      <c r="E251" t="s">
        <v>388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390</v>
      </c>
      <c r="C252" t="s">
        <v>487</v>
      </c>
      <c r="D252" s="150">
        <v>1740000</v>
      </c>
      <c r="E252" t="s">
        <v>471</v>
      </c>
      <c r="F252" s="20" t="s">
        <v>472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390</v>
      </c>
      <c r="C253" t="s">
        <v>491</v>
      </c>
      <c r="D253" s="150">
        <v>1740000</v>
      </c>
      <c r="E253" t="s">
        <v>471</v>
      </c>
      <c r="F253" s="20" t="s">
        <v>472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477</v>
      </c>
      <c r="C254" t="s">
        <v>492</v>
      </c>
      <c r="D254" s="150">
        <v>2000000</v>
      </c>
      <c r="E254" t="s">
        <v>388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401</v>
      </c>
      <c r="C255" t="s">
        <v>417</v>
      </c>
      <c r="D255" s="150">
        <v>2150000</v>
      </c>
      <c r="E255" t="s">
        <v>383</v>
      </c>
      <c r="F255" s="20" t="s">
        <v>384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404</v>
      </c>
      <c r="C256" t="s">
        <v>418</v>
      </c>
      <c r="D256" s="150">
        <v>2560000</v>
      </c>
      <c r="E256" t="s">
        <v>415</v>
      </c>
      <c r="F256" s="20" t="s">
        <v>416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398</v>
      </c>
      <c r="C257" t="s">
        <v>419</v>
      </c>
      <c r="D257" s="150">
        <v>1540000</v>
      </c>
      <c r="E257" t="s">
        <v>393</v>
      </c>
      <c r="F257" s="20" t="s">
        <v>394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404</v>
      </c>
      <c r="C258" t="s">
        <v>420</v>
      </c>
      <c r="D258" s="150">
        <v>2560000</v>
      </c>
      <c r="E258" t="s">
        <v>415</v>
      </c>
      <c r="F258" s="20" t="s">
        <v>416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404</v>
      </c>
      <c r="C259" t="s">
        <v>420</v>
      </c>
      <c r="D259" s="150">
        <v>2560000</v>
      </c>
      <c r="E259" t="s">
        <v>415</v>
      </c>
      <c r="F259" s="20" t="s">
        <v>416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404</v>
      </c>
      <c r="C260" t="s">
        <v>420</v>
      </c>
      <c r="D260" s="150">
        <v>2560000</v>
      </c>
      <c r="E260" t="s">
        <v>415</v>
      </c>
      <c r="F260" s="20" t="s">
        <v>416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404</v>
      </c>
      <c r="C261" t="s">
        <v>420</v>
      </c>
      <c r="D261" s="150">
        <v>2560000</v>
      </c>
      <c r="E261" t="s">
        <v>415</v>
      </c>
      <c r="F261" s="20" t="s">
        <v>416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397</v>
      </c>
      <c r="C262" t="s">
        <v>421</v>
      </c>
      <c r="D262" s="150">
        <v>1540000</v>
      </c>
      <c r="E262" t="s">
        <v>393</v>
      </c>
      <c r="F262" s="20" t="s">
        <v>394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422</v>
      </c>
      <c r="D263" s="150">
        <v>2230000</v>
      </c>
      <c r="E263" t="s">
        <v>399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387</v>
      </c>
      <c r="C264" t="s">
        <v>423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398</v>
      </c>
      <c r="C265" t="s">
        <v>424</v>
      </c>
      <c r="D265" s="150">
        <v>1540000</v>
      </c>
      <c r="E265" t="s">
        <v>393</v>
      </c>
      <c r="F265" s="20" t="s">
        <v>394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404</v>
      </c>
      <c r="C266" t="s">
        <v>420</v>
      </c>
      <c r="D266" s="150">
        <v>2560000</v>
      </c>
      <c r="E266" t="s">
        <v>415</v>
      </c>
      <c r="F266" s="20" t="s">
        <v>416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405</v>
      </c>
      <c r="C267" t="s">
        <v>425</v>
      </c>
      <c r="D267" s="150">
        <v>2150000</v>
      </c>
      <c r="E267" t="s">
        <v>383</v>
      </c>
      <c r="F267" s="20" t="s">
        <v>384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390</v>
      </c>
      <c r="C268" t="s">
        <v>426</v>
      </c>
      <c r="D268" s="150">
        <v>2000000</v>
      </c>
      <c r="E268" t="s">
        <v>388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397</v>
      </c>
      <c r="C269" t="s">
        <v>427</v>
      </c>
      <c r="D269" s="150">
        <v>1540000</v>
      </c>
      <c r="E269" t="s">
        <v>393</v>
      </c>
      <c r="F269" s="20" t="s">
        <v>394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398</v>
      </c>
      <c r="C270" t="s">
        <v>428</v>
      </c>
      <c r="D270" s="150">
        <v>2630000</v>
      </c>
      <c r="E270" t="s">
        <v>407</v>
      </c>
      <c r="F270" s="20" t="s">
        <v>408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390</v>
      </c>
      <c r="C271" t="s">
        <v>426</v>
      </c>
      <c r="D271" s="150">
        <v>2000000</v>
      </c>
      <c r="E271" t="s">
        <v>388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422</v>
      </c>
      <c r="D272" s="150">
        <v>2230000</v>
      </c>
      <c r="E272" t="s">
        <v>399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386</v>
      </c>
      <c r="C273" t="s">
        <v>413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397</v>
      </c>
      <c r="C274" t="s">
        <v>429</v>
      </c>
      <c r="D274" s="150">
        <v>2630000</v>
      </c>
      <c r="E274" t="s">
        <v>407</v>
      </c>
      <c r="F274" s="20" t="s">
        <v>408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386</v>
      </c>
      <c r="C275" t="s">
        <v>413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386</v>
      </c>
      <c r="C276" t="s">
        <v>413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412</v>
      </c>
      <c r="C277" t="s">
        <v>430</v>
      </c>
      <c r="D277" s="150">
        <v>2230000</v>
      </c>
      <c r="E277" t="s">
        <v>399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412</v>
      </c>
      <c r="C278" t="s">
        <v>431</v>
      </c>
      <c r="D278" s="150">
        <v>2230000</v>
      </c>
      <c r="E278" t="s">
        <v>399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401</v>
      </c>
      <c r="C279" t="s">
        <v>414</v>
      </c>
      <c r="D279" s="150">
        <v>2150000</v>
      </c>
      <c r="E279" t="s">
        <v>383</v>
      </c>
      <c r="F279" s="20" t="s">
        <v>384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401</v>
      </c>
      <c r="C280" t="s">
        <v>414</v>
      </c>
      <c r="D280" s="150">
        <v>2150000</v>
      </c>
      <c r="E280" t="s">
        <v>383</v>
      </c>
      <c r="F280" s="20" t="s">
        <v>384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412</v>
      </c>
      <c r="C281" t="s">
        <v>431</v>
      </c>
      <c r="D281" s="150">
        <v>2230000</v>
      </c>
      <c r="E281" t="s">
        <v>399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389</v>
      </c>
      <c r="C282" t="s">
        <v>432</v>
      </c>
      <c r="D282" s="150">
        <v>2000000</v>
      </c>
      <c r="E282" t="s">
        <v>388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412</v>
      </c>
      <c r="C283" t="s">
        <v>431</v>
      </c>
      <c r="D283" s="150">
        <v>2230000</v>
      </c>
      <c r="E283" t="s">
        <v>399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403</v>
      </c>
      <c r="C284" t="s">
        <v>433</v>
      </c>
      <c r="D284" s="150">
        <v>2560000</v>
      </c>
      <c r="E284" t="s">
        <v>415</v>
      </c>
      <c r="F284" s="20" t="s">
        <v>416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412</v>
      </c>
      <c r="C285" t="s">
        <v>431</v>
      </c>
      <c r="D285" s="150">
        <v>2230000</v>
      </c>
      <c r="E285" t="s">
        <v>399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387</v>
      </c>
      <c r="C286" t="s">
        <v>434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435</v>
      </c>
      <c r="D287" s="150">
        <v>2230000</v>
      </c>
      <c r="E287" t="s">
        <v>399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390</v>
      </c>
      <c r="C288" t="s">
        <v>436</v>
      </c>
      <c r="D288" s="150">
        <v>2000000</v>
      </c>
      <c r="E288" t="s">
        <v>388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405</v>
      </c>
      <c r="C289" t="s">
        <v>437</v>
      </c>
      <c r="D289" s="150">
        <v>2150000</v>
      </c>
      <c r="E289" t="s">
        <v>383</v>
      </c>
      <c r="F289" s="20" t="s">
        <v>384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405</v>
      </c>
      <c r="C290" t="s">
        <v>437</v>
      </c>
      <c r="D290" s="150">
        <v>2150000</v>
      </c>
      <c r="E290" t="s">
        <v>383</v>
      </c>
      <c r="F290" s="20" t="s">
        <v>384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405</v>
      </c>
      <c r="C291" t="s">
        <v>437</v>
      </c>
      <c r="D291" s="150">
        <v>2150000</v>
      </c>
      <c r="E291" t="s">
        <v>383</v>
      </c>
      <c r="F291" s="20" t="s">
        <v>384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412</v>
      </c>
      <c r="C292" t="s">
        <v>438</v>
      </c>
      <c r="D292" s="150">
        <v>2230000</v>
      </c>
      <c r="E292" t="s">
        <v>399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386</v>
      </c>
      <c r="C293" t="s">
        <v>439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386</v>
      </c>
      <c r="C294" t="s">
        <v>439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386</v>
      </c>
      <c r="C295" t="s">
        <v>439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398</v>
      </c>
      <c r="C296" t="s">
        <v>440</v>
      </c>
      <c r="D296" s="150">
        <v>2150000</v>
      </c>
      <c r="E296" t="s">
        <v>383</v>
      </c>
      <c r="F296" s="20" t="s">
        <v>384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387</v>
      </c>
      <c r="C297" t="s">
        <v>441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567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47.87</v>
      </c>
      <c r="B2" s="168">
        <v>0.64</v>
      </c>
      <c r="C2" s="168">
        <v>30.53</v>
      </c>
      <c r="D2" s="8">
        <v>42820</v>
      </c>
      <c r="E2" s="168">
        <v>0.51</v>
      </c>
      <c r="F2" s="168" t="s">
        <v>353</v>
      </c>
      <c r="G2" s="168">
        <v>321.44</v>
      </c>
      <c r="H2" s="168">
        <v>2.3999999999999998E-3</v>
      </c>
      <c r="I2" s="168">
        <v>7.0000000000000007E-2</v>
      </c>
      <c r="J2" s="168" t="s">
        <v>568</v>
      </c>
      <c r="K2" s="168">
        <v>1007.95</v>
      </c>
      <c r="L2" s="168" t="s">
        <v>463</v>
      </c>
      <c r="M2" s="168">
        <v>47.87</v>
      </c>
      <c r="N2" s="168">
        <v>1490508000</v>
      </c>
      <c r="O2" s="168">
        <v>3.76</v>
      </c>
      <c r="P2" s="168">
        <v>299</v>
      </c>
      <c r="Q2" s="168">
        <v>1.75</v>
      </c>
      <c r="R2"/>
    </row>
    <row r="3" spans="1:18" x14ac:dyDescent="0.25">
      <c r="A3" s="168">
        <v>46.56</v>
      </c>
      <c r="B3" s="168">
        <v>0.56999999999999995</v>
      </c>
      <c r="C3" s="168">
        <v>31.51</v>
      </c>
      <c r="D3" s="8">
        <v>42820.041666666664</v>
      </c>
      <c r="E3" s="168">
        <v>0.56000000000000005</v>
      </c>
      <c r="F3" s="168" t="s">
        <v>353</v>
      </c>
      <c r="G3" s="168">
        <v>323.48</v>
      </c>
      <c r="H3" s="168">
        <v>2.0999999999999999E-3</v>
      </c>
      <c r="I3" s="168">
        <v>0.05</v>
      </c>
      <c r="J3" s="168" t="s">
        <v>568</v>
      </c>
      <c r="K3" s="168">
        <v>1007.76</v>
      </c>
      <c r="L3" s="168" t="s">
        <v>354</v>
      </c>
      <c r="M3" s="168">
        <v>46.56</v>
      </c>
      <c r="N3" s="168">
        <v>1490511600</v>
      </c>
      <c r="O3" s="168">
        <v>4.1500000000000004</v>
      </c>
      <c r="P3" s="168">
        <v>310</v>
      </c>
      <c r="Q3" s="168">
        <v>2.12</v>
      </c>
      <c r="R3"/>
    </row>
    <row r="4" spans="1:18" x14ac:dyDescent="0.25">
      <c r="A4" s="168">
        <v>45.93</v>
      </c>
      <c r="B4" s="168">
        <v>0.47</v>
      </c>
      <c r="C4" s="168">
        <v>32.61</v>
      </c>
      <c r="D4" s="8">
        <v>42820.083333333336</v>
      </c>
      <c r="E4" s="168">
        <v>0.59</v>
      </c>
      <c r="F4" s="168" t="s">
        <v>353</v>
      </c>
      <c r="G4" s="168">
        <v>325.52</v>
      </c>
      <c r="H4" s="168">
        <v>1.8E-3</v>
      </c>
      <c r="I4" s="168">
        <v>0.04</v>
      </c>
      <c r="J4" s="168" t="s">
        <v>568</v>
      </c>
      <c r="K4" s="168">
        <v>1007.63</v>
      </c>
      <c r="L4" s="168" t="s">
        <v>354</v>
      </c>
      <c r="M4" s="168">
        <v>45.93</v>
      </c>
      <c r="N4" s="168">
        <v>1490515200</v>
      </c>
      <c r="O4" s="168">
        <v>10</v>
      </c>
      <c r="P4" s="168">
        <v>305</v>
      </c>
      <c r="Q4" s="168">
        <v>2.33</v>
      </c>
      <c r="R4"/>
    </row>
    <row r="5" spans="1:18" x14ac:dyDescent="0.25">
      <c r="A5" s="168">
        <v>44.93</v>
      </c>
      <c r="B5" s="168">
        <v>0.44</v>
      </c>
      <c r="C5" s="168">
        <v>33.33</v>
      </c>
      <c r="D5" s="8">
        <v>42820.125</v>
      </c>
      <c r="E5" s="168">
        <v>0.64</v>
      </c>
      <c r="F5" s="168" t="s">
        <v>353</v>
      </c>
      <c r="G5" s="168">
        <v>327.56</v>
      </c>
      <c r="H5" s="168">
        <v>1.5E-3</v>
      </c>
      <c r="I5" s="168">
        <v>0.03</v>
      </c>
      <c r="J5" s="168" t="s">
        <v>568</v>
      </c>
      <c r="K5" s="168">
        <v>1007.54</v>
      </c>
      <c r="L5" s="168" t="s">
        <v>354</v>
      </c>
      <c r="M5" s="168">
        <v>44.93</v>
      </c>
      <c r="N5" s="168">
        <v>1490518800</v>
      </c>
      <c r="O5" s="168">
        <v>3.62</v>
      </c>
      <c r="P5" s="168">
        <v>227</v>
      </c>
      <c r="Q5" s="168">
        <v>0.38</v>
      </c>
      <c r="R5"/>
    </row>
    <row r="6" spans="1:18" x14ac:dyDescent="0.25">
      <c r="A6" s="168">
        <v>44.34</v>
      </c>
      <c r="B6" s="168">
        <v>0.5</v>
      </c>
      <c r="C6" s="168">
        <v>33.5</v>
      </c>
      <c r="D6" s="8">
        <v>42820.166666666664</v>
      </c>
      <c r="E6" s="168">
        <v>0.65</v>
      </c>
      <c r="F6" s="168" t="s">
        <v>353</v>
      </c>
      <c r="G6" s="168">
        <v>328.85</v>
      </c>
      <c r="H6" s="168">
        <v>1.5E-3</v>
      </c>
      <c r="I6" s="168">
        <v>0.03</v>
      </c>
      <c r="J6" s="168" t="s">
        <v>568</v>
      </c>
      <c r="K6" s="168">
        <v>1008</v>
      </c>
      <c r="L6" s="168" t="s">
        <v>354</v>
      </c>
      <c r="M6" s="168">
        <v>44.34</v>
      </c>
      <c r="N6" s="168">
        <v>1490522400</v>
      </c>
      <c r="O6" s="168">
        <v>3.58</v>
      </c>
      <c r="P6" s="168">
        <v>341</v>
      </c>
      <c r="Q6" s="168">
        <v>2.1</v>
      </c>
      <c r="R6"/>
    </row>
    <row r="7" spans="1:18" x14ac:dyDescent="0.25">
      <c r="A7" s="168">
        <v>43.51</v>
      </c>
      <c r="B7" s="168">
        <v>0.63</v>
      </c>
      <c r="C7" s="168">
        <v>33.36</v>
      </c>
      <c r="D7" s="8">
        <v>42820.208333333336</v>
      </c>
      <c r="E7" s="168">
        <v>0.67</v>
      </c>
      <c r="F7" s="168" t="s">
        <v>353</v>
      </c>
      <c r="G7" s="168">
        <v>329.91</v>
      </c>
      <c r="H7" s="168">
        <v>1.6999999999999999E-3</v>
      </c>
      <c r="I7" s="168">
        <v>0.04</v>
      </c>
      <c r="J7" s="168" t="s">
        <v>568</v>
      </c>
      <c r="K7" s="168">
        <v>1008.74</v>
      </c>
      <c r="L7" s="168" t="s">
        <v>463</v>
      </c>
      <c r="M7" s="168">
        <v>43.51</v>
      </c>
      <c r="N7" s="168">
        <v>1490526000</v>
      </c>
      <c r="O7" s="168">
        <v>4.08</v>
      </c>
      <c r="P7" s="168">
        <v>337</v>
      </c>
      <c r="Q7" s="168">
        <v>2.34</v>
      </c>
      <c r="R7"/>
    </row>
    <row r="8" spans="1:18" x14ac:dyDescent="0.25">
      <c r="A8" s="168">
        <v>43.18</v>
      </c>
      <c r="B8" s="168">
        <v>0.8</v>
      </c>
      <c r="C8" s="168">
        <v>33.950000000000003</v>
      </c>
      <c r="D8" s="8">
        <v>42820.25</v>
      </c>
      <c r="E8" s="168">
        <v>0.7</v>
      </c>
      <c r="F8" s="168" t="s">
        <v>353</v>
      </c>
      <c r="G8" s="168">
        <v>331.6</v>
      </c>
      <c r="H8" s="168">
        <v>1.9E-3</v>
      </c>
      <c r="I8" s="168">
        <v>0.04</v>
      </c>
      <c r="J8" s="168" t="s">
        <v>568</v>
      </c>
      <c r="K8" s="168">
        <v>1009.37</v>
      </c>
      <c r="L8" s="168" t="s">
        <v>463</v>
      </c>
      <c r="M8" s="168">
        <v>43.18</v>
      </c>
      <c r="N8" s="168">
        <v>1490529600</v>
      </c>
      <c r="O8" s="168">
        <v>5.44</v>
      </c>
      <c r="P8" s="168">
        <v>335</v>
      </c>
      <c r="Q8" s="168">
        <v>2.23</v>
      </c>
      <c r="R8"/>
    </row>
    <row r="9" spans="1:18" x14ac:dyDescent="0.25">
      <c r="A9" s="168">
        <v>41.59</v>
      </c>
      <c r="B9" s="168">
        <v>0.73</v>
      </c>
      <c r="C9" s="168">
        <v>32.75</v>
      </c>
      <c r="D9" s="8">
        <v>42820.291666666664</v>
      </c>
      <c r="E9" s="168">
        <v>0.71</v>
      </c>
      <c r="F9" s="168" t="s">
        <v>355</v>
      </c>
      <c r="G9" s="168">
        <v>334.56</v>
      </c>
      <c r="H9" s="168">
        <v>1.9E-3</v>
      </c>
      <c r="I9" s="168">
        <v>0.04</v>
      </c>
      <c r="J9" s="168" t="s">
        <v>568</v>
      </c>
      <c r="K9" s="168">
        <v>1009.59</v>
      </c>
      <c r="L9" s="168" t="s">
        <v>463</v>
      </c>
      <c r="M9" s="168">
        <v>41.59</v>
      </c>
      <c r="N9" s="168">
        <v>1490533200</v>
      </c>
      <c r="O9" s="168">
        <v>3.93</v>
      </c>
      <c r="P9" s="168">
        <v>332</v>
      </c>
      <c r="Q9" s="168">
        <v>2.46</v>
      </c>
      <c r="R9"/>
    </row>
    <row r="10" spans="1:18" x14ac:dyDescent="0.25">
      <c r="A10" s="168">
        <v>41.83</v>
      </c>
      <c r="B10" s="168">
        <v>0.66</v>
      </c>
      <c r="C10" s="168">
        <v>34.35</v>
      </c>
      <c r="D10" s="8">
        <v>42820.333333333336</v>
      </c>
      <c r="E10" s="168">
        <v>0.7</v>
      </c>
      <c r="F10" s="168" t="s">
        <v>355</v>
      </c>
      <c r="G10" s="168">
        <v>338.15</v>
      </c>
      <c r="H10" s="168">
        <v>1.9E-3</v>
      </c>
      <c r="I10" s="168">
        <v>0.05</v>
      </c>
      <c r="J10" s="168" t="s">
        <v>568</v>
      </c>
      <c r="K10" s="168">
        <v>1009.62</v>
      </c>
      <c r="L10" s="168" t="s">
        <v>463</v>
      </c>
      <c r="M10" s="168">
        <v>43.66</v>
      </c>
      <c r="N10" s="168">
        <v>1490536800</v>
      </c>
      <c r="O10" s="168">
        <v>3.33</v>
      </c>
      <c r="P10" s="168">
        <v>339</v>
      </c>
      <c r="Q10" s="168">
        <v>3.68</v>
      </c>
      <c r="R10"/>
    </row>
    <row r="11" spans="1:18" x14ac:dyDescent="0.25">
      <c r="A11" s="168">
        <v>43.51</v>
      </c>
      <c r="B11" s="168">
        <v>0.62</v>
      </c>
      <c r="C11" s="168">
        <v>34.85</v>
      </c>
      <c r="D11" s="8">
        <v>42820.375</v>
      </c>
      <c r="E11" s="168">
        <v>0.66</v>
      </c>
      <c r="F11" s="168" t="s">
        <v>355</v>
      </c>
      <c r="G11" s="168">
        <v>341.36</v>
      </c>
      <c r="H11" s="168">
        <v>2E-3</v>
      </c>
      <c r="I11" s="168">
        <v>0.05</v>
      </c>
      <c r="J11" s="168" t="s">
        <v>568</v>
      </c>
      <c r="K11" s="168">
        <v>1009.68</v>
      </c>
      <c r="L11" s="168" t="s">
        <v>463</v>
      </c>
      <c r="M11" s="168">
        <v>45.42</v>
      </c>
      <c r="N11" s="168">
        <v>1490540400</v>
      </c>
      <c r="O11" s="168">
        <v>3.09</v>
      </c>
      <c r="P11" s="168">
        <v>354</v>
      </c>
      <c r="Q11" s="168">
        <v>4.08</v>
      </c>
      <c r="R11"/>
    </row>
    <row r="12" spans="1:18" x14ac:dyDescent="0.25">
      <c r="A12" s="168">
        <v>43.39</v>
      </c>
      <c r="B12" s="168">
        <v>0.67</v>
      </c>
      <c r="C12" s="168">
        <v>33.74</v>
      </c>
      <c r="D12" s="8">
        <v>42820.416666666664</v>
      </c>
      <c r="E12" s="168">
        <v>0.62</v>
      </c>
      <c r="F12" s="168" t="s">
        <v>355</v>
      </c>
      <c r="G12" s="168">
        <v>344.19</v>
      </c>
      <c r="H12" s="168">
        <v>2.0999999999999999E-3</v>
      </c>
      <c r="I12" s="168">
        <v>0.05</v>
      </c>
      <c r="J12" s="168" t="s">
        <v>568</v>
      </c>
      <c r="K12" s="168">
        <v>1009.89</v>
      </c>
      <c r="L12" s="168" t="s">
        <v>463</v>
      </c>
      <c r="M12" s="168">
        <v>45.88</v>
      </c>
      <c r="N12" s="168">
        <v>1490544000</v>
      </c>
      <c r="O12" s="168">
        <v>3.01</v>
      </c>
      <c r="P12" s="168">
        <v>5</v>
      </c>
      <c r="Q12" s="168">
        <v>4.99</v>
      </c>
      <c r="R12"/>
    </row>
    <row r="13" spans="1:18" x14ac:dyDescent="0.25">
      <c r="A13" s="168">
        <v>46.35</v>
      </c>
      <c r="B13" s="168">
        <v>0.81</v>
      </c>
      <c r="C13" s="168">
        <v>36.67</v>
      </c>
      <c r="D13" s="8">
        <v>42820.458333333336</v>
      </c>
      <c r="E13" s="168">
        <v>0.63</v>
      </c>
      <c r="F13" s="168" t="s">
        <v>355</v>
      </c>
      <c r="G13" s="168">
        <v>346.63</v>
      </c>
      <c r="H13" s="168">
        <v>2.3E-3</v>
      </c>
      <c r="I13" s="168">
        <v>0.06</v>
      </c>
      <c r="J13" s="168" t="s">
        <v>568</v>
      </c>
      <c r="K13" s="168">
        <v>1010.18</v>
      </c>
      <c r="L13" s="168" t="s">
        <v>463</v>
      </c>
      <c r="M13" s="168">
        <v>48.68</v>
      </c>
      <c r="N13" s="168">
        <v>1490547600</v>
      </c>
      <c r="O13" s="168">
        <v>3.01</v>
      </c>
      <c r="P13" s="168">
        <v>10</v>
      </c>
      <c r="Q13" s="168">
        <v>5.53</v>
      </c>
      <c r="R13"/>
    </row>
    <row r="14" spans="1:18" x14ac:dyDescent="0.25">
      <c r="A14" s="168">
        <v>51.53</v>
      </c>
      <c r="B14" s="168">
        <v>0.86</v>
      </c>
      <c r="C14" s="168">
        <v>38.869999999999997</v>
      </c>
      <c r="D14" s="8">
        <v>42820.5</v>
      </c>
      <c r="E14" s="168">
        <v>0.62</v>
      </c>
      <c r="F14" s="168" t="s">
        <v>355</v>
      </c>
      <c r="G14" s="168">
        <v>347.61</v>
      </c>
      <c r="H14" s="168">
        <v>2.3999999999999998E-3</v>
      </c>
      <c r="I14" s="168">
        <v>7.0000000000000007E-2</v>
      </c>
      <c r="J14" s="168" t="s">
        <v>568</v>
      </c>
      <c r="K14" s="168">
        <v>1010.29</v>
      </c>
      <c r="L14" s="168" t="s">
        <v>463</v>
      </c>
      <c r="M14" s="168">
        <v>51.53</v>
      </c>
      <c r="N14" s="168">
        <v>1490551200</v>
      </c>
      <c r="O14" s="168">
        <v>3.05</v>
      </c>
      <c r="P14" s="168">
        <v>24</v>
      </c>
      <c r="Q14" s="168">
        <v>6.48</v>
      </c>
      <c r="R14"/>
    </row>
    <row r="15" spans="1:18" x14ac:dyDescent="0.25">
      <c r="A15" s="168">
        <v>52.77</v>
      </c>
      <c r="B15" s="168">
        <v>0.82</v>
      </c>
      <c r="C15" s="168">
        <v>36.85</v>
      </c>
      <c r="D15" s="8">
        <v>42820.541666666664</v>
      </c>
      <c r="E15" s="168">
        <v>0.55000000000000004</v>
      </c>
      <c r="F15" s="168" t="s">
        <v>355</v>
      </c>
      <c r="G15" s="168">
        <v>346.72</v>
      </c>
      <c r="H15" s="168">
        <v>2.3999999999999998E-3</v>
      </c>
      <c r="I15" s="168">
        <v>7.0000000000000007E-2</v>
      </c>
      <c r="J15" s="168" t="s">
        <v>568</v>
      </c>
      <c r="K15" s="168">
        <v>1009.95</v>
      </c>
      <c r="L15" s="168" t="s">
        <v>463</v>
      </c>
      <c r="M15" s="168">
        <v>52.77</v>
      </c>
      <c r="N15" s="168">
        <v>1490554800</v>
      </c>
      <c r="O15" s="168">
        <v>3.13</v>
      </c>
      <c r="P15" s="168">
        <v>23</v>
      </c>
      <c r="Q15" s="168">
        <v>7.22</v>
      </c>
      <c r="R15"/>
    </row>
    <row r="16" spans="1:18" x14ac:dyDescent="0.25">
      <c r="A16" s="168">
        <v>51.96</v>
      </c>
      <c r="B16" s="168">
        <v>0.69</v>
      </c>
      <c r="C16" s="168">
        <v>37.24</v>
      </c>
      <c r="D16" s="8">
        <v>42820.583333333336</v>
      </c>
      <c r="E16" s="168">
        <v>0.56999999999999995</v>
      </c>
      <c r="F16" s="168" t="s">
        <v>355</v>
      </c>
      <c r="G16" s="168">
        <v>344.38</v>
      </c>
      <c r="H16" s="168">
        <v>2.3999999999999998E-3</v>
      </c>
      <c r="I16" s="168">
        <v>7.0000000000000007E-2</v>
      </c>
      <c r="J16" s="168" t="s">
        <v>568</v>
      </c>
      <c r="K16" s="168">
        <v>1009.47</v>
      </c>
      <c r="L16" s="168" t="s">
        <v>463</v>
      </c>
      <c r="M16" s="168">
        <v>51.96</v>
      </c>
      <c r="N16" s="168">
        <v>1490558400</v>
      </c>
      <c r="O16" s="168">
        <v>3.07</v>
      </c>
      <c r="P16" s="168">
        <v>13</v>
      </c>
      <c r="Q16" s="168">
        <v>6.01</v>
      </c>
      <c r="R16"/>
    </row>
    <row r="17" spans="1:18" x14ac:dyDescent="0.25">
      <c r="A17" s="168">
        <v>52.61</v>
      </c>
      <c r="B17" s="168">
        <v>0.59</v>
      </c>
      <c r="C17" s="168">
        <v>38.49</v>
      </c>
      <c r="D17" s="8">
        <v>42820.625</v>
      </c>
      <c r="E17" s="168">
        <v>0.59</v>
      </c>
      <c r="F17" s="168" t="s">
        <v>355</v>
      </c>
      <c r="G17" s="168">
        <v>340.76</v>
      </c>
      <c r="H17" s="168">
        <v>2.3E-3</v>
      </c>
      <c r="I17" s="168">
        <v>0.06</v>
      </c>
      <c r="J17" s="168" t="s">
        <v>568</v>
      </c>
      <c r="K17" s="168">
        <v>1009.33</v>
      </c>
      <c r="L17" s="168" t="s">
        <v>354</v>
      </c>
      <c r="M17" s="168">
        <v>52.61</v>
      </c>
      <c r="N17" s="168">
        <v>1490562000</v>
      </c>
      <c r="O17" s="168">
        <v>3.02</v>
      </c>
      <c r="P17" s="168">
        <v>6</v>
      </c>
      <c r="Q17" s="168">
        <v>5.97</v>
      </c>
      <c r="R17"/>
    </row>
    <row r="18" spans="1:18" x14ac:dyDescent="0.25">
      <c r="A18" s="168">
        <v>50.5</v>
      </c>
      <c r="B18" s="168">
        <v>0.57999999999999996</v>
      </c>
      <c r="C18" s="168">
        <v>38.979999999999997</v>
      </c>
      <c r="D18" s="8">
        <v>42820.666666666664</v>
      </c>
      <c r="E18" s="168">
        <v>0.65</v>
      </c>
      <c r="F18" s="168" t="s">
        <v>355</v>
      </c>
      <c r="G18" s="168">
        <v>335.22</v>
      </c>
      <c r="H18" s="168">
        <v>2.2000000000000001E-3</v>
      </c>
      <c r="I18" s="168">
        <v>0.06</v>
      </c>
      <c r="J18" s="168" t="s">
        <v>568</v>
      </c>
      <c r="K18" s="168">
        <v>1009.67</v>
      </c>
      <c r="L18" s="168" t="s">
        <v>354</v>
      </c>
      <c r="M18" s="168">
        <v>50.5</v>
      </c>
      <c r="N18" s="168">
        <v>1490565600</v>
      </c>
      <c r="O18" s="168">
        <v>2.98</v>
      </c>
      <c r="P18" s="168">
        <v>5</v>
      </c>
      <c r="Q18" s="168">
        <v>6.6</v>
      </c>
      <c r="R18"/>
    </row>
    <row r="19" spans="1:18" x14ac:dyDescent="0.25">
      <c r="A19" s="168">
        <v>50.54</v>
      </c>
      <c r="B19" s="168">
        <v>0.57999999999999996</v>
      </c>
      <c r="C19" s="168">
        <v>40.47</v>
      </c>
      <c r="D19" s="8">
        <v>42820.708333333336</v>
      </c>
      <c r="E19" s="168">
        <v>0.68</v>
      </c>
      <c r="F19" s="168" t="s">
        <v>355</v>
      </c>
      <c r="G19" s="168">
        <v>328.4</v>
      </c>
      <c r="H19" s="168">
        <v>3.3999999999999998E-3</v>
      </c>
      <c r="I19" s="168">
        <v>0.12</v>
      </c>
      <c r="J19" s="168" t="s">
        <v>568</v>
      </c>
      <c r="K19" s="168">
        <v>1010.3</v>
      </c>
      <c r="L19" s="168" t="s">
        <v>354</v>
      </c>
      <c r="M19" s="168">
        <v>50.54</v>
      </c>
      <c r="N19" s="168">
        <v>1490569200</v>
      </c>
      <c r="O19" s="168">
        <v>4.68</v>
      </c>
      <c r="P19" s="168">
        <v>2</v>
      </c>
      <c r="Q19" s="168">
        <v>4.51</v>
      </c>
      <c r="R19"/>
    </row>
    <row r="20" spans="1:18" x14ac:dyDescent="0.25">
      <c r="A20" s="168">
        <v>50.3</v>
      </c>
      <c r="B20" s="168">
        <v>0.49</v>
      </c>
      <c r="C20" s="168">
        <v>40.11</v>
      </c>
      <c r="D20" s="8">
        <v>42820.75</v>
      </c>
      <c r="E20" s="168">
        <v>0.68</v>
      </c>
      <c r="F20" s="168" t="s">
        <v>355</v>
      </c>
      <c r="G20" s="168">
        <v>322.47000000000003</v>
      </c>
      <c r="H20" s="168">
        <v>3.0000000000000001E-3</v>
      </c>
      <c r="I20" s="168">
        <v>0.1</v>
      </c>
      <c r="J20" s="168" t="s">
        <v>568</v>
      </c>
      <c r="K20" s="168">
        <v>1011</v>
      </c>
      <c r="L20" s="168" t="s">
        <v>354</v>
      </c>
      <c r="M20" s="168">
        <v>50.3</v>
      </c>
      <c r="N20" s="168">
        <v>1490572800</v>
      </c>
      <c r="O20" s="168">
        <v>5.03</v>
      </c>
      <c r="P20" s="168">
        <v>7</v>
      </c>
      <c r="Q20" s="168">
        <v>4.17</v>
      </c>
      <c r="R20"/>
    </row>
    <row r="21" spans="1:18" x14ac:dyDescent="0.25">
      <c r="A21" s="168">
        <v>46.57</v>
      </c>
      <c r="B21" s="168">
        <v>0.43</v>
      </c>
      <c r="C21" s="168">
        <v>37.299999999999997</v>
      </c>
      <c r="D21" s="8">
        <v>42820.791666666664</v>
      </c>
      <c r="E21" s="168">
        <v>0.66</v>
      </c>
      <c r="F21" s="168" t="s">
        <v>355</v>
      </c>
      <c r="G21" s="168">
        <v>318.23</v>
      </c>
      <c r="H21" s="168">
        <v>2.3999999999999998E-3</v>
      </c>
      <c r="I21" s="168">
        <v>7.0000000000000007E-2</v>
      </c>
      <c r="J21" s="168" t="s">
        <v>568</v>
      </c>
      <c r="K21" s="168">
        <v>1011.66</v>
      </c>
      <c r="L21" s="168" t="s">
        <v>354</v>
      </c>
      <c r="M21" s="168">
        <v>47.97</v>
      </c>
      <c r="N21" s="168">
        <v>1490576400</v>
      </c>
      <c r="O21" s="168">
        <v>5.18</v>
      </c>
      <c r="P21" s="168">
        <v>7</v>
      </c>
      <c r="Q21" s="168">
        <v>3.94</v>
      </c>
      <c r="R21"/>
    </row>
    <row r="22" spans="1:18" x14ac:dyDescent="0.25">
      <c r="A22" s="168">
        <v>46.42</v>
      </c>
      <c r="B22" s="168">
        <v>0.37</v>
      </c>
      <c r="C22" s="168">
        <v>37.75</v>
      </c>
      <c r="D22" s="8">
        <v>42820.833333333336</v>
      </c>
      <c r="E22" s="168">
        <v>0.72</v>
      </c>
      <c r="F22" s="168" t="s">
        <v>353</v>
      </c>
      <c r="G22" s="168">
        <v>314.88</v>
      </c>
      <c r="H22" s="168">
        <v>1.4E-3</v>
      </c>
      <c r="I22" s="168">
        <v>0.03</v>
      </c>
      <c r="J22" s="168" t="s">
        <v>568</v>
      </c>
      <c r="K22" s="168">
        <v>1012.34</v>
      </c>
      <c r="L22" s="168" t="s">
        <v>354</v>
      </c>
      <c r="M22" s="168">
        <v>46.42</v>
      </c>
      <c r="N22" s="168">
        <v>1490580000</v>
      </c>
      <c r="O22" s="168">
        <v>9.01</v>
      </c>
      <c r="P22" s="168">
        <v>1</v>
      </c>
      <c r="Q22" s="168">
        <v>2.96</v>
      </c>
      <c r="R22"/>
    </row>
    <row r="23" spans="1:18" x14ac:dyDescent="0.25">
      <c r="A23" s="168">
        <v>45.44</v>
      </c>
      <c r="B23" s="168">
        <v>0.4</v>
      </c>
      <c r="C23" s="168">
        <v>37.47</v>
      </c>
      <c r="D23" s="8">
        <v>42820.875</v>
      </c>
      <c r="E23" s="168">
        <v>0.73</v>
      </c>
      <c r="F23" s="168" t="s">
        <v>353</v>
      </c>
      <c r="G23" s="168">
        <v>312.17</v>
      </c>
      <c r="H23" s="168">
        <v>8.9999999999999998E-4</v>
      </c>
      <c r="I23" s="168">
        <v>0.01</v>
      </c>
      <c r="J23" s="168" t="s">
        <v>568</v>
      </c>
      <c r="K23" s="168">
        <v>1012.86</v>
      </c>
      <c r="L23" s="168" t="s">
        <v>354</v>
      </c>
      <c r="M23" s="168">
        <v>45.44</v>
      </c>
      <c r="N23" s="168">
        <v>1490583600</v>
      </c>
      <c r="O23" s="168">
        <v>5.42</v>
      </c>
      <c r="P23" s="168">
        <v>340</v>
      </c>
      <c r="Q23" s="168">
        <v>1.88</v>
      </c>
      <c r="R23"/>
    </row>
    <row r="24" spans="1:18" x14ac:dyDescent="0.25">
      <c r="A24" s="168">
        <v>45.01</v>
      </c>
      <c r="B24" s="168">
        <v>0.59</v>
      </c>
      <c r="C24" s="168">
        <v>37.82</v>
      </c>
      <c r="D24" s="8">
        <v>42820.916666666664</v>
      </c>
      <c r="E24" s="168">
        <v>0.76</v>
      </c>
      <c r="F24" s="168" t="s">
        <v>353</v>
      </c>
      <c r="G24" s="168">
        <v>310.26</v>
      </c>
      <c r="H24" s="168">
        <v>0</v>
      </c>
      <c r="I24" s="168">
        <v>0</v>
      </c>
      <c r="J24" s="168"/>
      <c r="K24" s="168">
        <v>1013.09</v>
      </c>
      <c r="L24" s="168" t="s">
        <v>354</v>
      </c>
      <c r="M24" s="168">
        <v>45.01</v>
      </c>
      <c r="N24" s="168">
        <v>1490587200</v>
      </c>
      <c r="O24" s="168">
        <v>5.01</v>
      </c>
      <c r="P24" s="168">
        <v>357</v>
      </c>
      <c r="Q24" s="168">
        <v>0.71</v>
      </c>
      <c r="R24"/>
    </row>
    <row r="25" spans="1:18" x14ac:dyDescent="0.25">
      <c r="A25" s="168">
        <v>43.81</v>
      </c>
      <c r="B25" s="168">
        <v>0.68</v>
      </c>
      <c r="C25" s="168">
        <v>37.68</v>
      </c>
      <c r="D25" s="8">
        <v>42820.958333333336</v>
      </c>
      <c r="E25" s="168">
        <v>0.79</v>
      </c>
      <c r="F25" s="168" t="s">
        <v>353</v>
      </c>
      <c r="G25" s="168">
        <v>308.99</v>
      </c>
      <c r="H25" s="168">
        <v>0</v>
      </c>
      <c r="I25" s="168">
        <v>0</v>
      </c>
      <c r="J25" s="168"/>
      <c r="K25" s="168">
        <v>1013.14</v>
      </c>
      <c r="L25" s="168" t="s">
        <v>463</v>
      </c>
      <c r="M25" s="168">
        <v>43.81</v>
      </c>
      <c r="N25" s="168">
        <v>1490590800</v>
      </c>
      <c r="O25" s="168">
        <v>3.91</v>
      </c>
      <c r="P25" s="168">
        <v>351</v>
      </c>
      <c r="Q25" s="168">
        <v>1.24</v>
      </c>
      <c r="R25"/>
    </row>
    <row r="26" spans="1:18" x14ac:dyDescent="0.25">
      <c r="A26" s="168">
        <v>42.94</v>
      </c>
      <c r="B26" s="168">
        <v>0.72</v>
      </c>
      <c r="C26" s="168">
        <v>37.700000000000003</v>
      </c>
      <c r="D26" s="8">
        <v>42821</v>
      </c>
      <c r="E26" s="168">
        <v>0.82</v>
      </c>
      <c r="F26" s="168" t="s">
        <v>353</v>
      </c>
      <c r="G26" s="168">
        <v>307.72000000000003</v>
      </c>
      <c r="H26" s="168">
        <v>0</v>
      </c>
      <c r="I26" s="168">
        <v>0</v>
      </c>
      <c r="J26" s="168"/>
      <c r="K26" s="168">
        <v>1013.21</v>
      </c>
      <c r="L26" s="168" t="s">
        <v>463</v>
      </c>
      <c r="M26" s="168">
        <v>42.94</v>
      </c>
      <c r="N26" s="168">
        <v>1490594400</v>
      </c>
      <c r="O26" s="168">
        <v>3.67</v>
      </c>
      <c r="P26" s="168">
        <v>357</v>
      </c>
      <c r="Q26" s="168">
        <v>1.1100000000000001</v>
      </c>
      <c r="R26"/>
    </row>
    <row r="27" spans="1:18" x14ac:dyDescent="0.25">
      <c r="A27" s="168">
        <v>41.65</v>
      </c>
      <c r="B27" s="168">
        <v>0.64</v>
      </c>
      <c r="C27" s="168">
        <v>37.28</v>
      </c>
      <c r="D27" s="8">
        <v>42821.041666666664</v>
      </c>
      <c r="E27" s="168">
        <v>0.84</v>
      </c>
      <c r="F27" s="168" t="s">
        <v>353</v>
      </c>
      <c r="G27" s="168">
        <v>306.24</v>
      </c>
      <c r="H27" s="168">
        <v>0</v>
      </c>
      <c r="I27" s="168">
        <v>0</v>
      </c>
      <c r="J27" s="168"/>
      <c r="K27" s="168">
        <v>1013.45</v>
      </c>
      <c r="L27" s="168" t="s">
        <v>463</v>
      </c>
      <c r="M27" s="168">
        <v>41.65</v>
      </c>
      <c r="N27" s="168">
        <v>1490598000</v>
      </c>
      <c r="O27" s="168">
        <v>7.42</v>
      </c>
      <c r="P27" s="168">
        <v>259</v>
      </c>
      <c r="Q27" s="168">
        <v>0.39</v>
      </c>
      <c r="R27"/>
    </row>
    <row r="28" spans="1:18" x14ac:dyDescent="0.25">
      <c r="A28" s="168">
        <v>40.590000000000003</v>
      </c>
      <c r="B28" s="168">
        <v>0.56999999999999995</v>
      </c>
      <c r="C28" s="168">
        <v>36.53</v>
      </c>
      <c r="D28" s="8">
        <v>42821.083333333336</v>
      </c>
      <c r="E28" s="168">
        <v>0.85</v>
      </c>
      <c r="F28" s="168" t="s">
        <v>353</v>
      </c>
      <c r="G28" s="168">
        <v>304.75</v>
      </c>
      <c r="H28" s="168">
        <v>0</v>
      </c>
      <c r="I28" s="168">
        <v>0</v>
      </c>
      <c r="J28" s="168"/>
      <c r="K28" s="168">
        <v>1013.66</v>
      </c>
      <c r="L28" s="168" t="s">
        <v>354</v>
      </c>
      <c r="M28" s="168">
        <v>40.590000000000003</v>
      </c>
      <c r="N28" s="168">
        <v>1490601600</v>
      </c>
      <c r="O28" s="168">
        <v>3.19</v>
      </c>
      <c r="P28" s="168">
        <v>138</v>
      </c>
      <c r="Q28" s="168">
        <v>0.67</v>
      </c>
      <c r="R28"/>
    </row>
    <row r="29" spans="1:18" x14ac:dyDescent="0.25">
      <c r="A29" s="168">
        <v>39.700000000000003</v>
      </c>
      <c r="B29" s="168">
        <v>0.51</v>
      </c>
      <c r="C29" s="168">
        <v>36.090000000000003</v>
      </c>
      <c r="D29" s="8">
        <v>42821.125</v>
      </c>
      <c r="E29" s="168">
        <v>0.87</v>
      </c>
      <c r="F29" s="168" t="s">
        <v>353</v>
      </c>
      <c r="G29" s="168">
        <v>303.26</v>
      </c>
      <c r="H29" s="168">
        <v>0</v>
      </c>
      <c r="I29" s="168">
        <v>0</v>
      </c>
      <c r="J29" s="168"/>
      <c r="K29" s="168">
        <v>1013.85</v>
      </c>
      <c r="L29" s="168" t="s">
        <v>354</v>
      </c>
      <c r="M29" s="168">
        <v>39.700000000000003</v>
      </c>
      <c r="N29" s="168">
        <v>1490605200</v>
      </c>
      <c r="O29" s="168">
        <v>2.65</v>
      </c>
      <c r="P29" s="168">
        <v>7</v>
      </c>
      <c r="Q29" s="168">
        <v>0.18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367</v>
      </c>
      <c r="U1" s="219"/>
      <c r="V1" s="219"/>
      <c r="W1" s="219"/>
      <c r="X1" s="219"/>
    </row>
    <row r="2" spans="1:24" ht="15.75" thickBot="1" x14ac:dyDescent="0.3">
      <c r="A2" s="12">
        <v>42820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980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981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982</v>
      </c>
      <c r="J20" s="152" t="s">
        <v>87</v>
      </c>
      <c r="M20" s="168" t="s">
        <v>359</v>
      </c>
      <c r="N20" s="168" t="s">
        <v>359</v>
      </c>
      <c r="T20" s="197"/>
      <c r="U20" s="197"/>
      <c r="V20" s="197"/>
      <c r="W20" s="197"/>
      <c r="X20" s="197"/>
    </row>
    <row r="21" spans="3:24" x14ac:dyDescent="0.25">
      <c r="C21" t="s">
        <v>983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984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985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986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987</v>
      </c>
      <c r="J25" s="152" t="s">
        <v>150</v>
      </c>
      <c r="M25" s="168" t="b">
        <v>1</v>
      </c>
    </row>
    <row r="26" spans="3:24" x14ac:dyDescent="0.25">
      <c r="C26" t="s">
        <v>988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C:\Users\stu\Documents\GitHub\eaglep3-reporting\EC\2017-03-26-refined-times.txt</v>
      </c>
    </row>
    <row r="27" spans="3:24" x14ac:dyDescent="0.25">
      <c r="C27" t="s">
        <v>989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C:\Users\stu\Documents\GitHub\eaglep3-reporting\EC\2017-03-26-Enforcements.txt</v>
      </c>
    </row>
    <row r="28" spans="3:24" x14ac:dyDescent="0.25">
      <c r="C28" t="s">
        <v>990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C:\Users\stu\Documents\GitHub\eaglep3-reporting\EC\2017-03-26-Runs-refined.txt</v>
      </c>
    </row>
    <row r="29" spans="3:24" x14ac:dyDescent="0.25">
      <c r="C29" t="s">
        <v>991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C:\Users\stu\Documents\GitHub\eaglep3-reporting\EC\2017-03-26-Trips.txt</v>
      </c>
    </row>
    <row r="30" spans="3:24" x14ac:dyDescent="0.25">
      <c r="C30" t="s">
        <v>992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C:\Users\stu\Documents\GitHub\eaglep3-reporting\EC\2017-03-26-Weather.txt</v>
      </c>
    </row>
    <row r="31" spans="3:24" x14ac:dyDescent="0.25">
      <c r="C31" t="s">
        <v>993</v>
      </c>
      <c r="J31" s="152" t="s">
        <v>203</v>
      </c>
      <c r="M31" s="168" t="s">
        <v>204</v>
      </c>
    </row>
    <row r="32" spans="3:24" x14ac:dyDescent="0.25">
      <c r="C32" t="s">
        <v>994</v>
      </c>
    </row>
    <row r="33" spans="3:3" x14ac:dyDescent="0.25">
      <c r="C33" t="s">
        <v>995</v>
      </c>
    </row>
    <row r="34" spans="3:3" x14ac:dyDescent="0.25">
      <c r="C34" t="s">
        <v>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2017-03-27T18:13:46Z</dcterms:modified>
</cp:coreProperties>
</file>